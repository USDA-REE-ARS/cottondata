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mnt\Data1\USDA-ALARC\GIS\PDI project\cottondata\Data\2022_F013B4_CO_ISSWC\"/>
    </mc:Choice>
  </mc:AlternateContent>
  <xr:revisionPtr revIDLastSave="0" documentId="13_ncr:1_{9014B42F-0135-4C6E-976E-FEFA8BBE69EA}" xr6:coauthVersionLast="47" xr6:coauthVersionMax="47" xr10:uidLastSave="{00000000-0000-0000-0000-000000000000}"/>
  <bookViews>
    <workbookView xWindow="16470" yWindow="-19380" windowWidth="17805" windowHeight="18345" firstSheet="2" activeTab="4" xr2:uid="{00000000-000D-0000-FFFF-FFFF00000000}"/>
  </bookViews>
  <sheets>
    <sheet name="Height" sheetId="9" r:id="rId1"/>
    <sheet name="Width" sheetId="10" r:id="rId2"/>
    <sheet name="Density" sheetId="12" r:id="rId3"/>
    <sheet name="Develop" sheetId="13" r:id="rId4"/>
    <sheet name="PlotDevelop" sheetId="15" r:id="rId5"/>
    <sheet name="Ordering" sheetId="11" r:id="rId6"/>
    <sheet name="Blank Data Sheet" sheetId="1" r:id="rId7"/>
    <sheet name="Height Summary" sheetId="5" r:id="rId8"/>
    <sheet name="Cover Summary" sheetId="7" r:id="rId9"/>
    <sheet name="Averages" sheetId="8" r:id="rId10"/>
    <sheet name="Emergence" sheetId="14" r:id="rId11"/>
    <sheet name="Counts1" sheetId="16" r:id="rId12"/>
    <sheet name="Counts2" sheetId="18" r:id="rId13"/>
    <sheet name="NAWFd186" sheetId="20" r:id="rId14"/>
    <sheet name="NAWFd192" sheetId="21" r:id="rId15"/>
    <sheet name="NAWFd206" sheetId="22" r:id="rId16"/>
    <sheet name="NAWFd220" sheetId="23" r:id="rId17"/>
    <sheet name="NAWFd227" sheetId="24" r:id="rId18"/>
    <sheet name="NAWFd234-235" sheetId="25" r:id="rId19"/>
    <sheet name="NAWFd241" sheetId="26" r:id="rId20"/>
    <sheet name="NAWFd251" sheetId="27" r:id="rId21"/>
  </sheets>
  <definedNames>
    <definedName name="_xlnm.Print_Area" localSheetId="6">'Blank Data Sheet'!$A$1:$J$152</definedName>
    <definedName name="_xlnm.Print_Area" localSheetId="11">Counts1!$A$1:$M$34</definedName>
    <definedName name="_xlnm.Print_Area" localSheetId="8">'Cover Summary'!$A$1:$K$60</definedName>
    <definedName name="_xlnm.Print_Area" localSheetId="7">'Height Summary'!$A$1:$R$60</definedName>
    <definedName name="_xlnm.Print_Area" localSheetId="13">NAWFd186!$D$1:$O$30</definedName>
    <definedName name="_xlnm.Print_Area" localSheetId="14">NAWFd192!$D$1:$O$30</definedName>
    <definedName name="_xlnm.Print_Area" localSheetId="15">NAWFd206!$D$1:$O$30</definedName>
    <definedName name="_xlnm.Print_Area" localSheetId="16">NAWFd220!$D$1:$O$30</definedName>
    <definedName name="_xlnm.Print_Area" localSheetId="17">NAWFd227!$D$1:$O$30</definedName>
    <definedName name="_xlnm.Print_Area" localSheetId="19">NAWFd241!$D$1:$O$30</definedName>
    <definedName name="_xlnm.Print_Area" localSheetId="20">NAWFd251!$D$1:$O$30</definedName>
    <definedName name="_xlnm.Print_Titles" localSheetId="6">'Blank Data Sheet'!$8:$8</definedName>
    <definedName name="_xlnm.Print_Titles" localSheetId="11">Counts1!$5:$6</definedName>
    <definedName name="_xlnm.Print_Titles" localSheetId="8">'Cover Summary'!$12:$12</definedName>
    <definedName name="_xlnm.Print_Titles" localSheetId="10">Emergence!$12:$12</definedName>
    <definedName name="_xlnm.Print_Titles" localSheetId="7">'Height Summary'!$12:$12</definedName>
    <definedName name="_xlnm.Print_Titles" localSheetId="13">NAWFd186!$6:$6</definedName>
    <definedName name="_xlnm.Print_Titles" localSheetId="14">NAWFd192!$6:$6</definedName>
    <definedName name="_xlnm.Print_Titles" localSheetId="15">NAWFd206!$6:$6</definedName>
    <definedName name="_xlnm.Print_Titles" localSheetId="16">NAWFd220!$6:$6</definedName>
    <definedName name="_xlnm.Print_Titles" localSheetId="17">NAWFd227!$6:$6</definedName>
    <definedName name="_xlnm.Print_Titles" localSheetId="19">NAWFd241!$6:$6</definedName>
    <definedName name="_xlnm.Print_Titles" localSheetId="20">NAWFd251!$6:$6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7" i="27" l="1"/>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35" i="27"/>
  <c r="P36" i="27"/>
  <c r="P37" i="27"/>
  <c r="P38" i="27"/>
  <c r="P39" i="27"/>
  <c r="P40" i="27"/>
  <c r="P41" i="27"/>
  <c r="P42" i="27"/>
  <c r="P43" i="27"/>
  <c r="P44" i="27"/>
  <c r="P45" i="27"/>
  <c r="P46" i="27"/>
  <c r="P47" i="27"/>
  <c r="P48" i="27"/>
  <c r="P49" i="27"/>
  <c r="P50" i="27"/>
  <c r="P51" i="27"/>
  <c r="P52" i="27"/>
  <c r="P53" i="27"/>
  <c r="P54" i="27"/>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7" i="24"/>
  <c r="P8" i="24"/>
  <c r="P9" i="24"/>
  <c r="P10" i="24"/>
  <c r="P11" i="24"/>
  <c r="P12" i="24"/>
  <c r="P13" i="24"/>
  <c r="P14" i="24"/>
  <c r="P15" i="24"/>
  <c r="P16" i="24"/>
  <c r="P17" i="24"/>
  <c r="P18" i="24"/>
  <c r="P19" i="24"/>
  <c r="P20" i="24"/>
  <c r="P21" i="24"/>
  <c r="P22" i="24"/>
  <c r="P23" i="24"/>
  <c r="P24" i="24"/>
  <c r="P25" i="24"/>
  <c r="P26" i="24"/>
  <c r="P27" i="24"/>
  <c r="P28" i="24"/>
  <c r="P29" i="24"/>
  <c r="P30" i="24"/>
  <c r="P31" i="24"/>
  <c r="P32" i="24"/>
  <c r="P33" i="24"/>
  <c r="P34" i="24"/>
  <c r="P35" i="24"/>
  <c r="P36" i="24"/>
  <c r="P37" i="24"/>
  <c r="P38" i="24"/>
  <c r="P39" i="24"/>
  <c r="P40" i="24"/>
  <c r="P41" i="24"/>
  <c r="P42" i="24"/>
  <c r="P43" i="24"/>
  <c r="P44" i="24"/>
  <c r="P45" i="24"/>
  <c r="P46" i="24"/>
  <c r="P47" i="24"/>
  <c r="P48" i="24"/>
  <c r="P49" i="24"/>
  <c r="P50" i="24"/>
  <c r="P51" i="24"/>
  <c r="P52" i="24"/>
  <c r="P53" i="24"/>
  <c r="P54" i="24"/>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P52" i="22"/>
  <c r="P53" i="22"/>
  <c r="P54" i="22"/>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E4" i="18" l="1"/>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3" i="18"/>
  <c r="G7" i="16"/>
  <c r="N7" i="16"/>
  <c r="G8" i="16"/>
  <c r="N8" i="16"/>
  <c r="G9" i="16"/>
  <c r="N9" i="16"/>
  <c r="G10" i="16"/>
  <c r="N10" i="16"/>
  <c r="G11" i="16"/>
  <c r="N11" i="16"/>
  <c r="G12" i="16"/>
  <c r="N12" i="16"/>
  <c r="G13" i="16"/>
  <c r="N13" i="16"/>
  <c r="G14" i="16"/>
  <c r="N14" i="16"/>
  <c r="G15" i="16"/>
  <c r="N15" i="16"/>
  <c r="G16" i="16"/>
  <c r="N16" i="16"/>
  <c r="G17" i="16"/>
  <c r="N17" i="16"/>
  <c r="G18" i="16"/>
  <c r="N18" i="16"/>
  <c r="G23" i="16"/>
  <c r="N23" i="16"/>
  <c r="G24" i="16"/>
  <c r="N24" i="16"/>
  <c r="G25" i="16"/>
  <c r="N25" i="16"/>
  <c r="G26" i="16"/>
  <c r="N26" i="16"/>
  <c r="G27" i="16"/>
  <c r="N27" i="16"/>
  <c r="G28" i="16"/>
  <c r="N28" i="16"/>
  <c r="G29" i="16"/>
  <c r="N29" i="16"/>
  <c r="G30" i="16"/>
  <c r="N30" i="16"/>
  <c r="G31" i="16"/>
  <c r="N31" i="16"/>
  <c r="G32" i="16"/>
  <c r="N32" i="16"/>
  <c r="R32" i="16"/>
  <c r="S32" i="16"/>
  <c r="G33" i="16"/>
  <c r="N33" i="16"/>
  <c r="R33" i="16"/>
  <c r="S33" i="16"/>
  <c r="G34" i="16"/>
  <c r="N34" i="16"/>
  <c r="Z118" i="14" l="1"/>
  <c r="Z117" i="14"/>
  <c r="Z116" i="14"/>
  <c r="Z115" i="14"/>
  <c r="Z114" i="14"/>
  <c r="Z113" i="14"/>
  <c r="Z112" i="14"/>
  <c r="Z111" i="14"/>
  <c r="Z110" i="14"/>
  <c r="Z109" i="14"/>
  <c r="Z108" i="14"/>
  <c r="Z107" i="14"/>
  <c r="Z106" i="14"/>
  <c r="Z105" i="14"/>
  <c r="Z104" i="14"/>
  <c r="Z103" i="14"/>
  <c r="Z102" i="14"/>
  <c r="Z101" i="14"/>
  <c r="Z100" i="14"/>
  <c r="Z99" i="14"/>
  <c r="Z98" i="14"/>
  <c r="Z97" i="14"/>
  <c r="Z96" i="14"/>
  <c r="Z95" i="14"/>
  <c r="Z94" i="14"/>
  <c r="Z93" i="14"/>
  <c r="Z92" i="14"/>
  <c r="Z91" i="14"/>
  <c r="Z90" i="14"/>
  <c r="Z89" i="14"/>
  <c r="Z88" i="14"/>
  <c r="Z87" i="14"/>
  <c r="Z86" i="14"/>
  <c r="Z85" i="14"/>
  <c r="Z84" i="14"/>
  <c r="Z83" i="14"/>
  <c r="Z82" i="14"/>
  <c r="Z81" i="14"/>
  <c r="Z80" i="14"/>
  <c r="Z79" i="14"/>
  <c r="Z78" i="14"/>
  <c r="Z77" i="14"/>
  <c r="Z76" i="14"/>
  <c r="Z75" i="14"/>
  <c r="Z74" i="14"/>
  <c r="Z73" i="14"/>
  <c r="Z72" i="14"/>
  <c r="Z71" i="14"/>
  <c r="Y72" i="14"/>
  <c r="Y73" i="14"/>
  <c r="Y74" i="14"/>
  <c r="Y75" i="14"/>
  <c r="Y76" i="14"/>
  <c r="Y77" i="14"/>
  <c r="Y78" i="14"/>
  <c r="Y79" i="14"/>
  <c r="Y80" i="14"/>
  <c r="Y81" i="14"/>
  <c r="Y82" i="14"/>
  <c r="Y83" i="14"/>
  <c r="Y84" i="14"/>
  <c r="Y85" i="14"/>
  <c r="Y86" i="14"/>
  <c r="Y87" i="14"/>
  <c r="Y88" i="14"/>
  <c r="Y89" i="14"/>
  <c r="Y90" i="14"/>
  <c r="Y91" i="14"/>
  <c r="Y92" i="14"/>
  <c r="Y93" i="14"/>
  <c r="Y94" i="14"/>
  <c r="Y95" i="14"/>
  <c r="Y96" i="14"/>
  <c r="Y97" i="14"/>
  <c r="Y98" i="14"/>
  <c r="Y99" i="14"/>
  <c r="Y100" i="14"/>
  <c r="Y101" i="14"/>
  <c r="Y102" i="14"/>
  <c r="Y103" i="14"/>
  <c r="Y104" i="14"/>
  <c r="Y105" i="14"/>
  <c r="Y106" i="14"/>
  <c r="Y107" i="14"/>
  <c r="Y108" i="14"/>
  <c r="Y109" i="14"/>
  <c r="Y110" i="14"/>
  <c r="Y111" i="14"/>
  <c r="Y112" i="14"/>
  <c r="Y113" i="14"/>
  <c r="Y114" i="14"/>
  <c r="Y115" i="14"/>
  <c r="Y116" i="14"/>
  <c r="Y117" i="14"/>
  <c r="Y118" i="14"/>
  <c r="Y71" i="14"/>
  <c r="P114" i="14"/>
  <c r="P113" i="14"/>
  <c r="P112" i="14"/>
  <c r="P109" i="14"/>
  <c r="P107" i="14"/>
  <c r="P98" i="14"/>
  <c r="P97" i="14"/>
  <c r="P94" i="14"/>
  <c r="P90" i="14"/>
  <c r="P88" i="14"/>
  <c r="P87" i="14"/>
  <c r="P86" i="14"/>
  <c r="P85" i="14"/>
  <c r="P83" i="14"/>
  <c r="P78" i="14"/>
  <c r="P82" i="14"/>
  <c r="P81" i="14"/>
  <c r="P80" i="14"/>
  <c r="P77" i="14"/>
  <c r="P76" i="14"/>
  <c r="P75" i="14"/>
  <c r="P110" i="14"/>
  <c r="P108" i="14"/>
  <c r="P92" i="14"/>
  <c r="P91" i="14"/>
  <c r="P89" i="14"/>
  <c r="P84" i="14"/>
  <c r="P79" i="14"/>
  <c r="P71" i="14"/>
  <c r="O72" i="14"/>
  <c r="P72" i="14" s="1"/>
  <c r="O73" i="14"/>
  <c r="P73" i="14" s="1"/>
  <c r="O74" i="14"/>
  <c r="P74" i="14" s="1"/>
  <c r="O75" i="14"/>
  <c r="O76" i="14"/>
  <c r="O77" i="14"/>
  <c r="O78" i="14"/>
  <c r="O79" i="14"/>
  <c r="O80" i="14"/>
  <c r="O81" i="14"/>
  <c r="O82" i="14"/>
  <c r="O83" i="14"/>
  <c r="O84" i="14"/>
  <c r="O85" i="14"/>
  <c r="O86" i="14"/>
  <c r="O87" i="14"/>
  <c r="O88" i="14"/>
  <c r="O89" i="14"/>
  <c r="O90" i="14"/>
  <c r="O91" i="14"/>
  <c r="O92" i="14"/>
  <c r="O93" i="14"/>
  <c r="P93" i="14" s="1"/>
  <c r="O94" i="14"/>
  <c r="O95" i="14"/>
  <c r="P95" i="14" s="1"/>
  <c r="O96" i="14"/>
  <c r="P96" i="14" s="1"/>
  <c r="O97" i="14"/>
  <c r="O98" i="14"/>
  <c r="O99" i="14"/>
  <c r="P99" i="14" s="1"/>
  <c r="O100" i="14"/>
  <c r="P100" i="14" s="1"/>
  <c r="O101" i="14"/>
  <c r="P101" i="14" s="1"/>
  <c r="O102" i="14"/>
  <c r="P102" i="14" s="1"/>
  <c r="O103" i="14"/>
  <c r="P103" i="14" s="1"/>
  <c r="O104" i="14"/>
  <c r="P104" i="14" s="1"/>
  <c r="O105" i="14"/>
  <c r="P105" i="14" s="1"/>
  <c r="O106" i="14"/>
  <c r="P106" i="14" s="1"/>
  <c r="O107" i="14"/>
  <c r="O108" i="14"/>
  <c r="O109" i="14"/>
  <c r="O110" i="14"/>
  <c r="O111" i="14"/>
  <c r="P111" i="14" s="1"/>
  <c r="O112" i="14"/>
  <c r="O113" i="14"/>
  <c r="O114" i="14"/>
  <c r="O115" i="14"/>
  <c r="P115" i="14" s="1"/>
  <c r="O116" i="14"/>
  <c r="P116" i="14" s="1"/>
  <c r="O117" i="14"/>
  <c r="P117" i="14" s="1"/>
  <c r="O118" i="14"/>
  <c r="P118" i="14" s="1"/>
  <c r="O71" i="14"/>
  <c r="E65" i="14"/>
  <c r="G65" i="14"/>
  <c r="I65" i="14"/>
  <c r="K65" i="14"/>
  <c r="M65" i="14"/>
  <c r="O65" i="14"/>
  <c r="P65" i="14"/>
  <c r="R65" i="14"/>
  <c r="S65" i="14"/>
  <c r="U65" i="14"/>
  <c r="V65" i="14"/>
  <c r="X65" i="14"/>
  <c r="Y65" i="14"/>
  <c r="AA65" i="14"/>
  <c r="AB65" i="14"/>
  <c r="AD65" i="14"/>
  <c r="AE65" i="14"/>
  <c r="AG65" i="14"/>
  <c r="E66" i="14"/>
  <c r="G66" i="14"/>
  <c r="I66" i="14"/>
  <c r="K66" i="14"/>
  <c r="M66" i="14"/>
  <c r="O66" i="14"/>
  <c r="P66" i="14"/>
  <c r="R66" i="14"/>
  <c r="S66" i="14"/>
  <c r="U66" i="14"/>
  <c r="V66" i="14"/>
  <c r="X66" i="14"/>
  <c r="Y66" i="14"/>
  <c r="AA66" i="14"/>
  <c r="AB66" i="14"/>
  <c r="AD66" i="14"/>
  <c r="AE66" i="14"/>
  <c r="AG66" i="14"/>
  <c r="E67" i="14"/>
  <c r="G67" i="14"/>
  <c r="I67" i="14"/>
  <c r="K67" i="14"/>
  <c r="M67" i="14"/>
  <c r="O67" i="14"/>
  <c r="P67" i="14"/>
  <c r="R67" i="14"/>
  <c r="S67" i="14"/>
  <c r="U67" i="14"/>
  <c r="V67" i="14"/>
  <c r="X67" i="14"/>
  <c r="Y67" i="14"/>
  <c r="AA67" i="14"/>
  <c r="AB67" i="14"/>
  <c r="AD67" i="14"/>
  <c r="AE67" i="14"/>
  <c r="AG67" i="14"/>
  <c r="D1" i="11" l="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AF34" i="8"/>
  <c r="AF32" i="8"/>
  <c r="AF30" i="8"/>
  <c r="AF28" i="8"/>
  <c r="AF26" i="8"/>
  <c r="AF24" i="8"/>
  <c r="AF23" i="8"/>
  <c r="AF22" i="8"/>
  <c r="Q34" i="8"/>
  <c r="P34" i="8"/>
  <c r="O34" i="8"/>
  <c r="Q32" i="8"/>
  <c r="P32" i="8"/>
  <c r="O32" i="8"/>
  <c r="Q30" i="8"/>
  <c r="P30" i="8"/>
  <c r="O30" i="8"/>
  <c r="Q28" i="8"/>
  <c r="P28" i="8"/>
  <c r="O28" i="8"/>
  <c r="Q26" i="8"/>
  <c r="P26" i="8"/>
  <c r="O26" i="8"/>
  <c r="Q24" i="8"/>
  <c r="P24" i="8"/>
  <c r="O24" i="8"/>
  <c r="Q23" i="8"/>
  <c r="P23" i="8"/>
  <c r="O23" i="8"/>
  <c r="Q22" i="8"/>
  <c r="P22" i="8"/>
  <c r="O22" i="8"/>
  <c r="Q17" i="8"/>
  <c r="P17" i="8"/>
  <c r="O17" i="8"/>
  <c r="Q15" i="8"/>
  <c r="P15" i="8"/>
  <c r="O15" i="8"/>
  <c r="Q13" i="8"/>
  <c r="P13" i="8"/>
  <c r="O13" i="8"/>
  <c r="Q11" i="8"/>
  <c r="P11" i="8"/>
  <c r="O11" i="8"/>
  <c r="Q9" i="8"/>
  <c r="P9" i="8"/>
  <c r="O9" i="8"/>
  <c r="Q7" i="8"/>
  <c r="P7" i="8"/>
  <c r="O7" i="8"/>
  <c r="Q6" i="8"/>
  <c r="P6" i="8"/>
  <c r="O6" i="8"/>
  <c r="Q5" i="8"/>
  <c r="P5" i="8"/>
  <c r="O5" i="8"/>
  <c r="AC15" i="8"/>
  <c r="AC7" i="8"/>
  <c r="AC13" i="8"/>
  <c r="AC11" i="8"/>
  <c r="AC17" i="8"/>
  <c r="M9" i="7"/>
  <c r="L22" i="8" s="1"/>
  <c r="M10" i="7"/>
  <c r="AA23" i="8" s="1"/>
  <c r="M8" i="7"/>
  <c r="M11" i="7"/>
  <c r="AE34" i="8"/>
  <c r="AD34" i="8"/>
  <c r="AC34" i="8"/>
  <c r="AB34" i="8"/>
  <c r="AA34" i="8"/>
  <c r="Z34" i="8"/>
  <c r="Y34" i="8"/>
  <c r="X34" i="8"/>
  <c r="W34" i="8"/>
  <c r="AE32" i="8"/>
  <c r="AD32" i="8"/>
  <c r="AC32" i="8"/>
  <c r="AB32" i="8"/>
  <c r="AA32" i="8"/>
  <c r="Z32" i="8"/>
  <c r="Y32" i="8"/>
  <c r="X32" i="8"/>
  <c r="W32" i="8"/>
  <c r="AE30" i="8"/>
  <c r="AD30" i="8"/>
  <c r="AC30" i="8"/>
  <c r="AB30" i="8"/>
  <c r="AA30" i="8"/>
  <c r="Z30" i="8"/>
  <c r="Y30" i="8"/>
  <c r="X30" i="8"/>
  <c r="W30" i="8"/>
  <c r="AE28" i="8"/>
  <c r="AD28" i="8"/>
  <c r="AC28" i="8"/>
  <c r="AB28" i="8"/>
  <c r="AA28" i="8"/>
  <c r="Z28" i="8"/>
  <c r="Y28" i="8"/>
  <c r="X28" i="8"/>
  <c r="W28" i="8"/>
  <c r="AE26" i="8"/>
  <c r="AD26" i="8"/>
  <c r="AC26" i="8"/>
  <c r="AB26" i="8"/>
  <c r="AA26" i="8"/>
  <c r="Z26" i="8"/>
  <c r="Y26" i="8"/>
  <c r="X26" i="8"/>
  <c r="W26" i="8"/>
  <c r="AE24" i="8"/>
  <c r="AD24" i="8"/>
  <c r="AC24" i="8"/>
  <c r="AB24" i="8"/>
  <c r="AA24" i="8"/>
  <c r="Z24" i="8"/>
  <c r="Y24" i="8"/>
  <c r="X24" i="8"/>
  <c r="W24" i="8"/>
  <c r="AA22" i="8"/>
  <c r="V34" i="8"/>
  <c r="V32" i="8"/>
  <c r="V30" i="8"/>
  <c r="V28" i="8"/>
  <c r="V26" i="8"/>
  <c r="V24" i="8"/>
  <c r="U34" i="8"/>
  <c r="U32" i="8"/>
  <c r="U30" i="8"/>
  <c r="U28" i="8"/>
  <c r="U26" i="8"/>
  <c r="U24" i="8"/>
  <c r="N34" i="8"/>
  <c r="M34" i="8"/>
  <c r="L34" i="8"/>
  <c r="K34" i="8"/>
  <c r="J34" i="8"/>
  <c r="I34" i="8"/>
  <c r="H34" i="8"/>
  <c r="G34" i="8"/>
  <c r="N32" i="8"/>
  <c r="M32" i="8"/>
  <c r="L32" i="8"/>
  <c r="K32" i="8"/>
  <c r="J32" i="8"/>
  <c r="I32" i="8"/>
  <c r="H32" i="8"/>
  <c r="G32" i="8"/>
  <c r="N30" i="8"/>
  <c r="M30" i="8"/>
  <c r="L30" i="8"/>
  <c r="K30" i="8"/>
  <c r="J30" i="8"/>
  <c r="I30" i="8"/>
  <c r="H30" i="8"/>
  <c r="G30" i="8"/>
  <c r="N28" i="8"/>
  <c r="M28" i="8"/>
  <c r="L28" i="8"/>
  <c r="K28" i="8"/>
  <c r="J28" i="8"/>
  <c r="I28" i="8"/>
  <c r="H28" i="8"/>
  <c r="G28" i="8"/>
  <c r="N26" i="8"/>
  <c r="M26" i="8"/>
  <c r="L26" i="8"/>
  <c r="K26" i="8"/>
  <c r="J26" i="8"/>
  <c r="I26" i="8"/>
  <c r="H26" i="8"/>
  <c r="G26" i="8"/>
  <c r="N24" i="8"/>
  <c r="M24" i="8"/>
  <c r="L24" i="8"/>
  <c r="K24" i="8"/>
  <c r="J24" i="8"/>
  <c r="I24" i="8"/>
  <c r="H24" i="8"/>
  <c r="G24" i="8"/>
  <c r="F34" i="8"/>
  <c r="F32" i="8"/>
  <c r="F30" i="8"/>
  <c r="F28" i="8"/>
  <c r="F26" i="8"/>
  <c r="F24" i="8"/>
  <c r="AF17" i="8"/>
  <c r="AE17" i="8"/>
  <c r="AD17" i="8"/>
  <c r="AB17" i="8"/>
  <c r="AA17" i="8"/>
  <c r="Z17" i="8"/>
  <c r="Y17" i="8"/>
  <c r="X17" i="8"/>
  <c r="W17" i="8"/>
  <c r="V17" i="8"/>
  <c r="AF15" i="8"/>
  <c r="AE15" i="8"/>
  <c r="AD15" i="8"/>
  <c r="AB15" i="8"/>
  <c r="AA15" i="8"/>
  <c r="Z15" i="8"/>
  <c r="Y15" i="8"/>
  <c r="X15" i="8"/>
  <c r="W15" i="8"/>
  <c r="V15" i="8"/>
  <c r="AF13" i="8"/>
  <c r="AE13" i="8"/>
  <c r="AD13" i="8"/>
  <c r="AB13" i="8"/>
  <c r="AA13" i="8"/>
  <c r="Z13" i="8"/>
  <c r="Y13" i="8"/>
  <c r="X13" i="8"/>
  <c r="W13" i="8"/>
  <c r="V13" i="8"/>
  <c r="AF11" i="8"/>
  <c r="AE11" i="8"/>
  <c r="AD11" i="8"/>
  <c r="AB11" i="8"/>
  <c r="AA11" i="8"/>
  <c r="Z11" i="8"/>
  <c r="Y11" i="8"/>
  <c r="X11" i="8"/>
  <c r="W11" i="8"/>
  <c r="V11" i="8"/>
  <c r="AF9" i="8"/>
  <c r="AE9" i="8"/>
  <c r="AD9" i="8"/>
  <c r="AC9" i="8"/>
  <c r="AB9" i="8"/>
  <c r="AA9" i="8"/>
  <c r="Z9" i="8"/>
  <c r="Y9" i="8"/>
  <c r="X9" i="8"/>
  <c r="W9" i="8"/>
  <c r="V9" i="8"/>
  <c r="AF7" i="8"/>
  <c r="AE7" i="8"/>
  <c r="AD7" i="8"/>
  <c r="AB7" i="8"/>
  <c r="AA7" i="8"/>
  <c r="Z7" i="8"/>
  <c r="Y7" i="8"/>
  <c r="X7" i="8"/>
  <c r="W7" i="8"/>
  <c r="V7" i="8"/>
  <c r="AF6" i="8"/>
  <c r="AE6" i="8"/>
  <c r="AD6" i="8"/>
  <c r="AC6" i="8"/>
  <c r="AB6" i="8"/>
  <c r="AA6" i="8"/>
  <c r="Z6" i="8"/>
  <c r="Y6" i="8"/>
  <c r="X6" i="8"/>
  <c r="W6" i="8"/>
  <c r="V6" i="8"/>
  <c r="AF5" i="8"/>
  <c r="AE5" i="8"/>
  <c r="AD5" i="8"/>
  <c r="AC5" i="8"/>
  <c r="AB5" i="8"/>
  <c r="AA5" i="8"/>
  <c r="Z5" i="8"/>
  <c r="Y5" i="8"/>
  <c r="X5" i="8"/>
  <c r="W5" i="8"/>
  <c r="V5" i="8"/>
  <c r="U17" i="8"/>
  <c r="U15" i="8"/>
  <c r="U13" i="8"/>
  <c r="U11" i="8"/>
  <c r="U9" i="8"/>
  <c r="U7" i="8"/>
  <c r="U6" i="8"/>
  <c r="U5" i="8"/>
  <c r="N17" i="8"/>
  <c r="M17" i="8"/>
  <c r="L17" i="8"/>
  <c r="K17" i="8"/>
  <c r="J17" i="8"/>
  <c r="I17" i="8"/>
  <c r="H17" i="8"/>
  <c r="G17" i="8"/>
  <c r="N15" i="8"/>
  <c r="M15" i="8"/>
  <c r="L15" i="8"/>
  <c r="K15" i="8"/>
  <c r="J15" i="8"/>
  <c r="I15" i="8"/>
  <c r="H15" i="8"/>
  <c r="G15" i="8"/>
  <c r="N13" i="8"/>
  <c r="M13" i="8"/>
  <c r="L13" i="8"/>
  <c r="K13" i="8"/>
  <c r="J13" i="8"/>
  <c r="I13" i="8"/>
  <c r="H13" i="8"/>
  <c r="G13" i="8"/>
  <c r="N11" i="8"/>
  <c r="M11" i="8"/>
  <c r="L11" i="8"/>
  <c r="K11" i="8"/>
  <c r="J11" i="8"/>
  <c r="I11" i="8"/>
  <c r="H11" i="8"/>
  <c r="G11" i="8"/>
  <c r="N9" i="8"/>
  <c r="M9" i="8"/>
  <c r="L9" i="8"/>
  <c r="K9" i="8"/>
  <c r="J9" i="8"/>
  <c r="I9" i="8"/>
  <c r="H9" i="8"/>
  <c r="G9" i="8"/>
  <c r="N7" i="8"/>
  <c r="M7" i="8"/>
  <c r="L7" i="8"/>
  <c r="K7" i="8"/>
  <c r="J7" i="8"/>
  <c r="I7" i="8"/>
  <c r="H7" i="8"/>
  <c r="G7" i="8"/>
  <c r="N6" i="8"/>
  <c r="M6" i="8"/>
  <c r="L6" i="8"/>
  <c r="K6" i="8"/>
  <c r="J6" i="8"/>
  <c r="I6" i="8"/>
  <c r="H6" i="8"/>
  <c r="G6" i="8"/>
  <c r="N5" i="8"/>
  <c r="M5" i="8"/>
  <c r="L5" i="8"/>
  <c r="K5" i="8"/>
  <c r="J5" i="8"/>
  <c r="I5" i="8"/>
  <c r="H5" i="8"/>
  <c r="G5" i="8"/>
  <c r="F6" i="8"/>
  <c r="F17" i="8"/>
  <c r="F15" i="8"/>
  <c r="F13" i="8"/>
  <c r="F11" i="8"/>
  <c r="F9" i="8"/>
  <c r="L23" i="8" l="1"/>
  <c r="F7" i="8"/>
  <c r="F5" i="8"/>
  <c r="C46" i="8" l="1"/>
  <c r="R11" i="7" l="1"/>
  <c r="R10" i="7"/>
  <c r="R9" i="7"/>
  <c r="R8" i="7"/>
  <c r="Q11" i="7"/>
  <c r="Q10" i="7"/>
  <c r="AE23" i="8" s="1"/>
  <c r="Q9" i="7"/>
  <c r="AE22" i="8" s="1"/>
  <c r="Q8" i="7"/>
  <c r="P11" i="7"/>
  <c r="P10" i="7"/>
  <c r="AD23" i="8" s="1"/>
  <c r="P9" i="7"/>
  <c r="AD22" i="8" s="1"/>
  <c r="P8" i="7"/>
  <c r="O11" i="7"/>
  <c r="O10" i="7"/>
  <c r="O9" i="7"/>
  <c r="O8" i="7"/>
  <c r="N11" i="7"/>
  <c r="N10" i="7"/>
  <c r="N9" i="7"/>
  <c r="N8" i="7"/>
  <c r="L11" i="7"/>
  <c r="L10" i="7"/>
  <c r="L9" i="7"/>
  <c r="L8" i="7"/>
  <c r="K11" i="7"/>
  <c r="K10" i="7"/>
  <c r="K9" i="7"/>
  <c r="K8" i="7"/>
  <c r="J11" i="7"/>
  <c r="J10" i="7"/>
  <c r="J9" i="7"/>
  <c r="J8" i="7"/>
  <c r="I11" i="7"/>
  <c r="I10" i="7"/>
  <c r="I9" i="7"/>
  <c r="I8" i="7"/>
  <c r="H11" i="7"/>
  <c r="H10" i="7"/>
  <c r="H9" i="7"/>
  <c r="H8" i="7"/>
  <c r="G11" i="7"/>
  <c r="G10" i="7"/>
  <c r="G9" i="7"/>
  <c r="G8" i="7"/>
  <c r="G22" i="8" l="1"/>
  <c r="V22" i="8"/>
  <c r="F23" i="8"/>
  <c r="U23" i="8"/>
  <c r="V23" i="8"/>
  <c r="G23" i="8"/>
  <c r="X23" i="8"/>
  <c r="I23" i="8"/>
  <c r="J23" i="8"/>
  <c r="Y23" i="8"/>
  <c r="F22" i="8"/>
  <c r="U22" i="8"/>
  <c r="I22" i="8"/>
  <c r="X22" i="8"/>
  <c r="Y22" i="8"/>
  <c r="J22" i="8"/>
  <c r="AC23" i="8"/>
  <c r="N23" i="8"/>
  <c r="M23" i="8"/>
  <c r="AB23" i="8"/>
  <c r="H23" i="8"/>
  <c r="W23" i="8"/>
  <c r="W22" i="8"/>
  <c r="H22" i="8"/>
  <c r="AB22" i="8"/>
  <c r="M22" i="8"/>
  <c r="N22" i="8"/>
  <c r="AC22" i="8"/>
  <c r="K23" i="8"/>
  <c r="Z23" i="8"/>
  <c r="Z22" i="8"/>
  <c r="K22" i="8"/>
</calcChain>
</file>

<file path=xl/sharedStrings.xml><?xml version="1.0" encoding="utf-8"?>
<sst xmlns="http://schemas.openxmlformats.org/spreadsheetml/2006/main" count="4273" uniqueCount="368">
  <si>
    <t>01-</t>
  </si>
  <si>
    <t>02-</t>
  </si>
  <si>
    <t>03-</t>
  </si>
  <si>
    <t>04-</t>
  </si>
  <si>
    <t>05-</t>
  </si>
  <si>
    <t>06-</t>
  </si>
  <si>
    <t>Cotton</t>
  </si>
  <si>
    <t>Plot</t>
  </si>
  <si>
    <t>date:</t>
  </si>
  <si>
    <t>Canopy Heights &amp; Widths</t>
  </si>
  <si>
    <t>North</t>
  </si>
  <si>
    <t>South</t>
  </si>
  <si>
    <t>Flag</t>
  </si>
  <si>
    <t>by:</t>
  </si>
  <si>
    <t>time:</t>
  </si>
  <si>
    <t>Canopy Height (cm)</t>
  </si>
  <si>
    <t>Canopy Width (cm)</t>
  </si>
  <si>
    <t>doy:</t>
  </si>
  <si>
    <t>Summary</t>
  </si>
  <si>
    <t>Canopy Heights - Summary</t>
  </si>
  <si>
    <t>Height (cm)</t>
  </si>
  <si>
    <t>Average Canopy Heights</t>
  </si>
  <si>
    <t>Average Canopy Widths</t>
  </si>
  <si>
    <t>TRT</t>
  </si>
  <si>
    <t>F13b4</t>
  </si>
  <si>
    <t>Initials:</t>
  </si>
  <si>
    <t>Date:</t>
  </si>
  <si>
    <t>Time:</t>
  </si>
  <si>
    <t>DOY:</t>
  </si>
  <si>
    <t>NAWF</t>
  </si>
  <si>
    <t>"--" = closed canopy</t>
  </si>
  <si>
    <t xml:space="preserve"> </t>
  </si>
  <si>
    <t>Canopy Height &amp; LAI flags may not be exactly at the GPS points - I adjusted depending on skips in rows. SMM</t>
  </si>
  <si>
    <t>Mid</t>
  </si>
  <si>
    <t>07-</t>
  </si>
  <si>
    <t>08-</t>
  </si>
  <si>
    <t>09-</t>
  </si>
  <si>
    <t>10-</t>
  </si>
  <si>
    <t>11-</t>
  </si>
  <si>
    <t>12-</t>
  </si>
  <si>
    <t>Var</t>
  </si>
  <si>
    <t>NG4936</t>
  </si>
  <si>
    <t>FAO</t>
  </si>
  <si>
    <t>NG3195</t>
  </si>
  <si>
    <t>FAO-N</t>
  </si>
  <si>
    <t>AQC-N</t>
  </si>
  <si>
    <t>CSM</t>
  </si>
  <si>
    <t>CSM-N</t>
  </si>
  <si>
    <t>AQC</t>
  </si>
  <si>
    <t xml:space="preserve">Canopy Heights in row 5. Three measurements per plot. </t>
  </si>
  <si>
    <t>At both the Canopy Measurement points and the LAI (?) measurement flags.</t>
  </si>
  <si>
    <t>SMM</t>
  </si>
  <si>
    <t>1400-1515h</t>
  </si>
  <si>
    <t>1030-1145</t>
  </si>
  <si>
    <t>1015-1245</t>
  </si>
  <si>
    <t>1300-1715</t>
  </si>
  <si>
    <t>2022 - Averages by treatments</t>
  </si>
  <si>
    <t>1015-1315</t>
  </si>
  <si>
    <t>--</t>
  </si>
  <si>
    <t>1200-1415</t>
  </si>
  <si>
    <t>0940-1045</t>
  </si>
  <si>
    <t>1030-1345</t>
  </si>
  <si>
    <t>0945-1230</t>
  </si>
  <si>
    <t>45????????????</t>
  </si>
  <si>
    <t>22-23 Aug 2022</t>
  </si>
  <si>
    <t>234-235</t>
  </si>
  <si>
    <t>1000-13:15</t>
  </si>
  <si>
    <t>Width (cm)</t>
  </si>
  <si>
    <t>p12-4S</t>
  </si>
  <si>
    <t>p12-4M</t>
  </si>
  <si>
    <t>p12-4N</t>
  </si>
  <si>
    <t>p12-3S</t>
  </si>
  <si>
    <t>p12-3M</t>
  </si>
  <si>
    <t>p12-3N</t>
  </si>
  <si>
    <t>p12-2S</t>
  </si>
  <si>
    <t>p12-2M</t>
  </si>
  <si>
    <t>p12-2N</t>
  </si>
  <si>
    <t>p12-1S</t>
  </si>
  <si>
    <t>p12-1M</t>
  </si>
  <si>
    <t>p12-1N</t>
  </si>
  <si>
    <t>p11-4S</t>
  </si>
  <si>
    <t>p11-4M</t>
  </si>
  <si>
    <t>p11-4N</t>
  </si>
  <si>
    <t>p11-3S</t>
  </si>
  <si>
    <t>p11-3M</t>
  </si>
  <si>
    <t>p11-3N</t>
  </si>
  <si>
    <t>p11-2S</t>
  </si>
  <si>
    <t>p11-2M</t>
  </si>
  <si>
    <t>p11-2N</t>
  </si>
  <si>
    <t>p11-1S</t>
  </si>
  <si>
    <t>p11-1M</t>
  </si>
  <si>
    <t>p11-1N</t>
  </si>
  <si>
    <t>p10-4S</t>
  </si>
  <si>
    <t>p10-4M</t>
  </si>
  <si>
    <t>p10-4N</t>
  </si>
  <si>
    <t>p10-3S</t>
  </si>
  <si>
    <t>p10-3M</t>
  </si>
  <si>
    <t>p10-3N</t>
  </si>
  <si>
    <t>p10-2S</t>
  </si>
  <si>
    <t>p10-2M</t>
  </si>
  <si>
    <t>p10-2N</t>
  </si>
  <si>
    <t>p10-1S</t>
  </si>
  <si>
    <t>p10-1M</t>
  </si>
  <si>
    <t>p10-1N</t>
  </si>
  <si>
    <t>p09-4S</t>
  </si>
  <si>
    <t>p09-4M</t>
  </si>
  <si>
    <t>p09-4N</t>
  </si>
  <si>
    <t>p09-3S</t>
  </si>
  <si>
    <t>p09-3M</t>
  </si>
  <si>
    <t>p09-3N</t>
  </si>
  <si>
    <t>p09-2S</t>
  </si>
  <si>
    <t>p09-2M</t>
  </si>
  <si>
    <t>p09-2N</t>
  </si>
  <si>
    <t>p09-1S</t>
  </si>
  <si>
    <t>p09-1M</t>
  </si>
  <si>
    <t>p09-1N</t>
  </si>
  <si>
    <t>p08-4S</t>
  </si>
  <si>
    <t>p08-4M</t>
  </si>
  <si>
    <t>p08-4N</t>
  </si>
  <si>
    <t>p08-3S</t>
  </si>
  <si>
    <t>p08-3M</t>
  </si>
  <si>
    <t>p08-3N</t>
  </si>
  <si>
    <t>p08-2S</t>
  </si>
  <si>
    <t>p08-2M</t>
  </si>
  <si>
    <t>p08-2N</t>
  </si>
  <si>
    <t>p08-1S</t>
  </si>
  <si>
    <t>p08-1M</t>
  </si>
  <si>
    <t>p08-1N</t>
  </si>
  <si>
    <t>p07-4S</t>
  </si>
  <si>
    <t>p07-4M</t>
  </si>
  <si>
    <t>p07-4N</t>
  </si>
  <si>
    <t>p07-3S</t>
  </si>
  <si>
    <t>p07-3M</t>
  </si>
  <si>
    <t>p07-3N</t>
  </si>
  <si>
    <t>p07-2S</t>
  </si>
  <si>
    <t>p07-2M</t>
  </si>
  <si>
    <t>p07-2N</t>
  </si>
  <si>
    <t>p07-1S</t>
  </si>
  <si>
    <t>p07-1M</t>
  </si>
  <si>
    <t>p07-1N</t>
  </si>
  <si>
    <t>p06-4S</t>
  </si>
  <si>
    <t>p06-4M</t>
  </si>
  <si>
    <t>p06-4N</t>
  </si>
  <si>
    <t>p06-3S</t>
  </si>
  <si>
    <t>p06-3M</t>
  </si>
  <si>
    <t>p06-3N</t>
  </si>
  <si>
    <t>p06-2S</t>
  </si>
  <si>
    <t>p06-2M</t>
  </si>
  <si>
    <t>p06-2N</t>
  </si>
  <si>
    <t>p06-1S</t>
  </si>
  <si>
    <t>p06-1M</t>
  </si>
  <si>
    <t>p06-1N</t>
  </si>
  <si>
    <t>p05-4S</t>
  </si>
  <si>
    <t>p05-4M</t>
  </si>
  <si>
    <t>p05-4N</t>
  </si>
  <si>
    <t>p05-3S</t>
  </si>
  <si>
    <t>p05-3M</t>
  </si>
  <si>
    <t>p05-3N</t>
  </si>
  <si>
    <t>p05-2S</t>
  </si>
  <si>
    <t>p05-2M</t>
  </si>
  <si>
    <t>p05-2N</t>
  </si>
  <si>
    <t>p05-1S</t>
  </si>
  <si>
    <t>p05-1M</t>
  </si>
  <si>
    <t>p05-1N</t>
  </si>
  <si>
    <t>p04-4S</t>
  </si>
  <si>
    <t>p04-4M</t>
  </si>
  <si>
    <t>p04-4N</t>
  </si>
  <si>
    <t>p04-3S</t>
  </si>
  <si>
    <t>p04-3M</t>
  </si>
  <si>
    <t>p04-3N</t>
  </si>
  <si>
    <t>p04-2S</t>
  </si>
  <si>
    <t>p04-2M</t>
  </si>
  <si>
    <t>p04-2N</t>
  </si>
  <si>
    <t>p04-1S</t>
  </si>
  <si>
    <t>p04-1M</t>
  </si>
  <si>
    <t>p04-1N</t>
  </si>
  <si>
    <t>p03-4S</t>
  </si>
  <si>
    <t>p03-4M</t>
  </si>
  <si>
    <t>p03-4N</t>
  </si>
  <si>
    <t>p03-3S</t>
  </si>
  <si>
    <t>p03-3M</t>
  </si>
  <si>
    <t>p03-3N</t>
  </si>
  <si>
    <t>p03-2S</t>
  </si>
  <si>
    <t>p03-2M</t>
  </si>
  <si>
    <t>p03-2N</t>
  </si>
  <si>
    <t>p03-1S</t>
  </si>
  <si>
    <t>p03-1M</t>
  </si>
  <si>
    <t>p03-1N</t>
  </si>
  <si>
    <t>p02-4S</t>
  </si>
  <si>
    <t>p02-4M</t>
  </si>
  <si>
    <t>p02-4N</t>
  </si>
  <si>
    <t>p02-3S</t>
  </si>
  <si>
    <t>p02-3M</t>
  </si>
  <si>
    <t>p02-3N</t>
  </si>
  <si>
    <t>p02-2S</t>
  </si>
  <si>
    <t>p02-2M</t>
  </si>
  <si>
    <t>p02-2N</t>
  </si>
  <si>
    <t>p02-1S</t>
  </si>
  <si>
    <t>p02-1M</t>
  </si>
  <si>
    <t>p02-1N</t>
  </si>
  <si>
    <t>p01-4S</t>
  </si>
  <si>
    <t>p01-4M</t>
  </si>
  <si>
    <t>p01-4N</t>
  </si>
  <si>
    <t>p01-3S</t>
  </si>
  <si>
    <t>p01-3M</t>
  </si>
  <si>
    <t>p01-3N</t>
  </si>
  <si>
    <t>p01-2S</t>
  </si>
  <si>
    <t>p01-2M</t>
  </si>
  <si>
    <t>p01-2N</t>
  </si>
  <si>
    <t>p01-1S</t>
  </si>
  <si>
    <t>p01-1M</t>
  </si>
  <si>
    <t>p01-1N</t>
  </si>
  <si>
    <t>DOY251</t>
  </si>
  <si>
    <t>DOY241</t>
  </si>
  <si>
    <t>DOY234</t>
  </si>
  <si>
    <t>DOY227</t>
  </si>
  <si>
    <t>DOY220</t>
  </si>
  <si>
    <t>DOY206</t>
  </si>
  <si>
    <t>DOY192</t>
  </si>
  <si>
    <t>DOY186</t>
  </si>
  <si>
    <t>DOY178</t>
  </si>
  <si>
    <t>DOY164</t>
  </si>
  <si>
    <t>DOY157</t>
  </si>
  <si>
    <t>DOY152</t>
  </si>
  <si>
    <t>N</t>
  </si>
  <si>
    <t>M</t>
  </si>
  <si>
    <t>S</t>
  </si>
  <si>
    <t>CCID</t>
  </si>
  <si>
    <t>EDATE</t>
  </si>
  <si>
    <t>PLYRE</t>
  </si>
  <si>
    <t>PLDOE</t>
  </si>
  <si>
    <t>LF1D</t>
  </si>
  <si>
    <t>Ave NG4936:</t>
  </si>
  <si>
    <t>Ave NG3195:</t>
  </si>
  <si>
    <t>Ave:</t>
  </si>
  <si>
    <t>1st leaf</t>
  </si>
  <si>
    <t>emerged</t>
  </si>
  <si>
    <t>12-1</t>
  </si>
  <si>
    <t>12-2</t>
  </si>
  <si>
    <t>12-3</t>
  </si>
  <si>
    <t>12-4</t>
  </si>
  <si>
    <t>11-4</t>
  </si>
  <si>
    <t>11-3</t>
  </si>
  <si>
    <t>11-2</t>
  </si>
  <si>
    <t>11-1</t>
  </si>
  <si>
    <t>10-1</t>
  </si>
  <si>
    <t>10-2</t>
  </si>
  <si>
    <t>10-3</t>
  </si>
  <si>
    <t>10-4</t>
  </si>
  <si>
    <t>09-4</t>
  </si>
  <si>
    <t>09-3</t>
  </si>
  <si>
    <t>09-2</t>
  </si>
  <si>
    <t>Roundup sprayed this morning (just span 4). No entry.</t>
  </si>
  <si>
    <t>09-1</t>
  </si>
  <si>
    <t>08-1</t>
  </si>
  <si>
    <t>08-2</t>
  </si>
  <si>
    <t>08-3</t>
  </si>
  <si>
    <t>08-4</t>
  </si>
  <si>
    <t>07-4</t>
  </si>
  <si>
    <t>07-3</t>
  </si>
  <si>
    <t>07-2</t>
  </si>
  <si>
    <t>07-1</t>
  </si>
  <si>
    <t>06-1</t>
  </si>
  <si>
    <t>06-2</t>
  </si>
  <si>
    <t>06-3</t>
  </si>
  <si>
    <t>06-4</t>
  </si>
  <si>
    <t>05-4</t>
  </si>
  <si>
    <t>05-3</t>
  </si>
  <si>
    <t>05-2</t>
  </si>
  <si>
    <t>05-1</t>
  </si>
  <si>
    <t>04-1</t>
  </si>
  <si>
    <t>04-2</t>
  </si>
  <si>
    <t>04-3</t>
  </si>
  <si>
    <t>04-4</t>
  </si>
  <si>
    <t>03-4</t>
  </si>
  <si>
    <t>03-3</t>
  </si>
  <si>
    <t>03-2</t>
  </si>
  <si>
    <t>03-1</t>
  </si>
  <si>
    <t>02-1</t>
  </si>
  <si>
    <t>02-2</t>
  </si>
  <si>
    <t>02-3</t>
  </si>
  <si>
    <t>02-4</t>
  </si>
  <si>
    <t>01-4</t>
  </si>
  <si>
    <t>01-3</t>
  </si>
  <si>
    <t>01-2</t>
  </si>
  <si>
    <t xml:space="preserve"> From an email from KRT:  "Some plant up for the NG3195 variety today"</t>
  </si>
  <si>
    <t>01-1</t>
  </si>
  <si>
    <t>plants w/      1st leaf</t>
  </si>
  <si>
    <t>plants starting to emerge</t>
  </si>
  <si>
    <t>plants/1 m</t>
  </si>
  <si>
    <t>KRT</t>
  </si>
  <si>
    <t># plants per 1 meter (1 meter North of each flag)</t>
  </si>
  <si>
    <t>Counting emerged plants 1 meter from North of the flag.</t>
  </si>
  <si>
    <t>Emergence counts taken at the center flag placed in each plot for canopy measurements (1 row West of neutron tubes).</t>
  </si>
  <si>
    <t>Emergence &amp; 1st true leaf</t>
  </si>
  <si>
    <t>Emergence</t>
  </si>
  <si>
    <t>50% DOY</t>
  </si>
  <si>
    <t>p01-1</t>
  </si>
  <si>
    <t>p01-2</t>
  </si>
  <si>
    <t>p01-3</t>
  </si>
  <si>
    <t>p01-4</t>
  </si>
  <si>
    <t>p02-4</t>
  </si>
  <si>
    <t>p02-3</t>
  </si>
  <si>
    <t>p02-2</t>
  </si>
  <si>
    <t>p02-1</t>
  </si>
  <si>
    <t>p03-1</t>
  </si>
  <si>
    <t>p03-2</t>
  </si>
  <si>
    <t>p03-3</t>
  </si>
  <si>
    <t>p03-4</t>
  </si>
  <si>
    <t>p04-4</t>
  </si>
  <si>
    <t>p04-3</t>
  </si>
  <si>
    <t>p04-2</t>
  </si>
  <si>
    <t>p04-1</t>
  </si>
  <si>
    <t>p05-1</t>
  </si>
  <si>
    <t>p05-2</t>
  </si>
  <si>
    <t>p05-3</t>
  </si>
  <si>
    <t>p05-4</t>
  </si>
  <si>
    <t>p06-4</t>
  </si>
  <si>
    <t>p06-3</t>
  </si>
  <si>
    <t>p06-2</t>
  </si>
  <si>
    <t>p06-1</t>
  </si>
  <si>
    <t>p07-1</t>
  </si>
  <si>
    <t>p07-2</t>
  </si>
  <si>
    <t>p07-3</t>
  </si>
  <si>
    <t>p07-4</t>
  </si>
  <si>
    <t>p08-4</t>
  </si>
  <si>
    <t>p08-3</t>
  </si>
  <si>
    <t>p08-2</t>
  </si>
  <si>
    <t>p08-1</t>
  </si>
  <si>
    <t>p09-1</t>
  </si>
  <si>
    <t>p09-2</t>
  </si>
  <si>
    <t>p09-3</t>
  </si>
  <si>
    <t>p09-4</t>
  </si>
  <si>
    <t>p10-4</t>
  </si>
  <si>
    <t>p10-3</t>
  </si>
  <si>
    <t>p10-2</t>
  </si>
  <si>
    <t>p10-1</t>
  </si>
  <si>
    <t>p11-1</t>
  </si>
  <si>
    <t>p11-2</t>
  </si>
  <si>
    <t>p11-3</t>
  </si>
  <si>
    <t>p11-4</t>
  </si>
  <si>
    <t>p12-4</t>
  </si>
  <si>
    <t>p12-3</t>
  </si>
  <si>
    <t>p12-2</t>
  </si>
  <si>
    <t>p12-1</t>
  </si>
  <si>
    <t>First Leaf</t>
  </si>
  <si>
    <t>Ave plants/meter</t>
  </si>
  <si>
    <t># plants /1.5 m</t>
  </si>
  <si>
    <t>1 row West of flag</t>
  </si>
  <si>
    <t>At  flag</t>
  </si>
  <si>
    <t>1 row East of flag</t>
  </si>
  <si>
    <t>Counted plants in 1.5 meter North of  "LAI" flag (&amp; same relative location in the rows to the East and West of the flagged row). Neutron tubes located in the row to the East, approximately even with the middle plant height flag, so final density count in that row may be shifted North a bit.</t>
  </si>
  <si>
    <t>Final density counts</t>
  </si>
  <si>
    <t>31 May &amp; 6 June 2022</t>
  </si>
  <si>
    <t>PLAPD</t>
  </si>
  <si>
    <t>Average</t>
  </si>
  <si>
    <t>Counting the nodes of the upermost white flower in the 1st position of 9 plants per plot - between the 2 pink flags that mark the location for the Northern and Southern plant heights in a plot.</t>
  </si>
  <si>
    <t>Nodes Above White Flower</t>
  </si>
  <si>
    <t>22&amp;23 Aug 2022</t>
  </si>
  <si>
    <t>"--" = couldn't find a plant with a white flower in the 1st node position</t>
  </si>
  <si>
    <t>NAWF186</t>
  </si>
  <si>
    <t>NAWF192</t>
  </si>
  <si>
    <t>NAWF206</t>
  </si>
  <si>
    <t>NAWF220</t>
  </si>
  <si>
    <t>NAWF227</t>
  </si>
  <si>
    <t>NAWF234</t>
  </si>
  <si>
    <t>NAWF241</t>
  </si>
  <si>
    <t>NAWF251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</si>
</sst>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409]d\-mmm\-yy;@"/>
    <numFmt numFmtId="168" formatCode="mm/dd/yyyy"/>
  </numFmts>
  <fonts count="40" x14ac:knownFonts="1">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b/>
      <sz val="12"/>
      <color theme="1"/>
      <name val="Calibri"/>
      <family val="2"/>
    </font>
    <font>
      <b/>
      <sz val="8"/>
      <color theme="1"/>
      <name val="Calibri"/>
      <family val="2"/>
    </font>
    <font>
      <sz val="9"/>
      <color theme="1"/>
      <name val="Calibri"/>
      <family val="2"/>
    </font>
    <font>
      <b/>
      <sz val="9"/>
      <color theme="1"/>
      <name val="Calibri"/>
      <family val="2"/>
    </font>
    <font>
      <sz val="8"/>
      <color theme="1"/>
      <name val="Calibri"/>
      <family val="2"/>
    </font>
    <font>
      <sz val="10"/>
      <color theme="1"/>
      <name val="Calibri Light"/>
      <family val="2"/>
    </font>
    <font>
      <b/>
      <sz val="11"/>
      <color theme="1"/>
      <name val="Calibri"/>
      <family val="2"/>
    </font>
    <font>
      <b/>
      <sz val="14"/>
      <color theme="1"/>
      <name val="Calibri"/>
      <family val="2"/>
    </font>
    <font>
      <b/>
      <sz val="10"/>
      <color rgb="FFFF0000"/>
      <name val="Calibri"/>
      <family val="2"/>
    </font>
    <font>
      <b/>
      <sz val="7"/>
      <color theme="1"/>
      <name val="Calibri"/>
      <family val="2"/>
    </font>
    <font>
      <sz val="7"/>
      <color theme="1"/>
      <name val="Calibri"/>
      <family val="2"/>
    </font>
    <font>
      <b/>
      <sz val="8"/>
      <color rgb="FFFF0000"/>
      <name val="Calibri"/>
      <family val="2"/>
    </font>
    <font>
      <b/>
      <sz val="10"/>
      <name val="Calibri"/>
      <family val="2"/>
    </font>
    <font>
      <sz val="9"/>
      <name val="Calibri"/>
      <family val="2"/>
    </font>
    <font>
      <sz val="10"/>
      <name val="Calibri"/>
      <family val="2"/>
    </font>
    <font>
      <b/>
      <sz val="16"/>
      <color theme="1"/>
      <name val="Calibri"/>
      <family val="2"/>
    </font>
    <font>
      <b/>
      <sz val="18"/>
      <color theme="1"/>
      <name val="Calibri"/>
      <family val="2"/>
    </font>
    <font>
      <sz val="16"/>
      <color theme="1"/>
      <name val="Calibri"/>
      <family val="2"/>
    </font>
    <font>
      <sz val="7"/>
      <color theme="1"/>
      <name val="Calibri Light"/>
      <family val="2"/>
    </font>
    <font>
      <sz val="11"/>
      <color rgb="FFFF0000"/>
      <name val="Calibri"/>
      <family val="2"/>
      <scheme val="minor"/>
    </font>
    <font>
      <b/>
      <sz val="11"/>
      <color theme="1"/>
      <name val="Calibri"/>
      <family val="2"/>
      <scheme val="minor"/>
    </font>
    <font>
      <sz val="11"/>
      <color theme="1"/>
      <name val="Calibri"/>
      <family val="2"/>
    </font>
    <font>
      <b/>
      <sz val="14"/>
      <color theme="1"/>
      <name val="Calibri"/>
      <family val="2"/>
      <scheme val="minor"/>
    </font>
    <font>
      <sz val="14"/>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
      <b/>
      <sz val="14"/>
      <name val="Calibri"/>
      <family val="2"/>
      <scheme val="minor"/>
    </font>
    <font>
      <sz val="10"/>
      <color theme="1"/>
      <name val="Calibri"/>
      <family val="2"/>
      <scheme val="minor"/>
    </font>
    <font>
      <sz val="8"/>
      <color theme="1"/>
      <name val="Calibri"/>
      <family val="2"/>
      <scheme val="minor"/>
    </font>
    <font>
      <sz val="9"/>
      <color theme="1"/>
      <name val="Calibri"/>
      <family val="2"/>
      <scheme val="minor"/>
    </font>
    <font>
      <b/>
      <sz val="8"/>
      <name val="Calibri"/>
      <family val="2"/>
    </font>
    <font>
      <b/>
      <i/>
      <sz val="10"/>
      <color theme="1"/>
      <name val="Calibri"/>
      <family val="2"/>
    </font>
    <font>
      <sz val="10"/>
      <color rgb="FFFF0000"/>
      <name val="Calibri"/>
      <family val="2"/>
    </font>
  </fonts>
  <fills count="10">
    <fill>
      <patternFill patternType="none"/>
    </fill>
    <fill>
      <patternFill patternType="gray125"/>
    </fill>
    <fill>
      <patternFill patternType="solid">
        <fgColor theme="9" tint="0.59996337778862885"/>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9" tint="0.3999450666829432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
      <patternFill patternType="solid">
        <fgColor theme="4" tint="-0.249977111117893"/>
        <bgColor indexed="64"/>
      </patternFill>
    </fill>
  </fills>
  <borders count="42">
    <border>
      <left/>
      <right/>
      <top/>
      <bottom/>
      <diagonal/>
    </border>
    <border>
      <left/>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right/>
      <top/>
      <bottom style="medium">
        <color theme="2" tint="-0.499984740745262"/>
      </bottom>
      <diagonal/>
    </border>
    <border>
      <left/>
      <right/>
      <top/>
      <bottom style="thin">
        <color auto="1"/>
      </bottom>
      <diagonal/>
    </border>
    <border>
      <left/>
      <right/>
      <top style="thin">
        <color auto="1"/>
      </top>
      <bottom style="thin">
        <color auto="1"/>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medium">
        <color theme="2" tint="-0.499984740745262"/>
      </left>
      <right style="thin">
        <color theme="2" tint="-0.499984740745262"/>
      </right>
      <top/>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diagonal/>
    </border>
    <border>
      <left/>
      <right style="thin">
        <color theme="2" tint="-0.499984740745262"/>
      </right>
      <top/>
      <bottom/>
      <diagonal/>
    </border>
    <border>
      <left/>
      <right/>
      <top style="medium">
        <color theme="2" tint="-0.499984740745262"/>
      </top>
      <bottom/>
      <diagonal/>
    </border>
    <border>
      <left style="thin">
        <color theme="2" tint="-0.499984740745262"/>
      </left>
      <right/>
      <top style="medium">
        <color theme="2" tint="-0.499984740745262"/>
      </top>
      <bottom style="thin">
        <color theme="2" tint="-0.499984740745262"/>
      </bottom>
      <diagonal/>
    </border>
    <border>
      <left style="thin">
        <color theme="2" tint="-0.499984740745262"/>
      </left>
      <right/>
      <top/>
      <bottom/>
      <diagonal/>
    </border>
    <border>
      <left style="thin">
        <color theme="2" tint="-0.499984740745262"/>
      </left>
      <right/>
      <top style="thin">
        <color theme="2" tint="-0.499984740745262"/>
      </top>
      <bottom style="medium">
        <color theme="2" tint="-0.499984740745262"/>
      </bottom>
      <diagonal/>
    </border>
    <border>
      <left style="medium">
        <color theme="2" tint="-0.499984740745262"/>
      </left>
      <right style="medium">
        <color theme="2" tint="-0.499984740745262"/>
      </right>
      <top/>
      <bottom/>
      <diagonal/>
    </border>
    <border>
      <left/>
      <right style="thin">
        <color theme="2" tint="-0.499984740745262"/>
      </right>
      <top/>
      <bottom style="medium">
        <color theme="2" tint="-0.499984740745262"/>
      </bottom>
      <diagonal/>
    </border>
    <border>
      <left style="thin">
        <color theme="2" tint="-0.499984740745262"/>
      </left>
      <right/>
      <top/>
      <bottom style="medium">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style="medium">
        <color theme="2" tint="-0.499984740745262"/>
      </top>
      <bottom/>
      <diagonal/>
    </border>
    <border>
      <left style="thin">
        <color theme="2" tint="-0.499984740745262"/>
      </left>
      <right/>
      <top style="medium">
        <color theme="2" tint="-0.499984740745262"/>
      </top>
      <bottom/>
      <diagonal/>
    </border>
    <border>
      <left style="thin">
        <color theme="2" tint="-0.499984740745262"/>
      </left>
      <right style="thin">
        <color theme="2" tint="-0.499984740745262"/>
      </right>
      <top style="medium">
        <color theme="2" tint="-0.499984740745262"/>
      </top>
      <bottom/>
      <diagonal/>
    </border>
    <border>
      <left style="thin">
        <color theme="2" tint="-0.499984740745262"/>
      </left>
      <right style="thin">
        <color theme="2" tint="-0.499984740745262"/>
      </right>
      <top/>
      <bottom style="medium">
        <color theme="2" tint="-0.499984740745262"/>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bottom style="thin">
        <color theme="2" tint="-0.499984740745262"/>
      </bottom>
      <diagonal/>
    </border>
    <border>
      <left/>
      <right/>
      <top/>
      <bottom style="thin">
        <color theme="2" tint="-0.499984740745262"/>
      </bottom>
      <diagonal/>
    </border>
    <border>
      <left style="thin">
        <color theme="2" tint="-0.499984740745262"/>
      </left>
      <right/>
      <top/>
      <bottom style="thin">
        <color theme="2" tint="-0.499984740745262"/>
      </bottom>
      <diagonal/>
    </border>
    <border>
      <left/>
      <right/>
      <top style="thin">
        <color theme="2" tint="-0.499984740745262"/>
      </top>
      <bottom style="medium">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medium">
        <color theme="2" tint="-0.499984740745262"/>
      </left>
      <right style="medium">
        <color theme="2" tint="-0.499984740745262"/>
      </right>
      <top/>
      <bottom style="thick">
        <color theme="2" tint="-0.499984740745262"/>
      </bottom>
      <diagonal/>
    </border>
  </borders>
  <cellStyleXfs count="4">
    <xf numFmtId="0" fontId="0" fillId="0" borderId="0"/>
    <xf numFmtId="0" fontId="4" fillId="0" borderId="0"/>
    <xf numFmtId="0" fontId="3" fillId="0" borderId="0"/>
    <xf numFmtId="0" fontId="1" fillId="0" borderId="0"/>
  </cellStyleXfs>
  <cellXfs count="305">
    <xf numFmtId="0" fontId="0" fillId="0" borderId="0" xfId="0"/>
    <xf numFmtId="0" fontId="0" fillId="0" borderId="0" xfId="0" applyAlignment="1">
      <alignment horizontal="right"/>
    </xf>
    <xf numFmtId="0" fontId="0" fillId="0" borderId="0" xfId="0" applyAlignment="1">
      <alignment horizontal="left"/>
    </xf>
    <xf numFmtId="0" fontId="5" fillId="0" borderId="0" xfId="0" applyFont="1"/>
    <xf numFmtId="0" fontId="5" fillId="0" borderId="0" xfId="0" applyFont="1" applyAlignment="1">
      <alignment horizontal="right"/>
    </xf>
    <xf numFmtId="0" fontId="5" fillId="0" borderId="0" xfId="0" applyFont="1" applyAlignment="1">
      <alignment horizontal="left"/>
    </xf>
    <xf numFmtId="0" fontId="6" fillId="0" borderId="0" xfId="0" applyFont="1"/>
    <xf numFmtId="0" fontId="6" fillId="0" borderId="0" xfId="0" applyFont="1" applyAlignment="1">
      <alignment horizontal="right"/>
    </xf>
    <xf numFmtId="0" fontId="6" fillId="0" borderId="0" xfId="0" applyFont="1" applyAlignment="1">
      <alignment horizontal="left"/>
    </xf>
    <xf numFmtId="0" fontId="0" fillId="0" borderId="3" xfId="0" applyBorder="1" applyAlignment="1">
      <alignment horizontal="center" vertical="center"/>
    </xf>
    <xf numFmtId="0" fontId="0" fillId="0" borderId="5" xfId="0" applyBorder="1" applyAlignment="1">
      <alignment horizontal="center" vertical="center"/>
    </xf>
    <xf numFmtId="164" fontId="5" fillId="0" borderId="1" xfId="0" applyNumberFormat="1" applyFont="1" applyBorder="1" applyAlignment="1">
      <alignment horizontal="right" vertical="center"/>
    </xf>
    <xf numFmtId="0" fontId="8" fillId="0" borderId="2" xfId="0" applyFont="1" applyBorder="1" applyAlignment="1">
      <alignment horizontal="left" vertical="center"/>
    </xf>
    <xf numFmtId="164" fontId="5" fillId="0" borderId="6" xfId="0" applyNumberFormat="1" applyFont="1" applyBorder="1" applyAlignment="1">
      <alignment horizontal="right" vertical="center"/>
    </xf>
    <xf numFmtId="0" fontId="5" fillId="0" borderId="1" xfId="0" applyFont="1" applyBorder="1" applyAlignment="1">
      <alignment horizontal="left" vertical="center"/>
    </xf>
    <xf numFmtId="0" fontId="5" fillId="0" borderId="6" xfId="0" applyFont="1" applyBorder="1" applyAlignment="1">
      <alignment horizontal="left" vertical="center"/>
    </xf>
    <xf numFmtId="0" fontId="8" fillId="0" borderId="4" xfId="0" applyFont="1" applyBorder="1" applyAlignment="1">
      <alignment horizontal="left" vertical="center"/>
    </xf>
    <xf numFmtId="0" fontId="5" fillId="0" borderId="0" xfId="0" applyFont="1" applyAlignment="1">
      <alignment horizontal="center"/>
    </xf>
    <xf numFmtId="0" fontId="0" fillId="0" borderId="7" xfId="0" applyBorder="1"/>
    <xf numFmtId="0" fontId="0" fillId="0" borderId="8" xfId="0" applyBorder="1"/>
    <xf numFmtId="0" fontId="7" fillId="0" borderId="0" xfId="0" applyFont="1" applyAlignment="1">
      <alignment horizontal="center" wrapText="1"/>
    </xf>
    <xf numFmtId="15" fontId="5" fillId="0" borderId="0" xfId="0" applyNumberFormat="1" applyFont="1" applyAlignment="1">
      <alignment horizont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10" fillId="0" borderId="0" xfId="0" applyFont="1" applyAlignment="1">
      <alignment horizontal="center" vertical="center" wrapText="1"/>
    </xf>
    <xf numFmtId="165" fontId="0" fillId="0" borderId="0" xfId="0" applyNumberFormat="1" applyAlignment="1">
      <alignment horizontal="center" vertical="center"/>
    </xf>
    <xf numFmtId="0" fontId="6" fillId="0" borderId="0" xfId="0" applyFont="1" applyAlignment="1">
      <alignment horizontal="centerContinuous" vertical="center"/>
    </xf>
    <xf numFmtId="0" fontId="6" fillId="0" borderId="0" xfId="0" applyFont="1" applyAlignment="1">
      <alignment horizontal="centerContinuous"/>
    </xf>
    <xf numFmtId="0" fontId="12" fillId="0" borderId="0" xfId="0" applyFont="1" applyAlignment="1">
      <alignment horizontal="left"/>
    </xf>
    <xf numFmtId="164" fontId="11" fillId="0" borderId="0" xfId="0" applyNumberFormat="1" applyFont="1" applyAlignment="1">
      <alignment horizontal="right" vertical="center"/>
    </xf>
    <xf numFmtId="0" fontId="0" fillId="0" borderId="2" xfId="0" applyBorder="1" applyAlignment="1">
      <alignment horizontal="center" vertical="center"/>
    </xf>
    <xf numFmtId="0" fontId="0" fillId="0" borderId="4" xfId="0" applyBorder="1" applyAlignment="1">
      <alignment horizontal="center" vertical="center"/>
    </xf>
    <xf numFmtId="165" fontId="0" fillId="0" borderId="0" xfId="0" applyNumberFormat="1" applyAlignment="1">
      <alignment horizontal="left"/>
    </xf>
    <xf numFmtId="0" fontId="5" fillId="0" borderId="0" xfId="0" applyFont="1" applyAlignment="1">
      <alignment horizontal="center" vertical="center"/>
    </xf>
    <xf numFmtId="0" fontId="13" fillId="0" borderId="0" xfId="0" applyFont="1"/>
    <xf numFmtId="0" fontId="0" fillId="0" borderId="0" xfId="0" applyAlignment="1">
      <alignment horizontal="center"/>
    </xf>
    <xf numFmtId="0" fontId="8" fillId="0" borderId="0" xfId="0" applyFont="1" applyAlignment="1">
      <alignment horizontal="center"/>
    </xf>
    <xf numFmtId="0" fontId="14" fillId="0" borderId="0" xfId="0" applyFont="1"/>
    <xf numFmtId="0" fontId="0" fillId="0" borderId="9" xfId="0" quotePrefix="1" applyBorder="1" applyAlignment="1">
      <alignment horizontal="center" vertical="center"/>
    </xf>
    <xf numFmtId="165" fontId="0" fillId="0" borderId="0" xfId="0" quotePrefix="1" applyNumberFormat="1" applyAlignment="1">
      <alignment horizontal="center" vertical="center"/>
    </xf>
    <xf numFmtId="0" fontId="16" fillId="0" borderId="0" xfId="0" applyFont="1" applyAlignment="1">
      <alignment horizontal="center"/>
    </xf>
    <xf numFmtId="0" fontId="15" fillId="0" borderId="0" xfId="0" applyFont="1" applyAlignment="1">
      <alignment horizontal="center"/>
    </xf>
    <xf numFmtId="0" fontId="16" fillId="0" borderId="0" xfId="0" applyFont="1" applyAlignment="1">
      <alignment horizontal="right"/>
    </xf>
    <xf numFmtId="0" fontId="16" fillId="0" borderId="0" xfId="0" applyFont="1" applyAlignment="1">
      <alignment horizontal="right" vertical="center"/>
    </xf>
    <xf numFmtId="0" fontId="8" fillId="0" borderId="0" xfId="0" applyFont="1"/>
    <xf numFmtId="0" fontId="9" fillId="0" borderId="0" xfId="0" applyFont="1"/>
    <xf numFmtId="15" fontId="9" fillId="0" borderId="0" xfId="0" applyNumberFormat="1" applyFont="1" applyAlignment="1">
      <alignment horizontal="center" vertical="center"/>
    </xf>
    <xf numFmtId="1" fontId="9" fillId="0" borderId="0" xfId="0" applyNumberFormat="1" applyFont="1" applyAlignment="1">
      <alignment horizontal="center" vertical="center"/>
    </xf>
    <xf numFmtId="0" fontId="0" fillId="0" borderId="10" xfId="0" quotePrefix="1" applyBorder="1" applyAlignment="1">
      <alignment horizontal="center" vertical="center"/>
    </xf>
    <xf numFmtId="0" fontId="0" fillId="0" borderId="14" xfId="0" applyBorder="1" applyAlignment="1">
      <alignment horizontal="center" vertical="center"/>
    </xf>
    <xf numFmtId="0" fontId="14" fillId="0" borderId="0" xfId="0" applyFont="1" applyAlignment="1">
      <alignment vertical="center"/>
    </xf>
    <xf numFmtId="0" fontId="16"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0" fillId="0" borderId="2" xfId="0" quotePrefix="1" applyBorder="1" applyAlignment="1">
      <alignment horizontal="center" vertical="center"/>
    </xf>
    <xf numFmtId="0" fontId="0" fillId="0" borderId="4" xfId="0" quotePrefix="1" applyBorder="1" applyAlignment="1">
      <alignment horizontal="center" vertical="center"/>
    </xf>
    <xf numFmtId="164" fontId="5" fillId="0" borderId="0" xfId="0" applyNumberFormat="1" applyFont="1" applyAlignment="1">
      <alignment horizontal="right" vertical="center"/>
    </xf>
    <xf numFmtId="0" fontId="5" fillId="0" borderId="0" xfId="0" applyFont="1" applyAlignment="1">
      <alignment horizontal="left" vertical="center"/>
    </xf>
    <xf numFmtId="0" fontId="8" fillId="0" borderId="15" xfId="0" applyFont="1" applyBorder="1" applyAlignment="1">
      <alignment horizontal="left" vertical="center"/>
    </xf>
    <xf numFmtId="164" fontId="5" fillId="0" borderId="16" xfId="0" applyNumberFormat="1" applyFont="1" applyBorder="1" applyAlignment="1">
      <alignment horizontal="right" vertical="center"/>
    </xf>
    <xf numFmtId="0" fontId="5" fillId="0" borderId="16" xfId="0" applyFont="1" applyBorder="1" applyAlignment="1">
      <alignment horizontal="left" vertical="center"/>
    </xf>
    <xf numFmtId="0" fontId="0" fillId="0" borderId="16" xfId="0" applyBorder="1"/>
    <xf numFmtId="0" fontId="0" fillId="0" borderId="6" xfId="0" applyBorder="1"/>
    <xf numFmtId="0" fontId="6" fillId="0" borderId="0" xfId="0" applyFont="1" applyAlignment="1">
      <alignment horizontal="left" vertical="top"/>
    </xf>
    <xf numFmtId="164" fontId="18" fillId="0" borderId="16" xfId="0" applyNumberFormat="1" applyFont="1" applyBorder="1" applyAlignment="1">
      <alignment horizontal="right" vertical="center"/>
    </xf>
    <xf numFmtId="0" fontId="18" fillId="0" borderId="16" xfId="0" applyFont="1" applyBorder="1" applyAlignment="1">
      <alignment horizontal="left" vertical="center"/>
    </xf>
    <xf numFmtId="0" fontId="19" fillId="0" borderId="2" xfId="0" applyFont="1" applyBorder="1" applyAlignment="1">
      <alignment horizontal="left" vertical="center"/>
    </xf>
    <xf numFmtId="0" fontId="20" fillId="0" borderId="3" xfId="0" applyFont="1" applyBorder="1" applyAlignment="1">
      <alignment horizontal="center" vertical="center"/>
    </xf>
    <xf numFmtId="164" fontId="18" fillId="0" borderId="0" xfId="0" applyNumberFormat="1" applyFont="1" applyAlignment="1">
      <alignment horizontal="right" vertical="center"/>
    </xf>
    <xf numFmtId="0" fontId="18" fillId="0" borderId="0" xfId="0" applyFont="1" applyAlignment="1">
      <alignment horizontal="left" vertical="center"/>
    </xf>
    <xf numFmtId="0" fontId="19" fillId="0" borderId="15" xfId="0" applyFont="1" applyBorder="1" applyAlignment="1">
      <alignment horizontal="left" vertical="center"/>
    </xf>
    <xf numFmtId="0" fontId="20" fillId="0" borderId="14" xfId="0" applyFont="1" applyBorder="1" applyAlignment="1">
      <alignment horizontal="center" vertical="center"/>
    </xf>
    <xf numFmtId="164" fontId="18" fillId="0" borderId="6" xfId="0" applyNumberFormat="1" applyFont="1" applyBorder="1" applyAlignment="1">
      <alignment horizontal="right" vertical="center"/>
    </xf>
    <xf numFmtId="0" fontId="18" fillId="0" borderId="6" xfId="0" applyFont="1" applyBorder="1" applyAlignment="1">
      <alignment horizontal="left" vertical="center"/>
    </xf>
    <xf numFmtId="0" fontId="19" fillId="0" borderId="4" xfId="0" applyFont="1" applyBorder="1" applyAlignment="1">
      <alignment horizontal="left" vertical="center"/>
    </xf>
    <xf numFmtId="0" fontId="20" fillId="0" borderId="5"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0" fillId="0" borderId="11" xfId="0" applyBorder="1" applyAlignment="1">
      <alignment horizontal="center" vertical="center"/>
    </xf>
    <xf numFmtId="0" fontId="20" fillId="0" borderId="9" xfId="0" applyFont="1" applyBorder="1" applyAlignment="1">
      <alignment horizontal="center" vertical="center"/>
    </xf>
    <xf numFmtId="0" fontId="20" fillId="0" borderId="11" xfId="0" applyFont="1" applyBorder="1" applyAlignment="1">
      <alignment horizontal="center" vertical="center"/>
    </xf>
    <xf numFmtId="0" fontId="20" fillId="0" borderId="10" xfId="0" applyFont="1" applyBorder="1" applyAlignment="1">
      <alignment horizontal="center" vertical="center"/>
    </xf>
    <xf numFmtId="0" fontId="0" fillId="0" borderId="15" xfId="0" applyBorder="1" applyAlignment="1">
      <alignment horizontal="center" vertical="center"/>
    </xf>
    <xf numFmtId="0" fontId="0" fillId="0" borderId="11" xfId="0" quotePrefix="1" applyBorder="1" applyAlignment="1">
      <alignment horizontal="center" vertical="center"/>
    </xf>
    <xf numFmtId="0" fontId="0" fillId="0" borderId="15" xfId="0" quotePrefix="1" applyBorder="1" applyAlignment="1">
      <alignment horizontal="center" vertical="center"/>
    </xf>
    <xf numFmtId="164" fontId="8" fillId="0" borderId="12" xfId="0" applyNumberFormat="1" applyFont="1" applyBorder="1" applyAlignment="1">
      <alignment horizontal="center" vertical="center"/>
    </xf>
    <xf numFmtId="164" fontId="8" fillId="0" borderId="20" xfId="0" applyNumberFormat="1" applyFont="1" applyBorder="1" applyAlignment="1">
      <alignment horizontal="center" vertical="center"/>
    </xf>
    <xf numFmtId="164" fontId="8" fillId="0" borderId="13" xfId="0" applyNumberFormat="1" applyFont="1" applyBorder="1" applyAlignment="1">
      <alignment horizontal="center" vertical="center"/>
    </xf>
    <xf numFmtId="0" fontId="9" fillId="0" borderId="0" xfId="0" applyFont="1" applyAlignment="1">
      <alignment horizontal="center"/>
    </xf>
    <xf numFmtId="164" fontId="8" fillId="2" borderId="12" xfId="0" applyNumberFormat="1" applyFont="1" applyFill="1" applyBorder="1" applyAlignment="1">
      <alignment horizontal="center" vertical="center"/>
    </xf>
    <xf numFmtId="164" fontId="8" fillId="2" borderId="20" xfId="0" applyNumberFormat="1" applyFont="1" applyFill="1" applyBorder="1" applyAlignment="1">
      <alignment horizontal="center" vertical="center"/>
    </xf>
    <xf numFmtId="164" fontId="8" fillId="2" borderId="13" xfId="0" applyNumberFormat="1" applyFont="1" applyFill="1" applyBorder="1" applyAlignment="1">
      <alignment horizontal="center" vertical="center"/>
    </xf>
    <xf numFmtId="164" fontId="8" fillId="3" borderId="12" xfId="0" applyNumberFormat="1" applyFont="1" applyFill="1" applyBorder="1" applyAlignment="1">
      <alignment horizontal="center" vertical="center"/>
    </xf>
    <xf numFmtId="164" fontId="8" fillId="3" borderId="20" xfId="0" applyNumberFormat="1" applyFont="1" applyFill="1" applyBorder="1" applyAlignment="1">
      <alignment horizontal="center" vertical="center"/>
    </xf>
    <xf numFmtId="164" fontId="8" fillId="3" borderId="13" xfId="0" applyNumberFormat="1" applyFont="1" applyFill="1" applyBorder="1" applyAlignment="1">
      <alignment horizontal="center" vertical="center"/>
    </xf>
    <xf numFmtId="0" fontId="6" fillId="0" borderId="0" xfId="0" applyFont="1" applyAlignment="1">
      <alignment horizontal="right" vertical="center"/>
    </xf>
    <xf numFmtId="0" fontId="21" fillId="0" borderId="0" xfId="0" applyFont="1"/>
    <xf numFmtId="0" fontId="22" fillId="0" borderId="0" xfId="0" applyFont="1"/>
    <xf numFmtId="0" fontId="21" fillId="4" borderId="0" xfId="0" applyFont="1" applyFill="1" applyAlignment="1">
      <alignment horizontal="right" vertical="center"/>
    </xf>
    <xf numFmtId="0" fontId="21" fillId="5" borderId="0" xfId="0" applyFont="1" applyFill="1" applyAlignment="1">
      <alignment horizontal="right" vertical="center"/>
    </xf>
    <xf numFmtId="0" fontId="23" fillId="4" borderId="0" xfId="0" applyFont="1" applyFill="1"/>
    <xf numFmtId="164" fontId="24" fillId="0" borderId="0" xfId="0" applyNumberFormat="1" applyFont="1" applyAlignment="1">
      <alignment horizontal="center" vertical="center"/>
    </xf>
    <xf numFmtId="0" fontId="23" fillId="5" borderId="0" xfId="0" applyFont="1" applyFill="1"/>
    <xf numFmtId="0" fontId="23" fillId="0" borderId="0" xfId="0" applyFont="1"/>
    <xf numFmtId="166" fontId="5" fillId="0" borderId="0" xfId="0" applyNumberFormat="1" applyFont="1" applyAlignment="1">
      <alignment horizontal="center"/>
    </xf>
    <xf numFmtId="0" fontId="0" fillId="0" borderId="5" xfId="0" quotePrefix="1" applyBorder="1" applyAlignment="1">
      <alignment horizontal="center" vertical="center"/>
    </xf>
    <xf numFmtId="0" fontId="0" fillId="0" borderId="3" xfId="0" quotePrefix="1" applyBorder="1" applyAlignment="1">
      <alignment horizontal="center" vertical="center"/>
    </xf>
    <xf numFmtId="0" fontId="0" fillId="0" borderId="14" xfId="0" quotePrefix="1" applyBorder="1" applyAlignment="1">
      <alignment horizontal="center" vertical="center"/>
    </xf>
    <xf numFmtId="0" fontId="4" fillId="0" borderId="0" xfId="1"/>
    <xf numFmtId="0" fontId="3" fillId="0" borderId="0" xfId="2"/>
    <xf numFmtId="0" fontId="2" fillId="0" borderId="0" xfId="1" applyFont="1"/>
    <xf numFmtId="0" fontId="17" fillId="0" borderId="0" xfId="0" applyFont="1" applyAlignment="1">
      <alignment wrapText="1"/>
    </xf>
    <xf numFmtId="0" fontId="0" fillId="0" borderId="0" xfId="0" applyAlignment="1">
      <alignment wrapText="1"/>
    </xf>
    <xf numFmtId="0" fontId="5" fillId="0" borderId="0" xfId="0" applyFont="1" applyAlignment="1">
      <alignment horizontal="center"/>
    </xf>
    <xf numFmtId="0" fontId="1" fillId="0" borderId="0" xfId="1" applyFont="1"/>
    <xf numFmtId="0" fontId="27" fillId="0" borderId="0" xfId="0" applyFont="1"/>
    <xf numFmtId="0" fontId="1" fillId="0" borderId="0" xfId="3"/>
    <xf numFmtId="0" fontId="1" fillId="0" borderId="0" xfId="3" applyAlignment="1">
      <alignment horizontal="center"/>
    </xf>
    <xf numFmtId="0" fontId="1" fillId="0" borderId="0" xfId="3" applyAlignment="1">
      <alignment horizontal="right"/>
    </xf>
    <xf numFmtId="165" fontId="28" fillId="0" borderId="0" xfId="3" applyNumberFormat="1" applyFont="1" applyAlignment="1">
      <alignment horizontal="center" vertical="center"/>
    </xf>
    <xf numFmtId="165" fontId="26" fillId="0" borderId="0" xfId="3" applyNumberFormat="1" applyFont="1"/>
    <xf numFmtId="165" fontId="28" fillId="6" borderId="0" xfId="3" applyNumberFormat="1" applyFont="1" applyFill="1" applyAlignment="1">
      <alignment horizontal="center" vertical="center"/>
    </xf>
    <xf numFmtId="165" fontId="26" fillId="6" borderId="0" xfId="3" applyNumberFormat="1" applyFont="1" applyFill="1"/>
    <xf numFmtId="165" fontId="28" fillId="0" borderId="0" xfId="3" applyNumberFormat="1" applyFont="1"/>
    <xf numFmtId="0" fontId="28" fillId="0" borderId="0" xfId="3" applyFont="1" applyAlignment="1">
      <alignment horizontal="right"/>
    </xf>
    <xf numFmtId="0" fontId="29" fillId="0" borderId="0" xfId="3" applyFont="1" applyAlignment="1">
      <alignment horizontal="center"/>
    </xf>
    <xf numFmtId="0" fontId="1" fillId="6" borderId="0" xfId="3" applyFill="1" applyAlignment="1">
      <alignment horizontal="center"/>
    </xf>
    <xf numFmtId="0" fontId="1" fillId="6" borderId="0" xfId="3" applyFill="1"/>
    <xf numFmtId="0" fontId="28" fillId="7" borderId="5" xfId="3" applyFont="1" applyFill="1" applyBorder="1" applyAlignment="1">
      <alignment horizontal="center" vertical="center"/>
    </xf>
    <xf numFmtId="0" fontId="30" fillId="7" borderId="5" xfId="3" applyFont="1" applyFill="1" applyBorder="1" applyAlignment="1">
      <alignment horizontal="center" vertical="center"/>
    </xf>
    <xf numFmtId="0" fontId="28" fillId="6" borderId="5" xfId="3" applyFont="1" applyFill="1" applyBorder="1" applyAlignment="1">
      <alignment horizontal="center" vertical="center"/>
    </xf>
    <xf numFmtId="0" fontId="30" fillId="6" borderId="5" xfId="3" applyFont="1" applyFill="1" applyBorder="1" applyAlignment="1">
      <alignment horizontal="center" vertical="center"/>
    </xf>
    <xf numFmtId="0" fontId="1" fillId="0" borderId="21" xfId="3" applyBorder="1" applyAlignment="1">
      <alignment horizontal="center" vertical="top" wrapText="1"/>
    </xf>
    <xf numFmtId="0" fontId="1" fillId="0" borderId="6" xfId="3" applyBorder="1" applyAlignment="1">
      <alignment horizontal="center" vertical="top" wrapText="1"/>
    </xf>
    <xf numFmtId="0" fontId="1" fillId="0" borderId="22" xfId="3" applyBorder="1" applyAlignment="1">
      <alignment horizontal="center" vertical="top" wrapText="1"/>
    </xf>
    <xf numFmtId="0" fontId="26" fillId="7" borderId="5" xfId="3" applyFont="1" applyFill="1" applyBorder="1" applyAlignment="1">
      <alignment horizontal="center" vertical="center"/>
    </xf>
    <xf numFmtId="0" fontId="30" fillId="8" borderId="5" xfId="3" applyFont="1" applyFill="1" applyBorder="1" applyAlignment="1">
      <alignment horizontal="center" vertical="center"/>
    </xf>
    <xf numFmtId="0" fontId="28" fillId="8" borderId="5" xfId="3" applyFont="1" applyFill="1" applyBorder="1" applyAlignment="1">
      <alignment horizontal="center" vertical="center"/>
    </xf>
    <xf numFmtId="0" fontId="31" fillId="8" borderId="5" xfId="3" applyFont="1" applyFill="1" applyBorder="1" applyAlignment="1">
      <alignment horizontal="center" vertical="center"/>
    </xf>
    <xf numFmtId="49" fontId="1" fillId="0" borderId="14" xfId="3" applyNumberFormat="1" applyBorder="1" applyAlignment="1">
      <alignment horizontal="center" vertical="center"/>
    </xf>
    <xf numFmtId="49" fontId="1" fillId="0" borderId="23" xfId="3" applyNumberFormat="1" applyBorder="1" applyAlignment="1">
      <alignment horizontal="center" vertical="center"/>
    </xf>
    <xf numFmtId="49" fontId="26" fillId="0" borderId="23" xfId="3" applyNumberFormat="1" applyFont="1" applyBorder="1" applyAlignment="1">
      <alignment horizontal="center" vertical="center"/>
    </xf>
    <xf numFmtId="0" fontId="32" fillId="0" borderId="15" xfId="3" applyFont="1" applyBorder="1" applyAlignment="1">
      <alignment horizontal="right" vertical="center" wrapText="1"/>
    </xf>
    <xf numFmtId="0" fontId="28" fillId="7" borderId="23" xfId="3" applyFont="1" applyFill="1" applyBorder="1" applyAlignment="1">
      <alignment horizontal="center" vertical="center"/>
    </xf>
    <xf numFmtId="0" fontId="30" fillId="7" borderId="23" xfId="3" applyFont="1" applyFill="1" applyBorder="1" applyAlignment="1">
      <alignment horizontal="center" vertical="center"/>
    </xf>
    <xf numFmtId="0" fontId="28" fillId="6" borderId="23" xfId="3" applyFont="1" applyFill="1" applyBorder="1" applyAlignment="1">
      <alignment horizontal="center" vertical="center"/>
    </xf>
    <xf numFmtId="0" fontId="30" fillId="6" borderId="23" xfId="3" applyFont="1" applyFill="1" applyBorder="1" applyAlignment="1">
      <alignment horizontal="center" vertical="center"/>
    </xf>
    <xf numFmtId="0" fontId="1" fillId="0" borderId="15" xfId="3" applyBorder="1" applyAlignment="1">
      <alignment horizontal="center" vertical="top" wrapText="1"/>
    </xf>
    <xf numFmtId="0" fontId="1" fillId="0" borderId="0" xfId="3" applyAlignment="1">
      <alignment horizontal="center" vertical="top" wrapText="1"/>
    </xf>
    <xf numFmtId="0" fontId="1" fillId="0" borderId="18" xfId="3" applyBorder="1" applyAlignment="1">
      <alignment horizontal="center" vertical="top" wrapText="1"/>
    </xf>
    <xf numFmtId="0" fontId="26" fillId="7" borderId="23" xfId="3" applyFont="1" applyFill="1" applyBorder="1" applyAlignment="1">
      <alignment horizontal="center" vertical="center"/>
    </xf>
    <xf numFmtId="0" fontId="30" fillId="8" borderId="23" xfId="3" applyFont="1" applyFill="1" applyBorder="1" applyAlignment="1">
      <alignment horizontal="center" vertical="center"/>
    </xf>
    <xf numFmtId="0" fontId="28" fillId="8" borderId="23" xfId="3" applyFont="1" applyFill="1" applyBorder="1" applyAlignment="1">
      <alignment horizontal="center" vertical="center"/>
    </xf>
    <xf numFmtId="0" fontId="31" fillId="8" borderId="23" xfId="3" applyFont="1" applyFill="1" applyBorder="1" applyAlignment="1">
      <alignment horizontal="center" vertical="center"/>
    </xf>
    <xf numFmtId="0" fontId="1" fillId="0" borderId="0" xfId="3" applyAlignment="1">
      <alignment horizontal="right" vertical="center"/>
    </xf>
    <xf numFmtId="0" fontId="28" fillId="7" borderId="24" xfId="3" applyFont="1" applyFill="1" applyBorder="1" applyAlignment="1">
      <alignment horizontal="center" vertical="center"/>
    </xf>
    <xf numFmtId="0" fontId="30" fillId="7" borderId="24" xfId="3" applyFont="1" applyFill="1" applyBorder="1" applyAlignment="1">
      <alignment horizontal="center" vertical="center"/>
    </xf>
    <xf numFmtId="0" fontId="28" fillId="6" borderId="24" xfId="3" applyFont="1" applyFill="1" applyBorder="1" applyAlignment="1">
      <alignment horizontal="center" vertical="center"/>
    </xf>
    <xf numFmtId="0" fontId="30" fillId="6" borderId="24" xfId="3" applyFont="1" applyFill="1" applyBorder="1" applyAlignment="1">
      <alignment horizontal="center" vertical="center"/>
    </xf>
    <xf numFmtId="0" fontId="26" fillId="7" borderId="24" xfId="3" applyFont="1" applyFill="1" applyBorder="1" applyAlignment="1">
      <alignment horizontal="center" vertical="center"/>
    </xf>
    <xf numFmtId="0" fontId="30" fillId="8" borderId="24" xfId="3" applyFont="1" applyFill="1" applyBorder="1" applyAlignment="1">
      <alignment horizontal="center" vertical="center"/>
    </xf>
    <xf numFmtId="0" fontId="28" fillId="8" borderId="24" xfId="3" applyFont="1" applyFill="1" applyBorder="1" applyAlignment="1">
      <alignment horizontal="center" vertical="center"/>
    </xf>
    <xf numFmtId="0" fontId="31" fillId="8" borderId="24" xfId="3" applyFont="1" applyFill="1" applyBorder="1" applyAlignment="1">
      <alignment horizontal="center" vertical="center"/>
    </xf>
    <xf numFmtId="49" fontId="26" fillId="0" borderId="24" xfId="3" applyNumberFormat="1" applyFont="1" applyBorder="1" applyAlignment="1">
      <alignment horizontal="center" vertical="center"/>
    </xf>
    <xf numFmtId="49" fontId="1" fillId="0" borderId="24" xfId="3" applyNumberFormat="1" applyBorder="1" applyAlignment="1">
      <alignment horizontal="center" vertical="center"/>
    </xf>
    <xf numFmtId="49" fontId="1" fillId="0" borderId="3" xfId="3" applyNumberFormat="1" applyBorder="1" applyAlignment="1">
      <alignment horizontal="center" vertical="center"/>
    </xf>
    <xf numFmtId="0" fontId="28" fillId="7" borderId="25" xfId="3" applyFont="1" applyFill="1" applyBorder="1" applyAlignment="1">
      <alignment horizontal="center" vertical="center"/>
    </xf>
    <xf numFmtId="0" fontId="30" fillId="7" borderId="25" xfId="3" applyFont="1" applyFill="1" applyBorder="1" applyAlignment="1">
      <alignment horizontal="center" vertical="center"/>
    </xf>
    <xf numFmtId="0" fontId="28" fillId="6" borderId="25" xfId="3" applyFont="1" applyFill="1" applyBorder="1" applyAlignment="1">
      <alignment horizontal="center" vertical="center"/>
    </xf>
    <xf numFmtId="0" fontId="30" fillId="6" borderId="25" xfId="3" applyFont="1" applyFill="1" applyBorder="1" applyAlignment="1">
      <alignment horizontal="center" vertical="center"/>
    </xf>
    <xf numFmtId="0" fontId="26" fillId="7" borderId="25" xfId="3" applyFont="1" applyFill="1" applyBorder="1" applyAlignment="1">
      <alignment horizontal="center" vertical="center"/>
    </xf>
    <xf numFmtId="0" fontId="30" fillId="8" borderId="25" xfId="3" applyFont="1" applyFill="1" applyBorder="1" applyAlignment="1">
      <alignment horizontal="center" vertical="center"/>
    </xf>
    <xf numFmtId="0" fontId="28" fillId="8" borderId="25" xfId="3" applyFont="1" applyFill="1" applyBorder="1" applyAlignment="1">
      <alignment horizontal="center" vertical="center"/>
    </xf>
    <xf numFmtId="0" fontId="31" fillId="8" borderId="25" xfId="3" applyFont="1" applyFill="1" applyBorder="1" applyAlignment="1">
      <alignment horizontal="center" vertical="center"/>
    </xf>
    <xf numFmtId="49" fontId="26" fillId="0" borderId="25" xfId="3" applyNumberFormat="1" applyFont="1" applyBorder="1" applyAlignment="1">
      <alignment horizontal="center" vertical="center"/>
    </xf>
    <xf numFmtId="0" fontId="28" fillId="7" borderId="3" xfId="3" applyFont="1" applyFill="1" applyBorder="1" applyAlignment="1">
      <alignment horizontal="center" vertical="center"/>
    </xf>
    <xf numFmtId="0" fontId="30" fillId="7" borderId="3" xfId="3" applyFont="1" applyFill="1" applyBorder="1" applyAlignment="1">
      <alignment horizontal="center" vertical="center"/>
    </xf>
    <xf numFmtId="0" fontId="28" fillId="6" borderId="3" xfId="3" applyFont="1" applyFill="1" applyBorder="1" applyAlignment="1">
      <alignment horizontal="center" vertical="center"/>
    </xf>
    <xf numFmtId="0" fontId="30" fillId="6" borderId="3" xfId="3" applyFont="1" applyFill="1" applyBorder="1" applyAlignment="1">
      <alignment horizontal="center" vertical="center"/>
    </xf>
    <xf numFmtId="0" fontId="26" fillId="7" borderId="3" xfId="3" applyFont="1" applyFill="1" applyBorder="1" applyAlignment="1">
      <alignment horizontal="center" vertical="center"/>
    </xf>
    <xf numFmtId="0" fontId="30" fillId="8" borderId="3" xfId="3" applyFont="1" applyFill="1" applyBorder="1" applyAlignment="1">
      <alignment horizontal="center" vertical="center"/>
    </xf>
    <xf numFmtId="0" fontId="28" fillId="8" borderId="3" xfId="3" applyFont="1" applyFill="1" applyBorder="1" applyAlignment="1">
      <alignment horizontal="center" vertical="center"/>
    </xf>
    <xf numFmtId="0" fontId="31" fillId="8" borderId="3" xfId="3" applyFont="1" applyFill="1" applyBorder="1" applyAlignment="1">
      <alignment horizontal="center" vertical="center"/>
    </xf>
    <xf numFmtId="49" fontId="26" fillId="0" borderId="3" xfId="3" applyNumberFormat="1" applyFont="1" applyBorder="1" applyAlignment="1">
      <alignment horizontal="center" vertical="center"/>
    </xf>
    <xf numFmtId="49" fontId="26" fillId="0" borderId="5" xfId="3" applyNumberFormat="1" applyFont="1" applyBorder="1" applyAlignment="1">
      <alignment horizontal="center" vertical="center"/>
    </xf>
    <xf numFmtId="0" fontId="1" fillId="0" borderId="15" xfId="3" applyBorder="1" applyAlignment="1">
      <alignment horizontal="right" vertical="center"/>
    </xf>
    <xf numFmtId="0" fontId="1" fillId="0" borderId="26" xfId="3" applyBorder="1" applyAlignment="1">
      <alignment horizontal="center" vertical="top" wrapText="1"/>
    </xf>
    <xf numFmtId="0" fontId="1" fillId="0" borderId="16" xfId="3" applyBorder="1" applyAlignment="1">
      <alignment horizontal="center" vertical="top" wrapText="1"/>
    </xf>
    <xf numFmtId="0" fontId="28" fillId="6" borderId="27" xfId="3" applyFont="1" applyFill="1" applyBorder="1" applyAlignment="1">
      <alignment horizontal="center" vertical="top" wrapText="1"/>
    </xf>
    <xf numFmtId="0" fontId="33" fillId="7" borderId="23" xfId="3" applyFont="1" applyFill="1" applyBorder="1" applyAlignment="1">
      <alignment horizontal="center" vertical="center"/>
    </xf>
    <xf numFmtId="0" fontId="33" fillId="6" borderId="23" xfId="3" applyFont="1" applyFill="1" applyBorder="1" applyAlignment="1">
      <alignment horizontal="center" vertical="center"/>
    </xf>
    <xf numFmtId="49" fontId="1" fillId="0" borderId="25" xfId="3" applyNumberFormat="1" applyBorder="1" applyAlignment="1">
      <alignment horizontal="center" vertical="center"/>
    </xf>
    <xf numFmtId="0" fontId="1" fillId="0" borderId="14" xfId="3" applyBorder="1" applyAlignment="1">
      <alignment horizontal="center" vertical="center" wrapText="1"/>
    </xf>
    <xf numFmtId="49" fontId="25" fillId="0" borderId="28" xfId="3" applyNumberFormat="1" applyFont="1" applyBorder="1" applyAlignment="1">
      <alignment horizontal="center" vertical="center" wrapText="1"/>
    </xf>
    <xf numFmtId="20" fontId="34" fillId="7" borderId="21" xfId="3" applyNumberFormat="1" applyFont="1" applyFill="1" applyBorder="1" applyAlignment="1">
      <alignment horizontal="center" vertical="top" wrapText="1"/>
    </xf>
    <xf numFmtId="20" fontId="35" fillId="7" borderId="21" xfId="3" applyNumberFormat="1" applyFont="1" applyFill="1" applyBorder="1" applyAlignment="1">
      <alignment horizontal="center" wrapText="1"/>
    </xf>
    <xf numFmtId="20" fontId="30" fillId="7" borderId="21" xfId="3" applyNumberFormat="1" applyFont="1" applyFill="1" applyBorder="1" applyAlignment="1">
      <alignment horizontal="center" wrapText="1"/>
    </xf>
    <xf numFmtId="20" fontId="34" fillId="6" borderId="21" xfId="3" applyNumberFormat="1" applyFont="1" applyFill="1" applyBorder="1" applyAlignment="1">
      <alignment horizontal="center" vertical="top" wrapText="1"/>
    </xf>
    <xf numFmtId="20" fontId="35" fillId="6" borderId="21" xfId="3" applyNumberFormat="1" applyFont="1" applyFill="1" applyBorder="1" applyAlignment="1">
      <alignment horizontal="center" wrapText="1"/>
    </xf>
    <xf numFmtId="20" fontId="30" fillId="6" borderId="21" xfId="3" applyNumberFormat="1" applyFont="1" applyFill="1" applyBorder="1" applyAlignment="1">
      <alignment horizontal="center" wrapText="1"/>
    </xf>
    <xf numFmtId="20" fontId="35" fillId="8" borderId="21" xfId="3" applyNumberFormat="1" applyFont="1" applyFill="1" applyBorder="1" applyAlignment="1">
      <alignment horizontal="center" wrapText="1"/>
    </xf>
    <xf numFmtId="20" fontId="30" fillId="8" borderId="21" xfId="3" applyNumberFormat="1" applyFont="1" applyFill="1" applyBorder="1" applyAlignment="1">
      <alignment horizontal="center" wrapText="1"/>
    </xf>
    <xf numFmtId="20" fontId="30" fillId="8" borderId="29" xfId="3" applyNumberFormat="1" applyFont="1" applyFill="1" applyBorder="1" applyAlignment="1">
      <alignment horizontal="center" wrapText="1"/>
    </xf>
    <xf numFmtId="0" fontId="26" fillId="0" borderId="0" xfId="3" applyFont="1" applyAlignment="1">
      <alignment horizontal="center" wrapText="1"/>
    </xf>
    <xf numFmtId="0" fontId="36" fillId="0" borderId="0" xfId="3" applyFont="1" applyAlignment="1">
      <alignment horizontal="right" wrapText="1"/>
    </xf>
    <xf numFmtId="0" fontId="1" fillId="0" borderId="30" xfId="3" applyBorder="1" applyAlignment="1">
      <alignment horizontal="center" vertical="center"/>
    </xf>
    <xf numFmtId="0" fontId="1" fillId="0" borderId="31" xfId="3" applyBorder="1" applyAlignment="1">
      <alignment horizontal="center" vertical="center"/>
    </xf>
    <xf numFmtId="20" fontId="36" fillId="0" borderId="30" xfId="3" applyNumberFormat="1" applyFont="1" applyBorder="1" applyAlignment="1">
      <alignment horizontal="center" vertical="center"/>
    </xf>
    <xf numFmtId="0" fontId="1" fillId="6" borderId="30" xfId="3" applyFill="1" applyBorder="1" applyAlignment="1">
      <alignment horizontal="center" vertical="center"/>
    </xf>
    <xf numFmtId="0" fontId="1" fillId="6" borderId="31" xfId="3" applyFill="1" applyBorder="1" applyAlignment="1">
      <alignment horizontal="center" vertical="center"/>
    </xf>
    <xf numFmtId="20" fontId="36" fillId="6" borderId="30" xfId="3" applyNumberFormat="1" applyFont="1" applyFill="1" applyBorder="1" applyAlignment="1">
      <alignment horizontal="center" vertical="center"/>
    </xf>
    <xf numFmtId="20" fontId="36" fillId="8" borderId="30" xfId="3" applyNumberFormat="1" applyFont="1" applyFill="1" applyBorder="1" applyAlignment="1">
      <alignment horizontal="center" vertical="center"/>
    </xf>
    <xf numFmtId="20" fontId="36" fillId="8" borderId="32" xfId="3" applyNumberFormat="1" applyFont="1" applyFill="1" applyBorder="1" applyAlignment="1">
      <alignment horizontal="center" vertical="center"/>
    </xf>
    <xf numFmtId="0" fontId="36" fillId="0" borderId="0" xfId="3" applyFont="1"/>
    <xf numFmtId="0" fontId="1" fillId="0" borderId="33" xfId="3" applyBorder="1" applyAlignment="1">
      <alignment horizontal="center" vertical="center"/>
    </xf>
    <xf numFmtId="0" fontId="1" fillId="0" borderId="34" xfId="3" applyBorder="1" applyAlignment="1">
      <alignment horizontal="center" vertical="center"/>
    </xf>
    <xf numFmtId="0" fontId="36" fillId="0" borderId="35" xfId="3" applyFont="1" applyBorder="1" applyAlignment="1">
      <alignment horizontal="center" vertical="center"/>
    </xf>
    <xf numFmtId="0" fontId="1" fillId="6" borderId="33" xfId="3" applyFill="1" applyBorder="1" applyAlignment="1">
      <alignment horizontal="center" vertical="center"/>
    </xf>
    <xf numFmtId="0" fontId="1" fillId="6" borderId="34" xfId="3" applyFill="1" applyBorder="1" applyAlignment="1">
      <alignment horizontal="center" vertical="center"/>
    </xf>
    <xf numFmtId="0" fontId="36" fillId="6" borderId="35" xfId="3" applyFont="1" applyFill="1" applyBorder="1" applyAlignment="1">
      <alignment horizontal="center" vertical="center"/>
    </xf>
    <xf numFmtId="0" fontId="36" fillId="8" borderId="35" xfId="3" applyFont="1" applyFill="1" applyBorder="1" applyAlignment="1">
      <alignment horizontal="center" vertical="center"/>
    </xf>
    <xf numFmtId="0" fontId="31" fillId="0" borderId="34" xfId="3" applyFont="1" applyBorder="1" applyAlignment="1">
      <alignment horizontal="center" vertical="center"/>
    </xf>
    <xf numFmtId="0" fontId="36" fillId="0" borderId="34" xfId="3" applyFont="1" applyBorder="1" applyAlignment="1">
      <alignment horizontal="right"/>
    </xf>
    <xf numFmtId="0" fontId="26" fillId="7" borderId="35" xfId="3" applyFont="1" applyFill="1" applyBorder="1" applyAlignment="1">
      <alignment horizontal="center" vertical="center"/>
    </xf>
    <xf numFmtId="0" fontId="26" fillId="6" borderId="35" xfId="3" applyFont="1" applyFill="1" applyBorder="1" applyAlignment="1">
      <alignment horizontal="center" vertical="center"/>
    </xf>
    <xf numFmtId="0" fontId="1" fillId="8" borderId="33" xfId="3" applyFill="1" applyBorder="1" applyAlignment="1">
      <alignment horizontal="center" vertical="center"/>
    </xf>
    <xf numFmtId="0" fontId="26" fillId="8" borderId="35" xfId="3" applyFont="1" applyFill="1" applyBorder="1" applyAlignment="1">
      <alignment horizontal="center" vertical="center"/>
    </xf>
    <xf numFmtId="0" fontId="26" fillId="0" borderId="34" xfId="3" applyFont="1" applyBorder="1" applyAlignment="1">
      <alignment horizontal="center" vertical="center"/>
    </xf>
    <xf numFmtId="0" fontId="1" fillId="0" borderId="34" xfId="3" applyBorder="1" applyAlignment="1">
      <alignment horizontal="right"/>
    </xf>
    <xf numFmtId="0" fontId="1" fillId="7" borderId="36" xfId="3" applyFill="1" applyBorder="1" applyAlignment="1">
      <alignment horizontal="center" vertical="center"/>
    </xf>
    <xf numFmtId="0" fontId="1" fillId="7" borderId="37" xfId="3" applyFill="1" applyBorder="1" applyAlignment="1">
      <alignment horizontal="center" vertical="center"/>
    </xf>
    <xf numFmtId="16" fontId="1" fillId="7" borderId="38" xfId="3" applyNumberFormat="1" applyFill="1" applyBorder="1" applyAlignment="1">
      <alignment horizontal="center" vertical="center"/>
    </xf>
    <xf numFmtId="0" fontId="1" fillId="6" borderId="36" xfId="3" applyFill="1" applyBorder="1" applyAlignment="1">
      <alignment horizontal="center" vertical="center"/>
    </xf>
    <xf numFmtId="0" fontId="1" fillId="6" borderId="37" xfId="3" applyFill="1" applyBorder="1" applyAlignment="1">
      <alignment horizontal="center" vertical="center"/>
    </xf>
    <xf numFmtId="16" fontId="26" fillId="6" borderId="38" xfId="3" applyNumberFormat="1" applyFont="1" applyFill="1" applyBorder="1" applyAlignment="1">
      <alignment horizontal="center" vertical="center"/>
    </xf>
    <xf numFmtId="16" fontId="26" fillId="7" borderId="38" xfId="3" applyNumberFormat="1" applyFont="1" applyFill="1" applyBorder="1" applyAlignment="1">
      <alignment horizontal="center" vertical="center"/>
    </xf>
    <xf numFmtId="0" fontId="1" fillId="0" borderId="36" xfId="3" applyBorder="1" applyAlignment="1">
      <alignment horizontal="center" vertical="center"/>
    </xf>
    <xf numFmtId="0" fontId="1" fillId="8" borderId="36" xfId="3" applyFill="1" applyBorder="1" applyAlignment="1">
      <alignment horizontal="center" vertical="center"/>
    </xf>
    <xf numFmtId="16" fontId="26" fillId="8" borderId="38" xfId="3" applyNumberFormat="1" applyFont="1" applyFill="1" applyBorder="1" applyAlignment="1">
      <alignment horizontal="center" vertical="center"/>
    </xf>
    <xf numFmtId="16" fontId="26" fillId="0" borderId="37" xfId="3" applyNumberFormat="1" applyFont="1" applyBorder="1" applyAlignment="1">
      <alignment horizontal="center" vertical="center"/>
    </xf>
    <xf numFmtId="0" fontId="1" fillId="0" borderId="37" xfId="3" applyBorder="1" applyAlignment="1">
      <alignment horizontal="right"/>
    </xf>
    <xf numFmtId="0" fontId="26" fillId="0" borderId="0" xfId="3" applyFont="1"/>
    <xf numFmtId="0" fontId="1" fillId="0" borderId="0" xfId="3" applyAlignment="1">
      <alignment horizontal="left"/>
    </xf>
    <xf numFmtId="0" fontId="28" fillId="0" borderId="0" xfId="3" applyFont="1"/>
    <xf numFmtId="0" fontId="28" fillId="0" borderId="0" xfId="3" applyFont="1" applyAlignment="1">
      <alignment horizontal="left"/>
    </xf>
    <xf numFmtId="9" fontId="1" fillId="0" borderId="0" xfId="3" applyNumberFormat="1"/>
    <xf numFmtId="1" fontId="1" fillId="0" borderId="0" xfId="3" applyNumberFormat="1"/>
    <xf numFmtId="0" fontId="1" fillId="9" borderId="0" xfId="3" applyFill="1" applyAlignment="1">
      <alignment horizontal="center"/>
    </xf>
    <xf numFmtId="0" fontId="1" fillId="0" borderId="0" xfId="3" applyFill="1" applyAlignment="1">
      <alignment horizontal="center"/>
    </xf>
    <xf numFmtId="165" fontId="0" fillId="0" borderId="5" xfId="0" applyNumberFormat="1" applyBorder="1" applyAlignment="1">
      <alignment horizontal="center" vertical="center"/>
    </xf>
    <xf numFmtId="0" fontId="5" fillId="0" borderId="4" xfId="0" applyFont="1" applyBorder="1" applyAlignment="1">
      <alignment horizontal="left" vertical="center"/>
    </xf>
    <xf numFmtId="164" fontId="5" fillId="0" borderId="39" xfId="0" applyNumberFormat="1" applyFont="1" applyBorder="1" applyAlignment="1">
      <alignment horizontal="right" vertical="center"/>
    </xf>
    <xf numFmtId="165" fontId="0" fillId="0" borderId="24" xfId="0" applyNumberFormat="1" applyBorder="1" applyAlignment="1">
      <alignment horizontal="center" vertical="center"/>
    </xf>
    <xf numFmtId="0" fontId="0" fillId="0" borderId="23" xfId="0" applyBorder="1" applyAlignment="1">
      <alignment horizontal="center" vertical="center"/>
    </xf>
    <xf numFmtId="0" fontId="5" fillId="0" borderId="33" xfId="0" applyFont="1" applyBorder="1" applyAlignment="1">
      <alignment horizontal="left" vertical="center"/>
    </xf>
    <xf numFmtId="164" fontId="5" fillId="0" borderId="34" xfId="0" applyNumberFormat="1" applyFont="1" applyBorder="1" applyAlignment="1">
      <alignment horizontal="right" vertical="center"/>
    </xf>
    <xf numFmtId="0" fontId="0" fillId="0" borderId="24" xfId="0" applyBorder="1" applyAlignment="1">
      <alignment horizontal="center" vertical="center"/>
    </xf>
    <xf numFmtId="165" fontId="0" fillId="0" borderId="3" xfId="0" applyNumberFormat="1" applyBorder="1" applyAlignment="1">
      <alignment horizontal="center" vertical="center"/>
    </xf>
    <xf numFmtId="0" fontId="5" fillId="0" borderId="2" xfId="0" applyFont="1" applyBorder="1" applyAlignment="1">
      <alignment horizontal="left" vertical="center"/>
    </xf>
    <xf numFmtId="0" fontId="5" fillId="7" borderId="2" xfId="0" applyFont="1" applyFill="1" applyBorder="1" applyAlignment="1">
      <alignment horizontal="left" vertical="center"/>
    </xf>
    <xf numFmtId="164" fontId="5" fillId="7" borderId="1" xfId="0" applyNumberFormat="1" applyFont="1" applyFill="1" applyBorder="1" applyAlignment="1">
      <alignment horizontal="right" vertical="center"/>
    </xf>
    <xf numFmtId="165" fontId="20" fillId="0" borderId="3" xfId="0" applyNumberFormat="1" applyFont="1" applyBorder="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vertical="center"/>
    </xf>
    <xf numFmtId="0" fontId="37" fillId="0" borderId="0" xfId="0" applyFont="1" applyAlignment="1">
      <alignment horizontal="center" vertical="center" wrapText="1"/>
    </xf>
    <xf numFmtId="0" fontId="5" fillId="0" borderId="6" xfId="0" applyFont="1" applyBorder="1" applyAlignment="1">
      <alignment horizontal="center" vertical="center"/>
    </xf>
    <xf numFmtId="0" fontId="5" fillId="0" borderId="0" xfId="0" applyFont="1" applyAlignment="1">
      <alignment horizontal="center" wrapText="1"/>
    </xf>
    <xf numFmtId="0" fontId="8" fillId="0" borderId="0" xfId="0" applyFont="1" applyAlignment="1">
      <alignment wrapText="1"/>
    </xf>
    <xf numFmtId="0" fontId="8" fillId="0" borderId="0" xfId="0" applyFont="1" applyAlignment="1">
      <alignment horizontal="left" vertical="center" wrapText="1"/>
    </xf>
    <xf numFmtId="15" fontId="10" fillId="0" borderId="0" xfId="0" quotePrefix="1" applyNumberFormat="1" applyFont="1" applyAlignment="1">
      <alignment horizontal="centerContinuous"/>
    </xf>
    <xf numFmtId="15" fontId="0" fillId="0" borderId="0" xfId="0" applyNumberFormat="1" applyAlignment="1">
      <alignment horizontal="centerContinuous"/>
    </xf>
    <xf numFmtId="165" fontId="5" fillId="0" borderId="40" xfId="0" applyNumberFormat="1" applyFont="1" applyBorder="1" applyAlignment="1">
      <alignment horizontal="center" vertical="center"/>
    </xf>
    <xf numFmtId="1" fontId="0" fillId="0" borderId="5" xfId="0" applyNumberFormat="1" applyBorder="1" applyAlignment="1">
      <alignment horizontal="center" vertical="center"/>
    </xf>
    <xf numFmtId="1" fontId="0" fillId="0" borderId="24" xfId="0" applyNumberFormat="1" applyBorder="1" applyAlignment="1">
      <alignment horizontal="center" vertical="center"/>
    </xf>
    <xf numFmtId="1" fontId="0" fillId="0" borderId="3" xfId="0" applyNumberFormat="1" applyBorder="1" applyAlignment="1">
      <alignment horizontal="center" vertical="center"/>
    </xf>
    <xf numFmtId="0" fontId="5" fillId="0" borderId="39" xfId="0" applyFont="1" applyBorder="1" applyAlignment="1">
      <alignment horizontal="left" vertical="center"/>
    </xf>
    <xf numFmtId="0" fontId="5" fillId="0" borderId="34" xfId="0" applyFont="1" applyBorder="1" applyAlignment="1">
      <alignment horizontal="left" vertical="center"/>
    </xf>
    <xf numFmtId="0" fontId="38" fillId="0" borderId="41" xfId="0" applyFont="1" applyBorder="1" applyAlignment="1">
      <alignment horizontal="center" wrapText="1"/>
    </xf>
    <xf numFmtId="0" fontId="7" fillId="0" borderId="29" xfId="0" applyFont="1" applyBorder="1" applyAlignment="1">
      <alignment horizontal="center" wrapText="1"/>
    </xf>
    <xf numFmtId="0" fontId="5" fillId="0" borderId="0" xfId="0" applyFont="1" applyAlignment="1">
      <alignment horizontal="center" vertical="center" wrapText="1"/>
    </xf>
    <xf numFmtId="0" fontId="8"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166" fontId="0" fillId="0" borderId="0" xfId="0" applyNumberFormat="1"/>
    <xf numFmtId="15" fontId="5" fillId="0" borderId="0" xfId="0" applyNumberFormat="1" applyFont="1" applyAlignment="1">
      <alignment horizontal="right"/>
    </xf>
    <xf numFmtId="0" fontId="6" fillId="0" borderId="0" xfId="0" applyFont="1" applyAlignment="1">
      <alignment horizontal="center" vertical="center"/>
    </xf>
    <xf numFmtId="164" fontId="8" fillId="0" borderId="0" xfId="0" applyNumberFormat="1" applyFont="1" applyAlignment="1">
      <alignment horizontal="center" vertical="center"/>
    </xf>
    <xf numFmtId="165" fontId="14" fillId="0" borderId="0" xfId="0" applyNumberFormat="1" applyFont="1" applyAlignment="1">
      <alignment horizontal="center"/>
    </xf>
    <xf numFmtId="0" fontId="18" fillId="0" borderId="0" xfId="0" applyFont="1"/>
    <xf numFmtId="0" fontId="18" fillId="0" borderId="0" xfId="0" applyFont="1" applyAlignment="1">
      <alignment vertical="center"/>
    </xf>
    <xf numFmtId="0" fontId="39" fillId="0" borderId="0" xfId="0" applyFont="1"/>
    <xf numFmtId="0" fontId="20" fillId="0" borderId="0" xfId="0" applyFont="1"/>
    <xf numFmtId="165" fontId="18" fillId="0" borderId="0" xfId="0" applyNumberFormat="1" applyFont="1" applyAlignment="1">
      <alignment horizontal="center"/>
    </xf>
    <xf numFmtId="165" fontId="20" fillId="0" borderId="0" xfId="0" applyNumberFormat="1" applyFont="1" applyAlignment="1">
      <alignment horizontal="center"/>
    </xf>
    <xf numFmtId="1" fontId="0" fillId="0" borderId="5" xfId="0" quotePrefix="1" applyNumberFormat="1" applyBorder="1" applyAlignment="1">
      <alignment horizontal="center" vertical="center"/>
    </xf>
    <xf numFmtId="1" fontId="0" fillId="0" borderId="24" xfId="0" quotePrefix="1" applyNumberFormat="1" applyBorder="1" applyAlignment="1">
      <alignment horizontal="center" vertical="center"/>
    </xf>
    <xf numFmtId="1" fontId="0" fillId="0" borderId="3" xfId="0" quotePrefix="1" applyNumberFormat="1" applyBorder="1" applyAlignment="1">
      <alignment horizontal="center" vertical="center"/>
    </xf>
    <xf numFmtId="165" fontId="27" fillId="0" borderId="0" xfId="0" applyNumberFormat="1" applyFont="1"/>
    <xf numFmtId="168" fontId="27" fillId="0" borderId="0" xfId="0" applyNumberFormat="1" applyFont="1"/>
    <xf numFmtId="1" fontId="27" fillId="0" borderId="0" xfId="0" applyNumberFormat="1" applyFont="1"/>
  </cellXfs>
  <cellStyles count="4">
    <cellStyle name="Normal" xfId="0" builtinId="0"/>
    <cellStyle name="Normal 2" xfId="1" xr:uid="{D27DC1C1-3C4B-42B0-A939-7B39690B926E}"/>
    <cellStyle name="Normal 3" xfId="2" xr:uid="{F6E97810-6783-4424-95C9-D34F21682A98}"/>
    <cellStyle name="Normal 4" xfId="3" xr:uid="{2FE83C12-AE2D-44EB-9D22-B53118E24055}"/>
  </cellStyles>
  <dxfs count="80">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ont>
        <color theme="0"/>
      </font>
      <fill>
        <patternFill>
          <bgColor theme="9" tint="-0.24994659260841701"/>
        </patternFill>
      </fill>
    </dxf>
    <dxf>
      <font>
        <color theme="0"/>
      </font>
      <fill>
        <patternFill>
          <bgColor theme="8" tint="-0.24994659260841701"/>
        </patternFill>
      </fill>
    </dxf>
    <dxf>
      <fill>
        <patternFill>
          <bgColor rgb="FF00B050"/>
        </patternFill>
      </fill>
    </dxf>
    <dxf>
      <font>
        <color theme="0"/>
      </font>
      <fill>
        <patternFill>
          <bgColor rgb="FFFF0000"/>
        </patternFill>
      </fill>
    </dxf>
    <dxf>
      <font>
        <color theme="0"/>
      </font>
      <fill>
        <patternFill>
          <bgColor rgb="FF0070C0"/>
        </patternFill>
      </fill>
    </dxf>
    <dxf>
      <fill>
        <patternFill>
          <bgColor theme="5" tint="0.39994506668294322"/>
        </patternFill>
      </fill>
    </dxf>
    <dxf>
      <fill>
        <patternFill>
          <bgColor theme="8" tint="0.59996337778862885"/>
        </patternFill>
      </fill>
    </dxf>
    <dxf>
      <fill>
        <patternFill>
          <bgColor theme="9" tint="0.59996337778862885"/>
        </patternFill>
      </fill>
    </dxf>
    <dxf>
      <fill>
        <patternFill>
          <bgColor rgb="FF00B050"/>
        </patternFill>
      </fill>
    </dxf>
    <dxf>
      <font>
        <color theme="0"/>
      </font>
      <fill>
        <patternFill>
          <bgColor rgb="FFFF0000"/>
        </patternFill>
      </fill>
    </dxf>
    <dxf>
      <font>
        <color theme="0"/>
      </font>
      <fill>
        <patternFill>
          <bgColor rgb="FF0070C0"/>
        </patternFill>
      </fill>
    </dxf>
    <dxf>
      <fill>
        <patternFill>
          <bgColor theme="5" tint="0.39994506668294322"/>
        </patternFill>
      </fill>
    </dxf>
    <dxf>
      <fill>
        <patternFill>
          <bgColor theme="8" tint="0.59996337778862885"/>
        </patternFill>
      </fill>
    </dxf>
    <dxf>
      <fill>
        <patternFill>
          <bgColor theme="9" tint="0.59996337778862885"/>
        </patternFill>
      </fill>
    </dxf>
    <dxf>
      <fill>
        <patternFill>
          <bgColor rgb="FF00B050"/>
        </patternFill>
      </fill>
    </dxf>
    <dxf>
      <font>
        <color theme="0"/>
      </font>
      <fill>
        <patternFill>
          <bgColor rgb="FFFF0000"/>
        </patternFill>
      </fill>
    </dxf>
    <dxf>
      <font>
        <color theme="0"/>
      </font>
      <fill>
        <patternFill>
          <bgColor rgb="FF0070C0"/>
        </patternFill>
      </fill>
    </dxf>
    <dxf>
      <fill>
        <patternFill>
          <bgColor theme="5" tint="0.39994506668294322"/>
        </patternFill>
      </fill>
    </dxf>
    <dxf>
      <fill>
        <patternFill>
          <bgColor theme="8" tint="0.59996337778862885"/>
        </patternFill>
      </fill>
    </dxf>
    <dxf>
      <fill>
        <patternFill>
          <bgColor theme="9" tint="0.59996337778862885"/>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s>
  <tableStyles count="0" defaultTableStyle="TableStyleMedium2" defaultPivotStyle="PivotStyleLight16"/>
  <colors>
    <mruColors>
      <color rgb="FFFFC1E0"/>
      <color rgb="FFFF5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E1D9-F443-4502-B1BD-CBEE0A80BA62}">
  <dimension ref="A1:M145"/>
  <sheetViews>
    <sheetView workbookViewId="0"/>
  </sheetViews>
  <sheetFormatPr defaultRowHeight="15" x14ac:dyDescent="0.25"/>
  <cols>
    <col min="1" max="16384" width="9.140625" style="112"/>
  </cols>
  <sheetData>
    <row r="1" spans="1:13" x14ac:dyDescent="0.25">
      <c r="A1" s="114" t="s">
        <v>227</v>
      </c>
      <c r="B1" s="112" t="s">
        <v>223</v>
      </c>
      <c r="C1" s="112" t="s">
        <v>222</v>
      </c>
      <c r="D1" s="112" t="s">
        <v>221</v>
      </c>
      <c r="E1" s="112" t="s">
        <v>220</v>
      </c>
      <c r="F1" s="112" t="s">
        <v>219</v>
      </c>
      <c r="G1" s="112" t="s">
        <v>218</v>
      </c>
      <c r="H1" s="112" t="s">
        <v>217</v>
      </c>
      <c r="I1" s="112" t="s">
        <v>216</v>
      </c>
      <c r="J1" s="112" t="s">
        <v>215</v>
      </c>
      <c r="K1" s="112" t="s">
        <v>214</v>
      </c>
      <c r="L1" s="112" t="s">
        <v>213</v>
      </c>
      <c r="M1" s="112" t="s">
        <v>212</v>
      </c>
    </row>
    <row r="2" spans="1:13" x14ac:dyDescent="0.25">
      <c r="A2" s="112" t="s">
        <v>211</v>
      </c>
      <c r="B2" s="112">
        <v>7</v>
      </c>
      <c r="C2" s="112">
        <v>13</v>
      </c>
      <c r="D2" s="112">
        <v>23</v>
      </c>
      <c r="E2" s="112">
        <v>43</v>
      </c>
      <c r="F2" s="112">
        <v>58</v>
      </c>
      <c r="G2" s="112">
        <v>70</v>
      </c>
      <c r="H2" s="112">
        <v>85</v>
      </c>
      <c r="I2" s="112">
        <v>83</v>
      </c>
      <c r="J2" s="112">
        <v>84</v>
      </c>
      <c r="K2" s="112">
        <v>85</v>
      </c>
      <c r="L2" s="112">
        <v>82</v>
      </c>
      <c r="M2" s="112">
        <v>87</v>
      </c>
    </row>
    <row r="3" spans="1:13" x14ac:dyDescent="0.25">
      <c r="A3" s="112" t="s">
        <v>210</v>
      </c>
      <c r="B3" s="112">
        <v>7</v>
      </c>
      <c r="C3" s="112">
        <v>13</v>
      </c>
      <c r="D3" s="112">
        <v>21</v>
      </c>
      <c r="E3" s="112">
        <v>44</v>
      </c>
      <c r="F3" s="112">
        <v>68</v>
      </c>
      <c r="G3" s="112">
        <v>76</v>
      </c>
      <c r="H3" s="112">
        <v>81</v>
      </c>
      <c r="I3" s="112">
        <v>102</v>
      </c>
      <c r="J3" s="112">
        <v>106</v>
      </c>
      <c r="K3" s="112">
        <v>110</v>
      </c>
      <c r="L3" s="112">
        <v>112</v>
      </c>
      <c r="M3" s="112">
        <v>113</v>
      </c>
    </row>
    <row r="4" spans="1:13" x14ac:dyDescent="0.25">
      <c r="A4" s="112" t="s">
        <v>209</v>
      </c>
      <c r="B4" s="112">
        <v>5</v>
      </c>
      <c r="C4" s="112">
        <v>11</v>
      </c>
      <c r="D4" s="112">
        <v>23</v>
      </c>
      <c r="E4" s="112">
        <v>46</v>
      </c>
      <c r="F4" s="112">
        <v>61</v>
      </c>
      <c r="G4" s="112">
        <v>70</v>
      </c>
      <c r="H4" s="112">
        <v>85</v>
      </c>
      <c r="I4" s="112">
        <v>102</v>
      </c>
      <c r="J4" s="112">
        <v>108</v>
      </c>
      <c r="K4" s="112">
        <v>113</v>
      </c>
      <c r="L4" s="112">
        <v>115</v>
      </c>
      <c r="M4" s="112">
        <v>122</v>
      </c>
    </row>
    <row r="5" spans="1:13" x14ac:dyDescent="0.25">
      <c r="A5" s="112" t="s">
        <v>208</v>
      </c>
      <c r="B5" s="112">
        <v>6</v>
      </c>
      <c r="C5" s="112">
        <v>13</v>
      </c>
      <c r="D5" s="112">
        <v>20</v>
      </c>
      <c r="E5" s="112">
        <v>40</v>
      </c>
      <c r="F5" s="112">
        <v>52</v>
      </c>
      <c r="G5" s="112">
        <v>53</v>
      </c>
      <c r="H5" s="112">
        <v>58</v>
      </c>
      <c r="I5" s="112">
        <v>74</v>
      </c>
      <c r="J5" s="112">
        <v>78</v>
      </c>
      <c r="K5" s="112">
        <v>80</v>
      </c>
      <c r="L5" s="112">
        <v>81</v>
      </c>
      <c r="M5" s="112">
        <v>74</v>
      </c>
    </row>
    <row r="6" spans="1:13" x14ac:dyDescent="0.25">
      <c r="A6" s="112" t="s">
        <v>207</v>
      </c>
      <c r="B6" s="112">
        <v>5</v>
      </c>
      <c r="C6" s="112">
        <v>11</v>
      </c>
      <c r="D6" s="112">
        <v>17</v>
      </c>
      <c r="E6" s="112">
        <v>37</v>
      </c>
      <c r="F6" s="112">
        <v>63</v>
      </c>
      <c r="G6" s="112">
        <v>69</v>
      </c>
      <c r="H6" s="112">
        <v>84</v>
      </c>
      <c r="I6" s="112">
        <v>103</v>
      </c>
      <c r="J6" s="112">
        <v>104</v>
      </c>
      <c r="K6" s="112">
        <v>106</v>
      </c>
      <c r="L6" s="112">
        <v>102</v>
      </c>
      <c r="M6" s="112">
        <v>108</v>
      </c>
    </row>
    <row r="7" spans="1:13" x14ac:dyDescent="0.25">
      <c r="A7" s="112" t="s">
        <v>206</v>
      </c>
      <c r="B7" s="112">
        <v>6</v>
      </c>
      <c r="C7" s="112">
        <v>11</v>
      </c>
      <c r="D7" s="112">
        <v>16</v>
      </c>
      <c r="E7" s="112">
        <v>35</v>
      </c>
      <c r="F7" s="112">
        <v>56</v>
      </c>
      <c r="G7" s="112">
        <v>56</v>
      </c>
      <c r="H7" s="112">
        <v>59</v>
      </c>
      <c r="I7" s="112">
        <v>76</v>
      </c>
      <c r="J7" s="112">
        <v>75</v>
      </c>
      <c r="K7" s="112">
        <v>76</v>
      </c>
      <c r="L7" s="112">
        <v>75</v>
      </c>
      <c r="M7" s="112">
        <v>77</v>
      </c>
    </row>
    <row r="8" spans="1:13" x14ac:dyDescent="0.25">
      <c r="A8" s="112" t="s">
        <v>205</v>
      </c>
      <c r="B8" s="112">
        <v>6</v>
      </c>
      <c r="C8" s="112">
        <v>10</v>
      </c>
      <c r="D8" s="112">
        <v>14</v>
      </c>
      <c r="E8" s="112">
        <v>37</v>
      </c>
      <c r="F8" s="112">
        <v>53</v>
      </c>
      <c r="G8" s="112">
        <v>62</v>
      </c>
      <c r="H8" s="112">
        <v>77</v>
      </c>
      <c r="I8" s="112">
        <v>94</v>
      </c>
      <c r="J8" s="112">
        <v>93</v>
      </c>
      <c r="K8" s="112">
        <v>94</v>
      </c>
      <c r="L8" s="112">
        <v>93</v>
      </c>
      <c r="M8" s="112">
        <v>87</v>
      </c>
    </row>
    <row r="9" spans="1:13" x14ac:dyDescent="0.25">
      <c r="A9" s="112" t="s">
        <v>204</v>
      </c>
      <c r="B9" s="112">
        <v>6</v>
      </c>
      <c r="C9" s="112">
        <v>11</v>
      </c>
      <c r="D9" s="112">
        <v>16</v>
      </c>
      <c r="E9" s="112">
        <v>38</v>
      </c>
      <c r="F9" s="112">
        <v>60</v>
      </c>
      <c r="G9" s="112">
        <v>65</v>
      </c>
      <c r="H9" s="112">
        <v>79</v>
      </c>
      <c r="I9" s="112">
        <v>95</v>
      </c>
      <c r="J9" s="112">
        <v>97</v>
      </c>
      <c r="K9" s="112">
        <v>97</v>
      </c>
      <c r="L9" s="112">
        <v>96</v>
      </c>
      <c r="M9" s="112">
        <v>95</v>
      </c>
    </row>
    <row r="10" spans="1:13" x14ac:dyDescent="0.25">
      <c r="A10" s="112" t="s">
        <v>203</v>
      </c>
      <c r="B10" s="112">
        <v>5</v>
      </c>
      <c r="C10" s="112">
        <v>9</v>
      </c>
      <c r="D10" s="112">
        <v>16</v>
      </c>
      <c r="E10" s="112">
        <v>35</v>
      </c>
      <c r="F10" s="112">
        <v>46</v>
      </c>
      <c r="G10" s="112">
        <v>49</v>
      </c>
      <c r="H10" s="112">
        <v>59</v>
      </c>
      <c r="I10" s="112">
        <v>62</v>
      </c>
      <c r="J10" s="112">
        <v>65</v>
      </c>
      <c r="K10" s="112">
        <v>67</v>
      </c>
      <c r="L10" s="112">
        <v>68</v>
      </c>
      <c r="M10" s="112">
        <v>53</v>
      </c>
    </row>
    <row r="11" spans="1:13" x14ac:dyDescent="0.25">
      <c r="A11" s="112" t="s">
        <v>202</v>
      </c>
      <c r="B11" s="112">
        <v>5</v>
      </c>
      <c r="C11" s="112">
        <v>9</v>
      </c>
      <c r="D11" s="112">
        <v>10</v>
      </c>
      <c r="E11" s="112">
        <v>24</v>
      </c>
      <c r="F11" s="112">
        <v>32</v>
      </c>
      <c r="G11" s="112">
        <v>37</v>
      </c>
      <c r="H11" s="112">
        <v>44</v>
      </c>
      <c r="I11" s="112">
        <v>57</v>
      </c>
      <c r="J11" s="112">
        <v>66</v>
      </c>
      <c r="K11" s="112">
        <v>69</v>
      </c>
      <c r="L11" s="112">
        <v>70</v>
      </c>
      <c r="M11" s="112">
        <v>72</v>
      </c>
    </row>
    <row r="12" spans="1:13" x14ac:dyDescent="0.25">
      <c r="A12" s="112" t="s">
        <v>201</v>
      </c>
      <c r="B12" s="112">
        <v>7</v>
      </c>
      <c r="C12" s="112">
        <v>10</v>
      </c>
      <c r="D12" s="112">
        <v>14</v>
      </c>
      <c r="E12" s="112">
        <v>38</v>
      </c>
      <c r="F12" s="112">
        <v>51</v>
      </c>
      <c r="G12" s="112">
        <v>60</v>
      </c>
      <c r="H12" s="112">
        <v>81</v>
      </c>
      <c r="I12" s="112">
        <v>103</v>
      </c>
      <c r="J12" s="112">
        <v>108</v>
      </c>
      <c r="K12" s="112">
        <v>113</v>
      </c>
      <c r="L12" s="112">
        <v>116</v>
      </c>
      <c r="M12" s="112">
        <v>117</v>
      </c>
    </row>
    <row r="13" spans="1:13" x14ac:dyDescent="0.25">
      <c r="A13" s="112" t="s">
        <v>200</v>
      </c>
      <c r="B13" s="112">
        <v>6</v>
      </c>
      <c r="C13" s="112">
        <v>9</v>
      </c>
      <c r="D13" s="112">
        <v>11</v>
      </c>
      <c r="E13" s="112">
        <v>31</v>
      </c>
      <c r="F13" s="112">
        <v>47</v>
      </c>
      <c r="G13" s="112">
        <v>55</v>
      </c>
      <c r="H13" s="112">
        <v>72</v>
      </c>
      <c r="I13" s="112">
        <v>83</v>
      </c>
      <c r="J13" s="112">
        <v>87</v>
      </c>
      <c r="K13" s="112">
        <v>88</v>
      </c>
      <c r="L13" s="112">
        <v>89</v>
      </c>
      <c r="M13" s="112">
        <v>88</v>
      </c>
    </row>
    <row r="14" spans="1:13" x14ac:dyDescent="0.25">
      <c r="A14" s="112" t="s">
        <v>199</v>
      </c>
      <c r="B14" s="112">
        <v>15</v>
      </c>
      <c r="C14" s="112">
        <v>22</v>
      </c>
      <c r="D14" s="112">
        <v>33</v>
      </c>
      <c r="E14" s="112">
        <v>65</v>
      </c>
      <c r="F14" s="112">
        <v>84</v>
      </c>
      <c r="G14" s="112">
        <v>89</v>
      </c>
      <c r="H14" s="112">
        <v>99</v>
      </c>
      <c r="I14" s="112">
        <v>116</v>
      </c>
      <c r="J14" s="112">
        <v>118</v>
      </c>
      <c r="K14" s="112">
        <v>120</v>
      </c>
      <c r="L14" s="112">
        <v>121</v>
      </c>
      <c r="M14" s="112">
        <v>120</v>
      </c>
    </row>
    <row r="15" spans="1:13" x14ac:dyDescent="0.25">
      <c r="A15" s="112" t="s">
        <v>198</v>
      </c>
      <c r="B15" s="112">
        <v>11</v>
      </c>
      <c r="C15" s="112">
        <v>18</v>
      </c>
      <c r="D15" s="112">
        <v>30</v>
      </c>
      <c r="E15" s="112">
        <v>59</v>
      </c>
      <c r="F15" s="112">
        <v>78</v>
      </c>
      <c r="G15" s="112">
        <v>83</v>
      </c>
      <c r="H15" s="112">
        <v>97</v>
      </c>
      <c r="I15" s="112">
        <v>114</v>
      </c>
      <c r="J15" s="112">
        <v>119</v>
      </c>
      <c r="K15" s="112">
        <v>122</v>
      </c>
      <c r="L15" s="112">
        <v>124</v>
      </c>
      <c r="M15" s="112">
        <v>128</v>
      </c>
    </row>
    <row r="16" spans="1:13" x14ac:dyDescent="0.25">
      <c r="A16" s="112" t="s">
        <v>197</v>
      </c>
      <c r="B16" s="112">
        <v>14</v>
      </c>
      <c r="C16" s="112">
        <v>20</v>
      </c>
      <c r="D16" s="112">
        <v>23</v>
      </c>
      <c r="E16" s="112">
        <v>63</v>
      </c>
      <c r="F16" s="112">
        <v>71</v>
      </c>
      <c r="G16" s="112">
        <v>80</v>
      </c>
      <c r="H16" s="112">
        <v>93</v>
      </c>
      <c r="I16" s="112">
        <v>105</v>
      </c>
      <c r="J16" s="112">
        <v>110</v>
      </c>
      <c r="K16" s="112">
        <v>113</v>
      </c>
      <c r="L16" s="112">
        <v>116</v>
      </c>
      <c r="M16" s="112">
        <v>115</v>
      </c>
    </row>
    <row r="17" spans="1:13" x14ac:dyDescent="0.25">
      <c r="A17" s="112" t="s">
        <v>196</v>
      </c>
      <c r="B17" s="112">
        <v>13</v>
      </c>
      <c r="C17" s="112">
        <v>19</v>
      </c>
      <c r="D17" s="112">
        <v>28</v>
      </c>
      <c r="E17" s="112">
        <v>68</v>
      </c>
      <c r="F17" s="112">
        <v>82</v>
      </c>
      <c r="G17" s="112">
        <v>83</v>
      </c>
      <c r="H17" s="112">
        <v>91</v>
      </c>
      <c r="I17" s="112">
        <v>111</v>
      </c>
      <c r="J17" s="112">
        <v>114</v>
      </c>
      <c r="K17" s="112">
        <v>116</v>
      </c>
      <c r="L17" s="112">
        <v>117</v>
      </c>
      <c r="M17" s="112">
        <v>113</v>
      </c>
    </row>
    <row r="18" spans="1:13" x14ac:dyDescent="0.25">
      <c r="A18" s="112" t="s">
        <v>195</v>
      </c>
      <c r="B18" s="112">
        <v>11</v>
      </c>
      <c r="C18" s="112">
        <v>16</v>
      </c>
      <c r="D18" s="112">
        <v>22</v>
      </c>
      <c r="E18" s="112">
        <v>52</v>
      </c>
      <c r="F18" s="112">
        <v>71</v>
      </c>
      <c r="G18" s="112">
        <v>73</v>
      </c>
      <c r="H18" s="112">
        <v>80</v>
      </c>
      <c r="I18" s="112">
        <v>100</v>
      </c>
      <c r="J18" s="112">
        <v>103</v>
      </c>
      <c r="K18" s="112">
        <v>105</v>
      </c>
      <c r="L18" s="112">
        <v>105</v>
      </c>
      <c r="M18" s="112">
        <v>106</v>
      </c>
    </row>
    <row r="19" spans="1:13" x14ac:dyDescent="0.25">
      <c r="A19" s="112" t="s">
        <v>194</v>
      </c>
      <c r="B19" s="112">
        <v>10</v>
      </c>
      <c r="C19" s="112">
        <v>15</v>
      </c>
      <c r="D19" s="112">
        <v>24</v>
      </c>
      <c r="E19" s="112">
        <v>58</v>
      </c>
      <c r="F19" s="112">
        <v>74</v>
      </c>
      <c r="G19" s="112">
        <v>73</v>
      </c>
      <c r="H19" s="112">
        <v>77</v>
      </c>
      <c r="I19" s="112">
        <v>90</v>
      </c>
      <c r="J19" s="112">
        <v>94</v>
      </c>
      <c r="K19" s="112">
        <v>93</v>
      </c>
      <c r="L19" s="112">
        <v>93</v>
      </c>
      <c r="M19" s="112">
        <v>91</v>
      </c>
    </row>
    <row r="20" spans="1:13" x14ac:dyDescent="0.25">
      <c r="A20" s="112" t="s">
        <v>193</v>
      </c>
      <c r="B20" s="112">
        <v>12</v>
      </c>
      <c r="C20" s="112">
        <v>17</v>
      </c>
      <c r="D20" s="112">
        <v>26</v>
      </c>
      <c r="E20" s="112">
        <v>52</v>
      </c>
      <c r="F20" s="112">
        <v>69</v>
      </c>
      <c r="G20" s="112">
        <v>71</v>
      </c>
      <c r="H20" s="112">
        <v>79</v>
      </c>
      <c r="I20" s="112">
        <v>91</v>
      </c>
      <c r="J20" s="112">
        <v>93</v>
      </c>
      <c r="K20" s="112">
        <v>95</v>
      </c>
      <c r="L20" s="112">
        <v>94</v>
      </c>
      <c r="M20" s="112">
        <v>92</v>
      </c>
    </row>
    <row r="21" spans="1:13" x14ac:dyDescent="0.25">
      <c r="A21" s="112" t="s">
        <v>192</v>
      </c>
      <c r="B21" s="112">
        <v>10</v>
      </c>
      <c r="C21" s="112">
        <v>15</v>
      </c>
      <c r="D21" s="112">
        <v>23</v>
      </c>
      <c r="E21" s="112">
        <v>58</v>
      </c>
      <c r="F21" s="112">
        <v>73</v>
      </c>
      <c r="G21" s="112">
        <v>77</v>
      </c>
      <c r="H21" s="112">
        <v>89</v>
      </c>
      <c r="I21" s="112">
        <v>103</v>
      </c>
      <c r="J21" s="112">
        <v>106</v>
      </c>
      <c r="K21" s="112">
        <v>107</v>
      </c>
      <c r="L21" s="112">
        <v>110</v>
      </c>
      <c r="M21" s="112">
        <v>108</v>
      </c>
    </row>
    <row r="22" spans="1:13" x14ac:dyDescent="0.25">
      <c r="A22" s="112" t="s">
        <v>191</v>
      </c>
      <c r="B22" s="112">
        <v>11</v>
      </c>
      <c r="C22" s="112">
        <v>16</v>
      </c>
      <c r="D22" s="112">
        <v>22</v>
      </c>
      <c r="E22" s="112">
        <v>56</v>
      </c>
      <c r="F22" s="112">
        <v>72</v>
      </c>
      <c r="G22" s="112">
        <v>75</v>
      </c>
      <c r="H22" s="112">
        <v>77</v>
      </c>
      <c r="I22" s="112">
        <v>87</v>
      </c>
      <c r="J22" s="112">
        <v>89</v>
      </c>
      <c r="K22" s="112">
        <v>90</v>
      </c>
      <c r="L22" s="112">
        <v>86</v>
      </c>
      <c r="M22" s="112">
        <v>86</v>
      </c>
    </row>
    <row r="23" spans="1:13" x14ac:dyDescent="0.25">
      <c r="A23" s="112" t="s">
        <v>190</v>
      </c>
      <c r="B23" s="112">
        <v>10</v>
      </c>
      <c r="C23" s="112">
        <v>15</v>
      </c>
      <c r="D23" s="112">
        <v>23</v>
      </c>
      <c r="E23" s="112">
        <v>57</v>
      </c>
      <c r="F23" s="112">
        <v>72</v>
      </c>
      <c r="G23" s="112">
        <v>79</v>
      </c>
      <c r="H23" s="112">
        <v>89</v>
      </c>
      <c r="I23" s="112">
        <v>96</v>
      </c>
      <c r="J23" s="112">
        <v>100</v>
      </c>
      <c r="K23" s="112">
        <v>106</v>
      </c>
      <c r="L23" s="112">
        <v>108</v>
      </c>
      <c r="M23" s="112">
        <v>105</v>
      </c>
    </row>
    <row r="24" spans="1:13" x14ac:dyDescent="0.25">
      <c r="A24" s="112" t="s">
        <v>189</v>
      </c>
      <c r="B24" s="112">
        <v>12</v>
      </c>
      <c r="C24" s="112">
        <v>16</v>
      </c>
      <c r="D24" s="112">
        <v>23</v>
      </c>
      <c r="E24" s="112">
        <v>59</v>
      </c>
      <c r="F24" s="112">
        <v>67</v>
      </c>
      <c r="G24" s="112">
        <v>70</v>
      </c>
      <c r="H24" s="112">
        <v>80</v>
      </c>
      <c r="I24" s="112">
        <v>93</v>
      </c>
      <c r="J24" s="112">
        <v>99</v>
      </c>
      <c r="K24" s="112">
        <v>101</v>
      </c>
      <c r="L24" s="112">
        <v>102</v>
      </c>
      <c r="M24" s="112">
        <v>101</v>
      </c>
    </row>
    <row r="25" spans="1:13" x14ac:dyDescent="0.25">
      <c r="A25" s="112" t="s">
        <v>188</v>
      </c>
      <c r="B25" s="112">
        <v>10</v>
      </c>
      <c r="C25" s="112">
        <v>15</v>
      </c>
      <c r="D25" s="112">
        <v>23</v>
      </c>
      <c r="E25" s="112">
        <v>39</v>
      </c>
      <c r="F25" s="112">
        <v>50</v>
      </c>
      <c r="G25" s="112">
        <v>56</v>
      </c>
      <c r="H25" s="112">
        <v>66</v>
      </c>
      <c r="I25" s="112">
        <v>79</v>
      </c>
      <c r="J25" s="112">
        <v>86</v>
      </c>
      <c r="K25" s="112">
        <v>95</v>
      </c>
      <c r="L25" s="112">
        <v>97</v>
      </c>
      <c r="M25" s="112">
        <v>94</v>
      </c>
    </row>
    <row r="26" spans="1:13" x14ac:dyDescent="0.25">
      <c r="A26" s="112" t="s">
        <v>187</v>
      </c>
      <c r="B26" s="112">
        <v>8</v>
      </c>
      <c r="C26" s="112">
        <v>13</v>
      </c>
      <c r="D26" s="112">
        <v>26</v>
      </c>
      <c r="E26" s="112">
        <v>57</v>
      </c>
      <c r="F26" s="112">
        <v>75</v>
      </c>
      <c r="G26" s="112">
        <v>87</v>
      </c>
      <c r="H26" s="112">
        <v>102</v>
      </c>
      <c r="I26" s="112">
        <v>115</v>
      </c>
      <c r="J26" s="112">
        <v>118</v>
      </c>
      <c r="K26" s="112">
        <v>121</v>
      </c>
      <c r="L26" s="112">
        <v>123</v>
      </c>
      <c r="M26" s="112">
        <v>122</v>
      </c>
    </row>
    <row r="27" spans="1:13" x14ac:dyDescent="0.25">
      <c r="A27" s="112" t="s">
        <v>186</v>
      </c>
      <c r="B27" s="112">
        <v>8</v>
      </c>
      <c r="C27" s="112">
        <v>12</v>
      </c>
      <c r="D27" s="112">
        <v>19</v>
      </c>
      <c r="E27" s="112">
        <v>35</v>
      </c>
      <c r="F27" s="112">
        <v>53</v>
      </c>
      <c r="G27" s="112">
        <v>57</v>
      </c>
      <c r="H27" s="112">
        <v>70</v>
      </c>
      <c r="I27" s="112">
        <v>81</v>
      </c>
      <c r="J27" s="112">
        <v>86</v>
      </c>
      <c r="K27" s="112">
        <v>90</v>
      </c>
      <c r="L27" s="112">
        <v>93</v>
      </c>
      <c r="M27" s="112">
        <v>92</v>
      </c>
    </row>
    <row r="28" spans="1:13" x14ac:dyDescent="0.25">
      <c r="A28" s="112" t="s">
        <v>185</v>
      </c>
      <c r="B28" s="112">
        <v>7</v>
      </c>
      <c r="C28" s="112">
        <v>11</v>
      </c>
      <c r="D28" s="112">
        <v>21</v>
      </c>
      <c r="E28" s="112">
        <v>51</v>
      </c>
      <c r="F28" s="112">
        <v>73</v>
      </c>
      <c r="G28" s="112">
        <v>83</v>
      </c>
      <c r="H28" s="112">
        <v>97</v>
      </c>
      <c r="I28" s="112">
        <v>121</v>
      </c>
      <c r="J28" s="112">
        <v>123</v>
      </c>
      <c r="K28" s="112">
        <v>125</v>
      </c>
      <c r="L28" s="112">
        <v>126</v>
      </c>
      <c r="M28" s="112">
        <v>131</v>
      </c>
    </row>
    <row r="29" spans="1:13" x14ac:dyDescent="0.25">
      <c r="A29" s="112" t="s">
        <v>184</v>
      </c>
      <c r="B29" s="112">
        <v>11</v>
      </c>
      <c r="C29" s="112">
        <v>15</v>
      </c>
      <c r="D29" s="112">
        <v>20</v>
      </c>
      <c r="E29" s="112">
        <v>45</v>
      </c>
      <c r="F29" s="112">
        <v>63</v>
      </c>
      <c r="G29" s="112">
        <v>65</v>
      </c>
      <c r="H29" s="112">
        <v>71</v>
      </c>
      <c r="I29" s="112">
        <v>84</v>
      </c>
      <c r="J29" s="112">
        <v>90</v>
      </c>
      <c r="K29" s="112">
        <v>94</v>
      </c>
      <c r="L29" s="112">
        <v>99</v>
      </c>
      <c r="M29" s="112">
        <v>104</v>
      </c>
    </row>
    <row r="30" spans="1:13" x14ac:dyDescent="0.25">
      <c r="A30" s="112" t="s">
        <v>183</v>
      </c>
      <c r="B30" s="112">
        <v>7</v>
      </c>
      <c r="C30" s="112">
        <v>11</v>
      </c>
      <c r="D30" s="112">
        <v>17</v>
      </c>
      <c r="E30" s="112">
        <v>41</v>
      </c>
      <c r="F30" s="112">
        <v>62</v>
      </c>
      <c r="G30" s="112">
        <v>69</v>
      </c>
      <c r="H30" s="112">
        <v>79</v>
      </c>
      <c r="I30" s="112">
        <v>98</v>
      </c>
      <c r="J30" s="112">
        <v>99</v>
      </c>
      <c r="K30" s="112">
        <v>100</v>
      </c>
      <c r="L30" s="112">
        <v>103</v>
      </c>
      <c r="M30" s="112">
        <v>105</v>
      </c>
    </row>
    <row r="31" spans="1:13" x14ac:dyDescent="0.25">
      <c r="A31" s="112" t="s">
        <v>182</v>
      </c>
      <c r="B31" s="112">
        <v>9</v>
      </c>
      <c r="C31" s="112">
        <v>13</v>
      </c>
      <c r="D31" s="112">
        <v>22</v>
      </c>
      <c r="E31" s="112">
        <v>55</v>
      </c>
      <c r="F31" s="112">
        <v>78</v>
      </c>
      <c r="G31" s="112">
        <v>82</v>
      </c>
      <c r="H31" s="112">
        <v>93</v>
      </c>
      <c r="I31" s="112">
        <v>96</v>
      </c>
      <c r="J31" s="112">
        <v>100</v>
      </c>
      <c r="K31" s="112">
        <v>113</v>
      </c>
      <c r="L31" s="112">
        <v>112</v>
      </c>
      <c r="M31" s="112">
        <v>115</v>
      </c>
    </row>
    <row r="32" spans="1:13" x14ac:dyDescent="0.25">
      <c r="A32" s="112" t="s">
        <v>181</v>
      </c>
      <c r="B32" s="112">
        <v>10</v>
      </c>
      <c r="C32" s="112">
        <v>15</v>
      </c>
      <c r="D32" s="112">
        <v>24</v>
      </c>
      <c r="E32" s="112">
        <v>52</v>
      </c>
      <c r="F32" s="112">
        <v>73</v>
      </c>
      <c r="G32" s="112">
        <v>75</v>
      </c>
      <c r="H32" s="112">
        <v>84</v>
      </c>
      <c r="I32" s="112">
        <v>101</v>
      </c>
      <c r="J32" s="112">
        <v>104</v>
      </c>
      <c r="K32" s="112">
        <v>108</v>
      </c>
      <c r="L32" s="112">
        <v>109</v>
      </c>
      <c r="M32" s="112">
        <v>111</v>
      </c>
    </row>
    <row r="33" spans="1:13" x14ac:dyDescent="0.25">
      <c r="A33" s="112" t="s">
        <v>180</v>
      </c>
      <c r="B33" s="112">
        <v>9</v>
      </c>
      <c r="C33" s="112">
        <v>14</v>
      </c>
      <c r="D33" s="112">
        <v>20</v>
      </c>
      <c r="E33" s="112">
        <v>45</v>
      </c>
      <c r="F33" s="112">
        <v>70</v>
      </c>
      <c r="G33" s="112">
        <v>76</v>
      </c>
      <c r="H33" s="112">
        <v>92</v>
      </c>
      <c r="I33" s="112">
        <v>108</v>
      </c>
      <c r="J33" s="112">
        <v>109</v>
      </c>
      <c r="K33" s="112">
        <v>107</v>
      </c>
      <c r="L33" s="112">
        <v>108</v>
      </c>
      <c r="M33" s="112">
        <v>104</v>
      </c>
    </row>
    <row r="34" spans="1:13" x14ac:dyDescent="0.25">
      <c r="A34" s="112" t="s">
        <v>179</v>
      </c>
      <c r="B34" s="112">
        <v>7</v>
      </c>
      <c r="C34" s="112">
        <v>13</v>
      </c>
      <c r="D34" s="112">
        <v>18</v>
      </c>
      <c r="E34" s="112">
        <v>31</v>
      </c>
      <c r="F34" s="112">
        <v>50</v>
      </c>
      <c r="G34" s="112">
        <v>51</v>
      </c>
      <c r="H34" s="112">
        <v>54</v>
      </c>
      <c r="I34" s="112">
        <v>64</v>
      </c>
      <c r="J34" s="112">
        <v>69</v>
      </c>
      <c r="K34" s="112">
        <v>71</v>
      </c>
      <c r="L34" s="112">
        <v>76</v>
      </c>
      <c r="M34" s="112">
        <v>79</v>
      </c>
    </row>
    <row r="35" spans="1:13" x14ac:dyDescent="0.25">
      <c r="A35" s="112" t="s">
        <v>178</v>
      </c>
      <c r="B35" s="112">
        <v>7</v>
      </c>
      <c r="C35" s="112">
        <v>11</v>
      </c>
      <c r="D35" s="112">
        <v>17</v>
      </c>
      <c r="E35" s="112">
        <v>45</v>
      </c>
      <c r="F35" s="112">
        <v>62</v>
      </c>
      <c r="G35" s="112">
        <v>70</v>
      </c>
      <c r="H35" s="112">
        <v>91</v>
      </c>
      <c r="I35" s="112">
        <v>96</v>
      </c>
      <c r="J35" s="112">
        <v>101</v>
      </c>
      <c r="K35" s="112">
        <v>106</v>
      </c>
      <c r="L35" s="112">
        <v>108</v>
      </c>
      <c r="M35" s="112">
        <v>109</v>
      </c>
    </row>
    <row r="36" spans="1:13" x14ac:dyDescent="0.25">
      <c r="A36" s="112" t="s">
        <v>177</v>
      </c>
      <c r="B36" s="112">
        <v>11</v>
      </c>
      <c r="C36" s="112">
        <v>15</v>
      </c>
      <c r="D36" s="112">
        <v>19</v>
      </c>
      <c r="E36" s="112">
        <v>41</v>
      </c>
      <c r="F36" s="112">
        <v>63</v>
      </c>
      <c r="G36" s="112">
        <v>69</v>
      </c>
      <c r="H36" s="112">
        <v>85</v>
      </c>
      <c r="I36" s="112">
        <v>97</v>
      </c>
      <c r="J36" s="112">
        <v>100</v>
      </c>
      <c r="K36" s="112">
        <v>103</v>
      </c>
      <c r="L36" s="112">
        <v>105</v>
      </c>
      <c r="M36" s="112">
        <v>110</v>
      </c>
    </row>
    <row r="37" spans="1:13" x14ac:dyDescent="0.25">
      <c r="A37" s="112" t="s">
        <v>176</v>
      </c>
      <c r="B37" s="112">
        <v>8</v>
      </c>
      <c r="C37" s="112">
        <v>13</v>
      </c>
      <c r="D37" s="112">
        <v>19</v>
      </c>
      <c r="E37" s="112">
        <v>46</v>
      </c>
      <c r="F37" s="112">
        <v>67</v>
      </c>
      <c r="G37" s="112">
        <v>76</v>
      </c>
      <c r="H37" s="112">
        <v>90</v>
      </c>
      <c r="I37" s="112">
        <v>98</v>
      </c>
      <c r="J37" s="112">
        <v>102</v>
      </c>
      <c r="K37" s="112">
        <v>107</v>
      </c>
      <c r="L37" s="112">
        <v>109</v>
      </c>
      <c r="M37" s="112">
        <v>106</v>
      </c>
    </row>
    <row r="38" spans="1:13" x14ac:dyDescent="0.25">
      <c r="A38" s="112" t="s">
        <v>175</v>
      </c>
      <c r="B38" s="112">
        <v>15</v>
      </c>
      <c r="C38" s="112">
        <v>19</v>
      </c>
      <c r="D38" s="112">
        <v>34</v>
      </c>
      <c r="E38" s="112">
        <v>63</v>
      </c>
      <c r="F38" s="112">
        <v>89</v>
      </c>
      <c r="G38" s="112">
        <v>92</v>
      </c>
      <c r="H38" s="112">
        <v>108</v>
      </c>
      <c r="I38" s="112">
        <v>113</v>
      </c>
      <c r="J38" s="112">
        <v>117</v>
      </c>
      <c r="K38" s="112">
        <v>123</v>
      </c>
      <c r="L38" s="112">
        <v>127</v>
      </c>
      <c r="M38" s="112">
        <v>122</v>
      </c>
    </row>
    <row r="39" spans="1:13" x14ac:dyDescent="0.25">
      <c r="A39" s="112" t="s">
        <v>174</v>
      </c>
      <c r="B39" s="112">
        <v>16</v>
      </c>
      <c r="C39" s="112">
        <v>21</v>
      </c>
      <c r="D39" s="112">
        <v>30</v>
      </c>
      <c r="E39" s="112">
        <v>64</v>
      </c>
      <c r="F39" s="112">
        <v>87</v>
      </c>
      <c r="G39" s="112">
        <v>92</v>
      </c>
      <c r="H39" s="112">
        <v>106</v>
      </c>
      <c r="I39" s="112">
        <v>111</v>
      </c>
      <c r="J39" s="112">
        <v>115</v>
      </c>
      <c r="K39" s="112">
        <v>120</v>
      </c>
      <c r="L39" s="112">
        <v>125</v>
      </c>
      <c r="M39" s="112">
        <v>123</v>
      </c>
    </row>
    <row r="40" spans="1:13" x14ac:dyDescent="0.25">
      <c r="A40" s="112" t="s">
        <v>173</v>
      </c>
      <c r="B40" s="112">
        <v>17</v>
      </c>
      <c r="C40" s="112">
        <v>24</v>
      </c>
      <c r="D40" s="112">
        <v>37</v>
      </c>
      <c r="E40" s="112">
        <v>68</v>
      </c>
      <c r="F40" s="112">
        <v>89</v>
      </c>
      <c r="G40" s="112">
        <v>95</v>
      </c>
      <c r="H40" s="112">
        <v>111</v>
      </c>
      <c r="I40" s="112">
        <v>119</v>
      </c>
      <c r="J40" s="112">
        <v>125</v>
      </c>
      <c r="K40" s="112">
        <v>129</v>
      </c>
      <c r="L40" s="112">
        <v>131</v>
      </c>
      <c r="M40" s="112">
        <v>131</v>
      </c>
    </row>
    <row r="41" spans="1:13" x14ac:dyDescent="0.25">
      <c r="A41" s="112" t="s">
        <v>172</v>
      </c>
      <c r="B41" s="112">
        <v>9</v>
      </c>
      <c r="C41" s="112">
        <v>17</v>
      </c>
      <c r="D41" s="112">
        <v>27</v>
      </c>
      <c r="E41" s="112">
        <v>57</v>
      </c>
      <c r="F41" s="112">
        <v>83</v>
      </c>
      <c r="G41" s="112">
        <v>85</v>
      </c>
      <c r="H41" s="112">
        <v>87</v>
      </c>
      <c r="I41" s="112">
        <v>91</v>
      </c>
      <c r="J41" s="112">
        <v>99</v>
      </c>
      <c r="K41" s="112">
        <v>108</v>
      </c>
      <c r="L41" s="112">
        <v>114</v>
      </c>
      <c r="M41" s="112">
        <v>110</v>
      </c>
    </row>
    <row r="42" spans="1:13" x14ac:dyDescent="0.25">
      <c r="A42" s="112" t="s">
        <v>171</v>
      </c>
      <c r="B42" s="112">
        <v>12</v>
      </c>
      <c r="C42" s="112">
        <v>21</v>
      </c>
      <c r="D42" s="112">
        <v>32</v>
      </c>
      <c r="E42" s="112">
        <v>68</v>
      </c>
      <c r="F42" s="112">
        <v>97</v>
      </c>
      <c r="G42" s="112">
        <v>100</v>
      </c>
      <c r="H42" s="112">
        <v>104</v>
      </c>
      <c r="I42" s="112">
        <v>107</v>
      </c>
      <c r="J42" s="112">
        <v>110</v>
      </c>
      <c r="K42" s="112">
        <v>114</v>
      </c>
      <c r="L42" s="112">
        <v>113</v>
      </c>
      <c r="M42" s="112">
        <v>115</v>
      </c>
    </row>
    <row r="43" spans="1:13" x14ac:dyDescent="0.25">
      <c r="A43" s="112" t="s">
        <v>170</v>
      </c>
      <c r="B43" s="112">
        <v>15</v>
      </c>
      <c r="C43" s="112">
        <v>23</v>
      </c>
      <c r="D43" s="112">
        <v>32</v>
      </c>
      <c r="E43" s="112">
        <v>62</v>
      </c>
      <c r="F43" s="112">
        <v>77</v>
      </c>
      <c r="G43" s="112">
        <v>79</v>
      </c>
      <c r="H43" s="112">
        <v>82</v>
      </c>
      <c r="I43" s="112">
        <v>89</v>
      </c>
      <c r="J43" s="112">
        <v>91</v>
      </c>
      <c r="K43" s="112">
        <v>94</v>
      </c>
      <c r="L43" s="112">
        <v>94</v>
      </c>
      <c r="M43" s="112">
        <v>91</v>
      </c>
    </row>
    <row r="44" spans="1:13" x14ac:dyDescent="0.25">
      <c r="A44" s="112" t="s">
        <v>169</v>
      </c>
      <c r="B44" s="112">
        <v>16</v>
      </c>
      <c r="C44" s="112">
        <v>23</v>
      </c>
      <c r="D44" s="112">
        <v>32</v>
      </c>
      <c r="E44" s="112">
        <v>70</v>
      </c>
      <c r="F44" s="112">
        <v>85</v>
      </c>
      <c r="G44" s="112">
        <v>92</v>
      </c>
      <c r="H44" s="112">
        <v>102</v>
      </c>
      <c r="I44" s="112">
        <v>113</v>
      </c>
      <c r="J44" s="112">
        <v>116</v>
      </c>
      <c r="K44" s="112">
        <v>117</v>
      </c>
      <c r="L44" s="112">
        <v>118</v>
      </c>
      <c r="M44" s="112">
        <v>110</v>
      </c>
    </row>
    <row r="45" spans="1:13" x14ac:dyDescent="0.25">
      <c r="A45" s="112" t="s">
        <v>168</v>
      </c>
      <c r="B45" s="112">
        <v>9</v>
      </c>
      <c r="C45" s="112">
        <v>14</v>
      </c>
      <c r="D45" s="112">
        <v>22</v>
      </c>
      <c r="E45" s="112">
        <v>46</v>
      </c>
      <c r="F45" s="112">
        <v>75</v>
      </c>
      <c r="G45" s="112">
        <v>80</v>
      </c>
      <c r="H45" s="112">
        <v>94</v>
      </c>
      <c r="I45" s="112">
        <v>100</v>
      </c>
      <c r="J45" s="112">
        <v>104</v>
      </c>
      <c r="K45" s="112">
        <v>109</v>
      </c>
      <c r="L45" s="112">
        <v>115</v>
      </c>
      <c r="M45" s="112">
        <v>110</v>
      </c>
    </row>
    <row r="46" spans="1:13" x14ac:dyDescent="0.25">
      <c r="A46" s="112" t="s">
        <v>167</v>
      </c>
      <c r="B46" s="112">
        <v>13</v>
      </c>
      <c r="C46" s="112">
        <v>19</v>
      </c>
      <c r="D46" s="112">
        <v>28</v>
      </c>
      <c r="E46" s="112">
        <v>63</v>
      </c>
      <c r="F46" s="112">
        <v>81</v>
      </c>
      <c r="G46" s="112">
        <v>89</v>
      </c>
      <c r="H46" s="112">
        <v>109</v>
      </c>
      <c r="I46" s="112">
        <v>117</v>
      </c>
      <c r="J46" s="112">
        <v>119</v>
      </c>
      <c r="K46" s="112">
        <v>118</v>
      </c>
      <c r="L46" s="112">
        <v>121</v>
      </c>
      <c r="M46" s="112">
        <v>112</v>
      </c>
    </row>
    <row r="47" spans="1:13" x14ac:dyDescent="0.25">
      <c r="A47" s="112" t="s">
        <v>166</v>
      </c>
      <c r="B47" s="112">
        <v>9</v>
      </c>
      <c r="C47" s="112">
        <v>14</v>
      </c>
      <c r="D47" s="112">
        <v>25</v>
      </c>
      <c r="E47" s="112">
        <v>53</v>
      </c>
      <c r="F47" s="112">
        <v>78</v>
      </c>
      <c r="G47" s="112">
        <v>88</v>
      </c>
      <c r="H47" s="112">
        <v>108</v>
      </c>
      <c r="I47" s="112">
        <v>116</v>
      </c>
      <c r="J47" s="112">
        <v>120</v>
      </c>
      <c r="K47" s="112">
        <v>123</v>
      </c>
      <c r="L47" s="112">
        <v>128</v>
      </c>
      <c r="M47" s="112">
        <v>125</v>
      </c>
    </row>
    <row r="48" spans="1:13" x14ac:dyDescent="0.25">
      <c r="A48" s="112" t="s">
        <v>165</v>
      </c>
      <c r="B48" s="112">
        <v>14</v>
      </c>
      <c r="C48" s="112">
        <v>19</v>
      </c>
      <c r="D48" s="112">
        <v>25</v>
      </c>
      <c r="E48" s="112">
        <v>59</v>
      </c>
      <c r="F48" s="112">
        <v>73</v>
      </c>
      <c r="G48" s="112">
        <v>76</v>
      </c>
      <c r="H48" s="112">
        <v>85</v>
      </c>
      <c r="I48" s="112">
        <v>98</v>
      </c>
      <c r="J48" s="112">
        <v>103</v>
      </c>
      <c r="K48" s="112">
        <v>109</v>
      </c>
      <c r="L48" s="112">
        <v>113</v>
      </c>
      <c r="M48" s="112">
        <v>112</v>
      </c>
    </row>
    <row r="49" spans="1:13" x14ac:dyDescent="0.25">
      <c r="A49" s="112" t="s">
        <v>164</v>
      </c>
      <c r="B49" s="112">
        <v>13</v>
      </c>
      <c r="C49" s="112">
        <v>17</v>
      </c>
      <c r="D49" s="112">
        <v>25</v>
      </c>
      <c r="E49" s="112">
        <v>55</v>
      </c>
      <c r="F49" s="112">
        <v>75</v>
      </c>
      <c r="G49" s="112">
        <v>78</v>
      </c>
      <c r="H49" s="112">
        <v>87</v>
      </c>
      <c r="I49" s="112">
        <v>98</v>
      </c>
      <c r="J49" s="112">
        <v>101</v>
      </c>
      <c r="K49" s="112">
        <v>103</v>
      </c>
      <c r="L49" s="112">
        <v>102</v>
      </c>
      <c r="M49" s="112">
        <v>107</v>
      </c>
    </row>
    <row r="50" spans="1:13" x14ac:dyDescent="0.25">
      <c r="A50" s="112" t="s">
        <v>163</v>
      </c>
      <c r="B50" s="112">
        <v>14</v>
      </c>
      <c r="C50" s="112">
        <v>21</v>
      </c>
      <c r="D50" s="112">
        <v>32</v>
      </c>
      <c r="E50" s="112">
        <v>67</v>
      </c>
      <c r="F50" s="112">
        <v>84</v>
      </c>
      <c r="G50" s="112">
        <v>93</v>
      </c>
      <c r="H50" s="112">
        <v>108</v>
      </c>
      <c r="I50" s="112">
        <v>114</v>
      </c>
      <c r="J50" s="112">
        <v>117</v>
      </c>
      <c r="K50" s="112">
        <v>122</v>
      </c>
      <c r="L50" s="112">
        <v>121</v>
      </c>
      <c r="M50" s="112">
        <v>122</v>
      </c>
    </row>
    <row r="51" spans="1:13" x14ac:dyDescent="0.25">
      <c r="A51" s="112" t="s">
        <v>162</v>
      </c>
      <c r="B51" s="112">
        <v>16</v>
      </c>
      <c r="C51" s="112">
        <v>24</v>
      </c>
      <c r="D51" s="112">
        <v>32</v>
      </c>
      <c r="E51" s="112">
        <v>66</v>
      </c>
      <c r="F51" s="112">
        <v>84</v>
      </c>
      <c r="G51" s="112">
        <v>94</v>
      </c>
      <c r="H51" s="112">
        <v>103</v>
      </c>
      <c r="I51" s="112">
        <v>108</v>
      </c>
      <c r="J51" s="112">
        <v>111</v>
      </c>
      <c r="K51" s="112">
        <v>116</v>
      </c>
      <c r="L51" s="112">
        <v>118</v>
      </c>
      <c r="M51" s="112">
        <v>118</v>
      </c>
    </row>
    <row r="52" spans="1:13" x14ac:dyDescent="0.25">
      <c r="A52" s="112" t="s">
        <v>161</v>
      </c>
      <c r="B52" s="112">
        <v>15</v>
      </c>
      <c r="C52" s="112">
        <v>22</v>
      </c>
      <c r="D52" s="112">
        <v>33</v>
      </c>
      <c r="E52" s="112">
        <v>60</v>
      </c>
      <c r="F52" s="112">
        <v>79</v>
      </c>
      <c r="G52" s="112">
        <v>82</v>
      </c>
      <c r="H52" s="112">
        <v>88</v>
      </c>
      <c r="I52" s="112">
        <v>92</v>
      </c>
      <c r="J52" s="112">
        <v>94</v>
      </c>
      <c r="K52" s="112">
        <v>97</v>
      </c>
      <c r="L52" s="112">
        <v>98</v>
      </c>
      <c r="M52" s="112">
        <v>99</v>
      </c>
    </row>
    <row r="53" spans="1:13" x14ac:dyDescent="0.25">
      <c r="A53" s="112" t="s">
        <v>160</v>
      </c>
      <c r="B53" s="112">
        <v>15</v>
      </c>
      <c r="C53" s="112">
        <v>21</v>
      </c>
      <c r="D53" s="112">
        <v>27</v>
      </c>
      <c r="E53" s="112">
        <v>50</v>
      </c>
      <c r="F53" s="112">
        <v>71</v>
      </c>
      <c r="G53" s="112">
        <v>78</v>
      </c>
      <c r="H53" s="112">
        <v>88</v>
      </c>
      <c r="I53" s="112">
        <v>91</v>
      </c>
      <c r="J53" s="112">
        <v>93</v>
      </c>
      <c r="K53" s="112">
        <v>94</v>
      </c>
      <c r="L53" s="112">
        <v>93</v>
      </c>
      <c r="M53" s="112">
        <v>94</v>
      </c>
    </row>
    <row r="54" spans="1:13" x14ac:dyDescent="0.25">
      <c r="A54" s="112" t="s">
        <v>159</v>
      </c>
      <c r="B54" s="112">
        <v>13</v>
      </c>
      <c r="C54" s="112">
        <v>19</v>
      </c>
      <c r="D54" s="112">
        <v>27</v>
      </c>
      <c r="E54" s="112">
        <v>54</v>
      </c>
      <c r="F54" s="112">
        <v>75</v>
      </c>
      <c r="G54" s="112">
        <v>76</v>
      </c>
      <c r="H54" s="112">
        <v>80</v>
      </c>
      <c r="I54" s="112">
        <v>82</v>
      </c>
      <c r="J54" s="112">
        <v>82</v>
      </c>
      <c r="K54" s="112">
        <v>84</v>
      </c>
      <c r="L54" s="112">
        <v>83</v>
      </c>
      <c r="M54" s="112">
        <v>84</v>
      </c>
    </row>
    <row r="55" spans="1:13" x14ac:dyDescent="0.25">
      <c r="A55" s="112" t="s">
        <v>158</v>
      </c>
      <c r="B55" s="112">
        <v>11</v>
      </c>
      <c r="C55" s="112">
        <v>18</v>
      </c>
      <c r="D55" s="112">
        <v>26</v>
      </c>
      <c r="E55" s="112">
        <v>55</v>
      </c>
      <c r="F55" s="112">
        <v>77</v>
      </c>
      <c r="G55" s="112">
        <v>78</v>
      </c>
      <c r="H55" s="112">
        <v>83</v>
      </c>
      <c r="I55" s="112">
        <v>87</v>
      </c>
      <c r="J55" s="112">
        <v>91</v>
      </c>
      <c r="K55" s="112">
        <v>93</v>
      </c>
      <c r="L55" s="112">
        <v>93</v>
      </c>
      <c r="M55" s="112">
        <v>92</v>
      </c>
    </row>
    <row r="56" spans="1:13" x14ac:dyDescent="0.25">
      <c r="A56" s="112" t="s">
        <v>157</v>
      </c>
      <c r="B56" s="112">
        <v>9</v>
      </c>
      <c r="C56" s="112">
        <v>15</v>
      </c>
      <c r="D56" s="112">
        <v>22</v>
      </c>
      <c r="E56" s="112">
        <v>52</v>
      </c>
      <c r="F56" s="112">
        <v>73</v>
      </c>
      <c r="G56" s="112">
        <v>76</v>
      </c>
      <c r="H56" s="112">
        <v>86</v>
      </c>
      <c r="I56" s="112">
        <v>95</v>
      </c>
      <c r="J56" s="112">
        <v>98</v>
      </c>
      <c r="K56" s="112">
        <v>101</v>
      </c>
      <c r="L56" s="112">
        <v>100</v>
      </c>
      <c r="M56" s="112">
        <v>98</v>
      </c>
    </row>
    <row r="57" spans="1:13" x14ac:dyDescent="0.25">
      <c r="A57" s="112" t="s">
        <v>156</v>
      </c>
      <c r="B57" s="112">
        <v>12</v>
      </c>
      <c r="C57" s="112">
        <v>19</v>
      </c>
      <c r="D57" s="112">
        <v>27</v>
      </c>
      <c r="E57" s="112">
        <v>56</v>
      </c>
      <c r="F57" s="112">
        <v>77</v>
      </c>
      <c r="G57" s="112">
        <v>78</v>
      </c>
      <c r="H57" s="112">
        <v>76</v>
      </c>
      <c r="I57" s="112">
        <v>79</v>
      </c>
      <c r="J57" s="112">
        <v>81</v>
      </c>
      <c r="K57" s="112">
        <v>82</v>
      </c>
      <c r="L57" s="112">
        <v>83</v>
      </c>
      <c r="M57" s="112">
        <v>83</v>
      </c>
    </row>
    <row r="58" spans="1:13" x14ac:dyDescent="0.25">
      <c r="A58" s="112" t="s">
        <v>155</v>
      </c>
      <c r="B58" s="112">
        <v>10</v>
      </c>
      <c r="C58" s="112">
        <v>18</v>
      </c>
      <c r="D58" s="112">
        <v>30</v>
      </c>
      <c r="E58" s="112">
        <v>59</v>
      </c>
      <c r="F58" s="112">
        <v>79</v>
      </c>
      <c r="G58" s="112">
        <v>78</v>
      </c>
      <c r="H58" s="112">
        <v>79</v>
      </c>
      <c r="I58" s="112">
        <v>81</v>
      </c>
      <c r="J58" s="112">
        <v>84</v>
      </c>
      <c r="K58" s="112">
        <v>86</v>
      </c>
      <c r="L58" s="112">
        <v>85</v>
      </c>
      <c r="M58" s="112">
        <v>86</v>
      </c>
    </row>
    <row r="59" spans="1:13" x14ac:dyDescent="0.25">
      <c r="A59" s="112" t="s">
        <v>154</v>
      </c>
      <c r="B59" s="112">
        <v>14</v>
      </c>
      <c r="C59" s="112">
        <v>21</v>
      </c>
      <c r="D59" s="112">
        <v>29</v>
      </c>
      <c r="E59" s="112">
        <v>60</v>
      </c>
      <c r="F59" s="112">
        <v>79</v>
      </c>
      <c r="G59" s="112">
        <v>84</v>
      </c>
      <c r="H59" s="112">
        <v>87</v>
      </c>
      <c r="I59" s="112">
        <v>94</v>
      </c>
      <c r="J59" s="112">
        <v>99</v>
      </c>
      <c r="K59" s="112">
        <v>103</v>
      </c>
      <c r="L59" s="112">
        <v>105</v>
      </c>
      <c r="M59" s="112">
        <v>101</v>
      </c>
    </row>
    <row r="60" spans="1:13" x14ac:dyDescent="0.25">
      <c r="A60" s="112" t="s">
        <v>153</v>
      </c>
      <c r="B60" s="112">
        <v>11</v>
      </c>
      <c r="C60" s="112">
        <v>19</v>
      </c>
      <c r="D60" s="112">
        <v>24</v>
      </c>
      <c r="E60" s="112">
        <v>46</v>
      </c>
      <c r="F60" s="112">
        <v>69</v>
      </c>
      <c r="G60" s="112">
        <v>75</v>
      </c>
      <c r="H60" s="112">
        <v>83</v>
      </c>
      <c r="I60" s="112">
        <v>90</v>
      </c>
      <c r="J60" s="112">
        <v>96</v>
      </c>
      <c r="K60" s="112">
        <v>101</v>
      </c>
      <c r="L60" s="112">
        <v>102</v>
      </c>
      <c r="M60" s="112">
        <v>102</v>
      </c>
    </row>
    <row r="61" spans="1:13" x14ac:dyDescent="0.25">
      <c r="A61" s="112" t="s">
        <v>152</v>
      </c>
      <c r="B61" s="112">
        <v>13</v>
      </c>
      <c r="C61" s="112">
        <v>21</v>
      </c>
      <c r="D61" s="112">
        <v>26</v>
      </c>
      <c r="E61" s="112">
        <v>61</v>
      </c>
      <c r="F61" s="112">
        <v>82</v>
      </c>
      <c r="G61" s="112">
        <v>86</v>
      </c>
      <c r="H61" s="112">
        <v>96</v>
      </c>
      <c r="I61" s="112">
        <v>103</v>
      </c>
      <c r="J61" s="112">
        <v>108</v>
      </c>
      <c r="K61" s="112">
        <v>110</v>
      </c>
      <c r="L61" s="112">
        <v>109</v>
      </c>
      <c r="M61" s="112">
        <v>106</v>
      </c>
    </row>
    <row r="62" spans="1:13" x14ac:dyDescent="0.25">
      <c r="A62" s="112" t="s">
        <v>151</v>
      </c>
      <c r="B62" s="112">
        <v>12</v>
      </c>
      <c r="C62" s="112">
        <v>17</v>
      </c>
      <c r="D62" s="112">
        <v>23</v>
      </c>
      <c r="E62" s="112">
        <v>53</v>
      </c>
      <c r="F62" s="112">
        <v>69</v>
      </c>
      <c r="G62" s="112">
        <v>76</v>
      </c>
      <c r="H62" s="112">
        <v>98</v>
      </c>
      <c r="I62" s="112">
        <v>110</v>
      </c>
      <c r="J62" s="112">
        <v>115</v>
      </c>
      <c r="K62" s="112">
        <v>115</v>
      </c>
      <c r="L62" s="112">
        <v>116</v>
      </c>
      <c r="M62" s="112">
        <v>114</v>
      </c>
    </row>
    <row r="63" spans="1:13" x14ac:dyDescent="0.25">
      <c r="A63" s="112" t="s">
        <v>150</v>
      </c>
      <c r="B63" s="112">
        <v>9</v>
      </c>
      <c r="C63" s="112">
        <v>15</v>
      </c>
      <c r="D63" s="112">
        <v>19</v>
      </c>
      <c r="E63" s="112">
        <v>43</v>
      </c>
      <c r="F63" s="112">
        <v>63</v>
      </c>
      <c r="G63" s="112">
        <v>76</v>
      </c>
      <c r="H63" s="112">
        <v>97</v>
      </c>
      <c r="I63" s="112">
        <v>109</v>
      </c>
      <c r="J63" s="112">
        <v>115</v>
      </c>
      <c r="K63" s="112">
        <v>117</v>
      </c>
      <c r="L63" s="112">
        <v>108</v>
      </c>
      <c r="M63" s="112">
        <v>110</v>
      </c>
    </row>
    <row r="64" spans="1:13" x14ac:dyDescent="0.25">
      <c r="A64" s="112" t="s">
        <v>149</v>
      </c>
      <c r="B64" s="112">
        <v>7</v>
      </c>
      <c r="C64" s="112">
        <v>12</v>
      </c>
      <c r="D64" s="112">
        <v>21</v>
      </c>
      <c r="E64" s="112">
        <v>34</v>
      </c>
      <c r="F64" s="112">
        <v>55</v>
      </c>
      <c r="G64" s="112">
        <v>65</v>
      </c>
      <c r="H64" s="112">
        <v>79</v>
      </c>
      <c r="I64" s="112">
        <v>88</v>
      </c>
      <c r="J64" s="112">
        <v>93</v>
      </c>
      <c r="K64" s="112">
        <v>97</v>
      </c>
      <c r="L64" s="112">
        <v>101</v>
      </c>
      <c r="M64" s="112">
        <v>104</v>
      </c>
    </row>
    <row r="65" spans="1:13" x14ac:dyDescent="0.25">
      <c r="A65" s="112" t="s">
        <v>148</v>
      </c>
      <c r="B65" s="112">
        <v>6</v>
      </c>
      <c r="C65" s="112">
        <v>12</v>
      </c>
      <c r="D65" s="112">
        <v>21</v>
      </c>
      <c r="E65" s="112">
        <v>44</v>
      </c>
      <c r="F65" s="112">
        <v>61</v>
      </c>
      <c r="G65" s="112">
        <v>74</v>
      </c>
      <c r="H65" s="112">
        <v>94</v>
      </c>
      <c r="I65" s="112">
        <v>105</v>
      </c>
      <c r="J65" s="112">
        <v>108</v>
      </c>
      <c r="K65" s="112">
        <v>110</v>
      </c>
      <c r="L65" s="112">
        <v>108</v>
      </c>
      <c r="M65" s="112">
        <v>104</v>
      </c>
    </row>
    <row r="66" spans="1:13" x14ac:dyDescent="0.25">
      <c r="A66" s="112" t="s">
        <v>147</v>
      </c>
      <c r="B66" s="112">
        <v>6</v>
      </c>
      <c r="C66" s="112">
        <v>11</v>
      </c>
      <c r="D66" s="112">
        <v>16</v>
      </c>
      <c r="E66" s="112">
        <v>37</v>
      </c>
      <c r="F66" s="112">
        <v>53</v>
      </c>
      <c r="G66" s="112">
        <v>63</v>
      </c>
      <c r="H66" s="112">
        <v>85</v>
      </c>
      <c r="I66" s="112">
        <v>91</v>
      </c>
      <c r="J66" s="112">
        <v>95</v>
      </c>
      <c r="K66" s="112">
        <v>102</v>
      </c>
      <c r="L66" s="112">
        <v>101</v>
      </c>
      <c r="M66" s="112">
        <v>97</v>
      </c>
    </row>
    <row r="67" spans="1:13" x14ac:dyDescent="0.25">
      <c r="A67" s="112" t="s">
        <v>146</v>
      </c>
      <c r="B67" s="112">
        <v>4</v>
      </c>
      <c r="C67" s="112">
        <v>9</v>
      </c>
      <c r="D67" s="112">
        <v>16</v>
      </c>
      <c r="E67" s="112">
        <v>39</v>
      </c>
      <c r="F67" s="112">
        <v>58</v>
      </c>
      <c r="G67" s="112">
        <v>60</v>
      </c>
      <c r="H67" s="112">
        <v>89</v>
      </c>
      <c r="I67" s="112">
        <v>97</v>
      </c>
      <c r="J67" s="112">
        <v>104</v>
      </c>
      <c r="K67" s="112">
        <v>107</v>
      </c>
      <c r="L67" s="112">
        <v>105</v>
      </c>
      <c r="M67" s="112">
        <v>103</v>
      </c>
    </row>
    <row r="68" spans="1:13" x14ac:dyDescent="0.25">
      <c r="A68" s="112" t="s">
        <v>145</v>
      </c>
      <c r="B68" s="112">
        <v>6</v>
      </c>
      <c r="C68" s="112">
        <v>13</v>
      </c>
      <c r="D68" s="112">
        <v>17</v>
      </c>
      <c r="E68" s="112">
        <v>45</v>
      </c>
      <c r="F68" s="112">
        <v>58</v>
      </c>
      <c r="G68" s="112">
        <v>66</v>
      </c>
      <c r="H68" s="112">
        <v>81</v>
      </c>
      <c r="I68" s="112">
        <v>88</v>
      </c>
      <c r="J68" s="112">
        <v>93</v>
      </c>
      <c r="K68" s="112">
        <v>97</v>
      </c>
      <c r="L68" s="112">
        <v>101</v>
      </c>
      <c r="M68" s="112">
        <v>99</v>
      </c>
    </row>
    <row r="69" spans="1:13" x14ac:dyDescent="0.25">
      <c r="A69" s="112" t="s">
        <v>144</v>
      </c>
      <c r="B69" s="112">
        <v>6</v>
      </c>
      <c r="C69" s="112">
        <v>13</v>
      </c>
      <c r="D69" s="112">
        <v>20</v>
      </c>
      <c r="E69" s="112">
        <v>47</v>
      </c>
      <c r="F69" s="112">
        <v>62</v>
      </c>
      <c r="G69" s="112">
        <v>72</v>
      </c>
      <c r="H69" s="112">
        <v>88</v>
      </c>
      <c r="I69" s="112">
        <v>93</v>
      </c>
      <c r="J69" s="112">
        <v>97</v>
      </c>
      <c r="K69" s="112">
        <v>101</v>
      </c>
      <c r="L69" s="112">
        <v>104</v>
      </c>
      <c r="M69" s="112">
        <v>102</v>
      </c>
    </row>
    <row r="70" spans="1:13" x14ac:dyDescent="0.25">
      <c r="A70" s="112" t="s">
        <v>143</v>
      </c>
      <c r="B70" s="112">
        <v>5</v>
      </c>
      <c r="C70" s="112">
        <v>11</v>
      </c>
      <c r="D70" s="112">
        <v>17</v>
      </c>
      <c r="E70" s="112">
        <v>44</v>
      </c>
      <c r="F70" s="112">
        <v>57</v>
      </c>
      <c r="G70" s="112">
        <v>62</v>
      </c>
      <c r="H70" s="112">
        <v>71</v>
      </c>
      <c r="I70" s="112">
        <v>78</v>
      </c>
      <c r="J70" s="112">
        <v>83</v>
      </c>
      <c r="K70" s="112">
        <v>86</v>
      </c>
      <c r="L70" s="112">
        <v>88</v>
      </c>
      <c r="M70" s="112">
        <v>89</v>
      </c>
    </row>
    <row r="71" spans="1:13" x14ac:dyDescent="0.25">
      <c r="A71" s="112" t="s">
        <v>142</v>
      </c>
      <c r="B71" s="112">
        <v>7</v>
      </c>
      <c r="C71" s="112">
        <v>13</v>
      </c>
      <c r="D71" s="112">
        <v>19</v>
      </c>
      <c r="E71" s="112">
        <v>54</v>
      </c>
      <c r="F71" s="112">
        <v>72</v>
      </c>
      <c r="G71" s="112">
        <v>79</v>
      </c>
      <c r="H71" s="112">
        <v>91</v>
      </c>
      <c r="I71" s="112">
        <v>102</v>
      </c>
      <c r="J71" s="112">
        <v>108</v>
      </c>
      <c r="K71" s="112">
        <v>110</v>
      </c>
      <c r="L71" s="112">
        <v>112</v>
      </c>
      <c r="M71" s="112">
        <v>115</v>
      </c>
    </row>
    <row r="72" spans="1:13" x14ac:dyDescent="0.25">
      <c r="A72" s="112" t="s">
        <v>141</v>
      </c>
      <c r="B72" s="112">
        <v>6</v>
      </c>
      <c r="C72" s="112">
        <v>10</v>
      </c>
      <c r="D72" s="112">
        <v>19</v>
      </c>
      <c r="E72" s="112">
        <v>44</v>
      </c>
      <c r="F72" s="112">
        <v>67</v>
      </c>
      <c r="G72" s="112">
        <v>71</v>
      </c>
      <c r="H72" s="112">
        <v>77</v>
      </c>
      <c r="I72" s="112">
        <v>90</v>
      </c>
      <c r="J72" s="112">
        <v>95</v>
      </c>
      <c r="K72" s="112">
        <v>99</v>
      </c>
      <c r="L72" s="112">
        <v>101</v>
      </c>
      <c r="M72" s="112">
        <v>104</v>
      </c>
    </row>
    <row r="73" spans="1:13" x14ac:dyDescent="0.25">
      <c r="A73" s="112" t="s">
        <v>140</v>
      </c>
      <c r="B73" s="112">
        <v>5</v>
      </c>
      <c r="C73" s="112">
        <v>9</v>
      </c>
      <c r="D73" s="112">
        <v>19</v>
      </c>
      <c r="E73" s="112">
        <v>41</v>
      </c>
      <c r="F73" s="112">
        <v>64</v>
      </c>
      <c r="G73" s="112">
        <v>65</v>
      </c>
      <c r="H73" s="112">
        <v>69</v>
      </c>
      <c r="I73" s="112">
        <v>78</v>
      </c>
      <c r="J73" s="112">
        <v>83</v>
      </c>
      <c r="K73" s="112">
        <v>88</v>
      </c>
      <c r="L73" s="112">
        <v>93</v>
      </c>
      <c r="M73" s="112">
        <v>95</v>
      </c>
    </row>
    <row r="74" spans="1:13" x14ac:dyDescent="0.25">
      <c r="A74" s="112" t="s">
        <v>139</v>
      </c>
      <c r="B74" s="112">
        <v>11</v>
      </c>
      <c r="C74" s="112">
        <v>16</v>
      </c>
      <c r="D74" s="112">
        <v>30</v>
      </c>
      <c r="E74" s="112">
        <v>61</v>
      </c>
      <c r="F74" s="112">
        <v>79</v>
      </c>
      <c r="G74" s="112">
        <v>81</v>
      </c>
      <c r="H74" s="112">
        <v>88</v>
      </c>
      <c r="I74" s="112">
        <v>96</v>
      </c>
      <c r="J74" s="112">
        <v>101</v>
      </c>
      <c r="K74" s="112">
        <v>104</v>
      </c>
      <c r="L74" s="112">
        <v>106</v>
      </c>
      <c r="M74" s="112">
        <v>105</v>
      </c>
    </row>
    <row r="75" spans="1:13" x14ac:dyDescent="0.25">
      <c r="A75" s="112" t="s">
        <v>138</v>
      </c>
      <c r="B75" s="112">
        <v>14</v>
      </c>
      <c r="C75" s="112">
        <v>20</v>
      </c>
      <c r="D75" s="112">
        <v>26</v>
      </c>
      <c r="E75" s="112">
        <v>56</v>
      </c>
      <c r="F75" s="112">
        <v>77</v>
      </c>
      <c r="G75" s="112">
        <v>78</v>
      </c>
      <c r="H75" s="112">
        <v>82</v>
      </c>
      <c r="I75" s="112">
        <v>88</v>
      </c>
      <c r="J75" s="112">
        <v>92</v>
      </c>
      <c r="K75" s="112">
        <v>94</v>
      </c>
      <c r="L75" s="112">
        <v>94</v>
      </c>
      <c r="M75" s="112">
        <v>95</v>
      </c>
    </row>
    <row r="76" spans="1:13" x14ac:dyDescent="0.25">
      <c r="A76" s="112" t="s">
        <v>137</v>
      </c>
      <c r="B76" s="112">
        <v>16</v>
      </c>
      <c r="C76" s="112">
        <v>21</v>
      </c>
      <c r="D76" s="112">
        <v>31</v>
      </c>
      <c r="E76" s="112">
        <v>55</v>
      </c>
      <c r="F76" s="112">
        <v>74</v>
      </c>
      <c r="G76" s="112">
        <v>74</v>
      </c>
      <c r="H76" s="112">
        <v>74</v>
      </c>
      <c r="I76" s="112">
        <v>78</v>
      </c>
      <c r="J76" s="112">
        <v>81</v>
      </c>
      <c r="K76" s="112">
        <v>84</v>
      </c>
      <c r="L76" s="112">
        <v>85</v>
      </c>
      <c r="M76" s="112">
        <v>85</v>
      </c>
    </row>
    <row r="77" spans="1:13" x14ac:dyDescent="0.25">
      <c r="A77" s="112" t="s">
        <v>136</v>
      </c>
      <c r="B77" s="112">
        <v>11</v>
      </c>
      <c r="C77" s="112">
        <v>16</v>
      </c>
      <c r="D77" s="112">
        <v>21</v>
      </c>
      <c r="E77" s="112">
        <v>39</v>
      </c>
      <c r="F77" s="112">
        <v>61</v>
      </c>
      <c r="G77" s="112">
        <v>62</v>
      </c>
      <c r="H77" s="112">
        <v>62</v>
      </c>
      <c r="I77" s="112">
        <v>69</v>
      </c>
      <c r="J77" s="112">
        <v>73</v>
      </c>
      <c r="K77" s="112">
        <v>77</v>
      </c>
      <c r="L77" s="112">
        <v>80</v>
      </c>
      <c r="M77" s="112">
        <v>81</v>
      </c>
    </row>
    <row r="78" spans="1:13" x14ac:dyDescent="0.25">
      <c r="A78" s="112" t="s">
        <v>135</v>
      </c>
      <c r="B78" s="112">
        <v>14</v>
      </c>
      <c r="C78" s="112">
        <v>21</v>
      </c>
      <c r="D78" s="112">
        <v>28</v>
      </c>
      <c r="E78" s="112">
        <v>58</v>
      </c>
      <c r="F78" s="112">
        <v>82</v>
      </c>
      <c r="G78" s="112">
        <v>85</v>
      </c>
      <c r="H78" s="112">
        <v>94</v>
      </c>
      <c r="I78" s="112">
        <v>104</v>
      </c>
      <c r="J78" s="112">
        <v>111</v>
      </c>
      <c r="K78" s="112">
        <v>116</v>
      </c>
      <c r="L78" s="112">
        <v>118</v>
      </c>
      <c r="M78" s="112">
        <v>111</v>
      </c>
    </row>
    <row r="79" spans="1:13" x14ac:dyDescent="0.25">
      <c r="A79" s="112" t="s">
        <v>134</v>
      </c>
      <c r="B79" s="112">
        <v>10</v>
      </c>
      <c r="C79" s="112">
        <v>16</v>
      </c>
      <c r="D79" s="112">
        <v>23</v>
      </c>
      <c r="E79" s="112">
        <v>55</v>
      </c>
      <c r="F79" s="112">
        <v>80</v>
      </c>
      <c r="G79" s="112">
        <v>81</v>
      </c>
      <c r="H79" s="112">
        <v>85</v>
      </c>
      <c r="I79" s="112">
        <v>96</v>
      </c>
      <c r="J79" s="112">
        <v>102</v>
      </c>
      <c r="K79" s="112">
        <v>108</v>
      </c>
      <c r="L79" s="112">
        <v>110</v>
      </c>
      <c r="M79" s="112">
        <v>112</v>
      </c>
    </row>
    <row r="80" spans="1:13" x14ac:dyDescent="0.25">
      <c r="A80" s="112" t="s">
        <v>133</v>
      </c>
      <c r="B80" s="112">
        <v>8</v>
      </c>
      <c r="C80" s="112">
        <v>14</v>
      </c>
      <c r="D80" s="112">
        <v>16</v>
      </c>
      <c r="E80" s="112">
        <v>42</v>
      </c>
      <c r="F80" s="112">
        <v>46</v>
      </c>
      <c r="G80" s="112">
        <v>58</v>
      </c>
      <c r="H80" s="112">
        <v>77</v>
      </c>
      <c r="I80" s="112">
        <v>89</v>
      </c>
      <c r="J80" s="112">
        <v>93</v>
      </c>
      <c r="K80" s="112">
        <v>97</v>
      </c>
      <c r="L80" s="112">
        <v>98</v>
      </c>
      <c r="M80" s="112">
        <v>98</v>
      </c>
    </row>
    <row r="81" spans="1:13" x14ac:dyDescent="0.25">
      <c r="A81" s="112" t="s">
        <v>132</v>
      </c>
      <c r="B81" s="112">
        <v>13</v>
      </c>
      <c r="C81" s="112">
        <v>21</v>
      </c>
      <c r="D81" s="112">
        <v>31</v>
      </c>
      <c r="E81" s="112">
        <v>63</v>
      </c>
      <c r="F81" s="112">
        <v>76</v>
      </c>
      <c r="G81" s="112">
        <v>81</v>
      </c>
      <c r="H81" s="112">
        <v>88</v>
      </c>
      <c r="I81" s="112">
        <v>103</v>
      </c>
      <c r="J81" s="112">
        <v>108</v>
      </c>
      <c r="K81" s="112">
        <v>113</v>
      </c>
      <c r="L81" s="112">
        <v>115</v>
      </c>
      <c r="M81" s="112">
        <v>116</v>
      </c>
    </row>
    <row r="82" spans="1:13" x14ac:dyDescent="0.25">
      <c r="A82" s="112" t="s">
        <v>131</v>
      </c>
      <c r="B82" s="112">
        <v>11</v>
      </c>
      <c r="C82" s="112">
        <v>17</v>
      </c>
      <c r="D82" s="112">
        <v>26</v>
      </c>
      <c r="E82" s="112">
        <v>45</v>
      </c>
      <c r="F82" s="112">
        <v>48</v>
      </c>
      <c r="G82" s="112">
        <v>58</v>
      </c>
      <c r="H82" s="112">
        <v>74</v>
      </c>
      <c r="I82" s="112">
        <v>86</v>
      </c>
      <c r="J82" s="112">
        <v>90</v>
      </c>
      <c r="K82" s="112">
        <v>94</v>
      </c>
      <c r="L82" s="112">
        <v>95</v>
      </c>
      <c r="M82" s="112">
        <v>95</v>
      </c>
    </row>
    <row r="83" spans="1:13" x14ac:dyDescent="0.25">
      <c r="A83" s="112" t="s">
        <v>130</v>
      </c>
      <c r="B83" s="112">
        <v>12</v>
      </c>
      <c r="C83" s="112">
        <v>18</v>
      </c>
      <c r="D83" s="112">
        <v>23</v>
      </c>
      <c r="E83" s="112">
        <v>53</v>
      </c>
      <c r="F83" s="112">
        <v>71</v>
      </c>
      <c r="G83" s="112">
        <v>80</v>
      </c>
      <c r="H83" s="112">
        <v>95</v>
      </c>
      <c r="I83" s="112">
        <v>102</v>
      </c>
      <c r="J83" s="112">
        <v>104</v>
      </c>
      <c r="K83" s="112">
        <v>107</v>
      </c>
      <c r="L83" s="112">
        <v>107</v>
      </c>
      <c r="M83" s="112">
        <v>102</v>
      </c>
    </row>
    <row r="84" spans="1:13" x14ac:dyDescent="0.25">
      <c r="A84" s="112" t="s">
        <v>129</v>
      </c>
      <c r="B84" s="112">
        <v>10</v>
      </c>
      <c r="C84" s="112">
        <v>15</v>
      </c>
      <c r="D84" s="112">
        <v>22</v>
      </c>
      <c r="E84" s="112">
        <v>44</v>
      </c>
      <c r="F84" s="112">
        <v>64</v>
      </c>
      <c r="G84" s="112">
        <v>71</v>
      </c>
      <c r="H84" s="112">
        <v>82</v>
      </c>
      <c r="I84" s="112">
        <v>88</v>
      </c>
      <c r="J84" s="112">
        <v>91</v>
      </c>
      <c r="K84" s="112">
        <v>95</v>
      </c>
      <c r="L84" s="112">
        <v>97</v>
      </c>
      <c r="M84" s="112">
        <v>97</v>
      </c>
    </row>
    <row r="85" spans="1:13" x14ac:dyDescent="0.25">
      <c r="A85" s="112" t="s">
        <v>128</v>
      </c>
      <c r="B85" s="112">
        <v>11</v>
      </c>
      <c r="C85" s="112">
        <v>17</v>
      </c>
      <c r="D85" s="112">
        <v>25</v>
      </c>
      <c r="E85" s="112">
        <v>57</v>
      </c>
      <c r="F85" s="112">
        <v>68</v>
      </c>
      <c r="G85" s="112">
        <v>73</v>
      </c>
      <c r="H85" s="112">
        <v>86</v>
      </c>
      <c r="I85" s="112">
        <v>91</v>
      </c>
      <c r="J85" s="112">
        <v>95</v>
      </c>
      <c r="K85" s="112">
        <v>98</v>
      </c>
      <c r="L85" s="112">
        <v>97</v>
      </c>
      <c r="M85" s="112">
        <v>98</v>
      </c>
    </row>
    <row r="86" spans="1:13" x14ac:dyDescent="0.25">
      <c r="A86" s="112" t="s">
        <v>127</v>
      </c>
      <c r="B86" s="112">
        <v>9</v>
      </c>
      <c r="C86" s="112">
        <v>14</v>
      </c>
      <c r="D86" s="112">
        <v>19</v>
      </c>
      <c r="E86" s="112">
        <v>46</v>
      </c>
      <c r="F86" s="112">
        <v>64</v>
      </c>
      <c r="G86" s="112">
        <v>74</v>
      </c>
      <c r="H86" s="112">
        <v>93</v>
      </c>
      <c r="I86" s="112">
        <v>103</v>
      </c>
      <c r="J86" s="112">
        <v>108</v>
      </c>
      <c r="K86" s="112">
        <v>110</v>
      </c>
      <c r="L86" s="112">
        <v>112</v>
      </c>
      <c r="M86" s="112">
        <v>110</v>
      </c>
    </row>
    <row r="87" spans="1:13" x14ac:dyDescent="0.25">
      <c r="A87" s="112" t="s">
        <v>126</v>
      </c>
      <c r="B87" s="112">
        <v>7</v>
      </c>
      <c r="C87" s="112">
        <v>13</v>
      </c>
      <c r="D87" s="112">
        <v>17</v>
      </c>
      <c r="E87" s="112">
        <v>48</v>
      </c>
      <c r="F87" s="112">
        <v>67</v>
      </c>
      <c r="G87" s="112">
        <v>76</v>
      </c>
      <c r="H87" s="112">
        <v>82</v>
      </c>
      <c r="I87" s="112">
        <v>95</v>
      </c>
      <c r="J87" s="112">
        <v>101</v>
      </c>
      <c r="K87" s="112">
        <v>105</v>
      </c>
      <c r="L87" s="112">
        <v>107</v>
      </c>
      <c r="M87" s="112">
        <v>106</v>
      </c>
    </row>
    <row r="88" spans="1:13" x14ac:dyDescent="0.25">
      <c r="A88" s="112" t="s">
        <v>125</v>
      </c>
      <c r="B88" s="112">
        <v>6</v>
      </c>
      <c r="C88" s="112">
        <v>11</v>
      </c>
      <c r="D88" s="112">
        <v>15</v>
      </c>
      <c r="E88" s="112">
        <v>35</v>
      </c>
      <c r="F88" s="112">
        <v>58</v>
      </c>
      <c r="G88" s="112">
        <v>64</v>
      </c>
      <c r="H88" s="112">
        <v>71</v>
      </c>
      <c r="I88" s="112">
        <v>77</v>
      </c>
      <c r="J88" s="112">
        <v>82</v>
      </c>
      <c r="K88" s="112">
        <v>85</v>
      </c>
      <c r="L88" s="112">
        <v>86</v>
      </c>
      <c r="M88" s="112">
        <v>86</v>
      </c>
    </row>
    <row r="89" spans="1:13" x14ac:dyDescent="0.25">
      <c r="A89" s="112" t="s">
        <v>124</v>
      </c>
      <c r="B89" s="112">
        <v>6</v>
      </c>
      <c r="C89" s="112">
        <v>12</v>
      </c>
      <c r="D89" s="112">
        <v>17</v>
      </c>
      <c r="E89" s="112">
        <v>38</v>
      </c>
      <c r="F89" s="112">
        <v>60</v>
      </c>
      <c r="G89" s="112">
        <v>71</v>
      </c>
      <c r="H89" s="112">
        <v>88</v>
      </c>
      <c r="I89" s="112">
        <v>95</v>
      </c>
      <c r="J89" s="112">
        <v>98</v>
      </c>
      <c r="K89" s="112">
        <v>100</v>
      </c>
      <c r="L89" s="112">
        <v>103</v>
      </c>
      <c r="M89" s="112">
        <v>95</v>
      </c>
    </row>
    <row r="90" spans="1:13" x14ac:dyDescent="0.25">
      <c r="A90" s="112" t="s">
        <v>123</v>
      </c>
      <c r="B90" s="112">
        <v>5</v>
      </c>
      <c r="C90" s="112">
        <v>11</v>
      </c>
      <c r="D90" s="112">
        <v>17</v>
      </c>
      <c r="E90" s="112">
        <v>48</v>
      </c>
      <c r="F90" s="112">
        <v>73</v>
      </c>
      <c r="G90" s="112">
        <v>79</v>
      </c>
      <c r="H90" s="112">
        <v>82</v>
      </c>
      <c r="I90" s="112">
        <v>87</v>
      </c>
      <c r="J90" s="112">
        <v>92</v>
      </c>
      <c r="K90" s="112">
        <v>96</v>
      </c>
      <c r="L90" s="112">
        <v>98</v>
      </c>
      <c r="M90" s="112">
        <v>99</v>
      </c>
    </row>
    <row r="91" spans="1:13" x14ac:dyDescent="0.25">
      <c r="A91" s="112" t="s">
        <v>122</v>
      </c>
      <c r="B91" s="112">
        <v>7</v>
      </c>
      <c r="C91" s="112">
        <v>13</v>
      </c>
      <c r="D91" s="112">
        <v>18</v>
      </c>
      <c r="E91" s="112">
        <v>45</v>
      </c>
      <c r="F91" s="112">
        <v>68</v>
      </c>
      <c r="G91" s="112">
        <v>77</v>
      </c>
      <c r="H91" s="112">
        <v>85</v>
      </c>
      <c r="I91" s="112">
        <v>90</v>
      </c>
      <c r="J91" s="112">
        <v>95</v>
      </c>
      <c r="K91" s="112">
        <v>100</v>
      </c>
      <c r="L91" s="112">
        <v>103</v>
      </c>
      <c r="M91" s="112">
        <v>103</v>
      </c>
    </row>
    <row r="92" spans="1:13" x14ac:dyDescent="0.25">
      <c r="A92" s="112" t="s">
        <v>121</v>
      </c>
      <c r="B92" s="112">
        <v>6</v>
      </c>
      <c r="C92" s="112">
        <v>11</v>
      </c>
      <c r="D92" s="112">
        <v>19</v>
      </c>
      <c r="E92" s="112">
        <v>41</v>
      </c>
      <c r="F92" s="112">
        <v>59</v>
      </c>
      <c r="G92" s="112">
        <v>66</v>
      </c>
      <c r="H92" s="112">
        <v>81</v>
      </c>
      <c r="I92" s="112">
        <v>93</v>
      </c>
      <c r="J92" s="112">
        <v>96</v>
      </c>
      <c r="K92" s="112">
        <v>100</v>
      </c>
      <c r="L92" s="112">
        <v>104</v>
      </c>
      <c r="M92" s="112">
        <v>106</v>
      </c>
    </row>
    <row r="93" spans="1:13" x14ac:dyDescent="0.25">
      <c r="A93" s="112" t="s">
        <v>120</v>
      </c>
      <c r="B93" s="112">
        <v>9</v>
      </c>
      <c r="C93" s="112">
        <v>15</v>
      </c>
      <c r="D93" s="112">
        <v>19</v>
      </c>
      <c r="E93" s="112">
        <v>44</v>
      </c>
      <c r="F93" s="112">
        <v>61</v>
      </c>
      <c r="G93" s="112">
        <v>67</v>
      </c>
      <c r="H93" s="112">
        <v>78</v>
      </c>
      <c r="I93" s="112">
        <v>88</v>
      </c>
      <c r="J93" s="112">
        <v>91</v>
      </c>
      <c r="K93" s="112">
        <v>94</v>
      </c>
      <c r="L93" s="112">
        <v>97</v>
      </c>
      <c r="M93" s="112">
        <v>99</v>
      </c>
    </row>
    <row r="94" spans="1:13" x14ac:dyDescent="0.25">
      <c r="A94" s="112" t="s">
        <v>119</v>
      </c>
      <c r="B94" s="112">
        <v>7</v>
      </c>
      <c r="C94" s="112">
        <v>12</v>
      </c>
      <c r="D94" s="112">
        <v>19</v>
      </c>
      <c r="E94" s="112">
        <v>39</v>
      </c>
      <c r="F94" s="112">
        <v>59</v>
      </c>
      <c r="G94" s="112">
        <v>65</v>
      </c>
      <c r="H94" s="112">
        <v>81</v>
      </c>
      <c r="I94" s="112">
        <v>93</v>
      </c>
      <c r="J94" s="112">
        <v>97</v>
      </c>
      <c r="K94" s="112">
        <v>101</v>
      </c>
      <c r="L94" s="112">
        <v>104</v>
      </c>
      <c r="M94" s="112">
        <v>105</v>
      </c>
    </row>
    <row r="95" spans="1:13" x14ac:dyDescent="0.25">
      <c r="A95" s="112" t="s">
        <v>118</v>
      </c>
      <c r="B95" s="112">
        <v>6</v>
      </c>
      <c r="C95" s="112">
        <v>11</v>
      </c>
      <c r="D95" s="112">
        <v>16</v>
      </c>
      <c r="E95" s="112">
        <v>37</v>
      </c>
      <c r="F95" s="112">
        <v>59</v>
      </c>
      <c r="G95" s="112">
        <v>64</v>
      </c>
      <c r="H95" s="112">
        <v>77</v>
      </c>
      <c r="I95" s="112">
        <v>88</v>
      </c>
      <c r="J95" s="112">
        <v>90</v>
      </c>
      <c r="K95" s="112">
        <v>92</v>
      </c>
      <c r="L95" s="112">
        <v>93</v>
      </c>
      <c r="M95" s="112">
        <v>93</v>
      </c>
    </row>
    <row r="96" spans="1:13" x14ac:dyDescent="0.25">
      <c r="A96" s="112" t="s">
        <v>117</v>
      </c>
      <c r="B96" s="112">
        <v>6</v>
      </c>
      <c r="C96" s="112">
        <v>11</v>
      </c>
      <c r="D96" s="112">
        <v>13</v>
      </c>
      <c r="E96" s="112">
        <v>29</v>
      </c>
      <c r="F96" s="112">
        <v>53</v>
      </c>
      <c r="G96" s="112">
        <v>56</v>
      </c>
      <c r="H96" s="112">
        <v>66</v>
      </c>
      <c r="I96" s="112">
        <v>73</v>
      </c>
      <c r="J96" s="112">
        <v>76</v>
      </c>
      <c r="K96" s="112">
        <v>78</v>
      </c>
      <c r="L96" s="112">
        <v>79</v>
      </c>
      <c r="M96" s="112">
        <v>79</v>
      </c>
    </row>
    <row r="97" spans="1:13" x14ac:dyDescent="0.25">
      <c r="A97" s="112" t="s">
        <v>116</v>
      </c>
      <c r="B97" s="112">
        <v>8</v>
      </c>
      <c r="C97" s="112">
        <v>13</v>
      </c>
      <c r="D97" s="112">
        <v>15</v>
      </c>
      <c r="E97" s="112">
        <v>40</v>
      </c>
      <c r="F97" s="112">
        <v>60</v>
      </c>
      <c r="G97" s="112">
        <v>65</v>
      </c>
      <c r="H97" s="112">
        <v>79</v>
      </c>
      <c r="I97" s="112">
        <v>89</v>
      </c>
      <c r="J97" s="112">
        <v>91</v>
      </c>
      <c r="K97" s="112">
        <v>93</v>
      </c>
      <c r="L97" s="112">
        <v>95</v>
      </c>
      <c r="M97" s="112">
        <v>97</v>
      </c>
    </row>
    <row r="98" spans="1:13" x14ac:dyDescent="0.25">
      <c r="A98" s="112" t="s">
        <v>115</v>
      </c>
      <c r="B98" s="112">
        <v>4</v>
      </c>
      <c r="C98" s="112">
        <v>10</v>
      </c>
      <c r="D98" s="112">
        <v>14</v>
      </c>
      <c r="E98" s="112">
        <v>35</v>
      </c>
      <c r="F98" s="112">
        <v>63</v>
      </c>
      <c r="G98" s="112">
        <v>64</v>
      </c>
      <c r="H98" s="112">
        <v>74</v>
      </c>
      <c r="I98" s="112">
        <v>82</v>
      </c>
      <c r="J98" s="112">
        <v>86</v>
      </c>
      <c r="K98" s="112">
        <v>87</v>
      </c>
      <c r="L98" s="112">
        <v>89</v>
      </c>
      <c r="M98" s="112">
        <v>90</v>
      </c>
    </row>
    <row r="99" spans="1:13" x14ac:dyDescent="0.25">
      <c r="A99" s="112" t="s">
        <v>114</v>
      </c>
      <c r="B99" s="112">
        <v>5</v>
      </c>
      <c r="C99" s="112">
        <v>11</v>
      </c>
      <c r="D99" s="112">
        <v>20</v>
      </c>
      <c r="E99" s="112">
        <v>46</v>
      </c>
      <c r="F99" s="112">
        <v>58</v>
      </c>
      <c r="G99" s="112">
        <v>65</v>
      </c>
      <c r="H99" s="112">
        <v>76</v>
      </c>
      <c r="I99" s="112">
        <v>83</v>
      </c>
      <c r="J99" s="112">
        <v>87</v>
      </c>
      <c r="K99" s="112">
        <v>89</v>
      </c>
      <c r="L99" s="112">
        <v>91</v>
      </c>
      <c r="M99" s="112">
        <v>91</v>
      </c>
    </row>
    <row r="100" spans="1:13" x14ac:dyDescent="0.25">
      <c r="A100" s="112" t="s">
        <v>113</v>
      </c>
      <c r="B100" s="112">
        <v>3</v>
      </c>
      <c r="C100" s="112">
        <v>8</v>
      </c>
      <c r="D100" s="112">
        <v>13</v>
      </c>
      <c r="E100" s="112">
        <v>34</v>
      </c>
      <c r="F100" s="112">
        <v>57</v>
      </c>
      <c r="G100" s="112">
        <v>67</v>
      </c>
      <c r="H100" s="112">
        <v>80</v>
      </c>
      <c r="I100" s="112">
        <v>86</v>
      </c>
      <c r="J100" s="112">
        <v>90</v>
      </c>
      <c r="K100" s="112">
        <v>94</v>
      </c>
      <c r="L100" s="112">
        <v>95</v>
      </c>
      <c r="M100" s="112">
        <v>85</v>
      </c>
    </row>
    <row r="101" spans="1:13" x14ac:dyDescent="0.25">
      <c r="A101" s="112" t="s">
        <v>112</v>
      </c>
      <c r="B101" s="112">
        <v>4</v>
      </c>
      <c r="C101" s="112">
        <v>10</v>
      </c>
      <c r="D101" s="112">
        <v>16</v>
      </c>
      <c r="E101" s="112">
        <v>29</v>
      </c>
      <c r="F101" s="112">
        <v>47</v>
      </c>
      <c r="G101" s="112">
        <v>60</v>
      </c>
      <c r="H101" s="112">
        <v>80</v>
      </c>
      <c r="I101" s="112">
        <v>89</v>
      </c>
      <c r="J101" s="112">
        <v>93</v>
      </c>
      <c r="K101" s="112">
        <v>95</v>
      </c>
      <c r="L101" s="112">
        <v>96</v>
      </c>
      <c r="M101" s="112">
        <v>96</v>
      </c>
    </row>
    <row r="102" spans="1:13" x14ac:dyDescent="0.25">
      <c r="A102" s="112" t="s">
        <v>111</v>
      </c>
      <c r="B102" s="112">
        <v>6</v>
      </c>
      <c r="C102" s="112">
        <v>13</v>
      </c>
      <c r="D102" s="112">
        <v>18</v>
      </c>
      <c r="E102" s="112">
        <v>41</v>
      </c>
      <c r="F102" s="112">
        <v>59</v>
      </c>
      <c r="G102" s="112">
        <v>69</v>
      </c>
      <c r="H102" s="112">
        <v>86</v>
      </c>
      <c r="I102" s="112">
        <v>92</v>
      </c>
      <c r="J102" s="112">
        <v>97</v>
      </c>
      <c r="K102" s="112">
        <v>100</v>
      </c>
      <c r="L102" s="112">
        <v>104</v>
      </c>
      <c r="M102" s="112">
        <v>103</v>
      </c>
    </row>
    <row r="103" spans="1:13" x14ac:dyDescent="0.25">
      <c r="A103" s="112" t="s">
        <v>110</v>
      </c>
      <c r="B103" s="112">
        <v>4</v>
      </c>
      <c r="C103" s="112">
        <v>10</v>
      </c>
      <c r="D103" s="112">
        <v>15</v>
      </c>
      <c r="E103" s="112">
        <v>34</v>
      </c>
      <c r="F103" s="112">
        <v>48</v>
      </c>
      <c r="G103" s="112">
        <v>58</v>
      </c>
      <c r="H103" s="112">
        <v>83</v>
      </c>
      <c r="I103" s="112">
        <v>94</v>
      </c>
      <c r="J103" s="112">
        <v>99</v>
      </c>
      <c r="K103" s="112">
        <v>102</v>
      </c>
      <c r="L103" s="112">
        <v>105</v>
      </c>
      <c r="M103" s="112">
        <v>106</v>
      </c>
    </row>
    <row r="104" spans="1:13" x14ac:dyDescent="0.25">
      <c r="A104" s="112" t="s">
        <v>109</v>
      </c>
      <c r="B104" s="112">
        <v>8</v>
      </c>
      <c r="C104" s="112">
        <v>13</v>
      </c>
      <c r="D104" s="112">
        <v>19</v>
      </c>
      <c r="E104" s="112">
        <v>48</v>
      </c>
      <c r="F104" s="112">
        <v>62</v>
      </c>
      <c r="G104" s="112">
        <v>75</v>
      </c>
      <c r="H104" s="112">
        <v>86</v>
      </c>
      <c r="I104" s="112">
        <v>99</v>
      </c>
      <c r="J104" s="112">
        <v>101</v>
      </c>
      <c r="K104" s="112">
        <v>106</v>
      </c>
      <c r="L104" s="112">
        <v>108</v>
      </c>
      <c r="M104" s="112">
        <v>109</v>
      </c>
    </row>
    <row r="105" spans="1:13" x14ac:dyDescent="0.25">
      <c r="A105" s="112" t="s">
        <v>108</v>
      </c>
      <c r="B105" s="112">
        <v>7</v>
      </c>
      <c r="C105" s="112">
        <v>10</v>
      </c>
      <c r="D105" s="112">
        <v>14</v>
      </c>
      <c r="E105" s="112">
        <v>30</v>
      </c>
      <c r="F105" s="112">
        <v>47</v>
      </c>
      <c r="G105" s="112">
        <v>50</v>
      </c>
      <c r="H105" s="112">
        <v>56</v>
      </c>
      <c r="I105" s="112">
        <v>60</v>
      </c>
      <c r="J105" s="112">
        <v>65</v>
      </c>
      <c r="K105" s="112">
        <v>69</v>
      </c>
      <c r="L105" s="112">
        <v>72</v>
      </c>
      <c r="M105" s="112">
        <v>72</v>
      </c>
    </row>
    <row r="106" spans="1:13" x14ac:dyDescent="0.25">
      <c r="A106" s="112" t="s">
        <v>107</v>
      </c>
      <c r="B106" s="112">
        <v>6</v>
      </c>
      <c r="C106" s="112">
        <v>9</v>
      </c>
      <c r="D106" s="112">
        <v>14</v>
      </c>
      <c r="E106" s="112">
        <v>33</v>
      </c>
      <c r="F106" s="112">
        <v>48</v>
      </c>
      <c r="G106" s="112">
        <v>50</v>
      </c>
      <c r="H106" s="112">
        <v>56</v>
      </c>
      <c r="I106" s="112">
        <v>60</v>
      </c>
      <c r="J106" s="112">
        <v>64</v>
      </c>
      <c r="K106" s="112">
        <v>68</v>
      </c>
      <c r="L106" s="112">
        <v>70</v>
      </c>
      <c r="M106" s="112">
        <v>71</v>
      </c>
    </row>
    <row r="107" spans="1:13" x14ac:dyDescent="0.25">
      <c r="A107" s="112" t="s">
        <v>106</v>
      </c>
      <c r="B107" s="112">
        <v>6</v>
      </c>
      <c r="C107" s="112">
        <v>10</v>
      </c>
      <c r="D107" s="112">
        <v>15</v>
      </c>
      <c r="E107" s="112">
        <v>37</v>
      </c>
      <c r="F107" s="112">
        <v>64</v>
      </c>
      <c r="G107" s="112">
        <v>69</v>
      </c>
      <c r="H107" s="112">
        <v>83</v>
      </c>
      <c r="I107" s="112">
        <v>89</v>
      </c>
      <c r="J107" s="112">
        <v>91</v>
      </c>
      <c r="K107" s="112">
        <v>93</v>
      </c>
      <c r="L107" s="112">
        <v>93</v>
      </c>
      <c r="M107" s="112">
        <v>92</v>
      </c>
    </row>
    <row r="108" spans="1:13" x14ac:dyDescent="0.25">
      <c r="A108" s="112" t="s">
        <v>105</v>
      </c>
      <c r="B108" s="112">
        <v>6</v>
      </c>
      <c r="C108" s="112">
        <v>9</v>
      </c>
      <c r="D108" s="112">
        <v>15</v>
      </c>
      <c r="E108" s="112">
        <v>34</v>
      </c>
      <c r="F108" s="112">
        <v>54</v>
      </c>
      <c r="G108" s="112">
        <v>60</v>
      </c>
      <c r="H108" s="112">
        <v>74</v>
      </c>
      <c r="I108" s="112">
        <v>81</v>
      </c>
      <c r="J108" s="112">
        <v>83</v>
      </c>
      <c r="K108" s="112">
        <v>84</v>
      </c>
      <c r="L108" s="112">
        <v>84</v>
      </c>
      <c r="M108" s="112">
        <v>85</v>
      </c>
    </row>
    <row r="109" spans="1:13" x14ac:dyDescent="0.25">
      <c r="A109" s="112" t="s">
        <v>104</v>
      </c>
      <c r="B109" s="112">
        <v>8</v>
      </c>
      <c r="C109" s="112">
        <v>13</v>
      </c>
      <c r="D109" s="112">
        <v>17</v>
      </c>
      <c r="E109" s="112">
        <v>39</v>
      </c>
      <c r="F109" s="112">
        <v>54</v>
      </c>
      <c r="G109" s="112">
        <v>64</v>
      </c>
      <c r="H109" s="112">
        <v>88</v>
      </c>
      <c r="I109" s="112">
        <v>95</v>
      </c>
      <c r="J109" s="112">
        <v>98</v>
      </c>
      <c r="K109" s="112">
        <v>101</v>
      </c>
      <c r="L109" s="112">
        <v>102</v>
      </c>
      <c r="M109" s="112">
        <v>93</v>
      </c>
    </row>
    <row r="110" spans="1:13" x14ac:dyDescent="0.25">
      <c r="A110" s="112" t="s">
        <v>103</v>
      </c>
      <c r="B110" s="112">
        <v>16</v>
      </c>
      <c r="C110" s="112">
        <v>22</v>
      </c>
      <c r="D110" s="112">
        <v>30</v>
      </c>
      <c r="E110" s="112">
        <v>62</v>
      </c>
      <c r="F110" s="112">
        <v>78</v>
      </c>
      <c r="G110" s="112">
        <v>73</v>
      </c>
      <c r="H110" s="112">
        <v>91</v>
      </c>
      <c r="I110" s="112">
        <v>101</v>
      </c>
      <c r="J110" s="112">
        <v>106</v>
      </c>
      <c r="K110" s="112">
        <v>109</v>
      </c>
      <c r="L110" s="112">
        <v>110</v>
      </c>
      <c r="M110" s="112">
        <v>110</v>
      </c>
    </row>
    <row r="111" spans="1:13" x14ac:dyDescent="0.25">
      <c r="A111" s="112" t="s">
        <v>102</v>
      </c>
      <c r="B111" s="112">
        <v>15</v>
      </c>
      <c r="C111" s="112">
        <v>23</v>
      </c>
      <c r="D111" s="112">
        <v>32</v>
      </c>
      <c r="E111" s="112">
        <v>69</v>
      </c>
      <c r="F111" s="112">
        <v>92</v>
      </c>
      <c r="G111" s="112">
        <v>96</v>
      </c>
      <c r="H111" s="112">
        <v>103</v>
      </c>
      <c r="I111" s="112">
        <v>112</v>
      </c>
      <c r="J111" s="112">
        <v>115</v>
      </c>
      <c r="K111" s="112">
        <v>117</v>
      </c>
      <c r="L111" s="112">
        <v>116</v>
      </c>
      <c r="M111" s="112">
        <v>98</v>
      </c>
    </row>
    <row r="112" spans="1:13" x14ac:dyDescent="0.25">
      <c r="A112" s="112" t="s">
        <v>101</v>
      </c>
      <c r="B112" s="112">
        <v>11</v>
      </c>
      <c r="C112" s="112">
        <v>16</v>
      </c>
      <c r="D112" s="112">
        <v>20</v>
      </c>
      <c r="E112" s="112">
        <v>50</v>
      </c>
      <c r="F112" s="112">
        <v>70</v>
      </c>
      <c r="G112" s="112">
        <v>73</v>
      </c>
      <c r="H112" s="112">
        <v>75</v>
      </c>
      <c r="I112" s="112">
        <v>81</v>
      </c>
      <c r="J112" s="112">
        <v>83</v>
      </c>
      <c r="K112" s="112">
        <v>85</v>
      </c>
      <c r="L112" s="112">
        <v>85</v>
      </c>
      <c r="M112" s="112">
        <v>85</v>
      </c>
    </row>
    <row r="113" spans="1:13" x14ac:dyDescent="0.25">
      <c r="A113" s="112" t="s">
        <v>100</v>
      </c>
      <c r="B113" s="112">
        <v>15</v>
      </c>
      <c r="C113" s="112">
        <v>24</v>
      </c>
      <c r="D113" s="112">
        <v>28</v>
      </c>
      <c r="E113" s="112">
        <v>57</v>
      </c>
      <c r="F113" s="112">
        <v>77</v>
      </c>
      <c r="G113" s="112">
        <v>84</v>
      </c>
      <c r="H113" s="112">
        <v>96</v>
      </c>
      <c r="I113" s="112">
        <v>103</v>
      </c>
      <c r="J113" s="112">
        <v>107</v>
      </c>
      <c r="K113" s="112">
        <v>114</v>
      </c>
      <c r="L113" s="112">
        <v>117</v>
      </c>
      <c r="M113" s="112">
        <v>117</v>
      </c>
    </row>
    <row r="114" spans="1:13" x14ac:dyDescent="0.25">
      <c r="A114" s="112" t="s">
        <v>99</v>
      </c>
      <c r="B114" s="112">
        <v>14</v>
      </c>
      <c r="C114" s="112">
        <v>21</v>
      </c>
      <c r="D114" s="112">
        <v>29</v>
      </c>
      <c r="E114" s="112">
        <v>64</v>
      </c>
      <c r="F114" s="112">
        <v>86</v>
      </c>
      <c r="G114" s="112">
        <v>90</v>
      </c>
      <c r="H114" s="112">
        <v>100</v>
      </c>
      <c r="I114" s="112">
        <v>109</v>
      </c>
      <c r="J114" s="112">
        <v>114</v>
      </c>
      <c r="K114" s="112">
        <v>117</v>
      </c>
      <c r="L114" s="112">
        <v>118</v>
      </c>
      <c r="M114" s="112">
        <v>116</v>
      </c>
    </row>
    <row r="115" spans="1:13" x14ac:dyDescent="0.25">
      <c r="A115" s="112" t="s">
        <v>98</v>
      </c>
      <c r="B115" s="112">
        <v>13</v>
      </c>
      <c r="C115" s="112">
        <v>19</v>
      </c>
      <c r="D115" s="112">
        <v>25</v>
      </c>
      <c r="E115" s="112">
        <v>50</v>
      </c>
      <c r="F115" s="112">
        <v>70</v>
      </c>
      <c r="G115" s="112">
        <v>73</v>
      </c>
      <c r="H115" s="112">
        <v>83</v>
      </c>
      <c r="I115" s="112">
        <v>94</v>
      </c>
      <c r="J115" s="112">
        <v>100</v>
      </c>
      <c r="K115" s="112">
        <v>104</v>
      </c>
      <c r="L115" s="112">
        <v>106</v>
      </c>
      <c r="M115" s="112">
        <v>108</v>
      </c>
    </row>
    <row r="116" spans="1:13" x14ac:dyDescent="0.25">
      <c r="A116" s="112" t="s">
        <v>97</v>
      </c>
      <c r="B116" s="112">
        <v>12</v>
      </c>
      <c r="C116" s="112">
        <v>18</v>
      </c>
      <c r="D116" s="112">
        <v>24</v>
      </c>
      <c r="E116" s="112">
        <v>61</v>
      </c>
      <c r="F116" s="112">
        <v>84</v>
      </c>
      <c r="G116" s="112">
        <v>90</v>
      </c>
      <c r="H116" s="112">
        <v>100</v>
      </c>
      <c r="I116" s="112">
        <v>104</v>
      </c>
      <c r="J116" s="112">
        <v>108</v>
      </c>
      <c r="K116" s="112">
        <v>110</v>
      </c>
      <c r="L116" s="112">
        <v>111</v>
      </c>
      <c r="M116" s="112">
        <v>108</v>
      </c>
    </row>
    <row r="117" spans="1:13" x14ac:dyDescent="0.25">
      <c r="A117" s="112" t="s">
        <v>96</v>
      </c>
      <c r="B117" s="112">
        <v>11</v>
      </c>
      <c r="C117" s="112">
        <v>18</v>
      </c>
      <c r="D117" s="112">
        <v>26</v>
      </c>
      <c r="E117" s="112">
        <v>61</v>
      </c>
      <c r="F117" s="112">
        <v>81</v>
      </c>
      <c r="G117" s="112">
        <v>84</v>
      </c>
      <c r="H117" s="112">
        <v>87</v>
      </c>
      <c r="I117" s="112">
        <v>95</v>
      </c>
      <c r="J117" s="112">
        <v>99</v>
      </c>
      <c r="K117" s="112">
        <v>103</v>
      </c>
      <c r="L117" s="112">
        <v>105</v>
      </c>
      <c r="M117" s="112">
        <v>105</v>
      </c>
    </row>
    <row r="118" spans="1:13" x14ac:dyDescent="0.25">
      <c r="A118" s="112" t="s">
        <v>95</v>
      </c>
      <c r="B118" s="112">
        <v>11</v>
      </c>
      <c r="C118" s="112">
        <v>17</v>
      </c>
      <c r="D118" s="112">
        <v>27</v>
      </c>
      <c r="E118" s="112">
        <v>54</v>
      </c>
      <c r="F118" s="112">
        <v>67</v>
      </c>
      <c r="G118" s="112">
        <v>68</v>
      </c>
      <c r="H118" s="112">
        <v>71</v>
      </c>
      <c r="I118" s="112">
        <v>79</v>
      </c>
      <c r="J118" s="112">
        <v>83</v>
      </c>
      <c r="K118" s="112">
        <v>86</v>
      </c>
      <c r="L118" s="112">
        <v>88</v>
      </c>
      <c r="M118" s="112">
        <v>89</v>
      </c>
    </row>
    <row r="119" spans="1:13" x14ac:dyDescent="0.25">
      <c r="A119" s="112" t="s">
        <v>94</v>
      </c>
      <c r="B119" s="112">
        <v>10</v>
      </c>
      <c r="C119" s="112">
        <v>14</v>
      </c>
      <c r="D119" s="112">
        <v>20</v>
      </c>
      <c r="E119" s="112">
        <v>53</v>
      </c>
      <c r="F119" s="112">
        <v>79</v>
      </c>
      <c r="G119" s="112">
        <v>84</v>
      </c>
      <c r="H119" s="112">
        <v>98</v>
      </c>
      <c r="I119" s="112">
        <v>104</v>
      </c>
      <c r="J119" s="112">
        <v>109</v>
      </c>
      <c r="K119" s="112">
        <v>114</v>
      </c>
      <c r="L119" s="112">
        <v>116</v>
      </c>
      <c r="M119" s="112">
        <v>101</v>
      </c>
    </row>
    <row r="120" spans="1:13" x14ac:dyDescent="0.25">
      <c r="A120" s="112" t="s">
        <v>93</v>
      </c>
      <c r="B120" s="112">
        <v>10</v>
      </c>
      <c r="C120" s="112">
        <v>13</v>
      </c>
      <c r="D120" s="112">
        <v>21</v>
      </c>
      <c r="E120" s="112">
        <v>40</v>
      </c>
      <c r="F120" s="112">
        <v>64</v>
      </c>
      <c r="G120" s="112">
        <v>67</v>
      </c>
      <c r="H120" s="112">
        <v>70</v>
      </c>
      <c r="I120" s="112">
        <v>82</v>
      </c>
      <c r="J120" s="112">
        <v>86</v>
      </c>
      <c r="K120" s="112">
        <v>88</v>
      </c>
      <c r="L120" s="112">
        <v>88</v>
      </c>
      <c r="M120" s="112">
        <v>89</v>
      </c>
    </row>
    <row r="121" spans="1:13" x14ac:dyDescent="0.25">
      <c r="A121" s="112" t="s">
        <v>92</v>
      </c>
      <c r="B121" s="112">
        <v>11</v>
      </c>
      <c r="C121" s="112">
        <v>16</v>
      </c>
      <c r="D121" s="112">
        <v>21</v>
      </c>
      <c r="E121" s="112">
        <v>49</v>
      </c>
      <c r="F121" s="112">
        <v>65</v>
      </c>
      <c r="G121" s="112">
        <v>68</v>
      </c>
      <c r="H121" s="112">
        <v>72</v>
      </c>
      <c r="I121" s="112">
        <v>83</v>
      </c>
      <c r="J121" s="112">
        <v>87</v>
      </c>
      <c r="K121" s="112">
        <v>88</v>
      </c>
      <c r="L121" s="112">
        <v>89</v>
      </c>
      <c r="M121" s="112">
        <v>90</v>
      </c>
    </row>
    <row r="122" spans="1:13" x14ac:dyDescent="0.25">
      <c r="A122" s="112" t="s">
        <v>91</v>
      </c>
      <c r="B122" s="112">
        <v>15</v>
      </c>
      <c r="C122" s="112">
        <v>23</v>
      </c>
      <c r="D122" s="112">
        <v>33</v>
      </c>
      <c r="E122" s="112">
        <v>59</v>
      </c>
      <c r="F122" s="112">
        <v>79</v>
      </c>
      <c r="G122" s="112">
        <v>80</v>
      </c>
      <c r="H122" s="112">
        <v>83</v>
      </c>
      <c r="I122" s="112">
        <v>101</v>
      </c>
      <c r="J122" s="112">
        <v>104</v>
      </c>
      <c r="K122" s="112">
        <v>106</v>
      </c>
      <c r="L122" s="112">
        <v>107</v>
      </c>
      <c r="M122" s="112">
        <v>105</v>
      </c>
    </row>
    <row r="123" spans="1:13" x14ac:dyDescent="0.25">
      <c r="A123" s="112" t="s">
        <v>90</v>
      </c>
      <c r="B123" s="112">
        <v>15</v>
      </c>
      <c r="C123" s="112">
        <v>23</v>
      </c>
      <c r="D123" s="112">
        <v>34</v>
      </c>
      <c r="E123" s="112">
        <v>67</v>
      </c>
      <c r="F123" s="112">
        <v>85</v>
      </c>
      <c r="G123" s="112">
        <v>87</v>
      </c>
      <c r="H123" s="112">
        <v>90</v>
      </c>
      <c r="I123" s="112">
        <v>97</v>
      </c>
      <c r="J123" s="112">
        <v>101</v>
      </c>
      <c r="K123" s="112">
        <v>103</v>
      </c>
      <c r="L123" s="112">
        <v>103</v>
      </c>
      <c r="M123" s="112">
        <v>103</v>
      </c>
    </row>
    <row r="124" spans="1:13" x14ac:dyDescent="0.25">
      <c r="A124" s="112" t="s">
        <v>89</v>
      </c>
      <c r="B124" s="112">
        <v>14</v>
      </c>
      <c r="C124" s="112">
        <v>24</v>
      </c>
      <c r="D124" s="112">
        <v>30</v>
      </c>
      <c r="E124" s="112">
        <v>62</v>
      </c>
      <c r="F124" s="112">
        <v>77</v>
      </c>
      <c r="G124" s="112">
        <v>79</v>
      </c>
      <c r="H124" s="112">
        <v>79</v>
      </c>
      <c r="I124" s="112">
        <v>87</v>
      </c>
      <c r="J124" s="112">
        <v>92</v>
      </c>
      <c r="K124" s="112">
        <v>96</v>
      </c>
      <c r="L124" s="112">
        <v>98</v>
      </c>
      <c r="M124" s="112">
        <v>99</v>
      </c>
    </row>
    <row r="125" spans="1:13" x14ac:dyDescent="0.25">
      <c r="A125" s="112" t="s">
        <v>88</v>
      </c>
      <c r="B125" s="112">
        <v>11</v>
      </c>
      <c r="C125" s="112">
        <v>18</v>
      </c>
      <c r="D125" s="112">
        <v>31</v>
      </c>
      <c r="E125" s="112">
        <v>62</v>
      </c>
      <c r="F125" s="112">
        <v>82</v>
      </c>
      <c r="G125" s="112">
        <v>88</v>
      </c>
      <c r="H125" s="112">
        <v>95</v>
      </c>
      <c r="I125" s="112">
        <v>97</v>
      </c>
      <c r="J125" s="112">
        <v>100</v>
      </c>
      <c r="K125" s="112">
        <v>102</v>
      </c>
      <c r="L125" s="112">
        <v>105</v>
      </c>
      <c r="M125" s="112">
        <v>107</v>
      </c>
    </row>
    <row r="126" spans="1:13" x14ac:dyDescent="0.25">
      <c r="A126" s="112" t="s">
        <v>87</v>
      </c>
      <c r="B126" s="112">
        <v>12</v>
      </c>
      <c r="C126" s="112">
        <v>19</v>
      </c>
      <c r="D126" s="112">
        <v>28</v>
      </c>
      <c r="E126" s="112">
        <v>64</v>
      </c>
      <c r="F126" s="112">
        <v>83</v>
      </c>
      <c r="G126" s="112">
        <v>91</v>
      </c>
      <c r="H126" s="112">
        <v>105</v>
      </c>
      <c r="I126" s="112">
        <v>109</v>
      </c>
      <c r="J126" s="112">
        <v>113</v>
      </c>
      <c r="K126" s="112">
        <v>115</v>
      </c>
      <c r="L126" s="112">
        <v>116</v>
      </c>
      <c r="M126" s="112">
        <v>108</v>
      </c>
    </row>
    <row r="127" spans="1:13" x14ac:dyDescent="0.25">
      <c r="A127" s="112" t="s">
        <v>86</v>
      </c>
      <c r="B127" s="112">
        <v>15</v>
      </c>
      <c r="C127" s="112">
        <v>23</v>
      </c>
      <c r="D127" s="112">
        <v>34</v>
      </c>
      <c r="E127" s="112">
        <v>73</v>
      </c>
      <c r="F127" s="112">
        <v>90</v>
      </c>
      <c r="G127" s="112">
        <v>95</v>
      </c>
      <c r="H127" s="112">
        <v>103</v>
      </c>
      <c r="I127" s="112">
        <v>106</v>
      </c>
      <c r="J127" s="112">
        <v>109</v>
      </c>
      <c r="K127" s="112">
        <v>111</v>
      </c>
      <c r="L127" s="112">
        <v>111</v>
      </c>
      <c r="M127" s="112">
        <v>109</v>
      </c>
    </row>
    <row r="128" spans="1:13" x14ac:dyDescent="0.25">
      <c r="A128" s="112" t="s">
        <v>85</v>
      </c>
      <c r="B128" s="112">
        <v>14</v>
      </c>
      <c r="C128" s="112">
        <v>20</v>
      </c>
      <c r="D128" s="112">
        <v>28</v>
      </c>
      <c r="E128" s="112">
        <v>64</v>
      </c>
      <c r="F128" s="112">
        <v>85</v>
      </c>
      <c r="G128" s="112">
        <v>91</v>
      </c>
      <c r="H128" s="112">
        <v>98</v>
      </c>
      <c r="I128" s="112">
        <v>101</v>
      </c>
      <c r="J128" s="112">
        <v>105</v>
      </c>
      <c r="K128" s="112">
        <v>109</v>
      </c>
      <c r="L128" s="112">
        <v>112</v>
      </c>
      <c r="M128" s="112">
        <v>112</v>
      </c>
    </row>
    <row r="129" spans="1:13" x14ac:dyDescent="0.25">
      <c r="A129" s="112" t="s">
        <v>84</v>
      </c>
      <c r="B129" s="112">
        <v>13</v>
      </c>
      <c r="C129" s="112">
        <v>20</v>
      </c>
      <c r="D129" s="112">
        <v>29</v>
      </c>
      <c r="E129" s="112">
        <v>65</v>
      </c>
      <c r="F129" s="112">
        <v>76</v>
      </c>
      <c r="G129" s="112">
        <v>86</v>
      </c>
      <c r="H129" s="112">
        <v>98</v>
      </c>
      <c r="I129" s="112">
        <v>105</v>
      </c>
      <c r="J129" s="112">
        <v>110</v>
      </c>
      <c r="K129" s="112">
        <v>115</v>
      </c>
      <c r="L129" s="112">
        <v>118</v>
      </c>
      <c r="M129" s="112">
        <v>111</v>
      </c>
    </row>
    <row r="130" spans="1:13" x14ac:dyDescent="0.25">
      <c r="A130" s="112" t="s">
        <v>83</v>
      </c>
      <c r="B130" s="112">
        <v>13</v>
      </c>
      <c r="C130" s="112">
        <v>20</v>
      </c>
      <c r="D130" s="112">
        <v>26</v>
      </c>
      <c r="E130" s="112">
        <v>53</v>
      </c>
      <c r="F130" s="112">
        <v>63</v>
      </c>
      <c r="G130" s="112">
        <v>69</v>
      </c>
      <c r="H130" s="112">
        <v>78</v>
      </c>
      <c r="I130" s="112">
        <v>85</v>
      </c>
      <c r="J130" s="112">
        <v>91</v>
      </c>
      <c r="K130" s="112">
        <v>94</v>
      </c>
      <c r="L130" s="112">
        <v>97</v>
      </c>
      <c r="M130" s="112">
        <v>99</v>
      </c>
    </row>
    <row r="131" spans="1:13" x14ac:dyDescent="0.25">
      <c r="A131" s="112" t="s">
        <v>82</v>
      </c>
      <c r="B131" s="112">
        <v>13</v>
      </c>
      <c r="C131" s="112">
        <v>21</v>
      </c>
      <c r="D131" s="112">
        <v>24</v>
      </c>
      <c r="E131" s="112">
        <v>59</v>
      </c>
      <c r="F131" s="112">
        <v>71</v>
      </c>
      <c r="G131" s="112">
        <v>75</v>
      </c>
      <c r="H131" s="112">
        <v>79</v>
      </c>
      <c r="I131" s="112">
        <v>88</v>
      </c>
      <c r="J131" s="112">
        <v>91</v>
      </c>
      <c r="K131" s="112">
        <v>93</v>
      </c>
      <c r="L131" s="112">
        <v>93</v>
      </c>
      <c r="M131" s="112">
        <v>91</v>
      </c>
    </row>
    <row r="132" spans="1:13" x14ac:dyDescent="0.25">
      <c r="A132" s="112" t="s">
        <v>81</v>
      </c>
      <c r="B132" s="112">
        <v>11</v>
      </c>
      <c r="C132" s="112">
        <v>19</v>
      </c>
      <c r="D132" s="112">
        <v>24</v>
      </c>
      <c r="E132" s="112">
        <v>54</v>
      </c>
      <c r="F132" s="112">
        <v>68</v>
      </c>
      <c r="G132" s="112">
        <v>71</v>
      </c>
      <c r="H132" s="112">
        <v>74</v>
      </c>
      <c r="I132" s="112">
        <v>81</v>
      </c>
      <c r="J132" s="112">
        <v>85</v>
      </c>
      <c r="K132" s="112">
        <v>87</v>
      </c>
      <c r="L132" s="112">
        <v>88</v>
      </c>
      <c r="M132" s="112">
        <v>88</v>
      </c>
    </row>
    <row r="133" spans="1:13" x14ac:dyDescent="0.25">
      <c r="A133" s="112" t="s">
        <v>80</v>
      </c>
      <c r="B133" s="112">
        <v>9</v>
      </c>
      <c r="C133" s="112">
        <v>18</v>
      </c>
      <c r="D133" s="112">
        <v>22</v>
      </c>
      <c r="E133" s="112">
        <v>45</v>
      </c>
      <c r="F133" s="112">
        <v>55</v>
      </c>
      <c r="G133" s="112">
        <v>57</v>
      </c>
      <c r="H133" s="112">
        <v>59</v>
      </c>
      <c r="I133" s="112">
        <v>64</v>
      </c>
      <c r="J133" s="112">
        <v>67</v>
      </c>
      <c r="K133" s="112">
        <v>70</v>
      </c>
      <c r="L133" s="112">
        <v>71</v>
      </c>
      <c r="M133" s="112">
        <v>72</v>
      </c>
    </row>
    <row r="134" spans="1:13" x14ac:dyDescent="0.25">
      <c r="A134" s="112" t="s">
        <v>79</v>
      </c>
      <c r="B134" s="112">
        <v>5</v>
      </c>
      <c r="C134" s="112">
        <v>12</v>
      </c>
      <c r="D134" s="112">
        <v>20</v>
      </c>
      <c r="E134" s="112">
        <v>46</v>
      </c>
      <c r="F134" s="112">
        <v>70</v>
      </c>
      <c r="G134" s="112">
        <v>78</v>
      </c>
      <c r="H134" s="112">
        <v>92</v>
      </c>
      <c r="I134" s="112">
        <v>98</v>
      </c>
      <c r="J134" s="112">
        <v>101</v>
      </c>
      <c r="K134" s="112">
        <v>104</v>
      </c>
      <c r="L134" s="112">
        <v>105</v>
      </c>
      <c r="M134" s="112">
        <v>100</v>
      </c>
    </row>
    <row r="135" spans="1:13" x14ac:dyDescent="0.25">
      <c r="A135" s="112" t="s">
        <v>78</v>
      </c>
      <c r="B135" s="112">
        <v>8</v>
      </c>
      <c r="C135" s="112">
        <v>13</v>
      </c>
      <c r="D135" s="112">
        <v>18</v>
      </c>
      <c r="E135" s="112">
        <v>44</v>
      </c>
      <c r="F135" s="112">
        <v>65</v>
      </c>
      <c r="G135" s="112">
        <v>69</v>
      </c>
      <c r="H135" s="112">
        <v>77</v>
      </c>
      <c r="I135" s="112">
        <v>83</v>
      </c>
      <c r="J135" s="112">
        <v>85</v>
      </c>
      <c r="K135" s="112">
        <v>86</v>
      </c>
      <c r="L135" s="112">
        <v>86</v>
      </c>
      <c r="M135" s="112">
        <v>87</v>
      </c>
    </row>
    <row r="136" spans="1:13" x14ac:dyDescent="0.25">
      <c r="A136" s="112" t="s">
        <v>77</v>
      </c>
      <c r="B136" s="112">
        <v>6</v>
      </c>
      <c r="C136" s="112">
        <v>12</v>
      </c>
      <c r="D136" s="112">
        <v>17</v>
      </c>
      <c r="E136" s="112">
        <v>47</v>
      </c>
      <c r="F136" s="112">
        <v>60</v>
      </c>
      <c r="G136" s="112">
        <v>62</v>
      </c>
      <c r="H136" s="112">
        <v>68</v>
      </c>
      <c r="I136" s="112">
        <v>76</v>
      </c>
      <c r="J136" s="112">
        <v>80</v>
      </c>
      <c r="K136" s="112">
        <v>82</v>
      </c>
      <c r="L136" s="112">
        <v>85</v>
      </c>
      <c r="M136" s="112">
        <v>86</v>
      </c>
    </row>
    <row r="137" spans="1:13" x14ac:dyDescent="0.25">
      <c r="A137" s="112" t="s">
        <v>76</v>
      </c>
      <c r="B137" s="112">
        <v>5</v>
      </c>
      <c r="C137" s="112">
        <v>10</v>
      </c>
      <c r="D137" s="112">
        <v>18</v>
      </c>
      <c r="E137" s="112">
        <v>45</v>
      </c>
      <c r="F137" s="112">
        <v>68</v>
      </c>
      <c r="G137" s="112">
        <v>76</v>
      </c>
      <c r="H137" s="112">
        <v>91</v>
      </c>
      <c r="I137" s="112">
        <v>102</v>
      </c>
      <c r="J137" s="112">
        <v>106</v>
      </c>
      <c r="K137" s="112">
        <v>108</v>
      </c>
      <c r="L137" s="112">
        <v>109</v>
      </c>
      <c r="M137" s="112">
        <v>105</v>
      </c>
    </row>
    <row r="138" spans="1:13" x14ac:dyDescent="0.25">
      <c r="A138" s="112" t="s">
        <v>75</v>
      </c>
      <c r="B138" s="112">
        <v>5</v>
      </c>
      <c r="C138" s="112">
        <v>10</v>
      </c>
      <c r="D138" s="112">
        <v>19</v>
      </c>
      <c r="E138" s="112">
        <v>46</v>
      </c>
      <c r="F138" s="112">
        <v>73</v>
      </c>
      <c r="G138" s="112">
        <v>81</v>
      </c>
      <c r="H138" s="112">
        <v>90</v>
      </c>
      <c r="I138" s="112">
        <v>100</v>
      </c>
      <c r="J138" s="112">
        <v>103</v>
      </c>
      <c r="K138" s="112">
        <v>105</v>
      </c>
      <c r="L138" s="112">
        <v>107</v>
      </c>
      <c r="M138" s="112">
        <v>107</v>
      </c>
    </row>
    <row r="139" spans="1:13" x14ac:dyDescent="0.25">
      <c r="A139" s="112" t="s">
        <v>74</v>
      </c>
      <c r="B139" s="112">
        <v>6</v>
      </c>
      <c r="C139" s="112">
        <v>11</v>
      </c>
      <c r="D139" s="112">
        <v>20</v>
      </c>
      <c r="E139" s="112">
        <v>44</v>
      </c>
      <c r="F139" s="112">
        <v>58</v>
      </c>
      <c r="G139" s="112">
        <v>61</v>
      </c>
      <c r="H139" s="112">
        <v>63</v>
      </c>
      <c r="I139" s="112">
        <v>72</v>
      </c>
      <c r="J139" s="112">
        <v>77</v>
      </c>
      <c r="K139" s="112">
        <v>81</v>
      </c>
      <c r="L139" s="112">
        <v>83</v>
      </c>
      <c r="M139" s="112">
        <v>84</v>
      </c>
    </row>
    <row r="140" spans="1:13" x14ac:dyDescent="0.25">
      <c r="A140" s="112" t="s">
        <v>73</v>
      </c>
      <c r="B140" s="112">
        <v>5</v>
      </c>
      <c r="C140" s="112">
        <v>9</v>
      </c>
      <c r="D140" s="112">
        <v>15</v>
      </c>
      <c r="E140" s="112">
        <v>39</v>
      </c>
      <c r="F140" s="112">
        <v>56</v>
      </c>
      <c r="G140" s="112">
        <v>69</v>
      </c>
      <c r="H140" s="112">
        <v>84</v>
      </c>
      <c r="I140" s="112">
        <v>97</v>
      </c>
      <c r="J140" s="112">
        <v>102</v>
      </c>
      <c r="K140" s="112">
        <v>104</v>
      </c>
      <c r="L140" s="112">
        <v>105</v>
      </c>
      <c r="M140" s="112">
        <v>105</v>
      </c>
    </row>
    <row r="141" spans="1:13" x14ac:dyDescent="0.25">
      <c r="A141" s="112" t="s">
        <v>72</v>
      </c>
      <c r="B141" s="112">
        <v>5</v>
      </c>
      <c r="C141" s="112">
        <v>10</v>
      </c>
      <c r="D141" s="112">
        <v>14</v>
      </c>
      <c r="E141" s="112">
        <v>28</v>
      </c>
      <c r="F141" s="112">
        <v>48</v>
      </c>
      <c r="G141" s="112">
        <v>60</v>
      </c>
      <c r="H141" s="112">
        <v>76</v>
      </c>
      <c r="I141" s="112">
        <v>90</v>
      </c>
      <c r="J141" s="112">
        <v>96</v>
      </c>
      <c r="K141" s="112">
        <v>99</v>
      </c>
      <c r="L141" s="112">
        <v>101</v>
      </c>
      <c r="M141" s="112">
        <v>100</v>
      </c>
    </row>
    <row r="142" spans="1:13" x14ac:dyDescent="0.25">
      <c r="A142" s="112" t="s">
        <v>71</v>
      </c>
      <c r="B142" s="112">
        <v>4</v>
      </c>
      <c r="C142" s="112">
        <v>8</v>
      </c>
      <c r="D142" s="112">
        <v>12</v>
      </c>
      <c r="E142" s="112">
        <v>31</v>
      </c>
      <c r="F142" s="112">
        <v>50</v>
      </c>
      <c r="G142" s="112">
        <v>59</v>
      </c>
      <c r="H142" s="112">
        <v>73</v>
      </c>
      <c r="I142" s="112">
        <v>83</v>
      </c>
      <c r="J142" s="112">
        <v>87</v>
      </c>
      <c r="K142" s="112">
        <v>89</v>
      </c>
      <c r="L142" s="112">
        <v>90</v>
      </c>
      <c r="M142" s="112">
        <v>90</v>
      </c>
    </row>
    <row r="143" spans="1:13" x14ac:dyDescent="0.25">
      <c r="A143" s="112" t="s">
        <v>70</v>
      </c>
      <c r="B143" s="112">
        <v>5</v>
      </c>
      <c r="C143" s="112">
        <v>9</v>
      </c>
      <c r="D143" s="112">
        <v>14</v>
      </c>
      <c r="E143" s="112">
        <v>38</v>
      </c>
      <c r="F143" s="112">
        <v>60</v>
      </c>
      <c r="G143" s="112">
        <v>68</v>
      </c>
      <c r="H143" s="112">
        <v>79</v>
      </c>
      <c r="I143" s="112">
        <v>85</v>
      </c>
      <c r="J143" s="112">
        <v>87</v>
      </c>
      <c r="K143" s="112">
        <v>89</v>
      </c>
      <c r="L143" s="112">
        <v>90</v>
      </c>
      <c r="M143" s="112">
        <v>86</v>
      </c>
    </row>
    <row r="144" spans="1:13" x14ac:dyDescent="0.25">
      <c r="A144" s="112" t="s">
        <v>69</v>
      </c>
      <c r="B144" s="112">
        <v>5</v>
      </c>
      <c r="C144" s="112">
        <v>9</v>
      </c>
      <c r="D144" s="112">
        <v>12</v>
      </c>
      <c r="E144" s="112">
        <v>35</v>
      </c>
      <c r="F144" s="112">
        <v>51</v>
      </c>
      <c r="G144" s="112">
        <v>56</v>
      </c>
      <c r="H144" s="112">
        <v>67</v>
      </c>
      <c r="I144" s="112">
        <v>74</v>
      </c>
      <c r="J144" s="112">
        <v>77</v>
      </c>
      <c r="K144" s="112">
        <v>80</v>
      </c>
      <c r="L144" s="112">
        <v>82</v>
      </c>
      <c r="M144" s="112">
        <v>83</v>
      </c>
    </row>
    <row r="145" spans="1:13" x14ac:dyDescent="0.25">
      <c r="A145" s="112" t="s">
        <v>68</v>
      </c>
      <c r="B145" s="112">
        <v>6</v>
      </c>
      <c r="C145" s="112">
        <v>10</v>
      </c>
      <c r="D145" s="112">
        <v>15</v>
      </c>
      <c r="E145" s="112">
        <v>37</v>
      </c>
      <c r="F145" s="112">
        <v>52</v>
      </c>
      <c r="G145" s="112">
        <v>56</v>
      </c>
      <c r="H145" s="112">
        <v>65</v>
      </c>
      <c r="I145" s="112">
        <v>72</v>
      </c>
      <c r="J145" s="112">
        <v>75</v>
      </c>
      <c r="K145" s="112">
        <v>78</v>
      </c>
      <c r="L145" s="112">
        <v>80</v>
      </c>
      <c r="M145" s="112">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DF19-1BFB-4C82-8563-AEA1C030C77C}">
  <dimension ref="A1:M145"/>
  <sheetViews>
    <sheetView workbookViewId="0"/>
  </sheetViews>
  <sheetFormatPr defaultRowHeight="15" x14ac:dyDescent="0.25"/>
  <cols>
    <col min="1" max="16384" width="9.140625" style="112"/>
  </cols>
  <sheetData>
    <row r="1" spans="1:13" x14ac:dyDescent="0.25">
      <c r="A1" s="114" t="s">
        <v>227</v>
      </c>
      <c r="B1" s="112" t="s">
        <v>223</v>
      </c>
      <c r="C1" s="112" t="s">
        <v>222</v>
      </c>
      <c r="D1" s="112" t="s">
        <v>221</v>
      </c>
      <c r="E1" s="112" t="s">
        <v>220</v>
      </c>
      <c r="F1" s="112" t="s">
        <v>219</v>
      </c>
      <c r="G1" s="112" t="s">
        <v>218</v>
      </c>
      <c r="H1" s="112" t="s">
        <v>217</v>
      </c>
      <c r="I1" s="112" t="s">
        <v>216</v>
      </c>
      <c r="J1" s="112" t="s">
        <v>215</v>
      </c>
      <c r="K1" s="112" t="s">
        <v>214</v>
      </c>
      <c r="L1" s="112" t="s">
        <v>213</v>
      </c>
      <c r="M1" s="112" t="s">
        <v>212</v>
      </c>
    </row>
    <row r="2" spans="1:13" x14ac:dyDescent="0.25">
      <c r="A2" s="112" t="s">
        <v>211</v>
      </c>
      <c r="B2" s="112">
        <v>8</v>
      </c>
      <c r="C2" s="112">
        <v>14</v>
      </c>
      <c r="D2" s="112">
        <v>24</v>
      </c>
      <c r="E2" s="112">
        <v>42</v>
      </c>
      <c r="F2" s="112">
        <v>51</v>
      </c>
      <c r="G2" s="112">
        <v>65</v>
      </c>
      <c r="H2" s="112">
        <v>81</v>
      </c>
      <c r="I2" s="112">
        <v>83</v>
      </c>
      <c r="J2" s="112">
        <v>83</v>
      </c>
      <c r="K2" s="112">
        <v>84</v>
      </c>
      <c r="L2" s="112">
        <v>84</v>
      </c>
      <c r="M2" s="112">
        <v>84</v>
      </c>
    </row>
    <row r="3" spans="1:13" x14ac:dyDescent="0.25">
      <c r="A3" s="112" t="s">
        <v>210</v>
      </c>
      <c r="B3" s="112">
        <v>7</v>
      </c>
      <c r="C3" s="112">
        <v>15</v>
      </c>
      <c r="D3" s="112">
        <v>23</v>
      </c>
      <c r="E3" s="112">
        <v>41</v>
      </c>
      <c r="F3" s="112">
        <v>53</v>
      </c>
      <c r="G3" s="112">
        <v>61</v>
      </c>
      <c r="H3" s="112">
        <v>67</v>
      </c>
      <c r="I3" s="112">
        <v>91</v>
      </c>
      <c r="J3" s="112">
        <v>95</v>
      </c>
      <c r="K3" s="112">
        <v>98</v>
      </c>
      <c r="L3" s="112">
        <v>100</v>
      </c>
      <c r="M3" s="112">
        <v>102</v>
      </c>
    </row>
    <row r="4" spans="1:13" x14ac:dyDescent="0.25">
      <c r="A4" s="112" t="s">
        <v>209</v>
      </c>
      <c r="B4" s="112">
        <v>6</v>
      </c>
      <c r="C4" s="112">
        <v>13</v>
      </c>
      <c r="D4" s="112">
        <v>23</v>
      </c>
      <c r="E4" s="112">
        <v>45</v>
      </c>
      <c r="F4" s="112">
        <v>58</v>
      </c>
      <c r="G4" s="112">
        <v>67</v>
      </c>
      <c r="H4" s="112">
        <v>74</v>
      </c>
      <c r="I4" s="112">
        <v>102</v>
      </c>
      <c r="J4" s="112">
        <v>102</v>
      </c>
      <c r="K4" s="112">
        <v>102</v>
      </c>
      <c r="L4" s="112">
        <v>102</v>
      </c>
      <c r="M4" s="112">
        <v>102</v>
      </c>
    </row>
    <row r="5" spans="1:13" x14ac:dyDescent="0.25">
      <c r="A5" s="112" t="s">
        <v>208</v>
      </c>
      <c r="B5" s="112">
        <v>7</v>
      </c>
      <c r="C5" s="112">
        <v>13</v>
      </c>
      <c r="D5" s="112">
        <v>21</v>
      </c>
      <c r="E5" s="112">
        <v>38</v>
      </c>
      <c r="F5" s="112">
        <v>49</v>
      </c>
      <c r="G5" s="112">
        <v>53</v>
      </c>
      <c r="H5" s="112">
        <v>56</v>
      </c>
      <c r="I5" s="112">
        <v>72</v>
      </c>
      <c r="J5" s="112">
        <v>76</v>
      </c>
      <c r="K5" s="112">
        <v>80</v>
      </c>
      <c r="L5" s="112">
        <v>83</v>
      </c>
      <c r="M5" s="112">
        <v>90</v>
      </c>
    </row>
    <row r="6" spans="1:13" x14ac:dyDescent="0.25">
      <c r="A6" s="112" t="s">
        <v>207</v>
      </c>
      <c r="B6" s="112">
        <v>6</v>
      </c>
      <c r="C6" s="112">
        <v>13</v>
      </c>
      <c r="D6" s="112">
        <v>18</v>
      </c>
      <c r="E6" s="112">
        <v>37</v>
      </c>
      <c r="F6" s="112">
        <v>60</v>
      </c>
      <c r="G6" s="112">
        <v>69</v>
      </c>
      <c r="H6" s="112">
        <v>75</v>
      </c>
      <c r="I6" s="112">
        <v>102</v>
      </c>
      <c r="J6" s="112">
        <v>102</v>
      </c>
      <c r="K6" s="112">
        <v>102</v>
      </c>
      <c r="L6" s="112">
        <v>102</v>
      </c>
      <c r="M6" s="112">
        <v>102</v>
      </c>
    </row>
    <row r="7" spans="1:13" x14ac:dyDescent="0.25">
      <c r="A7" s="112" t="s">
        <v>206</v>
      </c>
      <c r="B7" s="112">
        <v>8</v>
      </c>
      <c r="C7" s="112">
        <v>12</v>
      </c>
      <c r="D7" s="112">
        <v>18</v>
      </c>
      <c r="E7" s="112">
        <v>34</v>
      </c>
      <c r="F7" s="112">
        <v>51</v>
      </c>
      <c r="G7" s="112">
        <v>58</v>
      </c>
      <c r="H7" s="112">
        <v>61</v>
      </c>
      <c r="I7" s="112">
        <v>66</v>
      </c>
      <c r="J7" s="112">
        <v>73</v>
      </c>
      <c r="K7" s="112">
        <v>81</v>
      </c>
      <c r="L7" s="112">
        <v>85</v>
      </c>
      <c r="M7" s="112">
        <v>89</v>
      </c>
    </row>
    <row r="8" spans="1:13" x14ac:dyDescent="0.25">
      <c r="A8" s="112" t="s">
        <v>205</v>
      </c>
      <c r="B8" s="112">
        <v>7</v>
      </c>
      <c r="C8" s="112">
        <v>12</v>
      </c>
      <c r="D8" s="112">
        <v>15</v>
      </c>
      <c r="E8" s="112">
        <v>40</v>
      </c>
      <c r="F8" s="112">
        <v>49</v>
      </c>
      <c r="G8" s="112">
        <v>60</v>
      </c>
      <c r="H8" s="112">
        <v>68</v>
      </c>
      <c r="I8" s="112">
        <v>83</v>
      </c>
      <c r="J8" s="112">
        <v>93</v>
      </c>
      <c r="K8" s="112">
        <v>98</v>
      </c>
      <c r="L8" s="112">
        <v>100</v>
      </c>
      <c r="M8" s="112">
        <v>100</v>
      </c>
    </row>
    <row r="9" spans="1:13" x14ac:dyDescent="0.25">
      <c r="A9" s="112" t="s">
        <v>204</v>
      </c>
      <c r="B9" s="112">
        <v>8</v>
      </c>
      <c r="C9" s="112">
        <v>12</v>
      </c>
      <c r="D9" s="112">
        <v>16</v>
      </c>
      <c r="E9" s="112">
        <v>37</v>
      </c>
      <c r="F9" s="112">
        <v>53</v>
      </c>
      <c r="G9" s="112">
        <v>68</v>
      </c>
      <c r="H9" s="112">
        <v>77</v>
      </c>
      <c r="I9" s="112">
        <v>91</v>
      </c>
      <c r="J9" s="112">
        <v>91</v>
      </c>
      <c r="K9" s="112">
        <v>90</v>
      </c>
      <c r="L9" s="112">
        <v>91</v>
      </c>
      <c r="M9" s="112">
        <v>99</v>
      </c>
    </row>
    <row r="10" spans="1:13" x14ac:dyDescent="0.25">
      <c r="A10" s="112" t="s">
        <v>203</v>
      </c>
      <c r="B10" s="112">
        <v>5</v>
      </c>
      <c r="C10" s="112">
        <v>11</v>
      </c>
      <c r="D10" s="112">
        <v>17</v>
      </c>
      <c r="E10" s="112">
        <v>36</v>
      </c>
      <c r="F10" s="112">
        <v>43</v>
      </c>
      <c r="G10" s="112">
        <v>46</v>
      </c>
      <c r="H10" s="112">
        <v>50</v>
      </c>
      <c r="I10" s="112">
        <v>54</v>
      </c>
      <c r="J10" s="112">
        <v>56</v>
      </c>
      <c r="K10" s="112">
        <v>57</v>
      </c>
      <c r="L10" s="112">
        <v>58</v>
      </c>
      <c r="M10" s="112">
        <v>50</v>
      </c>
    </row>
    <row r="11" spans="1:13" x14ac:dyDescent="0.25">
      <c r="A11" s="112" t="s">
        <v>202</v>
      </c>
      <c r="B11" s="112">
        <v>6</v>
      </c>
      <c r="C11" s="112">
        <v>11</v>
      </c>
      <c r="D11" s="112">
        <v>11</v>
      </c>
      <c r="E11" s="112">
        <v>25</v>
      </c>
      <c r="F11" s="112">
        <v>31</v>
      </c>
      <c r="G11" s="112">
        <v>34</v>
      </c>
      <c r="H11" s="112">
        <v>38</v>
      </c>
      <c r="I11" s="112">
        <v>45</v>
      </c>
      <c r="J11" s="112">
        <v>49</v>
      </c>
      <c r="K11" s="112">
        <v>52</v>
      </c>
      <c r="L11" s="112">
        <v>54</v>
      </c>
      <c r="M11" s="112">
        <v>102</v>
      </c>
    </row>
    <row r="12" spans="1:13" x14ac:dyDescent="0.25">
      <c r="A12" s="112" t="s">
        <v>201</v>
      </c>
      <c r="B12" s="112">
        <v>8</v>
      </c>
      <c r="C12" s="112">
        <v>11</v>
      </c>
      <c r="D12" s="112">
        <v>16</v>
      </c>
      <c r="E12" s="112">
        <v>40</v>
      </c>
      <c r="F12" s="112">
        <v>47</v>
      </c>
      <c r="G12" s="112">
        <v>64</v>
      </c>
      <c r="H12" s="112">
        <v>77</v>
      </c>
      <c r="I12" s="112">
        <v>94</v>
      </c>
      <c r="J12" s="112">
        <v>101</v>
      </c>
      <c r="K12" s="112">
        <v>102</v>
      </c>
      <c r="L12" s="112">
        <v>102</v>
      </c>
      <c r="M12" s="112">
        <v>102</v>
      </c>
    </row>
    <row r="13" spans="1:13" x14ac:dyDescent="0.25">
      <c r="A13" s="112" t="s">
        <v>200</v>
      </c>
      <c r="B13" s="112">
        <v>7</v>
      </c>
      <c r="C13" s="112">
        <v>10</v>
      </c>
      <c r="D13" s="112">
        <v>13</v>
      </c>
      <c r="E13" s="112">
        <v>32</v>
      </c>
      <c r="F13" s="112">
        <v>42</v>
      </c>
      <c r="G13" s="112">
        <v>54</v>
      </c>
      <c r="H13" s="112">
        <v>62</v>
      </c>
      <c r="I13" s="112">
        <v>80</v>
      </c>
      <c r="J13" s="112">
        <v>86</v>
      </c>
      <c r="K13" s="112">
        <v>88</v>
      </c>
      <c r="L13" s="112">
        <v>92</v>
      </c>
      <c r="M13" s="112">
        <v>102</v>
      </c>
    </row>
    <row r="14" spans="1:13" x14ac:dyDescent="0.25">
      <c r="A14" s="112" t="s">
        <v>199</v>
      </c>
      <c r="B14" s="112">
        <v>15</v>
      </c>
      <c r="C14" s="112">
        <v>21</v>
      </c>
      <c r="D14" s="112">
        <v>31</v>
      </c>
      <c r="E14" s="112">
        <v>60</v>
      </c>
      <c r="F14" s="112">
        <v>77</v>
      </c>
      <c r="G14" s="112">
        <v>88</v>
      </c>
      <c r="H14" s="112">
        <v>95</v>
      </c>
      <c r="I14" s="112">
        <v>102</v>
      </c>
      <c r="J14" s="112">
        <v>102</v>
      </c>
      <c r="K14" s="112">
        <v>102</v>
      </c>
      <c r="L14" s="112">
        <v>102</v>
      </c>
      <c r="M14" s="112">
        <v>102</v>
      </c>
    </row>
    <row r="15" spans="1:13" x14ac:dyDescent="0.25">
      <c r="A15" s="112" t="s">
        <v>198</v>
      </c>
      <c r="B15" s="112">
        <v>13</v>
      </c>
      <c r="C15" s="112">
        <v>20</v>
      </c>
      <c r="D15" s="112">
        <v>28</v>
      </c>
      <c r="E15" s="112">
        <v>58</v>
      </c>
      <c r="F15" s="112">
        <v>67</v>
      </c>
      <c r="G15" s="112">
        <v>83</v>
      </c>
      <c r="H15" s="112">
        <v>92</v>
      </c>
      <c r="I15" s="112">
        <v>102</v>
      </c>
      <c r="J15" s="112">
        <v>102</v>
      </c>
      <c r="K15" s="112">
        <v>102</v>
      </c>
      <c r="L15" s="112">
        <v>102</v>
      </c>
      <c r="M15" s="112">
        <v>102</v>
      </c>
    </row>
    <row r="16" spans="1:13" x14ac:dyDescent="0.25">
      <c r="A16" s="112" t="s">
        <v>197</v>
      </c>
      <c r="B16" s="112">
        <v>16</v>
      </c>
      <c r="C16" s="112">
        <v>23</v>
      </c>
      <c r="D16" s="112">
        <v>23</v>
      </c>
      <c r="E16" s="112">
        <v>57</v>
      </c>
      <c r="F16" s="112">
        <v>68</v>
      </c>
      <c r="G16" s="112">
        <v>81</v>
      </c>
      <c r="H16" s="112">
        <v>88</v>
      </c>
      <c r="I16" s="112">
        <v>98</v>
      </c>
      <c r="J16" s="112">
        <v>102</v>
      </c>
      <c r="K16" s="112">
        <v>102</v>
      </c>
      <c r="L16" s="112">
        <v>102</v>
      </c>
      <c r="M16" s="112">
        <v>102</v>
      </c>
    </row>
    <row r="17" spans="1:13" x14ac:dyDescent="0.25">
      <c r="A17" s="112" t="s">
        <v>196</v>
      </c>
      <c r="B17" s="112">
        <v>13</v>
      </c>
      <c r="C17" s="112">
        <v>20</v>
      </c>
      <c r="D17" s="112">
        <v>27</v>
      </c>
      <c r="E17" s="112">
        <v>61</v>
      </c>
      <c r="F17" s="112">
        <v>75</v>
      </c>
      <c r="G17" s="112">
        <v>87</v>
      </c>
      <c r="H17" s="112">
        <v>93</v>
      </c>
      <c r="I17" s="112">
        <v>102</v>
      </c>
      <c r="J17" s="112">
        <v>102</v>
      </c>
      <c r="K17" s="112">
        <v>102</v>
      </c>
      <c r="L17" s="112">
        <v>102</v>
      </c>
      <c r="M17" s="112">
        <v>102</v>
      </c>
    </row>
    <row r="18" spans="1:13" x14ac:dyDescent="0.25">
      <c r="A18" s="112" t="s">
        <v>195</v>
      </c>
      <c r="B18" s="112">
        <v>12</v>
      </c>
      <c r="C18" s="112">
        <v>16</v>
      </c>
      <c r="D18" s="112">
        <v>21</v>
      </c>
      <c r="E18" s="112">
        <v>48</v>
      </c>
      <c r="F18" s="112">
        <v>58</v>
      </c>
      <c r="G18" s="112">
        <v>64</v>
      </c>
      <c r="H18" s="112">
        <v>68</v>
      </c>
      <c r="I18" s="112">
        <v>91</v>
      </c>
      <c r="J18" s="112">
        <v>102</v>
      </c>
      <c r="K18" s="112">
        <v>102</v>
      </c>
      <c r="L18" s="112">
        <v>102</v>
      </c>
      <c r="M18" s="112">
        <v>102</v>
      </c>
    </row>
    <row r="19" spans="1:13" x14ac:dyDescent="0.25">
      <c r="A19" s="112" t="s">
        <v>194</v>
      </c>
      <c r="B19" s="112">
        <v>11</v>
      </c>
      <c r="C19" s="112">
        <v>16</v>
      </c>
      <c r="D19" s="112">
        <v>24</v>
      </c>
      <c r="E19" s="112">
        <v>52</v>
      </c>
      <c r="F19" s="112">
        <v>62</v>
      </c>
      <c r="G19" s="112">
        <v>59</v>
      </c>
      <c r="H19" s="112">
        <v>59</v>
      </c>
      <c r="I19" s="112">
        <v>78</v>
      </c>
      <c r="J19" s="112">
        <v>80</v>
      </c>
      <c r="K19" s="112">
        <v>82</v>
      </c>
      <c r="L19" s="112">
        <v>83</v>
      </c>
      <c r="M19" s="112">
        <v>82</v>
      </c>
    </row>
    <row r="20" spans="1:13" x14ac:dyDescent="0.25">
      <c r="A20" s="112" t="s">
        <v>193</v>
      </c>
      <c r="B20" s="112">
        <v>15</v>
      </c>
      <c r="C20" s="112">
        <v>20</v>
      </c>
      <c r="D20" s="112">
        <v>26</v>
      </c>
      <c r="E20" s="112">
        <v>49</v>
      </c>
      <c r="F20" s="112">
        <v>57</v>
      </c>
      <c r="G20" s="112">
        <v>71</v>
      </c>
      <c r="H20" s="112">
        <v>80</v>
      </c>
      <c r="I20" s="112">
        <v>79</v>
      </c>
      <c r="J20" s="112">
        <v>82</v>
      </c>
      <c r="K20" s="112">
        <v>84</v>
      </c>
      <c r="L20" s="112">
        <v>87</v>
      </c>
      <c r="M20" s="112">
        <v>88</v>
      </c>
    </row>
    <row r="21" spans="1:13" x14ac:dyDescent="0.25">
      <c r="A21" s="112" t="s">
        <v>192</v>
      </c>
      <c r="B21" s="112">
        <v>11</v>
      </c>
      <c r="C21" s="112">
        <v>16</v>
      </c>
      <c r="D21" s="112">
        <v>24</v>
      </c>
      <c r="E21" s="112">
        <v>54</v>
      </c>
      <c r="F21" s="112">
        <v>66</v>
      </c>
      <c r="G21" s="112">
        <v>77</v>
      </c>
      <c r="H21" s="112">
        <v>84</v>
      </c>
      <c r="I21" s="112">
        <v>96</v>
      </c>
      <c r="J21" s="112">
        <v>102</v>
      </c>
      <c r="K21" s="112">
        <v>102</v>
      </c>
      <c r="L21" s="112">
        <v>102</v>
      </c>
      <c r="M21" s="112">
        <v>102</v>
      </c>
    </row>
    <row r="22" spans="1:13" x14ac:dyDescent="0.25">
      <c r="A22" s="112" t="s">
        <v>191</v>
      </c>
      <c r="B22" s="112">
        <v>13</v>
      </c>
      <c r="C22" s="112">
        <v>19</v>
      </c>
      <c r="D22" s="112">
        <v>23</v>
      </c>
      <c r="E22" s="112">
        <v>51</v>
      </c>
      <c r="F22" s="112">
        <v>62</v>
      </c>
      <c r="G22" s="112">
        <v>67</v>
      </c>
      <c r="H22" s="112">
        <v>72</v>
      </c>
      <c r="I22" s="112">
        <v>84</v>
      </c>
      <c r="J22" s="112">
        <v>88</v>
      </c>
      <c r="K22" s="112">
        <v>91</v>
      </c>
      <c r="L22" s="112">
        <v>95</v>
      </c>
      <c r="M22" s="112">
        <v>102</v>
      </c>
    </row>
    <row r="23" spans="1:13" x14ac:dyDescent="0.25">
      <c r="A23" s="112" t="s">
        <v>190</v>
      </c>
      <c r="B23" s="112">
        <v>10</v>
      </c>
      <c r="C23" s="112">
        <v>15</v>
      </c>
      <c r="D23" s="112">
        <v>23</v>
      </c>
      <c r="E23" s="112">
        <v>54</v>
      </c>
      <c r="F23" s="112">
        <v>61</v>
      </c>
      <c r="G23" s="112">
        <v>68</v>
      </c>
      <c r="H23" s="112">
        <v>72</v>
      </c>
      <c r="I23" s="112">
        <v>95</v>
      </c>
      <c r="J23" s="112">
        <v>102</v>
      </c>
      <c r="K23" s="112">
        <v>102</v>
      </c>
      <c r="L23" s="112">
        <v>102</v>
      </c>
      <c r="M23" s="112">
        <v>102</v>
      </c>
    </row>
    <row r="24" spans="1:13" x14ac:dyDescent="0.25">
      <c r="A24" s="112" t="s">
        <v>189</v>
      </c>
      <c r="B24" s="112">
        <v>14</v>
      </c>
      <c r="C24" s="112">
        <v>17</v>
      </c>
      <c r="D24" s="112">
        <v>22</v>
      </c>
      <c r="E24" s="112">
        <v>54</v>
      </c>
      <c r="F24" s="112">
        <v>57</v>
      </c>
      <c r="G24" s="112">
        <v>65</v>
      </c>
      <c r="H24" s="112">
        <v>69</v>
      </c>
      <c r="I24" s="112">
        <v>86</v>
      </c>
      <c r="J24" s="112">
        <v>92</v>
      </c>
      <c r="K24" s="112">
        <v>97</v>
      </c>
      <c r="L24" s="112">
        <v>101</v>
      </c>
      <c r="M24" s="112">
        <v>102</v>
      </c>
    </row>
    <row r="25" spans="1:13" x14ac:dyDescent="0.25">
      <c r="A25" s="112" t="s">
        <v>188</v>
      </c>
      <c r="B25" s="112">
        <v>11</v>
      </c>
      <c r="C25" s="112">
        <v>17</v>
      </c>
      <c r="D25" s="112">
        <v>21</v>
      </c>
      <c r="E25" s="112">
        <v>38</v>
      </c>
      <c r="F25" s="112">
        <v>42</v>
      </c>
      <c r="G25" s="112">
        <v>47</v>
      </c>
      <c r="H25" s="112">
        <v>51</v>
      </c>
      <c r="I25" s="112">
        <v>67</v>
      </c>
      <c r="J25" s="112">
        <v>79</v>
      </c>
      <c r="K25" s="112">
        <v>90</v>
      </c>
      <c r="L25" s="112">
        <v>102</v>
      </c>
      <c r="M25" s="112">
        <v>102</v>
      </c>
    </row>
    <row r="26" spans="1:13" x14ac:dyDescent="0.25">
      <c r="A26" s="112" t="s">
        <v>187</v>
      </c>
      <c r="B26" s="112">
        <v>9</v>
      </c>
      <c r="C26" s="112">
        <v>15</v>
      </c>
      <c r="D26" s="112">
        <v>26</v>
      </c>
      <c r="E26" s="112">
        <v>57</v>
      </c>
      <c r="F26" s="112">
        <v>73</v>
      </c>
      <c r="G26" s="112">
        <v>87</v>
      </c>
      <c r="H26" s="112">
        <v>98</v>
      </c>
      <c r="I26" s="112">
        <v>102</v>
      </c>
      <c r="J26" s="112">
        <v>102</v>
      </c>
      <c r="K26" s="112">
        <v>102</v>
      </c>
      <c r="L26" s="112">
        <v>102</v>
      </c>
      <c r="M26" s="112">
        <v>102</v>
      </c>
    </row>
    <row r="27" spans="1:13" x14ac:dyDescent="0.25">
      <c r="A27" s="112" t="s">
        <v>186</v>
      </c>
      <c r="B27" s="112">
        <v>9</v>
      </c>
      <c r="C27" s="112">
        <v>14</v>
      </c>
      <c r="D27" s="112">
        <v>16</v>
      </c>
      <c r="E27" s="112">
        <v>34</v>
      </c>
      <c r="F27" s="112">
        <v>48</v>
      </c>
      <c r="G27" s="112">
        <v>61</v>
      </c>
      <c r="H27" s="112">
        <v>72</v>
      </c>
      <c r="I27" s="112">
        <v>80</v>
      </c>
      <c r="J27" s="112">
        <v>86</v>
      </c>
      <c r="K27" s="112">
        <v>94</v>
      </c>
      <c r="L27" s="112">
        <v>100</v>
      </c>
      <c r="M27" s="112">
        <v>98</v>
      </c>
    </row>
    <row r="28" spans="1:13" x14ac:dyDescent="0.25">
      <c r="A28" s="112" t="s">
        <v>185</v>
      </c>
      <c r="B28" s="112">
        <v>8</v>
      </c>
      <c r="C28" s="112">
        <v>12</v>
      </c>
      <c r="D28" s="112">
        <v>22</v>
      </c>
      <c r="E28" s="112">
        <v>48</v>
      </c>
      <c r="F28" s="112">
        <v>65</v>
      </c>
      <c r="G28" s="112">
        <v>78</v>
      </c>
      <c r="H28" s="112">
        <v>91</v>
      </c>
      <c r="I28" s="112">
        <v>102</v>
      </c>
      <c r="J28" s="112">
        <v>102</v>
      </c>
      <c r="K28" s="112">
        <v>102</v>
      </c>
      <c r="L28" s="112">
        <v>102</v>
      </c>
      <c r="M28" s="112">
        <v>102</v>
      </c>
    </row>
    <row r="29" spans="1:13" x14ac:dyDescent="0.25">
      <c r="A29" s="112" t="s">
        <v>184</v>
      </c>
      <c r="B29" s="112">
        <v>12</v>
      </c>
      <c r="C29" s="112">
        <v>15</v>
      </c>
      <c r="D29" s="112">
        <v>21</v>
      </c>
      <c r="E29" s="112">
        <v>41</v>
      </c>
      <c r="F29" s="112">
        <v>53</v>
      </c>
      <c r="G29" s="112">
        <v>61</v>
      </c>
      <c r="H29" s="112">
        <v>67</v>
      </c>
      <c r="I29" s="112">
        <v>71</v>
      </c>
      <c r="J29" s="112">
        <v>82</v>
      </c>
      <c r="K29" s="112">
        <v>91</v>
      </c>
      <c r="L29" s="112">
        <v>102</v>
      </c>
      <c r="M29" s="112">
        <v>102</v>
      </c>
    </row>
    <row r="30" spans="1:13" x14ac:dyDescent="0.25">
      <c r="A30" s="112" t="s">
        <v>183</v>
      </c>
      <c r="B30" s="112">
        <v>8</v>
      </c>
      <c r="C30" s="112">
        <v>13</v>
      </c>
      <c r="D30" s="112">
        <v>17</v>
      </c>
      <c r="E30" s="112">
        <v>36</v>
      </c>
      <c r="F30" s="112">
        <v>55</v>
      </c>
      <c r="G30" s="112">
        <v>65</v>
      </c>
      <c r="H30" s="112">
        <v>70</v>
      </c>
      <c r="I30" s="112">
        <v>82</v>
      </c>
      <c r="J30" s="112">
        <v>90</v>
      </c>
      <c r="K30" s="112">
        <v>94</v>
      </c>
      <c r="L30" s="112">
        <v>97</v>
      </c>
      <c r="M30" s="112">
        <v>102</v>
      </c>
    </row>
    <row r="31" spans="1:13" x14ac:dyDescent="0.25">
      <c r="A31" s="112" t="s">
        <v>182</v>
      </c>
      <c r="B31" s="112">
        <v>10</v>
      </c>
      <c r="C31" s="112">
        <v>15</v>
      </c>
      <c r="D31" s="112">
        <v>24</v>
      </c>
      <c r="E31" s="112">
        <v>53</v>
      </c>
      <c r="F31" s="112">
        <v>72</v>
      </c>
      <c r="G31" s="112">
        <v>77</v>
      </c>
      <c r="H31" s="112">
        <v>80</v>
      </c>
      <c r="I31" s="112">
        <v>96</v>
      </c>
      <c r="J31" s="112">
        <v>102</v>
      </c>
      <c r="K31" s="112">
        <v>102</v>
      </c>
      <c r="L31" s="112">
        <v>102</v>
      </c>
      <c r="M31" s="112">
        <v>102</v>
      </c>
    </row>
    <row r="32" spans="1:13" x14ac:dyDescent="0.25">
      <c r="A32" s="112" t="s">
        <v>181</v>
      </c>
      <c r="B32" s="112">
        <v>12</v>
      </c>
      <c r="C32" s="112">
        <v>19</v>
      </c>
      <c r="D32" s="112">
        <v>26</v>
      </c>
      <c r="E32" s="112">
        <v>48</v>
      </c>
      <c r="F32" s="112">
        <v>67</v>
      </c>
      <c r="G32" s="112">
        <v>74</v>
      </c>
      <c r="H32" s="112">
        <v>79</v>
      </c>
      <c r="I32" s="112">
        <v>93</v>
      </c>
      <c r="J32" s="112">
        <v>102</v>
      </c>
      <c r="K32" s="112">
        <v>102</v>
      </c>
      <c r="L32" s="112">
        <v>102</v>
      </c>
      <c r="M32" s="112">
        <v>102</v>
      </c>
    </row>
    <row r="33" spans="1:13" x14ac:dyDescent="0.25">
      <c r="A33" s="112" t="s">
        <v>180</v>
      </c>
      <c r="B33" s="112">
        <v>10</v>
      </c>
      <c r="C33" s="112">
        <v>17</v>
      </c>
      <c r="D33" s="112">
        <v>21</v>
      </c>
      <c r="E33" s="112">
        <v>44</v>
      </c>
      <c r="F33" s="112">
        <v>64</v>
      </c>
      <c r="G33" s="112">
        <v>77</v>
      </c>
      <c r="H33" s="112">
        <v>85</v>
      </c>
      <c r="I33" s="112">
        <v>95</v>
      </c>
      <c r="J33" s="112">
        <v>102</v>
      </c>
      <c r="K33" s="112">
        <v>102</v>
      </c>
      <c r="L33" s="112">
        <v>102</v>
      </c>
      <c r="M33" s="112">
        <v>100</v>
      </c>
    </row>
    <row r="34" spans="1:13" x14ac:dyDescent="0.25">
      <c r="A34" s="112" t="s">
        <v>179</v>
      </c>
      <c r="B34" s="112">
        <v>7</v>
      </c>
      <c r="C34" s="112">
        <v>15</v>
      </c>
      <c r="D34" s="112">
        <v>18</v>
      </c>
      <c r="E34" s="112">
        <v>28</v>
      </c>
      <c r="F34" s="112">
        <v>43</v>
      </c>
      <c r="G34" s="112">
        <v>41</v>
      </c>
      <c r="H34" s="112">
        <v>42</v>
      </c>
      <c r="I34" s="112">
        <v>50</v>
      </c>
      <c r="J34" s="112">
        <v>57</v>
      </c>
      <c r="K34" s="112">
        <v>66</v>
      </c>
      <c r="L34" s="112">
        <v>72</v>
      </c>
      <c r="M34" s="112">
        <v>68</v>
      </c>
    </row>
    <row r="35" spans="1:13" x14ac:dyDescent="0.25">
      <c r="A35" s="112" t="s">
        <v>178</v>
      </c>
      <c r="B35" s="112">
        <v>8</v>
      </c>
      <c r="C35" s="112">
        <v>13</v>
      </c>
      <c r="D35" s="112">
        <v>18</v>
      </c>
      <c r="E35" s="112">
        <v>42</v>
      </c>
      <c r="F35" s="112">
        <v>57</v>
      </c>
      <c r="G35" s="112">
        <v>70</v>
      </c>
      <c r="H35" s="112">
        <v>78</v>
      </c>
      <c r="I35" s="112">
        <v>93</v>
      </c>
      <c r="J35" s="112">
        <v>99</v>
      </c>
      <c r="K35" s="112">
        <v>102</v>
      </c>
      <c r="L35" s="112">
        <v>102</v>
      </c>
      <c r="M35" s="112">
        <v>102</v>
      </c>
    </row>
    <row r="36" spans="1:13" x14ac:dyDescent="0.25">
      <c r="A36" s="112" t="s">
        <v>177</v>
      </c>
      <c r="B36" s="112">
        <v>12</v>
      </c>
      <c r="C36" s="112">
        <v>15</v>
      </c>
      <c r="D36" s="112">
        <v>21</v>
      </c>
      <c r="E36" s="112">
        <v>36</v>
      </c>
      <c r="F36" s="112">
        <v>55</v>
      </c>
      <c r="G36" s="112">
        <v>67</v>
      </c>
      <c r="H36" s="112">
        <v>74</v>
      </c>
      <c r="I36" s="112">
        <v>90</v>
      </c>
      <c r="J36" s="112">
        <v>96</v>
      </c>
      <c r="K36" s="112">
        <v>99</v>
      </c>
      <c r="L36" s="112">
        <v>101</v>
      </c>
      <c r="M36" s="112">
        <v>102</v>
      </c>
    </row>
    <row r="37" spans="1:13" x14ac:dyDescent="0.25">
      <c r="A37" s="112" t="s">
        <v>176</v>
      </c>
      <c r="B37" s="112">
        <v>10</v>
      </c>
      <c r="C37" s="112">
        <v>15</v>
      </c>
      <c r="D37" s="112">
        <v>19</v>
      </c>
      <c r="E37" s="112">
        <v>41</v>
      </c>
      <c r="F37" s="112">
        <v>59</v>
      </c>
      <c r="G37" s="112">
        <v>66</v>
      </c>
      <c r="H37" s="112">
        <v>74</v>
      </c>
      <c r="I37" s="112">
        <v>92</v>
      </c>
      <c r="J37" s="112">
        <v>98</v>
      </c>
      <c r="K37" s="112">
        <v>102</v>
      </c>
      <c r="L37" s="112">
        <v>102</v>
      </c>
      <c r="M37" s="112">
        <v>102</v>
      </c>
    </row>
    <row r="38" spans="1:13" x14ac:dyDescent="0.25">
      <c r="A38" s="112" t="s">
        <v>175</v>
      </c>
      <c r="B38" s="112">
        <v>15</v>
      </c>
      <c r="C38" s="112">
        <v>18</v>
      </c>
      <c r="D38" s="112">
        <v>33</v>
      </c>
      <c r="E38" s="112">
        <v>59</v>
      </c>
      <c r="F38" s="112">
        <v>73</v>
      </c>
      <c r="G38" s="112">
        <v>88</v>
      </c>
      <c r="H38" s="112">
        <v>102</v>
      </c>
      <c r="I38" s="112">
        <v>102</v>
      </c>
      <c r="J38" s="112">
        <v>102</v>
      </c>
      <c r="K38" s="112">
        <v>102</v>
      </c>
      <c r="L38" s="112">
        <v>102</v>
      </c>
      <c r="M38" s="112">
        <v>102</v>
      </c>
    </row>
    <row r="39" spans="1:13" x14ac:dyDescent="0.25">
      <c r="A39" s="112" t="s">
        <v>174</v>
      </c>
      <c r="B39" s="112">
        <v>17</v>
      </c>
      <c r="C39" s="112">
        <v>21</v>
      </c>
      <c r="D39" s="112">
        <v>28</v>
      </c>
      <c r="E39" s="112">
        <v>59</v>
      </c>
      <c r="F39" s="112">
        <v>78</v>
      </c>
      <c r="G39" s="112">
        <v>91</v>
      </c>
      <c r="H39" s="112">
        <v>102</v>
      </c>
      <c r="I39" s="112">
        <v>102</v>
      </c>
      <c r="J39" s="112">
        <v>102</v>
      </c>
      <c r="K39" s="112">
        <v>102</v>
      </c>
      <c r="L39" s="112">
        <v>102</v>
      </c>
      <c r="M39" s="112">
        <v>102</v>
      </c>
    </row>
    <row r="40" spans="1:13" x14ac:dyDescent="0.25">
      <c r="A40" s="112" t="s">
        <v>173</v>
      </c>
      <c r="B40" s="112">
        <v>18</v>
      </c>
      <c r="C40" s="112">
        <v>24</v>
      </c>
      <c r="D40" s="112">
        <v>34</v>
      </c>
      <c r="E40" s="112">
        <v>66</v>
      </c>
      <c r="F40" s="112">
        <v>78</v>
      </c>
      <c r="G40" s="112">
        <v>92</v>
      </c>
      <c r="H40" s="112">
        <v>102</v>
      </c>
      <c r="I40" s="112">
        <v>102</v>
      </c>
      <c r="J40" s="112">
        <v>102</v>
      </c>
      <c r="K40" s="112">
        <v>102</v>
      </c>
      <c r="L40" s="112">
        <v>102</v>
      </c>
      <c r="M40" s="112">
        <v>102</v>
      </c>
    </row>
    <row r="41" spans="1:13" x14ac:dyDescent="0.25">
      <c r="A41" s="112" t="s">
        <v>172</v>
      </c>
      <c r="B41" s="112">
        <v>10</v>
      </c>
      <c r="C41" s="112">
        <v>19</v>
      </c>
      <c r="D41" s="112">
        <v>26</v>
      </c>
      <c r="E41" s="112">
        <v>49</v>
      </c>
      <c r="F41" s="112">
        <v>65</v>
      </c>
      <c r="G41" s="112">
        <v>69</v>
      </c>
      <c r="H41" s="112">
        <v>70</v>
      </c>
      <c r="I41" s="112">
        <v>78</v>
      </c>
      <c r="J41" s="112">
        <v>86</v>
      </c>
      <c r="K41" s="112">
        <v>94</v>
      </c>
      <c r="L41" s="112">
        <v>102</v>
      </c>
      <c r="M41" s="112">
        <v>102</v>
      </c>
    </row>
    <row r="42" spans="1:13" x14ac:dyDescent="0.25">
      <c r="A42" s="112" t="s">
        <v>171</v>
      </c>
      <c r="B42" s="112">
        <v>12</v>
      </c>
      <c r="C42" s="112">
        <v>21</v>
      </c>
      <c r="D42" s="112">
        <v>31</v>
      </c>
      <c r="E42" s="112">
        <v>62</v>
      </c>
      <c r="F42" s="112">
        <v>75</v>
      </c>
      <c r="G42" s="112">
        <v>89</v>
      </c>
      <c r="H42" s="112">
        <v>98</v>
      </c>
      <c r="I42" s="112">
        <v>102</v>
      </c>
      <c r="J42" s="112">
        <v>102</v>
      </c>
      <c r="K42" s="112">
        <v>102</v>
      </c>
      <c r="L42" s="112">
        <v>102</v>
      </c>
      <c r="M42" s="112">
        <v>102</v>
      </c>
    </row>
    <row r="43" spans="1:13" x14ac:dyDescent="0.25">
      <c r="A43" s="112" t="s">
        <v>170</v>
      </c>
      <c r="B43" s="112">
        <v>16</v>
      </c>
      <c r="C43" s="112">
        <v>25</v>
      </c>
      <c r="D43" s="112">
        <v>30</v>
      </c>
      <c r="E43" s="112">
        <v>55</v>
      </c>
      <c r="F43" s="112">
        <v>66</v>
      </c>
      <c r="G43" s="112">
        <v>69</v>
      </c>
      <c r="H43" s="112">
        <v>71</v>
      </c>
      <c r="I43" s="112">
        <v>78</v>
      </c>
      <c r="J43" s="112">
        <v>85</v>
      </c>
      <c r="K43" s="112">
        <v>92</v>
      </c>
      <c r="L43" s="112">
        <v>100</v>
      </c>
      <c r="M43" s="112">
        <v>102</v>
      </c>
    </row>
    <row r="44" spans="1:13" x14ac:dyDescent="0.25">
      <c r="A44" s="112" t="s">
        <v>169</v>
      </c>
      <c r="B44" s="112">
        <v>18</v>
      </c>
      <c r="C44" s="112">
        <v>26</v>
      </c>
      <c r="D44" s="112">
        <v>30</v>
      </c>
      <c r="E44" s="112">
        <v>62</v>
      </c>
      <c r="F44" s="112">
        <v>78</v>
      </c>
      <c r="G44" s="112">
        <v>89</v>
      </c>
      <c r="H44" s="112">
        <v>97</v>
      </c>
      <c r="I44" s="112">
        <v>102</v>
      </c>
      <c r="J44" s="112">
        <v>102</v>
      </c>
      <c r="K44" s="112">
        <v>102</v>
      </c>
      <c r="L44" s="112">
        <v>102</v>
      </c>
      <c r="M44" s="112">
        <v>102</v>
      </c>
    </row>
    <row r="45" spans="1:13" x14ac:dyDescent="0.25">
      <c r="A45" s="112" t="s">
        <v>168</v>
      </c>
      <c r="B45" s="112">
        <v>9</v>
      </c>
      <c r="C45" s="112">
        <v>14</v>
      </c>
      <c r="D45" s="112">
        <v>22</v>
      </c>
      <c r="E45" s="112">
        <v>43</v>
      </c>
      <c r="F45" s="112">
        <v>60</v>
      </c>
      <c r="G45" s="112">
        <v>77</v>
      </c>
      <c r="H45" s="112">
        <v>89</v>
      </c>
      <c r="I45" s="112">
        <v>100</v>
      </c>
      <c r="J45" s="112">
        <v>102</v>
      </c>
      <c r="K45" s="112">
        <v>102</v>
      </c>
      <c r="L45" s="112">
        <v>102</v>
      </c>
      <c r="M45" s="112">
        <v>102</v>
      </c>
    </row>
    <row r="46" spans="1:13" x14ac:dyDescent="0.25">
      <c r="A46" s="112" t="s">
        <v>167</v>
      </c>
      <c r="B46" s="112">
        <v>15</v>
      </c>
      <c r="C46" s="112">
        <v>21</v>
      </c>
      <c r="D46" s="112">
        <v>28</v>
      </c>
      <c r="E46" s="112">
        <v>58</v>
      </c>
      <c r="F46" s="112">
        <v>73</v>
      </c>
      <c r="G46" s="112">
        <v>91</v>
      </c>
      <c r="H46" s="112">
        <v>102</v>
      </c>
      <c r="I46" s="112">
        <v>102</v>
      </c>
      <c r="J46" s="112">
        <v>102</v>
      </c>
      <c r="K46" s="112">
        <v>102</v>
      </c>
      <c r="L46" s="112">
        <v>102</v>
      </c>
      <c r="M46" s="112">
        <v>102</v>
      </c>
    </row>
    <row r="47" spans="1:13" x14ac:dyDescent="0.25">
      <c r="A47" s="112" t="s">
        <v>166</v>
      </c>
      <c r="B47" s="112">
        <v>10</v>
      </c>
      <c r="C47" s="112">
        <v>15</v>
      </c>
      <c r="D47" s="112">
        <v>24</v>
      </c>
      <c r="E47" s="112">
        <v>48</v>
      </c>
      <c r="F47" s="112">
        <v>70</v>
      </c>
      <c r="G47" s="112">
        <v>86</v>
      </c>
      <c r="H47" s="112">
        <v>102</v>
      </c>
      <c r="I47" s="112">
        <v>102</v>
      </c>
      <c r="J47" s="112">
        <v>102</v>
      </c>
      <c r="K47" s="112">
        <v>102</v>
      </c>
      <c r="L47" s="112">
        <v>102</v>
      </c>
      <c r="M47" s="112">
        <v>102</v>
      </c>
    </row>
    <row r="48" spans="1:13" x14ac:dyDescent="0.25">
      <c r="A48" s="112" t="s">
        <v>165</v>
      </c>
      <c r="B48" s="112">
        <v>15</v>
      </c>
      <c r="C48" s="112">
        <v>19</v>
      </c>
      <c r="D48" s="112">
        <v>25</v>
      </c>
      <c r="E48" s="112">
        <v>52</v>
      </c>
      <c r="F48" s="112">
        <v>55</v>
      </c>
      <c r="G48" s="112">
        <v>67</v>
      </c>
      <c r="H48" s="112">
        <v>77</v>
      </c>
      <c r="I48" s="112">
        <v>102</v>
      </c>
      <c r="J48" s="112">
        <v>102</v>
      </c>
      <c r="K48" s="112">
        <v>102</v>
      </c>
      <c r="L48" s="112">
        <v>102</v>
      </c>
      <c r="M48" s="112">
        <v>102</v>
      </c>
    </row>
    <row r="49" spans="1:13" x14ac:dyDescent="0.25">
      <c r="A49" s="112" t="s">
        <v>164</v>
      </c>
      <c r="B49" s="112">
        <v>14</v>
      </c>
      <c r="C49" s="112">
        <v>18</v>
      </c>
      <c r="D49" s="112">
        <v>26</v>
      </c>
      <c r="E49" s="112">
        <v>48</v>
      </c>
      <c r="F49" s="112">
        <v>62</v>
      </c>
      <c r="G49" s="112">
        <v>69</v>
      </c>
      <c r="H49" s="112">
        <v>73</v>
      </c>
      <c r="I49" s="112">
        <v>88</v>
      </c>
      <c r="J49" s="112">
        <v>96</v>
      </c>
      <c r="K49" s="112">
        <v>102</v>
      </c>
      <c r="L49" s="112">
        <v>102</v>
      </c>
      <c r="M49" s="112">
        <v>102</v>
      </c>
    </row>
    <row r="50" spans="1:13" x14ac:dyDescent="0.25">
      <c r="A50" s="112" t="s">
        <v>163</v>
      </c>
      <c r="B50" s="112">
        <v>15</v>
      </c>
      <c r="C50" s="112">
        <v>23</v>
      </c>
      <c r="D50" s="112">
        <v>33</v>
      </c>
      <c r="E50" s="112">
        <v>62</v>
      </c>
      <c r="F50" s="112">
        <v>74</v>
      </c>
      <c r="G50" s="112">
        <v>87</v>
      </c>
      <c r="H50" s="112">
        <v>102</v>
      </c>
      <c r="I50" s="112">
        <v>102</v>
      </c>
      <c r="J50" s="112">
        <v>102</v>
      </c>
      <c r="K50" s="112">
        <v>102</v>
      </c>
      <c r="L50" s="112">
        <v>102</v>
      </c>
      <c r="M50" s="112">
        <v>102</v>
      </c>
    </row>
    <row r="51" spans="1:13" x14ac:dyDescent="0.25">
      <c r="A51" s="112" t="s">
        <v>162</v>
      </c>
      <c r="B51" s="112">
        <v>16</v>
      </c>
      <c r="C51" s="112">
        <v>25</v>
      </c>
      <c r="D51" s="112">
        <v>33</v>
      </c>
      <c r="E51" s="112">
        <v>60</v>
      </c>
      <c r="F51" s="112">
        <v>72</v>
      </c>
      <c r="G51" s="112">
        <v>85</v>
      </c>
      <c r="H51" s="112">
        <v>93</v>
      </c>
      <c r="I51" s="112">
        <v>102</v>
      </c>
      <c r="J51" s="112">
        <v>102</v>
      </c>
      <c r="K51" s="112">
        <v>102</v>
      </c>
      <c r="L51" s="112">
        <v>102</v>
      </c>
      <c r="M51" s="112">
        <v>102</v>
      </c>
    </row>
    <row r="52" spans="1:13" x14ac:dyDescent="0.25">
      <c r="A52" s="112" t="s">
        <v>161</v>
      </c>
      <c r="B52" s="112">
        <v>16</v>
      </c>
      <c r="C52" s="112">
        <v>22</v>
      </c>
      <c r="D52" s="112">
        <v>32</v>
      </c>
      <c r="E52" s="112">
        <v>55</v>
      </c>
      <c r="F52" s="112">
        <v>65</v>
      </c>
      <c r="G52" s="112">
        <v>76</v>
      </c>
      <c r="H52" s="112">
        <v>82</v>
      </c>
      <c r="I52" s="112">
        <v>86</v>
      </c>
      <c r="J52" s="112">
        <v>89</v>
      </c>
      <c r="K52" s="112">
        <v>91</v>
      </c>
      <c r="L52" s="112">
        <v>92</v>
      </c>
      <c r="M52" s="112">
        <v>92</v>
      </c>
    </row>
    <row r="53" spans="1:13" x14ac:dyDescent="0.25">
      <c r="A53" s="112" t="s">
        <v>160</v>
      </c>
      <c r="B53" s="112">
        <v>16</v>
      </c>
      <c r="C53" s="112">
        <v>23</v>
      </c>
      <c r="D53" s="112">
        <v>26</v>
      </c>
      <c r="E53" s="112">
        <v>48</v>
      </c>
      <c r="F53" s="112">
        <v>53</v>
      </c>
      <c r="G53" s="112">
        <v>60</v>
      </c>
      <c r="H53" s="112">
        <v>65</v>
      </c>
      <c r="I53" s="112">
        <v>68</v>
      </c>
      <c r="J53" s="112">
        <v>71</v>
      </c>
      <c r="K53" s="112">
        <v>73</v>
      </c>
      <c r="L53" s="112">
        <v>72</v>
      </c>
      <c r="M53" s="112">
        <v>73</v>
      </c>
    </row>
    <row r="54" spans="1:13" x14ac:dyDescent="0.25">
      <c r="A54" s="112" t="s">
        <v>159</v>
      </c>
      <c r="B54" s="112">
        <v>15</v>
      </c>
      <c r="C54" s="112">
        <v>21</v>
      </c>
      <c r="D54" s="112">
        <v>27</v>
      </c>
      <c r="E54" s="112">
        <v>51</v>
      </c>
      <c r="F54" s="112">
        <v>57</v>
      </c>
      <c r="G54" s="112">
        <v>63</v>
      </c>
      <c r="H54" s="112">
        <v>68</v>
      </c>
      <c r="I54" s="112">
        <v>72</v>
      </c>
      <c r="J54" s="112">
        <v>74</v>
      </c>
      <c r="K54" s="112">
        <v>77</v>
      </c>
      <c r="L54" s="112">
        <v>75</v>
      </c>
      <c r="M54" s="112">
        <v>75</v>
      </c>
    </row>
    <row r="55" spans="1:13" x14ac:dyDescent="0.25">
      <c r="A55" s="112" t="s">
        <v>158</v>
      </c>
      <c r="B55" s="112">
        <v>12</v>
      </c>
      <c r="C55" s="112">
        <v>19</v>
      </c>
      <c r="D55" s="112">
        <v>25</v>
      </c>
      <c r="E55" s="112">
        <v>51</v>
      </c>
      <c r="F55" s="112">
        <v>57</v>
      </c>
      <c r="G55" s="112">
        <v>64</v>
      </c>
      <c r="H55" s="112">
        <v>69</v>
      </c>
      <c r="I55" s="112">
        <v>73</v>
      </c>
      <c r="J55" s="112">
        <v>74</v>
      </c>
      <c r="K55" s="112">
        <v>75</v>
      </c>
      <c r="L55" s="112">
        <v>75</v>
      </c>
      <c r="M55" s="112">
        <v>75</v>
      </c>
    </row>
    <row r="56" spans="1:13" x14ac:dyDescent="0.25">
      <c r="A56" s="112" t="s">
        <v>157</v>
      </c>
      <c r="B56" s="112">
        <v>10</v>
      </c>
      <c r="C56" s="112">
        <v>16</v>
      </c>
      <c r="D56" s="112">
        <v>22</v>
      </c>
      <c r="E56" s="112">
        <v>48</v>
      </c>
      <c r="F56" s="112">
        <v>89</v>
      </c>
      <c r="G56" s="112">
        <v>94</v>
      </c>
      <c r="H56" s="112">
        <v>98</v>
      </c>
      <c r="I56" s="112">
        <v>102</v>
      </c>
      <c r="J56" s="112">
        <v>102</v>
      </c>
      <c r="K56" s="112">
        <v>102</v>
      </c>
      <c r="L56" s="112">
        <v>102</v>
      </c>
      <c r="M56" s="112">
        <v>102</v>
      </c>
    </row>
    <row r="57" spans="1:13" x14ac:dyDescent="0.25">
      <c r="A57" s="112" t="s">
        <v>156</v>
      </c>
      <c r="B57" s="112">
        <v>14</v>
      </c>
      <c r="C57" s="112">
        <v>21</v>
      </c>
      <c r="D57" s="112">
        <v>26</v>
      </c>
      <c r="E57" s="112">
        <v>51</v>
      </c>
      <c r="F57" s="112">
        <v>86</v>
      </c>
      <c r="G57" s="112">
        <v>86</v>
      </c>
      <c r="H57" s="112">
        <v>86</v>
      </c>
      <c r="I57" s="112">
        <v>88</v>
      </c>
      <c r="J57" s="112">
        <v>89</v>
      </c>
      <c r="K57" s="112">
        <v>89</v>
      </c>
      <c r="L57" s="112">
        <v>90</v>
      </c>
      <c r="M57" s="112">
        <v>90</v>
      </c>
    </row>
    <row r="58" spans="1:13" x14ac:dyDescent="0.25">
      <c r="A58" s="112" t="s">
        <v>155</v>
      </c>
      <c r="B58" s="112">
        <v>11</v>
      </c>
      <c r="C58" s="112">
        <v>18</v>
      </c>
      <c r="D58" s="112">
        <v>29</v>
      </c>
      <c r="E58" s="112">
        <v>56</v>
      </c>
      <c r="F58" s="112">
        <v>62</v>
      </c>
      <c r="G58" s="112">
        <v>88</v>
      </c>
      <c r="H58" s="112">
        <v>93</v>
      </c>
      <c r="I58" s="112">
        <v>95</v>
      </c>
      <c r="J58" s="112">
        <v>97</v>
      </c>
      <c r="K58" s="112">
        <v>98</v>
      </c>
      <c r="L58" s="112">
        <v>98</v>
      </c>
      <c r="M58" s="112">
        <v>100</v>
      </c>
    </row>
    <row r="59" spans="1:13" x14ac:dyDescent="0.25">
      <c r="A59" s="112" t="s">
        <v>154</v>
      </c>
      <c r="B59" s="112">
        <v>15</v>
      </c>
      <c r="C59" s="112">
        <v>23</v>
      </c>
      <c r="D59" s="112">
        <v>27</v>
      </c>
      <c r="E59" s="112">
        <v>52</v>
      </c>
      <c r="F59" s="112">
        <v>63</v>
      </c>
      <c r="G59" s="112">
        <v>74</v>
      </c>
      <c r="H59" s="112">
        <v>82</v>
      </c>
      <c r="I59" s="112">
        <v>93</v>
      </c>
      <c r="J59" s="112">
        <v>96</v>
      </c>
      <c r="K59" s="112">
        <v>102</v>
      </c>
      <c r="L59" s="112">
        <v>102</v>
      </c>
      <c r="M59" s="112">
        <v>102</v>
      </c>
    </row>
    <row r="60" spans="1:13" x14ac:dyDescent="0.25">
      <c r="A60" s="112" t="s">
        <v>153</v>
      </c>
      <c r="B60" s="112">
        <v>12</v>
      </c>
      <c r="C60" s="112">
        <v>21</v>
      </c>
      <c r="D60" s="112">
        <v>24</v>
      </c>
      <c r="E60" s="112">
        <v>40</v>
      </c>
      <c r="F60" s="112">
        <v>47</v>
      </c>
      <c r="G60" s="112">
        <v>54</v>
      </c>
      <c r="H60" s="112">
        <v>58</v>
      </c>
      <c r="I60" s="112">
        <v>61</v>
      </c>
      <c r="J60" s="112">
        <v>65</v>
      </c>
      <c r="K60" s="112">
        <v>68</v>
      </c>
      <c r="L60" s="112">
        <v>70</v>
      </c>
      <c r="M60" s="112">
        <v>70</v>
      </c>
    </row>
    <row r="61" spans="1:13" x14ac:dyDescent="0.25">
      <c r="A61" s="112" t="s">
        <v>152</v>
      </c>
      <c r="B61" s="112">
        <v>14</v>
      </c>
      <c r="C61" s="112">
        <v>23</v>
      </c>
      <c r="D61" s="112">
        <v>25</v>
      </c>
      <c r="E61" s="112">
        <v>55</v>
      </c>
      <c r="F61" s="112">
        <v>66</v>
      </c>
      <c r="G61" s="112">
        <v>77</v>
      </c>
      <c r="H61" s="112">
        <v>85</v>
      </c>
      <c r="I61" s="112">
        <v>96</v>
      </c>
      <c r="J61" s="112">
        <v>102</v>
      </c>
      <c r="K61" s="112">
        <v>102</v>
      </c>
      <c r="L61" s="112">
        <v>102</v>
      </c>
      <c r="M61" s="112">
        <v>102</v>
      </c>
    </row>
    <row r="62" spans="1:13" x14ac:dyDescent="0.25">
      <c r="A62" s="112" t="s">
        <v>151</v>
      </c>
      <c r="B62" s="112">
        <v>14</v>
      </c>
      <c r="C62" s="112">
        <v>20</v>
      </c>
      <c r="D62" s="112">
        <v>25</v>
      </c>
      <c r="E62" s="112">
        <v>53</v>
      </c>
      <c r="F62" s="112">
        <v>66</v>
      </c>
      <c r="G62" s="112">
        <v>80</v>
      </c>
      <c r="H62" s="112">
        <v>88</v>
      </c>
      <c r="I62" s="112">
        <v>94</v>
      </c>
      <c r="J62" s="112">
        <v>98</v>
      </c>
      <c r="K62" s="112">
        <v>102</v>
      </c>
      <c r="L62" s="112">
        <v>102</v>
      </c>
      <c r="M62" s="112">
        <v>102</v>
      </c>
    </row>
    <row r="63" spans="1:13" x14ac:dyDescent="0.25">
      <c r="A63" s="112" t="s">
        <v>150</v>
      </c>
      <c r="B63" s="112">
        <v>10</v>
      </c>
      <c r="C63" s="112">
        <v>17</v>
      </c>
      <c r="D63" s="112">
        <v>20</v>
      </c>
      <c r="E63" s="112">
        <v>40</v>
      </c>
      <c r="F63" s="112">
        <v>56</v>
      </c>
      <c r="G63" s="112">
        <v>73</v>
      </c>
      <c r="H63" s="112">
        <v>84</v>
      </c>
      <c r="I63" s="112">
        <v>91</v>
      </c>
      <c r="J63" s="112">
        <v>96</v>
      </c>
      <c r="K63" s="112">
        <v>102</v>
      </c>
      <c r="L63" s="112">
        <v>102</v>
      </c>
      <c r="M63" s="112">
        <v>102</v>
      </c>
    </row>
    <row r="64" spans="1:13" x14ac:dyDescent="0.25">
      <c r="A64" s="112" t="s">
        <v>149</v>
      </c>
      <c r="B64" s="112">
        <v>8</v>
      </c>
      <c r="C64" s="112">
        <v>13</v>
      </c>
      <c r="D64" s="112">
        <v>21</v>
      </c>
      <c r="E64" s="112">
        <v>30</v>
      </c>
      <c r="F64" s="112">
        <v>45</v>
      </c>
      <c r="G64" s="112">
        <v>61</v>
      </c>
      <c r="H64" s="112">
        <v>72</v>
      </c>
      <c r="I64" s="112">
        <v>79</v>
      </c>
      <c r="J64" s="112">
        <v>85</v>
      </c>
      <c r="K64" s="112">
        <v>94</v>
      </c>
      <c r="L64" s="112">
        <v>97</v>
      </c>
      <c r="M64" s="112">
        <v>99</v>
      </c>
    </row>
    <row r="65" spans="1:13" x14ac:dyDescent="0.25">
      <c r="A65" s="112" t="s">
        <v>148</v>
      </c>
      <c r="B65" s="112">
        <v>7</v>
      </c>
      <c r="C65" s="112">
        <v>13</v>
      </c>
      <c r="D65" s="112">
        <v>20</v>
      </c>
      <c r="E65" s="112">
        <v>43</v>
      </c>
      <c r="F65" s="112">
        <v>57</v>
      </c>
      <c r="G65" s="112">
        <v>73</v>
      </c>
      <c r="H65" s="112">
        <v>83</v>
      </c>
      <c r="I65" s="112">
        <v>91</v>
      </c>
      <c r="J65" s="112">
        <v>96</v>
      </c>
      <c r="K65" s="112">
        <v>102</v>
      </c>
      <c r="L65" s="112">
        <v>102</v>
      </c>
      <c r="M65" s="112">
        <v>102</v>
      </c>
    </row>
    <row r="66" spans="1:13" x14ac:dyDescent="0.25">
      <c r="A66" s="112" t="s">
        <v>147</v>
      </c>
      <c r="B66" s="112">
        <v>7</v>
      </c>
      <c r="C66" s="112">
        <v>12</v>
      </c>
      <c r="D66" s="112">
        <v>16</v>
      </c>
      <c r="E66" s="112">
        <v>35</v>
      </c>
      <c r="F66" s="112">
        <v>50</v>
      </c>
      <c r="G66" s="112">
        <v>65</v>
      </c>
      <c r="H66" s="112">
        <v>75</v>
      </c>
      <c r="I66" s="112">
        <v>82</v>
      </c>
      <c r="J66" s="112">
        <v>85</v>
      </c>
      <c r="K66" s="112">
        <v>90</v>
      </c>
      <c r="L66" s="112">
        <v>91</v>
      </c>
      <c r="M66" s="112">
        <v>93</v>
      </c>
    </row>
    <row r="67" spans="1:13" x14ac:dyDescent="0.25">
      <c r="A67" s="112" t="s">
        <v>146</v>
      </c>
      <c r="B67" s="112">
        <v>4</v>
      </c>
      <c r="C67" s="112">
        <v>11</v>
      </c>
      <c r="D67" s="112">
        <v>17</v>
      </c>
      <c r="E67" s="112">
        <v>36</v>
      </c>
      <c r="F67" s="112">
        <v>51</v>
      </c>
      <c r="G67" s="112">
        <v>67</v>
      </c>
      <c r="H67" s="112">
        <v>77</v>
      </c>
      <c r="I67" s="112">
        <v>84</v>
      </c>
      <c r="J67" s="112">
        <v>88</v>
      </c>
      <c r="K67" s="112">
        <v>91</v>
      </c>
      <c r="L67" s="112">
        <v>95</v>
      </c>
      <c r="M67" s="112">
        <v>99</v>
      </c>
    </row>
    <row r="68" spans="1:13" x14ac:dyDescent="0.25">
      <c r="A68" s="112" t="s">
        <v>145</v>
      </c>
      <c r="B68" s="112">
        <v>7</v>
      </c>
      <c r="C68" s="112">
        <v>14</v>
      </c>
      <c r="D68" s="112">
        <v>16</v>
      </c>
      <c r="E68" s="112">
        <v>43</v>
      </c>
      <c r="F68" s="112">
        <v>53</v>
      </c>
      <c r="G68" s="112">
        <v>62</v>
      </c>
      <c r="H68" s="112">
        <v>67</v>
      </c>
      <c r="I68" s="112">
        <v>71</v>
      </c>
      <c r="J68" s="112">
        <v>75</v>
      </c>
      <c r="K68" s="112">
        <v>75</v>
      </c>
      <c r="L68" s="112">
        <v>77</v>
      </c>
      <c r="M68" s="112">
        <v>77</v>
      </c>
    </row>
    <row r="69" spans="1:13" x14ac:dyDescent="0.25">
      <c r="A69" s="112" t="s">
        <v>144</v>
      </c>
      <c r="B69" s="112">
        <v>6</v>
      </c>
      <c r="C69" s="112">
        <v>15</v>
      </c>
      <c r="D69" s="112">
        <v>20</v>
      </c>
      <c r="E69" s="112">
        <v>44</v>
      </c>
      <c r="F69" s="112">
        <v>54</v>
      </c>
      <c r="G69" s="112">
        <v>64</v>
      </c>
      <c r="H69" s="112">
        <v>73</v>
      </c>
      <c r="I69" s="112">
        <v>81</v>
      </c>
      <c r="J69" s="112">
        <v>85</v>
      </c>
      <c r="K69" s="112">
        <v>88</v>
      </c>
      <c r="L69" s="112">
        <v>90</v>
      </c>
      <c r="M69" s="112">
        <v>95</v>
      </c>
    </row>
    <row r="70" spans="1:13" x14ac:dyDescent="0.25">
      <c r="A70" s="112" t="s">
        <v>143</v>
      </c>
      <c r="B70" s="112">
        <v>6</v>
      </c>
      <c r="C70" s="112">
        <v>13</v>
      </c>
      <c r="D70" s="112">
        <v>19</v>
      </c>
      <c r="E70" s="112">
        <v>41</v>
      </c>
      <c r="F70" s="112">
        <v>50</v>
      </c>
      <c r="G70" s="112">
        <v>60</v>
      </c>
      <c r="H70" s="112">
        <v>66</v>
      </c>
      <c r="I70" s="112">
        <v>70</v>
      </c>
      <c r="J70" s="112">
        <v>73</v>
      </c>
      <c r="K70" s="112">
        <v>74</v>
      </c>
      <c r="L70" s="112">
        <v>75</v>
      </c>
      <c r="M70" s="112">
        <v>76</v>
      </c>
    </row>
    <row r="71" spans="1:13" x14ac:dyDescent="0.25">
      <c r="A71" s="112" t="s">
        <v>142</v>
      </c>
      <c r="B71" s="112">
        <v>8</v>
      </c>
      <c r="C71" s="112">
        <v>15</v>
      </c>
      <c r="D71" s="112">
        <v>18</v>
      </c>
      <c r="E71" s="112">
        <v>50</v>
      </c>
      <c r="F71" s="112">
        <v>62</v>
      </c>
      <c r="G71" s="112">
        <v>74</v>
      </c>
      <c r="H71" s="112">
        <v>82</v>
      </c>
      <c r="I71" s="112">
        <v>87</v>
      </c>
      <c r="J71" s="112">
        <v>95</v>
      </c>
      <c r="K71" s="112">
        <v>102</v>
      </c>
      <c r="L71" s="112">
        <v>102</v>
      </c>
      <c r="M71" s="112">
        <v>102</v>
      </c>
    </row>
    <row r="72" spans="1:13" x14ac:dyDescent="0.25">
      <c r="A72" s="112" t="s">
        <v>141</v>
      </c>
      <c r="B72" s="112">
        <v>7</v>
      </c>
      <c r="C72" s="112">
        <v>11</v>
      </c>
      <c r="D72" s="112">
        <v>18</v>
      </c>
      <c r="E72" s="112">
        <v>42</v>
      </c>
      <c r="F72" s="112">
        <v>53</v>
      </c>
      <c r="G72" s="112">
        <v>65</v>
      </c>
      <c r="H72" s="112">
        <v>72</v>
      </c>
      <c r="I72" s="112">
        <v>80</v>
      </c>
      <c r="J72" s="112">
        <v>86</v>
      </c>
      <c r="K72" s="112">
        <v>91</v>
      </c>
      <c r="L72" s="112">
        <v>97</v>
      </c>
      <c r="M72" s="112">
        <v>102</v>
      </c>
    </row>
    <row r="73" spans="1:13" x14ac:dyDescent="0.25">
      <c r="A73" s="112" t="s">
        <v>140</v>
      </c>
      <c r="B73" s="112">
        <v>6</v>
      </c>
      <c r="C73" s="112">
        <v>10</v>
      </c>
      <c r="D73" s="112">
        <v>17</v>
      </c>
      <c r="E73" s="112">
        <v>39</v>
      </c>
      <c r="F73" s="112">
        <v>47</v>
      </c>
      <c r="G73" s="112">
        <v>57</v>
      </c>
      <c r="H73" s="112">
        <v>64</v>
      </c>
      <c r="I73" s="112">
        <v>69</v>
      </c>
      <c r="J73" s="112">
        <v>76</v>
      </c>
      <c r="K73" s="112">
        <v>79</v>
      </c>
      <c r="L73" s="112">
        <v>84</v>
      </c>
      <c r="M73" s="112">
        <v>86</v>
      </c>
    </row>
    <row r="74" spans="1:13" x14ac:dyDescent="0.25">
      <c r="A74" s="112" t="s">
        <v>139</v>
      </c>
      <c r="B74" s="112">
        <v>12</v>
      </c>
      <c r="C74" s="112">
        <v>16</v>
      </c>
      <c r="D74" s="112">
        <v>28</v>
      </c>
      <c r="E74" s="112">
        <v>59</v>
      </c>
      <c r="F74" s="112">
        <v>64</v>
      </c>
      <c r="G74" s="112">
        <v>71</v>
      </c>
      <c r="H74" s="112">
        <v>75</v>
      </c>
      <c r="I74" s="112">
        <v>78</v>
      </c>
      <c r="J74" s="112">
        <v>86</v>
      </c>
      <c r="K74" s="112">
        <v>93</v>
      </c>
      <c r="L74" s="112">
        <v>102</v>
      </c>
      <c r="M74" s="112">
        <v>102</v>
      </c>
    </row>
    <row r="75" spans="1:13" x14ac:dyDescent="0.25">
      <c r="A75" s="112" t="s">
        <v>138</v>
      </c>
      <c r="B75" s="112">
        <v>15</v>
      </c>
      <c r="C75" s="112">
        <v>21</v>
      </c>
      <c r="D75" s="112">
        <v>24</v>
      </c>
      <c r="E75" s="112">
        <v>51</v>
      </c>
      <c r="F75" s="112">
        <v>56</v>
      </c>
      <c r="G75" s="112">
        <v>64</v>
      </c>
      <c r="H75" s="112">
        <v>70</v>
      </c>
      <c r="I75" s="112">
        <v>75</v>
      </c>
      <c r="J75" s="112">
        <v>85</v>
      </c>
      <c r="K75" s="112">
        <v>92</v>
      </c>
      <c r="L75" s="112">
        <v>100</v>
      </c>
      <c r="M75" s="112">
        <v>102</v>
      </c>
    </row>
    <row r="76" spans="1:13" x14ac:dyDescent="0.25">
      <c r="A76" s="112" t="s">
        <v>137</v>
      </c>
      <c r="B76" s="112">
        <v>17</v>
      </c>
      <c r="C76" s="112">
        <v>22</v>
      </c>
      <c r="D76" s="112">
        <v>28</v>
      </c>
      <c r="E76" s="112">
        <v>47</v>
      </c>
      <c r="F76" s="112">
        <v>50</v>
      </c>
      <c r="G76" s="112">
        <v>53</v>
      </c>
      <c r="H76" s="112">
        <v>55</v>
      </c>
      <c r="I76" s="112">
        <v>58</v>
      </c>
      <c r="J76" s="112">
        <v>65</v>
      </c>
      <c r="K76" s="112">
        <v>71</v>
      </c>
      <c r="L76" s="112">
        <v>76</v>
      </c>
      <c r="M76" s="112">
        <v>78</v>
      </c>
    </row>
    <row r="77" spans="1:13" x14ac:dyDescent="0.25">
      <c r="A77" s="112" t="s">
        <v>136</v>
      </c>
      <c r="B77" s="112">
        <v>12</v>
      </c>
      <c r="C77" s="112">
        <v>17</v>
      </c>
      <c r="D77" s="112">
        <v>22</v>
      </c>
      <c r="E77" s="112">
        <v>35</v>
      </c>
      <c r="F77" s="112">
        <v>42</v>
      </c>
      <c r="G77" s="112">
        <v>49</v>
      </c>
      <c r="H77" s="112">
        <v>53</v>
      </c>
      <c r="I77" s="112">
        <v>61</v>
      </c>
      <c r="J77" s="112">
        <v>68</v>
      </c>
      <c r="K77" s="112">
        <v>76</v>
      </c>
      <c r="L77" s="112">
        <v>81</v>
      </c>
      <c r="M77" s="112">
        <v>86</v>
      </c>
    </row>
    <row r="78" spans="1:13" x14ac:dyDescent="0.25">
      <c r="A78" s="112" t="s">
        <v>135</v>
      </c>
      <c r="B78" s="112">
        <v>13</v>
      </c>
      <c r="C78" s="112">
        <v>23</v>
      </c>
      <c r="D78" s="112">
        <v>26</v>
      </c>
      <c r="E78" s="112">
        <v>53</v>
      </c>
      <c r="F78" s="112">
        <v>61</v>
      </c>
      <c r="G78" s="112">
        <v>72</v>
      </c>
      <c r="H78" s="112">
        <v>79</v>
      </c>
      <c r="I78" s="112">
        <v>86</v>
      </c>
      <c r="J78" s="112">
        <v>90</v>
      </c>
      <c r="K78" s="112">
        <v>98</v>
      </c>
      <c r="L78" s="112">
        <v>102</v>
      </c>
      <c r="M78" s="112">
        <v>102</v>
      </c>
    </row>
    <row r="79" spans="1:13" x14ac:dyDescent="0.25">
      <c r="A79" s="112" t="s">
        <v>134</v>
      </c>
      <c r="B79" s="112">
        <v>11</v>
      </c>
      <c r="C79" s="112">
        <v>17</v>
      </c>
      <c r="D79" s="112">
        <v>24</v>
      </c>
      <c r="E79" s="112">
        <v>48</v>
      </c>
      <c r="F79" s="112">
        <v>59</v>
      </c>
      <c r="G79" s="112">
        <v>74</v>
      </c>
      <c r="H79" s="112">
        <v>83</v>
      </c>
      <c r="I79" s="112">
        <v>91</v>
      </c>
      <c r="J79" s="112">
        <v>95</v>
      </c>
      <c r="K79" s="112">
        <v>102</v>
      </c>
      <c r="L79" s="112">
        <v>102</v>
      </c>
      <c r="M79" s="112">
        <v>102</v>
      </c>
    </row>
    <row r="80" spans="1:13" x14ac:dyDescent="0.25">
      <c r="A80" s="112" t="s">
        <v>133</v>
      </c>
      <c r="B80" s="112">
        <v>9</v>
      </c>
      <c r="C80" s="112">
        <v>17</v>
      </c>
      <c r="D80" s="112">
        <v>15</v>
      </c>
      <c r="E80" s="112">
        <v>38</v>
      </c>
      <c r="F80" s="112">
        <v>49</v>
      </c>
      <c r="G80" s="112">
        <v>59</v>
      </c>
      <c r="H80" s="112">
        <v>68</v>
      </c>
      <c r="I80" s="112">
        <v>78</v>
      </c>
      <c r="J80" s="112">
        <v>83</v>
      </c>
      <c r="K80" s="112">
        <v>90</v>
      </c>
      <c r="L80" s="112">
        <v>92</v>
      </c>
      <c r="M80" s="112">
        <v>90</v>
      </c>
    </row>
    <row r="81" spans="1:13" x14ac:dyDescent="0.25">
      <c r="A81" s="112" t="s">
        <v>132</v>
      </c>
      <c r="B81" s="112">
        <v>14</v>
      </c>
      <c r="C81" s="112">
        <v>23</v>
      </c>
      <c r="D81" s="112">
        <v>28</v>
      </c>
      <c r="E81" s="112">
        <v>62</v>
      </c>
      <c r="F81" s="112">
        <v>70</v>
      </c>
      <c r="G81" s="112">
        <v>80</v>
      </c>
      <c r="H81" s="112">
        <v>87</v>
      </c>
      <c r="I81" s="112">
        <v>95</v>
      </c>
      <c r="J81" s="112">
        <v>101</v>
      </c>
      <c r="K81" s="112">
        <v>102</v>
      </c>
      <c r="L81" s="112">
        <v>102</v>
      </c>
      <c r="M81" s="112">
        <v>102</v>
      </c>
    </row>
    <row r="82" spans="1:13" x14ac:dyDescent="0.25">
      <c r="A82" s="112" t="s">
        <v>131</v>
      </c>
      <c r="B82" s="112">
        <v>12</v>
      </c>
      <c r="C82" s="112">
        <v>19</v>
      </c>
      <c r="D82" s="112">
        <v>24</v>
      </c>
      <c r="E82" s="112">
        <v>41</v>
      </c>
      <c r="F82" s="112">
        <v>50</v>
      </c>
      <c r="G82" s="112">
        <v>61</v>
      </c>
      <c r="H82" s="112">
        <v>67</v>
      </c>
      <c r="I82" s="112">
        <v>76</v>
      </c>
      <c r="J82" s="112">
        <v>82</v>
      </c>
      <c r="K82" s="112">
        <v>89</v>
      </c>
      <c r="L82" s="112">
        <v>94</v>
      </c>
      <c r="M82" s="112">
        <v>94</v>
      </c>
    </row>
    <row r="83" spans="1:13" x14ac:dyDescent="0.25">
      <c r="A83" s="112" t="s">
        <v>130</v>
      </c>
      <c r="B83" s="112">
        <v>13</v>
      </c>
      <c r="C83" s="112">
        <v>19</v>
      </c>
      <c r="D83" s="112">
        <v>23</v>
      </c>
      <c r="E83" s="112">
        <v>49</v>
      </c>
      <c r="F83" s="112">
        <v>59</v>
      </c>
      <c r="G83" s="112">
        <v>69</v>
      </c>
      <c r="H83" s="112">
        <v>76</v>
      </c>
      <c r="I83" s="112">
        <v>89</v>
      </c>
      <c r="J83" s="112">
        <v>96</v>
      </c>
      <c r="K83" s="112">
        <v>102</v>
      </c>
      <c r="L83" s="112">
        <v>102</v>
      </c>
      <c r="M83" s="112">
        <v>102</v>
      </c>
    </row>
    <row r="84" spans="1:13" x14ac:dyDescent="0.25">
      <c r="A84" s="112" t="s">
        <v>129</v>
      </c>
      <c r="B84" s="112">
        <v>11</v>
      </c>
      <c r="C84" s="112">
        <v>15</v>
      </c>
      <c r="D84" s="112">
        <v>21</v>
      </c>
      <c r="E84" s="112">
        <v>41</v>
      </c>
      <c r="F84" s="112">
        <v>51</v>
      </c>
      <c r="G84" s="112">
        <v>62</v>
      </c>
      <c r="H84" s="112">
        <v>69</v>
      </c>
      <c r="I84" s="112">
        <v>83</v>
      </c>
      <c r="J84" s="112">
        <v>91</v>
      </c>
      <c r="K84" s="112">
        <v>100</v>
      </c>
      <c r="L84" s="112">
        <v>102</v>
      </c>
      <c r="M84" s="112">
        <v>102</v>
      </c>
    </row>
    <row r="85" spans="1:13" x14ac:dyDescent="0.25">
      <c r="A85" s="112" t="s">
        <v>128</v>
      </c>
      <c r="B85" s="112">
        <v>12</v>
      </c>
      <c r="C85" s="112">
        <v>19</v>
      </c>
      <c r="D85" s="112">
        <v>24</v>
      </c>
      <c r="E85" s="112">
        <v>50</v>
      </c>
      <c r="F85" s="112">
        <v>57</v>
      </c>
      <c r="G85" s="112">
        <v>64</v>
      </c>
      <c r="H85" s="112">
        <v>70</v>
      </c>
      <c r="I85" s="112">
        <v>80</v>
      </c>
      <c r="J85" s="112">
        <v>86</v>
      </c>
      <c r="K85" s="112">
        <v>90</v>
      </c>
      <c r="L85" s="112">
        <v>94</v>
      </c>
      <c r="M85" s="112">
        <v>95</v>
      </c>
    </row>
    <row r="86" spans="1:13" x14ac:dyDescent="0.25">
      <c r="A86" s="112" t="s">
        <v>127</v>
      </c>
      <c r="B86" s="112">
        <v>10</v>
      </c>
      <c r="C86" s="112">
        <v>16</v>
      </c>
      <c r="D86" s="112">
        <v>21</v>
      </c>
      <c r="E86" s="112">
        <v>41</v>
      </c>
      <c r="F86" s="112">
        <v>54</v>
      </c>
      <c r="G86" s="112">
        <v>67</v>
      </c>
      <c r="H86" s="112">
        <v>77</v>
      </c>
      <c r="I86" s="112">
        <v>87</v>
      </c>
      <c r="J86" s="112">
        <v>93</v>
      </c>
      <c r="K86" s="112">
        <v>99</v>
      </c>
      <c r="L86" s="112">
        <v>102</v>
      </c>
      <c r="M86" s="112">
        <v>102</v>
      </c>
    </row>
    <row r="87" spans="1:13" x14ac:dyDescent="0.25">
      <c r="A87" s="112" t="s">
        <v>126</v>
      </c>
      <c r="B87" s="112">
        <v>8</v>
      </c>
      <c r="C87" s="112">
        <v>15</v>
      </c>
      <c r="D87" s="112">
        <v>19</v>
      </c>
      <c r="E87" s="112">
        <v>44</v>
      </c>
      <c r="F87" s="112">
        <v>55</v>
      </c>
      <c r="G87" s="112">
        <v>66</v>
      </c>
      <c r="H87" s="112">
        <v>73</v>
      </c>
      <c r="I87" s="112">
        <v>84</v>
      </c>
      <c r="J87" s="112">
        <v>88</v>
      </c>
      <c r="K87" s="112">
        <v>95</v>
      </c>
      <c r="L87" s="112">
        <v>100</v>
      </c>
      <c r="M87" s="112">
        <v>102</v>
      </c>
    </row>
    <row r="88" spans="1:13" x14ac:dyDescent="0.25">
      <c r="A88" s="112" t="s">
        <v>125</v>
      </c>
      <c r="B88" s="112">
        <v>7</v>
      </c>
      <c r="C88" s="112">
        <v>13</v>
      </c>
      <c r="D88" s="112">
        <v>15</v>
      </c>
      <c r="E88" s="112">
        <v>34</v>
      </c>
      <c r="F88" s="112">
        <v>46</v>
      </c>
      <c r="G88" s="112">
        <v>59</v>
      </c>
      <c r="H88" s="112">
        <v>68</v>
      </c>
      <c r="I88" s="112">
        <v>80</v>
      </c>
      <c r="J88" s="112">
        <v>84</v>
      </c>
      <c r="K88" s="112">
        <v>89</v>
      </c>
      <c r="L88" s="112">
        <v>93</v>
      </c>
      <c r="M88" s="112">
        <v>96</v>
      </c>
    </row>
    <row r="89" spans="1:13" x14ac:dyDescent="0.25">
      <c r="A89" s="112" t="s">
        <v>124</v>
      </c>
      <c r="B89" s="112">
        <v>7</v>
      </c>
      <c r="C89" s="112">
        <v>13</v>
      </c>
      <c r="D89" s="112">
        <v>18</v>
      </c>
      <c r="E89" s="112">
        <v>36</v>
      </c>
      <c r="F89" s="112">
        <v>49</v>
      </c>
      <c r="G89" s="112">
        <v>61</v>
      </c>
      <c r="H89" s="112">
        <v>71</v>
      </c>
      <c r="I89" s="112">
        <v>75</v>
      </c>
      <c r="J89" s="112">
        <v>78</v>
      </c>
      <c r="K89" s="112">
        <v>86</v>
      </c>
      <c r="L89" s="112">
        <v>89</v>
      </c>
      <c r="M89" s="112">
        <v>90</v>
      </c>
    </row>
    <row r="90" spans="1:13" x14ac:dyDescent="0.25">
      <c r="A90" s="112" t="s">
        <v>123</v>
      </c>
      <c r="B90" s="112">
        <v>6</v>
      </c>
      <c r="C90" s="112">
        <v>12</v>
      </c>
      <c r="D90" s="112">
        <v>17</v>
      </c>
      <c r="E90" s="112">
        <v>45</v>
      </c>
      <c r="F90" s="112">
        <v>54</v>
      </c>
      <c r="G90" s="112">
        <v>65</v>
      </c>
      <c r="H90" s="112">
        <v>73</v>
      </c>
      <c r="I90" s="112">
        <v>76</v>
      </c>
      <c r="J90" s="112">
        <v>78</v>
      </c>
      <c r="K90" s="112">
        <v>84</v>
      </c>
      <c r="L90" s="112">
        <v>89</v>
      </c>
      <c r="M90" s="112">
        <v>92</v>
      </c>
    </row>
    <row r="91" spans="1:13" x14ac:dyDescent="0.25">
      <c r="A91" s="112" t="s">
        <v>122</v>
      </c>
      <c r="B91" s="112">
        <v>8</v>
      </c>
      <c r="C91" s="112">
        <v>16</v>
      </c>
      <c r="D91" s="112">
        <v>20</v>
      </c>
      <c r="E91" s="112">
        <v>43</v>
      </c>
      <c r="F91" s="112">
        <v>56</v>
      </c>
      <c r="G91" s="112">
        <v>69</v>
      </c>
      <c r="H91" s="112">
        <v>78</v>
      </c>
      <c r="I91" s="112">
        <v>83</v>
      </c>
      <c r="J91" s="112">
        <v>87</v>
      </c>
      <c r="K91" s="112">
        <v>94</v>
      </c>
      <c r="L91" s="112">
        <v>86</v>
      </c>
      <c r="M91" s="112">
        <v>88</v>
      </c>
    </row>
    <row r="92" spans="1:13" x14ac:dyDescent="0.25">
      <c r="A92" s="112" t="s">
        <v>121</v>
      </c>
      <c r="B92" s="112">
        <v>6</v>
      </c>
      <c r="C92" s="112">
        <v>13</v>
      </c>
      <c r="D92" s="112">
        <v>20</v>
      </c>
      <c r="E92" s="112">
        <v>38</v>
      </c>
      <c r="F92" s="112">
        <v>50</v>
      </c>
      <c r="G92" s="112">
        <v>65</v>
      </c>
      <c r="H92" s="112">
        <v>73</v>
      </c>
      <c r="I92" s="112">
        <v>89</v>
      </c>
      <c r="J92" s="112">
        <v>94</v>
      </c>
      <c r="K92" s="112">
        <v>99</v>
      </c>
      <c r="L92" s="112">
        <v>102</v>
      </c>
      <c r="M92" s="112">
        <v>102</v>
      </c>
    </row>
    <row r="93" spans="1:13" x14ac:dyDescent="0.25">
      <c r="A93" s="112" t="s">
        <v>120</v>
      </c>
      <c r="B93" s="112">
        <v>10</v>
      </c>
      <c r="C93" s="112">
        <v>17</v>
      </c>
      <c r="D93" s="112">
        <v>20</v>
      </c>
      <c r="E93" s="112">
        <v>41</v>
      </c>
      <c r="F93" s="112">
        <v>52</v>
      </c>
      <c r="G93" s="112">
        <v>65</v>
      </c>
      <c r="H93" s="112">
        <v>72</v>
      </c>
      <c r="I93" s="112">
        <v>88</v>
      </c>
      <c r="J93" s="112">
        <v>94</v>
      </c>
      <c r="K93" s="112">
        <v>98</v>
      </c>
      <c r="L93" s="112">
        <v>102</v>
      </c>
      <c r="M93" s="112">
        <v>102</v>
      </c>
    </row>
    <row r="94" spans="1:13" x14ac:dyDescent="0.25">
      <c r="A94" s="112" t="s">
        <v>119</v>
      </c>
      <c r="B94" s="112">
        <v>7</v>
      </c>
      <c r="C94" s="112">
        <v>13</v>
      </c>
      <c r="D94" s="112">
        <v>19</v>
      </c>
      <c r="E94" s="112">
        <v>37</v>
      </c>
      <c r="F94" s="112">
        <v>50</v>
      </c>
      <c r="G94" s="112">
        <v>64</v>
      </c>
      <c r="H94" s="112">
        <v>72</v>
      </c>
      <c r="I94" s="112">
        <v>88</v>
      </c>
      <c r="J94" s="112">
        <v>93</v>
      </c>
      <c r="K94" s="112">
        <v>97</v>
      </c>
      <c r="L94" s="112">
        <v>99</v>
      </c>
      <c r="M94" s="112">
        <v>102</v>
      </c>
    </row>
    <row r="95" spans="1:13" x14ac:dyDescent="0.25">
      <c r="A95" s="112" t="s">
        <v>118</v>
      </c>
      <c r="B95" s="112">
        <v>6</v>
      </c>
      <c r="C95" s="112">
        <v>13</v>
      </c>
      <c r="D95" s="112">
        <v>17</v>
      </c>
      <c r="E95" s="112">
        <v>38</v>
      </c>
      <c r="F95" s="112">
        <v>52</v>
      </c>
      <c r="G95" s="112">
        <v>66</v>
      </c>
      <c r="H95" s="112">
        <v>76</v>
      </c>
      <c r="I95" s="112">
        <v>80</v>
      </c>
      <c r="J95" s="112">
        <v>85</v>
      </c>
      <c r="K95" s="112">
        <v>91</v>
      </c>
      <c r="L95" s="112">
        <v>93</v>
      </c>
      <c r="M95" s="112">
        <v>94</v>
      </c>
    </row>
    <row r="96" spans="1:13" x14ac:dyDescent="0.25">
      <c r="A96" s="112" t="s">
        <v>117</v>
      </c>
      <c r="B96" s="112">
        <v>7</v>
      </c>
      <c r="C96" s="112">
        <v>13</v>
      </c>
      <c r="D96" s="112">
        <v>13</v>
      </c>
      <c r="E96" s="112">
        <v>28</v>
      </c>
      <c r="F96" s="112">
        <v>39</v>
      </c>
      <c r="G96" s="112">
        <v>50</v>
      </c>
      <c r="H96" s="112">
        <v>57</v>
      </c>
      <c r="I96" s="112">
        <v>63</v>
      </c>
      <c r="J96" s="112">
        <v>70</v>
      </c>
      <c r="K96" s="112">
        <v>75</v>
      </c>
      <c r="L96" s="112">
        <v>79</v>
      </c>
      <c r="M96" s="112">
        <v>81</v>
      </c>
    </row>
    <row r="97" spans="1:13" x14ac:dyDescent="0.25">
      <c r="A97" s="112" t="s">
        <v>116</v>
      </c>
      <c r="B97" s="112">
        <v>8</v>
      </c>
      <c r="C97" s="112">
        <v>14</v>
      </c>
      <c r="D97" s="112">
        <v>17</v>
      </c>
      <c r="E97" s="112">
        <v>37</v>
      </c>
      <c r="F97" s="112">
        <v>53</v>
      </c>
      <c r="G97" s="112">
        <v>69</v>
      </c>
      <c r="H97" s="112">
        <v>80</v>
      </c>
      <c r="I97" s="112">
        <v>85</v>
      </c>
      <c r="J97" s="112">
        <v>89</v>
      </c>
      <c r="K97" s="112">
        <v>93</v>
      </c>
      <c r="L97" s="112">
        <v>96</v>
      </c>
      <c r="M97" s="112">
        <v>96</v>
      </c>
    </row>
    <row r="98" spans="1:13" x14ac:dyDescent="0.25">
      <c r="A98" s="112" t="s">
        <v>115</v>
      </c>
      <c r="B98" s="112">
        <v>5</v>
      </c>
      <c r="C98" s="112">
        <v>12</v>
      </c>
      <c r="D98" s="112">
        <v>16</v>
      </c>
      <c r="E98" s="112">
        <v>30</v>
      </c>
      <c r="F98" s="112">
        <v>39</v>
      </c>
      <c r="G98" s="112">
        <v>48</v>
      </c>
      <c r="H98" s="112">
        <v>54</v>
      </c>
      <c r="I98" s="112">
        <v>62</v>
      </c>
      <c r="J98" s="112">
        <v>68</v>
      </c>
      <c r="K98" s="112">
        <v>70</v>
      </c>
      <c r="L98" s="112">
        <v>73</v>
      </c>
      <c r="M98" s="112">
        <v>75</v>
      </c>
    </row>
    <row r="99" spans="1:13" x14ac:dyDescent="0.25">
      <c r="A99" s="112" t="s">
        <v>114</v>
      </c>
      <c r="B99" s="112">
        <v>5</v>
      </c>
      <c r="C99" s="112">
        <v>12</v>
      </c>
      <c r="D99" s="112">
        <v>21</v>
      </c>
      <c r="E99" s="112">
        <v>42</v>
      </c>
      <c r="F99" s="112">
        <v>51</v>
      </c>
      <c r="G99" s="112">
        <v>62</v>
      </c>
      <c r="H99" s="112">
        <v>68</v>
      </c>
      <c r="I99" s="112">
        <v>74</v>
      </c>
      <c r="J99" s="112">
        <v>79</v>
      </c>
      <c r="K99" s="112">
        <v>82</v>
      </c>
      <c r="L99" s="112">
        <v>84</v>
      </c>
      <c r="M99" s="112">
        <v>84</v>
      </c>
    </row>
    <row r="100" spans="1:13" x14ac:dyDescent="0.25">
      <c r="A100" s="112" t="s">
        <v>113</v>
      </c>
      <c r="B100" s="112">
        <v>3</v>
      </c>
      <c r="C100" s="112">
        <v>11</v>
      </c>
      <c r="D100" s="112">
        <v>15</v>
      </c>
      <c r="E100" s="112">
        <v>34</v>
      </c>
      <c r="F100" s="112">
        <v>49</v>
      </c>
      <c r="G100" s="112">
        <v>66</v>
      </c>
      <c r="H100" s="112">
        <v>75</v>
      </c>
      <c r="I100" s="112">
        <v>80</v>
      </c>
      <c r="J100" s="112">
        <v>85</v>
      </c>
      <c r="K100" s="112">
        <v>89</v>
      </c>
      <c r="L100" s="112">
        <v>90</v>
      </c>
      <c r="M100" s="112">
        <v>90</v>
      </c>
    </row>
    <row r="101" spans="1:13" x14ac:dyDescent="0.25">
      <c r="A101" s="112" t="s">
        <v>112</v>
      </c>
      <c r="B101" s="112">
        <v>4</v>
      </c>
      <c r="C101" s="112">
        <v>11</v>
      </c>
      <c r="D101" s="112">
        <v>16</v>
      </c>
      <c r="E101" s="112">
        <v>28</v>
      </c>
      <c r="F101" s="112">
        <v>44</v>
      </c>
      <c r="G101" s="112">
        <v>61</v>
      </c>
      <c r="H101" s="112">
        <v>71</v>
      </c>
      <c r="I101" s="112">
        <v>84</v>
      </c>
      <c r="J101" s="112">
        <v>88</v>
      </c>
      <c r="K101" s="112">
        <v>90</v>
      </c>
      <c r="L101" s="112">
        <v>92</v>
      </c>
      <c r="M101" s="112">
        <v>91</v>
      </c>
    </row>
    <row r="102" spans="1:13" x14ac:dyDescent="0.25">
      <c r="A102" s="112" t="s">
        <v>111</v>
      </c>
      <c r="B102" s="112">
        <v>7</v>
      </c>
      <c r="C102" s="112">
        <v>15</v>
      </c>
      <c r="D102" s="112">
        <v>19</v>
      </c>
      <c r="E102" s="112">
        <v>38</v>
      </c>
      <c r="F102" s="112">
        <v>50</v>
      </c>
      <c r="G102" s="112">
        <v>66</v>
      </c>
      <c r="H102" s="112">
        <v>77</v>
      </c>
      <c r="I102" s="112">
        <v>88</v>
      </c>
      <c r="J102" s="112">
        <v>95</v>
      </c>
      <c r="K102" s="112">
        <v>98</v>
      </c>
      <c r="L102" s="112">
        <v>84</v>
      </c>
      <c r="M102" s="112">
        <v>86</v>
      </c>
    </row>
    <row r="103" spans="1:13" x14ac:dyDescent="0.25">
      <c r="A103" s="112" t="s">
        <v>110</v>
      </c>
      <c r="B103" s="112">
        <v>5</v>
      </c>
      <c r="C103" s="112">
        <v>11</v>
      </c>
      <c r="D103" s="112">
        <v>17</v>
      </c>
      <c r="E103" s="112">
        <v>28</v>
      </c>
      <c r="F103" s="112">
        <v>44</v>
      </c>
      <c r="G103" s="112">
        <v>62</v>
      </c>
      <c r="H103" s="112">
        <v>74</v>
      </c>
      <c r="I103" s="112">
        <v>85</v>
      </c>
      <c r="J103" s="112">
        <v>89</v>
      </c>
      <c r="K103" s="112">
        <v>91</v>
      </c>
      <c r="L103" s="112">
        <v>93</v>
      </c>
      <c r="M103" s="112">
        <v>93</v>
      </c>
    </row>
    <row r="104" spans="1:13" x14ac:dyDescent="0.25">
      <c r="A104" s="112" t="s">
        <v>109</v>
      </c>
      <c r="B104" s="112">
        <v>9</v>
      </c>
      <c r="C104" s="112">
        <v>14</v>
      </c>
      <c r="D104" s="112">
        <v>22</v>
      </c>
      <c r="E104" s="112">
        <v>46</v>
      </c>
      <c r="F104" s="112">
        <v>60</v>
      </c>
      <c r="G104" s="112">
        <v>77</v>
      </c>
      <c r="H104" s="112">
        <v>88</v>
      </c>
      <c r="I104" s="112">
        <v>97</v>
      </c>
      <c r="J104" s="112">
        <v>102</v>
      </c>
      <c r="K104" s="112">
        <v>102</v>
      </c>
      <c r="L104" s="112">
        <v>102</v>
      </c>
      <c r="M104" s="112">
        <v>102</v>
      </c>
    </row>
    <row r="105" spans="1:13" x14ac:dyDescent="0.25">
      <c r="A105" s="112" t="s">
        <v>108</v>
      </c>
      <c r="B105" s="112">
        <v>8</v>
      </c>
      <c r="C105" s="112">
        <v>11</v>
      </c>
      <c r="D105" s="112">
        <v>16</v>
      </c>
      <c r="E105" s="112">
        <v>28</v>
      </c>
      <c r="F105" s="112">
        <v>34</v>
      </c>
      <c r="G105" s="112">
        <v>41</v>
      </c>
      <c r="H105" s="112">
        <v>45</v>
      </c>
      <c r="I105" s="112">
        <v>53</v>
      </c>
      <c r="J105" s="112">
        <v>57</v>
      </c>
      <c r="K105" s="112">
        <v>61</v>
      </c>
      <c r="L105" s="112">
        <v>65</v>
      </c>
      <c r="M105" s="112">
        <v>69</v>
      </c>
    </row>
    <row r="106" spans="1:13" x14ac:dyDescent="0.25">
      <c r="A106" s="112" t="s">
        <v>107</v>
      </c>
      <c r="B106" s="112">
        <v>7</v>
      </c>
      <c r="C106" s="112">
        <v>11</v>
      </c>
      <c r="D106" s="112">
        <v>15</v>
      </c>
      <c r="E106" s="112">
        <v>35</v>
      </c>
      <c r="F106" s="112">
        <v>40</v>
      </c>
      <c r="G106" s="112">
        <v>42</v>
      </c>
      <c r="H106" s="112">
        <v>49</v>
      </c>
      <c r="I106" s="112">
        <v>55</v>
      </c>
      <c r="J106" s="112">
        <v>58</v>
      </c>
      <c r="K106" s="112">
        <v>60</v>
      </c>
      <c r="L106" s="112">
        <v>63</v>
      </c>
      <c r="M106" s="112">
        <v>64</v>
      </c>
    </row>
    <row r="107" spans="1:13" x14ac:dyDescent="0.25">
      <c r="A107" s="112" t="s">
        <v>106</v>
      </c>
      <c r="B107" s="112">
        <v>6</v>
      </c>
      <c r="C107" s="112">
        <v>12</v>
      </c>
      <c r="D107" s="112">
        <v>16</v>
      </c>
      <c r="E107" s="112">
        <v>36</v>
      </c>
      <c r="F107" s="112">
        <v>50</v>
      </c>
      <c r="G107" s="112">
        <v>63</v>
      </c>
      <c r="H107" s="112">
        <v>74</v>
      </c>
      <c r="I107" s="112">
        <v>82</v>
      </c>
      <c r="J107" s="112">
        <v>86</v>
      </c>
      <c r="K107" s="112">
        <v>92</v>
      </c>
      <c r="L107" s="112">
        <v>95</v>
      </c>
      <c r="M107" s="112">
        <v>97</v>
      </c>
    </row>
    <row r="108" spans="1:13" x14ac:dyDescent="0.25">
      <c r="A108" s="112" t="s">
        <v>105</v>
      </c>
      <c r="B108" s="112">
        <v>7</v>
      </c>
      <c r="C108" s="112">
        <v>11</v>
      </c>
      <c r="D108" s="112">
        <v>15</v>
      </c>
      <c r="E108" s="112">
        <v>34</v>
      </c>
      <c r="F108" s="112">
        <v>42</v>
      </c>
      <c r="G108" s="112">
        <v>52</v>
      </c>
      <c r="H108" s="112">
        <v>59</v>
      </c>
      <c r="I108" s="112">
        <v>65</v>
      </c>
      <c r="J108" s="112">
        <v>67</v>
      </c>
      <c r="K108" s="112">
        <v>74</v>
      </c>
      <c r="L108" s="112">
        <v>78</v>
      </c>
      <c r="M108" s="112">
        <v>82</v>
      </c>
    </row>
    <row r="109" spans="1:13" x14ac:dyDescent="0.25">
      <c r="A109" s="112" t="s">
        <v>104</v>
      </c>
      <c r="B109" s="112">
        <v>9</v>
      </c>
      <c r="C109" s="112">
        <v>15</v>
      </c>
      <c r="D109" s="112">
        <v>19</v>
      </c>
      <c r="E109" s="112">
        <v>38</v>
      </c>
      <c r="F109" s="112">
        <v>54</v>
      </c>
      <c r="G109" s="112">
        <v>69</v>
      </c>
      <c r="H109" s="112">
        <v>81</v>
      </c>
      <c r="I109" s="112">
        <v>87</v>
      </c>
      <c r="J109" s="112">
        <v>91</v>
      </c>
      <c r="K109" s="112">
        <v>96</v>
      </c>
      <c r="L109" s="112">
        <v>102</v>
      </c>
      <c r="M109" s="112">
        <v>102</v>
      </c>
    </row>
    <row r="110" spans="1:13" x14ac:dyDescent="0.25">
      <c r="A110" s="112" t="s">
        <v>103</v>
      </c>
      <c r="B110" s="112">
        <v>17</v>
      </c>
      <c r="C110" s="112">
        <v>25</v>
      </c>
      <c r="D110" s="112">
        <v>30</v>
      </c>
      <c r="E110" s="112">
        <v>57</v>
      </c>
      <c r="F110" s="112">
        <v>65</v>
      </c>
      <c r="G110" s="112">
        <v>73</v>
      </c>
      <c r="H110" s="112">
        <v>79</v>
      </c>
      <c r="I110" s="112">
        <v>88</v>
      </c>
      <c r="J110" s="112">
        <v>90</v>
      </c>
      <c r="K110" s="112">
        <v>94</v>
      </c>
      <c r="L110" s="112">
        <v>97</v>
      </c>
      <c r="M110" s="112">
        <v>102</v>
      </c>
    </row>
    <row r="111" spans="1:13" x14ac:dyDescent="0.25">
      <c r="A111" s="112" t="s">
        <v>102</v>
      </c>
      <c r="B111" s="112">
        <v>17</v>
      </c>
      <c r="C111" s="112">
        <v>25</v>
      </c>
      <c r="D111" s="112">
        <v>30</v>
      </c>
      <c r="E111" s="112">
        <v>61</v>
      </c>
      <c r="F111" s="112">
        <v>74</v>
      </c>
      <c r="G111" s="112">
        <v>88</v>
      </c>
      <c r="H111" s="112">
        <v>97</v>
      </c>
      <c r="I111" s="112">
        <v>102</v>
      </c>
      <c r="J111" s="112">
        <v>102</v>
      </c>
      <c r="K111" s="112">
        <v>102</v>
      </c>
      <c r="L111" s="112">
        <v>102</v>
      </c>
      <c r="M111" s="112">
        <v>102</v>
      </c>
    </row>
    <row r="112" spans="1:13" x14ac:dyDescent="0.25">
      <c r="A112" s="112" t="s">
        <v>101</v>
      </c>
      <c r="B112" s="112">
        <v>12</v>
      </c>
      <c r="C112" s="112">
        <v>19</v>
      </c>
      <c r="D112" s="112">
        <v>18</v>
      </c>
      <c r="E112" s="112">
        <v>43</v>
      </c>
      <c r="F112" s="112">
        <v>50</v>
      </c>
      <c r="G112" s="112">
        <v>56</v>
      </c>
      <c r="H112" s="112">
        <v>61</v>
      </c>
      <c r="I112" s="112">
        <v>70</v>
      </c>
      <c r="J112" s="112">
        <v>74</v>
      </c>
      <c r="K112" s="112">
        <v>79</v>
      </c>
      <c r="L112" s="112">
        <v>81</v>
      </c>
      <c r="M112" s="112">
        <v>81</v>
      </c>
    </row>
    <row r="113" spans="1:13" x14ac:dyDescent="0.25">
      <c r="A113" s="112" t="s">
        <v>100</v>
      </c>
      <c r="B113" s="112">
        <v>17</v>
      </c>
      <c r="C113" s="112">
        <v>27</v>
      </c>
      <c r="D113" s="112">
        <v>29</v>
      </c>
      <c r="E113" s="112">
        <v>52</v>
      </c>
      <c r="F113" s="112">
        <v>66</v>
      </c>
      <c r="G113" s="112">
        <v>80</v>
      </c>
      <c r="H113" s="112">
        <v>90</v>
      </c>
      <c r="I113" s="112">
        <v>99</v>
      </c>
      <c r="J113" s="112">
        <v>102</v>
      </c>
      <c r="K113" s="112">
        <v>102</v>
      </c>
      <c r="L113" s="112">
        <v>102</v>
      </c>
      <c r="M113" s="112">
        <v>102</v>
      </c>
    </row>
    <row r="114" spans="1:13" x14ac:dyDescent="0.25">
      <c r="A114" s="112" t="s">
        <v>99</v>
      </c>
      <c r="B114" s="112">
        <v>16</v>
      </c>
      <c r="C114" s="112">
        <v>22</v>
      </c>
      <c r="D114" s="112">
        <v>30</v>
      </c>
      <c r="E114" s="112">
        <v>56</v>
      </c>
      <c r="F114" s="112">
        <v>71</v>
      </c>
      <c r="G114" s="112">
        <v>85</v>
      </c>
      <c r="H114" s="112">
        <v>96</v>
      </c>
      <c r="I114" s="112">
        <v>102</v>
      </c>
      <c r="J114" s="112">
        <v>102</v>
      </c>
      <c r="K114" s="112">
        <v>102</v>
      </c>
      <c r="L114" s="112">
        <v>102</v>
      </c>
      <c r="M114" s="112">
        <v>102</v>
      </c>
    </row>
    <row r="115" spans="1:13" x14ac:dyDescent="0.25">
      <c r="A115" s="112" t="s">
        <v>98</v>
      </c>
      <c r="B115" s="112">
        <v>15</v>
      </c>
      <c r="C115" s="112">
        <v>21</v>
      </c>
      <c r="D115" s="112">
        <v>24</v>
      </c>
      <c r="E115" s="112">
        <v>44</v>
      </c>
      <c r="F115" s="112">
        <v>53</v>
      </c>
      <c r="G115" s="112">
        <v>62</v>
      </c>
      <c r="H115" s="112">
        <v>69</v>
      </c>
      <c r="I115" s="112">
        <v>79</v>
      </c>
      <c r="J115" s="112">
        <v>83</v>
      </c>
      <c r="K115" s="112">
        <v>86</v>
      </c>
      <c r="L115" s="112">
        <v>86</v>
      </c>
      <c r="M115" s="112">
        <v>85</v>
      </c>
    </row>
    <row r="116" spans="1:13" x14ac:dyDescent="0.25">
      <c r="A116" s="112" t="s">
        <v>97</v>
      </c>
      <c r="B116" s="112">
        <v>12</v>
      </c>
      <c r="C116" s="112">
        <v>21</v>
      </c>
      <c r="D116" s="112">
        <v>25</v>
      </c>
      <c r="E116" s="112">
        <v>53</v>
      </c>
      <c r="F116" s="112">
        <v>62</v>
      </c>
      <c r="G116" s="112">
        <v>86</v>
      </c>
      <c r="H116" s="112">
        <v>102</v>
      </c>
      <c r="I116" s="112">
        <v>102</v>
      </c>
      <c r="J116" s="112">
        <v>102</v>
      </c>
      <c r="K116" s="112">
        <v>102</v>
      </c>
      <c r="L116" s="112">
        <v>102</v>
      </c>
      <c r="M116" s="112">
        <v>102</v>
      </c>
    </row>
    <row r="117" spans="1:13" x14ac:dyDescent="0.25">
      <c r="A117" s="112" t="s">
        <v>96</v>
      </c>
      <c r="B117" s="112">
        <v>12</v>
      </c>
      <c r="C117" s="112">
        <v>20</v>
      </c>
      <c r="D117" s="112">
        <v>25</v>
      </c>
      <c r="E117" s="112">
        <v>57</v>
      </c>
      <c r="F117" s="112">
        <v>68</v>
      </c>
      <c r="G117" s="112">
        <v>82</v>
      </c>
      <c r="H117" s="112">
        <v>91</v>
      </c>
      <c r="I117" s="112">
        <v>95</v>
      </c>
      <c r="J117" s="112">
        <v>102</v>
      </c>
      <c r="K117" s="112">
        <v>102</v>
      </c>
      <c r="L117" s="112">
        <v>102</v>
      </c>
      <c r="M117" s="112">
        <v>102</v>
      </c>
    </row>
    <row r="118" spans="1:13" x14ac:dyDescent="0.25">
      <c r="A118" s="112" t="s">
        <v>95</v>
      </c>
      <c r="B118" s="112">
        <v>13</v>
      </c>
      <c r="C118" s="112">
        <v>21</v>
      </c>
      <c r="D118" s="112">
        <v>26</v>
      </c>
      <c r="E118" s="112">
        <v>48</v>
      </c>
      <c r="F118" s="112">
        <v>59</v>
      </c>
      <c r="G118" s="112">
        <v>69</v>
      </c>
      <c r="H118" s="112">
        <v>78</v>
      </c>
      <c r="I118" s="112">
        <v>81</v>
      </c>
      <c r="J118" s="112">
        <v>83</v>
      </c>
      <c r="K118" s="112">
        <v>90</v>
      </c>
      <c r="L118" s="112">
        <v>96</v>
      </c>
      <c r="M118" s="112">
        <v>102</v>
      </c>
    </row>
    <row r="119" spans="1:13" x14ac:dyDescent="0.25">
      <c r="A119" s="112" t="s">
        <v>94</v>
      </c>
      <c r="B119" s="112">
        <v>11</v>
      </c>
      <c r="C119" s="112">
        <v>15</v>
      </c>
      <c r="D119" s="112">
        <v>22</v>
      </c>
      <c r="E119" s="112">
        <v>48</v>
      </c>
      <c r="F119" s="112">
        <v>60</v>
      </c>
      <c r="G119" s="112">
        <v>73</v>
      </c>
      <c r="H119" s="112">
        <v>82</v>
      </c>
      <c r="I119" s="112">
        <v>89</v>
      </c>
      <c r="J119" s="112">
        <v>93</v>
      </c>
      <c r="K119" s="112">
        <v>97</v>
      </c>
      <c r="L119" s="112">
        <v>102</v>
      </c>
      <c r="M119" s="112">
        <v>102</v>
      </c>
    </row>
    <row r="120" spans="1:13" x14ac:dyDescent="0.25">
      <c r="A120" s="112" t="s">
        <v>93</v>
      </c>
      <c r="B120" s="112">
        <v>11</v>
      </c>
      <c r="C120" s="112">
        <v>16</v>
      </c>
      <c r="D120" s="112">
        <v>22</v>
      </c>
      <c r="E120" s="112">
        <v>37</v>
      </c>
      <c r="F120" s="112">
        <v>15</v>
      </c>
      <c r="G120" s="112">
        <v>41</v>
      </c>
      <c r="H120" s="112">
        <v>58</v>
      </c>
      <c r="I120" s="112">
        <v>69</v>
      </c>
      <c r="J120" s="112">
        <v>74</v>
      </c>
      <c r="K120" s="112">
        <v>77</v>
      </c>
      <c r="L120" s="112">
        <v>79</v>
      </c>
      <c r="M120" s="112">
        <v>81</v>
      </c>
    </row>
    <row r="121" spans="1:13" x14ac:dyDescent="0.25">
      <c r="A121" s="112" t="s">
        <v>92</v>
      </c>
      <c r="B121" s="112">
        <v>13</v>
      </c>
      <c r="C121" s="112">
        <v>17</v>
      </c>
      <c r="D121" s="112">
        <v>23</v>
      </c>
      <c r="E121" s="112">
        <v>44</v>
      </c>
      <c r="F121" s="112">
        <v>49</v>
      </c>
      <c r="G121" s="112">
        <v>55</v>
      </c>
      <c r="H121" s="112">
        <v>59</v>
      </c>
      <c r="I121" s="112">
        <v>69</v>
      </c>
      <c r="J121" s="112">
        <v>76</v>
      </c>
      <c r="K121" s="112">
        <v>80</v>
      </c>
      <c r="L121" s="112">
        <v>82</v>
      </c>
      <c r="M121" s="112">
        <v>83</v>
      </c>
    </row>
    <row r="122" spans="1:13" x14ac:dyDescent="0.25">
      <c r="A122" s="112" t="s">
        <v>91</v>
      </c>
      <c r="B122" s="112">
        <v>17</v>
      </c>
      <c r="C122" s="112">
        <v>25</v>
      </c>
      <c r="D122" s="112">
        <v>31</v>
      </c>
      <c r="E122" s="112">
        <v>58</v>
      </c>
      <c r="F122" s="112">
        <v>68</v>
      </c>
      <c r="G122" s="112">
        <v>75</v>
      </c>
      <c r="H122" s="112">
        <v>82</v>
      </c>
      <c r="I122" s="112">
        <v>88</v>
      </c>
      <c r="J122" s="112">
        <v>93</v>
      </c>
      <c r="K122" s="112">
        <v>94</v>
      </c>
      <c r="L122" s="112">
        <v>95</v>
      </c>
      <c r="M122" s="112">
        <v>96</v>
      </c>
    </row>
    <row r="123" spans="1:13" x14ac:dyDescent="0.25">
      <c r="A123" s="112" t="s">
        <v>90</v>
      </c>
      <c r="B123" s="112">
        <v>16</v>
      </c>
      <c r="C123" s="112">
        <v>24</v>
      </c>
      <c r="D123" s="112">
        <v>33</v>
      </c>
      <c r="E123" s="112">
        <v>58</v>
      </c>
      <c r="F123" s="112">
        <v>67</v>
      </c>
      <c r="G123" s="112">
        <v>75</v>
      </c>
      <c r="H123" s="112">
        <v>82</v>
      </c>
      <c r="I123" s="112">
        <v>88</v>
      </c>
      <c r="J123" s="112">
        <v>93</v>
      </c>
      <c r="K123" s="112">
        <v>96</v>
      </c>
      <c r="L123" s="112">
        <v>98</v>
      </c>
      <c r="M123" s="112">
        <v>102</v>
      </c>
    </row>
    <row r="124" spans="1:13" x14ac:dyDescent="0.25">
      <c r="A124" s="112" t="s">
        <v>89</v>
      </c>
      <c r="B124" s="112">
        <v>15</v>
      </c>
      <c r="C124" s="112">
        <v>24</v>
      </c>
      <c r="D124" s="112">
        <v>29</v>
      </c>
      <c r="E124" s="112">
        <v>57</v>
      </c>
      <c r="F124" s="112">
        <v>64</v>
      </c>
      <c r="G124" s="112">
        <v>71</v>
      </c>
      <c r="H124" s="112">
        <v>75</v>
      </c>
      <c r="I124" s="112">
        <v>83</v>
      </c>
      <c r="J124" s="112">
        <v>89</v>
      </c>
      <c r="K124" s="112">
        <v>91</v>
      </c>
      <c r="L124" s="112">
        <v>93</v>
      </c>
      <c r="M124" s="112">
        <v>93</v>
      </c>
    </row>
    <row r="125" spans="1:13" x14ac:dyDescent="0.25">
      <c r="A125" s="112" t="s">
        <v>88</v>
      </c>
      <c r="B125" s="112">
        <v>13</v>
      </c>
      <c r="C125" s="112">
        <v>21</v>
      </c>
      <c r="D125" s="112">
        <v>30</v>
      </c>
      <c r="E125" s="112">
        <v>57</v>
      </c>
      <c r="F125" s="112">
        <v>69</v>
      </c>
      <c r="G125" s="112">
        <v>82</v>
      </c>
      <c r="H125" s="112">
        <v>90</v>
      </c>
      <c r="I125" s="112">
        <v>99</v>
      </c>
      <c r="J125" s="112">
        <v>102</v>
      </c>
      <c r="K125" s="112">
        <v>102</v>
      </c>
      <c r="L125" s="112">
        <v>102</v>
      </c>
      <c r="M125" s="112">
        <v>102</v>
      </c>
    </row>
    <row r="126" spans="1:13" x14ac:dyDescent="0.25">
      <c r="A126" s="112" t="s">
        <v>87</v>
      </c>
      <c r="B126" s="112">
        <v>13</v>
      </c>
      <c r="C126" s="112">
        <v>22</v>
      </c>
      <c r="D126" s="112">
        <v>27</v>
      </c>
      <c r="E126" s="112">
        <v>59</v>
      </c>
      <c r="F126" s="112">
        <v>74</v>
      </c>
      <c r="G126" s="112">
        <v>88</v>
      </c>
      <c r="H126" s="112">
        <v>102</v>
      </c>
      <c r="I126" s="112">
        <v>102</v>
      </c>
      <c r="J126" s="112">
        <v>102</v>
      </c>
      <c r="K126" s="112">
        <v>102</v>
      </c>
      <c r="L126" s="112">
        <v>102</v>
      </c>
      <c r="M126" s="112">
        <v>102</v>
      </c>
    </row>
    <row r="127" spans="1:13" x14ac:dyDescent="0.25">
      <c r="A127" s="112" t="s">
        <v>86</v>
      </c>
      <c r="B127" s="112">
        <v>16</v>
      </c>
      <c r="C127" s="112">
        <v>24</v>
      </c>
      <c r="D127" s="112">
        <v>32</v>
      </c>
      <c r="E127" s="112">
        <v>65</v>
      </c>
      <c r="F127" s="112">
        <v>80</v>
      </c>
      <c r="G127" s="112">
        <v>93</v>
      </c>
      <c r="H127" s="112">
        <v>102</v>
      </c>
      <c r="I127" s="112">
        <v>102</v>
      </c>
      <c r="J127" s="112">
        <v>102</v>
      </c>
      <c r="K127" s="112">
        <v>102</v>
      </c>
      <c r="L127" s="112">
        <v>102</v>
      </c>
      <c r="M127" s="112">
        <v>102</v>
      </c>
    </row>
    <row r="128" spans="1:13" x14ac:dyDescent="0.25">
      <c r="A128" s="112" t="s">
        <v>85</v>
      </c>
      <c r="B128" s="112">
        <v>15</v>
      </c>
      <c r="C128" s="112">
        <v>23</v>
      </c>
      <c r="D128" s="112">
        <v>27</v>
      </c>
      <c r="E128" s="112">
        <v>62</v>
      </c>
      <c r="F128" s="112">
        <v>72</v>
      </c>
      <c r="G128" s="112">
        <v>83</v>
      </c>
      <c r="H128" s="112">
        <v>90</v>
      </c>
      <c r="I128" s="112">
        <v>100</v>
      </c>
      <c r="J128" s="112">
        <v>102</v>
      </c>
      <c r="K128" s="112">
        <v>102</v>
      </c>
      <c r="L128" s="112">
        <v>102</v>
      </c>
      <c r="M128" s="112">
        <v>102</v>
      </c>
    </row>
    <row r="129" spans="1:13" x14ac:dyDescent="0.25">
      <c r="A129" s="112" t="s">
        <v>84</v>
      </c>
      <c r="B129" s="112">
        <v>14</v>
      </c>
      <c r="C129" s="112">
        <v>21</v>
      </c>
      <c r="D129" s="112">
        <v>27</v>
      </c>
      <c r="E129" s="112">
        <v>58</v>
      </c>
      <c r="F129" s="112">
        <v>68</v>
      </c>
      <c r="G129" s="112">
        <v>78</v>
      </c>
      <c r="H129" s="112">
        <v>87</v>
      </c>
      <c r="I129" s="112">
        <v>90</v>
      </c>
      <c r="J129" s="112">
        <v>96</v>
      </c>
      <c r="K129" s="112">
        <v>102</v>
      </c>
      <c r="L129" s="112">
        <v>102</v>
      </c>
      <c r="M129" s="112">
        <v>102</v>
      </c>
    </row>
    <row r="130" spans="1:13" x14ac:dyDescent="0.25">
      <c r="A130" s="112" t="s">
        <v>83</v>
      </c>
      <c r="B130" s="112">
        <v>14</v>
      </c>
      <c r="C130" s="112">
        <v>20</v>
      </c>
      <c r="D130" s="112">
        <v>23</v>
      </c>
      <c r="E130" s="112">
        <v>48</v>
      </c>
      <c r="F130" s="112">
        <v>55</v>
      </c>
      <c r="G130" s="112">
        <v>65</v>
      </c>
      <c r="H130" s="112">
        <v>71</v>
      </c>
      <c r="I130" s="112">
        <v>77</v>
      </c>
      <c r="J130" s="112">
        <v>83</v>
      </c>
      <c r="K130" s="112">
        <v>86</v>
      </c>
      <c r="L130" s="112">
        <v>88</v>
      </c>
      <c r="M130" s="112">
        <v>89</v>
      </c>
    </row>
    <row r="131" spans="1:13" x14ac:dyDescent="0.25">
      <c r="A131" s="112" t="s">
        <v>82</v>
      </c>
      <c r="B131" s="112">
        <v>13</v>
      </c>
      <c r="C131" s="112">
        <v>22</v>
      </c>
      <c r="D131" s="112">
        <v>23</v>
      </c>
      <c r="E131" s="112">
        <v>52</v>
      </c>
      <c r="F131" s="112">
        <v>57</v>
      </c>
      <c r="G131" s="112">
        <v>63</v>
      </c>
      <c r="H131" s="112">
        <v>67</v>
      </c>
      <c r="I131" s="112">
        <v>78</v>
      </c>
      <c r="J131" s="112">
        <v>83</v>
      </c>
      <c r="K131" s="112">
        <v>86</v>
      </c>
      <c r="L131" s="112">
        <v>90</v>
      </c>
      <c r="M131" s="112">
        <v>92</v>
      </c>
    </row>
    <row r="132" spans="1:13" x14ac:dyDescent="0.25">
      <c r="A132" s="112" t="s">
        <v>81</v>
      </c>
      <c r="B132" s="112">
        <v>12</v>
      </c>
      <c r="C132" s="112">
        <v>20</v>
      </c>
      <c r="D132" s="112">
        <v>23</v>
      </c>
      <c r="E132" s="112">
        <v>48</v>
      </c>
      <c r="F132" s="112">
        <v>62</v>
      </c>
      <c r="G132" s="112">
        <v>75</v>
      </c>
      <c r="H132" s="112">
        <v>83</v>
      </c>
      <c r="I132" s="112">
        <v>89</v>
      </c>
      <c r="J132" s="112">
        <v>93</v>
      </c>
      <c r="K132" s="112">
        <v>95</v>
      </c>
      <c r="L132" s="112">
        <v>99</v>
      </c>
      <c r="M132" s="112">
        <v>102</v>
      </c>
    </row>
    <row r="133" spans="1:13" x14ac:dyDescent="0.25">
      <c r="A133" s="112" t="s">
        <v>80</v>
      </c>
      <c r="B133" s="112">
        <v>10</v>
      </c>
      <c r="C133" s="112">
        <v>19</v>
      </c>
      <c r="D133" s="112">
        <v>21</v>
      </c>
      <c r="E133" s="112">
        <v>41</v>
      </c>
      <c r="F133" s="112">
        <v>43</v>
      </c>
      <c r="G133" s="112">
        <v>44</v>
      </c>
      <c r="H133" s="112">
        <v>45</v>
      </c>
      <c r="I133" s="112">
        <v>50</v>
      </c>
      <c r="J133" s="112">
        <v>54</v>
      </c>
      <c r="K133" s="112">
        <v>57</v>
      </c>
      <c r="L133" s="112">
        <v>60</v>
      </c>
      <c r="M133" s="112">
        <v>62</v>
      </c>
    </row>
    <row r="134" spans="1:13" x14ac:dyDescent="0.25">
      <c r="A134" s="112" t="s">
        <v>79</v>
      </c>
      <c r="B134" s="112">
        <v>6</v>
      </c>
      <c r="C134" s="112">
        <v>14</v>
      </c>
      <c r="D134" s="112">
        <v>21</v>
      </c>
      <c r="E134" s="112">
        <v>44</v>
      </c>
      <c r="F134" s="112">
        <v>59</v>
      </c>
      <c r="G134" s="112">
        <v>76</v>
      </c>
      <c r="H134" s="112">
        <v>87</v>
      </c>
      <c r="I134" s="112">
        <v>91</v>
      </c>
      <c r="J134" s="112">
        <v>94</v>
      </c>
      <c r="K134" s="112">
        <v>99</v>
      </c>
      <c r="L134" s="112">
        <v>102</v>
      </c>
      <c r="M134" s="112">
        <v>102</v>
      </c>
    </row>
    <row r="135" spans="1:13" x14ac:dyDescent="0.25">
      <c r="A135" s="112" t="s">
        <v>78</v>
      </c>
      <c r="B135" s="112">
        <v>9</v>
      </c>
      <c r="C135" s="112">
        <v>15</v>
      </c>
      <c r="D135" s="112">
        <v>18</v>
      </c>
      <c r="E135" s="112">
        <v>40</v>
      </c>
      <c r="F135" s="112">
        <v>49</v>
      </c>
      <c r="G135" s="112">
        <v>61</v>
      </c>
      <c r="H135" s="112">
        <v>68</v>
      </c>
      <c r="I135" s="112">
        <v>70</v>
      </c>
      <c r="J135" s="112">
        <v>73</v>
      </c>
      <c r="K135" s="112">
        <v>79</v>
      </c>
      <c r="L135" s="112">
        <v>83</v>
      </c>
      <c r="M135" s="112">
        <v>86</v>
      </c>
    </row>
    <row r="136" spans="1:13" x14ac:dyDescent="0.25">
      <c r="A136" s="112" t="s">
        <v>77</v>
      </c>
      <c r="B136" s="112">
        <v>7</v>
      </c>
      <c r="C136" s="112">
        <v>15</v>
      </c>
      <c r="D136" s="112">
        <v>19</v>
      </c>
      <c r="E136" s="112">
        <v>43</v>
      </c>
      <c r="F136" s="112">
        <v>50</v>
      </c>
      <c r="G136" s="112">
        <v>60</v>
      </c>
      <c r="H136" s="112">
        <v>66</v>
      </c>
      <c r="I136" s="112">
        <v>68</v>
      </c>
      <c r="J136" s="112">
        <v>72</v>
      </c>
      <c r="K136" s="112">
        <v>76</v>
      </c>
      <c r="L136" s="112">
        <v>81</v>
      </c>
      <c r="M136" s="112">
        <v>84</v>
      </c>
    </row>
    <row r="137" spans="1:13" x14ac:dyDescent="0.25">
      <c r="A137" s="112" t="s">
        <v>76</v>
      </c>
      <c r="B137" s="112">
        <v>5</v>
      </c>
      <c r="C137" s="112">
        <v>12</v>
      </c>
      <c r="D137" s="112">
        <v>20</v>
      </c>
      <c r="E137" s="112">
        <v>42</v>
      </c>
      <c r="F137" s="112">
        <v>57</v>
      </c>
      <c r="G137" s="112">
        <v>72</v>
      </c>
      <c r="H137" s="112">
        <v>81</v>
      </c>
      <c r="I137" s="112">
        <v>88</v>
      </c>
      <c r="J137" s="112">
        <v>92</v>
      </c>
      <c r="K137" s="112">
        <v>95</v>
      </c>
      <c r="L137" s="112">
        <v>97</v>
      </c>
      <c r="M137" s="112">
        <v>102</v>
      </c>
    </row>
    <row r="138" spans="1:13" x14ac:dyDescent="0.25">
      <c r="A138" s="112" t="s">
        <v>75</v>
      </c>
      <c r="B138" s="112">
        <v>6</v>
      </c>
      <c r="C138" s="112">
        <v>13</v>
      </c>
      <c r="D138" s="112">
        <v>21</v>
      </c>
      <c r="E138" s="112">
        <v>43</v>
      </c>
      <c r="F138" s="112">
        <v>60</v>
      </c>
      <c r="G138" s="112">
        <v>78</v>
      </c>
      <c r="H138" s="112">
        <v>92</v>
      </c>
      <c r="I138" s="112">
        <v>98</v>
      </c>
      <c r="J138" s="112">
        <v>102</v>
      </c>
      <c r="K138" s="112">
        <v>102</v>
      </c>
      <c r="L138" s="112">
        <v>102</v>
      </c>
      <c r="M138" s="112">
        <v>102</v>
      </c>
    </row>
    <row r="139" spans="1:13" x14ac:dyDescent="0.25">
      <c r="A139" s="112" t="s">
        <v>74</v>
      </c>
      <c r="B139" s="112">
        <v>7</v>
      </c>
      <c r="C139" s="112">
        <v>13</v>
      </c>
      <c r="D139" s="112">
        <v>21</v>
      </c>
      <c r="E139" s="112">
        <v>44</v>
      </c>
      <c r="F139" s="112">
        <v>53</v>
      </c>
      <c r="G139" s="112">
        <v>62</v>
      </c>
      <c r="H139" s="112">
        <v>68</v>
      </c>
      <c r="I139" s="112">
        <v>75</v>
      </c>
      <c r="J139" s="112">
        <v>80</v>
      </c>
      <c r="K139" s="112">
        <v>84</v>
      </c>
      <c r="L139" s="112">
        <v>86</v>
      </c>
      <c r="M139" s="112">
        <v>87</v>
      </c>
    </row>
    <row r="140" spans="1:13" x14ac:dyDescent="0.25">
      <c r="A140" s="112" t="s">
        <v>73</v>
      </c>
      <c r="B140" s="112">
        <v>5</v>
      </c>
      <c r="C140" s="112">
        <v>10</v>
      </c>
      <c r="D140" s="112">
        <v>16</v>
      </c>
      <c r="E140" s="112">
        <v>36</v>
      </c>
      <c r="F140" s="112">
        <v>51</v>
      </c>
      <c r="G140" s="112">
        <v>67</v>
      </c>
      <c r="H140" s="112">
        <v>79</v>
      </c>
      <c r="I140" s="112">
        <v>83</v>
      </c>
      <c r="J140" s="112">
        <v>89</v>
      </c>
      <c r="K140" s="112">
        <v>91</v>
      </c>
      <c r="L140" s="112">
        <v>94</v>
      </c>
      <c r="M140" s="112">
        <v>96</v>
      </c>
    </row>
    <row r="141" spans="1:13" x14ac:dyDescent="0.25">
      <c r="A141" s="112" t="s">
        <v>72</v>
      </c>
      <c r="B141" s="112">
        <v>5</v>
      </c>
      <c r="C141" s="112">
        <v>11</v>
      </c>
      <c r="D141" s="112">
        <v>14</v>
      </c>
      <c r="E141" s="112">
        <v>26</v>
      </c>
      <c r="F141" s="112">
        <v>57</v>
      </c>
      <c r="G141" s="112">
        <v>68</v>
      </c>
      <c r="H141" s="112">
        <v>77</v>
      </c>
      <c r="I141" s="112">
        <v>79</v>
      </c>
      <c r="J141" s="112">
        <v>86</v>
      </c>
      <c r="K141" s="112">
        <v>89</v>
      </c>
      <c r="L141" s="112">
        <v>93</v>
      </c>
      <c r="M141" s="112">
        <v>95</v>
      </c>
    </row>
    <row r="142" spans="1:13" x14ac:dyDescent="0.25">
      <c r="A142" s="112" t="s">
        <v>71</v>
      </c>
      <c r="B142" s="112">
        <v>4</v>
      </c>
      <c r="C142" s="112">
        <v>9</v>
      </c>
      <c r="D142" s="112">
        <v>13</v>
      </c>
      <c r="E142" s="112">
        <v>30</v>
      </c>
      <c r="F142" s="112">
        <v>42</v>
      </c>
      <c r="G142" s="112">
        <v>55</v>
      </c>
      <c r="H142" s="112">
        <v>64</v>
      </c>
      <c r="I142" s="112">
        <v>68</v>
      </c>
      <c r="J142" s="112">
        <v>75</v>
      </c>
      <c r="K142" s="112">
        <v>77</v>
      </c>
      <c r="L142" s="112">
        <v>79</v>
      </c>
      <c r="M142" s="112">
        <v>80</v>
      </c>
    </row>
    <row r="143" spans="1:13" x14ac:dyDescent="0.25">
      <c r="A143" s="112" t="s">
        <v>70</v>
      </c>
      <c r="B143" s="112">
        <v>4</v>
      </c>
      <c r="C143" s="112">
        <v>11</v>
      </c>
      <c r="D143" s="112">
        <v>15</v>
      </c>
      <c r="E143" s="112">
        <v>35</v>
      </c>
      <c r="F143" s="112">
        <v>46</v>
      </c>
      <c r="G143" s="112">
        <v>59</v>
      </c>
      <c r="H143" s="112">
        <v>67</v>
      </c>
      <c r="I143" s="112">
        <v>71</v>
      </c>
      <c r="J143" s="112">
        <v>79</v>
      </c>
      <c r="K143" s="112">
        <v>83</v>
      </c>
      <c r="L143" s="112">
        <v>85</v>
      </c>
      <c r="M143" s="112">
        <v>87</v>
      </c>
    </row>
    <row r="144" spans="1:13" x14ac:dyDescent="0.25">
      <c r="A144" s="112" t="s">
        <v>69</v>
      </c>
      <c r="B144" s="112">
        <v>5</v>
      </c>
      <c r="C144" s="112">
        <v>11</v>
      </c>
      <c r="D144" s="112">
        <v>13</v>
      </c>
      <c r="E144" s="112">
        <v>34</v>
      </c>
      <c r="F144" s="112">
        <v>40</v>
      </c>
      <c r="G144" s="112">
        <v>48</v>
      </c>
      <c r="H144" s="112">
        <v>52</v>
      </c>
      <c r="I144" s="112">
        <v>60</v>
      </c>
      <c r="J144" s="112">
        <v>69</v>
      </c>
      <c r="K144" s="112">
        <v>71</v>
      </c>
      <c r="L144" s="112">
        <v>74</v>
      </c>
      <c r="M144" s="112">
        <v>74</v>
      </c>
    </row>
    <row r="145" spans="1:13" x14ac:dyDescent="0.25">
      <c r="A145" s="112" t="s">
        <v>68</v>
      </c>
      <c r="B145" s="112">
        <v>7</v>
      </c>
      <c r="C145" s="112">
        <v>13</v>
      </c>
      <c r="D145" s="112">
        <v>16</v>
      </c>
      <c r="E145" s="112">
        <v>34</v>
      </c>
      <c r="F145" s="112">
        <v>43</v>
      </c>
      <c r="G145" s="112">
        <v>53</v>
      </c>
      <c r="H145" s="112">
        <v>61</v>
      </c>
      <c r="I145" s="112">
        <v>66</v>
      </c>
      <c r="J145" s="112">
        <v>76</v>
      </c>
      <c r="K145" s="112">
        <v>81</v>
      </c>
      <c r="L145" s="112">
        <v>82</v>
      </c>
      <c r="M145" s="112">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79F46-E70E-49E8-BC7C-B2A89F56BFD4}">
  <dimension ref="A1:B49"/>
  <sheetViews>
    <sheetView workbookViewId="0"/>
  </sheetViews>
  <sheetFormatPr defaultRowHeight="12.75" x14ac:dyDescent="0.2"/>
  <sheetData>
    <row r="1" spans="1:2" ht="15" x14ac:dyDescent="0.25">
      <c r="A1" s="119" t="s">
        <v>227</v>
      </c>
      <c r="B1" s="119" t="s">
        <v>354</v>
      </c>
    </row>
    <row r="2" spans="1:2" ht="15" x14ac:dyDescent="0.25">
      <c r="A2" s="119" t="s">
        <v>210</v>
      </c>
      <c r="B2" s="302">
        <v>7.6552930883639547</v>
      </c>
    </row>
    <row r="3" spans="1:2" ht="15" x14ac:dyDescent="0.25">
      <c r="A3" s="119" t="s">
        <v>207</v>
      </c>
      <c r="B3" s="302">
        <v>7.6552930883639547</v>
      </c>
    </row>
    <row r="4" spans="1:2" ht="15" x14ac:dyDescent="0.25">
      <c r="A4" s="119" t="s">
        <v>204</v>
      </c>
      <c r="B4" s="302">
        <v>9.4050743657042872</v>
      </c>
    </row>
    <row r="5" spans="1:2" ht="15" x14ac:dyDescent="0.25">
      <c r="A5" s="119" t="s">
        <v>201</v>
      </c>
      <c r="B5" s="302">
        <v>9.1863517060367457</v>
      </c>
    </row>
    <row r="6" spans="1:2" ht="15" x14ac:dyDescent="0.25">
      <c r="A6" s="119" t="s">
        <v>198</v>
      </c>
      <c r="B6" s="302">
        <v>8.3114610673665794</v>
      </c>
    </row>
    <row r="7" spans="1:2" ht="15" x14ac:dyDescent="0.25">
      <c r="A7" s="119" t="s">
        <v>195</v>
      </c>
      <c r="B7" s="302">
        <v>7.6552930883639547</v>
      </c>
    </row>
    <row r="8" spans="1:2" ht="15" x14ac:dyDescent="0.25">
      <c r="A8" s="119" t="s">
        <v>192</v>
      </c>
      <c r="B8" s="302">
        <v>8.0927384076990379</v>
      </c>
    </row>
    <row r="9" spans="1:2" ht="15" x14ac:dyDescent="0.25">
      <c r="A9" s="119" t="s">
        <v>189</v>
      </c>
      <c r="B9" s="302">
        <v>8.530183727034121</v>
      </c>
    </row>
    <row r="10" spans="1:2" ht="15" x14ac:dyDescent="0.25">
      <c r="A10" s="119" t="s">
        <v>186</v>
      </c>
      <c r="B10" s="302">
        <v>7.2178477690288716</v>
      </c>
    </row>
    <row r="11" spans="1:2" ht="15" x14ac:dyDescent="0.25">
      <c r="A11" s="119" t="s">
        <v>183</v>
      </c>
      <c r="B11" s="302">
        <v>10.061242344706912</v>
      </c>
    </row>
    <row r="12" spans="1:2" ht="15" x14ac:dyDescent="0.25">
      <c r="A12" s="119" t="s">
        <v>180</v>
      </c>
      <c r="B12" s="302">
        <v>6.99912510936133</v>
      </c>
    </row>
    <row r="13" spans="1:2" ht="15" x14ac:dyDescent="0.25">
      <c r="A13" s="119" t="s">
        <v>177</v>
      </c>
      <c r="B13" s="302">
        <v>8.530183727034121</v>
      </c>
    </row>
    <row r="14" spans="1:2" ht="15" x14ac:dyDescent="0.25">
      <c r="A14" s="119" t="s">
        <v>174</v>
      </c>
      <c r="B14" s="302">
        <v>7.4365704286964132</v>
      </c>
    </row>
    <row r="15" spans="1:2" ht="15" x14ac:dyDescent="0.25">
      <c r="A15" s="119" t="s">
        <v>171</v>
      </c>
      <c r="B15" s="302">
        <v>9.4050743657042872</v>
      </c>
    </row>
    <row r="16" spans="1:2" ht="15" x14ac:dyDescent="0.25">
      <c r="A16" s="119" t="s">
        <v>168</v>
      </c>
      <c r="B16" s="302">
        <v>6.3429571303587053</v>
      </c>
    </row>
    <row r="17" spans="1:2" ht="15" x14ac:dyDescent="0.25">
      <c r="A17" s="119" t="s">
        <v>165</v>
      </c>
      <c r="B17" s="302">
        <v>5.9055118110236222</v>
      </c>
    </row>
    <row r="18" spans="1:2" ht="15" x14ac:dyDescent="0.25">
      <c r="A18" s="119" t="s">
        <v>162</v>
      </c>
      <c r="B18" s="302">
        <v>9.1863517060367457</v>
      </c>
    </row>
    <row r="19" spans="1:2" ht="15" x14ac:dyDescent="0.25">
      <c r="A19" s="119" t="s">
        <v>159</v>
      </c>
      <c r="B19" s="302">
        <v>9.8425196850393704</v>
      </c>
    </row>
    <row r="20" spans="1:2" ht="15" x14ac:dyDescent="0.25">
      <c r="A20" s="119" t="s">
        <v>156</v>
      </c>
      <c r="B20" s="302">
        <v>8.9676290463692041</v>
      </c>
    </row>
    <row r="21" spans="1:2" ht="15" x14ac:dyDescent="0.25">
      <c r="A21" s="119" t="s">
        <v>153</v>
      </c>
      <c r="B21" s="302">
        <v>7.8740157480314963</v>
      </c>
    </row>
    <row r="22" spans="1:2" ht="15" x14ac:dyDescent="0.25">
      <c r="A22" s="119" t="s">
        <v>150</v>
      </c>
      <c r="B22" s="302">
        <v>7.6552930883639547</v>
      </c>
    </row>
    <row r="23" spans="1:2" ht="15" x14ac:dyDescent="0.25">
      <c r="A23" s="119" t="s">
        <v>147</v>
      </c>
      <c r="B23" s="302">
        <v>7.8740157480314963</v>
      </c>
    </row>
    <row r="24" spans="1:2" ht="15" x14ac:dyDescent="0.25">
      <c r="A24" s="119" t="s">
        <v>144</v>
      </c>
      <c r="B24" s="302">
        <v>9.8425196850393704</v>
      </c>
    </row>
    <row r="25" spans="1:2" ht="15" x14ac:dyDescent="0.25">
      <c r="A25" s="119" t="s">
        <v>141</v>
      </c>
      <c r="B25" s="302">
        <v>7.6552930883639547</v>
      </c>
    </row>
    <row r="26" spans="1:2" ht="15" x14ac:dyDescent="0.25">
      <c r="A26" s="119" t="s">
        <v>138</v>
      </c>
      <c r="B26" s="302">
        <v>5.9055118110236222</v>
      </c>
    </row>
    <row r="27" spans="1:2" ht="15" x14ac:dyDescent="0.25">
      <c r="A27" s="119" t="s">
        <v>135</v>
      </c>
      <c r="B27" s="302">
        <v>8.530183727034121</v>
      </c>
    </row>
    <row r="28" spans="1:2" ht="15" x14ac:dyDescent="0.25">
      <c r="A28" s="119" t="s">
        <v>132</v>
      </c>
      <c r="B28" s="302">
        <v>9.6237970253718288</v>
      </c>
    </row>
    <row r="29" spans="1:2" ht="15" x14ac:dyDescent="0.25">
      <c r="A29" s="119" t="s">
        <v>129</v>
      </c>
      <c r="B29" s="302">
        <v>8.0927384076990379</v>
      </c>
    </row>
    <row r="30" spans="1:2" ht="15" x14ac:dyDescent="0.25">
      <c r="A30" s="119" t="s">
        <v>126</v>
      </c>
      <c r="B30" s="302">
        <v>7.8740157480314963</v>
      </c>
    </row>
    <row r="31" spans="1:2" ht="15" x14ac:dyDescent="0.25">
      <c r="A31" s="119" t="s">
        <v>123</v>
      </c>
      <c r="B31" s="302">
        <v>6.5616797900262469</v>
      </c>
    </row>
    <row r="32" spans="1:2" ht="15" x14ac:dyDescent="0.25">
      <c r="A32" s="119" t="s">
        <v>120</v>
      </c>
      <c r="B32" s="302">
        <v>9.1863517060367457</v>
      </c>
    </row>
    <row r="33" spans="1:2" ht="15" x14ac:dyDescent="0.25">
      <c r="A33" s="119" t="s">
        <v>117</v>
      </c>
      <c r="B33" s="302">
        <v>7.2178477690288716</v>
      </c>
    </row>
    <row r="34" spans="1:2" ht="15" x14ac:dyDescent="0.25">
      <c r="A34" s="119" t="s">
        <v>114</v>
      </c>
      <c r="B34" s="302">
        <v>4.3744531933508313</v>
      </c>
    </row>
    <row r="35" spans="1:2" ht="15" x14ac:dyDescent="0.25">
      <c r="A35" s="119" t="s">
        <v>111</v>
      </c>
      <c r="B35" s="302">
        <v>6.7804024496937885</v>
      </c>
    </row>
    <row r="36" spans="1:2" ht="15" x14ac:dyDescent="0.25">
      <c r="A36" s="119" t="s">
        <v>108</v>
      </c>
      <c r="B36" s="302">
        <v>7.8740157480314963</v>
      </c>
    </row>
    <row r="37" spans="1:2" ht="15" x14ac:dyDescent="0.25">
      <c r="A37" s="119" t="s">
        <v>105</v>
      </c>
      <c r="B37" s="302">
        <v>7.2178477690288716</v>
      </c>
    </row>
    <row r="38" spans="1:2" ht="15" x14ac:dyDescent="0.25">
      <c r="A38" s="119" t="s">
        <v>102</v>
      </c>
      <c r="B38" s="302">
        <v>10.498687664041995</v>
      </c>
    </row>
    <row r="39" spans="1:2" ht="15" x14ac:dyDescent="0.25">
      <c r="A39" s="119" t="s">
        <v>99</v>
      </c>
      <c r="B39" s="302">
        <v>8.530183727034121</v>
      </c>
    </row>
    <row r="40" spans="1:2" ht="15" x14ac:dyDescent="0.25">
      <c r="A40" s="119" t="s">
        <v>96</v>
      </c>
      <c r="B40" s="302">
        <v>9.4050743657042872</v>
      </c>
    </row>
    <row r="41" spans="1:2" ht="15" x14ac:dyDescent="0.25">
      <c r="A41" s="119" t="s">
        <v>93</v>
      </c>
      <c r="B41" s="302">
        <v>5.9055118110236222</v>
      </c>
    </row>
    <row r="42" spans="1:2" ht="15" x14ac:dyDescent="0.25">
      <c r="A42" s="119" t="s">
        <v>90</v>
      </c>
      <c r="B42" s="302">
        <v>7.2178477690288716</v>
      </c>
    </row>
    <row r="43" spans="1:2" ht="15" x14ac:dyDescent="0.25">
      <c r="A43" s="119" t="s">
        <v>87</v>
      </c>
      <c r="B43" s="302">
        <v>7.8740157480314963</v>
      </c>
    </row>
    <row r="44" spans="1:2" ht="15" x14ac:dyDescent="0.25">
      <c r="A44" s="119" t="s">
        <v>84</v>
      </c>
      <c r="B44" s="302">
        <v>8.7489063867016625</v>
      </c>
    </row>
    <row r="45" spans="1:2" ht="15" x14ac:dyDescent="0.25">
      <c r="A45" s="119" t="s">
        <v>81</v>
      </c>
      <c r="B45" s="302">
        <v>7.2178477690288716</v>
      </c>
    </row>
    <row r="46" spans="1:2" ht="15" x14ac:dyDescent="0.25">
      <c r="A46" s="119" t="s">
        <v>78</v>
      </c>
      <c r="B46" s="302">
        <v>7.6552930883639547</v>
      </c>
    </row>
    <row r="47" spans="1:2" ht="15" x14ac:dyDescent="0.25">
      <c r="A47" s="119" t="s">
        <v>75</v>
      </c>
      <c r="B47" s="302">
        <v>8.3114610673665794</v>
      </c>
    </row>
    <row r="48" spans="1:2" ht="15" x14ac:dyDescent="0.25">
      <c r="A48" s="119" t="s">
        <v>72</v>
      </c>
      <c r="B48" s="302">
        <v>3.9370078740157481</v>
      </c>
    </row>
    <row r="49" spans="1:2" ht="15" x14ac:dyDescent="0.25">
      <c r="A49" s="119" t="s">
        <v>69</v>
      </c>
      <c r="B49" s="302">
        <v>4.5931758530183728</v>
      </c>
    </row>
  </sheetData>
  <sortState xmlns:xlrd2="http://schemas.microsoft.com/office/spreadsheetml/2017/richdata2" ref="A2:B49">
    <sortCondition ref="A2:A4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672C-8ED2-4A38-91F5-3D50AA22177A}">
  <dimension ref="A1:F49"/>
  <sheetViews>
    <sheetView workbookViewId="0">
      <selection activeCell="E2" sqref="E2"/>
    </sheetView>
  </sheetViews>
  <sheetFormatPr defaultRowHeight="12.75" x14ac:dyDescent="0.2"/>
  <cols>
    <col min="2" max="2" width="10.7109375" bestFit="1" customWidth="1"/>
    <col min="3" max="4" width="9.28515625" bestFit="1" customWidth="1"/>
    <col min="5" max="5" width="10.7109375" bestFit="1" customWidth="1"/>
  </cols>
  <sheetData>
    <row r="1" spans="1:6" ht="15" x14ac:dyDescent="0.25">
      <c r="A1" s="118" t="s">
        <v>227</v>
      </c>
      <c r="B1" s="119" t="s">
        <v>228</v>
      </c>
      <c r="C1" s="119" t="s">
        <v>229</v>
      </c>
      <c r="D1" s="119" t="s">
        <v>230</v>
      </c>
      <c r="E1" s="119" t="s">
        <v>231</v>
      </c>
      <c r="F1" s="119"/>
    </row>
    <row r="2" spans="1:6" ht="15" x14ac:dyDescent="0.25">
      <c r="A2" s="119" t="s">
        <v>210</v>
      </c>
      <c r="B2" s="303">
        <v>44685</v>
      </c>
      <c r="C2" s="119">
        <v>2022</v>
      </c>
      <c r="D2" s="304">
        <v>124.25</v>
      </c>
      <c r="E2" s="303">
        <v>44695</v>
      </c>
    </row>
    <row r="3" spans="1:6" ht="15" x14ac:dyDescent="0.25">
      <c r="A3" s="119" t="s">
        <v>207</v>
      </c>
      <c r="B3" s="303">
        <v>44684</v>
      </c>
      <c r="C3" s="119">
        <v>2022</v>
      </c>
      <c r="D3" s="304">
        <v>122.5</v>
      </c>
      <c r="E3" s="303">
        <v>44695</v>
      </c>
    </row>
    <row r="4" spans="1:6" ht="15" x14ac:dyDescent="0.25">
      <c r="A4" s="119" t="s">
        <v>204</v>
      </c>
      <c r="B4" s="303">
        <v>44685</v>
      </c>
      <c r="C4" s="119">
        <v>2022</v>
      </c>
      <c r="D4" s="304">
        <v>124.1</v>
      </c>
      <c r="E4" s="303">
        <v>44696</v>
      </c>
    </row>
    <row r="5" spans="1:6" ht="15" x14ac:dyDescent="0.25">
      <c r="A5" s="119" t="s">
        <v>201</v>
      </c>
      <c r="B5" s="303">
        <v>44684</v>
      </c>
      <c r="C5" s="119">
        <v>2022</v>
      </c>
      <c r="D5" s="304">
        <v>123</v>
      </c>
      <c r="E5" s="303">
        <v>44695</v>
      </c>
    </row>
    <row r="6" spans="1:6" ht="15" x14ac:dyDescent="0.25">
      <c r="A6" s="119" t="s">
        <v>198</v>
      </c>
      <c r="B6" s="303">
        <v>44682</v>
      </c>
      <c r="C6" s="119">
        <v>2022</v>
      </c>
      <c r="D6" s="304">
        <v>121.25</v>
      </c>
      <c r="E6" s="303">
        <v>44693</v>
      </c>
    </row>
    <row r="7" spans="1:6" ht="15" x14ac:dyDescent="0.25">
      <c r="A7" s="119" t="s">
        <v>195</v>
      </c>
      <c r="B7" s="303">
        <v>44682</v>
      </c>
      <c r="C7" s="119">
        <v>2022</v>
      </c>
      <c r="D7" s="304">
        <v>121</v>
      </c>
      <c r="E7" s="303">
        <v>44694</v>
      </c>
    </row>
    <row r="8" spans="1:6" ht="15" x14ac:dyDescent="0.25">
      <c r="A8" s="119" t="s">
        <v>192</v>
      </c>
      <c r="B8" s="303">
        <v>44682</v>
      </c>
      <c r="C8" s="119">
        <v>2022</v>
      </c>
      <c r="D8" s="304">
        <v>120.5</v>
      </c>
      <c r="E8" s="303">
        <v>44692</v>
      </c>
    </row>
    <row r="9" spans="1:6" ht="15" x14ac:dyDescent="0.25">
      <c r="A9" s="119" t="s">
        <v>189</v>
      </c>
      <c r="B9" s="303">
        <v>44682</v>
      </c>
      <c r="C9" s="119">
        <v>2022</v>
      </c>
      <c r="D9" s="304">
        <v>120.8</v>
      </c>
      <c r="E9" s="303">
        <v>44693</v>
      </c>
    </row>
    <row r="10" spans="1:6" ht="15" x14ac:dyDescent="0.25">
      <c r="A10" s="119" t="s">
        <v>186</v>
      </c>
      <c r="B10" s="303">
        <v>44685</v>
      </c>
      <c r="C10" s="119">
        <v>2022</v>
      </c>
      <c r="D10" s="304">
        <v>124.25</v>
      </c>
      <c r="E10" s="303">
        <v>44696</v>
      </c>
    </row>
    <row r="11" spans="1:6" ht="15" x14ac:dyDescent="0.25">
      <c r="A11" s="119" t="s">
        <v>183</v>
      </c>
      <c r="B11" s="303">
        <v>44682</v>
      </c>
      <c r="C11" s="119">
        <v>2022</v>
      </c>
      <c r="D11" s="304">
        <v>121.35714285714286</v>
      </c>
      <c r="E11" s="303">
        <v>44695</v>
      </c>
    </row>
    <row r="12" spans="1:6" ht="15" x14ac:dyDescent="0.25">
      <c r="A12" s="119" t="s">
        <v>180</v>
      </c>
      <c r="B12" s="303">
        <v>44682</v>
      </c>
      <c r="C12" s="119">
        <v>2022</v>
      </c>
      <c r="D12" s="304">
        <v>120.8</v>
      </c>
      <c r="E12" s="303">
        <v>44695</v>
      </c>
    </row>
    <row r="13" spans="1:6" ht="15" x14ac:dyDescent="0.25">
      <c r="A13" s="119" t="s">
        <v>177</v>
      </c>
      <c r="B13" s="303">
        <v>44685</v>
      </c>
      <c r="C13" s="119">
        <v>2022</v>
      </c>
      <c r="D13" s="304">
        <v>124.125</v>
      </c>
      <c r="E13" s="303">
        <v>44697</v>
      </c>
    </row>
    <row r="14" spans="1:6" ht="15" x14ac:dyDescent="0.25">
      <c r="A14" s="119" t="s">
        <v>174</v>
      </c>
      <c r="B14" s="303">
        <v>44682</v>
      </c>
      <c r="C14" s="119">
        <v>2022</v>
      </c>
      <c r="D14" s="304">
        <v>120.8</v>
      </c>
      <c r="E14" s="303">
        <v>44693</v>
      </c>
    </row>
    <row r="15" spans="1:6" ht="15" x14ac:dyDescent="0.25">
      <c r="A15" s="119" t="s">
        <v>171</v>
      </c>
      <c r="B15" s="303">
        <v>44682</v>
      </c>
      <c r="C15" s="119">
        <v>2022</v>
      </c>
      <c r="D15" s="304">
        <v>121.25</v>
      </c>
      <c r="E15" s="303">
        <v>44694</v>
      </c>
    </row>
    <row r="16" spans="1:6" ht="15" x14ac:dyDescent="0.25">
      <c r="A16" s="119" t="s">
        <v>168</v>
      </c>
      <c r="B16" s="303">
        <v>44683</v>
      </c>
      <c r="C16" s="119">
        <v>2022</v>
      </c>
      <c r="D16" s="304">
        <v>122.16666666666667</v>
      </c>
      <c r="E16" s="303">
        <v>44695</v>
      </c>
    </row>
    <row r="17" spans="1:5" ht="15" x14ac:dyDescent="0.25">
      <c r="A17" s="119" t="s">
        <v>165</v>
      </c>
      <c r="B17" s="303">
        <v>44682</v>
      </c>
      <c r="C17" s="119">
        <v>2022</v>
      </c>
      <c r="D17" s="304">
        <v>120.5</v>
      </c>
      <c r="E17" s="303">
        <v>44694</v>
      </c>
    </row>
    <row r="18" spans="1:5" ht="15" x14ac:dyDescent="0.25">
      <c r="A18" s="119" t="s">
        <v>162</v>
      </c>
      <c r="B18" s="303">
        <v>44682</v>
      </c>
      <c r="C18" s="119">
        <v>2022</v>
      </c>
      <c r="D18" s="304">
        <v>121.1</v>
      </c>
      <c r="E18" s="303">
        <v>44694</v>
      </c>
    </row>
    <row r="19" spans="1:5" ht="15" x14ac:dyDescent="0.25">
      <c r="A19" s="119" t="s">
        <v>159</v>
      </c>
      <c r="B19" s="303">
        <v>44682</v>
      </c>
      <c r="C19" s="119">
        <v>2022</v>
      </c>
      <c r="D19" s="304">
        <v>121.25</v>
      </c>
      <c r="E19" s="303">
        <v>44694</v>
      </c>
    </row>
    <row r="20" spans="1:5" ht="15" x14ac:dyDescent="0.25">
      <c r="A20" s="119" t="s">
        <v>156</v>
      </c>
      <c r="B20" s="303">
        <v>44683</v>
      </c>
      <c r="C20" s="119">
        <v>2022</v>
      </c>
      <c r="D20" s="304">
        <v>122</v>
      </c>
      <c r="E20" s="303">
        <v>44693</v>
      </c>
    </row>
    <row r="21" spans="1:5" ht="15" x14ac:dyDescent="0.25">
      <c r="A21" s="119" t="s">
        <v>153</v>
      </c>
      <c r="B21" s="303">
        <v>44682</v>
      </c>
      <c r="C21" s="119">
        <v>2022</v>
      </c>
      <c r="D21" s="304">
        <v>120.5</v>
      </c>
      <c r="E21" s="303">
        <v>44694</v>
      </c>
    </row>
    <row r="22" spans="1:5" ht="15" x14ac:dyDescent="0.25">
      <c r="A22" s="119" t="s">
        <v>150</v>
      </c>
      <c r="B22" s="303">
        <v>44682</v>
      </c>
      <c r="C22" s="119">
        <v>2022</v>
      </c>
      <c r="D22" s="304">
        <v>121.1</v>
      </c>
      <c r="E22" s="303">
        <v>44696</v>
      </c>
    </row>
    <row r="23" spans="1:5" ht="15" x14ac:dyDescent="0.25">
      <c r="A23" s="119" t="s">
        <v>147</v>
      </c>
      <c r="B23" s="303">
        <v>44685</v>
      </c>
      <c r="C23" s="119">
        <v>2022</v>
      </c>
      <c r="D23" s="304">
        <v>123.5</v>
      </c>
      <c r="E23" s="303">
        <v>44698</v>
      </c>
    </row>
    <row r="24" spans="1:5" ht="15" x14ac:dyDescent="0.25">
      <c r="A24" s="119" t="s">
        <v>144</v>
      </c>
      <c r="B24" s="303">
        <v>44684</v>
      </c>
      <c r="C24" s="119">
        <v>2022</v>
      </c>
      <c r="D24" s="304">
        <v>122.5</v>
      </c>
      <c r="E24" s="303">
        <v>44696</v>
      </c>
    </row>
    <row r="25" spans="1:5" ht="15" x14ac:dyDescent="0.25">
      <c r="A25" s="119" t="s">
        <v>141</v>
      </c>
      <c r="B25" s="303">
        <v>44686</v>
      </c>
      <c r="C25" s="119">
        <v>2022</v>
      </c>
      <c r="D25" s="304">
        <v>125</v>
      </c>
      <c r="E25" s="303">
        <v>44698</v>
      </c>
    </row>
    <row r="26" spans="1:5" ht="15" x14ac:dyDescent="0.25">
      <c r="A26" s="119" t="s">
        <v>138</v>
      </c>
      <c r="B26" s="303">
        <v>44683</v>
      </c>
      <c r="C26" s="119">
        <v>2022</v>
      </c>
      <c r="D26" s="304">
        <v>122.25</v>
      </c>
      <c r="E26" s="303">
        <v>44695</v>
      </c>
    </row>
    <row r="27" spans="1:5" ht="15" x14ac:dyDescent="0.25">
      <c r="A27" s="119" t="s">
        <v>135</v>
      </c>
      <c r="B27" s="303">
        <v>44683</v>
      </c>
      <c r="C27" s="119">
        <v>2022</v>
      </c>
      <c r="D27" s="304">
        <v>122</v>
      </c>
      <c r="E27" s="303">
        <v>44694</v>
      </c>
    </row>
    <row r="28" spans="1:5" ht="15" x14ac:dyDescent="0.25">
      <c r="A28" s="119" t="s">
        <v>132</v>
      </c>
      <c r="B28" s="303">
        <v>44682</v>
      </c>
      <c r="C28" s="119">
        <v>2022</v>
      </c>
      <c r="D28" s="304">
        <v>120.75</v>
      </c>
      <c r="E28" s="303">
        <v>44693</v>
      </c>
    </row>
    <row r="29" spans="1:5" ht="15" x14ac:dyDescent="0.25">
      <c r="A29" s="119" t="s">
        <v>129</v>
      </c>
      <c r="B29" s="303">
        <v>44683</v>
      </c>
      <c r="C29" s="119">
        <v>2022</v>
      </c>
      <c r="D29" s="304">
        <v>121.625</v>
      </c>
      <c r="E29" s="303">
        <v>44696</v>
      </c>
    </row>
    <row r="30" spans="1:5" ht="15" x14ac:dyDescent="0.25">
      <c r="A30" s="119" t="s">
        <v>126</v>
      </c>
      <c r="B30" s="303">
        <v>44685</v>
      </c>
      <c r="C30" s="119">
        <v>2022</v>
      </c>
      <c r="D30" s="304">
        <v>124.25</v>
      </c>
      <c r="E30" s="303">
        <v>44696</v>
      </c>
    </row>
    <row r="31" spans="1:5" ht="15" x14ac:dyDescent="0.25">
      <c r="A31" s="119" t="s">
        <v>123</v>
      </c>
      <c r="B31" s="303">
        <v>44684</v>
      </c>
      <c r="C31" s="119">
        <v>2022</v>
      </c>
      <c r="D31" s="304">
        <v>122.75</v>
      </c>
      <c r="E31" s="303">
        <v>44696</v>
      </c>
    </row>
    <row r="32" spans="1:5" ht="15" x14ac:dyDescent="0.25">
      <c r="A32" s="119" t="s">
        <v>120</v>
      </c>
      <c r="B32" s="303">
        <v>44683</v>
      </c>
      <c r="C32" s="119">
        <v>2022</v>
      </c>
      <c r="D32" s="304">
        <v>122.25</v>
      </c>
      <c r="E32" s="303">
        <v>44696</v>
      </c>
    </row>
    <row r="33" spans="1:5" ht="15" x14ac:dyDescent="0.25">
      <c r="A33" s="119" t="s">
        <v>117</v>
      </c>
      <c r="B33" s="303">
        <v>44684</v>
      </c>
      <c r="C33" s="119">
        <v>2022</v>
      </c>
      <c r="D33" s="304">
        <v>123</v>
      </c>
      <c r="E33" s="303">
        <v>44698</v>
      </c>
    </row>
    <row r="34" spans="1:5" ht="15" x14ac:dyDescent="0.25">
      <c r="A34" s="119" t="s">
        <v>114</v>
      </c>
      <c r="B34" s="303">
        <v>44686</v>
      </c>
      <c r="C34" s="119">
        <v>2022</v>
      </c>
      <c r="D34" s="304">
        <v>125</v>
      </c>
      <c r="E34" s="303">
        <v>44697</v>
      </c>
    </row>
    <row r="35" spans="1:5" ht="15" x14ac:dyDescent="0.25">
      <c r="A35" s="119" t="s">
        <v>111</v>
      </c>
      <c r="B35" s="303">
        <v>44684</v>
      </c>
      <c r="C35" s="119">
        <v>2022</v>
      </c>
      <c r="D35" s="304">
        <v>122.83333333333333</v>
      </c>
      <c r="E35" s="303">
        <v>44696</v>
      </c>
    </row>
    <row r="36" spans="1:5" ht="15" x14ac:dyDescent="0.25">
      <c r="A36" s="119" t="s">
        <v>108</v>
      </c>
      <c r="B36" s="303">
        <v>44687</v>
      </c>
      <c r="C36" s="119">
        <v>2022</v>
      </c>
      <c r="D36" s="304">
        <v>125.8</v>
      </c>
      <c r="E36" s="303">
        <v>44696</v>
      </c>
    </row>
    <row r="37" spans="1:5" ht="15" x14ac:dyDescent="0.25">
      <c r="A37" s="119" t="s">
        <v>105</v>
      </c>
      <c r="B37" s="303">
        <v>44683</v>
      </c>
      <c r="C37" s="119">
        <v>2022</v>
      </c>
      <c r="D37" s="304">
        <v>122.25</v>
      </c>
      <c r="E37" s="303">
        <v>44698</v>
      </c>
    </row>
    <row r="38" spans="1:5" ht="15" x14ac:dyDescent="0.25">
      <c r="A38" s="119" t="s">
        <v>102</v>
      </c>
      <c r="B38" s="303">
        <v>44683</v>
      </c>
      <c r="C38" s="119">
        <v>2022</v>
      </c>
      <c r="D38" s="304">
        <v>122</v>
      </c>
      <c r="E38" s="303">
        <v>44695</v>
      </c>
    </row>
    <row r="39" spans="1:5" ht="15" x14ac:dyDescent="0.25">
      <c r="A39" s="119" t="s">
        <v>99</v>
      </c>
      <c r="B39" s="303">
        <v>44683</v>
      </c>
      <c r="C39" s="119">
        <v>2022</v>
      </c>
      <c r="D39" s="304">
        <v>121.625</v>
      </c>
      <c r="E39" s="303">
        <v>44697</v>
      </c>
    </row>
    <row r="40" spans="1:5" ht="15" x14ac:dyDescent="0.25">
      <c r="A40" s="119" t="s">
        <v>96</v>
      </c>
      <c r="B40" s="303">
        <v>44683</v>
      </c>
      <c r="C40" s="119">
        <v>2022</v>
      </c>
      <c r="D40" s="304">
        <v>122.3</v>
      </c>
      <c r="E40" s="303">
        <v>44695</v>
      </c>
    </row>
    <row r="41" spans="1:5" ht="15" x14ac:dyDescent="0.25">
      <c r="A41" s="119" t="s">
        <v>93</v>
      </c>
      <c r="B41" s="303">
        <v>44682</v>
      </c>
      <c r="C41" s="119">
        <v>2022</v>
      </c>
      <c r="D41" s="304">
        <v>121</v>
      </c>
      <c r="E41" s="303">
        <v>44694</v>
      </c>
    </row>
    <row r="42" spans="1:5" ht="15" x14ac:dyDescent="0.25">
      <c r="A42" s="119" t="s">
        <v>90</v>
      </c>
      <c r="B42" s="303">
        <v>44683</v>
      </c>
      <c r="C42" s="119">
        <v>2022</v>
      </c>
      <c r="D42" s="304">
        <v>122</v>
      </c>
      <c r="E42" s="303">
        <v>44693</v>
      </c>
    </row>
    <row r="43" spans="1:5" ht="15" x14ac:dyDescent="0.25">
      <c r="A43" s="119" t="s">
        <v>87</v>
      </c>
      <c r="B43" s="303">
        <v>44683</v>
      </c>
      <c r="C43" s="119">
        <v>2022</v>
      </c>
      <c r="D43" s="304">
        <v>121.5</v>
      </c>
      <c r="E43" s="303">
        <v>44696</v>
      </c>
    </row>
    <row r="44" spans="1:5" ht="15" x14ac:dyDescent="0.25">
      <c r="A44" s="119" t="s">
        <v>84</v>
      </c>
      <c r="B44" s="303">
        <v>44682</v>
      </c>
      <c r="C44" s="119">
        <v>2022</v>
      </c>
      <c r="D44" s="304">
        <v>121.25</v>
      </c>
      <c r="E44" s="303">
        <v>44693</v>
      </c>
    </row>
    <row r="45" spans="1:5" ht="15" x14ac:dyDescent="0.25">
      <c r="A45" s="119" t="s">
        <v>81</v>
      </c>
      <c r="B45" s="303">
        <v>44683</v>
      </c>
      <c r="C45" s="119">
        <v>2022</v>
      </c>
      <c r="D45" s="304">
        <v>121.625</v>
      </c>
      <c r="E45" s="303">
        <v>44695</v>
      </c>
    </row>
    <row r="46" spans="1:5" ht="15" x14ac:dyDescent="0.25">
      <c r="A46" s="119" t="s">
        <v>78</v>
      </c>
      <c r="B46" s="303">
        <v>44686</v>
      </c>
      <c r="C46" s="119">
        <v>2022</v>
      </c>
      <c r="D46" s="304">
        <v>125.4</v>
      </c>
      <c r="E46" s="303">
        <v>44696</v>
      </c>
    </row>
    <row r="47" spans="1:5" ht="15" x14ac:dyDescent="0.25">
      <c r="A47" s="119" t="s">
        <v>75</v>
      </c>
      <c r="B47" s="303">
        <v>44684</v>
      </c>
      <c r="C47" s="119">
        <v>2022</v>
      </c>
      <c r="D47" s="304">
        <v>123</v>
      </c>
      <c r="E47" s="303">
        <v>44698</v>
      </c>
    </row>
    <row r="48" spans="1:5" ht="15" x14ac:dyDescent="0.25">
      <c r="A48" s="119" t="s">
        <v>72</v>
      </c>
      <c r="B48" s="303">
        <v>44688</v>
      </c>
      <c r="C48" s="119">
        <v>2022</v>
      </c>
      <c r="D48" s="304">
        <v>127</v>
      </c>
      <c r="E48" s="303">
        <v>44706</v>
      </c>
    </row>
    <row r="49" spans="1:5" ht="15" x14ac:dyDescent="0.25">
      <c r="A49" s="119" t="s">
        <v>69</v>
      </c>
      <c r="B49" s="303">
        <v>44684</v>
      </c>
      <c r="C49" s="119">
        <v>2022</v>
      </c>
      <c r="D49" s="304">
        <v>122.75</v>
      </c>
      <c r="E49" s="303">
        <v>44701</v>
      </c>
    </row>
  </sheetData>
  <sortState xmlns:xlrd2="http://schemas.microsoft.com/office/spreadsheetml/2017/richdata2" ref="A2:D49">
    <sortCondition ref="A2:A49"/>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4D2D-F540-4B2C-93C4-76F68D63098D}">
  <dimension ref="A1:M49"/>
  <sheetViews>
    <sheetView tabSelected="1" workbookViewId="0"/>
  </sheetViews>
  <sheetFormatPr defaultRowHeight="12.75" x14ac:dyDescent="0.2"/>
  <cols>
    <col min="2" max="2" width="10.7109375" bestFit="1" customWidth="1"/>
    <col min="3" max="4" width="9.28515625" bestFit="1" customWidth="1"/>
    <col min="5" max="5" width="10.7109375" bestFit="1" customWidth="1"/>
    <col min="6" max="13" width="9.5703125" bestFit="1" customWidth="1"/>
  </cols>
  <sheetData>
    <row r="1" spans="1:13" ht="15" x14ac:dyDescent="0.25">
      <c r="A1" s="119" t="s">
        <v>7</v>
      </c>
      <c r="B1" s="119" t="s">
        <v>228</v>
      </c>
      <c r="C1" s="119" t="s">
        <v>229</v>
      </c>
      <c r="D1" s="119" t="s">
        <v>230</v>
      </c>
      <c r="E1" s="119" t="s">
        <v>231</v>
      </c>
      <c r="F1" s="119" t="s">
        <v>360</v>
      </c>
      <c r="G1" s="119" t="s">
        <v>361</v>
      </c>
      <c r="H1" s="119" t="s">
        <v>362</v>
      </c>
      <c r="I1" s="119" t="s">
        <v>363</v>
      </c>
      <c r="J1" s="119" t="s">
        <v>364</v>
      </c>
      <c r="K1" s="119" t="s">
        <v>365</v>
      </c>
      <c r="L1" s="119" t="s">
        <v>366</v>
      </c>
      <c r="M1" s="119" t="s">
        <v>367</v>
      </c>
    </row>
    <row r="2" spans="1:13" ht="15" x14ac:dyDescent="0.25">
      <c r="A2" s="119" t="s">
        <v>297</v>
      </c>
      <c r="B2" s="303">
        <v>44685</v>
      </c>
      <c r="C2" s="119">
        <v>2022</v>
      </c>
      <c r="D2" s="304">
        <v>124.25</v>
      </c>
      <c r="E2" s="303">
        <v>44695</v>
      </c>
      <c r="F2" s="302">
        <v>8.5</v>
      </c>
      <c r="G2" s="302">
        <v>6.4444444444444446</v>
      </c>
      <c r="H2" s="302">
        <v>2.7777777777777777</v>
      </c>
      <c r="I2" s="302">
        <v>3.5555555555555554</v>
      </c>
      <c r="J2" s="302">
        <v>3</v>
      </c>
      <c r="K2" s="302">
        <v>2.8888888888888888</v>
      </c>
      <c r="L2" s="302">
        <v>3.1111111111111112</v>
      </c>
      <c r="M2" s="302">
        <v>0.66666666666666663</v>
      </c>
    </row>
    <row r="3" spans="1:13" ht="15" x14ac:dyDescent="0.25">
      <c r="A3" s="119" t="s">
        <v>298</v>
      </c>
      <c r="B3" s="303">
        <v>44684</v>
      </c>
      <c r="C3" s="119">
        <v>2022</v>
      </c>
      <c r="D3" s="304">
        <v>122.5</v>
      </c>
      <c r="E3" s="303">
        <v>44695</v>
      </c>
      <c r="F3" s="302">
        <v>7.333333333333333</v>
      </c>
      <c r="G3" s="302">
        <v>5.7777777777777777</v>
      </c>
      <c r="H3" s="302">
        <v>2.8888888888888888</v>
      </c>
      <c r="I3" s="302">
        <v>3.3333333333333335</v>
      </c>
      <c r="J3" s="302">
        <v>1.4444444444444444</v>
      </c>
      <c r="K3" s="302">
        <v>1.1111111111111112</v>
      </c>
      <c r="L3" s="302">
        <v>0.88888888888888884</v>
      </c>
      <c r="M3" s="302">
        <v>0.1111111111111111</v>
      </c>
    </row>
    <row r="4" spans="1:13" ht="15" x14ac:dyDescent="0.25">
      <c r="A4" s="119" t="s">
        <v>299</v>
      </c>
      <c r="B4" s="303">
        <v>44685</v>
      </c>
      <c r="C4" s="119">
        <v>2022</v>
      </c>
      <c r="D4" s="304">
        <v>124.1</v>
      </c>
      <c r="E4" s="303">
        <v>44696</v>
      </c>
      <c r="F4" s="302">
        <v>8</v>
      </c>
      <c r="G4" s="302">
        <v>6.333333333333333</v>
      </c>
      <c r="H4" s="302">
        <v>3.3333333333333335</v>
      </c>
      <c r="I4" s="302">
        <v>3.3333333333333335</v>
      </c>
      <c r="J4" s="302">
        <v>1.4444444444444444</v>
      </c>
      <c r="K4" s="302">
        <v>1</v>
      </c>
      <c r="L4" s="302">
        <v>0.55555555555555558</v>
      </c>
      <c r="M4" s="302">
        <v>0</v>
      </c>
    </row>
    <row r="5" spans="1:13" ht="15" x14ac:dyDescent="0.25">
      <c r="A5" s="119" t="s">
        <v>300</v>
      </c>
      <c r="B5" s="303">
        <v>44684</v>
      </c>
      <c r="C5" s="119">
        <v>2022</v>
      </c>
      <c r="D5" s="304">
        <v>123</v>
      </c>
      <c r="E5" s="303">
        <v>44695</v>
      </c>
      <c r="F5" s="302">
        <v>8.3333333333333339</v>
      </c>
      <c r="G5" s="302">
        <v>6.4444444444444446</v>
      </c>
      <c r="H5" s="302">
        <v>3.5555555555555554</v>
      </c>
      <c r="I5" s="302">
        <v>3.4444444444444446</v>
      </c>
      <c r="J5" s="302">
        <v>3</v>
      </c>
      <c r="K5" s="302">
        <v>3</v>
      </c>
      <c r="L5" s="302">
        <v>2.6666666666666665</v>
      </c>
      <c r="M5" s="302">
        <v>1.3333333333333333</v>
      </c>
    </row>
    <row r="6" spans="1:13" ht="15" x14ac:dyDescent="0.25">
      <c r="A6" s="119" t="s">
        <v>304</v>
      </c>
      <c r="B6" s="303">
        <v>44682</v>
      </c>
      <c r="C6" s="119">
        <v>2022</v>
      </c>
      <c r="D6" s="304">
        <v>121.25</v>
      </c>
      <c r="E6" s="303">
        <v>44693</v>
      </c>
      <c r="F6" s="302">
        <v>8.6666666666666661</v>
      </c>
      <c r="G6" s="302">
        <v>6.666666666666667</v>
      </c>
      <c r="H6" s="302">
        <v>3.7777777777777777</v>
      </c>
      <c r="I6" s="302">
        <v>3.6666666666666665</v>
      </c>
      <c r="J6" s="302">
        <v>3.4444444444444446</v>
      </c>
      <c r="K6" s="302">
        <v>3.5555555555555554</v>
      </c>
      <c r="L6" s="302">
        <v>3</v>
      </c>
      <c r="M6" s="302">
        <v>1.3333333333333333</v>
      </c>
    </row>
    <row r="7" spans="1:13" ht="15" x14ac:dyDescent="0.25">
      <c r="A7" s="119" t="s">
        <v>303</v>
      </c>
      <c r="B7" s="303">
        <v>44682</v>
      </c>
      <c r="C7" s="119">
        <v>2022</v>
      </c>
      <c r="D7" s="304">
        <v>121</v>
      </c>
      <c r="E7" s="303">
        <v>44694</v>
      </c>
      <c r="F7" s="302">
        <v>8.2222222222222214</v>
      </c>
      <c r="G7" s="302">
        <v>6.333333333333333</v>
      </c>
      <c r="H7" s="302">
        <v>2.6666666666666665</v>
      </c>
      <c r="I7" s="302">
        <v>3.3333333333333335</v>
      </c>
      <c r="J7" s="302">
        <v>1.7777777777777777</v>
      </c>
      <c r="K7" s="302">
        <v>1.3333333333333333</v>
      </c>
      <c r="L7" s="302">
        <v>0.66666666666666663</v>
      </c>
      <c r="M7" s="302">
        <v>0.77777777777777779</v>
      </c>
    </row>
    <row r="8" spans="1:13" ht="15" x14ac:dyDescent="0.25">
      <c r="A8" s="119" t="s">
        <v>302</v>
      </c>
      <c r="B8" s="303">
        <v>44682</v>
      </c>
      <c r="C8" s="119">
        <v>2022</v>
      </c>
      <c r="D8" s="304">
        <v>120.5</v>
      </c>
      <c r="E8" s="303">
        <v>44692</v>
      </c>
      <c r="F8" s="302">
        <v>8.4444444444444446</v>
      </c>
      <c r="G8" s="302">
        <v>6.1111111111111107</v>
      </c>
      <c r="H8" s="302">
        <v>2.6666666666666665</v>
      </c>
      <c r="I8" s="302">
        <v>3</v>
      </c>
      <c r="J8" s="302">
        <v>1.7777777777777777</v>
      </c>
      <c r="K8" s="302">
        <v>1.6666666666666667</v>
      </c>
      <c r="L8" s="302">
        <v>1.1111111111111112</v>
      </c>
      <c r="M8" s="302">
        <v>0.4</v>
      </c>
    </row>
    <row r="9" spans="1:13" ht="15" x14ac:dyDescent="0.25">
      <c r="A9" s="119" t="s">
        <v>301</v>
      </c>
      <c r="B9" s="303">
        <v>44682</v>
      </c>
      <c r="C9" s="119">
        <v>2022</v>
      </c>
      <c r="D9" s="304">
        <v>120.8</v>
      </c>
      <c r="E9" s="303">
        <v>44693</v>
      </c>
      <c r="F9" s="302">
        <v>7.333333333333333</v>
      </c>
      <c r="G9" s="302">
        <v>5.666666666666667</v>
      </c>
      <c r="H9" s="302">
        <v>3.3333333333333335</v>
      </c>
      <c r="I9" s="302">
        <v>4.8888888888888893</v>
      </c>
      <c r="J9" s="302">
        <v>3.8888888888888888</v>
      </c>
      <c r="K9" s="302">
        <v>3.6666666666666665</v>
      </c>
      <c r="L9" s="302">
        <v>3</v>
      </c>
      <c r="M9" s="302">
        <v>0.77777777777777779</v>
      </c>
    </row>
    <row r="10" spans="1:13" ht="15" x14ac:dyDescent="0.25">
      <c r="A10" s="119" t="s">
        <v>305</v>
      </c>
      <c r="B10" s="303">
        <v>44685</v>
      </c>
      <c r="C10" s="119">
        <v>2022</v>
      </c>
      <c r="D10" s="304">
        <v>124.25</v>
      </c>
      <c r="E10" s="303">
        <v>44696</v>
      </c>
      <c r="F10" s="302">
        <v>7.7777777777777777</v>
      </c>
      <c r="G10" s="302">
        <v>6.1111111111111107</v>
      </c>
      <c r="H10" s="302">
        <v>3.4444444444444446</v>
      </c>
      <c r="I10" s="302">
        <v>3.6666666666666665</v>
      </c>
      <c r="J10" s="302">
        <v>3.1111111111111112</v>
      </c>
      <c r="K10" s="302">
        <v>3.2222222222222223</v>
      </c>
      <c r="L10" s="302">
        <v>2.2222222222222223</v>
      </c>
      <c r="M10" s="302">
        <v>1.5555555555555556</v>
      </c>
    </row>
    <row r="11" spans="1:13" ht="15" x14ac:dyDescent="0.25">
      <c r="A11" s="119" t="s">
        <v>306</v>
      </c>
      <c r="B11" s="303">
        <v>44682</v>
      </c>
      <c r="C11" s="119">
        <v>2022</v>
      </c>
      <c r="D11" s="304">
        <v>121.35714285714286</v>
      </c>
      <c r="E11" s="303">
        <v>44695</v>
      </c>
      <c r="F11" s="302">
        <v>8.4444444444444446</v>
      </c>
      <c r="G11" s="302">
        <v>6.2222222222222223</v>
      </c>
      <c r="H11" s="302">
        <v>2.6666666666666665</v>
      </c>
      <c r="I11" s="302">
        <v>3.6666666666666665</v>
      </c>
      <c r="J11" s="302">
        <v>3.4444444444444446</v>
      </c>
      <c r="K11" s="302">
        <v>3.2222222222222223</v>
      </c>
      <c r="L11" s="302">
        <v>2.6666666666666665</v>
      </c>
      <c r="M11" s="302">
        <v>1.4444444444444444</v>
      </c>
    </row>
    <row r="12" spans="1:13" ht="15" x14ac:dyDescent="0.25">
      <c r="A12" s="119" t="s">
        <v>307</v>
      </c>
      <c r="B12" s="303">
        <v>44682</v>
      </c>
      <c r="C12" s="119">
        <v>2022</v>
      </c>
      <c r="D12" s="304">
        <v>120.8</v>
      </c>
      <c r="E12" s="303">
        <v>44695</v>
      </c>
      <c r="F12" s="302">
        <v>8.7777777777777786</v>
      </c>
      <c r="G12" s="302">
        <v>6.8888888888888893</v>
      </c>
      <c r="H12" s="302">
        <v>3.8888888888888888</v>
      </c>
      <c r="I12" s="302">
        <v>3.6666666666666665</v>
      </c>
      <c r="J12" s="302">
        <v>3.1111111111111112</v>
      </c>
      <c r="K12" s="302">
        <v>3.2222222222222223</v>
      </c>
      <c r="L12" s="302">
        <v>2.5555555555555554</v>
      </c>
      <c r="M12" s="302">
        <v>0.55555555555555558</v>
      </c>
    </row>
    <row r="13" spans="1:13" ht="15" x14ac:dyDescent="0.25">
      <c r="A13" s="119" t="s">
        <v>308</v>
      </c>
      <c r="B13" s="303">
        <v>44685</v>
      </c>
      <c r="C13" s="119">
        <v>2022</v>
      </c>
      <c r="D13" s="304">
        <v>124.125</v>
      </c>
      <c r="E13" s="303">
        <v>44697</v>
      </c>
      <c r="F13" s="302">
        <v>8.8888888888888893</v>
      </c>
      <c r="G13" s="302">
        <v>7.1111111111111107</v>
      </c>
      <c r="H13" s="302">
        <v>4</v>
      </c>
      <c r="I13" s="302">
        <v>4.8888888888888893</v>
      </c>
      <c r="J13" s="302">
        <v>4.5555555555555554</v>
      </c>
      <c r="K13" s="302">
        <v>4.333333333333333</v>
      </c>
      <c r="L13" s="302">
        <v>3.5555555555555554</v>
      </c>
      <c r="M13" s="302">
        <v>1.5555555555555556</v>
      </c>
    </row>
    <row r="14" spans="1:13" ht="15" x14ac:dyDescent="0.25">
      <c r="A14" s="119" t="s">
        <v>312</v>
      </c>
      <c r="B14" s="303">
        <v>44682</v>
      </c>
      <c r="C14" s="119">
        <v>2022</v>
      </c>
      <c r="D14" s="304">
        <v>120.8</v>
      </c>
      <c r="E14" s="303">
        <v>44693</v>
      </c>
      <c r="F14" s="302">
        <v>8.4444444444444446</v>
      </c>
      <c r="G14" s="302">
        <v>6.5555555555555554</v>
      </c>
      <c r="H14" s="302">
        <v>3.3333333333333335</v>
      </c>
      <c r="I14" s="302">
        <v>4.4444444444444446</v>
      </c>
      <c r="J14" s="302">
        <v>4.1111111111111107</v>
      </c>
      <c r="K14" s="302">
        <v>3.3333333333333335</v>
      </c>
      <c r="L14" s="302">
        <v>2.8888888888888888</v>
      </c>
      <c r="M14" s="302">
        <v>1.2222222222222223</v>
      </c>
    </row>
    <row r="15" spans="1:13" ht="15" x14ac:dyDescent="0.25">
      <c r="A15" s="119" t="s">
        <v>311</v>
      </c>
      <c r="B15" s="303">
        <v>44682</v>
      </c>
      <c r="C15" s="119">
        <v>2022</v>
      </c>
      <c r="D15" s="304">
        <v>121.25</v>
      </c>
      <c r="E15" s="303">
        <v>44694</v>
      </c>
      <c r="F15" s="302">
        <v>9.3333333333333339</v>
      </c>
      <c r="G15" s="302">
        <v>7.2222222222222223</v>
      </c>
      <c r="H15" s="302">
        <v>2.7777777777777777</v>
      </c>
      <c r="I15" s="302">
        <v>2.8888888888888888</v>
      </c>
      <c r="J15" s="302">
        <v>2.6666666666666665</v>
      </c>
      <c r="K15" s="302">
        <v>2.1111111111111112</v>
      </c>
      <c r="L15" s="302">
        <v>2</v>
      </c>
      <c r="M15" s="302">
        <v>0.55555555555555558</v>
      </c>
    </row>
    <row r="16" spans="1:13" ht="15" x14ac:dyDescent="0.25">
      <c r="A16" s="119" t="s">
        <v>310</v>
      </c>
      <c r="B16" s="303">
        <v>44683</v>
      </c>
      <c r="C16" s="119">
        <v>2022</v>
      </c>
      <c r="D16" s="304">
        <v>122.16666666666667</v>
      </c>
      <c r="E16" s="303">
        <v>44695</v>
      </c>
      <c r="F16" s="302">
        <v>9.5555555555555554</v>
      </c>
      <c r="G16" s="302">
        <v>7.666666666666667</v>
      </c>
      <c r="H16" s="302">
        <v>4.2222222222222223</v>
      </c>
      <c r="I16" s="302">
        <v>4</v>
      </c>
      <c r="J16" s="302">
        <v>2.3333333333333335</v>
      </c>
      <c r="K16" s="302">
        <v>1.6666666666666667</v>
      </c>
      <c r="L16" s="302">
        <v>1.3333333333333333</v>
      </c>
      <c r="M16" s="302">
        <v>0.66666666666666663</v>
      </c>
    </row>
    <row r="17" spans="1:13" ht="15" x14ac:dyDescent="0.25">
      <c r="A17" s="119" t="s">
        <v>309</v>
      </c>
      <c r="B17" s="303">
        <v>44682</v>
      </c>
      <c r="C17" s="119">
        <v>2022</v>
      </c>
      <c r="D17" s="304">
        <v>120.5</v>
      </c>
      <c r="E17" s="303">
        <v>44694</v>
      </c>
      <c r="F17" s="302">
        <v>8.4444444444444446</v>
      </c>
      <c r="G17" s="302">
        <v>6.5555555555555554</v>
      </c>
      <c r="H17" s="302">
        <v>3.5555555555555554</v>
      </c>
      <c r="I17" s="302">
        <v>4</v>
      </c>
      <c r="J17" s="302">
        <v>3</v>
      </c>
      <c r="K17" s="302">
        <v>3.3333333333333335</v>
      </c>
      <c r="L17" s="302">
        <v>3</v>
      </c>
      <c r="M17" s="302">
        <v>1.6666666666666667</v>
      </c>
    </row>
    <row r="18" spans="1:13" ht="15" x14ac:dyDescent="0.25">
      <c r="A18" s="119" t="s">
        <v>313</v>
      </c>
      <c r="B18" s="303">
        <v>44682</v>
      </c>
      <c r="C18" s="119">
        <v>2022</v>
      </c>
      <c r="D18" s="304">
        <v>121.1</v>
      </c>
      <c r="E18" s="303">
        <v>44694</v>
      </c>
      <c r="F18" s="302">
        <v>7.4444444444444446</v>
      </c>
      <c r="G18" s="302">
        <v>6.2222222222222223</v>
      </c>
      <c r="H18" s="302">
        <v>3.1111111111111112</v>
      </c>
      <c r="I18" s="302">
        <v>3.8888888888888888</v>
      </c>
      <c r="J18" s="302">
        <v>4.4444444444444446</v>
      </c>
      <c r="K18" s="302">
        <v>4.666666666666667</v>
      </c>
      <c r="L18" s="302">
        <v>4.333333333333333</v>
      </c>
      <c r="M18" s="302">
        <v>1.8888888888888888</v>
      </c>
    </row>
    <row r="19" spans="1:13" ht="15" x14ac:dyDescent="0.25">
      <c r="A19" s="119" t="s">
        <v>314</v>
      </c>
      <c r="B19" s="303">
        <v>44682</v>
      </c>
      <c r="C19" s="119">
        <v>2022</v>
      </c>
      <c r="D19" s="304">
        <v>121.25</v>
      </c>
      <c r="E19" s="303">
        <v>44694</v>
      </c>
      <c r="F19" s="302">
        <v>7.8888888888888893</v>
      </c>
      <c r="G19" s="302">
        <v>6.333333333333333</v>
      </c>
      <c r="H19" s="302">
        <v>2.7777777777777777</v>
      </c>
      <c r="I19" s="302">
        <v>3.1111111111111112</v>
      </c>
      <c r="J19" s="302">
        <v>2.4444444444444446</v>
      </c>
      <c r="K19" s="302">
        <v>2.6666666666666665</v>
      </c>
      <c r="L19" s="302">
        <v>2.1111111111111112</v>
      </c>
      <c r="M19" s="302">
        <v>0.88888888888888884</v>
      </c>
    </row>
    <row r="20" spans="1:13" ht="15" x14ac:dyDescent="0.25">
      <c r="A20" s="119" t="s">
        <v>315</v>
      </c>
      <c r="B20" s="303">
        <v>44683</v>
      </c>
      <c r="C20" s="119">
        <v>2022</v>
      </c>
      <c r="D20" s="304">
        <v>122</v>
      </c>
      <c r="E20" s="303">
        <v>44693</v>
      </c>
      <c r="F20" s="302">
        <v>7.666666666666667</v>
      </c>
      <c r="G20" s="302">
        <v>6.2222222222222223</v>
      </c>
      <c r="H20" s="302">
        <v>2.3333333333333335</v>
      </c>
      <c r="I20" s="302">
        <v>3.5555555555555554</v>
      </c>
      <c r="J20" s="302">
        <v>2.5555555555555554</v>
      </c>
      <c r="K20" s="302">
        <v>2.6666666666666665</v>
      </c>
      <c r="L20" s="302">
        <v>2.3333333333333335</v>
      </c>
      <c r="M20" s="302">
        <v>0.88888888888888884</v>
      </c>
    </row>
    <row r="21" spans="1:13" ht="15" x14ac:dyDescent="0.25">
      <c r="A21" s="119" t="s">
        <v>316</v>
      </c>
      <c r="B21" s="303">
        <v>44682</v>
      </c>
      <c r="C21" s="119">
        <v>2022</v>
      </c>
      <c r="D21" s="304">
        <v>120.5</v>
      </c>
      <c r="E21" s="303">
        <v>44694</v>
      </c>
      <c r="F21" s="302">
        <v>7.5555555555555554</v>
      </c>
      <c r="G21" s="302">
        <v>6.2222222222222223</v>
      </c>
      <c r="H21" s="302">
        <v>2.7777777777777777</v>
      </c>
      <c r="I21" s="302">
        <v>3.4444444444444446</v>
      </c>
      <c r="J21" s="302">
        <v>3.3333333333333335</v>
      </c>
      <c r="K21" s="302">
        <v>3.1111111111111112</v>
      </c>
      <c r="L21" s="302">
        <v>3</v>
      </c>
      <c r="M21" s="302">
        <v>1.6666666666666667</v>
      </c>
    </row>
    <row r="22" spans="1:13" ht="15" x14ac:dyDescent="0.25">
      <c r="A22" s="119" t="s">
        <v>320</v>
      </c>
      <c r="B22" s="303">
        <v>44682</v>
      </c>
      <c r="C22" s="119">
        <v>2022</v>
      </c>
      <c r="D22" s="304">
        <v>121.1</v>
      </c>
      <c r="E22" s="303">
        <v>44696</v>
      </c>
      <c r="F22" s="302">
        <v>8.7777777777777786</v>
      </c>
      <c r="G22" s="302">
        <v>7.7777777777777777</v>
      </c>
      <c r="H22" s="302">
        <v>4</v>
      </c>
      <c r="I22" s="302">
        <v>4.1111111111111107</v>
      </c>
      <c r="J22" s="302">
        <v>2.6666666666666665</v>
      </c>
      <c r="K22" s="302">
        <v>2.4444444444444446</v>
      </c>
      <c r="L22" s="302">
        <v>1.8888888888888888</v>
      </c>
      <c r="M22" s="302">
        <v>0.88888888888888884</v>
      </c>
    </row>
    <row r="23" spans="1:13" ht="15" x14ac:dyDescent="0.25">
      <c r="A23" s="119" t="s">
        <v>319</v>
      </c>
      <c r="B23" s="303">
        <v>44685</v>
      </c>
      <c r="C23" s="119">
        <v>2022</v>
      </c>
      <c r="D23" s="304">
        <v>123.5</v>
      </c>
      <c r="E23" s="303">
        <v>44698</v>
      </c>
      <c r="F23" s="302">
        <v>7.4444444444444446</v>
      </c>
      <c r="G23" s="302">
        <v>6</v>
      </c>
      <c r="H23" s="302">
        <v>2.7777777777777777</v>
      </c>
      <c r="I23" s="302">
        <v>3.5555555555555554</v>
      </c>
      <c r="J23" s="302">
        <v>1.8888888888888888</v>
      </c>
      <c r="K23" s="302">
        <v>2</v>
      </c>
      <c r="L23" s="302">
        <v>1.4444444444444444</v>
      </c>
      <c r="M23" s="302">
        <v>0.6</v>
      </c>
    </row>
    <row r="24" spans="1:13" ht="15" x14ac:dyDescent="0.25">
      <c r="A24" s="119" t="s">
        <v>318</v>
      </c>
      <c r="B24" s="303">
        <v>44684</v>
      </c>
      <c r="C24" s="119">
        <v>2022</v>
      </c>
      <c r="D24" s="304">
        <v>122.5</v>
      </c>
      <c r="E24" s="303">
        <v>44696</v>
      </c>
      <c r="F24" s="302">
        <v>8.1111111111111107</v>
      </c>
      <c r="G24" s="302">
        <v>6.666666666666667</v>
      </c>
      <c r="H24" s="302">
        <v>3</v>
      </c>
      <c r="I24" s="302">
        <v>3.5555555555555554</v>
      </c>
      <c r="J24" s="302">
        <v>1.7777777777777777</v>
      </c>
      <c r="K24" s="302">
        <v>1.2222222222222223</v>
      </c>
      <c r="L24" s="302">
        <v>1.2222222222222223</v>
      </c>
      <c r="M24" s="302">
        <v>0.33333333333333331</v>
      </c>
    </row>
    <row r="25" spans="1:13" ht="15" x14ac:dyDescent="0.25">
      <c r="A25" s="119" t="s">
        <v>317</v>
      </c>
      <c r="B25" s="303">
        <v>44686</v>
      </c>
      <c r="C25" s="119">
        <v>2022</v>
      </c>
      <c r="D25" s="304">
        <v>125</v>
      </c>
      <c r="E25" s="303">
        <v>44698</v>
      </c>
      <c r="F25" s="302">
        <v>8</v>
      </c>
      <c r="G25" s="302">
        <v>6.4444444444444446</v>
      </c>
      <c r="H25" s="302">
        <v>2.8888888888888888</v>
      </c>
      <c r="I25" s="302">
        <v>4.1111111111111107</v>
      </c>
      <c r="J25" s="302">
        <v>3</v>
      </c>
      <c r="K25" s="302">
        <v>2.4444444444444446</v>
      </c>
      <c r="L25" s="302">
        <v>2.5555555555555554</v>
      </c>
      <c r="M25" s="302">
        <v>0.7142857142857143</v>
      </c>
    </row>
    <row r="26" spans="1:13" ht="15" x14ac:dyDescent="0.25">
      <c r="A26" s="119" t="s">
        <v>321</v>
      </c>
      <c r="B26" s="303">
        <v>44683</v>
      </c>
      <c r="C26" s="119">
        <v>2022</v>
      </c>
      <c r="D26" s="304">
        <v>122.25</v>
      </c>
      <c r="E26" s="303">
        <v>44695</v>
      </c>
      <c r="F26" s="302">
        <v>6.4444444444444446</v>
      </c>
      <c r="G26" s="302">
        <v>4.666666666666667</v>
      </c>
      <c r="H26" s="302">
        <v>1.6666666666666667</v>
      </c>
      <c r="I26" s="302">
        <v>3.3333333333333335</v>
      </c>
      <c r="J26" s="302">
        <v>3</v>
      </c>
      <c r="K26" s="302">
        <v>2.7777777777777777</v>
      </c>
      <c r="L26" s="302">
        <v>2.3333333333333335</v>
      </c>
      <c r="M26" s="302">
        <v>0.75</v>
      </c>
    </row>
    <row r="27" spans="1:13" ht="15" x14ac:dyDescent="0.25">
      <c r="A27" s="119" t="s">
        <v>322</v>
      </c>
      <c r="B27" s="303">
        <v>44683</v>
      </c>
      <c r="C27" s="119">
        <v>2022</v>
      </c>
      <c r="D27" s="304">
        <v>122</v>
      </c>
      <c r="E27" s="303">
        <v>44694</v>
      </c>
      <c r="F27" s="302">
        <v>7.5555555555555554</v>
      </c>
      <c r="G27" s="302">
        <v>7.2222222222222223</v>
      </c>
      <c r="H27" s="302">
        <v>3.5555555555555554</v>
      </c>
      <c r="I27" s="302">
        <v>4.4444444444444446</v>
      </c>
      <c r="J27" s="302">
        <v>4.2222222222222223</v>
      </c>
      <c r="K27" s="302">
        <v>4</v>
      </c>
      <c r="L27" s="302">
        <v>3.2222222222222223</v>
      </c>
      <c r="M27" s="302">
        <v>1.4444444444444444</v>
      </c>
    </row>
    <row r="28" spans="1:13" ht="15" x14ac:dyDescent="0.25">
      <c r="A28" s="119" t="s">
        <v>323</v>
      </c>
      <c r="B28" s="303">
        <v>44682</v>
      </c>
      <c r="C28" s="119">
        <v>2022</v>
      </c>
      <c r="D28" s="304">
        <v>120.75</v>
      </c>
      <c r="E28" s="303">
        <v>44693</v>
      </c>
      <c r="F28" s="302">
        <v>8.3333333333333339</v>
      </c>
      <c r="G28" s="302">
        <v>6.5555555555555554</v>
      </c>
      <c r="H28" s="302">
        <v>3.2222222222222223</v>
      </c>
      <c r="I28" s="302">
        <v>4.4444444444444446</v>
      </c>
      <c r="J28" s="302">
        <v>3.3333333333333335</v>
      </c>
      <c r="K28" s="302">
        <v>3.2222222222222223</v>
      </c>
      <c r="L28" s="302">
        <v>2.4444444444444446</v>
      </c>
      <c r="M28" s="302">
        <v>1.3333333333333333</v>
      </c>
    </row>
    <row r="29" spans="1:13" ht="15" x14ac:dyDescent="0.25">
      <c r="A29" s="119" t="s">
        <v>324</v>
      </c>
      <c r="B29" s="303">
        <v>44683</v>
      </c>
      <c r="C29" s="119">
        <v>2022</v>
      </c>
      <c r="D29" s="304">
        <v>121.625</v>
      </c>
      <c r="E29" s="303">
        <v>44696</v>
      </c>
      <c r="F29" s="302">
        <v>8.3333333333333339</v>
      </c>
      <c r="G29" s="302">
        <v>6.4444444444444446</v>
      </c>
      <c r="H29" s="302">
        <v>3.3333333333333335</v>
      </c>
      <c r="I29" s="302">
        <v>4</v>
      </c>
      <c r="J29" s="302">
        <v>2.5555555555555554</v>
      </c>
      <c r="K29" s="302">
        <v>2.3333333333333335</v>
      </c>
      <c r="L29" s="302">
        <v>1.4444444444444444</v>
      </c>
      <c r="M29" s="302">
        <v>0.77777777777777779</v>
      </c>
    </row>
    <row r="30" spans="1:13" ht="15" x14ac:dyDescent="0.25">
      <c r="A30" s="119" t="s">
        <v>328</v>
      </c>
      <c r="B30" s="303">
        <v>44685</v>
      </c>
      <c r="C30" s="119">
        <v>2022</v>
      </c>
      <c r="D30" s="304">
        <v>124.25</v>
      </c>
      <c r="E30" s="303">
        <v>44696</v>
      </c>
      <c r="F30" s="302">
        <v>7.1111111111111107</v>
      </c>
      <c r="G30" s="302">
        <v>6.1111111111111107</v>
      </c>
      <c r="H30" s="302">
        <v>2.3333333333333335</v>
      </c>
      <c r="I30" s="302">
        <v>3.7777777777777777</v>
      </c>
      <c r="J30" s="302">
        <v>3.3333333333333335</v>
      </c>
      <c r="K30" s="302">
        <v>2.8888888888888888</v>
      </c>
      <c r="L30" s="302">
        <v>3.1111111111111112</v>
      </c>
      <c r="M30" s="302">
        <v>1.1111111111111112</v>
      </c>
    </row>
    <row r="31" spans="1:13" ht="15" x14ac:dyDescent="0.25">
      <c r="A31" s="119" t="s">
        <v>327</v>
      </c>
      <c r="B31" s="303">
        <v>44684</v>
      </c>
      <c r="C31" s="119">
        <v>2022</v>
      </c>
      <c r="D31" s="304">
        <v>122.75</v>
      </c>
      <c r="E31" s="303">
        <v>44696</v>
      </c>
      <c r="F31" s="302">
        <v>9.1111111111111107</v>
      </c>
      <c r="G31" s="302">
        <v>6.8888888888888893</v>
      </c>
      <c r="H31" s="302">
        <v>3.4444444444444446</v>
      </c>
      <c r="I31" s="302">
        <v>3.6666666666666665</v>
      </c>
      <c r="J31" s="302">
        <v>2.7777777777777777</v>
      </c>
      <c r="K31" s="302">
        <v>2.8888888888888888</v>
      </c>
      <c r="L31" s="302">
        <v>2.2222222222222223</v>
      </c>
      <c r="M31" s="302">
        <v>0.5</v>
      </c>
    </row>
    <row r="32" spans="1:13" ht="15" x14ac:dyDescent="0.25">
      <c r="A32" s="119" t="s">
        <v>326</v>
      </c>
      <c r="B32" s="303">
        <v>44683</v>
      </c>
      <c r="C32" s="119">
        <v>2022</v>
      </c>
      <c r="D32" s="304">
        <v>122.25</v>
      </c>
      <c r="E32" s="303">
        <v>44696</v>
      </c>
      <c r="F32" s="302">
        <v>9.2222222222222214</v>
      </c>
      <c r="G32" s="302">
        <v>7.5555555555555554</v>
      </c>
      <c r="H32" s="302">
        <v>3.8888888888888888</v>
      </c>
      <c r="I32" s="302">
        <v>4.1111111111111107</v>
      </c>
      <c r="J32" s="302">
        <v>3.8888888888888888</v>
      </c>
      <c r="K32" s="302">
        <v>3.8888888888888888</v>
      </c>
      <c r="L32" s="302">
        <v>3.4444444444444446</v>
      </c>
      <c r="M32" s="302">
        <v>1.3333333333333333</v>
      </c>
    </row>
    <row r="33" spans="1:13" ht="15" x14ac:dyDescent="0.25">
      <c r="A33" s="119" t="s">
        <v>325</v>
      </c>
      <c r="B33" s="303">
        <v>44684</v>
      </c>
      <c r="C33" s="119">
        <v>2022</v>
      </c>
      <c r="D33" s="304">
        <v>123</v>
      </c>
      <c r="E33" s="303">
        <v>44698</v>
      </c>
      <c r="F33" s="302">
        <v>8.7777777777777786</v>
      </c>
      <c r="G33" s="302">
        <v>6.7777777777777777</v>
      </c>
      <c r="H33" s="302">
        <v>3.3333333333333335</v>
      </c>
      <c r="I33" s="302">
        <v>3.7777777777777777</v>
      </c>
      <c r="J33" s="302">
        <v>3.4444444444444446</v>
      </c>
      <c r="K33" s="302">
        <v>2.6666666666666665</v>
      </c>
      <c r="L33" s="302">
        <v>3</v>
      </c>
      <c r="M33" s="302">
        <v>0.7142857142857143</v>
      </c>
    </row>
    <row r="34" spans="1:13" ht="15" x14ac:dyDescent="0.25">
      <c r="A34" s="119" t="s">
        <v>329</v>
      </c>
      <c r="B34" s="303">
        <v>44686</v>
      </c>
      <c r="C34" s="119">
        <v>2022</v>
      </c>
      <c r="D34" s="304">
        <v>125</v>
      </c>
      <c r="E34" s="303">
        <v>44697</v>
      </c>
      <c r="F34" s="302">
        <v>8.1111111111111107</v>
      </c>
      <c r="G34" s="302">
        <v>6.4444444444444446</v>
      </c>
      <c r="H34" s="302">
        <v>3.2222222222222223</v>
      </c>
      <c r="I34" s="302">
        <v>3.5555555555555554</v>
      </c>
      <c r="J34" s="302">
        <v>1.6666666666666667</v>
      </c>
      <c r="K34" s="302">
        <v>1.5555555555555556</v>
      </c>
      <c r="L34" s="302">
        <v>0.88888888888888884</v>
      </c>
      <c r="M34" s="302">
        <v>0.6</v>
      </c>
    </row>
    <row r="35" spans="1:13" ht="15" x14ac:dyDescent="0.25">
      <c r="A35" s="119" t="s">
        <v>330</v>
      </c>
      <c r="B35" s="303">
        <v>44684</v>
      </c>
      <c r="C35" s="119">
        <v>2022</v>
      </c>
      <c r="D35" s="304">
        <v>122.83333333333333</v>
      </c>
      <c r="E35" s="303">
        <v>44696</v>
      </c>
      <c r="F35" s="302">
        <v>8.7777777777777786</v>
      </c>
      <c r="G35" s="302">
        <v>6.8888888888888893</v>
      </c>
      <c r="H35" s="302">
        <v>3.8888888888888888</v>
      </c>
      <c r="I35" s="302">
        <v>4.4444444444444446</v>
      </c>
      <c r="J35" s="302">
        <v>4.4444444444444446</v>
      </c>
      <c r="K35" s="302">
        <v>4.333333333333333</v>
      </c>
      <c r="L35" s="302">
        <v>3.5555555555555554</v>
      </c>
      <c r="M35" s="302">
        <v>1.1111111111111112</v>
      </c>
    </row>
    <row r="36" spans="1:13" ht="15" x14ac:dyDescent="0.25">
      <c r="A36" s="119" t="s">
        <v>331</v>
      </c>
      <c r="B36" s="303">
        <v>44687</v>
      </c>
      <c r="C36" s="119">
        <v>2022</v>
      </c>
      <c r="D36" s="304">
        <v>125.8</v>
      </c>
      <c r="E36" s="303">
        <v>44696</v>
      </c>
      <c r="F36" s="302">
        <v>8.2222222222222214</v>
      </c>
      <c r="G36" s="302">
        <v>6.7777777777777777</v>
      </c>
      <c r="H36" s="302">
        <v>3.5555555555555554</v>
      </c>
      <c r="I36" s="302">
        <v>3.7777777777777777</v>
      </c>
      <c r="J36" s="302">
        <v>3.4444444444444446</v>
      </c>
      <c r="K36" s="302">
        <v>3.3333333333333335</v>
      </c>
      <c r="L36" s="302">
        <v>2.7777777777777777</v>
      </c>
      <c r="M36" s="302">
        <v>0.7142857142857143</v>
      </c>
    </row>
    <row r="37" spans="1:13" ht="15" x14ac:dyDescent="0.25">
      <c r="A37" s="119" t="s">
        <v>332</v>
      </c>
      <c r="B37" s="303">
        <v>44683</v>
      </c>
      <c r="C37" s="119">
        <v>2022</v>
      </c>
      <c r="D37" s="304">
        <v>122.25</v>
      </c>
      <c r="E37" s="303">
        <v>44698</v>
      </c>
      <c r="F37" s="302">
        <v>8</v>
      </c>
      <c r="G37" s="302">
        <v>6</v>
      </c>
      <c r="H37" s="302">
        <v>3.3333333333333335</v>
      </c>
      <c r="I37" s="302">
        <v>3.3333333333333335</v>
      </c>
      <c r="J37" s="302">
        <v>1.3333333333333333</v>
      </c>
      <c r="K37" s="302">
        <v>1.2222222222222223</v>
      </c>
      <c r="L37" s="302">
        <v>0.77777777777777779</v>
      </c>
      <c r="M37" s="302">
        <v>0.5714285714285714</v>
      </c>
    </row>
    <row r="38" spans="1:13" ht="15" x14ac:dyDescent="0.25">
      <c r="A38" s="119" t="s">
        <v>336</v>
      </c>
      <c r="B38" s="303">
        <v>44683</v>
      </c>
      <c r="C38" s="119">
        <v>2022</v>
      </c>
      <c r="D38" s="304">
        <v>122</v>
      </c>
      <c r="E38" s="303">
        <v>44695</v>
      </c>
      <c r="F38" s="302">
        <v>8.1111111111111107</v>
      </c>
      <c r="G38" s="302">
        <v>6.1111111111111107</v>
      </c>
      <c r="H38" s="302">
        <v>2.6666666666666665</v>
      </c>
      <c r="I38" s="302">
        <v>3.2222222222222223</v>
      </c>
      <c r="J38" s="302">
        <v>2.2222222222222223</v>
      </c>
      <c r="K38" s="302">
        <v>1.6666666666666667</v>
      </c>
      <c r="L38" s="302">
        <v>1</v>
      </c>
      <c r="M38" s="302">
        <v>0.6</v>
      </c>
    </row>
    <row r="39" spans="1:13" ht="15" x14ac:dyDescent="0.25">
      <c r="A39" s="119" t="s">
        <v>335</v>
      </c>
      <c r="B39" s="303">
        <v>44683</v>
      </c>
      <c r="C39" s="119">
        <v>2022</v>
      </c>
      <c r="D39" s="304">
        <v>121.625</v>
      </c>
      <c r="E39" s="303">
        <v>44697</v>
      </c>
      <c r="F39" s="302">
        <v>8.2222222222222214</v>
      </c>
      <c r="G39" s="302">
        <v>6.333333333333333</v>
      </c>
      <c r="H39" s="302">
        <v>3</v>
      </c>
      <c r="I39" s="302">
        <v>3.4444444444444446</v>
      </c>
      <c r="J39" s="302">
        <v>4.2222222222222223</v>
      </c>
      <c r="K39" s="302">
        <v>4</v>
      </c>
      <c r="L39" s="302">
        <v>3.3333333333333335</v>
      </c>
      <c r="M39" s="302">
        <v>1.1111111111111112</v>
      </c>
    </row>
    <row r="40" spans="1:13" ht="15" x14ac:dyDescent="0.25">
      <c r="A40" s="119" t="s">
        <v>334</v>
      </c>
      <c r="B40" s="303">
        <v>44683</v>
      </c>
      <c r="C40" s="119">
        <v>2022</v>
      </c>
      <c r="D40" s="304">
        <v>122.3</v>
      </c>
      <c r="E40" s="303">
        <v>44695</v>
      </c>
      <c r="F40" s="302">
        <v>7.4444444444444446</v>
      </c>
      <c r="G40" s="302">
        <v>5.7777777777777777</v>
      </c>
      <c r="H40" s="302">
        <v>2.3333333333333335</v>
      </c>
      <c r="I40" s="302">
        <v>2.6666666666666665</v>
      </c>
      <c r="J40" s="302">
        <v>3.3333333333333335</v>
      </c>
      <c r="K40" s="302">
        <v>3.1111111111111112</v>
      </c>
      <c r="L40" s="302">
        <v>2.2222222222222223</v>
      </c>
      <c r="M40" s="302">
        <v>0.5</v>
      </c>
    </row>
    <row r="41" spans="1:13" ht="15" x14ac:dyDescent="0.25">
      <c r="A41" s="119" t="s">
        <v>333</v>
      </c>
      <c r="B41" s="303">
        <v>44682</v>
      </c>
      <c r="C41" s="119">
        <v>2022</v>
      </c>
      <c r="D41" s="304">
        <v>121</v>
      </c>
      <c r="E41" s="303">
        <v>44694</v>
      </c>
      <c r="F41" s="302">
        <v>7</v>
      </c>
      <c r="G41" s="302">
        <v>5.2222222222222223</v>
      </c>
      <c r="H41" s="302">
        <v>2.4444444444444446</v>
      </c>
      <c r="I41" s="302">
        <v>2.4444444444444446</v>
      </c>
      <c r="J41" s="302">
        <v>1.6666666666666667</v>
      </c>
      <c r="K41" s="302">
        <v>1.3333333333333333</v>
      </c>
      <c r="L41" s="302">
        <v>0.55555555555555558</v>
      </c>
      <c r="M41" s="302">
        <v>0.33333333333333331</v>
      </c>
    </row>
    <row r="42" spans="1:13" ht="15" x14ac:dyDescent="0.25">
      <c r="A42" s="119" t="s">
        <v>337</v>
      </c>
      <c r="B42" s="303">
        <v>44683</v>
      </c>
      <c r="C42" s="119">
        <v>2022</v>
      </c>
      <c r="D42" s="304">
        <v>122</v>
      </c>
      <c r="E42" s="303">
        <v>44693</v>
      </c>
      <c r="F42" s="302">
        <v>8.1111111111111107</v>
      </c>
      <c r="G42" s="302">
        <v>6.5555555555555554</v>
      </c>
      <c r="H42" s="302">
        <v>2.8888888888888888</v>
      </c>
      <c r="I42" s="302">
        <v>3.1111111111111112</v>
      </c>
      <c r="J42" s="302">
        <v>2.2222222222222223</v>
      </c>
      <c r="K42" s="302">
        <v>2</v>
      </c>
      <c r="L42" s="302">
        <v>1.1111111111111112</v>
      </c>
      <c r="M42" s="302">
        <v>0.33333333333333331</v>
      </c>
    </row>
    <row r="43" spans="1:13" ht="15" x14ac:dyDescent="0.25">
      <c r="A43" s="119" t="s">
        <v>338</v>
      </c>
      <c r="B43" s="303">
        <v>44683</v>
      </c>
      <c r="C43" s="119">
        <v>2022</v>
      </c>
      <c r="D43" s="304">
        <v>121.5</v>
      </c>
      <c r="E43" s="303">
        <v>44696</v>
      </c>
      <c r="F43" s="302">
        <v>8.4444444444444446</v>
      </c>
      <c r="G43" s="302">
        <v>7</v>
      </c>
      <c r="H43" s="302">
        <v>3.3333333333333335</v>
      </c>
      <c r="I43" s="302">
        <v>4</v>
      </c>
      <c r="J43" s="302">
        <v>2.7777777777777777</v>
      </c>
      <c r="K43" s="302">
        <v>3</v>
      </c>
      <c r="L43" s="302">
        <v>2.5555555555555554</v>
      </c>
      <c r="M43" s="302">
        <v>0.88888888888888884</v>
      </c>
    </row>
    <row r="44" spans="1:13" ht="15" x14ac:dyDescent="0.25">
      <c r="A44" s="119" t="s">
        <v>339</v>
      </c>
      <c r="B44" s="303">
        <v>44682</v>
      </c>
      <c r="C44" s="119">
        <v>2022</v>
      </c>
      <c r="D44" s="304">
        <v>121.25</v>
      </c>
      <c r="E44" s="303">
        <v>44693</v>
      </c>
      <c r="F44" s="302">
        <v>8.5555555555555554</v>
      </c>
      <c r="G44" s="302">
        <v>7.2222222222222223</v>
      </c>
      <c r="H44" s="302">
        <v>3.5555555555555554</v>
      </c>
      <c r="I44" s="302">
        <v>3.6666666666666665</v>
      </c>
      <c r="J44" s="302">
        <v>3.6666666666666665</v>
      </c>
      <c r="K44" s="302">
        <v>3.4444444444444446</v>
      </c>
      <c r="L44" s="302">
        <v>2.7777777777777777</v>
      </c>
      <c r="M44" s="302">
        <v>1.1111111111111112</v>
      </c>
    </row>
    <row r="45" spans="1:13" ht="15" x14ac:dyDescent="0.25">
      <c r="A45" s="119" t="s">
        <v>340</v>
      </c>
      <c r="B45" s="303">
        <v>44683</v>
      </c>
      <c r="C45" s="119">
        <v>2022</v>
      </c>
      <c r="D45" s="304">
        <v>121.625</v>
      </c>
      <c r="E45" s="303">
        <v>44695</v>
      </c>
      <c r="F45" s="302">
        <v>7.4444444444444446</v>
      </c>
      <c r="G45" s="302">
        <v>5.333333333333333</v>
      </c>
      <c r="H45" s="302">
        <v>2.3333333333333335</v>
      </c>
      <c r="I45" s="302">
        <v>2.8888888888888888</v>
      </c>
      <c r="J45" s="302">
        <v>2.2222222222222223</v>
      </c>
      <c r="K45" s="302">
        <v>1.6666666666666667</v>
      </c>
      <c r="L45" s="302">
        <v>1</v>
      </c>
      <c r="M45" s="302">
        <v>0.5</v>
      </c>
    </row>
    <row r="46" spans="1:13" ht="15" x14ac:dyDescent="0.25">
      <c r="A46" s="119" t="s">
        <v>344</v>
      </c>
      <c r="B46" s="303">
        <v>44686</v>
      </c>
      <c r="C46" s="119">
        <v>2022</v>
      </c>
      <c r="D46" s="304">
        <v>125.4</v>
      </c>
      <c r="E46" s="303">
        <v>44696</v>
      </c>
      <c r="F46" s="302">
        <v>7.2222222222222223</v>
      </c>
      <c r="G46" s="302">
        <v>6.1111111111111107</v>
      </c>
      <c r="H46" s="302">
        <v>2.7777777777777777</v>
      </c>
      <c r="I46" s="302">
        <v>3.4444444444444446</v>
      </c>
      <c r="J46" s="302">
        <v>2.4444444444444446</v>
      </c>
      <c r="K46" s="302">
        <v>2</v>
      </c>
      <c r="L46" s="302">
        <v>0.88888888888888884</v>
      </c>
      <c r="M46" s="302">
        <v>0.4</v>
      </c>
    </row>
    <row r="47" spans="1:13" ht="15" x14ac:dyDescent="0.25">
      <c r="A47" s="119" t="s">
        <v>343</v>
      </c>
      <c r="B47" s="303">
        <v>44684</v>
      </c>
      <c r="C47" s="119">
        <v>2022</v>
      </c>
      <c r="D47" s="304">
        <v>123</v>
      </c>
      <c r="E47" s="303">
        <v>44698</v>
      </c>
      <c r="F47" s="302">
        <v>8.6666666666666661</v>
      </c>
      <c r="G47" s="302">
        <v>7.2222222222222223</v>
      </c>
      <c r="H47" s="302">
        <v>3.7777777777777777</v>
      </c>
      <c r="I47" s="302">
        <v>3.7777777777777777</v>
      </c>
      <c r="J47" s="302">
        <v>2.5555555555555554</v>
      </c>
      <c r="K47" s="302">
        <v>2.2222222222222223</v>
      </c>
      <c r="L47" s="302">
        <v>1.4444444444444444</v>
      </c>
      <c r="M47" s="302">
        <v>0.75</v>
      </c>
    </row>
    <row r="48" spans="1:13" ht="15" x14ac:dyDescent="0.25">
      <c r="A48" s="119" t="s">
        <v>342</v>
      </c>
      <c r="B48" s="303">
        <v>44688</v>
      </c>
      <c r="C48" s="119">
        <v>2022</v>
      </c>
      <c r="D48" s="304">
        <v>127</v>
      </c>
      <c r="E48" s="303">
        <v>44706</v>
      </c>
      <c r="F48" s="302">
        <v>9.3333333333333339</v>
      </c>
      <c r="G48" s="302">
        <v>7.666666666666667</v>
      </c>
      <c r="H48" s="302">
        <v>4.2222222222222223</v>
      </c>
      <c r="I48" s="302">
        <v>4.333333333333333</v>
      </c>
      <c r="J48" s="302">
        <v>3.6666666666666665</v>
      </c>
      <c r="K48" s="302">
        <v>3.2222222222222223</v>
      </c>
      <c r="L48" s="302">
        <v>2.3333333333333335</v>
      </c>
      <c r="M48" s="302">
        <v>1</v>
      </c>
    </row>
    <row r="49" spans="1:13" ht="15" x14ac:dyDescent="0.25">
      <c r="A49" s="119" t="s">
        <v>341</v>
      </c>
      <c r="B49" s="303">
        <v>44684</v>
      </c>
      <c r="C49" s="119">
        <v>2022</v>
      </c>
      <c r="D49" s="304">
        <v>122.75</v>
      </c>
      <c r="E49" s="303">
        <v>44701</v>
      </c>
      <c r="F49" s="302">
        <v>8.3333333333333339</v>
      </c>
      <c r="G49" s="302">
        <v>6.4444444444444446</v>
      </c>
      <c r="H49" s="302">
        <v>3.2222222222222223</v>
      </c>
      <c r="I49" s="302">
        <v>3.5555555555555554</v>
      </c>
      <c r="J49" s="302">
        <v>2</v>
      </c>
      <c r="K49" s="302">
        <v>1.5555555555555556</v>
      </c>
      <c r="L49" s="302">
        <v>0.88888888888888884</v>
      </c>
      <c r="M49" s="302">
        <v>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084F-6DC2-4949-A770-B53396C83BBF}">
  <dimension ref="A1:F144"/>
  <sheetViews>
    <sheetView workbookViewId="0">
      <selection activeCell="D144" sqref="D1:D144"/>
    </sheetView>
  </sheetViews>
  <sheetFormatPr defaultRowHeight="15" x14ac:dyDescent="0.25"/>
  <cols>
    <col min="1" max="16384" width="9.140625" style="113"/>
  </cols>
  <sheetData>
    <row r="1" spans="1:6" x14ac:dyDescent="0.25">
      <c r="A1" s="113">
        <v>1</v>
      </c>
      <c r="B1" s="113">
        <v>1</v>
      </c>
      <c r="C1" s="113" t="s">
        <v>224</v>
      </c>
      <c r="D1" s="113" t="str">
        <f t="shared" ref="D1:D32" si="0">_xlfn.CONCAT("p",TEXT(A1,"00"),"-",TEXT(B1,"0"),C1)</f>
        <v>p01-1N</v>
      </c>
      <c r="F1" s="113">
        <v>1</v>
      </c>
    </row>
    <row r="2" spans="1:6" x14ac:dyDescent="0.25">
      <c r="A2" s="113">
        <v>1</v>
      </c>
      <c r="B2" s="113">
        <v>1</v>
      </c>
      <c r="C2" s="113" t="s">
        <v>225</v>
      </c>
      <c r="D2" s="113" t="str">
        <f t="shared" si="0"/>
        <v>p01-1M</v>
      </c>
      <c r="F2" s="113">
        <v>2</v>
      </c>
    </row>
    <row r="3" spans="1:6" x14ac:dyDescent="0.25">
      <c r="A3" s="113">
        <v>1</v>
      </c>
      <c r="B3" s="113">
        <v>1</v>
      </c>
      <c r="C3" s="113" t="s">
        <v>226</v>
      </c>
      <c r="D3" s="113" t="str">
        <f t="shared" si="0"/>
        <v>p01-1S</v>
      </c>
      <c r="F3" s="113">
        <v>3</v>
      </c>
    </row>
    <row r="4" spans="1:6" x14ac:dyDescent="0.25">
      <c r="A4" s="113">
        <v>1</v>
      </c>
      <c r="B4" s="113">
        <v>2</v>
      </c>
      <c r="C4" s="113" t="s">
        <v>224</v>
      </c>
      <c r="D4" s="113" t="str">
        <f t="shared" si="0"/>
        <v>p01-2N</v>
      </c>
      <c r="F4" s="113">
        <v>4</v>
      </c>
    </row>
    <row r="5" spans="1:6" x14ac:dyDescent="0.25">
      <c r="A5" s="113">
        <v>1</v>
      </c>
      <c r="B5" s="113">
        <v>2</v>
      </c>
      <c r="C5" s="113" t="s">
        <v>225</v>
      </c>
      <c r="D5" s="113" t="str">
        <f t="shared" si="0"/>
        <v>p01-2M</v>
      </c>
      <c r="F5" s="113">
        <v>5</v>
      </c>
    </row>
    <row r="6" spans="1:6" x14ac:dyDescent="0.25">
      <c r="A6" s="113">
        <v>1</v>
      </c>
      <c r="B6" s="113">
        <v>2</v>
      </c>
      <c r="C6" s="113" t="s">
        <v>226</v>
      </c>
      <c r="D6" s="113" t="str">
        <f t="shared" si="0"/>
        <v>p01-2S</v>
      </c>
      <c r="F6" s="113">
        <v>6</v>
      </c>
    </row>
    <row r="7" spans="1:6" x14ac:dyDescent="0.25">
      <c r="A7" s="113">
        <v>1</v>
      </c>
      <c r="B7" s="113">
        <v>3</v>
      </c>
      <c r="C7" s="113" t="s">
        <v>224</v>
      </c>
      <c r="D7" s="113" t="str">
        <f t="shared" si="0"/>
        <v>p01-3N</v>
      </c>
      <c r="F7" s="113">
        <v>7</v>
      </c>
    </row>
    <row r="8" spans="1:6" x14ac:dyDescent="0.25">
      <c r="A8" s="113">
        <v>1</v>
      </c>
      <c r="B8" s="113">
        <v>3</v>
      </c>
      <c r="C8" s="113" t="s">
        <v>225</v>
      </c>
      <c r="D8" s="113" t="str">
        <f t="shared" si="0"/>
        <v>p01-3M</v>
      </c>
      <c r="F8" s="113">
        <v>8</v>
      </c>
    </row>
    <row r="9" spans="1:6" x14ac:dyDescent="0.25">
      <c r="A9" s="113">
        <v>1</v>
      </c>
      <c r="B9" s="113">
        <v>3</v>
      </c>
      <c r="C9" s="113" t="s">
        <v>226</v>
      </c>
      <c r="D9" s="113" t="str">
        <f t="shared" si="0"/>
        <v>p01-3S</v>
      </c>
      <c r="F9" s="113">
        <v>9</v>
      </c>
    </row>
    <row r="10" spans="1:6" x14ac:dyDescent="0.25">
      <c r="A10" s="113">
        <v>1</v>
      </c>
      <c r="B10" s="113">
        <v>4</v>
      </c>
      <c r="C10" s="113" t="s">
        <v>224</v>
      </c>
      <c r="D10" s="113" t="str">
        <f t="shared" si="0"/>
        <v>p01-4N</v>
      </c>
      <c r="F10" s="113">
        <v>10</v>
      </c>
    </row>
    <row r="11" spans="1:6" x14ac:dyDescent="0.25">
      <c r="A11" s="113">
        <v>1</v>
      </c>
      <c r="B11" s="113">
        <v>4</v>
      </c>
      <c r="C11" s="113" t="s">
        <v>225</v>
      </c>
      <c r="D11" s="113" t="str">
        <f t="shared" si="0"/>
        <v>p01-4M</v>
      </c>
      <c r="F11" s="113">
        <v>11</v>
      </c>
    </row>
    <row r="12" spans="1:6" x14ac:dyDescent="0.25">
      <c r="A12" s="113">
        <v>1</v>
      </c>
      <c r="B12" s="113">
        <v>4</v>
      </c>
      <c r="C12" s="113" t="s">
        <v>226</v>
      </c>
      <c r="D12" s="113" t="str">
        <f t="shared" si="0"/>
        <v>p01-4S</v>
      </c>
      <c r="F12" s="113">
        <v>12</v>
      </c>
    </row>
    <row r="13" spans="1:6" x14ac:dyDescent="0.25">
      <c r="A13" s="113">
        <v>2</v>
      </c>
      <c r="B13" s="113">
        <v>4</v>
      </c>
      <c r="C13" s="113" t="s">
        <v>226</v>
      </c>
      <c r="D13" s="113" t="str">
        <f t="shared" si="0"/>
        <v>p02-4S</v>
      </c>
      <c r="F13" s="113">
        <v>24</v>
      </c>
    </row>
    <row r="14" spans="1:6" x14ac:dyDescent="0.25">
      <c r="A14" s="113">
        <v>2</v>
      </c>
      <c r="B14" s="113">
        <v>4</v>
      </c>
      <c r="C14" s="113" t="s">
        <v>225</v>
      </c>
      <c r="D14" s="113" t="str">
        <f t="shared" si="0"/>
        <v>p02-4M</v>
      </c>
      <c r="F14" s="113">
        <v>23</v>
      </c>
    </row>
    <row r="15" spans="1:6" x14ac:dyDescent="0.25">
      <c r="A15" s="113">
        <v>2</v>
      </c>
      <c r="B15" s="113">
        <v>4</v>
      </c>
      <c r="C15" s="113" t="s">
        <v>224</v>
      </c>
      <c r="D15" s="113" t="str">
        <f t="shared" si="0"/>
        <v>p02-4N</v>
      </c>
      <c r="F15" s="113">
        <v>22</v>
      </c>
    </row>
    <row r="16" spans="1:6" x14ac:dyDescent="0.25">
      <c r="A16" s="113">
        <v>2</v>
      </c>
      <c r="B16" s="113">
        <v>3</v>
      </c>
      <c r="C16" s="113" t="s">
        <v>226</v>
      </c>
      <c r="D16" s="113" t="str">
        <f t="shared" si="0"/>
        <v>p02-3S</v>
      </c>
      <c r="F16" s="113">
        <v>21</v>
      </c>
    </row>
    <row r="17" spans="1:6" x14ac:dyDescent="0.25">
      <c r="A17" s="113">
        <v>2</v>
      </c>
      <c r="B17" s="113">
        <v>3</v>
      </c>
      <c r="C17" s="113" t="s">
        <v>225</v>
      </c>
      <c r="D17" s="113" t="str">
        <f t="shared" si="0"/>
        <v>p02-3M</v>
      </c>
      <c r="F17" s="113">
        <v>20</v>
      </c>
    </row>
    <row r="18" spans="1:6" x14ac:dyDescent="0.25">
      <c r="A18" s="113">
        <v>2</v>
      </c>
      <c r="B18" s="113">
        <v>3</v>
      </c>
      <c r="C18" s="113" t="s">
        <v>224</v>
      </c>
      <c r="D18" s="113" t="str">
        <f t="shared" si="0"/>
        <v>p02-3N</v>
      </c>
      <c r="F18" s="113">
        <v>19</v>
      </c>
    </row>
    <row r="19" spans="1:6" x14ac:dyDescent="0.25">
      <c r="A19" s="113">
        <v>2</v>
      </c>
      <c r="B19" s="113">
        <v>2</v>
      </c>
      <c r="C19" s="113" t="s">
        <v>226</v>
      </c>
      <c r="D19" s="113" t="str">
        <f t="shared" si="0"/>
        <v>p02-2S</v>
      </c>
      <c r="F19" s="113">
        <v>18</v>
      </c>
    </row>
    <row r="20" spans="1:6" x14ac:dyDescent="0.25">
      <c r="A20" s="113">
        <v>2</v>
      </c>
      <c r="B20" s="113">
        <v>2</v>
      </c>
      <c r="C20" s="113" t="s">
        <v>225</v>
      </c>
      <c r="D20" s="113" t="str">
        <f t="shared" si="0"/>
        <v>p02-2M</v>
      </c>
      <c r="F20" s="113">
        <v>17</v>
      </c>
    </row>
    <row r="21" spans="1:6" x14ac:dyDescent="0.25">
      <c r="A21" s="113">
        <v>2</v>
      </c>
      <c r="B21" s="113">
        <v>2</v>
      </c>
      <c r="C21" s="113" t="s">
        <v>224</v>
      </c>
      <c r="D21" s="113" t="str">
        <f t="shared" si="0"/>
        <v>p02-2N</v>
      </c>
      <c r="F21" s="113">
        <v>16</v>
      </c>
    </row>
    <row r="22" spans="1:6" x14ac:dyDescent="0.25">
      <c r="A22" s="113">
        <v>2</v>
      </c>
      <c r="B22" s="113">
        <v>1</v>
      </c>
      <c r="C22" s="113" t="s">
        <v>226</v>
      </c>
      <c r="D22" s="113" t="str">
        <f t="shared" si="0"/>
        <v>p02-1S</v>
      </c>
      <c r="F22" s="113">
        <v>15</v>
      </c>
    </row>
    <row r="23" spans="1:6" x14ac:dyDescent="0.25">
      <c r="A23" s="113">
        <v>2</v>
      </c>
      <c r="B23" s="113">
        <v>1</v>
      </c>
      <c r="C23" s="113" t="s">
        <v>225</v>
      </c>
      <c r="D23" s="113" t="str">
        <f t="shared" si="0"/>
        <v>p02-1M</v>
      </c>
      <c r="F23" s="113">
        <v>14</v>
      </c>
    </row>
    <row r="24" spans="1:6" x14ac:dyDescent="0.25">
      <c r="A24" s="113">
        <v>2</v>
      </c>
      <c r="B24" s="113">
        <v>1</v>
      </c>
      <c r="C24" s="113" t="s">
        <v>224</v>
      </c>
      <c r="D24" s="113" t="str">
        <f t="shared" si="0"/>
        <v>p02-1N</v>
      </c>
      <c r="F24" s="113">
        <v>13</v>
      </c>
    </row>
    <row r="25" spans="1:6" x14ac:dyDescent="0.25">
      <c r="A25" s="113">
        <v>3</v>
      </c>
      <c r="B25" s="113">
        <v>1</v>
      </c>
      <c r="C25" s="113" t="s">
        <v>224</v>
      </c>
      <c r="D25" s="113" t="str">
        <f t="shared" si="0"/>
        <v>p03-1N</v>
      </c>
      <c r="F25" s="113">
        <v>25</v>
      </c>
    </row>
    <row r="26" spans="1:6" x14ac:dyDescent="0.25">
      <c r="A26" s="113">
        <v>3</v>
      </c>
      <c r="B26" s="113">
        <v>1</v>
      </c>
      <c r="C26" s="113" t="s">
        <v>225</v>
      </c>
      <c r="D26" s="113" t="str">
        <f t="shared" si="0"/>
        <v>p03-1M</v>
      </c>
      <c r="F26" s="113">
        <v>26</v>
      </c>
    </row>
    <row r="27" spans="1:6" x14ac:dyDescent="0.25">
      <c r="A27" s="113">
        <v>3</v>
      </c>
      <c r="B27" s="113">
        <v>1</v>
      </c>
      <c r="C27" s="113" t="s">
        <v>226</v>
      </c>
      <c r="D27" s="113" t="str">
        <f t="shared" si="0"/>
        <v>p03-1S</v>
      </c>
      <c r="F27" s="113">
        <v>27</v>
      </c>
    </row>
    <row r="28" spans="1:6" x14ac:dyDescent="0.25">
      <c r="A28" s="113">
        <v>3</v>
      </c>
      <c r="B28" s="113">
        <v>2</v>
      </c>
      <c r="C28" s="113" t="s">
        <v>224</v>
      </c>
      <c r="D28" s="113" t="str">
        <f t="shared" si="0"/>
        <v>p03-2N</v>
      </c>
      <c r="F28" s="113">
        <v>28</v>
      </c>
    </row>
    <row r="29" spans="1:6" x14ac:dyDescent="0.25">
      <c r="A29" s="113">
        <v>3</v>
      </c>
      <c r="B29" s="113">
        <v>2</v>
      </c>
      <c r="C29" s="113" t="s">
        <v>225</v>
      </c>
      <c r="D29" s="113" t="str">
        <f t="shared" si="0"/>
        <v>p03-2M</v>
      </c>
      <c r="F29" s="113">
        <v>29</v>
      </c>
    </row>
    <row r="30" spans="1:6" x14ac:dyDescent="0.25">
      <c r="A30" s="113">
        <v>3</v>
      </c>
      <c r="B30" s="113">
        <v>2</v>
      </c>
      <c r="C30" s="113" t="s">
        <v>226</v>
      </c>
      <c r="D30" s="113" t="str">
        <f t="shared" si="0"/>
        <v>p03-2S</v>
      </c>
      <c r="F30" s="113">
        <v>30</v>
      </c>
    </row>
    <row r="31" spans="1:6" x14ac:dyDescent="0.25">
      <c r="A31" s="113">
        <v>3</v>
      </c>
      <c r="B31" s="113">
        <v>3</v>
      </c>
      <c r="C31" s="113" t="s">
        <v>224</v>
      </c>
      <c r="D31" s="113" t="str">
        <f t="shared" si="0"/>
        <v>p03-3N</v>
      </c>
      <c r="F31" s="113">
        <v>31</v>
      </c>
    </row>
    <row r="32" spans="1:6" x14ac:dyDescent="0.25">
      <c r="A32" s="113">
        <v>3</v>
      </c>
      <c r="B32" s="113">
        <v>3</v>
      </c>
      <c r="C32" s="113" t="s">
        <v>225</v>
      </c>
      <c r="D32" s="113" t="str">
        <f t="shared" si="0"/>
        <v>p03-3M</v>
      </c>
      <c r="F32" s="113">
        <v>32</v>
      </c>
    </row>
    <row r="33" spans="1:6" x14ac:dyDescent="0.25">
      <c r="A33" s="113">
        <v>3</v>
      </c>
      <c r="B33" s="113">
        <v>3</v>
      </c>
      <c r="C33" s="113" t="s">
        <v>226</v>
      </c>
      <c r="D33" s="113" t="str">
        <f t="shared" ref="D33:D64" si="1">_xlfn.CONCAT("p",TEXT(A33,"00"),"-",TEXT(B33,"0"),C33)</f>
        <v>p03-3S</v>
      </c>
      <c r="F33" s="113">
        <v>33</v>
      </c>
    </row>
    <row r="34" spans="1:6" x14ac:dyDescent="0.25">
      <c r="A34" s="113">
        <v>3</v>
      </c>
      <c r="B34" s="113">
        <v>4</v>
      </c>
      <c r="C34" s="113" t="s">
        <v>224</v>
      </c>
      <c r="D34" s="113" t="str">
        <f t="shared" si="1"/>
        <v>p03-4N</v>
      </c>
      <c r="F34" s="113">
        <v>34</v>
      </c>
    </row>
    <row r="35" spans="1:6" x14ac:dyDescent="0.25">
      <c r="A35" s="113">
        <v>3</v>
      </c>
      <c r="B35" s="113">
        <v>4</v>
      </c>
      <c r="C35" s="113" t="s">
        <v>225</v>
      </c>
      <c r="D35" s="113" t="str">
        <f t="shared" si="1"/>
        <v>p03-4M</v>
      </c>
      <c r="F35" s="113">
        <v>35</v>
      </c>
    </row>
    <row r="36" spans="1:6" x14ac:dyDescent="0.25">
      <c r="A36" s="113">
        <v>3</v>
      </c>
      <c r="B36" s="113">
        <v>4</v>
      </c>
      <c r="C36" s="113" t="s">
        <v>226</v>
      </c>
      <c r="D36" s="113" t="str">
        <f t="shared" si="1"/>
        <v>p03-4S</v>
      </c>
      <c r="F36" s="113">
        <v>36</v>
      </c>
    </row>
    <row r="37" spans="1:6" x14ac:dyDescent="0.25">
      <c r="A37" s="113">
        <v>4</v>
      </c>
      <c r="B37" s="113">
        <v>4</v>
      </c>
      <c r="C37" s="113" t="s">
        <v>226</v>
      </c>
      <c r="D37" s="113" t="str">
        <f t="shared" si="1"/>
        <v>p04-4S</v>
      </c>
      <c r="F37" s="113">
        <v>48</v>
      </c>
    </row>
    <row r="38" spans="1:6" x14ac:dyDescent="0.25">
      <c r="A38" s="113">
        <v>4</v>
      </c>
      <c r="B38" s="113">
        <v>4</v>
      </c>
      <c r="C38" s="113" t="s">
        <v>225</v>
      </c>
      <c r="D38" s="113" t="str">
        <f t="shared" si="1"/>
        <v>p04-4M</v>
      </c>
      <c r="F38" s="113">
        <v>47</v>
      </c>
    </row>
    <row r="39" spans="1:6" x14ac:dyDescent="0.25">
      <c r="A39" s="113">
        <v>4</v>
      </c>
      <c r="B39" s="113">
        <v>4</v>
      </c>
      <c r="C39" s="113" t="s">
        <v>224</v>
      </c>
      <c r="D39" s="113" t="str">
        <f t="shared" si="1"/>
        <v>p04-4N</v>
      </c>
      <c r="F39" s="113">
        <v>46</v>
      </c>
    </row>
    <row r="40" spans="1:6" x14ac:dyDescent="0.25">
      <c r="A40" s="113">
        <v>4</v>
      </c>
      <c r="B40" s="113">
        <v>3</v>
      </c>
      <c r="C40" s="113" t="s">
        <v>226</v>
      </c>
      <c r="D40" s="113" t="str">
        <f t="shared" si="1"/>
        <v>p04-3S</v>
      </c>
      <c r="F40" s="113">
        <v>45</v>
      </c>
    </row>
    <row r="41" spans="1:6" x14ac:dyDescent="0.25">
      <c r="A41" s="113">
        <v>4</v>
      </c>
      <c r="B41" s="113">
        <v>3</v>
      </c>
      <c r="C41" s="113" t="s">
        <v>225</v>
      </c>
      <c r="D41" s="113" t="str">
        <f t="shared" si="1"/>
        <v>p04-3M</v>
      </c>
      <c r="F41" s="113">
        <v>44</v>
      </c>
    </row>
    <row r="42" spans="1:6" x14ac:dyDescent="0.25">
      <c r="A42" s="113">
        <v>4</v>
      </c>
      <c r="B42" s="113">
        <v>3</v>
      </c>
      <c r="C42" s="113" t="s">
        <v>224</v>
      </c>
      <c r="D42" s="113" t="str">
        <f t="shared" si="1"/>
        <v>p04-3N</v>
      </c>
      <c r="F42" s="113">
        <v>43</v>
      </c>
    </row>
    <row r="43" spans="1:6" x14ac:dyDescent="0.25">
      <c r="A43" s="113">
        <v>4</v>
      </c>
      <c r="B43" s="113">
        <v>2</v>
      </c>
      <c r="C43" s="113" t="s">
        <v>226</v>
      </c>
      <c r="D43" s="113" t="str">
        <f t="shared" si="1"/>
        <v>p04-2S</v>
      </c>
      <c r="F43" s="113">
        <v>42</v>
      </c>
    </row>
    <row r="44" spans="1:6" x14ac:dyDescent="0.25">
      <c r="A44" s="113">
        <v>4</v>
      </c>
      <c r="B44" s="113">
        <v>2</v>
      </c>
      <c r="C44" s="113" t="s">
        <v>225</v>
      </c>
      <c r="D44" s="113" t="str">
        <f t="shared" si="1"/>
        <v>p04-2M</v>
      </c>
      <c r="F44" s="113">
        <v>41</v>
      </c>
    </row>
    <row r="45" spans="1:6" x14ac:dyDescent="0.25">
      <c r="A45" s="113">
        <v>4</v>
      </c>
      <c r="B45" s="113">
        <v>2</v>
      </c>
      <c r="C45" s="113" t="s">
        <v>224</v>
      </c>
      <c r="D45" s="113" t="str">
        <f t="shared" si="1"/>
        <v>p04-2N</v>
      </c>
      <c r="F45" s="113">
        <v>40</v>
      </c>
    </row>
    <row r="46" spans="1:6" x14ac:dyDescent="0.25">
      <c r="A46" s="113">
        <v>4</v>
      </c>
      <c r="B46" s="113">
        <v>1</v>
      </c>
      <c r="C46" s="113" t="s">
        <v>226</v>
      </c>
      <c r="D46" s="113" t="str">
        <f t="shared" si="1"/>
        <v>p04-1S</v>
      </c>
      <c r="F46" s="113">
        <v>39</v>
      </c>
    </row>
    <row r="47" spans="1:6" x14ac:dyDescent="0.25">
      <c r="A47" s="113">
        <v>4</v>
      </c>
      <c r="B47" s="113">
        <v>1</v>
      </c>
      <c r="C47" s="113" t="s">
        <v>225</v>
      </c>
      <c r="D47" s="113" t="str">
        <f t="shared" si="1"/>
        <v>p04-1M</v>
      </c>
      <c r="F47" s="113">
        <v>38</v>
      </c>
    </row>
    <row r="48" spans="1:6" x14ac:dyDescent="0.25">
      <c r="A48" s="113">
        <v>4</v>
      </c>
      <c r="B48" s="113">
        <v>1</v>
      </c>
      <c r="C48" s="113" t="s">
        <v>224</v>
      </c>
      <c r="D48" s="113" t="str">
        <f t="shared" si="1"/>
        <v>p04-1N</v>
      </c>
      <c r="F48" s="113">
        <v>37</v>
      </c>
    </row>
    <row r="49" spans="1:6" x14ac:dyDescent="0.25">
      <c r="A49" s="113">
        <v>5</v>
      </c>
      <c r="B49" s="113">
        <v>1</v>
      </c>
      <c r="C49" s="113" t="s">
        <v>224</v>
      </c>
      <c r="D49" s="113" t="str">
        <f t="shared" si="1"/>
        <v>p05-1N</v>
      </c>
      <c r="F49" s="113">
        <v>49</v>
      </c>
    </row>
    <row r="50" spans="1:6" x14ac:dyDescent="0.25">
      <c r="A50" s="113">
        <v>5</v>
      </c>
      <c r="B50" s="113">
        <v>1</v>
      </c>
      <c r="C50" s="113" t="s">
        <v>225</v>
      </c>
      <c r="D50" s="113" t="str">
        <f t="shared" si="1"/>
        <v>p05-1M</v>
      </c>
      <c r="F50" s="113">
        <v>50</v>
      </c>
    </row>
    <row r="51" spans="1:6" x14ac:dyDescent="0.25">
      <c r="A51" s="113">
        <v>5</v>
      </c>
      <c r="B51" s="113">
        <v>1</v>
      </c>
      <c r="C51" s="113" t="s">
        <v>226</v>
      </c>
      <c r="D51" s="113" t="str">
        <f t="shared" si="1"/>
        <v>p05-1S</v>
      </c>
      <c r="F51" s="113">
        <v>51</v>
      </c>
    </row>
    <row r="52" spans="1:6" x14ac:dyDescent="0.25">
      <c r="A52" s="113">
        <v>5</v>
      </c>
      <c r="B52" s="113">
        <v>2</v>
      </c>
      <c r="C52" s="113" t="s">
        <v>224</v>
      </c>
      <c r="D52" s="113" t="str">
        <f t="shared" si="1"/>
        <v>p05-2N</v>
      </c>
      <c r="F52" s="113">
        <v>52</v>
      </c>
    </row>
    <row r="53" spans="1:6" x14ac:dyDescent="0.25">
      <c r="A53" s="113">
        <v>5</v>
      </c>
      <c r="B53" s="113">
        <v>2</v>
      </c>
      <c r="C53" s="113" t="s">
        <v>225</v>
      </c>
      <c r="D53" s="113" t="str">
        <f t="shared" si="1"/>
        <v>p05-2M</v>
      </c>
      <c r="F53" s="113">
        <v>53</v>
      </c>
    </row>
    <row r="54" spans="1:6" x14ac:dyDescent="0.25">
      <c r="A54" s="113">
        <v>5</v>
      </c>
      <c r="B54" s="113">
        <v>2</v>
      </c>
      <c r="C54" s="113" t="s">
        <v>226</v>
      </c>
      <c r="D54" s="113" t="str">
        <f t="shared" si="1"/>
        <v>p05-2S</v>
      </c>
      <c r="F54" s="113">
        <v>54</v>
      </c>
    </row>
    <row r="55" spans="1:6" x14ac:dyDescent="0.25">
      <c r="A55" s="113">
        <v>5</v>
      </c>
      <c r="B55" s="113">
        <v>3</v>
      </c>
      <c r="C55" s="113" t="s">
        <v>224</v>
      </c>
      <c r="D55" s="113" t="str">
        <f t="shared" si="1"/>
        <v>p05-3N</v>
      </c>
      <c r="F55" s="113">
        <v>55</v>
      </c>
    </row>
    <row r="56" spans="1:6" x14ac:dyDescent="0.25">
      <c r="A56" s="113">
        <v>5</v>
      </c>
      <c r="B56" s="113">
        <v>3</v>
      </c>
      <c r="C56" s="113" t="s">
        <v>225</v>
      </c>
      <c r="D56" s="113" t="str">
        <f t="shared" si="1"/>
        <v>p05-3M</v>
      </c>
      <c r="F56" s="113">
        <v>56</v>
      </c>
    </row>
    <row r="57" spans="1:6" x14ac:dyDescent="0.25">
      <c r="A57" s="113">
        <v>5</v>
      </c>
      <c r="B57" s="113">
        <v>3</v>
      </c>
      <c r="C57" s="113" t="s">
        <v>226</v>
      </c>
      <c r="D57" s="113" t="str">
        <f t="shared" si="1"/>
        <v>p05-3S</v>
      </c>
      <c r="F57" s="113">
        <v>57</v>
      </c>
    </row>
    <row r="58" spans="1:6" x14ac:dyDescent="0.25">
      <c r="A58" s="113">
        <v>5</v>
      </c>
      <c r="B58" s="113">
        <v>4</v>
      </c>
      <c r="C58" s="113" t="s">
        <v>224</v>
      </c>
      <c r="D58" s="113" t="str">
        <f t="shared" si="1"/>
        <v>p05-4N</v>
      </c>
      <c r="F58" s="113">
        <v>58</v>
      </c>
    </row>
    <row r="59" spans="1:6" x14ac:dyDescent="0.25">
      <c r="A59" s="113">
        <v>5</v>
      </c>
      <c r="B59" s="113">
        <v>4</v>
      </c>
      <c r="C59" s="113" t="s">
        <v>225</v>
      </c>
      <c r="D59" s="113" t="str">
        <f t="shared" si="1"/>
        <v>p05-4M</v>
      </c>
      <c r="F59" s="113">
        <v>59</v>
      </c>
    </row>
    <row r="60" spans="1:6" x14ac:dyDescent="0.25">
      <c r="A60" s="113">
        <v>5</v>
      </c>
      <c r="B60" s="113">
        <v>4</v>
      </c>
      <c r="C60" s="113" t="s">
        <v>226</v>
      </c>
      <c r="D60" s="113" t="str">
        <f t="shared" si="1"/>
        <v>p05-4S</v>
      </c>
      <c r="F60" s="113">
        <v>60</v>
      </c>
    </row>
    <row r="61" spans="1:6" x14ac:dyDescent="0.25">
      <c r="A61" s="113">
        <v>6</v>
      </c>
      <c r="B61" s="113">
        <v>4</v>
      </c>
      <c r="C61" s="113" t="s">
        <v>226</v>
      </c>
      <c r="D61" s="113" t="str">
        <f t="shared" si="1"/>
        <v>p06-4S</v>
      </c>
      <c r="F61" s="113">
        <v>72</v>
      </c>
    </row>
    <row r="62" spans="1:6" x14ac:dyDescent="0.25">
      <c r="A62" s="113">
        <v>6</v>
      </c>
      <c r="B62" s="113">
        <v>4</v>
      </c>
      <c r="C62" s="113" t="s">
        <v>225</v>
      </c>
      <c r="D62" s="113" t="str">
        <f t="shared" si="1"/>
        <v>p06-4M</v>
      </c>
      <c r="F62" s="113">
        <v>71</v>
      </c>
    </row>
    <row r="63" spans="1:6" x14ac:dyDescent="0.25">
      <c r="A63" s="113">
        <v>6</v>
      </c>
      <c r="B63" s="113">
        <v>4</v>
      </c>
      <c r="C63" s="113" t="s">
        <v>224</v>
      </c>
      <c r="D63" s="113" t="str">
        <f t="shared" si="1"/>
        <v>p06-4N</v>
      </c>
      <c r="F63" s="113">
        <v>70</v>
      </c>
    </row>
    <row r="64" spans="1:6" x14ac:dyDescent="0.25">
      <c r="A64" s="113">
        <v>6</v>
      </c>
      <c r="B64" s="113">
        <v>3</v>
      </c>
      <c r="C64" s="113" t="s">
        <v>226</v>
      </c>
      <c r="D64" s="113" t="str">
        <f t="shared" si="1"/>
        <v>p06-3S</v>
      </c>
      <c r="F64" s="113">
        <v>69</v>
      </c>
    </row>
    <row r="65" spans="1:6" x14ac:dyDescent="0.25">
      <c r="A65" s="113">
        <v>6</v>
      </c>
      <c r="B65" s="113">
        <v>3</v>
      </c>
      <c r="C65" s="113" t="s">
        <v>225</v>
      </c>
      <c r="D65" s="113" t="str">
        <f t="shared" ref="D65:D96" si="2">_xlfn.CONCAT("p",TEXT(A65,"00"),"-",TEXT(B65,"0"),C65)</f>
        <v>p06-3M</v>
      </c>
      <c r="F65" s="113">
        <v>68</v>
      </c>
    </row>
    <row r="66" spans="1:6" x14ac:dyDescent="0.25">
      <c r="A66" s="113">
        <v>6</v>
      </c>
      <c r="B66" s="113">
        <v>3</v>
      </c>
      <c r="C66" s="113" t="s">
        <v>224</v>
      </c>
      <c r="D66" s="113" t="str">
        <f t="shared" si="2"/>
        <v>p06-3N</v>
      </c>
      <c r="F66" s="113">
        <v>67</v>
      </c>
    </row>
    <row r="67" spans="1:6" x14ac:dyDescent="0.25">
      <c r="A67" s="113">
        <v>6</v>
      </c>
      <c r="B67" s="113">
        <v>2</v>
      </c>
      <c r="C67" s="113" t="s">
        <v>226</v>
      </c>
      <c r="D67" s="113" t="str">
        <f t="shared" si="2"/>
        <v>p06-2S</v>
      </c>
      <c r="F67" s="113">
        <v>66</v>
      </c>
    </row>
    <row r="68" spans="1:6" x14ac:dyDescent="0.25">
      <c r="A68" s="113">
        <v>6</v>
      </c>
      <c r="B68" s="113">
        <v>2</v>
      </c>
      <c r="C68" s="113" t="s">
        <v>225</v>
      </c>
      <c r="D68" s="113" t="str">
        <f t="shared" si="2"/>
        <v>p06-2M</v>
      </c>
      <c r="F68" s="113">
        <v>65</v>
      </c>
    </row>
    <row r="69" spans="1:6" x14ac:dyDescent="0.25">
      <c r="A69" s="113">
        <v>6</v>
      </c>
      <c r="B69" s="113">
        <v>2</v>
      </c>
      <c r="C69" s="113" t="s">
        <v>224</v>
      </c>
      <c r="D69" s="113" t="str">
        <f t="shared" si="2"/>
        <v>p06-2N</v>
      </c>
      <c r="F69" s="113">
        <v>64</v>
      </c>
    </row>
    <row r="70" spans="1:6" x14ac:dyDescent="0.25">
      <c r="A70" s="113">
        <v>6</v>
      </c>
      <c r="B70" s="113">
        <v>1</v>
      </c>
      <c r="C70" s="113" t="s">
        <v>226</v>
      </c>
      <c r="D70" s="113" t="str">
        <f t="shared" si="2"/>
        <v>p06-1S</v>
      </c>
      <c r="F70" s="113">
        <v>63</v>
      </c>
    </row>
    <row r="71" spans="1:6" x14ac:dyDescent="0.25">
      <c r="A71" s="113">
        <v>6</v>
      </c>
      <c r="B71" s="113">
        <v>1</v>
      </c>
      <c r="C71" s="113" t="s">
        <v>225</v>
      </c>
      <c r="D71" s="113" t="str">
        <f t="shared" si="2"/>
        <v>p06-1M</v>
      </c>
      <c r="F71" s="113">
        <v>62</v>
      </c>
    </row>
    <row r="72" spans="1:6" x14ac:dyDescent="0.25">
      <c r="A72" s="113">
        <v>6</v>
      </c>
      <c r="B72" s="113">
        <v>1</v>
      </c>
      <c r="C72" s="113" t="s">
        <v>224</v>
      </c>
      <c r="D72" s="113" t="str">
        <f t="shared" si="2"/>
        <v>p06-1N</v>
      </c>
      <c r="F72" s="113">
        <v>61</v>
      </c>
    </row>
    <row r="73" spans="1:6" x14ac:dyDescent="0.25">
      <c r="A73" s="113">
        <v>7</v>
      </c>
      <c r="B73" s="113">
        <v>1</v>
      </c>
      <c r="C73" s="113" t="s">
        <v>224</v>
      </c>
      <c r="D73" s="113" t="str">
        <f t="shared" si="2"/>
        <v>p07-1N</v>
      </c>
      <c r="F73" s="113">
        <v>73</v>
      </c>
    </row>
    <row r="74" spans="1:6" x14ac:dyDescent="0.25">
      <c r="A74" s="113">
        <v>7</v>
      </c>
      <c r="B74" s="113">
        <v>1</v>
      </c>
      <c r="C74" s="113" t="s">
        <v>225</v>
      </c>
      <c r="D74" s="113" t="str">
        <f t="shared" si="2"/>
        <v>p07-1M</v>
      </c>
      <c r="F74" s="113">
        <v>74</v>
      </c>
    </row>
    <row r="75" spans="1:6" x14ac:dyDescent="0.25">
      <c r="A75" s="113">
        <v>7</v>
      </c>
      <c r="B75" s="113">
        <v>1</v>
      </c>
      <c r="C75" s="113" t="s">
        <v>226</v>
      </c>
      <c r="D75" s="113" t="str">
        <f t="shared" si="2"/>
        <v>p07-1S</v>
      </c>
      <c r="F75" s="113">
        <v>75</v>
      </c>
    </row>
    <row r="76" spans="1:6" x14ac:dyDescent="0.25">
      <c r="A76" s="113">
        <v>7</v>
      </c>
      <c r="B76" s="113">
        <v>2</v>
      </c>
      <c r="C76" s="113" t="s">
        <v>224</v>
      </c>
      <c r="D76" s="113" t="str">
        <f t="shared" si="2"/>
        <v>p07-2N</v>
      </c>
      <c r="F76" s="113">
        <v>76</v>
      </c>
    </row>
    <row r="77" spans="1:6" x14ac:dyDescent="0.25">
      <c r="A77" s="113">
        <v>7</v>
      </c>
      <c r="B77" s="113">
        <v>2</v>
      </c>
      <c r="C77" s="113" t="s">
        <v>225</v>
      </c>
      <c r="D77" s="113" t="str">
        <f t="shared" si="2"/>
        <v>p07-2M</v>
      </c>
      <c r="F77" s="113">
        <v>77</v>
      </c>
    </row>
    <row r="78" spans="1:6" x14ac:dyDescent="0.25">
      <c r="A78" s="113">
        <v>7</v>
      </c>
      <c r="B78" s="113">
        <v>2</v>
      </c>
      <c r="C78" s="113" t="s">
        <v>226</v>
      </c>
      <c r="D78" s="113" t="str">
        <f t="shared" si="2"/>
        <v>p07-2S</v>
      </c>
      <c r="F78" s="113">
        <v>78</v>
      </c>
    </row>
    <row r="79" spans="1:6" x14ac:dyDescent="0.25">
      <c r="A79" s="113">
        <v>7</v>
      </c>
      <c r="B79" s="113">
        <v>3</v>
      </c>
      <c r="C79" s="113" t="s">
        <v>224</v>
      </c>
      <c r="D79" s="113" t="str">
        <f t="shared" si="2"/>
        <v>p07-3N</v>
      </c>
      <c r="F79" s="113">
        <v>79</v>
      </c>
    </row>
    <row r="80" spans="1:6" x14ac:dyDescent="0.25">
      <c r="A80" s="113">
        <v>7</v>
      </c>
      <c r="B80" s="113">
        <v>3</v>
      </c>
      <c r="C80" s="113" t="s">
        <v>225</v>
      </c>
      <c r="D80" s="113" t="str">
        <f t="shared" si="2"/>
        <v>p07-3M</v>
      </c>
      <c r="F80" s="113">
        <v>80</v>
      </c>
    </row>
    <row r="81" spans="1:6" x14ac:dyDescent="0.25">
      <c r="A81" s="113">
        <v>7</v>
      </c>
      <c r="B81" s="113">
        <v>3</v>
      </c>
      <c r="C81" s="113" t="s">
        <v>226</v>
      </c>
      <c r="D81" s="113" t="str">
        <f t="shared" si="2"/>
        <v>p07-3S</v>
      </c>
      <c r="F81" s="113">
        <v>81</v>
      </c>
    </row>
    <row r="82" spans="1:6" x14ac:dyDescent="0.25">
      <c r="A82" s="113">
        <v>7</v>
      </c>
      <c r="B82" s="113">
        <v>4</v>
      </c>
      <c r="C82" s="113" t="s">
        <v>224</v>
      </c>
      <c r="D82" s="113" t="str">
        <f t="shared" si="2"/>
        <v>p07-4N</v>
      </c>
      <c r="F82" s="113">
        <v>82</v>
      </c>
    </row>
    <row r="83" spans="1:6" x14ac:dyDescent="0.25">
      <c r="A83" s="113">
        <v>7</v>
      </c>
      <c r="B83" s="113">
        <v>4</v>
      </c>
      <c r="C83" s="113" t="s">
        <v>225</v>
      </c>
      <c r="D83" s="113" t="str">
        <f t="shared" si="2"/>
        <v>p07-4M</v>
      </c>
      <c r="F83" s="113">
        <v>83</v>
      </c>
    </row>
    <row r="84" spans="1:6" x14ac:dyDescent="0.25">
      <c r="A84" s="113">
        <v>7</v>
      </c>
      <c r="B84" s="113">
        <v>4</v>
      </c>
      <c r="C84" s="113" t="s">
        <v>226</v>
      </c>
      <c r="D84" s="113" t="str">
        <f t="shared" si="2"/>
        <v>p07-4S</v>
      </c>
      <c r="F84" s="113">
        <v>84</v>
      </c>
    </row>
    <row r="85" spans="1:6" x14ac:dyDescent="0.25">
      <c r="A85" s="113">
        <v>8</v>
      </c>
      <c r="B85" s="113">
        <v>4</v>
      </c>
      <c r="C85" s="113" t="s">
        <v>226</v>
      </c>
      <c r="D85" s="113" t="str">
        <f t="shared" si="2"/>
        <v>p08-4S</v>
      </c>
      <c r="F85" s="113">
        <v>96</v>
      </c>
    </row>
    <row r="86" spans="1:6" x14ac:dyDescent="0.25">
      <c r="A86" s="113">
        <v>8</v>
      </c>
      <c r="B86" s="113">
        <v>4</v>
      </c>
      <c r="C86" s="113" t="s">
        <v>225</v>
      </c>
      <c r="D86" s="113" t="str">
        <f t="shared" si="2"/>
        <v>p08-4M</v>
      </c>
      <c r="F86" s="113">
        <v>95</v>
      </c>
    </row>
    <row r="87" spans="1:6" x14ac:dyDescent="0.25">
      <c r="A87" s="113">
        <v>8</v>
      </c>
      <c r="B87" s="113">
        <v>4</v>
      </c>
      <c r="C87" s="113" t="s">
        <v>224</v>
      </c>
      <c r="D87" s="113" t="str">
        <f t="shared" si="2"/>
        <v>p08-4N</v>
      </c>
      <c r="F87" s="113">
        <v>94</v>
      </c>
    </row>
    <row r="88" spans="1:6" x14ac:dyDescent="0.25">
      <c r="A88" s="113">
        <v>8</v>
      </c>
      <c r="B88" s="113">
        <v>3</v>
      </c>
      <c r="C88" s="113" t="s">
        <v>226</v>
      </c>
      <c r="D88" s="113" t="str">
        <f t="shared" si="2"/>
        <v>p08-3S</v>
      </c>
      <c r="F88" s="113">
        <v>93</v>
      </c>
    </row>
    <row r="89" spans="1:6" x14ac:dyDescent="0.25">
      <c r="A89" s="113">
        <v>8</v>
      </c>
      <c r="B89" s="113">
        <v>3</v>
      </c>
      <c r="C89" s="113" t="s">
        <v>225</v>
      </c>
      <c r="D89" s="113" t="str">
        <f t="shared" si="2"/>
        <v>p08-3M</v>
      </c>
      <c r="F89" s="113">
        <v>92</v>
      </c>
    </row>
    <row r="90" spans="1:6" x14ac:dyDescent="0.25">
      <c r="A90" s="113">
        <v>8</v>
      </c>
      <c r="B90" s="113">
        <v>3</v>
      </c>
      <c r="C90" s="113" t="s">
        <v>224</v>
      </c>
      <c r="D90" s="113" t="str">
        <f t="shared" si="2"/>
        <v>p08-3N</v>
      </c>
      <c r="F90" s="113">
        <v>91</v>
      </c>
    </row>
    <row r="91" spans="1:6" x14ac:dyDescent="0.25">
      <c r="A91" s="113">
        <v>8</v>
      </c>
      <c r="B91" s="113">
        <v>2</v>
      </c>
      <c r="C91" s="113" t="s">
        <v>226</v>
      </c>
      <c r="D91" s="113" t="str">
        <f t="shared" si="2"/>
        <v>p08-2S</v>
      </c>
      <c r="F91" s="113">
        <v>90</v>
      </c>
    </row>
    <row r="92" spans="1:6" x14ac:dyDescent="0.25">
      <c r="A92" s="113">
        <v>8</v>
      </c>
      <c r="B92" s="113">
        <v>2</v>
      </c>
      <c r="C92" s="113" t="s">
        <v>225</v>
      </c>
      <c r="D92" s="113" t="str">
        <f t="shared" si="2"/>
        <v>p08-2M</v>
      </c>
      <c r="F92" s="113">
        <v>89</v>
      </c>
    </row>
    <row r="93" spans="1:6" x14ac:dyDescent="0.25">
      <c r="A93" s="113">
        <v>8</v>
      </c>
      <c r="B93" s="113">
        <v>2</v>
      </c>
      <c r="C93" s="113" t="s">
        <v>224</v>
      </c>
      <c r="D93" s="113" t="str">
        <f t="shared" si="2"/>
        <v>p08-2N</v>
      </c>
      <c r="F93" s="113">
        <v>88</v>
      </c>
    </row>
    <row r="94" spans="1:6" x14ac:dyDescent="0.25">
      <c r="A94" s="113">
        <v>8</v>
      </c>
      <c r="B94" s="113">
        <v>1</v>
      </c>
      <c r="C94" s="113" t="s">
        <v>226</v>
      </c>
      <c r="D94" s="113" t="str">
        <f t="shared" si="2"/>
        <v>p08-1S</v>
      </c>
      <c r="F94" s="113">
        <v>87</v>
      </c>
    </row>
    <row r="95" spans="1:6" x14ac:dyDescent="0.25">
      <c r="A95" s="113">
        <v>8</v>
      </c>
      <c r="B95" s="113">
        <v>1</v>
      </c>
      <c r="C95" s="113" t="s">
        <v>225</v>
      </c>
      <c r="D95" s="113" t="str">
        <f t="shared" si="2"/>
        <v>p08-1M</v>
      </c>
      <c r="F95" s="113">
        <v>86</v>
      </c>
    </row>
    <row r="96" spans="1:6" x14ac:dyDescent="0.25">
      <c r="A96" s="113">
        <v>8</v>
      </c>
      <c r="B96" s="113">
        <v>1</v>
      </c>
      <c r="C96" s="113" t="s">
        <v>224</v>
      </c>
      <c r="D96" s="113" t="str">
        <f t="shared" si="2"/>
        <v>p08-1N</v>
      </c>
      <c r="F96" s="113">
        <v>85</v>
      </c>
    </row>
    <row r="97" spans="1:6" x14ac:dyDescent="0.25">
      <c r="A97" s="113">
        <v>9</v>
      </c>
      <c r="B97" s="113">
        <v>1</v>
      </c>
      <c r="C97" s="113" t="s">
        <v>224</v>
      </c>
      <c r="D97" s="113" t="str">
        <f t="shared" ref="D97:D128" si="3">_xlfn.CONCAT("p",TEXT(A97,"00"),"-",TEXT(B97,"0"),C97)</f>
        <v>p09-1N</v>
      </c>
      <c r="F97" s="113">
        <v>97</v>
      </c>
    </row>
    <row r="98" spans="1:6" x14ac:dyDescent="0.25">
      <c r="A98" s="113">
        <v>9</v>
      </c>
      <c r="B98" s="113">
        <v>1</v>
      </c>
      <c r="C98" s="113" t="s">
        <v>225</v>
      </c>
      <c r="D98" s="113" t="str">
        <f t="shared" si="3"/>
        <v>p09-1M</v>
      </c>
      <c r="F98" s="113">
        <v>98</v>
      </c>
    </row>
    <row r="99" spans="1:6" x14ac:dyDescent="0.25">
      <c r="A99" s="113">
        <v>9</v>
      </c>
      <c r="B99" s="113">
        <v>1</v>
      </c>
      <c r="C99" s="113" t="s">
        <v>226</v>
      </c>
      <c r="D99" s="113" t="str">
        <f t="shared" si="3"/>
        <v>p09-1S</v>
      </c>
      <c r="F99" s="113">
        <v>99</v>
      </c>
    </row>
    <row r="100" spans="1:6" x14ac:dyDescent="0.25">
      <c r="A100" s="113">
        <v>9</v>
      </c>
      <c r="B100" s="113">
        <v>2</v>
      </c>
      <c r="C100" s="113" t="s">
        <v>224</v>
      </c>
      <c r="D100" s="113" t="str">
        <f t="shared" si="3"/>
        <v>p09-2N</v>
      </c>
      <c r="F100" s="113">
        <v>100</v>
      </c>
    </row>
    <row r="101" spans="1:6" x14ac:dyDescent="0.25">
      <c r="A101" s="113">
        <v>9</v>
      </c>
      <c r="B101" s="113">
        <v>2</v>
      </c>
      <c r="C101" s="113" t="s">
        <v>225</v>
      </c>
      <c r="D101" s="113" t="str">
        <f t="shared" si="3"/>
        <v>p09-2M</v>
      </c>
      <c r="F101" s="113">
        <v>101</v>
      </c>
    </row>
    <row r="102" spans="1:6" x14ac:dyDescent="0.25">
      <c r="A102" s="113">
        <v>9</v>
      </c>
      <c r="B102" s="113">
        <v>2</v>
      </c>
      <c r="C102" s="113" t="s">
        <v>226</v>
      </c>
      <c r="D102" s="113" t="str">
        <f t="shared" si="3"/>
        <v>p09-2S</v>
      </c>
      <c r="F102" s="113">
        <v>102</v>
      </c>
    </row>
    <row r="103" spans="1:6" x14ac:dyDescent="0.25">
      <c r="A103" s="113">
        <v>9</v>
      </c>
      <c r="B103" s="113">
        <v>3</v>
      </c>
      <c r="C103" s="113" t="s">
        <v>224</v>
      </c>
      <c r="D103" s="113" t="str">
        <f t="shared" si="3"/>
        <v>p09-3N</v>
      </c>
      <c r="F103" s="113">
        <v>103</v>
      </c>
    </row>
    <row r="104" spans="1:6" x14ac:dyDescent="0.25">
      <c r="A104" s="113">
        <v>9</v>
      </c>
      <c r="B104" s="113">
        <v>3</v>
      </c>
      <c r="C104" s="113" t="s">
        <v>225</v>
      </c>
      <c r="D104" s="113" t="str">
        <f t="shared" si="3"/>
        <v>p09-3M</v>
      </c>
      <c r="F104" s="113">
        <v>104</v>
      </c>
    </row>
    <row r="105" spans="1:6" x14ac:dyDescent="0.25">
      <c r="A105" s="113">
        <v>9</v>
      </c>
      <c r="B105" s="113">
        <v>3</v>
      </c>
      <c r="C105" s="113" t="s">
        <v>226</v>
      </c>
      <c r="D105" s="113" t="str">
        <f t="shared" si="3"/>
        <v>p09-3S</v>
      </c>
      <c r="F105" s="113">
        <v>105</v>
      </c>
    </row>
    <row r="106" spans="1:6" x14ac:dyDescent="0.25">
      <c r="A106" s="113">
        <v>9</v>
      </c>
      <c r="B106" s="113">
        <v>4</v>
      </c>
      <c r="C106" s="113" t="s">
        <v>224</v>
      </c>
      <c r="D106" s="113" t="str">
        <f t="shared" si="3"/>
        <v>p09-4N</v>
      </c>
      <c r="F106" s="113">
        <v>106</v>
      </c>
    </row>
    <row r="107" spans="1:6" x14ac:dyDescent="0.25">
      <c r="A107" s="113">
        <v>9</v>
      </c>
      <c r="B107" s="113">
        <v>4</v>
      </c>
      <c r="C107" s="113" t="s">
        <v>225</v>
      </c>
      <c r="D107" s="113" t="str">
        <f t="shared" si="3"/>
        <v>p09-4M</v>
      </c>
      <c r="F107" s="113">
        <v>107</v>
      </c>
    </row>
    <row r="108" spans="1:6" x14ac:dyDescent="0.25">
      <c r="A108" s="113">
        <v>9</v>
      </c>
      <c r="B108" s="113">
        <v>4</v>
      </c>
      <c r="C108" s="113" t="s">
        <v>226</v>
      </c>
      <c r="D108" s="113" t="str">
        <f t="shared" si="3"/>
        <v>p09-4S</v>
      </c>
      <c r="F108" s="113">
        <v>108</v>
      </c>
    </row>
    <row r="109" spans="1:6" x14ac:dyDescent="0.25">
      <c r="A109" s="113">
        <v>10</v>
      </c>
      <c r="B109" s="113">
        <v>4</v>
      </c>
      <c r="C109" s="113" t="s">
        <v>226</v>
      </c>
      <c r="D109" s="113" t="str">
        <f t="shared" si="3"/>
        <v>p10-4S</v>
      </c>
      <c r="F109" s="113">
        <v>120</v>
      </c>
    </row>
    <row r="110" spans="1:6" x14ac:dyDescent="0.25">
      <c r="A110" s="113">
        <v>10</v>
      </c>
      <c r="B110" s="113">
        <v>4</v>
      </c>
      <c r="C110" s="113" t="s">
        <v>225</v>
      </c>
      <c r="D110" s="113" t="str">
        <f t="shared" si="3"/>
        <v>p10-4M</v>
      </c>
      <c r="F110" s="113">
        <v>119</v>
      </c>
    </row>
    <row r="111" spans="1:6" x14ac:dyDescent="0.25">
      <c r="A111" s="113">
        <v>10</v>
      </c>
      <c r="B111" s="113">
        <v>4</v>
      </c>
      <c r="C111" s="113" t="s">
        <v>224</v>
      </c>
      <c r="D111" s="113" t="str">
        <f t="shared" si="3"/>
        <v>p10-4N</v>
      </c>
      <c r="F111" s="113">
        <v>118</v>
      </c>
    </row>
    <row r="112" spans="1:6" x14ac:dyDescent="0.25">
      <c r="A112" s="113">
        <v>10</v>
      </c>
      <c r="B112" s="113">
        <v>3</v>
      </c>
      <c r="C112" s="113" t="s">
        <v>226</v>
      </c>
      <c r="D112" s="113" t="str">
        <f t="shared" si="3"/>
        <v>p10-3S</v>
      </c>
      <c r="F112" s="113">
        <v>117</v>
      </c>
    </row>
    <row r="113" spans="1:6" x14ac:dyDescent="0.25">
      <c r="A113" s="113">
        <v>10</v>
      </c>
      <c r="B113" s="113">
        <v>3</v>
      </c>
      <c r="C113" s="113" t="s">
        <v>225</v>
      </c>
      <c r="D113" s="113" t="str">
        <f t="shared" si="3"/>
        <v>p10-3M</v>
      </c>
      <c r="F113" s="113">
        <v>116</v>
      </c>
    </row>
    <row r="114" spans="1:6" x14ac:dyDescent="0.25">
      <c r="A114" s="113">
        <v>10</v>
      </c>
      <c r="B114" s="113">
        <v>3</v>
      </c>
      <c r="C114" s="113" t="s">
        <v>224</v>
      </c>
      <c r="D114" s="113" t="str">
        <f t="shared" si="3"/>
        <v>p10-3N</v>
      </c>
      <c r="F114" s="113">
        <v>115</v>
      </c>
    </row>
    <row r="115" spans="1:6" x14ac:dyDescent="0.25">
      <c r="A115" s="113">
        <v>10</v>
      </c>
      <c r="B115" s="113">
        <v>2</v>
      </c>
      <c r="C115" s="113" t="s">
        <v>226</v>
      </c>
      <c r="D115" s="113" t="str">
        <f t="shared" si="3"/>
        <v>p10-2S</v>
      </c>
      <c r="F115" s="113">
        <v>114</v>
      </c>
    </row>
    <row r="116" spans="1:6" x14ac:dyDescent="0.25">
      <c r="A116" s="113">
        <v>10</v>
      </c>
      <c r="B116" s="113">
        <v>2</v>
      </c>
      <c r="C116" s="113" t="s">
        <v>225</v>
      </c>
      <c r="D116" s="113" t="str">
        <f t="shared" si="3"/>
        <v>p10-2M</v>
      </c>
      <c r="F116" s="113">
        <v>113</v>
      </c>
    </row>
    <row r="117" spans="1:6" x14ac:dyDescent="0.25">
      <c r="A117" s="113">
        <v>10</v>
      </c>
      <c r="B117" s="113">
        <v>2</v>
      </c>
      <c r="C117" s="113" t="s">
        <v>224</v>
      </c>
      <c r="D117" s="113" t="str">
        <f t="shared" si="3"/>
        <v>p10-2N</v>
      </c>
      <c r="F117" s="113">
        <v>112</v>
      </c>
    </row>
    <row r="118" spans="1:6" x14ac:dyDescent="0.25">
      <c r="A118" s="113">
        <v>10</v>
      </c>
      <c r="B118" s="113">
        <v>1</v>
      </c>
      <c r="C118" s="113" t="s">
        <v>226</v>
      </c>
      <c r="D118" s="113" t="str">
        <f t="shared" si="3"/>
        <v>p10-1S</v>
      </c>
      <c r="F118" s="113">
        <v>111</v>
      </c>
    </row>
    <row r="119" spans="1:6" x14ac:dyDescent="0.25">
      <c r="A119" s="113">
        <v>10</v>
      </c>
      <c r="B119" s="113">
        <v>1</v>
      </c>
      <c r="C119" s="113" t="s">
        <v>225</v>
      </c>
      <c r="D119" s="113" t="str">
        <f t="shared" si="3"/>
        <v>p10-1M</v>
      </c>
      <c r="F119" s="113">
        <v>110</v>
      </c>
    </row>
    <row r="120" spans="1:6" x14ac:dyDescent="0.25">
      <c r="A120" s="113">
        <v>10</v>
      </c>
      <c r="B120" s="113">
        <v>1</v>
      </c>
      <c r="C120" s="113" t="s">
        <v>224</v>
      </c>
      <c r="D120" s="113" t="str">
        <f t="shared" si="3"/>
        <v>p10-1N</v>
      </c>
      <c r="F120" s="113">
        <v>109</v>
      </c>
    </row>
    <row r="121" spans="1:6" x14ac:dyDescent="0.25">
      <c r="A121" s="113">
        <v>11</v>
      </c>
      <c r="B121" s="113">
        <v>1</v>
      </c>
      <c r="C121" s="113" t="s">
        <v>224</v>
      </c>
      <c r="D121" s="113" t="str">
        <f t="shared" si="3"/>
        <v>p11-1N</v>
      </c>
      <c r="F121" s="113">
        <v>121</v>
      </c>
    </row>
    <row r="122" spans="1:6" x14ac:dyDescent="0.25">
      <c r="A122" s="113">
        <v>11</v>
      </c>
      <c r="B122" s="113">
        <v>1</v>
      </c>
      <c r="C122" s="113" t="s">
        <v>225</v>
      </c>
      <c r="D122" s="113" t="str">
        <f t="shared" si="3"/>
        <v>p11-1M</v>
      </c>
      <c r="F122" s="113">
        <v>122</v>
      </c>
    </row>
    <row r="123" spans="1:6" x14ac:dyDescent="0.25">
      <c r="A123" s="113">
        <v>11</v>
      </c>
      <c r="B123" s="113">
        <v>1</v>
      </c>
      <c r="C123" s="113" t="s">
        <v>226</v>
      </c>
      <c r="D123" s="113" t="str">
        <f t="shared" si="3"/>
        <v>p11-1S</v>
      </c>
      <c r="F123" s="113">
        <v>123</v>
      </c>
    </row>
    <row r="124" spans="1:6" x14ac:dyDescent="0.25">
      <c r="A124" s="113">
        <v>11</v>
      </c>
      <c r="B124" s="113">
        <v>2</v>
      </c>
      <c r="C124" s="113" t="s">
        <v>224</v>
      </c>
      <c r="D124" s="113" t="str">
        <f t="shared" si="3"/>
        <v>p11-2N</v>
      </c>
      <c r="F124" s="113">
        <v>124</v>
      </c>
    </row>
    <row r="125" spans="1:6" x14ac:dyDescent="0.25">
      <c r="A125" s="113">
        <v>11</v>
      </c>
      <c r="B125" s="113">
        <v>2</v>
      </c>
      <c r="C125" s="113" t="s">
        <v>225</v>
      </c>
      <c r="D125" s="113" t="str">
        <f t="shared" si="3"/>
        <v>p11-2M</v>
      </c>
      <c r="F125" s="113">
        <v>125</v>
      </c>
    </row>
    <row r="126" spans="1:6" x14ac:dyDescent="0.25">
      <c r="A126" s="113">
        <v>11</v>
      </c>
      <c r="B126" s="113">
        <v>2</v>
      </c>
      <c r="C126" s="113" t="s">
        <v>226</v>
      </c>
      <c r="D126" s="113" t="str">
        <f t="shared" si="3"/>
        <v>p11-2S</v>
      </c>
      <c r="F126" s="113">
        <v>126</v>
      </c>
    </row>
    <row r="127" spans="1:6" x14ac:dyDescent="0.25">
      <c r="A127" s="113">
        <v>11</v>
      </c>
      <c r="B127" s="113">
        <v>3</v>
      </c>
      <c r="C127" s="113" t="s">
        <v>224</v>
      </c>
      <c r="D127" s="113" t="str">
        <f t="shared" si="3"/>
        <v>p11-3N</v>
      </c>
      <c r="F127" s="113">
        <v>127</v>
      </c>
    </row>
    <row r="128" spans="1:6" x14ac:dyDescent="0.25">
      <c r="A128" s="113">
        <v>11</v>
      </c>
      <c r="B128" s="113">
        <v>3</v>
      </c>
      <c r="C128" s="113" t="s">
        <v>225</v>
      </c>
      <c r="D128" s="113" t="str">
        <f t="shared" si="3"/>
        <v>p11-3M</v>
      </c>
      <c r="F128" s="113">
        <v>128</v>
      </c>
    </row>
    <row r="129" spans="1:6" x14ac:dyDescent="0.25">
      <c r="A129" s="113">
        <v>11</v>
      </c>
      <c r="B129" s="113">
        <v>3</v>
      </c>
      <c r="C129" s="113" t="s">
        <v>226</v>
      </c>
      <c r="D129" s="113" t="str">
        <f t="shared" ref="D129:D144" si="4">_xlfn.CONCAT("p",TEXT(A129,"00"),"-",TEXT(B129,"0"),C129)</f>
        <v>p11-3S</v>
      </c>
      <c r="F129" s="113">
        <v>129</v>
      </c>
    </row>
    <row r="130" spans="1:6" x14ac:dyDescent="0.25">
      <c r="A130" s="113">
        <v>11</v>
      </c>
      <c r="B130" s="113">
        <v>4</v>
      </c>
      <c r="C130" s="113" t="s">
        <v>224</v>
      </c>
      <c r="D130" s="113" t="str">
        <f t="shared" si="4"/>
        <v>p11-4N</v>
      </c>
      <c r="F130" s="113">
        <v>130</v>
      </c>
    </row>
    <row r="131" spans="1:6" x14ac:dyDescent="0.25">
      <c r="A131" s="113">
        <v>11</v>
      </c>
      <c r="B131" s="113">
        <v>4</v>
      </c>
      <c r="C131" s="113" t="s">
        <v>225</v>
      </c>
      <c r="D131" s="113" t="str">
        <f t="shared" si="4"/>
        <v>p11-4M</v>
      </c>
      <c r="F131" s="113">
        <v>131</v>
      </c>
    </row>
    <row r="132" spans="1:6" x14ac:dyDescent="0.25">
      <c r="A132" s="113">
        <v>11</v>
      </c>
      <c r="B132" s="113">
        <v>4</v>
      </c>
      <c r="C132" s="113" t="s">
        <v>226</v>
      </c>
      <c r="D132" s="113" t="str">
        <f t="shared" si="4"/>
        <v>p11-4S</v>
      </c>
      <c r="F132" s="113">
        <v>132</v>
      </c>
    </row>
    <row r="133" spans="1:6" x14ac:dyDescent="0.25">
      <c r="A133" s="113">
        <v>12</v>
      </c>
      <c r="B133" s="113">
        <v>4</v>
      </c>
      <c r="C133" s="113" t="s">
        <v>226</v>
      </c>
      <c r="D133" s="113" t="str">
        <f t="shared" si="4"/>
        <v>p12-4S</v>
      </c>
      <c r="F133" s="113">
        <v>144</v>
      </c>
    </row>
    <row r="134" spans="1:6" x14ac:dyDescent="0.25">
      <c r="A134" s="113">
        <v>12</v>
      </c>
      <c r="B134" s="113">
        <v>4</v>
      </c>
      <c r="C134" s="113" t="s">
        <v>225</v>
      </c>
      <c r="D134" s="113" t="str">
        <f t="shared" si="4"/>
        <v>p12-4M</v>
      </c>
      <c r="F134" s="113">
        <v>143</v>
      </c>
    </row>
    <row r="135" spans="1:6" x14ac:dyDescent="0.25">
      <c r="A135" s="113">
        <v>12</v>
      </c>
      <c r="B135" s="113">
        <v>4</v>
      </c>
      <c r="C135" s="113" t="s">
        <v>224</v>
      </c>
      <c r="D135" s="113" t="str">
        <f t="shared" si="4"/>
        <v>p12-4N</v>
      </c>
      <c r="F135" s="113">
        <v>142</v>
      </c>
    </row>
    <row r="136" spans="1:6" x14ac:dyDescent="0.25">
      <c r="A136" s="113">
        <v>12</v>
      </c>
      <c r="B136" s="113">
        <v>3</v>
      </c>
      <c r="C136" s="113" t="s">
        <v>226</v>
      </c>
      <c r="D136" s="113" t="str">
        <f t="shared" si="4"/>
        <v>p12-3S</v>
      </c>
      <c r="F136" s="113">
        <v>141</v>
      </c>
    </row>
    <row r="137" spans="1:6" x14ac:dyDescent="0.25">
      <c r="A137" s="113">
        <v>12</v>
      </c>
      <c r="B137" s="113">
        <v>3</v>
      </c>
      <c r="C137" s="113" t="s">
        <v>225</v>
      </c>
      <c r="D137" s="113" t="str">
        <f t="shared" si="4"/>
        <v>p12-3M</v>
      </c>
      <c r="F137" s="113">
        <v>140</v>
      </c>
    </row>
    <row r="138" spans="1:6" x14ac:dyDescent="0.25">
      <c r="A138" s="113">
        <v>12</v>
      </c>
      <c r="B138" s="113">
        <v>3</v>
      </c>
      <c r="C138" s="113" t="s">
        <v>224</v>
      </c>
      <c r="D138" s="113" t="str">
        <f t="shared" si="4"/>
        <v>p12-3N</v>
      </c>
      <c r="F138" s="113">
        <v>139</v>
      </c>
    </row>
    <row r="139" spans="1:6" x14ac:dyDescent="0.25">
      <c r="A139" s="113">
        <v>12</v>
      </c>
      <c r="B139" s="113">
        <v>2</v>
      </c>
      <c r="C139" s="113" t="s">
        <v>226</v>
      </c>
      <c r="D139" s="113" t="str">
        <f t="shared" si="4"/>
        <v>p12-2S</v>
      </c>
      <c r="F139" s="113">
        <v>138</v>
      </c>
    </row>
    <row r="140" spans="1:6" x14ac:dyDescent="0.25">
      <c r="A140" s="113">
        <v>12</v>
      </c>
      <c r="B140" s="113">
        <v>2</v>
      </c>
      <c r="C140" s="113" t="s">
        <v>225</v>
      </c>
      <c r="D140" s="113" t="str">
        <f t="shared" si="4"/>
        <v>p12-2M</v>
      </c>
      <c r="F140" s="113">
        <v>137</v>
      </c>
    </row>
    <row r="141" spans="1:6" x14ac:dyDescent="0.25">
      <c r="A141" s="113">
        <v>12</v>
      </c>
      <c r="B141" s="113">
        <v>2</v>
      </c>
      <c r="C141" s="113" t="s">
        <v>224</v>
      </c>
      <c r="D141" s="113" t="str">
        <f t="shared" si="4"/>
        <v>p12-2N</v>
      </c>
      <c r="F141" s="113">
        <v>136</v>
      </c>
    </row>
    <row r="142" spans="1:6" x14ac:dyDescent="0.25">
      <c r="A142" s="113">
        <v>12</v>
      </c>
      <c r="B142" s="113">
        <v>1</v>
      </c>
      <c r="C142" s="113" t="s">
        <v>226</v>
      </c>
      <c r="D142" s="113" t="str">
        <f t="shared" si="4"/>
        <v>p12-1S</v>
      </c>
      <c r="F142" s="113">
        <v>135</v>
      </c>
    </row>
    <row r="143" spans="1:6" x14ac:dyDescent="0.25">
      <c r="A143" s="113">
        <v>12</v>
      </c>
      <c r="B143" s="113">
        <v>1</v>
      </c>
      <c r="C143" s="113" t="s">
        <v>225</v>
      </c>
      <c r="D143" s="113" t="str">
        <f t="shared" si="4"/>
        <v>p12-1M</v>
      </c>
      <c r="F143" s="113">
        <v>134</v>
      </c>
    </row>
    <row r="144" spans="1:6" x14ac:dyDescent="0.25">
      <c r="A144" s="113">
        <v>12</v>
      </c>
      <c r="B144" s="113">
        <v>1</v>
      </c>
      <c r="C144" s="113" t="s">
        <v>224</v>
      </c>
      <c r="D144" s="113" t="str">
        <f t="shared" si="4"/>
        <v>p12-1N</v>
      </c>
      <c r="F144" s="113">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zoomScale="130" zoomScaleNormal="130" zoomScaleSheetLayoutView="55" workbookViewId="0">
      <selection activeCell="A6" sqref="A6"/>
    </sheetView>
  </sheetViews>
  <sheetFormatPr defaultRowHeight="12.75" x14ac:dyDescent="0.2"/>
  <cols>
    <col min="1" max="1" width="6.28515625" customWidth="1"/>
    <col min="2" max="2" width="4.7109375" style="1" customWidth="1"/>
    <col min="3" max="3" width="2.7109375" style="2" customWidth="1"/>
    <col min="4" max="4" width="5.140625" style="2" customWidth="1"/>
    <col min="5" max="6" width="11.28515625" customWidth="1"/>
    <col min="7" max="9" width="8.7109375" customWidth="1"/>
    <col min="10" max="10" width="2.28515625" customWidth="1"/>
  </cols>
  <sheetData>
    <row r="1" spans="1:10" ht="15.75" x14ac:dyDescent="0.25">
      <c r="A1" s="6">
        <v>2022</v>
      </c>
      <c r="B1" s="8" t="s">
        <v>24</v>
      </c>
      <c r="E1" s="4" t="s">
        <v>8</v>
      </c>
      <c r="F1" s="18"/>
      <c r="I1" s="2" t="s">
        <v>17</v>
      </c>
      <c r="J1" s="18"/>
    </row>
    <row r="2" spans="1:10" ht="14.45" customHeight="1" x14ac:dyDescent="0.25">
      <c r="A2" s="6"/>
      <c r="B2" s="63" t="s">
        <v>6</v>
      </c>
      <c r="C2" s="8"/>
      <c r="D2" s="8"/>
      <c r="F2" s="4" t="s">
        <v>14</v>
      </c>
      <c r="G2" s="19"/>
      <c r="H2" s="18"/>
      <c r="I2" s="19"/>
    </row>
    <row r="3" spans="1:10" x14ac:dyDescent="0.2">
      <c r="A3" s="5" t="s">
        <v>9</v>
      </c>
      <c r="F3" s="4" t="s">
        <v>13</v>
      </c>
      <c r="G3" s="19"/>
      <c r="H3" s="19"/>
      <c r="I3" s="19"/>
    </row>
    <row r="4" spans="1:10" ht="7.9" customHeight="1" x14ac:dyDescent="0.2">
      <c r="B4" s="5"/>
    </row>
    <row r="5" spans="1:10" x14ac:dyDescent="0.2">
      <c r="B5" s="2" t="s">
        <v>49</v>
      </c>
    </row>
    <row r="6" spans="1:10" x14ac:dyDescent="0.2">
      <c r="B6" s="2" t="s">
        <v>50</v>
      </c>
    </row>
    <row r="7" spans="1:10" ht="22.15" customHeight="1" x14ac:dyDescent="0.2">
      <c r="B7" s="115" t="s">
        <v>32</v>
      </c>
      <c r="C7" s="116"/>
      <c r="D7" s="116"/>
      <c r="E7" s="116"/>
      <c r="F7" s="116"/>
      <c r="G7" s="116"/>
      <c r="H7" s="116"/>
    </row>
    <row r="8" spans="1:10" ht="24" customHeight="1" thickBot="1" x14ac:dyDescent="0.25">
      <c r="B8" s="117" t="s">
        <v>7</v>
      </c>
      <c r="C8" s="117"/>
      <c r="D8" s="17" t="s">
        <v>12</v>
      </c>
      <c r="E8" s="20" t="s">
        <v>15</v>
      </c>
      <c r="F8" s="20" t="s">
        <v>16</v>
      </c>
      <c r="G8" s="17" t="s">
        <v>29</v>
      </c>
      <c r="H8" s="17" t="s">
        <v>29</v>
      </c>
      <c r="I8" s="17" t="s">
        <v>29</v>
      </c>
      <c r="J8" s="17"/>
    </row>
    <row r="9" spans="1:10" ht="34.9" customHeight="1" x14ac:dyDescent="0.2">
      <c r="A9" s="61"/>
      <c r="B9" s="59" t="s">
        <v>0</v>
      </c>
      <c r="C9" s="60">
        <v>1</v>
      </c>
      <c r="D9" s="12" t="s">
        <v>10</v>
      </c>
      <c r="E9" s="9"/>
      <c r="F9" s="76"/>
      <c r="G9" s="22"/>
      <c r="H9" s="9"/>
      <c r="I9" s="9"/>
    </row>
    <row r="10" spans="1:10" ht="34.9" customHeight="1" x14ac:dyDescent="0.2">
      <c r="B10" s="56"/>
      <c r="C10" s="57"/>
      <c r="D10" s="58" t="s">
        <v>33</v>
      </c>
      <c r="E10" s="49"/>
      <c r="F10" s="77"/>
      <c r="G10" s="82"/>
      <c r="H10" s="49"/>
      <c r="I10" s="49"/>
    </row>
    <row r="11" spans="1:10" ht="34.9" customHeight="1" thickBot="1" x14ac:dyDescent="0.25">
      <c r="B11" s="13"/>
      <c r="C11" s="15"/>
      <c r="D11" s="16" t="s">
        <v>11</v>
      </c>
      <c r="E11" s="10"/>
      <c r="F11" s="78"/>
      <c r="G11" s="23"/>
      <c r="H11" s="10"/>
      <c r="I11" s="10"/>
    </row>
    <row r="12" spans="1:10" ht="34.9" customHeight="1" x14ac:dyDescent="0.2">
      <c r="B12" s="59" t="s">
        <v>0</v>
      </c>
      <c r="C12" s="60">
        <v>2</v>
      </c>
      <c r="D12" s="12" t="s">
        <v>10</v>
      </c>
      <c r="E12" s="9"/>
      <c r="F12" s="76"/>
      <c r="G12" s="22"/>
      <c r="H12" s="9"/>
      <c r="I12" s="9"/>
    </row>
    <row r="13" spans="1:10" ht="34.9" customHeight="1" x14ac:dyDescent="0.2">
      <c r="B13" s="56"/>
      <c r="C13" s="57"/>
      <c r="D13" s="58" t="s">
        <v>33</v>
      </c>
      <c r="E13" s="49"/>
      <c r="F13" s="77"/>
      <c r="G13" s="82"/>
      <c r="H13" s="49"/>
      <c r="I13" s="49"/>
    </row>
    <row r="14" spans="1:10" ht="34.9" customHeight="1" thickBot="1" x14ac:dyDescent="0.25">
      <c r="B14" s="13"/>
      <c r="C14" s="15"/>
      <c r="D14" s="16" t="s">
        <v>11</v>
      </c>
      <c r="E14" s="10"/>
      <c r="F14" s="78"/>
      <c r="G14" s="23"/>
      <c r="H14" s="10"/>
      <c r="I14" s="10"/>
    </row>
    <row r="15" spans="1:10" ht="34.9" customHeight="1" x14ac:dyDescent="0.2">
      <c r="B15" s="59" t="s">
        <v>0</v>
      </c>
      <c r="C15" s="60">
        <v>3</v>
      </c>
      <c r="D15" s="12" t="s">
        <v>10</v>
      </c>
      <c r="E15" s="9"/>
      <c r="F15" s="76"/>
      <c r="G15" s="22"/>
      <c r="H15" s="9"/>
      <c r="I15" s="9"/>
    </row>
    <row r="16" spans="1:10" ht="34.9" customHeight="1" x14ac:dyDescent="0.2">
      <c r="B16" s="56"/>
      <c r="C16" s="57"/>
      <c r="D16" s="58" t="s">
        <v>33</v>
      </c>
      <c r="E16" s="49"/>
      <c r="F16" s="77"/>
      <c r="G16" s="82"/>
      <c r="H16" s="49"/>
      <c r="I16" s="49"/>
    </row>
    <row r="17" spans="1:9" ht="34.9" customHeight="1" thickBot="1" x14ac:dyDescent="0.25">
      <c r="B17" s="13"/>
      <c r="C17" s="15"/>
      <c r="D17" s="16" t="s">
        <v>11</v>
      </c>
      <c r="E17" s="10"/>
      <c r="F17" s="78"/>
      <c r="G17" s="23"/>
      <c r="H17" s="10"/>
      <c r="I17" s="10"/>
    </row>
    <row r="18" spans="1:9" ht="34.9" customHeight="1" x14ac:dyDescent="0.2">
      <c r="B18" s="59" t="s">
        <v>0</v>
      </c>
      <c r="C18" s="60">
        <v>4</v>
      </c>
      <c r="D18" s="12" t="s">
        <v>10</v>
      </c>
      <c r="E18" s="9"/>
      <c r="F18" s="76"/>
      <c r="G18" s="22"/>
      <c r="H18" s="9"/>
      <c r="I18" s="9"/>
    </row>
    <row r="19" spans="1:9" ht="34.9" customHeight="1" x14ac:dyDescent="0.2">
      <c r="B19" s="56"/>
      <c r="C19" s="57"/>
      <c r="D19" s="58" t="s">
        <v>33</v>
      </c>
      <c r="E19" s="49"/>
      <c r="F19" s="77"/>
      <c r="G19" s="82"/>
      <c r="H19" s="49"/>
      <c r="I19" s="49"/>
    </row>
    <row r="20" spans="1:9" ht="34.9" customHeight="1" thickBot="1" x14ac:dyDescent="0.25">
      <c r="B20" s="13"/>
      <c r="C20" s="15"/>
      <c r="D20" s="16" t="s">
        <v>11</v>
      </c>
      <c r="E20" s="10"/>
      <c r="F20" s="78"/>
      <c r="G20" s="23"/>
      <c r="H20" s="10"/>
      <c r="I20" s="10"/>
    </row>
    <row r="21" spans="1:9" ht="34.9" customHeight="1" x14ac:dyDescent="0.2">
      <c r="A21" s="61"/>
      <c r="B21" s="59" t="s">
        <v>1</v>
      </c>
      <c r="C21" s="60">
        <v>4</v>
      </c>
      <c r="D21" s="12" t="s">
        <v>11</v>
      </c>
      <c r="E21" s="9"/>
      <c r="F21" s="76"/>
      <c r="G21" s="22"/>
      <c r="H21" s="9"/>
      <c r="I21" s="9"/>
    </row>
    <row r="22" spans="1:9" ht="34.9" customHeight="1" x14ac:dyDescent="0.2">
      <c r="B22" s="56"/>
      <c r="C22" s="57"/>
      <c r="D22" s="58" t="s">
        <v>33</v>
      </c>
      <c r="E22" s="49"/>
      <c r="F22" s="77"/>
      <c r="G22" s="82"/>
      <c r="H22" s="49"/>
      <c r="I22" s="49"/>
    </row>
    <row r="23" spans="1:9" ht="34.9" customHeight="1" thickBot="1" x14ac:dyDescent="0.25">
      <c r="B23" s="13"/>
      <c r="C23" s="15"/>
      <c r="D23" s="16" t="s">
        <v>10</v>
      </c>
      <c r="E23" s="10"/>
      <c r="F23" s="78"/>
      <c r="G23" s="23"/>
      <c r="H23" s="10"/>
      <c r="I23" s="10"/>
    </row>
    <row r="24" spans="1:9" ht="34.9" customHeight="1" x14ac:dyDescent="0.2">
      <c r="B24" s="59" t="s">
        <v>1</v>
      </c>
      <c r="C24" s="60">
        <v>3</v>
      </c>
      <c r="D24" s="12" t="s">
        <v>11</v>
      </c>
      <c r="E24" s="9"/>
      <c r="F24" s="76"/>
      <c r="G24" s="22"/>
      <c r="H24" s="9"/>
      <c r="I24" s="9"/>
    </row>
    <row r="25" spans="1:9" ht="34.9" customHeight="1" x14ac:dyDescent="0.2">
      <c r="B25" s="56"/>
      <c r="C25" s="57"/>
      <c r="D25" s="58" t="s">
        <v>33</v>
      </c>
      <c r="E25" s="49"/>
      <c r="F25" s="77"/>
      <c r="G25" s="82"/>
      <c r="H25" s="49"/>
      <c r="I25" s="49"/>
    </row>
    <row r="26" spans="1:9" ht="34.9" customHeight="1" thickBot="1" x14ac:dyDescent="0.25">
      <c r="B26" s="13"/>
      <c r="C26" s="15"/>
      <c r="D26" s="16" t="s">
        <v>10</v>
      </c>
      <c r="E26" s="10"/>
      <c r="F26" s="78"/>
      <c r="G26" s="23"/>
      <c r="H26" s="10"/>
      <c r="I26" s="10"/>
    </row>
    <row r="27" spans="1:9" ht="34.9" customHeight="1" x14ac:dyDescent="0.2">
      <c r="B27" s="59" t="s">
        <v>1</v>
      </c>
      <c r="C27" s="60">
        <v>2</v>
      </c>
      <c r="D27" s="12" t="s">
        <v>11</v>
      </c>
      <c r="E27" s="9"/>
      <c r="F27" s="76"/>
      <c r="G27" s="22"/>
      <c r="H27" s="9"/>
      <c r="I27" s="9"/>
    </row>
    <row r="28" spans="1:9" ht="34.9" customHeight="1" x14ac:dyDescent="0.2">
      <c r="B28" s="56"/>
      <c r="C28" s="57"/>
      <c r="D28" s="58" t="s">
        <v>33</v>
      </c>
      <c r="E28" s="49"/>
      <c r="F28" s="77"/>
      <c r="G28" s="82"/>
      <c r="H28" s="49"/>
      <c r="I28" s="49"/>
    </row>
    <row r="29" spans="1:9" ht="34.9" customHeight="1" thickBot="1" x14ac:dyDescent="0.25">
      <c r="B29" s="13"/>
      <c r="C29" s="15"/>
      <c r="D29" s="16" t="s">
        <v>10</v>
      </c>
      <c r="E29" s="10"/>
      <c r="F29" s="78"/>
      <c r="G29" s="23"/>
      <c r="H29" s="10"/>
      <c r="I29" s="10"/>
    </row>
    <row r="30" spans="1:9" ht="34.9" customHeight="1" x14ac:dyDescent="0.2">
      <c r="B30" s="59" t="s">
        <v>1</v>
      </c>
      <c r="C30" s="60">
        <v>1</v>
      </c>
      <c r="D30" s="12" t="s">
        <v>11</v>
      </c>
      <c r="E30" s="9"/>
      <c r="F30" s="76"/>
      <c r="G30" s="22"/>
      <c r="H30" s="9"/>
      <c r="I30" s="9"/>
    </row>
    <row r="31" spans="1:9" ht="34.9" customHeight="1" x14ac:dyDescent="0.2">
      <c r="B31" s="56"/>
      <c r="C31" s="57"/>
      <c r="D31" s="58" t="s">
        <v>33</v>
      </c>
      <c r="E31" s="49"/>
      <c r="F31" s="77"/>
      <c r="G31" s="82"/>
      <c r="H31" s="49"/>
      <c r="I31" s="49"/>
    </row>
    <row r="32" spans="1:9" ht="34.9" customHeight="1" thickBot="1" x14ac:dyDescent="0.25">
      <c r="B32" s="13"/>
      <c r="C32" s="15"/>
      <c r="D32" s="16" t="s">
        <v>10</v>
      </c>
      <c r="E32" s="10"/>
      <c r="F32" s="78"/>
      <c r="G32" s="23"/>
      <c r="H32" s="10"/>
      <c r="I32" s="10"/>
    </row>
    <row r="33" spans="1:9" ht="34.9" customHeight="1" x14ac:dyDescent="0.2">
      <c r="A33" s="61"/>
      <c r="B33" s="59" t="s">
        <v>2</v>
      </c>
      <c r="C33" s="60">
        <v>1</v>
      </c>
      <c r="D33" s="12" t="s">
        <v>10</v>
      </c>
      <c r="E33" s="9"/>
      <c r="F33" s="76"/>
      <c r="G33" s="22"/>
      <c r="H33" s="9"/>
      <c r="I33" s="9"/>
    </row>
    <row r="34" spans="1:9" ht="34.9" customHeight="1" x14ac:dyDescent="0.2">
      <c r="B34" s="56"/>
      <c r="C34" s="57"/>
      <c r="D34" s="58" t="s">
        <v>33</v>
      </c>
      <c r="E34" s="49"/>
      <c r="F34" s="77"/>
      <c r="G34" s="82"/>
      <c r="H34" s="49"/>
      <c r="I34" s="49"/>
    </row>
    <row r="35" spans="1:9" ht="34.9" customHeight="1" thickBot="1" x14ac:dyDescent="0.25">
      <c r="B35" s="13"/>
      <c r="C35" s="15"/>
      <c r="D35" s="16" t="s">
        <v>11</v>
      </c>
      <c r="E35" s="10"/>
      <c r="F35" s="78"/>
      <c r="G35" s="23"/>
      <c r="H35" s="10"/>
      <c r="I35" s="10"/>
    </row>
    <row r="36" spans="1:9" ht="34.9" customHeight="1" x14ac:dyDescent="0.2">
      <c r="B36" s="59" t="s">
        <v>2</v>
      </c>
      <c r="C36" s="60">
        <v>2</v>
      </c>
      <c r="D36" s="12" t="s">
        <v>10</v>
      </c>
      <c r="E36" s="9"/>
      <c r="F36" s="76"/>
      <c r="G36" s="22"/>
      <c r="H36" s="9"/>
      <c r="I36" s="9"/>
    </row>
    <row r="37" spans="1:9" ht="34.9" customHeight="1" x14ac:dyDescent="0.2">
      <c r="B37" s="56"/>
      <c r="C37" s="57"/>
      <c r="D37" s="58" t="s">
        <v>33</v>
      </c>
      <c r="E37" s="49"/>
      <c r="F37" s="77"/>
      <c r="G37" s="82"/>
      <c r="H37" s="49"/>
      <c r="I37" s="49"/>
    </row>
    <row r="38" spans="1:9" ht="34.9" customHeight="1" thickBot="1" x14ac:dyDescent="0.25">
      <c r="B38" s="13"/>
      <c r="C38" s="15"/>
      <c r="D38" s="16" t="s">
        <v>11</v>
      </c>
      <c r="E38" s="10"/>
      <c r="F38" s="78"/>
      <c r="G38" s="23"/>
      <c r="H38" s="10"/>
      <c r="I38" s="10"/>
    </row>
    <row r="39" spans="1:9" ht="34.9" customHeight="1" x14ac:dyDescent="0.2">
      <c r="B39" s="59" t="s">
        <v>2</v>
      </c>
      <c r="C39" s="60">
        <v>3</v>
      </c>
      <c r="D39" s="12" t="s">
        <v>10</v>
      </c>
      <c r="E39" s="9"/>
      <c r="F39" s="76"/>
      <c r="G39" s="22"/>
      <c r="H39" s="9"/>
      <c r="I39" s="9"/>
    </row>
    <row r="40" spans="1:9" ht="34.9" customHeight="1" x14ac:dyDescent="0.2">
      <c r="B40" s="56"/>
      <c r="C40" s="57"/>
      <c r="D40" s="58" t="s">
        <v>33</v>
      </c>
      <c r="E40" s="49"/>
      <c r="F40" s="77"/>
      <c r="G40" s="82"/>
      <c r="H40" s="49"/>
      <c r="I40" s="49"/>
    </row>
    <row r="41" spans="1:9" ht="34.9" customHeight="1" thickBot="1" x14ac:dyDescent="0.25">
      <c r="B41" s="13"/>
      <c r="C41" s="15"/>
      <c r="D41" s="16" t="s">
        <v>11</v>
      </c>
      <c r="E41" s="10"/>
      <c r="F41" s="78"/>
      <c r="G41" s="23"/>
      <c r="H41" s="10"/>
      <c r="I41" s="10"/>
    </row>
    <row r="42" spans="1:9" ht="34.9" customHeight="1" x14ac:dyDescent="0.2">
      <c r="B42" s="59" t="s">
        <v>2</v>
      </c>
      <c r="C42" s="60">
        <v>4</v>
      </c>
      <c r="D42" s="12" t="s">
        <v>10</v>
      </c>
      <c r="E42" s="9"/>
      <c r="F42" s="76"/>
      <c r="G42" s="22"/>
      <c r="H42" s="9"/>
      <c r="I42" s="9"/>
    </row>
    <row r="43" spans="1:9" ht="34.9" customHeight="1" x14ac:dyDescent="0.2">
      <c r="B43" s="56"/>
      <c r="C43" s="57"/>
      <c r="D43" s="58" t="s">
        <v>33</v>
      </c>
      <c r="E43" s="49"/>
      <c r="F43" s="77"/>
      <c r="G43" s="82"/>
      <c r="H43" s="49"/>
      <c r="I43" s="49"/>
    </row>
    <row r="44" spans="1:9" ht="34.9" customHeight="1" thickBot="1" x14ac:dyDescent="0.25">
      <c r="B44" s="13"/>
      <c r="C44" s="15"/>
      <c r="D44" s="16" t="s">
        <v>11</v>
      </c>
      <c r="E44" s="10"/>
      <c r="F44" s="78"/>
      <c r="G44" s="23"/>
      <c r="H44" s="10"/>
      <c r="I44" s="10"/>
    </row>
    <row r="45" spans="1:9" ht="34.9" customHeight="1" x14ac:dyDescent="0.2">
      <c r="A45" s="61"/>
      <c r="B45" s="59" t="s">
        <v>3</v>
      </c>
      <c r="C45" s="60">
        <v>4</v>
      </c>
      <c r="D45" s="12" t="s">
        <v>11</v>
      </c>
      <c r="E45" s="9"/>
      <c r="F45" s="76"/>
      <c r="G45" s="22"/>
      <c r="H45" s="9"/>
      <c r="I45" s="9"/>
    </row>
    <row r="46" spans="1:9" ht="34.9" customHeight="1" x14ac:dyDescent="0.2">
      <c r="B46" s="56"/>
      <c r="C46" s="57"/>
      <c r="D46" s="58" t="s">
        <v>33</v>
      </c>
      <c r="E46" s="49"/>
      <c r="F46" s="77"/>
      <c r="G46" s="82"/>
      <c r="H46" s="49"/>
      <c r="I46" s="49"/>
    </row>
    <row r="47" spans="1:9" ht="34.9" customHeight="1" thickBot="1" x14ac:dyDescent="0.25">
      <c r="B47" s="13"/>
      <c r="C47" s="15"/>
      <c r="D47" s="16" t="s">
        <v>10</v>
      </c>
      <c r="E47" s="10"/>
      <c r="F47" s="78"/>
      <c r="G47" s="23"/>
      <c r="H47" s="10"/>
      <c r="I47" s="10"/>
    </row>
    <row r="48" spans="1:9" ht="34.9" customHeight="1" x14ac:dyDescent="0.2">
      <c r="B48" s="59" t="s">
        <v>3</v>
      </c>
      <c r="C48" s="60">
        <v>3</v>
      </c>
      <c r="D48" s="12" t="s">
        <v>11</v>
      </c>
      <c r="E48" s="9"/>
      <c r="F48" s="76"/>
      <c r="G48" s="22"/>
      <c r="H48" s="9"/>
      <c r="I48" s="9"/>
    </row>
    <row r="49" spans="1:9" ht="34.9" customHeight="1" x14ac:dyDescent="0.2">
      <c r="B49" s="56"/>
      <c r="C49" s="57"/>
      <c r="D49" s="58" t="s">
        <v>33</v>
      </c>
      <c r="E49" s="49"/>
      <c r="F49" s="77"/>
      <c r="G49" s="82"/>
      <c r="H49" s="49"/>
      <c r="I49" s="49"/>
    </row>
    <row r="50" spans="1:9" ht="34.9" customHeight="1" thickBot="1" x14ac:dyDescent="0.25">
      <c r="B50" s="13"/>
      <c r="C50" s="15"/>
      <c r="D50" s="16" t="s">
        <v>10</v>
      </c>
      <c r="E50" s="10"/>
      <c r="F50" s="78"/>
      <c r="G50" s="23"/>
      <c r="H50" s="10"/>
      <c r="I50" s="10"/>
    </row>
    <row r="51" spans="1:9" ht="34.9" customHeight="1" x14ac:dyDescent="0.2">
      <c r="B51" s="59" t="s">
        <v>3</v>
      </c>
      <c r="C51" s="60">
        <v>2</v>
      </c>
      <c r="D51" s="12" t="s">
        <v>11</v>
      </c>
      <c r="E51" s="9"/>
      <c r="F51" s="76"/>
      <c r="G51" s="22"/>
      <c r="H51" s="9"/>
      <c r="I51" s="9"/>
    </row>
    <row r="52" spans="1:9" ht="34.9" customHeight="1" x14ac:dyDescent="0.2">
      <c r="B52" s="56"/>
      <c r="C52" s="57"/>
      <c r="D52" s="58" t="s">
        <v>33</v>
      </c>
      <c r="E52" s="49"/>
      <c r="F52" s="77"/>
      <c r="G52" s="82"/>
      <c r="H52" s="49"/>
      <c r="I52" s="49"/>
    </row>
    <row r="53" spans="1:9" ht="34.9" customHeight="1" thickBot="1" x14ac:dyDescent="0.25">
      <c r="B53" s="13"/>
      <c r="C53" s="15"/>
      <c r="D53" s="16" t="s">
        <v>10</v>
      </c>
      <c r="E53" s="10"/>
      <c r="F53" s="78"/>
      <c r="G53" s="23"/>
      <c r="H53" s="10"/>
      <c r="I53" s="10"/>
    </row>
    <row r="54" spans="1:9" ht="34.9" customHeight="1" x14ac:dyDescent="0.2">
      <c r="B54" s="59" t="s">
        <v>3</v>
      </c>
      <c r="C54" s="60">
        <v>1</v>
      </c>
      <c r="D54" s="12" t="s">
        <v>11</v>
      </c>
      <c r="E54" s="9"/>
      <c r="F54" s="76"/>
      <c r="G54" s="22"/>
      <c r="H54" s="9"/>
      <c r="I54" s="9"/>
    </row>
    <row r="55" spans="1:9" ht="34.9" customHeight="1" x14ac:dyDescent="0.2">
      <c r="B55" s="56"/>
      <c r="C55" s="57"/>
      <c r="D55" s="58" t="s">
        <v>33</v>
      </c>
      <c r="E55" s="49"/>
      <c r="F55" s="77"/>
      <c r="G55" s="82"/>
      <c r="H55" s="49"/>
      <c r="I55" s="49"/>
    </row>
    <row r="56" spans="1:9" ht="34.9" customHeight="1" thickBot="1" x14ac:dyDescent="0.25">
      <c r="B56" s="13"/>
      <c r="C56" s="15"/>
      <c r="D56" s="16" t="s">
        <v>10</v>
      </c>
      <c r="E56" s="10"/>
      <c r="F56" s="78"/>
      <c r="G56" s="23"/>
      <c r="H56" s="10"/>
      <c r="I56" s="10"/>
    </row>
    <row r="57" spans="1:9" ht="34.9" customHeight="1" x14ac:dyDescent="0.2">
      <c r="A57" s="61"/>
      <c r="B57" s="59" t="s">
        <v>4</v>
      </c>
      <c r="C57" s="60">
        <v>1</v>
      </c>
      <c r="D57" s="12" t="s">
        <v>10</v>
      </c>
      <c r="E57" s="9"/>
      <c r="F57" s="76"/>
      <c r="G57" s="22"/>
      <c r="H57" s="9"/>
      <c r="I57" s="9"/>
    </row>
    <row r="58" spans="1:9" ht="34.9" customHeight="1" x14ac:dyDescent="0.2">
      <c r="B58" s="56"/>
      <c r="C58" s="57"/>
      <c r="D58" s="58" t="s">
        <v>33</v>
      </c>
      <c r="E58" s="49"/>
      <c r="F58" s="77"/>
      <c r="G58" s="82"/>
      <c r="H58" s="49"/>
      <c r="I58" s="49"/>
    </row>
    <row r="59" spans="1:9" ht="34.9" customHeight="1" thickBot="1" x14ac:dyDescent="0.25">
      <c r="B59" s="13"/>
      <c r="C59" s="15"/>
      <c r="D59" s="16" t="s">
        <v>11</v>
      </c>
      <c r="E59" s="10"/>
      <c r="F59" s="78"/>
      <c r="G59" s="23"/>
      <c r="H59" s="10"/>
      <c r="I59" s="10"/>
    </row>
    <row r="60" spans="1:9" ht="34.9" customHeight="1" x14ac:dyDescent="0.2">
      <c r="B60" s="59" t="s">
        <v>4</v>
      </c>
      <c r="C60" s="60">
        <v>2</v>
      </c>
      <c r="D60" s="12" t="s">
        <v>10</v>
      </c>
      <c r="E60" s="9"/>
      <c r="F60" s="76"/>
      <c r="G60" s="22"/>
      <c r="H60" s="9"/>
      <c r="I60" s="9"/>
    </row>
    <row r="61" spans="1:9" ht="34.9" customHeight="1" x14ac:dyDescent="0.2">
      <c r="B61" s="56"/>
      <c r="C61" s="57"/>
      <c r="D61" s="58" t="s">
        <v>33</v>
      </c>
      <c r="E61" s="49"/>
      <c r="F61" s="77"/>
      <c r="G61" s="82"/>
      <c r="H61" s="49"/>
      <c r="I61" s="49"/>
    </row>
    <row r="62" spans="1:9" ht="34.9" customHeight="1" thickBot="1" x14ac:dyDescent="0.25">
      <c r="B62" s="13"/>
      <c r="C62" s="15"/>
      <c r="D62" s="16" t="s">
        <v>11</v>
      </c>
      <c r="E62" s="10"/>
      <c r="F62" s="78"/>
      <c r="G62" s="23"/>
      <c r="H62" s="10"/>
      <c r="I62" s="10"/>
    </row>
    <row r="63" spans="1:9" ht="34.9" customHeight="1" x14ac:dyDescent="0.2">
      <c r="B63" s="59" t="s">
        <v>4</v>
      </c>
      <c r="C63" s="60">
        <v>3</v>
      </c>
      <c r="D63" s="12" t="s">
        <v>10</v>
      </c>
      <c r="E63" s="9"/>
      <c r="F63" s="76"/>
      <c r="G63" s="22"/>
      <c r="H63" s="9"/>
      <c r="I63" s="9"/>
    </row>
    <row r="64" spans="1:9" ht="34.9" customHeight="1" x14ac:dyDescent="0.2">
      <c r="B64" s="56"/>
      <c r="C64" s="57"/>
      <c r="D64" s="58" t="s">
        <v>33</v>
      </c>
      <c r="E64" s="49"/>
      <c r="F64" s="77"/>
      <c r="G64" s="82"/>
      <c r="H64" s="49"/>
      <c r="I64" s="49"/>
    </row>
    <row r="65" spans="1:9" ht="34.9" customHeight="1" thickBot="1" x14ac:dyDescent="0.25">
      <c r="B65" s="13"/>
      <c r="C65" s="15"/>
      <c r="D65" s="16" t="s">
        <v>11</v>
      </c>
      <c r="E65" s="10"/>
      <c r="F65" s="78"/>
      <c r="G65" s="23"/>
      <c r="H65" s="10"/>
      <c r="I65" s="10"/>
    </row>
    <row r="66" spans="1:9" ht="34.9" customHeight="1" x14ac:dyDescent="0.2">
      <c r="B66" s="59" t="s">
        <v>4</v>
      </c>
      <c r="C66" s="60">
        <v>4</v>
      </c>
      <c r="D66" s="12" t="s">
        <v>10</v>
      </c>
      <c r="E66" s="9"/>
      <c r="F66" s="76"/>
      <c r="G66" s="22"/>
      <c r="H66" s="9"/>
      <c r="I66" s="9"/>
    </row>
    <row r="67" spans="1:9" ht="34.9" customHeight="1" x14ac:dyDescent="0.2">
      <c r="B67" s="56"/>
      <c r="C67" s="57"/>
      <c r="D67" s="58" t="s">
        <v>33</v>
      </c>
      <c r="E67" s="49"/>
      <c r="F67" s="77"/>
      <c r="G67" s="82"/>
      <c r="H67" s="49"/>
      <c r="I67" s="49"/>
    </row>
    <row r="68" spans="1:9" ht="34.9" customHeight="1" thickBot="1" x14ac:dyDescent="0.25">
      <c r="B68" s="13"/>
      <c r="C68" s="15"/>
      <c r="D68" s="16" t="s">
        <v>11</v>
      </c>
      <c r="E68" s="10"/>
      <c r="F68" s="78"/>
      <c r="G68" s="23"/>
      <c r="H68" s="10"/>
      <c r="I68" s="10"/>
    </row>
    <row r="69" spans="1:9" ht="34.9" customHeight="1" x14ac:dyDescent="0.2">
      <c r="A69" s="61"/>
      <c r="B69" s="59" t="s">
        <v>5</v>
      </c>
      <c r="C69" s="60">
        <v>4</v>
      </c>
      <c r="D69" s="12" t="s">
        <v>11</v>
      </c>
      <c r="E69" s="9"/>
      <c r="F69" s="76"/>
      <c r="G69" s="22"/>
      <c r="H69" s="9"/>
      <c r="I69" s="9"/>
    </row>
    <row r="70" spans="1:9" ht="34.9" customHeight="1" x14ac:dyDescent="0.2">
      <c r="B70" s="56"/>
      <c r="C70" s="57"/>
      <c r="D70" s="58" t="s">
        <v>33</v>
      </c>
      <c r="E70" s="49"/>
      <c r="F70" s="77"/>
      <c r="G70" s="82"/>
      <c r="H70" s="49"/>
      <c r="I70" s="49"/>
    </row>
    <row r="71" spans="1:9" ht="34.9" customHeight="1" thickBot="1" x14ac:dyDescent="0.25">
      <c r="B71" s="13"/>
      <c r="C71" s="15"/>
      <c r="D71" s="16" t="s">
        <v>10</v>
      </c>
      <c r="E71" s="10"/>
      <c r="F71" s="78"/>
      <c r="G71" s="23"/>
      <c r="H71" s="10"/>
      <c r="I71" s="10"/>
    </row>
    <row r="72" spans="1:9" ht="34.9" customHeight="1" x14ac:dyDescent="0.2">
      <c r="B72" s="59" t="s">
        <v>5</v>
      </c>
      <c r="C72" s="60">
        <v>3</v>
      </c>
      <c r="D72" s="12" t="s">
        <v>11</v>
      </c>
      <c r="E72" s="9"/>
      <c r="F72" s="76"/>
      <c r="G72" s="22"/>
      <c r="H72" s="9"/>
      <c r="I72" s="9"/>
    </row>
    <row r="73" spans="1:9" ht="34.9" customHeight="1" x14ac:dyDescent="0.2">
      <c r="B73" s="56"/>
      <c r="C73" s="57"/>
      <c r="D73" s="58" t="s">
        <v>33</v>
      </c>
      <c r="E73" s="49"/>
      <c r="F73" s="77"/>
      <c r="G73" s="82"/>
      <c r="H73" s="49"/>
      <c r="I73" s="49"/>
    </row>
    <row r="74" spans="1:9" ht="34.9" customHeight="1" thickBot="1" x14ac:dyDescent="0.25">
      <c r="B74" s="13"/>
      <c r="C74" s="15"/>
      <c r="D74" s="16" t="s">
        <v>10</v>
      </c>
      <c r="E74" s="10"/>
      <c r="F74" s="78"/>
      <c r="G74" s="23"/>
      <c r="H74" s="10"/>
      <c r="I74" s="10"/>
    </row>
    <row r="75" spans="1:9" ht="34.9" customHeight="1" x14ac:dyDescent="0.2">
      <c r="B75" s="59" t="s">
        <v>5</v>
      </c>
      <c r="C75" s="60">
        <v>2</v>
      </c>
      <c r="D75" s="12" t="s">
        <v>11</v>
      </c>
      <c r="E75" s="9"/>
      <c r="F75" s="76"/>
      <c r="G75" s="22"/>
      <c r="H75" s="9"/>
      <c r="I75" s="9"/>
    </row>
    <row r="76" spans="1:9" ht="34.9" customHeight="1" x14ac:dyDescent="0.2">
      <c r="B76" s="56"/>
      <c r="C76" s="57"/>
      <c r="D76" s="58" t="s">
        <v>33</v>
      </c>
      <c r="E76" s="49"/>
      <c r="F76" s="77"/>
      <c r="G76" s="82"/>
      <c r="H76" s="49"/>
      <c r="I76" s="49"/>
    </row>
    <row r="77" spans="1:9" ht="34.9" customHeight="1" thickBot="1" x14ac:dyDescent="0.25">
      <c r="B77" s="13"/>
      <c r="C77" s="15"/>
      <c r="D77" s="16" t="s">
        <v>10</v>
      </c>
      <c r="E77" s="10"/>
      <c r="F77" s="78"/>
      <c r="G77" s="23"/>
      <c r="H77" s="10"/>
      <c r="I77" s="10"/>
    </row>
    <row r="78" spans="1:9" ht="34.9" customHeight="1" x14ac:dyDescent="0.2">
      <c r="B78" s="64" t="s">
        <v>5</v>
      </c>
      <c r="C78" s="65">
        <v>1</v>
      </c>
      <c r="D78" s="66" t="s">
        <v>11</v>
      </c>
      <c r="E78" s="67"/>
      <c r="F78" s="79"/>
      <c r="G78" s="83"/>
      <c r="H78" s="67"/>
      <c r="I78" s="67"/>
    </row>
    <row r="79" spans="1:9" ht="34.9" customHeight="1" x14ac:dyDescent="0.2">
      <c r="B79" s="68"/>
      <c r="C79" s="69"/>
      <c r="D79" s="70" t="s">
        <v>33</v>
      </c>
      <c r="E79" s="71"/>
      <c r="F79" s="80"/>
      <c r="G79" s="84"/>
      <c r="H79" s="71"/>
      <c r="I79" s="71"/>
    </row>
    <row r="80" spans="1:9" ht="34.9" customHeight="1" thickBot="1" x14ac:dyDescent="0.25">
      <c r="B80" s="72"/>
      <c r="C80" s="73"/>
      <c r="D80" s="74" t="s">
        <v>10</v>
      </c>
      <c r="E80" s="75"/>
      <c r="F80" s="81"/>
      <c r="G80" s="85"/>
      <c r="H80" s="75"/>
      <c r="I80" s="75"/>
    </row>
    <row r="81" spans="1:9" ht="34.5" customHeight="1" x14ac:dyDescent="0.2">
      <c r="A81" s="61"/>
      <c r="B81" s="59" t="s">
        <v>34</v>
      </c>
      <c r="C81" s="60">
        <v>1</v>
      </c>
      <c r="D81" s="12" t="s">
        <v>10</v>
      </c>
      <c r="E81" s="9"/>
      <c r="F81" s="76"/>
      <c r="G81" s="22"/>
      <c r="H81" s="9"/>
      <c r="I81" s="9"/>
    </row>
    <row r="82" spans="1:9" ht="34.5" customHeight="1" x14ac:dyDescent="0.2">
      <c r="B82" s="56"/>
      <c r="C82" s="57"/>
      <c r="D82" s="58" t="s">
        <v>33</v>
      </c>
      <c r="E82" s="49"/>
      <c r="F82" s="77"/>
      <c r="G82" s="82"/>
      <c r="H82" s="49"/>
      <c r="I82" s="49"/>
    </row>
    <row r="83" spans="1:9" ht="34.5" customHeight="1" thickBot="1" x14ac:dyDescent="0.25">
      <c r="B83" s="13"/>
      <c r="C83" s="15"/>
      <c r="D83" s="16" t="s">
        <v>11</v>
      </c>
      <c r="E83" s="10"/>
      <c r="F83" s="78"/>
      <c r="G83" s="23"/>
      <c r="H83" s="10"/>
      <c r="I83" s="10"/>
    </row>
    <row r="84" spans="1:9" ht="34.5" customHeight="1" x14ac:dyDescent="0.2">
      <c r="B84" s="59" t="s">
        <v>34</v>
      </c>
      <c r="C84" s="60">
        <v>2</v>
      </c>
      <c r="D84" s="12" t="s">
        <v>10</v>
      </c>
      <c r="E84" s="9"/>
      <c r="F84" s="76"/>
      <c r="G84" s="22"/>
      <c r="H84" s="9"/>
      <c r="I84" s="9"/>
    </row>
    <row r="85" spans="1:9" ht="34.5" customHeight="1" x14ac:dyDescent="0.2">
      <c r="B85" s="56"/>
      <c r="C85" s="57"/>
      <c r="D85" s="58" t="s">
        <v>33</v>
      </c>
      <c r="E85" s="49"/>
      <c r="F85" s="77"/>
      <c r="G85" s="82"/>
      <c r="H85" s="49"/>
      <c r="I85" s="49"/>
    </row>
    <row r="86" spans="1:9" ht="34.5" customHeight="1" thickBot="1" x14ac:dyDescent="0.25">
      <c r="B86" s="13"/>
      <c r="C86" s="15"/>
      <c r="D86" s="16" t="s">
        <v>11</v>
      </c>
      <c r="E86" s="10"/>
      <c r="F86" s="78"/>
      <c r="G86" s="23"/>
      <c r="H86" s="10"/>
      <c r="I86" s="10"/>
    </row>
    <row r="87" spans="1:9" ht="34.5" customHeight="1" x14ac:dyDescent="0.2">
      <c r="B87" s="59" t="s">
        <v>34</v>
      </c>
      <c r="C87" s="60">
        <v>3</v>
      </c>
      <c r="D87" s="12" t="s">
        <v>10</v>
      </c>
      <c r="E87" s="9"/>
      <c r="F87" s="76"/>
      <c r="G87" s="22"/>
      <c r="H87" s="9"/>
      <c r="I87" s="9"/>
    </row>
    <row r="88" spans="1:9" ht="34.5" customHeight="1" x14ac:dyDescent="0.2">
      <c r="B88" s="56"/>
      <c r="C88" s="57"/>
      <c r="D88" s="58" t="s">
        <v>33</v>
      </c>
      <c r="E88" s="49"/>
      <c r="F88" s="77"/>
      <c r="G88" s="82"/>
      <c r="H88" s="49"/>
      <c r="I88" s="49"/>
    </row>
    <row r="89" spans="1:9" ht="34.5" customHeight="1" thickBot="1" x14ac:dyDescent="0.25">
      <c r="B89" s="13"/>
      <c r="C89" s="15"/>
      <c r="D89" s="16" t="s">
        <v>11</v>
      </c>
      <c r="E89" s="10"/>
      <c r="F89" s="78"/>
      <c r="G89" s="23"/>
      <c r="H89" s="10"/>
      <c r="I89" s="10"/>
    </row>
    <row r="90" spans="1:9" ht="34.5" customHeight="1" x14ac:dyDescent="0.2">
      <c r="B90" s="59" t="s">
        <v>34</v>
      </c>
      <c r="C90" s="60">
        <v>4</v>
      </c>
      <c r="D90" s="12" t="s">
        <v>10</v>
      </c>
      <c r="E90" s="9"/>
      <c r="F90" s="76"/>
      <c r="G90" s="22"/>
      <c r="H90" s="9"/>
      <c r="I90" s="9"/>
    </row>
    <row r="91" spans="1:9" ht="34.5" customHeight="1" x14ac:dyDescent="0.2">
      <c r="B91" s="56"/>
      <c r="C91" s="57"/>
      <c r="D91" s="58" t="s">
        <v>33</v>
      </c>
      <c r="E91" s="49"/>
      <c r="F91" s="77"/>
      <c r="G91" s="82"/>
      <c r="H91" s="49"/>
      <c r="I91" s="49"/>
    </row>
    <row r="92" spans="1:9" ht="34.5" customHeight="1" thickBot="1" x14ac:dyDescent="0.25">
      <c r="B92" s="13"/>
      <c r="C92" s="15"/>
      <c r="D92" s="16" t="s">
        <v>11</v>
      </c>
      <c r="E92" s="10"/>
      <c r="F92" s="78"/>
      <c r="G92" s="23"/>
      <c r="H92" s="10"/>
      <c r="I92" s="10"/>
    </row>
    <row r="93" spans="1:9" ht="34.5" customHeight="1" x14ac:dyDescent="0.2">
      <c r="A93" s="61"/>
      <c r="B93" s="59" t="s">
        <v>35</v>
      </c>
      <c r="C93" s="60">
        <v>4</v>
      </c>
      <c r="D93" s="12" t="s">
        <v>11</v>
      </c>
      <c r="E93" s="9"/>
      <c r="F93" s="76"/>
      <c r="G93" s="22"/>
      <c r="H93" s="9"/>
      <c r="I93" s="9"/>
    </row>
    <row r="94" spans="1:9" ht="34.5" customHeight="1" x14ac:dyDescent="0.2">
      <c r="B94" s="56"/>
      <c r="C94" s="57"/>
      <c r="D94" s="58" t="s">
        <v>33</v>
      </c>
      <c r="E94" s="49"/>
      <c r="F94" s="77"/>
      <c r="G94" s="82"/>
      <c r="H94" s="49"/>
      <c r="I94" s="49"/>
    </row>
    <row r="95" spans="1:9" ht="34.5" customHeight="1" thickBot="1" x14ac:dyDescent="0.25">
      <c r="B95" s="13"/>
      <c r="C95" s="15"/>
      <c r="D95" s="16" t="s">
        <v>10</v>
      </c>
      <c r="E95" s="10"/>
      <c r="F95" s="78"/>
      <c r="G95" s="23"/>
      <c r="H95" s="10"/>
      <c r="I95" s="10"/>
    </row>
    <row r="96" spans="1:9" ht="34.5" customHeight="1" x14ac:dyDescent="0.2">
      <c r="B96" s="59" t="s">
        <v>35</v>
      </c>
      <c r="C96" s="60">
        <v>3</v>
      </c>
      <c r="D96" s="12" t="s">
        <v>11</v>
      </c>
      <c r="E96" s="9"/>
      <c r="F96" s="76"/>
      <c r="G96" s="22"/>
      <c r="H96" s="9"/>
      <c r="I96" s="9"/>
    </row>
    <row r="97" spans="1:9" ht="34.5" customHeight="1" x14ac:dyDescent="0.2">
      <c r="B97" s="56"/>
      <c r="C97" s="57"/>
      <c r="D97" s="58" t="s">
        <v>33</v>
      </c>
      <c r="E97" s="49"/>
      <c r="F97" s="77"/>
      <c r="G97" s="82"/>
      <c r="H97" s="49"/>
      <c r="I97" s="49"/>
    </row>
    <row r="98" spans="1:9" ht="34.5" customHeight="1" thickBot="1" x14ac:dyDescent="0.25">
      <c r="B98" s="13"/>
      <c r="C98" s="15"/>
      <c r="D98" s="16" t="s">
        <v>10</v>
      </c>
      <c r="E98" s="10"/>
      <c r="F98" s="78"/>
      <c r="G98" s="23"/>
      <c r="H98" s="10"/>
      <c r="I98" s="10"/>
    </row>
    <row r="99" spans="1:9" ht="34.5" customHeight="1" x14ac:dyDescent="0.2">
      <c r="B99" s="59" t="s">
        <v>35</v>
      </c>
      <c r="C99" s="60">
        <v>2</v>
      </c>
      <c r="D99" s="12" t="s">
        <v>11</v>
      </c>
      <c r="E99" s="9"/>
      <c r="F99" s="76"/>
      <c r="G99" s="22"/>
      <c r="H99" s="9"/>
      <c r="I99" s="9"/>
    </row>
    <row r="100" spans="1:9" ht="34.5" customHeight="1" x14ac:dyDescent="0.2">
      <c r="B100" s="56"/>
      <c r="C100" s="57"/>
      <c r="D100" s="58" t="s">
        <v>33</v>
      </c>
      <c r="E100" s="49"/>
      <c r="F100" s="77"/>
      <c r="G100" s="82"/>
      <c r="H100" s="49"/>
      <c r="I100" s="49"/>
    </row>
    <row r="101" spans="1:9" ht="34.5" customHeight="1" thickBot="1" x14ac:dyDescent="0.25">
      <c r="B101" s="13"/>
      <c r="C101" s="15"/>
      <c r="D101" s="16" t="s">
        <v>10</v>
      </c>
      <c r="E101" s="10"/>
      <c r="F101" s="78"/>
      <c r="G101" s="23"/>
      <c r="H101" s="10"/>
      <c r="I101" s="10"/>
    </row>
    <row r="102" spans="1:9" ht="34.5" customHeight="1" x14ac:dyDescent="0.2">
      <c r="B102" s="59" t="s">
        <v>35</v>
      </c>
      <c r="C102" s="60">
        <v>1</v>
      </c>
      <c r="D102" s="12" t="s">
        <v>11</v>
      </c>
      <c r="E102" s="9"/>
      <c r="F102" s="76"/>
      <c r="G102" s="22"/>
      <c r="H102" s="9"/>
      <c r="I102" s="9"/>
    </row>
    <row r="103" spans="1:9" ht="34.5" customHeight="1" x14ac:dyDescent="0.2">
      <c r="B103" s="56"/>
      <c r="C103" s="57"/>
      <c r="D103" s="58" t="s">
        <v>33</v>
      </c>
      <c r="E103" s="49"/>
      <c r="F103" s="77"/>
      <c r="G103" s="82"/>
      <c r="H103" s="49"/>
      <c r="I103" s="49"/>
    </row>
    <row r="104" spans="1:9" ht="34.5" customHeight="1" thickBot="1" x14ac:dyDescent="0.25">
      <c r="B104" s="13"/>
      <c r="C104" s="15"/>
      <c r="D104" s="16" t="s">
        <v>10</v>
      </c>
      <c r="E104" s="10"/>
      <c r="F104" s="78"/>
      <c r="G104" s="23"/>
      <c r="H104" s="10"/>
      <c r="I104" s="10"/>
    </row>
    <row r="105" spans="1:9" ht="34.5" customHeight="1" x14ac:dyDescent="0.2">
      <c r="A105" s="61"/>
      <c r="B105" s="59" t="s">
        <v>36</v>
      </c>
      <c r="C105" s="60">
        <v>1</v>
      </c>
      <c r="D105" s="12" t="s">
        <v>10</v>
      </c>
      <c r="E105" s="9"/>
      <c r="F105" s="76"/>
      <c r="G105" s="22"/>
      <c r="H105" s="9"/>
      <c r="I105" s="9"/>
    </row>
    <row r="106" spans="1:9" ht="34.5" customHeight="1" x14ac:dyDescent="0.2">
      <c r="B106" s="56"/>
      <c r="C106" s="57"/>
      <c r="D106" s="58" t="s">
        <v>33</v>
      </c>
      <c r="E106" s="49"/>
      <c r="F106" s="77"/>
      <c r="G106" s="82"/>
      <c r="H106" s="49"/>
      <c r="I106" s="49"/>
    </row>
    <row r="107" spans="1:9" ht="34.5" customHeight="1" thickBot="1" x14ac:dyDescent="0.25">
      <c r="B107" s="13"/>
      <c r="C107" s="15"/>
      <c r="D107" s="16" t="s">
        <v>11</v>
      </c>
      <c r="E107" s="10"/>
      <c r="F107" s="78"/>
      <c r="G107" s="23"/>
      <c r="H107" s="10"/>
      <c r="I107" s="10"/>
    </row>
    <row r="108" spans="1:9" ht="34.5" customHeight="1" x14ac:dyDescent="0.2">
      <c r="B108" s="59" t="s">
        <v>36</v>
      </c>
      <c r="C108" s="60">
        <v>2</v>
      </c>
      <c r="D108" s="12" t="s">
        <v>10</v>
      </c>
      <c r="E108" s="9"/>
      <c r="F108" s="76"/>
      <c r="G108" s="22"/>
      <c r="H108" s="9"/>
      <c r="I108" s="9"/>
    </row>
    <row r="109" spans="1:9" ht="34.5" customHeight="1" x14ac:dyDescent="0.2">
      <c r="B109" s="56"/>
      <c r="C109" s="57"/>
      <c r="D109" s="58" t="s">
        <v>33</v>
      </c>
      <c r="E109" s="49"/>
      <c r="F109" s="77"/>
      <c r="G109" s="82"/>
      <c r="H109" s="49"/>
      <c r="I109" s="49"/>
    </row>
    <row r="110" spans="1:9" ht="34.5" customHeight="1" thickBot="1" x14ac:dyDescent="0.25">
      <c r="B110" s="13"/>
      <c r="C110" s="15"/>
      <c r="D110" s="16" t="s">
        <v>11</v>
      </c>
      <c r="E110" s="10"/>
      <c r="F110" s="78"/>
      <c r="G110" s="23"/>
      <c r="H110" s="10"/>
      <c r="I110" s="10"/>
    </row>
    <row r="111" spans="1:9" ht="34.5" customHeight="1" x14ac:dyDescent="0.2">
      <c r="B111" s="59" t="s">
        <v>36</v>
      </c>
      <c r="C111" s="60">
        <v>3</v>
      </c>
      <c r="D111" s="12" t="s">
        <v>10</v>
      </c>
      <c r="E111" s="9"/>
      <c r="F111" s="76"/>
      <c r="G111" s="22"/>
      <c r="H111" s="9"/>
      <c r="I111" s="9"/>
    </row>
    <row r="112" spans="1:9" ht="34.5" customHeight="1" x14ac:dyDescent="0.2">
      <c r="B112" s="56"/>
      <c r="C112" s="57"/>
      <c r="D112" s="58" t="s">
        <v>33</v>
      </c>
      <c r="E112" s="49"/>
      <c r="F112" s="77"/>
      <c r="G112" s="82"/>
      <c r="H112" s="49"/>
      <c r="I112" s="49"/>
    </row>
    <row r="113" spans="1:9" ht="34.5" customHeight="1" thickBot="1" x14ac:dyDescent="0.25">
      <c r="B113" s="13"/>
      <c r="C113" s="15"/>
      <c r="D113" s="16" t="s">
        <v>11</v>
      </c>
      <c r="E113" s="10"/>
      <c r="F113" s="78"/>
      <c r="G113" s="23"/>
      <c r="H113" s="10"/>
      <c r="I113" s="10"/>
    </row>
    <row r="114" spans="1:9" ht="34.5" customHeight="1" x14ac:dyDescent="0.2">
      <c r="B114" s="59" t="s">
        <v>36</v>
      </c>
      <c r="C114" s="60">
        <v>4</v>
      </c>
      <c r="D114" s="12" t="s">
        <v>10</v>
      </c>
      <c r="E114" s="9"/>
      <c r="F114" s="76"/>
      <c r="G114" s="22"/>
      <c r="H114" s="9"/>
      <c r="I114" s="9"/>
    </row>
    <row r="115" spans="1:9" ht="34.5" customHeight="1" x14ac:dyDescent="0.2">
      <c r="B115" s="56"/>
      <c r="C115" s="57"/>
      <c r="D115" s="58" t="s">
        <v>33</v>
      </c>
      <c r="E115" s="49"/>
      <c r="F115" s="77"/>
      <c r="G115" s="82"/>
      <c r="H115" s="49"/>
      <c r="I115" s="49"/>
    </row>
    <row r="116" spans="1:9" ht="34.5" customHeight="1" thickBot="1" x14ac:dyDescent="0.25">
      <c r="B116" s="13"/>
      <c r="C116" s="15"/>
      <c r="D116" s="16" t="s">
        <v>11</v>
      </c>
      <c r="E116" s="10"/>
      <c r="F116" s="78"/>
      <c r="G116" s="23"/>
      <c r="H116" s="10"/>
      <c r="I116" s="10"/>
    </row>
    <row r="117" spans="1:9" ht="34.5" customHeight="1" x14ac:dyDescent="0.2">
      <c r="A117" s="61"/>
      <c r="B117" s="59" t="s">
        <v>37</v>
      </c>
      <c r="C117" s="60">
        <v>4</v>
      </c>
      <c r="D117" s="12" t="s">
        <v>11</v>
      </c>
      <c r="E117" s="9"/>
      <c r="F117" s="76"/>
      <c r="G117" s="22"/>
      <c r="H117" s="9"/>
      <c r="I117" s="9"/>
    </row>
    <row r="118" spans="1:9" ht="34.5" customHeight="1" x14ac:dyDescent="0.2">
      <c r="B118" s="56"/>
      <c r="C118" s="57"/>
      <c r="D118" s="58" t="s">
        <v>33</v>
      </c>
      <c r="E118" s="49"/>
      <c r="F118" s="77"/>
      <c r="G118" s="82"/>
      <c r="H118" s="49"/>
      <c r="I118" s="49"/>
    </row>
    <row r="119" spans="1:9" ht="34.5" customHeight="1" thickBot="1" x14ac:dyDescent="0.25">
      <c r="B119" s="13"/>
      <c r="C119" s="15"/>
      <c r="D119" s="16" t="s">
        <v>10</v>
      </c>
      <c r="E119" s="10"/>
      <c r="F119" s="78"/>
      <c r="G119" s="23"/>
      <c r="H119" s="10"/>
      <c r="I119" s="10"/>
    </row>
    <row r="120" spans="1:9" ht="34.5" customHeight="1" x14ac:dyDescent="0.2">
      <c r="B120" s="59" t="s">
        <v>37</v>
      </c>
      <c r="C120" s="60">
        <v>3</v>
      </c>
      <c r="D120" s="12" t="s">
        <v>11</v>
      </c>
      <c r="E120" s="9"/>
      <c r="F120" s="76"/>
      <c r="G120" s="22"/>
      <c r="H120" s="9"/>
      <c r="I120" s="9"/>
    </row>
    <row r="121" spans="1:9" ht="34.5" customHeight="1" x14ac:dyDescent="0.2">
      <c r="B121" s="56"/>
      <c r="C121" s="57"/>
      <c r="D121" s="58" t="s">
        <v>33</v>
      </c>
      <c r="E121" s="49"/>
      <c r="F121" s="77"/>
      <c r="G121" s="82"/>
      <c r="H121" s="49"/>
      <c r="I121" s="49"/>
    </row>
    <row r="122" spans="1:9" ht="34.5" customHeight="1" thickBot="1" x14ac:dyDescent="0.25">
      <c r="B122" s="13"/>
      <c r="C122" s="15"/>
      <c r="D122" s="16" t="s">
        <v>10</v>
      </c>
      <c r="E122" s="10"/>
      <c r="F122" s="78"/>
      <c r="G122" s="23"/>
      <c r="H122" s="10"/>
      <c r="I122" s="10"/>
    </row>
    <row r="123" spans="1:9" ht="34.5" customHeight="1" x14ac:dyDescent="0.2">
      <c r="B123" s="59" t="s">
        <v>37</v>
      </c>
      <c r="C123" s="60">
        <v>2</v>
      </c>
      <c r="D123" s="12" t="s">
        <v>11</v>
      </c>
      <c r="E123" s="9"/>
      <c r="F123" s="76"/>
      <c r="G123" s="22"/>
      <c r="H123" s="9"/>
      <c r="I123" s="9"/>
    </row>
    <row r="124" spans="1:9" ht="34.5" customHeight="1" x14ac:dyDescent="0.2">
      <c r="B124" s="56"/>
      <c r="C124" s="57"/>
      <c r="D124" s="58" t="s">
        <v>33</v>
      </c>
      <c r="E124" s="49"/>
      <c r="F124" s="77"/>
      <c r="G124" s="82"/>
      <c r="H124" s="49"/>
      <c r="I124" s="49"/>
    </row>
    <row r="125" spans="1:9" ht="34.5" customHeight="1" thickBot="1" x14ac:dyDescent="0.25">
      <c r="B125" s="13"/>
      <c r="C125" s="15"/>
      <c r="D125" s="16" t="s">
        <v>10</v>
      </c>
      <c r="E125" s="10"/>
      <c r="F125" s="78"/>
      <c r="G125" s="23"/>
      <c r="H125" s="10"/>
      <c r="I125" s="10"/>
    </row>
    <row r="126" spans="1:9" ht="34.5" customHeight="1" x14ac:dyDescent="0.2">
      <c r="B126" s="59" t="s">
        <v>37</v>
      </c>
      <c r="C126" s="60">
        <v>1</v>
      </c>
      <c r="D126" s="12" t="s">
        <v>11</v>
      </c>
      <c r="E126" s="9"/>
      <c r="F126" s="76"/>
      <c r="G126" s="22"/>
      <c r="H126" s="9"/>
      <c r="I126" s="9"/>
    </row>
    <row r="127" spans="1:9" ht="34.5" customHeight="1" x14ac:dyDescent="0.2">
      <c r="B127" s="56"/>
      <c r="C127" s="57"/>
      <c r="D127" s="58" t="s">
        <v>33</v>
      </c>
      <c r="E127" s="49"/>
      <c r="F127" s="77"/>
      <c r="G127" s="82"/>
      <c r="H127" s="49"/>
      <c r="I127" s="49"/>
    </row>
    <row r="128" spans="1:9" ht="34.5" customHeight="1" thickBot="1" x14ac:dyDescent="0.25">
      <c r="B128" s="13"/>
      <c r="C128" s="15"/>
      <c r="D128" s="16" t="s">
        <v>10</v>
      </c>
      <c r="E128" s="10"/>
      <c r="F128" s="78"/>
      <c r="G128" s="23"/>
      <c r="H128" s="10"/>
      <c r="I128" s="10"/>
    </row>
    <row r="129" spans="1:9" ht="34.5" customHeight="1" x14ac:dyDescent="0.2">
      <c r="A129" s="61"/>
      <c r="B129" s="59" t="s">
        <v>38</v>
      </c>
      <c r="C129" s="60">
        <v>1</v>
      </c>
      <c r="D129" s="12" t="s">
        <v>10</v>
      </c>
      <c r="E129" s="9"/>
      <c r="F129" s="76"/>
      <c r="G129" s="22"/>
      <c r="H129" s="9"/>
      <c r="I129" s="9"/>
    </row>
    <row r="130" spans="1:9" ht="34.5" customHeight="1" x14ac:dyDescent="0.2">
      <c r="B130" s="56"/>
      <c r="C130" s="57"/>
      <c r="D130" s="58" t="s">
        <v>33</v>
      </c>
      <c r="E130" s="49"/>
      <c r="F130" s="77"/>
      <c r="G130" s="82"/>
      <c r="H130" s="49"/>
      <c r="I130" s="49"/>
    </row>
    <row r="131" spans="1:9" ht="34.5" customHeight="1" thickBot="1" x14ac:dyDescent="0.25">
      <c r="B131" s="13"/>
      <c r="C131" s="15"/>
      <c r="D131" s="16" t="s">
        <v>11</v>
      </c>
      <c r="E131" s="10"/>
      <c r="F131" s="78"/>
      <c r="G131" s="23"/>
      <c r="H131" s="10"/>
      <c r="I131" s="10"/>
    </row>
    <row r="132" spans="1:9" ht="34.5" customHeight="1" x14ac:dyDescent="0.2">
      <c r="B132" s="59" t="s">
        <v>38</v>
      </c>
      <c r="C132" s="60">
        <v>2</v>
      </c>
      <c r="D132" s="12" t="s">
        <v>10</v>
      </c>
      <c r="E132" s="9"/>
      <c r="F132" s="76"/>
      <c r="G132" s="22"/>
      <c r="H132" s="9"/>
      <c r="I132" s="9"/>
    </row>
    <row r="133" spans="1:9" ht="34.5" customHeight="1" x14ac:dyDescent="0.2">
      <c r="B133" s="56"/>
      <c r="C133" s="57"/>
      <c r="D133" s="58" t="s">
        <v>33</v>
      </c>
      <c r="E133" s="49"/>
      <c r="F133" s="77"/>
      <c r="G133" s="82"/>
      <c r="H133" s="49"/>
      <c r="I133" s="49"/>
    </row>
    <row r="134" spans="1:9" ht="34.5" customHeight="1" thickBot="1" x14ac:dyDescent="0.25">
      <c r="B134" s="13"/>
      <c r="C134" s="15"/>
      <c r="D134" s="16" t="s">
        <v>11</v>
      </c>
      <c r="E134" s="10"/>
      <c r="F134" s="78"/>
      <c r="G134" s="23"/>
      <c r="H134" s="10"/>
      <c r="I134" s="10"/>
    </row>
    <row r="135" spans="1:9" ht="34.5" customHeight="1" x14ac:dyDescent="0.2">
      <c r="B135" s="59" t="s">
        <v>38</v>
      </c>
      <c r="C135" s="60">
        <v>3</v>
      </c>
      <c r="D135" s="12" t="s">
        <v>10</v>
      </c>
      <c r="E135" s="9"/>
      <c r="F135" s="76"/>
      <c r="G135" s="22"/>
      <c r="H135" s="9"/>
      <c r="I135" s="9"/>
    </row>
    <row r="136" spans="1:9" ht="34.5" customHeight="1" x14ac:dyDescent="0.2">
      <c r="B136" s="56"/>
      <c r="C136" s="57"/>
      <c r="D136" s="58" t="s">
        <v>33</v>
      </c>
      <c r="E136" s="49"/>
      <c r="F136" s="77"/>
      <c r="G136" s="82"/>
      <c r="H136" s="49"/>
      <c r="I136" s="49"/>
    </row>
    <row r="137" spans="1:9" ht="34.5" customHeight="1" thickBot="1" x14ac:dyDescent="0.25">
      <c r="B137" s="13"/>
      <c r="C137" s="15"/>
      <c r="D137" s="16" t="s">
        <v>11</v>
      </c>
      <c r="E137" s="10"/>
      <c r="F137" s="78"/>
      <c r="G137" s="23"/>
      <c r="H137" s="10"/>
      <c r="I137" s="10"/>
    </row>
    <row r="138" spans="1:9" ht="34.5" customHeight="1" x14ac:dyDescent="0.2">
      <c r="B138" s="59" t="s">
        <v>38</v>
      </c>
      <c r="C138" s="60">
        <v>4</v>
      </c>
      <c r="D138" s="12" t="s">
        <v>10</v>
      </c>
      <c r="E138" s="9"/>
      <c r="F138" s="76"/>
      <c r="G138" s="22"/>
      <c r="H138" s="9"/>
      <c r="I138" s="9"/>
    </row>
    <row r="139" spans="1:9" ht="34.5" customHeight="1" x14ac:dyDescent="0.2">
      <c r="B139" s="56"/>
      <c r="C139" s="57"/>
      <c r="D139" s="58" t="s">
        <v>33</v>
      </c>
      <c r="E139" s="49"/>
      <c r="F139" s="77"/>
      <c r="G139" s="82"/>
      <c r="H139" s="49"/>
      <c r="I139" s="49"/>
    </row>
    <row r="140" spans="1:9" ht="34.5" customHeight="1" thickBot="1" x14ac:dyDescent="0.25">
      <c r="B140" s="13"/>
      <c r="C140" s="15"/>
      <c r="D140" s="16" t="s">
        <v>11</v>
      </c>
      <c r="E140" s="10"/>
      <c r="F140" s="78"/>
      <c r="G140" s="23"/>
      <c r="H140" s="10"/>
      <c r="I140" s="10"/>
    </row>
    <row r="141" spans="1:9" ht="34.5" customHeight="1" x14ac:dyDescent="0.2">
      <c r="A141" s="61"/>
      <c r="B141" s="59" t="s">
        <v>39</v>
      </c>
      <c r="C141" s="60">
        <v>4</v>
      </c>
      <c r="D141" s="12" t="s">
        <v>11</v>
      </c>
      <c r="E141" s="9"/>
      <c r="F141" s="76"/>
      <c r="G141" s="22"/>
      <c r="H141" s="9"/>
      <c r="I141" s="9"/>
    </row>
    <row r="142" spans="1:9" ht="34.5" customHeight="1" x14ac:dyDescent="0.2">
      <c r="B142" s="56"/>
      <c r="C142" s="57"/>
      <c r="D142" s="58" t="s">
        <v>33</v>
      </c>
      <c r="E142" s="49"/>
      <c r="F142" s="77"/>
      <c r="G142" s="82"/>
      <c r="H142" s="49"/>
      <c r="I142" s="49"/>
    </row>
    <row r="143" spans="1:9" ht="34.5" customHeight="1" thickBot="1" x14ac:dyDescent="0.25">
      <c r="B143" s="13"/>
      <c r="C143" s="15"/>
      <c r="D143" s="16" t="s">
        <v>10</v>
      </c>
      <c r="E143" s="10"/>
      <c r="F143" s="78"/>
      <c r="G143" s="23"/>
      <c r="H143" s="10"/>
      <c r="I143" s="10"/>
    </row>
    <row r="144" spans="1:9" ht="34.5" customHeight="1" x14ac:dyDescent="0.2">
      <c r="B144" s="59" t="s">
        <v>39</v>
      </c>
      <c r="C144" s="60">
        <v>3</v>
      </c>
      <c r="D144" s="12" t="s">
        <v>11</v>
      </c>
      <c r="E144" s="9"/>
      <c r="F144" s="76"/>
      <c r="G144" s="22"/>
      <c r="H144" s="9"/>
      <c r="I144" s="9"/>
    </row>
    <row r="145" spans="1:9" ht="34.5" customHeight="1" x14ac:dyDescent="0.2">
      <c r="B145" s="56"/>
      <c r="C145" s="57"/>
      <c r="D145" s="58" t="s">
        <v>33</v>
      </c>
      <c r="E145" s="49"/>
      <c r="F145" s="77"/>
      <c r="G145" s="82"/>
      <c r="H145" s="49"/>
      <c r="I145" s="49"/>
    </row>
    <row r="146" spans="1:9" ht="34.5" customHeight="1" thickBot="1" x14ac:dyDescent="0.25">
      <c r="B146" s="13"/>
      <c r="C146" s="15"/>
      <c r="D146" s="16" t="s">
        <v>10</v>
      </c>
      <c r="E146" s="10"/>
      <c r="F146" s="78"/>
      <c r="G146" s="23"/>
      <c r="H146" s="10"/>
      <c r="I146" s="10"/>
    </row>
    <row r="147" spans="1:9" ht="34.5" customHeight="1" x14ac:dyDescent="0.2">
      <c r="B147" s="59" t="s">
        <v>39</v>
      </c>
      <c r="C147" s="60">
        <v>2</v>
      </c>
      <c r="D147" s="12" t="s">
        <v>11</v>
      </c>
      <c r="E147" s="9"/>
      <c r="F147" s="76"/>
      <c r="G147" s="22"/>
      <c r="H147" s="9"/>
      <c r="I147" s="9"/>
    </row>
    <row r="148" spans="1:9" ht="34.5" customHeight="1" x14ac:dyDescent="0.2">
      <c r="B148" s="56"/>
      <c r="C148" s="57"/>
      <c r="D148" s="58" t="s">
        <v>33</v>
      </c>
      <c r="E148" s="49"/>
      <c r="F148" s="77"/>
      <c r="G148" s="82"/>
      <c r="H148" s="49"/>
      <c r="I148" s="49"/>
    </row>
    <row r="149" spans="1:9" ht="34.5" customHeight="1" thickBot="1" x14ac:dyDescent="0.25">
      <c r="B149" s="13"/>
      <c r="C149" s="15"/>
      <c r="D149" s="16" t="s">
        <v>10</v>
      </c>
      <c r="E149" s="10"/>
      <c r="F149" s="78"/>
      <c r="G149" s="23"/>
      <c r="H149" s="10"/>
      <c r="I149" s="10"/>
    </row>
    <row r="150" spans="1:9" ht="34.5" customHeight="1" x14ac:dyDescent="0.2">
      <c r="B150" s="59" t="s">
        <v>39</v>
      </c>
      <c r="C150" s="60">
        <v>1</v>
      </c>
      <c r="D150" s="12" t="s">
        <v>11</v>
      </c>
      <c r="E150" s="9"/>
      <c r="F150" s="76"/>
      <c r="G150" s="22"/>
      <c r="H150" s="9"/>
      <c r="I150" s="9"/>
    </row>
    <row r="151" spans="1:9" ht="34.5" customHeight="1" x14ac:dyDescent="0.2">
      <c r="B151" s="56"/>
      <c r="C151" s="57"/>
      <c r="D151" s="58" t="s">
        <v>33</v>
      </c>
      <c r="E151" s="49"/>
      <c r="F151" s="77"/>
      <c r="G151" s="82"/>
      <c r="H151" s="49"/>
      <c r="I151" s="49"/>
    </row>
    <row r="152" spans="1:9" ht="34.5" customHeight="1" thickBot="1" x14ac:dyDescent="0.25">
      <c r="A152" s="62"/>
      <c r="B152" s="13"/>
      <c r="C152" s="15"/>
      <c r="D152" s="16" t="s">
        <v>10</v>
      </c>
      <c r="E152" s="10"/>
      <c r="F152" s="78"/>
      <c r="G152" s="23"/>
      <c r="H152" s="10"/>
      <c r="I152" s="10"/>
    </row>
  </sheetData>
  <mergeCells count="2">
    <mergeCell ref="B7:H7"/>
    <mergeCell ref="B8:C8"/>
  </mergeCells>
  <printOptions horizontalCentered="1" verticalCentered="1"/>
  <pageMargins left="0.2" right="0.2" top="0.25" bottom="0.25" header="0" footer="0"/>
  <pageSetup scale="73" fitToHeight="6" pageOrder="overThenDown" orientation="portrait" r:id="rId1"/>
  <headerFooter>
    <oddFooter>&amp;R&amp;8&amp;D&amp;   &amp;Z&amp;F&amp;' page &amp;P&amp;' o&amp;Of &amp;N</oddFooter>
  </headerFooter>
  <rowBreaks count="5" manualBreakCount="5">
    <brk id="32" max="9" man="1"/>
    <brk id="56" max="9" man="1"/>
    <brk id="80" max="9" man="1"/>
    <brk id="104" max="9" man="1"/>
    <brk id="128"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6"/>
  <sheetViews>
    <sheetView zoomScale="115" zoomScaleNormal="115" zoomScaleSheetLayoutView="70" workbookViewId="0"/>
  </sheetViews>
  <sheetFormatPr defaultRowHeight="12.75" x14ac:dyDescent="0.2"/>
  <cols>
    <col min="1" max="1" width="10.5703125" customWidth="1"/>
    <col min="2" max="2" width="4.7109375" style="1" customWidth="1"/>
    <col min="3" max="3" width="2.7109375" style="2" customWidth="1"/>
    <col min="4" max="4" width="5.140625" style="2" customWidth="1"/>
    <col min="5" max="5" width="6" style="40" customWidth="1"/>
    <col min="6" max="6" width="6.42578125" style="40" customWidth="1"/>
    <col min="7" max="18" width="11.140625" customWidth="1"/>
  </cols>
  <sheetData>
    <row r="1" spans="1:18" ht="15.75" x14ac:dyDescent="0.25">
      <c r="A1" s="6" t="s">
        <v>18</v>
      </c>
      <c r="B1" s="26">
        <v>2022</v>
      </c>
      <c r="C1" s="27"/>
      <c r="D1" s="8" t="s">
        <v>24</v>
      </c>
      <c r="E1" s="41"/>
      <c r="F1" s="41"/>
      <c r="G1" s="8" t="s">
        <v>6</v>
      </c>
      <c r="H1" s="8"/>
    </row>
    <row r="2" spans="1:18" ht="14.45" customHeight="1" x14ac:dyDescent="0.25">
      <c r="A2" s="6"/>
      <c r="B2" s="7"/>
      <c r="C2" s="8"/>
      <c r="D2" s="8"/>
      <c r="E2" s="41"/>
      <c r="F2" s="41"/>
    </row>
    <row r="3" spans="1:18" ht="15" x14ac:dyDescent="0.25">
      <c r="B3" s="28" t="s">
        <v>19</v>
      </c>
    </row>
    <row r="4" spans="1:18" ht="7.9" customHeight="1" x14ac:dyDescent="0.2">
      <c r="B4" s="5"/>
      <c r="N4" s="4"/>
      <c r="O4" s="4"/>
      <c r="P4" s="4"/>
      <c r="Q4" s="4"/>
      <c r="R4" s="4"/>
    </row>
    <row r="5" spans="1:18" x14ac:dyDescent="0.2">
      <c r="B5" s="2"/>
      <c r="N5" s="4"/>
      <c r="O5" s="4"/>
      <c r="P5" s="4"/>
      <c r="Q5" s="4"/>
      <c r="R5" s="4"/>
    </row>
    <row r="6" spans="1:18" x14ac:dyDescent="0.2">
      <c r="B6" s="2"/>
      <c r="N6" s="4"/>
      <c r="O6" s="4"/>
      <c r="P6" s="4"/>
      <c r="Q6" s="4"/>
      <c r="R6" s="4"/>
    </row>
    <row r="7" spans="1:18" ht="12" customHeight="1" x14ac:dyDescent="0.2">
      <c r="B7" s="2"/>
      <c r="I7" s="50"/>
      <c r="J7" s="37"/>
      <c r="N7" s="4"/>
      <c r="O7" s="4"/>
      <c r="P7" s="50"/>
      <c r="Q7" s="50"/>
      <c r="R7" s="50"/>
    </row>
    <row r="8" spans="1:18" s="35" customFormat="1" x14ac:dyDescent="0.2">
      <c r="D8" s="43" t="s">
        <v>25</v>
      </c>
      <c r="G8" s="35" t="s">
        <v>51</v>
      </c>
      <c r="H8" s="35" t="s">
        <v>51</v>
      </c>
      <c r="I8" s="35" t="s">
        <v>51</v>
      </c>
      <c r="J8" s="35" t="s">
        <v>51</v>
      </c>
      <c r="K8" s="35" t="s">
        <v>51</v>
      </c>
      <c r="L8" s="35" t="s">
        <v>51</v>
      </c>
      <c r="M8" s="35" t="s">
        <v>51</v>
      </c>
      <c r="N8" s="35" t="s">
        <v>51</v>
      </c>
      <c r="O8" s="35" t="s">
        <v>51</v>
      </c>
      <c r="P8" s="35" t="s">
        <v>51</v>
      </c>
      <c r="Q8" s="35" t="s">
        <v>51</v>
      </c>
      <c r="R8" s="35" t="s">
        <v>51</v>
      </c>
    </row>
    <row r="9" spans="1:18" ht="25.5" x14ac:dyDescent="0.2">
      <c r="B9" s="2"/>
      <c r="D9" s="43" t="s">
        <v>26</v>
      </c>
      <c r="G9" s="21">
        <v>44713</v>
      </c>
      <c r="H9" s="21">
        <v>44718</v>
      </c>
      <c r="I9" s="21">
        <v>44725</v>
      </c>
      <c r="J9" s="21">
        <v>44739</v>
      </c>
      <c r="K9" s="21">
        <v>44747</v>
      </c>
      <c r="L9" s="21">
        <v>44753</v>
      </c>
      <c r="M9" s="21">
        <v>44767</v>
      </c>
      <c r="N9" s="21">
        <v>44781</v>
      </c>
      <c r="O9" s="21">
        <v>44788</v>
      </c>
      <c r="P9" s="21" t="s">
        <v>64</v>
      </c>
      <c r="Q9" s="21">
        <v>44802</v>
      </c>
      <c r="R9" s="21">
        <v>44812</v>
      </c>
    </row>
    <row r="10" spans="1:18" ht="15.6" customHeight="1" x14ac:dyDescent="0.2">
      <c r="A10" t="s">
        <v>31</v>
      </c>
      <c r="B10" s="5"/>
      <c r="D10" s="43" t="s">
        <v>28</v>
      </c>
      <c r="G10" s="17">
        <v>152</v>
      </c>
      <c r="H10" s="17">
        <v>157</v>
      </c>
      <c r="I10" s="17">
        <v>164</v>
      </c>
      <c r="J10" s="17">
        <v>178</v>
      </c>
      <c r="K10" s="17">
        <v>186</v>
      </c>
      <c r="L10" s="17">
        <v>192</v>
      </c>
      <c r="M10" s="17">
        <v>206</v>
      </c>
      <c r="N10" s="17">
        <v>220</v>
      </c>
      <c r="O10" s="17">
        <v>227</v>
      </c>
      <c r="P10" s="17" t="s">
        <v>65</v>
      </c>
      <c r="Q10" s="17">
        <v>241</v>
      </c>
      <c r="R10" s="17">
        <v>251</v>
      </c>
    </row>
    <row r="11" spans="1:18" s="52" customFormat="1" ht="22.15" customHeight="1" x14ac:dyDescent="0.2">
      <c r="B11" s="33"/>
      <c r="D11" s="51" t="s">
        <v>27</v>
      </c>
      <c r="E11" s="51"/>
      <c r="F11" s="51"/>
      <c r="G11" s="53" t="s">
        <v>52</v>
      </c>
      <c r="H11" s="24" t="s">
        <v>53</v>
      </c>
      <c r="I11" s="53" t="s">
        <v>60</v>
      </c>
      <c r="J11" s="53" t="s">
        <v>54</v>
      </c>
      <c r="K11" s="53" t="s">
        <v>55</v>
      </c>
      <c r="L11" s="53" t="s">
        <v>62</v>
      </c>
      <c r="M11" s="53" t="s">
        <v>57</v>
      </c>
      <c r="N11" s="53" t="s">
        <v>61</v>
      </c>
      <c r="O11" s="53" t="s">
        <v>66</v>
      </c>
      <c r="P11" s="36"/>
      <c r="Q11" s="36" t="s">
        <v>59</v>
      </c>
      <c r="R11" s="36" t="s">
        <v>54</v>
      </c>
    </row>
    <row r="12" spans="1:18" ht="20.45" customHeight="1" thickBot="1" x14ac:dyDescent="0.25">
      <c r="B12" s="117" t="s">
        <v>7</v>
      </c>
      <c r="C12" s="117"/>
      <c r="D12" s="17" t="s">
        <v>12</v>
      </c>
      <c r="E12" s="92" t="s">
        <v>23</v>
      </c>
      <c r="F12" s="92" t="s">
        <v>40</v>
      </c>
      <c r="G12" s="17" t="s">
        <v>20</v>
      </c>
      <c r="H12" s="17" t="s">
        <v>20</v>
      </c>
      <c r="I12" s="17" t="s">
        <v>20</v>
      </c>
      <c r="J12" s="17" t="s">
        <v>20</v>
      </c>
      <c r="K12" s="17" t="s">
        <v>20</v>
      </c>
      <c r="L12" s="17" t="s">
        <v>20</v>
      </c>
      <c r="M12" s="17" t="s">
        <v>20</v>
      </c>
      <c r="N12" s="17" t="s">
        <v>20</v>
      </c>
      <c r="O12" s="17" t="s">
        <v>20</v>
      </c>
      <c r="P12" s="17" t="s">
        <v>20</v>
      </c>
      <c r="Q12" s="17" t="s">
        <v>20</v>
      </c>
      <c r="R12" s="17" t="s">
        <v>20</v>
      </c>
    </row>
    <row r="13" spans="1:18" ht="19.899999999999999" customHeight="1" x14ac:dyDescent="0.2">
      <c r="A13" s="29"/>
      <c r="B13" s="11" t="s">
        <v>0</v>
      </c>
      <c r="C13" s="14">
        <v>1</v>
      </c>
      <c r="D13" s="12" t="s">
        <v>10</v>
      </c>
      <c r="E13" s="89" t="s">
        <v>42</v>
      </c>
      <c r="F13" s="93" t="s">
        <v>41</v>
      </c>
      <c r="G13" s="30">
        <v>7</v>
      </c>
      <c r="H13" s="9">
        <v>13</v>
      </c>
      <c r="I13" s="9">
        <v>23</v>
      </c>
      <c r="J13" s="22">
        <v>43</v>
      </c>
      <c r="K13" s="9">
        <v>58</v>
      </c>
      <c r="L13" s="9">
        <v>70</v>
      </c>
      <c r="M13" s="9">
        <v>85</v>
      </c>
      <c r="N13" s="9">
        <v>83</v>
      </c>
      <c r="O13" s="38">
        <v>84</v>
      </c>
      <c r="P13" s="38">
        <v>85</v>
      </c>
      <c r="Q13" s="30">
        <v>82</v>
      </c>
      <c r="R13" s="54">
        <v>87</v>
      </c>
    </row>
    <row r="14" spans="1:18" ht="19.899999999999999" customHeight="1" x14ac:dyDescent="0.2">
      <c r="A14" s="29"/>
      <c r="B14" s="56"/>
      <c r="C14" s="57"/>
      <c r="D14" s="58" t="s">
        <v>33</v>
      </c>
      <c r="E14" s="90" t="s">
        <v>42</v>
      </c>
      <c r="F14" s="94" t="s">
        <v>41</v>
      </c>
      <c r="G14" s="86">
        <v>7</v>
      </c>
      <c r="H14" s="49">
        <v>13</v>
      </c>
      <c r="I14" s="49">
        <v>21</v>
      </c>
      <c r="J14" s="82">
        <v>44</v>
      </c>
      <c r="K14" s="49">
        <v>68</v>
      </c>
      <c r="L14" s="49">
        <v>76</v>
      </c>
      <c r="M14" s="49">
        <v>81</v>
      </c>
      <c r="N14" s="49">
        <v>102</v>
      </c>
      <c r="O14" s="87">
        <v>106</v>
      </c>
      <c r="P14" s="87">
        <v>110</v>
      </c>
      <c r="Q14" s="86">
        <v>112</v>
      </c>
      <c r="R14" s="88">
        <v>113</v>
      </c>
    </row>
    <row r="15" spans="1:18" ht="19.899999999999999" customHeight="1" thickBot="1" x14ac:dyDescent="0.25">
      <c r="A15" s="29"/>
      <c r="B15" s="13"/>
      <c r="C15" s="15"/>
      <c r="D15" s="16" t="s">
        <v>11</v>
      </c>
      <c r="E15" s="91" t="s">
        <v>42</v>
      </c>
      <c r="F15" s="95" t="s">
        <v>41</v>
      </c>
      <c r="G15" s="31">
        <v>5</v>
      </c>
      <c r="H15" s="10">
        <v>11</v>
      </c>
      <c r="I15" s="10">
        <v>23</v>
      </c>
      <c r="J15" s="23">
        <v>46</v>
      </c>
      <c r="K15" s="10">
        <v>61</v>
      </c>
      <c r="L15" s="10">
        <v>70</v>
      </c>
      <c r="M15" s="10">
        <v>85</v>
      </c>
      <c r="N15" s="10">
        <v>102</v>
      </c>
      <c r="O15" s="23">
        <v>108</v>
      </c>
      <c r="P15" s="23">
        <v>113</v>
      </c>
      <c r="Q15" s="31">
        <v>115</v>
      </c>
      <c r="R15" s="31">
        <v>122</v>
      </c>
    </row>
    <row r="16" spans="1:18" ht="19.899999999999999" customHeight="1" x14ac:dyDescent="0.2">
      <c r="A16" s="29"/>
      <c r="B16" s="11" t="s">
        <v>0</v>
      </c>
      <c r="C16" s="14">
        <v>2</v>
      </c>
      <c r="D16" s="12" t="s">
        <v>10</v>
      </c>
      <c r="E16" s="89" t="s">
        <v>44</v>
      </c>
      <c r="F16" s="93" t="s">
        <v>41</v>
      </c>
      <c r="G16" s="30">
        <v>6</v>
      </c>
      <c r="H16" s="9">
        <v>13</v>
      </c>
      <c r="I16" s="9">
        <v>20</v>
      </c>
      <c r="J16" s="22">
        <v>40</v>
      </c>
      <c r="K16" s="9">
        <v>52</v>
      </c>
      <c r="L16" s="9">
        <v>53</v>
      </c>
      <c r="M16" s="9">
        <v>58</v>
      </c>
      <c r="N16" s="9">
        <v>74</v>
      </c>
      <c r="O16" s="22">
        <v>78</v>
      </c>
      <c r="P16" s="22">
        <v>80</v>
      </c>
      <c r="Q16" s="30">
        <v>81</v>
      </c>
      <c r="R16" s="30">
        <v>74</v>
      </c>
    </row>
    <row r="17" spans="1:18" ht="19.899999999999999" customHeight="1" x14ac:dyDescent="0.2">
      <c r="A17" s="29"/>
      <c r="B17" s="56"/>
      <c r="C17" s="57"/>
      <c r="D17" s="58" t="s">
        <v>33</v>
      </c>
      <c r="E17" s="90" t="s">
        <v>44</v>
      </c>
      <c r="F17" s="94" t="s">
        <v>41</v>
      </c>
      <c r="G17" s="86">
        <v>5</v>
      </c>
      <c r="H17" s="49">
        <v>11</v>
      </c>
      <c r="I17" s="49">
        <v>17</v>
      </c>
      <c r="J17" s="82">
        <v>37</v>
      </c>
      <c r="K17" s="49">
        <v>63</v>
      </c>
      <c r="L17" s="49">
        <v>69</v>
      </c>
      <c r="M17" s="49">
        <v>84</v>
      </c>
      <c r="N17" s="49">
        <v>103</v>
      </c>
      <c r="O17" s="82">
        <v>104</v>
      </c>
      <c r="P17" s="82">
        <v>106</v>
      </c>
      <c r="Q17" s="86">
        <v>102</v>
      </c>
      <c r="R17" s="86">
        <v>108</v>
      </c>
    </row>
    <row r="18" spans="1:18" ht="19.899999999999999" customHeight="1" thickBot="1" x14ac:dyDescent="0.25">
      <c r="A18" s="29"/>
      <c r="B18" s="13"/>
      <c r="C18" s="15"/>
      <c r="D18" s="16" t="s">
        <v>11</v>
      </c>
      <c r="E18" s="91" t="s">
        <v>44</v>
      </c>
      <c r="F18" s="95" t="s">
        <v>41</v>
      </c>
      <c r="G18" s="31">
        <v>6</v>
      </c>
      <c r="H18" s="10">
        <v>11</v>
      </c>
      <c r="I18" s="10">
        <v>16</v>
      </c>
      <c r="J18" s="23">
        <v>35</v>
      </c>
      <c r="K18" s="10">
        <v>56</v>
      </c>
      <c r="L18" s="10">
        <v>56</v>
      </c>
      <c r="M18" s="10">
        <v>59</v>
      </c>
      <c r="N18" s="10">
        <v>76</v>
      </c>
      <c r="O18" s="23">
        <v>75</v>
      </c>
      <c r="P18" s="23">
        <v>76</v>
      </c>
      <c r="Q18" s="31">
        <v>75</v>
      </c>
      <c r="R18" s="31">
        <v>77</v>
      </c>
    </row>
    <row r="19" spans="1:18" ht="19.899999999999999" customHeight="1" x14ac:dyDescent="0.2">
      <c r="A19" s="29"/>
      <c r="B19" s="11" t="s">
        <v>0</v>
      </c>
      <c r="C19" s="14">
        <v>3</v>
      </c>
      <c r="D19" s="12" t="s">
        <v>10</v>
      </c>
      <c r="E19" s="89" t="s">
        <v>45</v>
      </c>
      <c r="F19" s="93" t="s">
        <v>41</v>
      </c>
      <c r="G19" s="30">
        <v>6</v>
      </c>
      <c r="H19" s="9">
        <v>10</v>
      </c>
      <c r="I19" s="9">
        <v>14</v>
      </c>
      <c r="J19" s="22">
        <v>37</v>
      </c>
      <c r="K19" s="9">
        <v>53</v>
      </c>
      <c r="L19" s="9">
        <v>62</v>
      </c>
      <c r="M19" s="9">
        <v>77</v>
      </c>
      <c r="N19" s="9">
        <v>94</v>
      </c>
      <c r="O19" s="22">
        <v>93</v>
      </c>
      <c r="P19" s="22">
        <v>94</v>
      </c>
      <c r="Q19" s="30">
        <v>93</v>
      </c>
      <c r="R19" s="30">
        <v>87</v>
      </c>
    </row>
    <row r="20" spans="1:18" ht="19.899999999999999" customHeight="1" x14ac:dyDescent="0.2">
      <c r="A20" s="29"/>
      <c r="B20" s="56"/>
      <c r="C20" s="57"/>
      <c r="D20" s="58" t="s">
        <v>33</v>
      </c>
      <c r="E20" s="90" t="s">
        <v>45</v>
      </c>
      <c r="F20" s="94" t="s">
        <v>41</v>
      </c>
      <c r="G20" s="86">
        <v>6</v>
      </c>
      <c r="H20" s="49">
        <v>11</v>
      </c>
      <c r="I20" s="49">
        <v>16</v>
      </c>
      <c r="J20" s="82">
        <v>38</v>
      </c>
      <c r="K20" s="49">
        <v>60</v>
      </c>
      <c r="L20" s="49">
        <v>65</v>
      </c>
      <c r="M20" s="49">
        <v>79</v>
      </c>
      <c r="N20" s="49">
        <v>95</v>
      </c>
      <c r="O20" s="82">
        <v>97</v>
      </c>
      <c r="P20" s="82">
        <v>97</v>
      </c>
      <c r="Q20" s="86">
        <v>96</v>
      </c>
      <c r="R20" s="86">
        <v>95</v>
      </c>
    </row>
    <row r="21" spans="1:18" ht="19.899999999999999" customHeight="1" thickBot="1" x14ac:dyDescent="0.25">
      <c r="A21" s="29"/>
      <c r="B21" s="13"/>
      <c r="C21" s="15"/>
      <c r="D21" s="16" t="s">
        <v>11</v>
      </c>
      <c r="E21" s="91" t="s">
        <v>45</v>
      </c>
      <c r="F21" s="95" t="s">
        <v>41</v>
      </c>
      <c r="G21" s="31">
        <v>5</v>
      </c>
      <c r="H21" s="10">
        <v>9</v>
      </c>
      <c r="I21" s="10">
        <v>16</v>
      </c>
      <c r="J21" s="23">
        <v>35</v>
      </c>
      <c r="K21" s="10">
        <v>46</v>
      </c>
      <c r="L21" s="10">
        <v>49</v>
      </c>
      <c r="M21" s="10">
        <v>59</v>
      </c>
      <c r="N21" s="10">
        <v>62</v>
      </c>
      <c r="O21" s="23">
        <v>65</v>
      </c>
      <c r="P21" s="23">
        <v>67</v>
      </c>
      <c r="Q21" s="31">
        <v>68</v>
      </c>
      <c r="R21" s="31">
        <v>53</v>
      </c>
    </row>
    <row r="22" spans="1:18" ht="19.899999999999999" customHeight="1" x14ac:dyDescent="0.2">
      <c r="A22" s="29"/>
      <c r="B22" s="11" t="s">
        <v>0</v>
      </c>
      <c r="C22" s="14">
        <v>4</v>
      </c>
      <c r="D22" s="12" t="s">
        <v>10</v>
      </c>
      <c r="E22" s="89" t="s">
        <v>46</v>
      </c>
      <c r="F22" s="93" t="s">
        <v>41</v>
      </c>
      <c r="G22" s="30">
        <v>5</v>
      </c>
      <c r="H22" s="9">
        <v>9</v>
      </c>
      <c r="I22" s="9">
        <v>10</v>
      </c>
      <c r="J22" s="22">
        <v>24</v>
      </c>
      <c r="K22" s="9">
        <v>32</v>
      </c>
      <c r="L22" s="9">
        <v>37</v>
      </c>
      <c r="M22" s="9">
        <v>44</v>
      </c>
      <c r="N22" s="9">
        <v>57</v>
      </c>
      <c r="O22" s="22">
        <v>66</v>
      </c>
      <c r="P22" s="22">
        <v>69</v>
      </c>
      <c r="Q22" s="30">
        <v>70</v>
      </c>
      <c r="R22" s="30">
        <v>72</v>
      </c>
    </row>
    <row r="23" spans="1:18" ht="19.899999999999999" customHeight="1" x14ac:dyDescent="0.2">
      <c r="A23" s="29"/>
      <c r="B23" s="56"/>
      <c r="C23" s="57"/>
      <c r="D23" s="58" t="s">
        <v>33</v>
      </c>
      <c r="E23" s="90" t="s">
        <v>46</v>
      </c>
      <c r="F23" s="94" t="s">
        <v>41</v>
      </c>
      <c r="G23" s="86">
        <v>7</v>
      </c>
      <c r="H23" s="49">
        <v>10</v>
      </c>
      <c r="I23" s="49">
        <v>14</v>
      </c>
      <c r="J23" s="82">
        <v>38</v>
      </c>
      <c r="K23" s="49">
        <v>51</v>
      </c>
      <c r="L23" s="49">
        <v>60</v>
      </c>
      <c r="M23" s="49">
        <v>81</v>
      </c>
      <c r="N23" s="49">
        <v>103</v>
      </c>
      <c r="O23" s="82">
        <v>108</v>
      </c>
      <c r="P23" s="82">
        <v>113</v>
      </c>
      <c r="Q23" s="86">
        <v>116</v>
      </c>
      <c r="R23" s="86">
        <v>117</v>
      </c>
    </row>
    <row r="24" spans="1:18" ht="19.899999999999999" customHeight="1" thickBot="1" x14ac:dyDescent="0.25">
      <c r="A24" s="29"/>
      <c r="B24" s="13"/>
      <c r="C24" s="15"/>
      <c r="D24" s="16" t="s">
        <v>11</v>
      </c>
      <c r="E24" s="91" t="s">
        <v>46</v>
      </c>
      <c r="F24" s="95" t="s">
        <v>41</v>
      </c>
      <c r="G24" s="31">
        <v>6</v>
      </c>
      <c r="H24" s="10">
        <v>9</v>
      </c>
      <c r="I24" s="10">
        <v>11</v>
      </c>
      <c r="J24" s="23">
        <v>31</v>
      </c>
      <c r="K24" s="10">
        <v>47</v>
      </c>
      <c r="L24" s="10">
        <v>55</v>
      </c>
      <c r="M24" s="10">
        <v>72</v>
      </c>
      <c r="N24" s="10">
        <v>83</v>
      </c>
      <c r="O24" s="23">
        <v>87</v>
      </c>
      <c r="P24" s="23">
        <v>88</v>
      </c>
      <c r="Q24" s="31">
        <v>89</v>
      </c>
      <c r="R24" s="31">
        <v>88</v>
      </c>
    </row>
    <row r="25" spans="1:18" ht="19.899999999999999" customHeight="1" x14ac:dyDescent="0.2">
      <c r="A25" s="29"/>
      <c r="B25" s="11" t="s">
        <v>1</v>
      </c>
      <c r="C25" s="14">
        <v>4</v>
      </c>
      <c r="D25" s="12" t="s">
        <v>11</v>
      </c>
      <c r="E25" s="89" t="s">
        <v>46</v>
      </c>
      <c r="F25" s="96" t="s">
        <v>43</v>
      </c>
      <c r="G25" s="30">
        <v>10</v>
      </c>
      <c r="H25" s="9">
        <v>15</v>
      </c>
      <c r="I25" s="9">
        <v>23</v>
      </c>
      <c r="J25" s="22">
        <v>39</v>
      </c>
      <c r="K25" s="9">
        <v>50</v>
      </c>
      <c r="L25" s="9">
        <v>56</v>
      </c>
      <c r="M25" s="9">
        <v>66</v>
      </c>
      <c r="N25" s="9">
        <v>79</v>
      </c>
      <c r="O25" s="22">
        <v>86</v>
      </c>
      <c r="P25" s="22">
        <v>95</v>
      </c>
      <c r="Q25" s="30">
        <v>97</v>
      </c>
      <c r="R25" s="30">
        <v>94</v>
      </c>
    </row>
    <row r="26" spans="1:18" ht="19.899999999999999" customHeight="1" x14ac:dyDescent="0.2">
      <c r="A26" s="29"/>
      <c r="B26" s="56"/>
      <c r="C26" s="57"/>
      <c r="D26" s="58" t="s">
        <v>33</v>
      </c>
      <c r="E26" s="90" t="s">
        <v>46</v>
      </c>
      <c r="F26" s="97" t="s">
        <v>43</v>
      </c>
      <c r="G26" s="86">
        <v>12</v>
      </c>
      <c r="H26" s="49">
        <v>16</v>
      </c>
      <c r="I26" s="49">
        <v>23</v>
      </c>
      <c r="J26" s="82">
        <v>59</v>
      </c>
      <c r="K26" s="49">
        <v>67</v>
      </c>
      <c r="L26" s="49">
        <v>70</v>
      </c>
      <c r="M26" s="49">
        <v>80</v>
      </c>
      <c r="N26" s="49">
        <v>93</v>
      </c>
      <c r="O26" s="82">
        <v>99</v>
      </c>
      <c r="P26" s="82">
        <v>101</v>
      </c>
      <c r="Q26" s="86">
        <v>102</v>
      </c>
      <c r="R26" s="86">
        <v>101</v>
      </c>
    </row>
    <row r="27" spans="1:18" ht="19.899999999999999" customHeight="1" thickBot="1" x14ac:dyDescent="0.25">
      <c r="A27" s="29"/>
      <c r="B27" s="13"/>
      <c r="C27" s="15"/>
      <c r="D27" s="16" t="s">
        <v>10</v>
      </c>
      <c r="E27" s="91" t="s">
        <v>46</v>
      </c>
      <c r="F27" s="98" t="s">
        <v>43</v>
      </c>
      <c r="G27" s="31">
        <v>10</v>
      </c>
      <c r="H27" s="10">
        <v>15</v>
      </c>
      <c r="I27" s="10">
        <v>23</v>
      </c>
      <c r="J27" s="23">
        <v>57</v>
      </c>
      <c r="K27" s="10">
        <v>72</v>
      </c>
      <c r="L27" s="10">
        <v>79</v>
      </c>
      <c r="M27" s="10">
        <v>89</v>
      </c>
      <c r="N27" s="10">
        <v>96</v>
      </c>
      <c r="O27" s="23">
        <v>100</v>
      </c>
      <c r="P27" s="23">
        <v>106</v>
      </c>
      <c r="Q27" s="31">
        <v>108</v>
      </c>
      <c r="R27" s="31">
        <v>105</v>
      </c>
    </row>
    <row r="28" spans="1:18" ht="19.899999999999999" customHeight="1" x14ac:dyDescent="0.2">
      <c r="A28" s="29"/>
      <c r="B28" s="11" t="s">
        <v>1</v>
      </c>
      <c r="C28" s="14">
        <v>3</v>
      </c>
      <c r="D28" s="12" t="s">
        <v>11</v>
      </c>
      <c r="E28" s="89" t="s">
        <v>45</v>
      </c>
      <c r="F28" s="96" t="s">
        <v>43</v>
      </c>
      <c r="G28" s="30">
        <v>11</v>
      </c>
      <c r="H28" s="9">
        <v>16</v>
      </c>
      <c r="I28" s="9">
        <v>22</v>
      </c>
      <c r="J28" s="22">
        <v>56</v>
      </c>
      <c r="K28" s="9">
        <v>72</v>
      </c>
      <c r="L28" s="9">
        <v>75</v>
      </c>
      <c r="M28" s="9">
        <v>77</v>
      </c>
      <c r="N28" s="9">
        <v>87</v>
      </c>
      <c r="O28" s="22">
        <v>89</v>
      </c>
      <c r="P28" s="22">
        <v>90</v>
      </c>
      <c r="Q28" s="30">
        <v>86</v>
      </c>
      <c r="R28" s="30">
        <v>86</v>
      </c>
    </row>
    <row r="29" spans="1:18" ht="19.899999999999999" customHeight="1" x14ac:dyDescent="0.2">
      <c r="A29" s="29"/>
      <c r="B29" s="56"/>
      <c r="C29" s="57"/>
      <c r="D29" s="58" t="s">
        <v>33</v>
      </c>
      <c r="E29" s="90" t="s">
        <v>45</v>
      </c>
      <c r="F29" s="97" t="s">
        <v>43</v>
      </c>
      <c r="G29" s="86">
        <v>10</v>
      </c>
      <c r="H29" s="49">
        <v>15</v>
      </c>
      <c r="I29" s="49">
        <v>23</v>
      </c>
      <c r="J29" s="82">
        <v>58</v>
      </c>
      <c r="K29" s="49">
        <v>73</v>
      </c>
      <c r="L29" s="49">
        <v>77</v>
      </c>
      <c r="M29" s="49">
        <v>89</v>
      </c>
      <c r="N29" s="49">
        <v>103</v>
      </c>
      <c r="O29" s="82">
        <v>106</v>
      </c>
      <c r="P29" s="82">
        <v>107</v>
      </c>
      <c r="Q29" s="86">
        <v>110</v>
      </c>
      <c r="R29" s="86">
        <v>108</v>
      </c>
    </row>
    <row r="30" spans="1:18" ht="19.899999999999999" customHeight="1" thickBot="1" x14ac:dyDescent="0.25">
      <c r="A30" s="29"/>
      <c r="B30" s="13"/>
      <c r="C30" s="15"/>
      <c r="D30" s="16" t="s">
        <v>10</v>
      </c>
      <c r="E30" s="91" t="s">
        <v>45</v>
      </c>
      <c r="F30" s="98" t="s">
        <v>43</v>
      </c>
      <c r="G30" s="31">
        <v>12</v>
      </c>
      <c r="H30" s="10">
        <v>17</v>
      </c>
      <c r="I30" s="10">
        <v>26</v>
      </c>
      <c r="J30" s="23">
        <v>52</v>
      </c>
      <c r="K30" s="10">
        <v>69</v>
      </c>
      <c r="L30" s="10">
        <v>71</v>
      </c>
      <c r="M30" s="10">
        <v>79</v>
      </c>
      <c r="N30" s="10">
        <v>91</v>
      </c>
      <c r="O30" s="23">
        <v>93</v>
      </c>
      <c r="P30" s="23">
        <v>95</v>
      </c>
      <c r="Q30" s="31">
        <v>94</v>
      </c>
      <c r="R30" s="31">
        <v>92</v>
      </c>
    </row>
    <row r="31" spans="1:18" ht="19.899999999999999" customHeight="1" x14ac:dyDescent="0.2">
      <c r="A31" s="29"/>
      <c r="B31" s="11" t="s">
        <v>1</v>
      </c>
      <c r="C31" s="14">
        <v>2</v>
      </c>
      <c r="D31" s="12" t="s">
        <v>11</v>
      </c>
      <c r="E31" s="89" t="s">
        <v>44</v>
      </c>
      <c r="F31" s="96" t="s">
        <v>43</v>
      </c>
      <c r="G31" s="30">
        <v>10</v>
      </c>
      <c r="H31" s="9">
        <v>15</v>
      </c>
      <c r="I31" s="9">
        <v>24</v>
      </c>
      <c r="J31" s="22">
        <v>58</v>
      </c>
      <c r="K31" s="9">
        <v>74</v>
      </c>
      <c r="L31" s="9">
        <v>73</v>
      </c>
      <c r="M31" s="9">
        <v>77</v>
      </c>
      <c r="N31" s="9">
        <v>90</v>
      </c>
      <c r="O31" s="22">
        <v>94</v>
      </c>
      <c r="P31" s="22">
        <v>93</v>
      </c>
      <c r="Q31" s="30">
        <v>93</v>
      </c>
      <c r="R31" s="30">
        <v>91</v>
      </c>
    </row>
    <row r="32" spans="1:18" ht="19.899999999999999" customHeight="1" x14ac:dyDescent="0.2">
      <c r="A32" s="29"/>
      <c r="B32" s="56"/>
      <c r="C32" s="57"/>
      <c r="D32" s="58" t="s">
        <v>33</v>
      </c>
      <c r="E32" s="90" t="s">
        <v>44</v>
      </c>
      <c r="F32" s="97" t="s">
        <v>43</v>
      </c>
      <c r="G32" s="86">
        <v>11</v>
      </c>
      <c r="H32" s="49">
        <v>16</v>
      </c>
      <c r="I32" s="49">
        <v>22</v>
      </c>
      <c r="J32" s="82">
        <v>52</v>
      </c>
      <c r="K32" s="49">
        <v>71</v>
      </c>
      <c r="L32" s="49">
        <v>73</v>
      </c>
      <c r="M32" s="49">
        <v>80</v>
      </c>
      <c r="N32" s="49">
        <v>100</v>
      </c>
      <c r="O32" s="82">
        <v>103</v>
      </c>
      <c r="P32" s="82">
        <v>105</v>
      </c>
      <c r="Q32" s="86">
        <v>105</v>
      </c>
      <c r="R32" s="86">
        <v>106</v>
      </c>
    </row>
    <row r="33" spans="1:18" ht="19.899999999999999" customHeight="1" thickBot="1" x14ac:dyDescent="0.25">
      <c r="A33" s="29"/>
      <c r="B33" s="13"/>
      <c r="C33" s="15"/>
      <c r="D33" s="16" t="s">
        <v>10</v>
      </c>
      <c r="E33" s="91" t="s">
        <v>44</v>
      </c>
      <c r="F33" s="98" t="s">
        <v>43</v>
      </c>
      <c r="G33" s="31">
        <v>13</v>
      </c>
      <c r="H33" s="10">
        <v>19</v>
      </c>
      <c r="I33" s="10">
        <v>28</v>
      </c>
      <c r="J33" s="23">
        <v>68</v>
      </c>
      <c r="K33" s="10">
        <v>82</v>
      </c>
      <c r="L33" s="10">
        <v>83</v>
      </c>
      <c r="M33" s="10">
        <v>91</v>
      </c>
      <c r="N33" s="10">
        <v>111</v>
      </c>
      <c r="O33" s="23">
        <v>114</v>
      </c>
      <c r="P33" s="23">
        <v>116</v>
      </c>
      <c r="Q33" s="31">
        <v>117</v>
      </c>
      <c r="R33" s="31">
        <v>113</v>
      </c>
    </row>
    <row r="34" spans="1:18" ht="19.899999999999999" customHeight="1" x14ac:dyDescent="0.2">
      <c r="A34" s="29"/>
      <c r="B34" s="11" t="s">
        <v>1</v>
      </c>
      <c r="C34" s="14">
        <v>1</v>
      </c>
      <c r="D34" s="12" t="s">
        <v>11</v>
      </c>
      <c r="E34" s="89" t="s">
        <v>42</v>
      </c>
      <c r="F34" s="96" t="s">
        <v>43</v>
      </c>
      <c r="G34" s="30">
        <v>14</v>
      </c>
      <c r="H34" s="9">
        <v>20</v>
      </c>
      <c r="I34" s="9">
        <v>23</v>
      </c>
      <c r="J34" s="22">
        <v>63</v>
      </c>
      <c r="K34" s="9">
        <v>71</v>
      </c>
      <c r="L34" s="9">
        <v>80</v>
      </c>
      <c r="M34" s="9">
        <v>93</v>
      </c>
      <c r="N34" s="9">
        <v>105</v>
      </c>
      <c r="O34" s="38">
        <v>110</v>
      </c>
      <c r="P34" s="38">
        <v>113</v>
      </c>
      <c r="Q34" s="54">
        <v>116</v>
      </c>
      <c r="R34" s="54">
        <v>115</v>
      </c>
    </row>
    <row r="35" spans="1:18" ht="19.899999999999999" customHeight="1" x14ac:dyDescent="0.2">
      <c r="A35" s="29"/>
      <c r="B35" s="56"/>
      <c r="C35" s="57"/>
      <c r="D35" s="58" t="s">
        <v>33</v>
      </c>
      <c r="E35" s="90" t="s">
        <v>42</v>
      </c>
      <c r="F35" s="97" t="s">
        <v>43</v>
      </c>
      <c r="G35" s="86">
        <v>11</v>
      </c>
      <c r="H35" s="49">
        <v>18</v>
      </c>
      <c r="I35" s="49">
        <v>30</v>
      </c>
      <c r="J35" s="82">
        <v>59</v>
      </c>
      <c r="K35" s="49">
        <v>78</v>
      </c>
      <c r="L35" s="49">
        <v>83</v>
      </c>
      <c r="M35" s="49">
        <v>97</v>
      </c>
      <c r="N35" s="49">
        <v>114</v>
      </c>
      <c r="O35" s="87">
        <v>119</v>
      </c>
      <c r="P35" s="87">
        <v>122</v>
      </c>
      <c r="Q35" s="88">
        <v>124</v>
      </c>
      <c r="R35" s="88">
        <v>128</v>
      </c>
    </row>
    <row r="36" spans="1:18" ht="19.899999999999999" customHeight="1" thickBot="1" x14ac:dyDescent="0.25">
      <c r="A36" s="29"/>
      <c r="B36" s="13"/>
      <c r="C36" s="15"/>
      <c r="D36" s="16" t="s">
        <v>10</v>
      </c>
      <c r="E36" s="91" t="s">
        <v>42</v>
      </c>
      <c r="F36" s="98" t="s">
        <v>43</v>
      </c>
      <c r="G36" s="31">
        <v>15</v>
      </c>
      <c r="H36" s="10">
        <v>22</v>
      </c>
      <c r="I36" s="10">
        <v>33</v>
      </c>
      <c r="J36" s="23">
        <v>65</v>
      </c>
      <c r="K36" s="10">
        <v>84</v>
      </c>
      <c r="L36" s="10">
        <v>89</v>
      </c>
      <c r="M36" s="10">
        <v>99</v>
      </c>
      <c r="N36" s="10">
        <v>116</v>
      </c>
      <c r="O36" s="23">
        <v>118</v>
      </c>
      <c r="P36" s="23">
        <v>120</v>
      </c>
      <c r="Q36" s="31">
        <v>121</v>
      </c>
      <c r="R36" s="31">
        <v>120</v>
      </c>
    </row>
    <row r="37" spans="1:18" ht="19.899999999999999" customHeight="1" x14ac:dyDescent="0.2">
      <c r="A37" s="29"/>
      <c r="B37" s="11" t="s">
        <v>2</v>
      </c>
      <c r="C37" s="14">
        <v>1</v>
      </c>
      <c r="D37" s="12" t="s">
        <v>10</v>
      </c>
      <c r="E37" s="89" t="s">
        <v>46</v>
      </c>
      <c r="F37" s="93" t="s">
        <v>41</v>
      </c>
      <c r="G37" s="30">
        <v>8</v>
      </c>
      <c r="H37" s="9">
        <v>13</v>
      </c>
      <c r="I37" s="9">
        <v>26</v>
      </c>
      <c r="J37" s="22">
        <v>57</v>
      </c>
      <c r="K37" s="9">
        <v>75</v>
      </c>
      <c r="L37" s="9">
        <v>87</v>
      </c>
      <c r="M37" s="9">
        <v>102</v>
      </c>
      <c r="N37" s="9">
        <v>115</v>
      </c>
      <c r="O37" s="38">
        <v>118</v>
      </c>
      <c r="P37" s="38">
        <v>121</v>
      </c>
      <c r="Q37" s="54">
        <v>123</v>
      </c>
      <c r="R37" s="54">
        <v>122</v>
      </c>
    </row>
    <row r="38" spans="1:18" ht="19.899999999999999" customHeight="1" x14ac:dyDescent="0.2">
      <c r="A38" s="29"/>
      <c r="B38" s="56"/>
      <c r="C38" s="57"/>
      <c r="D38" s="58" t="s">
        <v>33</v>
      </c>
      <c r="E38" s="90" t="s">
        <v>46</v>
      </c>
      <c r="F38" s="94" t="s">
        <v>41</v>
      </c>
      <c r="G38" s="86">
        <v>8</v>
      </c>
      <c r="H38" s="49">
        <v>12</v>
      </c>
      <c r="I38" s="49">
        <v>19</v>
      </c>
      <c r="J38" s="82">
        <v>35</v>
      </c>
      <c r="K38" s="49">
        <v>53</v>
      </c>
      <c r="L38" s="49">
        <v>57</v>
      </c>
      <c r="M38" s="49">
        <v>70</v>
      </c>
      <c r="N38" s="49">
        <v>81</v>
      </c>
      <c r="O38" s="87">
        <v>86</v>
      </c>
      <c r="P38" s="87">
        <v>90</v>
      </c>
      <c r="Q38" s="88">
        <v>93</v>
      </c>
      <c r="R38" s="88">
        <v>92</v>
      </c>
    </row>
    <row r="39" spans="1:18" ht="19.899999999999999" customHeight="1" thickBot="1" x14ac:dyDescent="0.25">
      <c r="A39" s="29"/>
      <c r="B39" s="13"/>
      <c r="C39" s="15"/>
      <c r="D39" s="16" t="s">
        <v>11</v>
      </c>
      <c r="E39" s="91" t="s">
        <v>46</v>
      </c>
      <c r="F39" s="95" t="s">
        <v>41</v>
      </c>
      <c r="G39" s="31">
        <v>7</v>
      </c>
      <c r="H39" s="10">
        <v>11</v>
      </c>
      <c r="I39" s="10">
        <v>21</v>
      </c>
      <c r="J39" s="23">
        <v>51</v>
      </c>
      <c r="K39" s="10">
        <v>73</v>
      </c>
      <c r="L39" s="10">
        <v>83</v>
      </c>
      <c r="M39" s="10">
        <v>97</v>
      </c>
      <c r="N39" s="10">
        <v>121</v>
      </c>
      <c r="O39" s="23">
        <v>123</v>
      </c>
      <c r="P39" s="23">
        <v>125</v>
      </c>
      <c r="Q39" s="55">
        <v>126</v>
      </c>
      <c r="R39" s="31">
        <v>131</v>
      </c>
    </row>
    <row r="40" spans="1:18" ht="19.899999999999999" customHeight="1" x14ac:dyDescent="0.2">
      <c r="A40" s="29"/>
      <c r="B40" s="11" t="s">
        <v>2</v>
      </c>
      <c r="C40" s="14">
        <v>2</v>
      </c>
      <c r="D40" s="12" t="s">
        <v>10</v>
      </c>
      <c r="E40" s="89" t="s">
        <v>47</v>
      </c>
      <c r="F40" s="93" t="s">
        <v>41</v>
      </c>
      <c r="G40" s="30">
        <v>11</v>
      </c>
      <c r="H40" s="9">
        <v>15</v>
      </c>
      <c r="I40" s="9">
        <v>20</v>
      </c>
      <c r="J40" s="22">
        <v>45</v>
      </c>
      <c r="K40" s="9">
        <v>63</v>
      </c>
      <c r="L40" s="9">
        <v>65</v>
      </c>
      <c r="M40" s="9">
        <v>71</v>
      </c>
      <c r="N40" s="9">
        <v>84</v>
      </c>
      <c r="O40" s="22">
        <v>90</v>
      </c>
      <c r="P40" s="22">
        <v>94</v>
      </c>
      <c r="Q40" s="30">
        <v>99</v>
      </c>
      <c r="R40" s="30">
        <v>104</v>
      </c>
    </row>
    <row r="41" spans="1:18" ht="19.899999999999999" customHeight="1" x14ac:dyDescent="0.2">
      <c r="A41" s="29"/>
      <c r="B41" s="56"/>
      <c r="C41" s="57"/>
      <c r="D41" s="58" t="s">
        <v>33</v>
      </c>
      <c r="E41" s="90" t="s">
        <v>47</v>
      </c>
      <c r="F41" s="94" t="s">
        <v>41</v>
      </c>
      <c r="G41" s="86">
        <v>7</v>
      </c>
      <c r="H41" s="49">
        <v>11</v>
      </c>
      <c r="I41" s="49">
        <v>17</v>
      </c>
      <c r="J41" s="82">
        <v>41</v>
      </c>
      <c r="K41" s="49">
        <v>62</v>
      </c>
      <c r="L41" s="49">
        <v>69</v>
      </c>
      <c r="M41" s="49">
        <v>79</v>
      </c>
      <c r="N41" s="49">
        <v>98</v>
      </c>
      <c r="O41" s="82">
        <v>99</v>
      </c>
      <c r="P41" s="82">
        <v>100</v>
      </c>
      <c r="Q41" s="86">
        <v>103</v>
      </c>
      <c r="R41" s="86">
        <v>105</v>
      </c>
    </row>
    <row r="42" spans="1:18" ht="19.899999999999999" customHeight="1" thickBot="1" x14ac:dyDescent="0.25">
      <c r="A42" s="29"/>
      <c r="B42" s="13"/>
      <c r="C42" s="15"/>
      <c r="D42" s="16" t="s">
        <v>11</v>
      </c>
      <c r="E42" s="91" t="s">
        <v>47</v>
      </c>
      <c r="F42" s="95" t="s">
        <v>41</v>
      </c>
      <c r="G42" s="31">
        <v>9</v>
      </c>
      <c r="H42" s="10">
        <v>13</v>
      </c>
      <c r="I42" s="10">
        <v>22</v>
      </c>
      <c r="J42" s="23">
        <v>55</v>
      </c>
      <c r="K42" s="10">
        <v>78</v>
      </c>
      <c r="L42" s="10">
        <v>82</v>
      </c>
      <c r="M42" s="10">
        <v>93</v>
      </c>
      <c r="N42" s="10">
        <v>96</v>
      </c>
      <c r="O42" s="23">
        <v>100</v>
      </c>
      <c r="P42" s="23">
        <v>113</v>
      </c>
      <c r="Q42" s="31">
        <v>112</v>
      </c>
      <c r="R42" s="31">
        <v>115</v>
      </c>
    </row>
    <row r="43" spans="1:18" ht="19.899999999999999" customHeight="1" x14ac:dyDescent="0.2">
      <c r="A43" s="29"/>
      <c r="B43" s="11" t="s">
        <v>2</v>
      </c>
      <c r="C43" s="14">
        <v>3</v>
      </c>
      <c r="D43" s="12" t="s">
        <v>10</v>
      </c>
      <c r="E43" s="89" t="s">
        <v>48</v>
      </c>
      <c r="F43" s="93" t="s">
        <v>41</v>
      </c>
      <c r="G43" s="30">
        <v>10</v>
      </c>
      <c r="H43" s="9">
        <v>15</v>
      </c>
      <c r="I43" s="9">
        <v>24</v>
      </c>
      <c r="J43" s="22">
        <v>52</v>
      </c>
      <c r="K43" s="9">
        <v>73</v>
      </c>
      <c r="L43" s="9">
        <v>75</v>
      </c>
      <c r="M43" s="9">
        <v>84</v>
      </c>
      <c r="N43" s="9">
        <v>101</v>
      </c>
      <c r="O43" s="22">
        <v>104</v>
      </c>
      <c r="P43" s="22">
        <v>108</v>
      </c>
      <c r="Q43" s="30">
        <v>109</v>
      </c>
      <c r="R43" s="30">
        <v>111</v>
      </c>
    </row>
    <row r="44" spans="1:18" ht="19.899999999999999" customHeight="1" x14ac:dyDescent="0.2">
      <c r="A44" s="29"/>
      <c r="B44" s="56"/>
      <c r="C44" s="57"/>
      <c r="D44" s="58" t="s">
        <v>33</v>
      </c>
      <c r="E44" s="90" t="s">
        <v>48</v>
      </c>
      <c r="F44" s="94" t="s">
        <v>41</v>
      </c>
      <c r="G44" s="86">
        <v>9</v>
      </c>
      <c r="H44" s="49">
        <v>14</v>
      </c>
      <c r="I44" s="49">
        <v>20</v>
      </c>
      <c r="J44" s="82">
        <v>45</v>
      </c>
      <c r="K44" s="49">
        <v>70</v>
      </c>
      <c r="L44" s="49">
        <v>76</v>
      </c>
      <c r="M44" s="49">
        <v>92</v>
      </c>
      <c r="N44" s="49">
        <v>108</v>
      </c>
      <c r="O44" s="82">
        <v>109</v>
      </c>
      <c r="P44" s="82">
        <v>107</v>
      </c>
      <c r="Q44" s="86">
        <v>108</v>
      </c>
      <c r="R44" s="86">
        <v>104</v>
      </c>
    </row>
    <row r="45" spans="1:18" ht="19.899999999999999" customHeight="1" thickBot="1" x14ac:dyDescent="0.25">
      <c r="A45" s="29"/>
      <c r="B45" s="13"/>
      <c r="C45" s="15"/>
      <c r="D45" s="16" t="s">
        <v>11</v>
      </c>
      <c r="E45" s="91" t="s">
        <v>48</v>
      </c>
      <c r="F45" s="95" t="s">
        <v>41</v>
      </c>
      <c r="G45" s="31">
        <v>7</v>
      </c>
      <c r="H45" s="10">
        <v>13</v>
      </c>
      <c r="I45" s="10">
        <v>18</v>
      </c>
      <c r="J45" s="23">
        <v>31</v>
      </c>
      <c r="K45" s="10">
        <v>50</v>
      </c>
      <c r="L45" s="10">
        <v>51</v>
      </c>
      <c r="M45" s="10">
        <v>54</v>
      </c>
      <c r="N45" s="10">
        <v>64</v>
      </c>
      <c r="O45" s="23">
        <v>69</v>
      </c>
      <c r="P45" s="23">
        <v>71</v>
      </c>
      <c r="Q45" s="31">
        <v>76</v>
      </c>
      <c r="R45" s="31">
        <v>79</v>
      </c>
    </row>
    <row r="46" spans="1:18" ht="19.899999999999999" customHeight="1" x14ac:dyDescent="0.2">
      <c r="A46" s="29"/>
      <c r="B46" s="11" t="s">
        <v>2</v>
      </c>
      <c r="C46" s="14">
        <v>4</v>
      </c>
      <c r="D46" s="12" t="s">
        <v>10</v>
      </c>
      <c r="E46" s="89" t="s">
        <v>42</v>
      </c>
      <c r="F46" s="93" t="s">
        <v>41</v>
      </c>
      <c r="G46" s="30">
        <v>7</v>
      </c>
      <c r="H46" s="9">
        <v>11</v>
      </c>
      <c r="I46" s="9">
        <v>17</v>
      </c>
      <c r="J46" s="22">
        <v>45</v>
      </c>
      <c r="K46" s="9">
        <v>62</v>
      </c>
      <c r="L46" s="9">
        <v>70</v>
      </c>
      <c r="M46" s="9">
        <v>91</v>
      </c>
      <c r="N46" s="9">
        <v>96</v>
      </c>
      <c r="O46" s="22">
        <v>101</v>
      </c>
      <c r="P46" s="22">
        <v>106</v>
      </c>
      <c r="Q46" s="30">
        <v>108</v>
      </c>
      <c r="R46" s="30">
        <v>109</v>
      </c>
    </row>
    <row r="47" spans="1:18" ht="19.899999999999999" customHeight="1" x14ac:dyDescent="0.2">
      <c r="A47" s="29"/>
      <c r="B47" s="56"/>
      <c r="C47" s="57"/>
      <c r="D47" s="58" t="s">
        <v>33</v>
      </c>
      <c r="E47" s="90" t="s">
        <v>42</v>
      </c>
      <c r="F47" s="94" t="s">
        <v>41</v>
      </c>
      <c r="G47" s="86">
        <v>11</v>
      </c>
      <c r="H47" s="49">
        <v>15</v>
      </c>
      <c r="I47" s="49">
        <v>19</v>
      </c>
      <c r="J47" s="82">
        <v>41</v>
      </c>
      <c r="K47" s="49">
        <v>63</v>
      </c>
      <c r="L47" s="49">
        <v>69</v>
      </c>
      <c r="M47" s="49">
        <v>85</v>
      </c>
      <c r="N47" s="49">
        <v>97</v>
      </c>
      <c r="O47" s="82">
        <v>100</v>
      </c>
      <c r="P47" s="82">
        <v>103</v>
      </c>
      <c r="Q47" s="86">
        <v>105</v>
      </c>
      <c r="R47" s="86">
        <v>110</v>
      </c>
    </row>
    <row r="48" spans="1:18" ht="19.899999999999999" customHeight="1" thickBot="1" x14ac:dyDescent="0.25">
      <c r="A48" s="29"/>
      <c r="B48" s="13"/>
      <c r="C48" s="15"/>
      <c r="D48" s="16" t="s">
        <v>11</v>
      </c>
      <c r="E48" s="91" t="s">
        <v>42</v>
      </c>
      <c r="F48" s="95" t="s">
        <v>41</v>
      </c>
      <c r="G48" s="31">
        <v>8</v>
      </c>
      <c r="H48" s="10">
        <v>13</v>
      </c>
      <c r="I48" s="10">
        <v>19</v>
      </c>
      <c r="J48" s="23">
        <v>46</v>
      </c>
      <c r="K48" s="10">
        <v>67</v>
      </c>
      <c r="L48" s="10">
        <v>76</v>
      </c>
      <c r="M48" s="10">
        <v>90</v>
      </c>
      <c r="N48" s="10">
        <v>98</v>
      </c>
      <c r="O48" s="23">
        <v>102</v>
      </c>
      <c r="P48" s="23">
        <v>107</v>
      </c>
      <c r="Q48" s="31">
        <v>109</v>
      </c>
      <c r="R48" s="31">
        <v>106</v>
      </c>
    </row>
    <row r="49" spans="1:18" ht="19.899999999999999" customHeight="1" x14ac:dyDescent="0.2">
      <c r="A49" s="29"/>
      <c r="B49" s="11" t="s">
        <v>3</v>
      </c>
      <c r="C49" s="14">
        <v>4</v>
      </c>
      <c r="D49" s="12" t="s">
        <v>11</v>
      </c>
      <c r="E49" s="89" t="s">
        <v>42</v>
      </c>
      <c r="F49" s="96" t="s">
        <v>43</v>
      </c>
      <c r="G49" s="30">
        <v>13</v>
      </c>
      <c r="H49" s="9">
        <v>17</v>
      </c>
      <c r="I49" s="9">
        <v>25</v>
      </c>
      <c r="J49" s="22">
        <v>55</v>
      </c>
      <c r="K49" s="9">
        <v>75</v>
      </c>
      <c r="L49" s="9">
        <v>78</v>
      </c>
      <c r="M49" s="9">
        <v>87</v>
      </c>
      <c r="N49" s="9">
        <v>98</v>
      </c>
      <c r="O49" s="22">
        <v>101</v>
      </c>
      <c r="P49" s="22">
        <v>103</v>
      </c>
      <c r="Q49" s="30">
        <v>102</v>
      </c>
      <c r="R49" s="30">
        <v>107</v>
      </c>
    </row>
    <row r="50" spans="1:18" ht="19.899999999999999" customHeight="1" x14ac:dyDescent="0.2">
      <c r="A50" s="29"/>
      <c r="B50" s="56"/>
      <c r="C50" s="57"/>
      <c r="D50" s="58" t="s">
        <v>33</v>
      </c>
      <c r="E50" s="90" t="s">
        <v>42</v>
      </c>
      <c r="F50" s="97" t="s">
        <v>43</v>
      </c>
      <c r="G50" s="86">
        <v>14</v>
      </c>
      <c r="H50" s="49">
        <v>19</v>
      </c>
      <c r="I50" s="49">
        <v>25</v>
      </c>
      <c r="J50" s="82">
        <v>59</v>
      </c>
      <c r="K50" s="49">
        <v>73</v>
      </c>
      <c r="L50" s="49">
        <v>76</v>
      </c>
      <c r="M50" s="49">
        <v>85</v>
      </c>
      <c r="N50" s="49">
        <v>98</v>
      </c>
      <c r="O50" s="82">
        <v>103</v>
      </c>
      <c r="P50" s="82">
        <v>109</v>
      </c>
      <c r="Q50" s="86">
        <v>113</v>
      </c>
      <c r="R50" s="86">
        <v>112</v>
      </c>
    </row>
    <row r="51" spans="1:18" ht="19.899999999999999" customHeight="1" thickBot="1" x14ac:dyDescent="0.25">
      <c r="A51" s="29"/>
      <c r="B51" s="13"/>
      <c r="C51" s="15"/>
      <c r="D51" s="16" t="s">
        <v>10</v>
      </c>
      <c r="E51" s="91" t="s">
        <v>42</v>
      </c>
      <c r="F51" s="98" t="s">
        <v>43</v>
      </c>
      <c r="G51" s="31">
        <v>9</v>
      </c>
      <c r="H51" s="10">
        <v>14</v>
      </c>
      <c r="I51" s="10">
        <v>25</v>
      </c>
      <c r="J51" s="23">
        <v>53</v>
      </c>
      <c r="K51" s="10">
        <v>78</v>
      </c>
      <c r="L51" s="10">
        <v>88</v>
      </c>
      <c r="M51" s="10">
        <v>108</v>
      </c>
      <c r="N51" s="10">
        <v>116</v>
      </c>
      <c r="O51" s="23">
        <v>120</v>
      </c>
      <c r="P51" s="23">
        <v>123</v>
      </c>
      <c r="Q51" s="31">
        <v>128</v>
      </c>
      <c r="R51" s="31">
        <v>125</v>
      </c>
    </row>
    <row r="52" spans="1:18" ht="19.899999999999999" customHeight="1" x14ac:dyDescent="0.2">
      <c r="A52" s="29"/>
      <c r="B52" s="11" t="s">
        <v>3</v>
      </c>
      <c r="C52" s="14">
        <v>3</v>
      </c>
      <c r="D52" s="12" t="s">
        <v>11</v>
      </c>
      <c r="E52" s="89" t="s">
        <v>48</v>
      </c>
      <c r="F52" s="96" t="s">
        <v>43</v>
      </c>
      <c r="G52" s="30">
        <v>13</v>
      </c>
      <c r="H52" s="9">
        <v>19</v>
      </c>
      <c r="I52" s="9">
        <v>28</v>
      </c>
      <c r="J52" s="22">
        <v>63</v>
      </c>
      <c r="K52" s="9">
        <v>81</v>
      </c>
      <c r="L52" s="9">
        <v>89</v>
      </c>
      <c r="M52" s="9">
        <v>109</v>
      </c>
      <c r="N52" s="9">
        <v>117</v>
      </c>
      <c r="O52" s="22">
        <v>119</v>
      </c>
      <c r="P52" s="22">
        <v>118</v>
      </c>
      <c r="Q52" s="30">
        <v>121</v>
      </c>
      <c r="R52" s="30">
        <v>112</v>
      </c>
    </row>
    <row r="53" spans="1:18" ht="19.899999999999999" customHeight="1" x14ac:dyDescent="0.2">
      <c r="A53" s="29"/>
      <c r="B53" s="56"/>
      <c r="C53" s="57"/>
      <c r="D53" s="58" t="s">
        <v>33</v>
      </c>
      <c r="E53" s="90" t="s">
        <v>48</v>
      </c>
      <c r="F53" s="97" t="s">
        <v>43</v>
      </c>
      <c r="G53" s="86">
        <v>9</v>
      </c>
      <c r="H53" s="49">
        <v>14</v>
      </c>
      <c r="I53" s="49">
        <v>22</v>
      </c>
      <c r="J53" s="82">
        <v>46</v>
      </c>
      <c r="K53" s="49">
        <v>75</v>
      </c>
      <c r="L53" s="49">
        <v>80</v>
      </c>
      <c r="M53" s="49">
        <v>94</v>
      </c>
      <c r="N53" s="49">
        <v>100</v>
      </c>
      <c r="O53" s="82">
        <v>104</v>
      </c>
      <c r="P53" s="82">
        <v>109</v>
      </c>
      <c r="Q53" s="86">
        <v>115</v>
      </c>
      <c r="R53" s="86">
        <v>110</v>
      </c>
    </row>
    <row r="54" spans="1:18" ht="19.899999999999999" customHeight="1" thickBot="1" x14ac:dyDescent="0.25">
      <c r="A54" s="29"/>
      <c r="B54" s="13"/>
      <c r="C54" s="15"/>
      <c r="D54" s="16" t="s">
        <v>10</v>
      </c>
      <c r="E54" s="91" t="s">
        <v>48</v>
      </c>
      <c r="F54" s="98" t="s">
        <v>43</v>
      </c>
      <c r="G54" s="31">
        <v>16</v>
      </c>
      <c r="H54" s="10">
        <v>23</v>
      </c>
      <c r="I54" s="10">
        <v>32</v>
      </c>
      <c r="J54" s="23">
        <v>70</v>
      </c>
      <c r="K54" s="10">
        <v>85</v>
      </c>
      <c r="L54" s="10">
        <v>92</v>
      </c>
      <c r="M54" s="10">
        <v>102</v>
      </c>
      <c r="N54" s="10">
        <v>113</v>
      </c>
      <c r="O54" s="23">
        <v>116</v>
      </c>
      <c r="P54" s="23">
        <v>117</v>
      </c>
      <c r="Q54" s="31">
        <v>118</v>
      </c>
      <c r="R54" s="31">
        <v>110</v>
      </c>
    </row>
    <row r="55" spans="1:18" ht="19.899999999999999" customHeight="1" x14ac:dyDescent="0.2">
      <c r="A55" s="29"/>
      <c r="B55" s="11" t="s">
        <v>3</v>
      </c>
      <c r="C55" s="14">
        <v>2</v>
      </c>
      <c r="D55" s="12" t="s">
        <v>11</v>
      </c>
      <c r="E55" s="89" t="s">
        <v>47</v>
      </c>
      <c r="F55" s="96" t="s">
        <v>43</v>
      </c>
      <c r="G55" s="30">
        <v>15</v>
      </c>
      <c r="H55" s="9">
        <v>23</v>
      </c>
      <c r="I55" s="9">
        <v>32</v>
      </c>
      <c r="J55" s="22">
        <v>62</v>
      </c>
      <c r="K55" s="9">
        <v>77</v>
      </c>
      <c r="L55" s="9">
        <v>79</v>
      </c>
      <c r="M55" s="9">
        <v>82</v>
      </c>
      <c r="N55" s="9">
        <v>89</v>
      </c>
      <c r="O55" s="22">
        <v>91</v>
      </c>
      <c r="P55" s="22">
        <v>94</v>
      </c>
      <c r="Q55" s="54">
        <v>94</v>
      </c>
      <c r="R55" s="30">
        <v>91</v>
      </c>
    </row>
    <row r="56" spans="1:18" ht="19.899999999999999" customHeight="1" x14ac:dyDescent="0.2">
      <c r="A56" s="29"/>
      <c r="B56" s="56"/>
      <c r="C56" s="57"/>
      <c r="D56" s="58" t="s">
        <v>33</v>
      </c>
      <c r="E56" s="90" t="s">
        <v>47</v>
      </c>
      <c r="F56" s="97" t="s">
        <v>43</v>
      </c>
      <c r="G56" s="86">
        <v>12</v>
      </c>
      <c r="H56" s="49">
        <v>21</v>
      </c>
      <c r="I56" s="49">
        <v>32</v>
      </c>
      <c r="J56" s="82">
        <v>68</v>
      </c>
      <c r="K56" s="49">
        <v>97</v>
      </c>
      <c r="L56" s="49">
        <v>100</v>
      </c>
      <c r="M56" s="49">
        <v>104</v>
      </c>
      <c r="N56" s="49">
        <v>107</v>
      </c>
      <c r="O56" s="82">
        <v>110</v>
      </c>
      <c r="P56" s="82">
        <v>114</v>
      </c>
      <c r="Q56" s="88">
        <v>113</v>
      </c>
      <c r="R56" s="86">
        <v>115</v>
      </c>
    </row>
    <row r="57" spans="1:18" ht="19.899999999999999" customHeight="1" thickBot="1" x14ac:dyDescent="0.25">
      <c r="A57" s="29"/>
      <c r="B57" s="13"/>
      <c r="C57" s="15"/>
      <c r="D57" s="16" t="s">
        <v>10</v>
      </c>
      <c r="E57" s="91" t="s">
        <v>47</v>
      </c>
      <c r="F57" s="98" t="s">
        <v>43</v>
      </c>
      <c r="G57" s="31">
        <v>9</v>
      </c>
      <c r="H57" s="10">
        <v>17</v>
      </c>
      <c r="I57" s="10">
        <v>27</v>
      </c>
      <c r="J57" s="23">
        <v>57</v>
      </c>
      <c r="K57" s="10">
        <v>83</v>
      </c>
      <c r="L57" s="10">
        <v>85</v>
      </c>
      <c r="M57" s="10">
        <v>87</v>
      </c>
      <c r="N57" s="10">
        <v>91</v>
      </c>
      <c r="O57" s="23">
        <v>99</v>
      </c>
      <c r="P57" s="23">
        <v>108</v>
      </c>
      <c r="Q57" s="31">
        <v>114</v>
      </c>
      <c r="R57" s="31">
        <v>110</v>
      </c>
    </row>
    <row r="58" spans="1:18" ht="19.899999999999999" customHeight="1" x14ac:dyDescent="0.2">
      <c r="A58" s="29"/>
      <c r="B58" s="11" t="s">
        <v>3</v>
      </c>
      <c r="C58" s="14">
        <v>1</v>
      </c>
      <c r="D58" s="12" t="s">
        <v>11</v>
      </c>
      <c r="E58" s="89" t="s">
        <v>46</v>
      </c>
      <c r="F58" s="96" t="s">
        <v>43</v>
      </c>
      <c r="G58" s="30">
        <v>17</v>
      </c>
      <c r="H58" s="9">
        <v>24</v>
      </c>
      <c r="I58" s="9">
        <v>37</v>
      </c>
      <c r="J58" s="22">
        <v>68</v>
      </c>
      <c r="K58" s="9">
        <v>89</v>
      </c>
      <c r="L58" s="9">
        <v>95</v>
      </c>
      <c r="M58" s="9">
        <v>111</v>
      </c>
      <c r="N58" s="9">
        <v>119</v>
      </c>
      <c r="O58" s="22">
        <v>125</v>
      </c>
      <c r="P58" s="22">
        <v>129</v>
      </c>
      <c r="Q58" s="30">
        <v>131</v>
      </c>
      <c r="R58" s="30">
        <v>131</v>
      </c>
    </row>
    <row r="59" spans="1:18" ht="19.899999999999999" customHeight="1" x14ac:dyDescent="0.2">
      <c r="A59" s="29"/>
      <c r="B59" s="56"/>
      <c r="C59" s="57"/>
      <c r="D59" s="58" t="s">
        <v>33</v>
      </c>
      <c r="E59" s="90" t="s">
        <v>46</v>
      </c>
      <c r="F59" s="97" t="s">
        <v>43</v>
      </c>
      <c r="G59" s="86">
        <v>16</v>
      </c>
      <c r="H59" s="49">
        <v>21</v>
      </c>
      <c r="I59" s="49">
        <v>30</v>
      </c>
      <c r="J59" s="82">
        <v>64</v>
      </c>
      <c r="K59" s="49">
        <v>87</v>
      </c>
      <c r="L59" s="49">
        <v>92</v>
      </c>
      <c r="M59" s="49">
        <v>106</v>
      </c>
      <c r="N59" s="49">
        <v>111</v>
      </c>
      <c r="O59" s="82">
        <v>115</v>
      </c>
      <c r="P59" s="82">
        <v>120</v>
      </c>
      <c r="Q59" s="86">
        <v>125</v>
      </c>
      <c r="R59" s="86">
        <v>123</v>
      </c>
    </row>
    <row r="60" spans="1:18" ht="19.899999999999999" customHeight="1" thickBot="1" x14ac:dyDescent="0.25">
      <c r="A60" s="29"/>
      <c r="B60" s="13"/>
      <c r="C60" s="15"/>
      <c r="D60" s="16" t="s">
        <v>10</v>
      </c>
      <c r="E60" s="91" t="s">
        <v>46</v>
      </c>
      <c r="F60" s="98" t="s">
        <v>43</v>
      </c>
      <c r="G60" s="31">
        <v>15</v>
      </c>
      <c r="H60" s="10">
        <v>19</v>
      </c>
      <c r="I60" s="10">
        <v>34</v>
      </c>
      <c r="J60" s="23">
        <v>63</v>
      </c>
      <c r="K60" s="10">
        <v>89</v>
      </c>
      <c r="L60" s="10">
        <v>92</v>
      </c>
      <c r="M60" s="10">
        <v>108</v>
      </c>
      <c r="N60" s="10">
        <v>113</v>
      </c>
      <c r="O60" s="23">
        <v>117</v>
      </c>
      <c r="P60" s="23">
        <v>123</v>
      </c>
      <c r="Q60" s="31">
        <v>127</v>
      </c>
      <c r="R60" s="31">
        <v>122</v>
      </c>
    </row>
    <row r="61" spans="1:18" ht="19.5" customHeight="1" x14ac:dyDescent="0.2">
      <c r="B61" s="11" t="s">
        <v>4</v>
      </c>
      <c r="C61" s="14">
        <v>1</v>
      </c>
      <c r="D61" s="12" t="s">
        <v>10</v>
      </c>
      <c r="E61" s="89" t="s">
        <v>48</v>
      </c>
      <c r="F61" s="96" t="s">
        <v>43</v>
      </c>
      <c r="G61" s="30">
        <v>14</v>
      </c>
      <c r="H61" s="9">
        <v>21</v>
      </c>
      <c r="I61" s="9">
        <v>32</v>
      </c>
      <c r="J61" s="22">
        <v>67</v>
      </c>
      <c r="K61" s="9">
        <v>84</v>
      </c>
      <c r="L61" s="9">
        <v>93</v>
      </c>
      <c r="M61" s="9">
        <v>108</v>
      </c>
      <c r="N61" s="9">
        <v>114</v>
      </c>
      <c r="O61" s="22">
        <v>117</v>
      </c>
      <c r="P61" s="22">
        <v>122</v>
      </c>
      <c r="Q61" s="30">
        <v>121</v>
      </c>
      <c r="R61" s="30">
        <v>122</v>
      </c>
    </row>
    <row r="62" spans="1:18" ht="19.5" customHeight="1" x14ac:dyDescent="0.2">
      <c r="B62" s="56"/>
      <c r="C62" s="57"/>
      <c r="D62" s="58" t="s">
        <v>33</v>
      </c>
      <c r="E62" s="90" t="s">
        <v>48</v>
      </c>
      <c r="F62" s="97" t="s">
        <v>43</v>
      </c>
      <c r="G62" s="86">
        <v>16</v>
      </c>
      <c r="H62" s="49">
        <v>24</v>
      </c>
      <c r="I62" s="49">
        <v>32</v>
      </c>
      <c r="J62" s="82">
        <v>66</v>
      </c>
      <c r="K62" s="49">
        <v>84</v>
      </c>
      <c r="L62" s="49">
        <v>94</v>
      </c>
      <c r="M62" s="49">
        <v>103</v>
      </c>
      <c r="N62" s="49">
        <v>108</v>
      </c>
      <c r="O62" s="82">
        <v>111</v>
      </c>
      <c r="P62" s="82">
        <v>116</v>
      </c>
      <c r="Q62" s="86">
        <v>118</v>
      </c>
      <c r="R62" s="86">
        <v>118</v>
      </c>
    </row>
    <row r="63" spans="1:18" ht="19.5" customHeight="1" thickBot="1" x14ac:dyDescent="0.25">
      <c r="B63" s="13"/>
      <c r="C63" s="15"/>
      <c r="D63" s="16" t="s">
        <v>11</v>
      </c>
      <c r="E63" s="91" t="s">
        <v>48</v>
      </c>
      <c r="F63" s="98" t="s">
        <v>43</v>
      </c>
      <c r="G63" s="31">
        <v>15</v>
      </c>
      <c r="H63" s="10">
        <v>22</v>
      </c>
      <c r="I63" s="10">
        <v>33</v>
      </c>
      <c r="J63" s="23">
        <v>60</v>
      </c>
      <c r="K63" s="10">
        <v>79</v>
      </c>
      <c r="L63" s="10">
        <v>82</v>
      </c>
      <c r="M63" s="10">
        <v>88</v>
      </c>
      <c r="N63" s="10">
        <v>92</v>
      </c>
      <c r="O63" s="23">
        <v>94</v>
      </c>
      <c r="P63" s="23">
        <v>97</v>
      </c>
      <c r="Q63" s="31">
        <v>98</v>
      </c>
      <c r="R63" s="31">
        <v>99</v>
      </c>
    </row>
    <row r="64" spans="1:18" ht="19.5" customHeight="1" x14ac:dyDescent="0.2">
      <c r="B64" s="11" t="s">
        <v>4</v>
      </c>
      <c r="C64" s="14">
        <v>2</v>
      </c>
      <c r="D64" s="12" t="s">
        <v>10</v>
      </c>
      <c r="E64" s="89" t="s">
        <v>45</v>
      </c>
      <c r="F64" s="96" t="s">
        <v>43</v>
      </c>
      <c r="G64" s="30">
        <v>15</v>
      </c>
      <c r="H64" s="9">
        <v>21</v>
      </c>
      <c r="I64" s="9">
        <v>27</v>
      </c>
      <c r="J64" s="22">
        <v>50</v>
      </c>
      <c r="K64" s="9">
        <v>71</v>
      </c>
      <c r="L64" s="9">
        <v>78</v>
      </c>
      <c r="M64" s="9">
        <v>88</v>
      </c>
      <c r="N64" s="9">
        <v>91</v>
      </c>
      <c r="O64" s="38">
        <v>93</v>
      </c>
      <c r="P64" s="38">
        <v>94</v>
      </c>
      <c r="Q64" s="54">
        <v>93</v>
      </c>
      <c r="R64" s="54">
        <v>94</v>
      </c>
    </row>
    <row r="65" spans="2:18" ht="19.5" customHeight="1" x14ac:dyDescent="0.2">
      <c r="B65" s="56"/>
      <c r="C65" s="57"/>
      <c r="D65" s="58" t="s">
        <v>33</v>
      </c>
      <c r="E65" s="90" t="s">
        <v>45</v>
      </c>
      <c r="F65" s="97" t="s">
        <v>43</v>
      </c>
      <c r="G65" s="86">
        <v>13</v>
      </c>
      <c r="H65" s="49">
        <v>19</v>
      </c>
      <c r="I65" s="49">
        <v>27</v>
      </c>
      <c r="J65" s="82">
        <v>54</v>
      </c>
      <c r="K65" s="49">
        <v>75</v>
      </c>
      <c r="L65" s="49">
        <v>76</v>
      </c>
      <c r="M65" s="49">
        <v>80</v>
      </c>
      <c r="N65" s="49">
        <v>82</v>
      </c>
      <c r="O65" s="87">
        <v>82</v>
      </c>
      <c r="P65" s="87">
        <v>84</v>
      </c>
      <c r="Q65" s="88">
        <v>83</v>
      </c>
      <c r="R65" s="88">
        <v>84</v>
      </c>
    </row>
    <row r="66" spans="2:18" ht="19.5" customHeight="1" thickBot="1" x14ac:dyDescent="0.25">
      <c r="B66" s="56"/>
      <c r="C66" s="57"/>
      <c r="D66" s="16" t="s">
        <v>11</v>
      </c>
      <c r="E66" s="91" t="s">
        <v>45</v>
      </c>
      <c r="F66" s="98" t="s">
        <v>43</v>
      </c>
      <c r="G66" s="31">
        <v>11</v>
      </c>
      <c r="H66" s="10">
        <v>18</v>
      </c>
      <c r="I66" s="10">
        <v>26</v>
      </c>
      <c r="J66" s="23">
        <v>55</v>
      </c>
      <c r="K66" s="10">
        <v>77</v>
      </c>
      <c r="L66" s="10">
        <v>78</v>
      </c>
      <c r="M66" s="10">
        <v>83</v>
      </c>
      <c r="N66" s="10">
        <v>87</v>
      </c>
      <c r="O66" s="23">
        <v>91</v>
      </c>
      <c r="P66" s="23">
        <v>93</v>
      </c>
      <c r="Q66" s="31">
        <v>93</v>
      </c>
      <c r="R66" s="31">
        <v>92</v>
      </c>
    </row>
    <row r="67" spans="2:18" ht="19.5" customHeight="1" x14ac:dyDescent="0.2">
      <c r="B67" s="11" t="s">
        <v>4</v>
      </c>
      <c r="C67" s="14">
        <v>3</v>
      </c>
      <c r="D67" s="12" t="s">
        <v>10</v>
      </c>
      <c r="E67" s="89" t="s">
        <v>44</v>
      </c>
      <c r="F67" s="96" t="s">
        <v>43</v>
      </c>
      <c r="G67" s="30">
        <v>9</v>
      </c>
      <c r="H67" s="9">
        <v>15</v>
      </c>
      <c r="I67" s="9">
        <v>22</v>
      </c>
      <c r="J67" s="22">
        <v>52</v>
      </c>
      <c r="K67" s="9">
        <v>73</v>
      </c>
      <c r="L67" s="9">
        <v>76</v>
      </c>
      <c r="M67" s="9">
        <v>86</v>
      </c>
      <c r="N67" s="9">
        <v>95</v>
      </c>
      <c r="O67" s="38">
        <v>98</v>
      </c>
      <c r="P67" s="38">
        <v>101</v>
      </c>
      <c r="Q67" s="54">
        <v>100</v>
      </c>
      <c r="R67" s="54">
        <v>98</v>
      </c>
    </row>
    <row r="68" spans="2:18" ht="19.5" customHeight="1" x14ac:dyDescent="0.2">
      <c r="B68" s="56"/>
      <c r="C68" s="57"/>
      <c r="D68" s="58" t="s">
        <v>33</v>
      </c>
      <c r="E68" s="90" t="s">
        <v>44</v>
      </c>
      <c r="F68" s="97" t="s">
        <v>43</v>
      </c>
      <c r="G68" s="86">
        <v>12</v>
      </c>
      <c r="H68" s="49">
        <v>19</v>
      </c>
      <c r="I68" s="49">
        <v>27</v>
      </c>
      <c r="J68" s="82">
        <v>56</v>
      </c>
      <c r="K68" s="49">
        <v>77</v>
      </c>
      <c r="L68" s="49">
        <v>78</v>
      </c>
      <c r="M68" s="49">
        <v>76</v>
      </c>
      <c r="N68" s="49">
        <v>79</v>
      </c>
      <c r="O68" s="87">
        <v>81</v>
      </c>
      <c r="P68" s="87">
        <v>82</v>
      </c>
      <c r="Q68" s="88">
        <v>83</v>
      </c>
      <c r="R68" s="88">
        <v>83</v>
      </c>
    </row>
    <row r="69" spans="2:18" ht="19.5" customHeight="1" thickBot="1" x14ac:dyDescent="0.25">
      <c r="B69" s="13"/>
      <c r="C69" s="15"/>
      <c r="D69" s="16" t="s">
        <v>11</v>
      </c>
      <c r="E69" s="91" t="s">
        <v>44</v>
      </c>
      <c r="F69" s="98" t="s">
        <v>43</v>
      </c>
      <c r="G69" s="31">
        <v>10</v>
      </c>
      <c r="H69" s="10">
        <v>18</v>
      </c>
      <c r="I69" s="10">
        <v>30</v>
      </c>
      <c r="J69" s="23">
        <v>59</v>
      </c>
      <c r="K69" s="10">
        <v>79</v>
      </c>
      <c r="L69" s="10">
        <v>78</v>
      </c>
      <c r="M69" s="10">
        <v>79</v>
      </c>
      <c r="N69" s="10">
        <v>81</v>
      </c>
      <c r="O69" s="48">
        <v>84</v>
      </c>
      <c r="P69" s="48">
        <v>86</v>
      </c>
      <c r="Q69" s="55">
        <v>85</v>
      </c>
      <c r="R69" s="55">
        <v>86</v>
      </c>
    </row>
    <row r="70" spans="2:18" ht="19.5" customHeight="1" x14ac:dyDescent="0.2">
      <c r="B70" s="11" t="s">
        <v>4</v>
      </c>
      <c r="C70" s="14">
        <v>4</v>
      </c>
      <c r="D70" s="12" t="s">
        <v>10</v>
      </c>
      <c r="E70" s="89" t="s">
        <v>47</v>
      </c>
      <c r="F70" s="96" t="s">
        <v>43</v>
      </c>
      <c r="G70" s="30">
        <v>14</v>
      </c>
      <c r="H70" s="9">
        <v>21</v>
      </c>
      <c r="I70" s="9">
        <v>29</v>
      </c>
      <c r="J70" s="22">
        <v>60</v>
      </c>
      <c r="K70" s="9">
        <v>79</v>
      </c>
      <c r="L70" s="9">
        <v>84</v>
      </c>
      <c r="M70" s="9">
        <v>87</v>
      </c>
      <c r="N70" s="9">
        <v>94</v>
      </c>
      <c r="O70" s="22">
        <v>99</v>
      </c>
      <c r="P70" s="22">
        <v>103</v>
      </c>
      <c r="Q70" s="30">
        <v>105</v>
      </c>
      <c r="R70" s="30">
        <v>101</v>
      </c>
    </row>
    <row r="71" spans="2:18" ht="19.5" customHeight="1" x14ac:dyDescent="0.2">
      <c r="B71" s="56"/>
      <c r="C71" s="57"/>
      <c r="D71" s="58" t="s">
        <v>33</v>
      </c>
      <c r="E71" s="90" t="s">
        <v>47</v>
      </c>
      <c r="F71" s="97" t="s">
        <v>43</v>
      </c>
      <c r="G71" s="86">
        <v>11</v>
      </c>
      <c r="H71" s="49">
        <v>19</v>
      </c>
      <c r="I71" s="49">
        <v>24</v>
      </c>
      <c r="J71" s="82">
        <v>46</v>
      </c>
      <c r="K71" s="49">
        <v>69</v>
      </c>
      <c r="L71" s="49">
        <v>75</v>
      </c>
      <c r="M71" s="49">
        <v>83</v>
      </c>
      <c r="N71" s="49">
        <v>90</v>
      </c>
      <c r="O71" s="82">
        <v>96</v>
      </c>
      <c r="P71" s="82">
        <v>101</v>
      </c>
      <c r="Q71" s="86">
        <v>102</v>
      </c>
      <c r="R71" s="86">
        <v>102</v>
      </c>
    </row>
    <row r="72" spans="2:18" ht="19.5" customHeight="1" thickBot="1" x14ac:dyDescent="0.25">
      <c r="B72" s="13"/>
      <c r="C72" s="15"/>
      <c r="D72" s="16" t="s">
        <v>11</v>
      </c>
      <c r="E72" s="91" t="s">
        <v>47</v>
      </c>
      <c r="F72" s="98" t="s">
        <v>43</v>
      </c>
      <c r="G72" s="31">
        <v>13</v>
      </c>
      <c r="H72" s="10">
        <v>21</v>
      </c>
      <c r="I72" s="10">
        <v>26</v>
      </c>
      <c r="J72" s="23">
        <v>61</v>
      </c>
      <c r="K72" s="10">
        <v>82</v>
      </c>
      <c r="L72" s="10">
        <v>86</v>
      </c>
      <c r="M72" s="10">
        <v>96</v>
      </c>
      <c r="N72" s="10">
        <v>103</v>
      </c>
      <c r="O72" s="23">
        <v>108</v>
      </c>
      <c r="P72" s="23">
        <v>110</v>
      </c>
      <c r="Q72" s="31">
        <v>109</v>
      </c>
      <c r="R72" s="31">
        <v>106</v>
      </c>
    </row>
    <row r="73" spans="2:18" ht="19.5" customHeight="1" x14ac:dyDescent="0.2">
      <c r="B73" s="11" t="s">
        <v>5</v>
      </c>
      <c r="C73" s="14">
        <v>4</v>
      </c>
      <c r="D73" s="12" t="s">
        <v>11</v>
      </c>
      <c r="E73" s="89" t="s">
        <v>47</v>
      </c>
      <c r="F73" s="93" t="s">
        <v>41</v>
      </c>
      <c r="G73" s="30">
        <v>5</v>
      </c>
      <c r="H73" s="9">
        <v>9</v>
      </c>
      <c r="I73" s="9">
        <v>19</v>
      </c>
      <c r="J73" s="22">
        <v>41</v>
      </c>
      <c r="K73" s="9">
        <v>64</v>
      </c>
      <c r="L73" s="9">
        <v>65</v>
      </c>
      <c r="M73" s="9">
        <v>69</v>
      </c>
      <c r="N73" s="9">
        <v>78</v>
      </c>
      <c r="O73" s="22">
        <v>83</v>
      </c>
      <c r="P73" s="22">
        <v>88</v>
      </c>
      <c r="Q73" s="30">
        <v>93</v>
      </c>
      <c r="R73" s="30">
        <v>95</v>
      </c>
    </row>
    <row r="74" spans="2:18" ht="19.5" customHeight="1" x14ac:dyDescent="0.2">
      <c r="B74" s="56"/>
      <c r="C74" s="57"/>
      <c r="D74" s="58" t="s">
        <v>33</v>
      </c>
      <c r="E74" s="90" t="s">
        <v>47</v>
      </c>
      <c r="F74" s="94" t="s">
        <v>41</v>
      </c>
      <c r="G74" s="86">
        <v>6</v>
      </c>
      <c r="H74" s="49">
        <v>10</v>
      </c>
      <c r="I74" s="49">
        <v>19</v>
      </c>
      <c r="J74" s="82">
        <v>44</v>
      </c>
      <c r="K74" s="49">
        <v>67</v>
      </c>
      <c r="L74" s="49">
        <v>71</v>
      </c>
      <c r="M74" s="49">
        <v>77</v>
      </c>
      <c r="N74" s="49">
        <v>90</v>
      </c>
      <c r="O74" s="82">
        <v>95</v>
      </c>
      <c r="P74" s="82">
        <v>99</v>
      </c>
      <c r="Q74" s="86">
        <v>101</v>
      </c>
      <c r="R74" s="86">
        <v>104</v>
      </c>
    </row>
    <row r="75" spans="2:18" ht="19.5" customHeight="1" thickBot="1" x14ac:dyDescent="0.25">
      <c r="B75" s="13"/>
      <c r="C75" s="15"/>
      <c r="D75" s="16" t="s">
        <v>10</v>
      </c>
      <c r="E75" s="91" t="s">
        <v>47</v>
      </c>
      <c r="F75" s="95" t="s">
        <v>41</v>
      </c>
      <c r="G75" s="31">
        <v>7</v>
      </c>
      <c r="H75" s="10">
        <v>13</v>
      </c>
      <c r="I75" s="10">
        <v>19</v>
      </c>
      <c r="J75" s="23">
        <v>54</v>
      </c>
      <c r="K75" s="10">
        <v>72</v>
      </c>
      <c r="L75" s="10">
        <v>79</v>
      </c>
      <c r="M75" s="10">
        <v>91</v>
      </c>
      <c r="N75" s="10">
        <v>102</v>
      </c>
      <c r="O75" s="23">
        <v>108</v>
      </c>
      <c r="P75" s="23">
        <v>110</v>
      </c>
      <c r="Q75" s="31">
        <v>112</v>
      </c>
      <c r="R75" s="31">
        <v>115</v>
      </c>
    </row>
    <row r="76" spans="2:18" ht="19.5" customHeight="1" x14ac:dyDescent="0.2">
      <c r="B76" s="11" t="s">
        <v>5</v>
      </c>
      <c r="C76" s="14">
        <v>3</v>
      </c>
      <c r="D76" s="12" t="s">
        <v>11</v>
      </c>
      <c r="E76" s="89" t="s">
        <v>44</v>
      </c>
      <c r="F76" s="93" t="s">
        <v>41</v>
      </c>
      <c r="G76" s="30">
        <v>5</v>
      </c>
      <c r="H76" s="9">
        <v>11</v>
      </c>
      <c r="I76" s="9">
        <v>17</v>
      </c>
      <c r="J76" s="22">
        <v>44</v>
      </c>
      <c r="K76" s="9">
        <v>57</v>
      </c>
      <c r="L76" s="9">
        <v>62</v>
      </c>
      <c r="M76" s="9">
        <v>71</v>
      </c>
      <c r="N76" s="9">
        <v>78</v>
      </c>
      <c r="O76" s="22">
        <v>83</v>
      </c>
      <c r="P76" s="22">
        <v>86</v>
      </c>
      <c r="Q76" s="30">
        <v>88</v>
      </c>
      <c r="R76" s="30">
        <v>89</v>
      </c>
    </row>
    <row r="77" spans="2:18" ht="19.5" customHeight="1" x14ac:dyDescent="0.2">
      <c r="B77" s="56"/>
      <c r="C77" s="57"/>
      <c r="D77" s="58" t="s">
        <v>33</v>
      </c>
      <c r="E77" s="90" t="s">
        <v>44</v>
      </c>
      <c r="F77" s="94" t="s">
        <v>41</v>
      </c>
      <c r="G77" s="86">
        <v>6</v>
      </c>
      <c r="H77" s="49">
        <v>13</v>
      </c>
      <c r="I77" s="49">
        <v>20</v>
      </c>
      <c r="J77" s="82">
        <v>47</v>
      </c>
      <c r="K77" s="49">
        <v>62</v>
      </c>
      <c r="L77" s="49">
        <v>72</v>
      </c>
      <c r="M77" s="49">
        <v>88</v>
      </c>
      <c r="N77" s="49">
        <v>93</v>
      </c>
      <c r="O77" s="82">
        <v>97</v>
      </c>
      <c r="P77" s="82">
        <v>101</v>
      </c>
      <c r="Q77" s="86">
        <v>104</v>
      </c>
      <c r="R77" s="86">
        <v>102</v>
      </c>
    </row>
    <row r="78" spans="2:18" ht="19.5" customHeight="1" thickBot="1" x14ac:dyDescent="0.25">
      <c r="B78" s="13"/>
      <c r="C78" s="15"/>
      <c r="D78" s="16" t="s">
        <v>10</v>
      </c>
      <c r="E78" s="91" t="s">
        <v>44</v>
      </c>
      <c r="F78" s="95" t="s">
        <v>41</v>
      </c>
      <c r="G78" s="31">
        <v>6</v>
      </c>
      <c r="H78" s="10">
        <v>13</v>
      </c>
      <c r="I78" s="10">
        <v>17</v>
      </c>
      <c r="J78" s="23">
        <v>45</v>
      </c>
      <c r="K78" s="10">
        <v>58</v>
      </c>
      <c r="L78" s="10">
        <v>66</v>
      </c>
      <c r="M78" s="10">
        <v>81</v>
      </c>
      <c r="N78" s="10">
        <v>88</v>
      </c>
      <c r="O78" s="23">
        <v>93</v>
      </c>
      <c r="P78" s="23">
        <v>97</v>
      </c>
      <c r="Q78" s="31">
        <v>101</v>
      </c>
      <c r="R78" s="31">
        <v>99</v>
      </c>
    </row>
    <row r="79" spans="2:18" ht="19.5" customHeight="1" x14ac:dyDescent="0.2">
      <c r="B79" s="11" t="s">
        <v>5</v>
      </c>
      <c r="C79" s="14">
        <v>2</v>
      </c>
      <c r="D79" s="12" t="s">
        <v>11</v>
      </c>
      <c r="E79" s="89" t="s">
        <v>45</v>
      </c>
      <c r="F79" s="93" t="s">
        <v>41</v>
      </c>
      <c r="G79" s="30">
        <v>4</v>
      </c>
      <c r="H79" s="9">
        <v>9</v>
      </c>
      <c r="I79" s="9">
        <v>16</v>
      </c>
      <c r="J79" s="22">
        <v>39</v>
      </c>
      <c r="K79" s="9">
        <v>58</v>
      </c>
      <c r="L79" s="9">
        <v>60</v>
      </c>
      <c r="M79" s="9">
        <v>89</v>
      </c>
      <c r="N79" s="9">
        <v>97</v>
      </c>
      <c r="O79" s="22">
        <v>104</v>
      </c>
      <c r="P79" s="22">
        <v>107</v>
      </c>
      <c r="Q79" s="30">
        <v>105</v>
      </c>
      <c r="R79" s="30">
        <v>103</v>
      </c>
    </row>
    <row r="80" spans="2:18" ht="19.5" customHeight="1" x14ac:dyDescent="0.2">
      <c r="B80" s="56"/>
      <c r="C80" s="57"/>
      <c r="D80" s="58" t="s">
        <v>33</v>
      </c>
      <c r="E80" s="90" t="s">
        <v>45</v>
      </c>
      <c r="F80" s="94" t="s">
        <v>41</v>
      </c>
      <c r="G80" s="86">
        <v>6</v>
      </c>
      <c r="H80" s="49">
        <v>11</v>
      </c>
      <c r="I80" s="49">
        <v>16</v>
      </c>
      <c r="J80" s="82">
        <v>37</v>
      </c>
      <c r="K80" s="49">
        <v>53</v>
      </c>
      <c r="L80" s="49">
        <v>63</v>
      </c>
      <c r="M80" s="49">
        <v>85</v>
      </c>
      <c r="N80" s="49">
        <v>91</v>
      </c>
      <c r="O80" s="82">
        <v>95</v>
      </c>
      <c r="P80" s="82">
        <v>102</v>
      </c>
      <c r="Q80" s="86">
        <v>101</v>
      </c>
      <c r="R80" s="86">
        <v>97</v>
      </c>
    </row>
    <row r="81" spans="2:18" ht="19.5" customHeight="1" thickBot="1" x14ac:dyDescent="0.25">
      <c r="B81" s="13"/>
      <c r="C81" s="15"/>
      <c r="D81" s="16" t="s">
        <v>10</v>
      </c>
      <c r="E81" s="91" t="s">
        <v>45</v>
      </c>
      <c r="F81" s="95" t="s">
        <v>41</v>
      </c>
      <c r="G81" s="31">
        <v>6</v>
      </c>
      <c r="H81" s="10">
        <v>12</v>
      </c>
      <c r="I81" s="10">
        <v>21</v>
      </c>
      <c r="J81" s="23">
        <v>44</v>
      </c>
      <c r="K81" s="10">
        <v>61</v>
      </c>
      <c r="L81" s="10">
        <v>74</v>
      </c>
      <c r="M81" s="10">
        <v>94</v>
      </c>
      <c r="N81" s="10">
        <v>105</v>
      </c>
      <c r="O81" s="23">
        <v>108</v>
      </c>
      <c r="P81" s="23">
        <v>110</v>
      </c>
      <c r="Q81" s="31">
        <v>108</v>
      </c>
      <c r="R81" s="31">
        <v>104</v>
      </c>
    </row>
    <row r="82" spans="2:18" ht="19.5" customHeight="1" x14ac:dyDescent="0.2">
      <c r="B82" s="11" t="s">
        <v>5</v>
      </c>
      <c r="C82" s="14">
        <v>1</v>
      </c>
      <c r="D82" s="66" t="s">
        <v>11</v>
      </c>
      <c r="E82" s="89" t="s">
        <v>48</v>
      </c>
      <c r="F82" s="93" t="s">
        <v>41</v>
      </c>
      <c r="G82" s="30">
        <v>7</v>
      </c>
      <c r="H82" s="9">
        <v>12</v>
      </c>
      <c r="I82" s="9">
        <v>21</v>
      </c>
      <c r="J82" s="22">
        <v>34</v>
      </c>
      <c r="K82" s="9">
        <v>55</v>
      </c>
      <c r="L82" s="9">
        <v>65</v>
      </c>
      <c r="M82" s="9">
        <v>79</v>
      </c>
      <c r="N82" s="9">
        <v>88</v>
      </c>
      <c r="O82" s="22">
        <v>93</v>
      </c>
      <c r="P82" s="22">
        <v>97</v>
      </c>
      <c r="Q82" s="30">
        <v>101</v>
      </c>
      <c r="R82" s="30">
        <v>104</v>
      </c>
    </row>
    <row r="83" spans="2:18" ht="19.5" customHeight="1" x14ac:dyDescent="0.2">
      <c r="B83" s="56"/>
      <c r="C83" s="57"/>
      <c r="D83" s="70" t="s">
        <v>33</v>
      </c>
      <c r="E83" s="90" t="s">
        <v>48</v>
      </c>
      <c r="F83" s="94" t="s">
        <v>41</v>
      </c>
      <c r="G83" s="86">
        <v>9</v>
      </c>
      <c r="H83" s="49">
        <v>15</v>
      </c>
      <c r="I83" s="49">
        <v>19</v>
      </c>
      <c r="J83" s="82">
        <v>43</v>
      </c>
      <c r="K83" s="49">
        <v>63</v>
      </c>
      <c r="L83" s="49">
        <v>76</v>
      </c>
      <c r="M83" s="49">
        <v>97</v>
      </c>
      <c r="N83" s="49">
        <v>109</v>
      </c>
      <c r="O83" s="82">
        <v>115</v>
      </c>
      <c r="P83" s="82">
        <v>117</v>
      </c>
      <c r="Q83" s="86">
        <v>108</v>
      </c>
      <c r="R83" s="86">
        <v>110</v>
      </c>
    </row>
    <row r="84" spans="2:18" ht="19.5" customHeight="1" thickBot="1" x14ac:dyDescent="0.25">
      <c r="B84" s="13"/>
      <c r="C84" s="15"/>
      <c r="D84" s="74" t="s">
        <v>10</v>
      </c>
      <c r="E84" s="91" t="s">
        <v>48</v>
      </c>
      <c r="F84" s="95" t="s">
        <v>41</v>
      </c>
      <c r="G84" s="31">
        <v>12</v>
      </c>
      <c r="H84" s="10">
        <v>17</v>
      </c>
      <c r="I84" s="10">
        <v>23</v>
      </c>
      <c r="J84" s="23">
        <v>53</v>
      </c>
      <c r="K84" s="10">
        <v>69</v>
      </c>
      <c r="L84" s="10">
        <v>76</v>
      </c>
      <c r="M84" s="10">
        <v>98</v>
      </c>
      <c r="N84" s="10">
        <v>110</v>
      </c>
      <c r="O84" s="23">
        <v>115</v>
      </c>
      <c r="P84" s="23">
        <v>115</v>
      </c>
      <c r="Q84" s="31">
        <v>116</v>
      </c>
      <c r="R84" s="31">
        <v>114</v>
      </c>
    </row>
    <row r="85" spans="2:18" ht="19.5" customHeight="1" x14ac:dyDescent="0.2">
      <c r="B85" s="11">
        <v>7</v>
      </c>
      <c r="C85" s="14">
        <v>1</v>
      </c>
      <c r="D85" s="12" t="s">
        <v>10</v>
      </c>
      <c r="E85" s="89" t="s">
        <v>47</v>
      </c>
      <c r="F85" s="96" t="s">
        <v>43</v>
      </c>
      <c r="G85" s="30">
        <v>11</v>
      </c>
      <c r="H85" s="9">
        <v>16</v>
      </c>
      <c r="I85" s="9">
        <v>30</v>
      </c>
      <c r="J85" s="22">
        <v>61</v>
      </c>
      <c r="K85" s="9">
        <v>79</v>
      </c>
      <c r="L85" s="9">
        <v>81</v>
      </c>
      <c r="M85" s="9">
        <v>88</v>
      </c>
      <c r="N85" s="9">
        <v>96</v>
      </c>
      <c r="O85" s="38">
        <v>101</v>
      </c>
      <c r="P85" s="38">
        <v>104</v>
      </c>
      <c r="Q85" s="54">
        <v>106</v>
      </c>
      <c r="R85" s="54">
        <v>105</v>
      </c>
    </row>
    <row r="86" spans="2:18" ht="19.5" customHeight="1" x14ac:dyDescent="0.2">
      <c r="B86" s="56"/>
      <c r="C86" s="57"/>
      <c r="D86" s="58" t="s">
        <v>33</v>
      </c>
      <c r="E86" s="90" t="s">
        <v>47</v>
      </c>
      <c r="F86" s="97" t="s">
        <v>43</v>
      </c>
      <c r="G86" s="86">
        <v>14</v>
      </c>
      <c r="H86" s="49">
        <v>20</v>
      </c>
      <c r="I86" s="49">
        <v>26</v>
      </c>
      <c r="J86" s="82">
        <v>56</v>
      </c>
      <c r="K86" s="49">
        <v>77</v>
      </c>
      <c r="L86" s="49">
        <v>78</v>
      </c>
      <c r="M86" s="49">
        <v>82</v>
      </c>
      <c r="N86" s="49">
        <v>88</v>
      </c>
      <c r="O86" s="87">
        <v>92</v>
      </c>
      <c r="P86" s="87">
        <v>94</v>
      </c>
      <c r="Q86" s="88">
        <v>94</v>
      </c>
      <c r="R86" s="88">
        <v>95</v>
      </c>
    </row>
    <row r="87" spans="2:18" ht="19.5" customHeight="1" thickBot="1" x14ac:dyDescent="0.25">
      <c r="B87" s="13"/>
      <c r="C87" s="15"/>
      <c r="D87" s="16" t="s">
        <v>11</v>
      </c>
      <c r="E87" s="91" t="s">
        <v>47</v>
      </c>
      <c r="F87" s="98" t="s">
        <v>43</v>
      </c>
      <c r="G87" s="31">
        <v>16</v>
      </c>
      <c r="H87" s="10">
        <v>21</v>
      </c>
      <c r="I87" s="10">
        <v>31</v>
      </c>
      <c r="J87" s="23">
        <v>55</v>
      </c>
      <c r="K87" s="10">
        <v>74</v>
      </c>
      <c r="L87" s="10">
        <v>74</v>
      </c>
      <c r="M87" s="10">
        <v>74</v>
      </c>
      <c r="N87" s="10">
        <v>78</v>
      </c>
      <c r="O87" s="23">
        <v>81</v>
      </c>
      <c r="P87" s="23">
        <v>84</v>
      </c>
      <c r="Q87" s="31">
        <v>85</v>
      </c>
      <c r="R87" s="31">
        <v>85</v>
      </c>
    </row>
    <row r="88" spans="2:18" ht="19.5" customHeight="1" x14ac:dyDescent="0.2">
      <c r="B88" s="11">
        <v>7</v>
      </c>
      <c r="C88" s="14">
        <v>2</v>
      </c>
      <c r="D88" s="12" t="s">
        <v>10</v>
      </c>
      <c r="E88" s="89" t="s">
        <v>46</v>
      </c>
      <c r="F88" s="96" t="s">
        <v>43</v>
      </c>
      <c r="G88" s="30">
        <v>11</v>
      </c>
      <c r="H88" s="9">
        <v>16</v>
      </c>
      <c r="I88" s="9">
        <v>21</v>
      </c>
      <c r="J88" s="22">
        <v>39</v>
      </c>
      <c r="K88" s="9">
        <v>61</v>
      </c>
      <c r="L88" s="9">
        <v>62</v>
      </c>
      <c r="M88" s="9">
        <v>62</v>
      </c>
      <c r="N88" s="9">
        <v>69</v>
      </c>
      <c r="O88" s="22">
        <v>73</v>
      </c>
      <c r="P88" s="22">
        <v>77</v>
      </c>
      <c r="Q88" s="30">
        <v>80</v>
      </c>
      <c r="R88" s="30">
        <v>81</v>
      </c>
    </row>
    <row r="89" spans="2:18" ht="19.5" customHeight="1" x14ac:dyDescent="0.2">
      <c r="B89" s="56"/>
      <c r="C89" s="57"/>
      <c r="D89" s="58" t="s">
        <v>33</v>
      </c>
      <c r="E89" s="90" t="s">
        <v>46</v>
      </c>
      <c r="F89" s="97" t="s">
        <v>43</v>
      </c>
      <c r="G89" s="86">
        <v>14</v>
      </c>
      <c r="H89" s="49">
        <v>21</v>
      </c>
      <c r="I89" s="49">
        <v>28</v>
      </c>
      <c r="J89" s="82">
        <v>58</v>
      </c>
      <c r="K89" s="49">
        <v>82</v>
      </c>
      <c r="L89" s="49">
        <v>85</v>
      </c>
      <c r="M89" s="49">
        <v>94</v>
      </c>
      <c r="N89" s="49">
        <v>104</v>
      </c>
      <c r="O89" s="82">
        <v>111</v>
      </c>
      <c r="P89" s="82">
        <v>116</v>
      </c>
      <c r="Q89" s="86">
        <v>118</v>
      </c>
      <c r="R89" s="86">
        <v>111</v>
      </c>
    </row>
    <row r="90" spans="2:18" ht="19.5" customHeight="1" thickBot="1" x14ac:dyDescent="0.25">
      <c r="B90" s="13"/>
      <c r="C90" s="15"/>
      <c r="D90" s="16" t="s">
        <v>11</v>
      </c>
      <c r="E90" s="91" t="s">
        <v>46</v>
      </c>
      <c r="F90" s="98" t="s">
        <v>43</v>
      </c>
      <c r="G90" s="31">
        <v>10</v>
      </c>
      <c r="H90" s="10">
        <v>16</v>
      </c>
      <c r="I90" s="10">
        <v>23</v>
      </c>
      <c r="J90" s="23">
        <v>55</v>
      </c>
      <c r="K90" s="10">
        <v>80</v>
      </c>
      <c r="L90" s="10">
        <v>81</v>
      </c>
      <c r="M90" s="10">
        <v>85</v>
      </c>
      <c r="N90" s="10">
        <v>96</v>
      </c>
      <c r="O90" s="23">
        <v>102</v>
      </c>
      <c r="P90" s="23">
        <v>108</v>
      </c>
      <c r="Q90" s="31">
        <v>110</v>
      </c>
      <c r="R90" s="31">
        <v>112</v>
      </c>
    </row>
    <row r="91" spans="2:18" ht="19.5" customHeight="1" x14ac:dyDescent="0.2">
      <c r="B91" s="11">
        <v>7</v>
      </c>
      <c r="C91" s="14">
        <v>3</v>
      </c>
      <c r="D91" s="12" t="s">
        <v>10</v>
      </c>
      <c r="E91" s="89" t="s">
        <v>42</v>
      </c>
      <c r="F91" s="96" t="s">
        <v>43</v>
      </c>
      <c r="G91" s="30">
        <v>8</v>
      </c>
      <c r="H91" s="9">
        <v>14</v>
      </c>
      <c r="I91" s="9">
        <v>16</v>
      </c>
      <c r="J91" s="22">
        <v>42</v>
      </c>
      <c r="K91" s="9">
        <v>46</v>
      </c>
      <c r="L91" s="9">
        <v>58</v>
      </c>
      <c r="M91" s="9">
        <v>77</v>
      </c>
      <c r="N91" s="9">
        <v>89</v>
      </c>
      <c r="O91" s="22">
        <v>93</v>
      </c>
      <c r="P91" s="22">
        <v>97</v>
      </c>
      <c r="Q91" s="30">
        <v>98</v>
      </c>
      <c r="R91" s="30">
        <v>98</v>
      </c>
    </row>
    <row r="92" spans="2:18" ht="19.5" customHeight="1" x14ac:dyDescent="0.2">
      <c r="B92" s="56"/>
      <c r="C92" s="57"/>
      <c r="D92" s="58" t="s">
        <v>33</v>
      </c>
      <c r="E92" s="90" t="s">
        <v>42</v>
      </c>
      <c r="F92" s="97" t="s">
        <v>43</v>
      </c>
      <c r="G92" s="86">
        <v>13</v>
      </c>
      <c r="H92" s="49">
        <v>21</v>
      </c>
      <c r="I92" s="49">
        <v>31</v>
      </c>
      <c r="J92" s="82">
        <v>63</v>
      </c>
      <c r="K92" s="49">
        <v>76</v>
      </c>
      <c r="L92" s="49">
        <v>81</v>
      </c>
      <c r="M92" s="49">
        <v>88</v>
      </c>
      <c r="N92" s="49">
        <v>103</v>
      </c>
      <c r="O92" s="82">
        <v>108</v>
      </c>
      <c r="P92" s="82">
        <v>113</v>
      </c>
      <c r="Q92" s="86">
        <v>115</v>
      </c>
      <c r="R92" s="86">
        <v>116</v>
      </c>
    </row>
    <row r="93" spans="2:18" ht="19.5" customHeight="1" thickBot="1" x14ac:dyDescent="0.25">
      <c r="B93" s="13"/>
      <c r="C93" s="15"/>
      <c r="D93" s="16" t="s">
        <v>11</v>
      </c>
      <c r="E93" s="91" t="s">
        <v>42</v>
      </c>
      <c r="F93" s="98" t="s">
        <v>43</v>
      </c>
      <c r="G93" s="31">
        <v>11</v>
      </c>
      <c r="H93" s="10">
        <v>17</v>
      </c>
      <c r="I93" s="10">
        <v>26</v>
      </c>
      <c r="J93" s="23">
        <v>45</v>
      </c>
      <c r="K93" s="10">
        <v>48</v>
      </c>
      <c r="L93" s="10">
        <v>58</v>
      </c>
      <c r="M93" s="10">
        <v>74</v>
      </c>
      <c r="N93" s="10">
        <v>86</v>
      </c>
      <c r="O93" s="23">
        <v>90</v>
      </c>
      <c r="P93" s="23">
        <v>94</v>
      </c>
      <c r="Q93" s="31">
        <v>95</v>
      </c>
      <c r="R93" s="31">
        <v>95</v>
      </c>
    </row>
    <row r="94" spans="2:18" ht="19.5" customHeight="1" x14ac:dyDescent="0.2">
      <c r="B94" s="11">
        <v>7</v>
      </c>
      <c r="C94" s="14">
        <v>4</v>
      </c>
      <c r="D94" s="12" t="s">
        <v>10</v>
      </c>
      <c r="E94" s="89" t="s">
        <v>48</v>
      </c>
      <c r="F94" s="96" t="s">
        <v>43</v>
      </c>
      <c r="G94" s="30">
        <v>12</v>
      </c>
      <c r="H94" s="9">
        <v>18</v>
      </c>
      <c r="I94" s="9">
        <v>23</v>
      </c>
      <c r="J94" s="22">
        <v>53</v>
      </c>
      <c r="K94" s="9">
        <v>71</v>
      </c>
      <c r="L94" s="9">
        <v>80</v>
      </c>
      <c r="M94" s="9">
        <v>95</v>
      </c>
      <c r="N94" s="9">
        <v>102</v>
      </c>
      <c r="O94" s="22">
        <v>104</v>
      </c>
      <c r="P94" s="22">
        <v>107</v>
      </c>
      <c r="Q94" s="30">
        <v>107</v>
      </c>
      <c r="R94" s="30">
        <v>102</v>
      </c>
    </row>
    <row r="95" spans="2:18" ht="19.5" customHeight="1" x14ac:dyDescent="0.2">
      <c r="B95" s="56"/>
      <c r="C95" s="57"/>
      <c r="D95" s="58" t="s">
        <v>33</v>
      </c>
      <c r="E95" s="90" t="s">
        <v>48</v>
      </c>
      <c r="F95" s="97" t="s">
        <v>43</v>
      </c>
      <c r="G95" s="86">
        <v>10</v>
      </c>
      <c r="H95" s="49">
        <v>15</v>
      </c>
      <c r="I95" s="49">
        <v>22</v>
      </c>
      <c r="J95" s="82">
        <v>44</v>
      </c>
      <c r="K95" s="49">
        <v>64</v>
      </c>
      <c r="L95" s="49">
        <v>71</v>
      </c>
      <c r="M95" s="49">
        <v>82</v>
      </c>
      <c r="N95" s="49">
        <v>88</v>
      </c>
      <c r="O95" s="82">
        <v>91</v>
      </c>
      <c r="P95" s="82">
        <v>95</v>
      </c>
      <c r="Q95" s="86">
        <v>97</v>
      </c>
      <c r="R95" s="86">
        <v>97</v>
      </c>
    </row>
    <row r="96" spans="2:18" ht="19.5" customHeight="1" thickBot="1" x14ac:dyDescent="0.25">
      <c r="B96" s="13"/>
      <c r="C96" s="15"/>
      <c r="D96" s="16" t="s">
        <v>11</v>
      </c>
      <c r="E96" s="91" t="s">
        <v>48</v>
      </c>
      <c r="F96" s="98" t="s">
        <v>43</v>
      </c>
      <c r="G96" s="31">
        <v>11</v>
      </c>
      <c r="H96" s="10">
        <v>17</v>
      </c>
      <c r="I96" s="10">
        <v>25</v>
      </c>
      <c r="J96" s="23">
        <v>57</v>
      </c>
      <c r="K96" s="10">
        <v>68</v>
      </c>
      <c r="L96" s="10">
        <v>73</v>
      </c>
      <c r="M96" s="10">
        <v>86</v>
      </c>
      <c r="N96" s="10">
        <v>91</v>
      </c>
      <c r="O96" s="23">
        <v>95</v>
      </c>
      <c r="P96" s="23">
        <v>98</v>
      </c>
      <c r="Q96" s="31">
        <v>97</v>
      </c>
      <c r="R96" s="31">
        <v>98</v>
      </c>
    </row>
    <row r="97" spans="2:18" ht="19.5" customHeight="1" x14ac:dyDescent="0.2">
      <c r="B97" s="11">
        <v>8</v>
      </c>
      <c r="C97" s="14">
        <v>4</v>
      </c>
      <c r="D97" s="12" t="s">
        <v>11</v>
      </c>
      <c r="E97" s="89" t="s">
        <v>48</v>
      </c>
      <c r="F97" s="93" t="s">
        <v>41</v>
      </c>
      <c r="G97" s="30">
        <v>8</v>
      </c>
      <c r="H97" s="9">
        <v>13</v>
      </c>
      <c r="I97" s="9">
        <v>15</v>
      </c>
      <c r="J97" s="22">
        <v>40</v>
      </c>
      <c r="K97" s="9">
        <v>60</v>
      </c>
      <c r="L97" s="9">
        <v>65</v>
      </c>
      <c r="M97" s="9">
        <v>79</v>
      </c>
      <c r="N97" s="9">
        <v>89</v>
      </c>
      <c r="O97" s="22">
        <v>91</v>
      </c>
      <c r="P97" s="22">
        <v>93</v>
      </c>
      <c r="Q97" s="30">
        <v>95</v>
      </c>
      <c r="R97" s="30">
        <v>97</v>
      </c>
    </row>
    <row r="98" spans="2:18" ht="19.5" customHeight="1" x14ac:dyDescent="0.2">
      <c r="B98" s="56"/>
      <c r="C98" s="57"/>
      <c r="D98" s="58" t="s">
        <v>33</v>
      </c>
      <c r="E98" s="90" t="s">
        <v>48</v>
      </c>
      <c r="F98" s="94" t="s">
        <v>41</v>
      </c>
      <c r="G98" s="86">
        <v>6</v>
      </c>
      <c r="H98" s="49">
        <v>11</v>
      </c>
      <c r="I98" s="49">
        <v>13</v>
      </c>
      <c r="J98" s="82">
        <v>29</v>
      </c>
      <c r="K98" s="49">
        <v>53</v>
      </c>
      <c r="L98" s="49">
        <v>56</v>
      </c>
      <c r="M98" s="49">
        <v>66</v>
      </c>
      <c r="N98" s="49">
        <v>73</v>
      </c>
      <c r="O98" s="82">
        <v>76</v>
      </c>
      <c r="P98" s="82">
        <v>78</v>
      </c>
      <c r="Q98" s="86">
        <v>79</v>
      </c>
      <c r="R98" s="86">
        <v>79</v>
      </c>
    </row>
    <row r="99" spans="2:18" ht="19.5" customHeight="1" thickBot="1" x14ac:dyDescent="0.25">
      <c r="B99" s="13"/>
      <c r="C99" s="15"/>
      <c r="D99" s="16" t="s">
        <v>10</v>
      </c>
      <c r="E99" s="91" t="s">
        <v>48</v>
      </c>
      <c r="F99" s="95" t="s">
        <v>41</v>
      </c>
      <c r="G99" s="31">
        <v>6</v>
      </c>
      <c r="H99" s="10">
        <v>11</v>
      </c>
      <c r="I99" s="10">
        <v>16</v>
      </c>
      <c r="J99" s="23">
        <v>37</v>
      </c>
      <c r="K99" s="10">
        <v>59</v>
      </c>
      <c r="L99" s="10">
        <v>64</v>
      </c>
      <c r="M99" s="10">
        <v>77</v>
      </c>
      <c r="N99" s="10">
        <v>88</v>
      </c>
      <c r="O99" s="23">
        <v>90</v>
      </c>
      <c r="P99" s="23">
        <v>92</v>
      </c>
      <c r="Q99" s="31">
        <v>93</v>
      </c>
      <c r="R99" s="31">
        <v>93</v>
      </c>
    </row>
    <row r="100" spans="2:18" ht="19.5" customHeight="1" x14ac:dyDescent="0.2">
      <c r="B100" s="11">
        <v>8</v>
      </c>
      <c r="C100" s="14">
        <v>3</v>
      </c>
      <c r="D100" s="12" t="s">
        <v>11</v>
      </c>
      <c r="E100" s="89" t="s">
        <v>42</v>
      </c>
      <c r="F100" s="93" t="s">
        <v>41</v>
      </c>
      <c r="G100" s="30">
        <v>7</v>
      </c>
      <c r="H100" s="9">
        <v>12</v>
      </c>
      <c r="I100" s="9">
        <v>19</v>
      </c>
      <c r="J100" s="22">
        <v>39</v>
      </c>
      <c r="K100" s="9">
        <v>59</v>
      </c>
      <c r="L100" s="9">
        <v>65</v>
      </c>
      <c r="M100" s="9">
        <v>81</v>
      </c>
      <c r="N100" s="9">
        <v>93</v>
      </c>
      <c r="O100" s="22">
        <v>97</v>
      </c>
      <c r="P100" s="22">
        <v>101</v>
      </c>
      <c r="Q100" s="30">
        <v>104</v>
      </c>
      <c r="R100" s="30">
        <v>105</v>
      </c>
    </row>
    <row r="101" spans="2:18" ht="19.5" customHeight="1" x14ac:dyDescent="0.2">
      <c r="B101" s="56"/>
      <c r="C101" s="57"/>
      <c r="D101" s="58" t="s">
        <v>33</v>
      </c>
      <c r="E101" s="90" t="s">
        <v>42</v>
      </c>
      <c r="F101" s="94" t="s">
        <v>41</v>
      </c>
      <c r="G101" s="86">
        <v>9</v>
      </c>
      <c r="H101" s="49">
        <v>15</v>
      </c>
      <c r="I101" s="49">
        <v>19</v>
      </c>
      <c r="J101" s="82">
        <v>44</v>
      </c>
      <c r="K101" s="49">
        <v>61</v>
      </c>
      <c r="L101" s="49">
        <v>67</v>
      </c>
      <c r="M101" s="49">
        <v>78</v>
      </c>
      <c r="N101" s="49">
        <v>88</v>
      </c>
      <c r="O101" s="82">
        <v>91</v>
      </c>
      <c r="P101" s="82">
        <v>94</v>
      </c>
      <c r="Q101" s="86">
        <v>97</v>
      </c>
      <c r="R101" s="86">
        <v>99</v>
      </c>
    </row>
    <row r="102" spans="2:18" ht="19.5" customHeight="1" thickBot="1" x14ac:dyDescent="0.25">
      <c r="B102" s="13"/>
      <c r="C102" s="15"/>
      <c r="D102" s="16" t="s">
        <v>10</v>
      </c>
      <c r="E102" s="91" t="s">
        <v>42</v>
      </c>
      <c r="F102" s="95" t="s">
        <v>41</v>
      </c>
      <c r="G102" s="31">
        <v>6</v>
      </c>
      <c r="H102" s="10">
        <v>11</v>
      </c>
      <c r="I102" s="10">
        <v>19</v>
      </c>
      <c r="J102" s="23">
        <v>41</v>
      </c>
      <c r="K102" s="10">
        <v>59</v>
      </c>
      <c r="L102" s="10">
        <v>66</v>
      </c>
      <c r="M102" s="10">
        <v>81</v>
      </c>
      <c r="N102" s="10">
        <v>93</v>
      </c>
      <c r="O102" s="23">
        <v>96</v>
      </c>
      <c r="P102" s="23">
        <v>100</v>
      </c>
      <c r="Q102" s="31">
        <v>104</v>
      </c>
      <c r="R102" s="31">
        <v>106</v>
      </c>
    </row>
    <row r="103" spans="2:18" ht="19.5" customHeight="1" x14ac:dyDescent="0.2">
      <c r="B103" s="11">
        <v>8</v>
      </c>
      <c r="C103" s="14">
        <v>2</v>
      </c>
      <c r="D103" s="12" t="s">
        <v>11</v>
      </c>
      <c r="E103" s="89" t="s">
        <v>46</v>
      </c>
      <c r="F103" s="93" t="s">
        <v>41</v>
      </c>
      <c r="G103" s="30">
        <v>7</v>
      </c>
      <c r="H103" s="9">
        <v>13</v>
      </c>
      <c r="I103" s="9">
        <v>18</v>
      </c>
      <c r="J103" s="22">
        <v>45</v>
      </c>
      <c r="K103" s="9">
        <v>68</v>
      </c>
      <c r="L103" s="9">
        <v>77</v>
      </c>
      <c r="M103" s="9">
        <v>85</v>
      </c>
      <c r="N103" s="9">
        <v>90</v>
      </c>
      <c r="O103" s="22">
        <v>95</v>
      </c>
      <c r="P103" s="22">
        <v>100</v>
      </c>
      <c r="Q103" s="30">
        <v>103</v>
      </c>
      <c r="R103" s="30">
        <v>103</v>
      </c>
    </row>
    <row r="104" spans="2:18" ht="19.5" customHeight="1" x14ac:dyDescent="0.2">
      <c r="B104" s="56"/>
      <c r="C104" s="57"/>
      <c r="D104" s="58" t="s">
        <v>33</v>
      </c>
      <c r="E104" s="90" t="s">
        <v>46</v>
      </c>
      <c r="F104" s="94" t="s">
        <v>41</v>
      </c>
      <c r="G104" s="86">
        <v>5</v>
      </c>
      <c r="H104" s="49">
        <v>11</v>
      </c>
      <c r="I104" s="49">
        <v>17</v>
      </c>
      <c r="J104" s="82">
        <v>48</v>
      </c>
      <c r="K104" s="49">
        <v>73</v>
      </c>
      <c r="L104" s="49">
        <v>79</v>
      </c>
      <c r="M104" s="49">
        <v>82</v>
      </c>
      <c r="N104" s="49">
        <v>87</v>
      </c>
      <c r="O104" s="82">
        <v>92</v>
      </c>
      <c r="P104" s="82">
        <v>96</v>
      </c>
      <c r="Q104" s="86">
        <v>98</v>
      </c>
      <c r="R104" s="86">
        <v>99</v>
      </c>
    </row>
    <row r="105" spans="2:18" ht="19.5" customHeight="1" thickBot="1" x14ac:dyDescent="0.25">
      <c r="B105" s="13"/>
      <c r="C105" s="15"/>
      <c r="D105" s="16" t="s">
        <v>10</v>
      </c>
      <c r="E105" s="91" t="s">
        <v>46</v>
      </c>
      <c r="F105" s="95" t="s">
        <v>41</v>
      </c>
      <c r="G105" s="31">
        <v>6</v>
      </c>
      <c r="H105" s="10">
        <v>12</v>
      </c>
      <c r="I105" s="10">
        <v>17</v>
      </c>
      <c r="J105" s="23">
        <v>38</v>
      </c>
      <c r="K105" s="10">
        <v>60</v>
      </c>
      <c r="L105" s="10">
        <v>71</v>
      </c>
      <c r="M105" s="10">
        <v>88</v>
      </c>
      <c r="N105" s="10">
        <v>95</v>
      </c>
      <c r="O105" s="23">
        <v>98</v>
      </c>
      <c r="P105" s="23">
        <v>100</v>
      </c>
      <c r="Q105" s="31">
        <v>103</v>
      </c>
      <c r="R105" s="31">
        <v>95</v>
      </c>
    </row>
    <row r="106" spans="2:18" ht="19.5" customHeight="1" x14ac:dyDescent="0.2">
      <c r="B106" s="11">
        <v>8</v>
      </c>
      <c r="C106" s="14">
        <v>1</v>
      </c>
      <c r="D106" s="12" t="s">
        <v>11</v>
      </c>
      <c r="E106" s="89" t="s">
        <v>47</v>
      </c>
      <c r="F106" s="93" t="s">
        <v>41</v>
      </c>
      <c r="G106" s="30">
        <v>6</v>
      </c>
      <c r="H106" s="9">
        <v>11</v>
      </c>
      <c r="I106" s="9">
        <v>15</v>
      </c>
      <c r="J106" s="22">
        <v>35</v>
      </c>
      <c r="K106" s="9">
        <v>58</v>
      </c>
      <c r="L106" s="9">
        <v>64</v>
      </c>
      <c r="M106" s="9">
        <v>71</v>
      </c>
      <c r="N106" s="9">
        <v>77</v>
      </c>
      <c r="O106" s="38">
        <v>82</v>
      </c>
      <c r="P106" s="38">
        <v>85</v>
      </c>
      <c r="Q106" s="54">
        <v>86</v>
      </c>
      <c r="R106" s="54">
        <v>86</v>
      </c>
    </row>
    <row r="107" spans="2:18" ht="19.5" customHeight="1" x14ac:dyDescent="0.2">
      <c r="B107" s="56"/>
      <c r="C107" s="57"/>
      <c r="D107" s="58" t="s">
        <v>33</v>
      </c>
      <c r="E107" s="90" t="s">
        <v>47</v>
      </c>
      <c r="F107" s="94" t="s">
        <v>41</v>
      </c>
      <c r="G107" s="86">
        <v>7</v>
      </c>
      <c r="H107" s="49">
        <v>13</v>
      </c>
      <c r="I107" s="49">
        <v>17</v>
      </c>
      <c r="J107" s="82">
        <v>48</v>
      </c>
      <c r="K107" s="49">
        <v>67</v>
      </c>
      <c r="L107" s="49">
        <v>76</v>
      </c>
      <c r="M107" s="49">
        <v>82</v>
      </c>
      <c r="N107" s="49">
        <v>95</v>
      </c>
      <c r="O107" s="87">
        <v>101</v>
      </c>
      <c r="P107" s="87">
        <v>105</v>
      </c>
      <c r="Q107" s="88">
        <v>107</v>
      </c>
      <c r="R107" s="88">
        <v>106</v>
      </c>
    </row>
    <row r="108" spans="2:18" ht="19.5" customHeight="1" thickBot="1" x14ac:dyDescent="0.25">
      <c r="B108" s="13"/>
      <c r="C108" s="15"/>
      <c r="D108" s="16" t="s">
        <v>10</v>
      </c>
      <c r="E108" s="91" t="s">
        <v>47</v>
      </c>
      <c r="F108" s="95" t="s">
        <v>41</v>
      </c>
      <c r="G108" s="31">
        <v>9</v>
      </c>
      <c r="H108" s="10">
        <v>14</v>
      </c>
      <c r="I108" s="10">
        <v>19</v>
      </c>
      <c r="J108" s="23">
        <v>46</v>
      </c>
      <c r="K108" s="10">
        <v>64</v>
      </c>
      <c r="L108" s="10">
        <v>74</v>
      </c>
      <c r="M108" s="10">
        <v>93</v>
      </c>
      <c r="N108" s="10">
        <v>103</v>
      </c>
      <c r="O108" s="23">
        <v>108</v>
      </c>
      <c r="P108" s="23">
        <v>110</v>
      </c>
      <c r="Q108" s="31">
        <v>112</v>
      </c>
      <c r="R108" s="31">
        <v>110</v>
      </c>
    </row>
    <row r="109" spans="2:18" ht="19.5" customHeight="1" x14ac:dyDescent="0.2">
      <c r="B109" s="11">
        <v>9</v>
      </c>
      <c r="C109" s="14">
        <v>1</v>
      </c>
      <c r="D109" s="12" t="s">
        <v>10</v>
      </c>
      <c r="E109" s="89" t="s">
        <v>45</v>
      </c>
      <c r="F109" s="93" t="s">
        <v>41</v>
      </c>
      <c r="G109" s="30">
        <v>4</v>
      </c>
      <c r="H109" s="9">
        <v>10</v>
      </c>
      <c r="I109" s="9">
        <v>14</v>
      </c>
      <c r="J109" s="22">
        <v>35</v>
      </c>
      <c r="K109" s="9">
        <v>63</v>
      </c>
      <c r="L109" s="9">
        <v>64</v>
      </c>
      <c r="M109" s="9">
        <v>74</v>
      </c>
      <c r="N109" s="9">
        <v>82</v>
      </c>
      <c r="O109" s="38">
        <v>86</v>
      </c>
      <c r="P109" s="38">
        <v>87</v>
      </c>
      <c r="Q109" s="54">
        <v>89</v>
      </c>
      <c r="R109" s="54">
        <v>90</v>
      </c>
    </row>
    <row r="110" spans="2:18" ht="19.5" customHeight="1" x14ac:dyDescent="0.2">
      <c r="B110" s="56"/>
      <c r="C110" s="57"/>
      <c r="D110" s="58" t="s">
        <v>33</v>
      </c>
      <c r="E110" s="90" t="s">
        <v>45</v>
      </c>
      <c r="F110" s="94" t="s">
        <v>41</v>
      </c>
      <c r="G110" s="86">
        <v>5</v>
      </c>
      <c r="H110" s="49">
        <v>11</v>
      </c>
      <c r="I110" s="49">
        <v>20</v>
      </c>
      <c r="J110" s="82">
        <v>46</v>
      </c>
      <c r="K110" s="49">
        <v>58</v>
      </c>
      <c r="L110" s="49">
        <v>65</v>
      </c>
      <c r="M110" s="49">
        <v>76</v>
      </c>
      <c r="N110" s="49">
        <v>83</v>
      </c>
      <c r="O110" s="87">
        <v>87</v>
      </c>
      <c r="P110" s="87">
        <v>89</v>
      </c>
      <c r="Q110" s="88">
        <v>91</v>
      </c>
      <c r="R110" s="88">
        <v>91</v>
      </c>
    </row>
    <row r="111" spans="2:18" ht="19.5" customHeight="1" thickBot="1" x14ac:dyDescent="0.25">
      <c r="B111" s="13"/>
      <c r="C111" s="15"/>
      <c r="D111" s="16" t="s">
        <v>11</v>
      </c>
      <c r="E111" s="91" t="s">
        <v>45</v>
      </c>
      <c r="F111" s="95" t="s">
        <v>41</v>
      </c>
      <c r="G111" s="31">
        <v>3</v>
      </c>
      <c r="H111" s="10">
        <v>8</v>
      </c>
      <c r="I111" s="10">
        <v>13</v>
      </c>
      <c r="J111" s="23">
        <v>34</v>
      </c>
      <c r="K111" s="10">
        <v>57</v>
      </c>
      <c r="L111" s="10">
        <v>67</v>
      </c>
      <c r="M111" s="10">
        <v>80</v>
      </c>
      <c r="N111" s="10">
        <v>86</v>
      </c>
      <c r="O111" s="23">
        <v>90</v>
      </c>
      <c r="P111" s="23">
        <v>94</v>
      </c>
      <c r="Q111" s="31">
        <v>95</v>
      </c>
      <c r="R111" s="31">
        <v>85</v>
      </c>
    </row>
    <row r="112" spans="2:18" ht="19.5" customHeight="1" x14ac:dyDescent="0.2">
      <c r="B112" s="11">
        <v>9</v>
      </c>
      <c r="C112" s="14">
        <v>2</v>
      </c>
      <c r="D112" s="12" t="s">
        <v>10</v>
      </c>
      <c r="E112" s="89" t="s">
        <v>42</v>
      </c>
      <c r="F112" s="93" t="s">
        <v>41</v>
      </c>
      <c r="G112" s="30">
        <v>4</v>
      </c>
      <c r="H112" s="9">
        <v>10</v>
      </c>
      <c r="I112" s="9">
        <v>16</v>
      </c>
      <c r="J112" s="22">
        <v>29</v>
      </c>
      <c r="K112" s="9">
        <v>47</v>
      </c>
      <c r="L112" s="9">
        <v>60</v>
      </c>
      <c r="M112" s="9">
        <v>80</v>
      </c>
      <c r="N112" s="9">
        <v>89</v>
      </c>
      <c r="O112" s="22">
        <v>93</v>
      </c>
      <c r="P112" s="22">
        <v>95</v>
      </c>
      <c r="Q112" s="30">
        <v>96</v>
      </c>
      <c r="R112" s="30">
        <v>96</v>
      </c>
    </row>
    <row r="113" spans="2:18" ht="19.5" customHeight="1" x14ac:dyDescent="0.2">
      <c r="B113" s="56"/>
      <c r="C113" s="57"/>
      <c r="D113" s="58" t="s">
        <v>33</v>
      </c>
      <c r="E113" s="90" t="s">
        <v>42</v>
      </c>
      <c r="F113" s="94" t="s">
        <v>41</v>
      </c>
      <c r="G113" s="86">
        <v>6</v>
      </c>
      <c r="H113" s="49">
        <v>13</v>
      </c>
      <c r="I113" s="49">
        <v>18</v>
      </c>
      <c r="J113" s="82">
        <v>41</v>
      </c>
      <c r="K113" s="49">
        <v>59</v>
      </c>
      <c r="L113" s="49">
        <v>69</v>
      </c>
      <c r="M113" s="49">
        <v>86</v>
      </c>
      <c r="N113" s="49">
        <v>92</v>
      </c>
      <c r="O113" s="82">
        <v>97</v>
      </c>
      <c r="P113" s="82">
        <v>100</v>
      </c>
      <c r="Q113" s="86">
        <v>104</v>
      </c>
      <c r="R113" s="86">
        <v>103</v>
      </c>
    </row>
    <row r="114" spans="2:18" ht="19.5" customHeight="1" thickBot="1" x14ac:dyDescent="0.25">
      <c r="B114" s="13"/>
      <c r="C114" s="15"/>
      <c r="D114" s="16" t="s">
        <v>11</v>
      </c>
      <c r="E114" s="91" t="s">
        <v>42</v>
      </c>
      <c r="F114" s="95" t="s">
        <v>41</v>
      </c>
      <c r="G114" s="31">
        <v>4</v>
      </c>
      <c r="H114" s="10">
        <v>10</v>
      </c>
      <c r="I114" s="10">
        <v>15</v>
      </c>
      <c r="J114" s="23">
        <v>34</v>
      </c>
      <c r="K114" s="10">
        <v>48</v>
      </c>
      <c r="L114" s="10">
        <v>58</v>
      </c>
      <c r="M114" s="10">
        <v>83</v>
      </c>
      <c r="N114" s="10">
        <v>94</v>
      </c>
      <c r="O114" s="23">
        <v>99</v>
      </c>
      <c r="P114" s="23">
        <v>102</v>
      </c>
      <c r="Q114" s="31">
        <v>105</v>
      </c>
      <c r="R114" s="31">
        <v>106</v>
      </c>
    </row>
    <row r="115" spans="2:18" ht="19.5" customHeight="1" x14ac:dyDescent="0.2">
      <c r="B115" s="11">
        <v>9</v>
      </c>
      <c r="C115" s="14">
        <v>3</v>
      </c>
      <c r="D115" s="12" t="s">
        <v>10</v>
      </c>
      <c r="E115" s="89" t="s">
        <v>47</v>
      </c>
      <c r="F115" s="93" t="s">
        <v>41</v>
      </c>
      <c r="G115" s="30">
        <v>8</v>
      </c>
      <c r="H115" s="9">
        <v>13</v>
      </c>
      <c r="I115" s="9">
        <v>19</v>
      </c>
      <c r="J115" s="22">
        <v>48</v>
      </c>
      <c r="K115" s="9">
        <v>62</v>
      </c>
      <c r="L115" s="9">
        <v>75</v>
      </c>
      <c r="M115" s="9">
        <v>86</v>
      </c>
      <c r="N115" s="9">
        <v>99</v>
      </c>
      <c r="O115" s="22">
        <v>101</v>
      </c>
      <c r="P115" s="22">
        <v>106</v>
      </c>
      <c r="Q115" s="30">
        <v>108</v>
      </c>
      <c r="R115" s="30">
        <v>109</v>
      </c>
    </row>
    <row r="116" spans="2:18" ht="19.5" customHeight="1" x14ac:dyDescent="0.2">
      <c r="B116" s="56"/>
      <c r="C116" s="57"/>
      <c r="D116" s="58" t="s">
        <v>33</v>
      </c>
      <c r="E116" s="90" t="s">
        <v>47</v>
      </c>
      <c r="F116" s="94" t="s">
        <v>41</v>
      </c>
      <c r="G116" s="86">
        <v>7</v>
      </c>
      <c r="H116" s="49">
        <v>10</v>
      </c>
      <c r="I116" s="49">
        <v>14</v>
      </c>
      <c r="J116" s="82">
        <v>30</v>
      </c>
      <c r="K116" s="49">
        <v>47</v>
      </c>
      <c r="L116" s="49">
        <v>50</v>
      </c>
      <c r="M116" s="49">
        <v>56</v>
      </c>
      <c r="N116" s="49">
        <v>60</v>
      </c>
      <c r="O116" s="82">
        <v>65</v>
      </c>
      <c r="P116" s="82">
        <v>69</v>
      </c>
      <c r="Q116" s="86">
        <v>72</v>
      </c>
      <c r="R116" s="86">
        <v>72</v>
      </c>
    </row>
    <row r="117" spans="2:18" ht="19.5" customHeight="1" thickBot="1" x14ac:dyDescent="0.25">
      <c r="B117" s="13"/>
      <c r="C117" s="15"/>
      <c r="D117" s="16" t="s">
        <v>11</v>
      </c>
      <c r="E117" s="91" t="s">
        <v>47</v>
      </c>
      <c r="F117" s="95" t="s">
        <v>41</v>
      </c>
      <c r="G117" s="31">
        <v>6</v>
      </c>
      <c r="H117" s="10">
        <v>9</v>
      </c>
      <c r="I117" s="10">
        <v>14</v>
      </c>
      <c r="J117" s="23">
        <v>33</v>
      </c>
      <c r="K117" s="10">
        <v>48</v>
      </c>
      <c r="L117" s="10">
        <v>50</v>
      </c>
      <c r="M117" s="10">
        <v>56</v>
      </c>
      <c r="N117" s="10">
        <v>60</v>
      </c>
      <c r="O117" s="23">
        <v>64</v>
      </c>
      <c r="P117" s="23">
        <v>68</v>
      </c>
      <c r="Q117" s="31">
        <v>70</v>
      </c>
      <c r="R117" s="31">
        <v>71</v>
      </c>
    </row>
    <row r="118" spans="2:18" ht="19.5" customHeight="1" x14ac:dyDescent="0.2">
      <c r="B118" s="11">
        <v>9</v>
      </c>
      <c r="C118" s="14">
        <v>4</v>
      </c>
      <c r="D118" s="12" t="s">
        <v>10</v>
      </c>
      <c r="E118" s="89" t="s">
        <v>44</v>
      </c>
      <c r="F118" s="93" t="s">
        <v>41</v>
      </c>
      <c r="G118" s="30">
        <v>6</v>
      </c>
      <c r="H118" s="9">
        <v>10</v>
      </c>
      <c r="I118" s="9">
        <v>15</v>
      </c>
      <c r="J118" s="22">
        <v>37</v>
      </c>
      <c r="K118" s="9">
        <v>64</v>
      </c>
      <c r="L118" s="9">
        <v>69</v>
      </c>
      <c r="M118" s="9">
        <v>83</v>
      </c>
      <c r="N118" s="9">
        <v>89</v>
      </c>
      <c r="O118" s="22">
        <v>91</v>
      </c>
      <c r="P118" s="22">
        <v>93</v>
      </c>
      <c r="Q118" s="30">
        <v>93</v>
      </c>
      <c r="R118" s="30">
        <v>92</v>
      </c>
    </row>
    <row r="119" spans="2:18" ht="19.5" customHeight="1" x14ac:dyDescent="0.2">
      <c r="B119" s="56"/>
      <c r="C119" s="57"/>
      <c r="D119" s="58" t="s">
        <v>33</v>
      </c>
      <c r="E119" s="90" t="s">
        <v>44</v>
      </c>
      <c r="F119" s="94" t="s">
        <v>41</v>
      </c>
      <c r="G119" s="86">
        <v>6</v>
      </c>
      <c r="H119" s="49">
        <v>9</v>
      </c>
      <c r="I119" s="49">
        <v>15</v>
      </c>
      <c r="J119" s="82">
        <v>34</v>
      </c>
      <c r="K119" s="49">
        <v>54</v>
      </c>
      <c r="L119" s="49">
        <v>60</v>
      </c>
      <c r="M119" s="49">
        <v>74</v>
      </c>
      <c r="N119" s="49">
        <v>81</v>
      </c>
      <c r="O119" s="82">
        <v>83</v>
      </c>
      <c r="P119" s="82">
        <v>84</v>
      </c>
      <c r="Q119" s="86">
        <v>84</v>
      </c>
      <c r="R119" s="86">
        <v>85</v>
      </c>
    </row>
    <row r="120" spans="2:18" ht="19.5" customHeight="1" thickBot="1" x14ac:dyDescent="0.25">
      <c r="B120" s="13"/>
      <c r="C120" s="15"/>
      <c r="D120" s="16" t="s">
        <v>11</v>
      </c>
      <c r="E120" s="91" t="s">
        <v>44</v>
      </c>
      <c r="F120" s="95" t="s">
        <v>41</v>
      </c>
      <c r="G120" s="31">
        <v>8</v>
      </c>
      <c r="H120" s="10">
        <v>13</v>
      </c>
      <c r="I120" s="10">
        <v>17</v>
      </c>
      <c r="J120" s="23">
        <v>39</v>
      </c>
      <c r="K120" s="10">
        <v>54</v>
      </c>
      <c r="L120" s="10">
        <v>64</v>
      </c>
      <c r="M120" s="10">
        <v>88</v>
      </c>
      <c r="N120" s="10">
        <v>95</v>
      </c>
      <c r="O120" s="23">
        <v>98</v>
      </c>
      <c r="P120" s="23">
        <v>101</v>
      </c>
      <c r="Q120" s="31">
        <v>102</v>
      </c>
      <c r="R120" s="31">
        <v>93</v>
      </c>
    </row>
    <row r="121" spans="2:18" ht="19.5" customHeight="1" x14ac:dyDescent="0.2">
      <c r="B121" s="11">
        <v>10</v>
      </c>
      <c r="C121" s="14">
        <v>4</v>
      </c>
      <c r="D121" s="12" t="s">
        <v>11</v>
      </c>
      <c r="E121" s="89" t="s">
        <v>44</v>
      </c>
      <c r="F121" s="96" t="s">
        <v>43</v>
      </c>
      <c r="G121" s="30">
        <v>11</v>
      </c>
      <c r="H121" s="9">
        <v>16</v>
      </c>
      <c r="I121" s="9">
        <v>21</v>
      </c>
      <c r="J121" s="22">
        <v>49</v>
      </c>
      <c r="K121" s="9">
        <v>65</v>
      </c>
      <c r="L121" s="9">
        <v>68</v>
      </c>
      <c r="M121" s="9">
        <v>72</v>
      </c>
      <c r="N121" s="9">
        <v>83</v>
      </c>
      <c r="O121" s="22">
        <v>87</v>
      </c>
      <c r="P121" s="22">
        <v>88</v>
      </c>
      <c r="Q121" s="30">
        <v>89</v>
      </c>
      <c r="R121" s="30">
        <v>90</v>
      </c>
    </row>
    <row r="122" spans="2:18" ht="19.5" customHeight="1" x14ac:dyDescent="0.2">
      <c r="B122" s="56"/>
      <c r="C122" s="57"/>
      <c r="D122" s="58" t="s">
        <v>33</v>
      </c>
      <c r="E122" s="90" t="s">
        <v>44</v>
      </c>
      <c r="F122" s="97" t="s">
        <v>43</v>
      </c>
      <c r="G122" s="86">
        <v>10</v>
      </c>
      <c r="H122" s="49">
        <v>13</v>
      </c>
      <c r="I122" s="49">
        <v>21</v>
      </c>
      <c r="J122" s="82">
        <v>40</v>
      </c>
      <c r="K122" s="49">
        <v>64</v>
      </c>
      <c r="L122" s="49">
        <v>67</v>
      </c>
      <c r="M122" s="49">
        <v>70</v>
      </c>
      <c r="N122" s="49">
        <v>82</v>
      </c>
      <c r="O122" s="82">
        <v>86</v>
      </c>
      <c r="P122" s="82">
        <v>88</v>
      </c>
      <c r="Q122" s="86">
        <v>88</v>
      </c>
      <c r="R122" s="86">
        <v>89</v>
      </c>
    </row>
    <row r="123" spans="2:18" ht="19.5" customHeight="1" thickBot="1" x14ac:dyDescent="0.25">
      <c r="B123" s="13"/>
      <c r="C123" s="15"/>
      <c r="D123" s="16" t="s">
        <v>10</v>
      </c>
      <c r="E123" s="91" t="s">
        <v>44</v>
      </c>
      <c r="F123" s="98" t="s">
        <v>43</v>
      </c>
      <c r="G123" s="31">
        <v>10</v>
      </c>
      <c r="H123" s="10">
        <v>14</v>
      </c>
      <c r="I123" s="10">
        <v>20</v>
      </c>
      <c r="J123" s="23">
        <v>53</v>
      </c>
      <c r="K123" s="10">
        <v>79</v>
      </c>
      <c r="L123" s="10">
        <v>84</v>
      </c>
      <c r="M123" s="10">
        <v>98</v>
      </c>
      <c r="N123" s="10">
        <v>104</v>
      </c>
      <c r="O123" s="23">
        <v>109</v>
      </c>
      <c r="P123" s="23">
        <v>114</v>
      </c>
      <c r="Q123" s="31">
        <v>116</v>
      </c>
      <c r="R123" s="31">
        <v>101</v>
      </c>
    </row>
    <row r="124" spans="2:18" ht="19.5" customHeight="1" x14ac:dyDescent="0.2">
      <c r="B124" s="11">
        <v>10</v>
      </c>
      <c r="C124" s="14">
        <v>3</v>
      </c>
      <c r="D124" s="12" t="s">
        <v>11</v>
      </c>
      <c r="E124" s="89" t="s">
        <v>47</v>
      </c>
      <c r="F124" s="96" t="s">
        <v>43</v>
      </c>
      <c r="G124" s="30">
        <v>11</v>
      </c>
      <c r="H124" s="9">
        <v>17</v>
      </c>
      <c r="I124" s="9">
        <v>27</v>
      </c>
      <c r="J124" s="22">
        <v>54</v>
      </c>
      <c r="K124" s="9">
        <v>67</v>
      </c>
      <c r="L124" s="9">
        <v>68</v>
      </c>
      <c r="M124" s="9">
        <v>71</v>
      </c>
      <c r="N124" s="9">
        <v>79</v>
      </c>
      <c r="O124" s="22">
        <v>83</v>
      </c>
      <c r="P124" s="22">
        <v>86</v>
      </c>
      <c r="Q124" s="30">
        <v>88</v>
      </c>
      <c r="R124" s="30">
        <v>89</v>
      </c>
    </row>
    <row r="125" spans="2:18" ht="19.5" customHeight="1" x14ac:dyDescent="0.2">
      <c r="B125" s="56"/>
      <c r="C125" s="57"/>
      <c r="D125" s="58" t="s">
        <v>33</v>
      </c>
      <c r="E125" s="90" t="s">
        <v>47</v>
      </c>
      <c r="F125" s="97" t="s">
        <v>43</v>
      </c>
      <c r="G125" s="86">
        <v>11</v>
      </c>
      <c r="H125" s="49">
        <v>18</v>
      </c>
      <c r="I125" s="49">
        <v>26</v>
      </c>
      <c r="J125" s="82">
        <v>61</v>
      </c>
      <c r="K125" s="49">
        <v>81</v>
      </c>
      <c r="L125" s="49">
        <v>84</v>
      </c>
      <c r="M125" s="49">
        <v>87</v>
      </c>
      <c r="N125" s="49">
        <v>95</v>
      </c>
      <c r="O125" s="82">
        <v>99</v>
      </c>
      <c r="P125" s="82">
        <v>103</v>
      </c>
      <c r="Q125" s="86">
        <v>105</v>
      </c>
      <c r="R125" s="86">
        <v>105</v>
      </c>
    </row>
    <row r="126" spans="2:18" ht="19.5" customHeight="1" thickBot="1" x14ac:dyDescent="0.25">
      <c r="B126" s="13"/>
      <c r="C126" s="15"/>
      <c r="D126" s="16" t="s">
        <v>10</v>
      </c>
      <c r="E126" s="91" t="s">
        <v>47</v>
      </c>
      <c r="F126" s="98" t="s">
        <v>43</v>
      </c>
      <c r="G126" s="31">
        <v>12</v>
      </c>
      <c r="H126" s="10">
        <v>18</v>
      </c>
      <c r="I126" s="10">
        <v>24</v>
      </c>
      <c r="J126" s="23">
        <v>61</v>
      </c>
      <c r="K126" s="10">
        <v>84</v>
      </c>
      <c r="L126" s="10">
        <v>90</v>
      </c>
      <c r="M126" s="10">
        <v>100</v>
      </c>
      <c r="N126" s="10">
        <v>104</v>
      </c>
      <c r="O126" s="23">
        <v>108</v>
      </c>
      <c r="P126" s="23">
        <v>110</v>
      </c>
      <c r="Q126" s="31">
        <v>111</v>
      </c>
      <c r="R126" s="31">
        <v>108</v>
      </c>
    </row>
    <row r="127" spans="2:18" ht="19.5" customHeight="1" x14ac:dyDescent="0.2">
      <c r="B127" s="11">
        <v>10</v>
      </c>
      <c r="C127" s="14">
        <v>2</v>
      </c>
      <c r="D127" s="12" t="s">
        <v>11</v>
      </c>
      <c r="E127" s="89" t="s">
        <v>42</v>
      </c>
      <c r="F127" s="96" t="s">
        <v>43</v>
      </c>
      <c r="G127" s="30">
        <v>13</v>
      </c>
      <c r="H127" s="9">
        <v>19</v>
      </c>
      <c r="I127" s="9">
        <v>25</v>
      </c>
      <c r="J127" s="22">
        <v>50</v>
      </c>
      <c r="K127" s="9">
        <v>70</v>
      </c>
      <c r="L127" s="9">
        <v>73</v>
      </c>
      <c r="M127" s="9">
        <v>83</v>
      </c>
      <c r="N127" s="9">
        <v>94</v>
      </c>
      <c r="O127" s="22">
        <v>100</v>
      </c>
      <c r="P127" s="22">
        <v>104</v>
      </c>
      <c r="Q127" s="30">
        <v>106</v>
      </c>
      <c r="R127" s="30">
        <v>108</v>
      </c>
    </row>
    <row r="128" spans="2:18" ht="19.5" customHeight="1" x14ac:dyDescent="0.2">
      <c r="B128" s="56"/>
      <c r="C128" s="57"/>
      <c r="D128" s="58" t="s">
        <v>33</v>
      </c>
      <c r="E128" s="90" t="s">
        <v>42</v>
      </c>
      <c r="F128" s="97" t="s">
        <v>43</v>
      </c>
      <c r="G128" s="86">
        <v>14</v>
      </c>
      <c r="H128" s="49">
        <v>21</v>
      </c>
      <c r="I128" s="49">
        <v>29</v>
      </c>
      <c r="J128" s="82">
        <v>64</v>
      </c>
      <c r="K128" s="49">
        <v>86</v>
      </c>
      <c r="L128" s="49">
        <v>90</v>
      </c>
      <c r="M128" s="49">
        <v>100</v>
      </c>
      <c r="N128" s="49">
        <v>109</v>
      </c>
      <c r="O128" s="82">
        <v>114</v>
      </c>
      <c r="P128" s="82">
        <v>117</v>
      </c>
      <c r="Q128" s="86">
        <v>118</v>
      </c>
      <c r="R128" s="86">
        <v>116</v>
      </c>
    </row>
    <row r="129" spans="2:18" ht="19.5" customHeight="1" thickBot="1" x14ac:dyDescent="0.25">
      <c r="B129" s="13"/>
      <c r="C129" s="15"/>
      <c r="D129" s="16" t="s">
        <v>10</v>
      </c>
      <c r="E129" s="91" t="s">
        <v>42</v>
      </c>
      <c r="F129" s="98" t="s">
        <v>43</v>
      </c>
      <c r="G129" s="31">
        <v>15</v>
      </c>
      <c r="H129" s="10">
        <v>24</v>
      </c>
      <c r="I129" s="10">
        <v>28</v>
      </c>
      <c r="J129" s="23">
        <v>57</v>
      </c>
      <c r="K129" s="10">
        <v>77</v>
      </c>
      <c r="L129" s="10">
        <v>84</v>
      </c>
      <c r="M129" s="10">
        <v>96</v>
      </c>
      <c r="N129" s="10">
        <v>103</v>
      </c>
      <c r="O129" s="23">
        <v>107</v>
      </c>
      <c r="P129" s="23">
        <v>114</v>
      </c>
      <c r="Q129" s="31">
        <v>117</v>
      </c>
      <c r="R129" s="31">
        <v>117</v>
      </c>
    </row>
    <row r="130" spans="2:18" ht="19.5" customHeight="1" x14ac:dyDescent="0.2">
      <c r="B130" s="11">
        <v>10</v>
      </c>
      <c r="C130" s="14">
        <v>1</v>
      </c>
      <c r="D130" s="12" t="s">
        <v>11</v>
      </c>
      <c r="E130" s="89" t="s">
        <v>45</v>
      </c>
      <c r="F130" s="96" t="s">
        <v>43</v>
      </c>
      <c r="G130" s="30">
        <v>11</v>
      </c>
      <c r="H130" s="9">
        <v>16</v>
      </c>
      <c r="I130" s="9">
        <v>20</v>
      </c>
      <c r="J130" s="22">
        <v>50</v>
      </c>
      <c r="K130" s="9">
        <v>70</v>
      </c>
      <c r="L130" s="9">
        <v>73</v>
      </c>
      <c r="M130" s="9">
        <v>75</v>
      </c>
      <c r="N130" s="9">
        <v>81</v>
      </c>
      <c r="O130" s="22">
        <v>83</v>
      </c>
      <c r="P130" s="22">
        <v>85</v>
      </c>
      <c r="Q130" s="30">
        <v>85</v>
      </c>
      <c r="R130" s="30">
        <v>85</v>
      </c>
    </row>
    <row r="131" spans="2:18" ht="19.5" customHeight="1" x14ac:dyDescent="0.2">
      <c r="B131" s="56"/>
      <c r="C131" s="57"/>
      <c r="D131" s="58" t="s">
        <v>33</v>
      </c>
      <c r="E131" s="90" t="s">
        <v>45</v>
      </c>
      <c r="F131" s="97" t="s">
        <v>43</v>
      </c>
      <c r="G131" s="86">
        <v>15</v>
      </c>
      <c r="H131" s="49">
        <v>23</v>
      </c>
      <c r="I131" s="49">
        <v>32</v>
      </c>
      <c r="J131" s="82">
        <v>69</v>
      </c>
      <c r="K131" s="49">
        <v>92</v>
      </c>
      <c r="L131" s="49">
        <v>96</v>
      </c>
      <c r="M131" s="49">
        <v>103</v>
      </c>
      <c r="N131" s="49">
        <v>112</v>
      </c>
      <c r="O131" s="82">
        <v>115</v>
      </c>
      <c r="P131" s="82">
        <v>117</v>
      </c>
      <c r="Q131" s="86">
        <v>116</v>
      </c>
      <c r="R131" s="86">
        <v>98</v>
      </c>
    </row>
    <row r="132" spans="2:18" ht="19.5" customHeight="1" thickBot="1" x14ac:dyDescent="0.25">
      <c r="B132" s="13"/>
      <c r="C132" s="15"/>
      <c r="D132" s="16" t="s">
        <v>10</v>
      </c>
      <c r="E132" s="91" t="s">
        <v>45</v>
      </c>
      <c r="F132" s="98" t="s">
        <v>43</v>
      </c>
      <c r="G132" s="31">
        <v>16</v>
      </c>
      <c r="H132" s="10">
        <v>22</v>
      </c>
      <c r="I132" s="10">
        <v>30</v>
      </c>
      <c r="J132" s="23">
        <v>62</v>
      </c>
      <c r="K132" s="10">
        <v>78</v>
      </c>
      <c r="L132" s="10">
        <v>73</v>
      </c>
      <c r="M132" s="10">
        <v>91</v>
      </c>
      <c r="N132" s="10">
        <v>101</v>
      </c>
      <c r="O132" s="23">
        <v>106</v>
      </c>
      <c r="P132" s="23">
        <v>109</v>
      </c>
      <c r="Q132" s="31">
        <v>110</v>
      </c>
      <c r="R132" s="31">
        <v>110</v>
      </c>
    </row>
    <row r="133" spans="2:18" ht="19.5" customHeight="1" x14ac:dyDescent="0.2">
      <c r="B133" s="11">
        <v>11</v>
      </c>
      <c r="C133" s="14">
        <v>1</v>
      </c>
      <c r="D133" s="12" t="s">
        <v>10</v>
      </c>
      <c r="E133" s="89" t="s">
        <v>44</v>
      </c>
      <c r="F133" s="96" t="s">
        <v>43</v>
      </c>
      <c r="G133" s="30">
        <v>15</v>
      </c>
      <c r="H133" s="9">
        <v>23</v>
      </c>
      <c r="I133" s="9">
        <v>33</v>
      </c>
      <c r="J133" s="22">
        <v>59</v>
      </c>
      <c r="K133" s="9">
        <v>79</v>
      </c>
      <c r="L133" s="9">
        <v>80</v>
      </c>
      <c r="M133" s="9">
        <v>83</v>
      </c>
      <c r="N133" s="9">
        <v>101</v>
      </c>
      <c r="O133" s="22">
        <v>104</v>
      </c>
      <c r="P133" s="22">
        <v>106</v>
      </c>
      <c r="Q133" s="30">
        <v>107</v>
      </c>
      <c r="R133" s="30">
        <v>105</v>
      </c>
    </row>
    <row r="134" spans="2:18" ht="19.5" customHeight="1" x14ac:dyDescent="0.2">
      <c r="B134" s="56"/>
      <c r="C134" s="57"/>
      <c r="D134" s="58" t="s">
        <v>33</v>
      </c>
      <c r="E134" s="90" t="s">
        <v>44</v>
      </c>
      <c r="F134" s="97" t="s">
        <v>43</v>
      </c>
      <c r="G134" s="86">
        <v>15</v>
      </c>
      <c r="H134" s="49">
        <v>23</v>
      </c>
      <c r="I134" s="49">
        <v>34</v>
      </c>
      <c r="J134" s="82">
        <v>67</v>
      </c>
      <c r="K134" s="49">
        <v>85</v>
      </c>
      <c r="L134" s="49">
        <v>87</v>
      </c>
      <c r="M134" s="49">
        <v>90</v>
      </c>
      <c r="N134" s="49">
        <v>97</v>
      </c>
      <c r="O134" s="82">
        <v>101</v>
      </c>
      <c r="P134" s="82">
        <v>103</v>
      </c>
      <c r="Q134" s="86">
        <v>103</v>
      </c>
      <c r="R134" s="86">
        <v>103</v>
      </c>
    </row>
    <row r="135" spans="2:18" ht="19.5" customHeight="1" thickBot="1" x14ac:dyDescent="0.25">
      <c r="B135" s="13"/>
      <c r="C135" s="15"/>
      <c r="D135" s="16" t="s">
        <v>11</v>
      </c>
      <c r="E135" s="91" t="s">
        <v>44</v>
      </c>
      <c r="F135" s="98" t="s">
        <v>43</v>
      </c>
      <c r="G135" s="31">
        <v>14</v>
      </c>
      <c r="H135" s="10">
        <v>24</v>
      </c>
      <c r="I135" s="10">
        <v>30</v>
      </c>
      <c r="J135" s="23">
        <v>62</v>
      </c>
      <c r="K135" s="10">
        <v>77</v>
      </c>
      <c r="L135" s="10">
        <v>79</v>
      </c>
      <c r="M135" s="10">
        <v>79</v>
      </c>
      <c r="N135" s="10">
        <v>87</v>
      </c>
      <c r="O135" s="23">
        <v>92</v>
      </c>
      <c r="P135" s="23">
        <v>96</v>
      </c>
      <c r="Q135" s="31">
        <v>98</v>
      </c>
      <c r="R135" s="31">
        <v>99</v>
      </c>
    </row>
    <row r="136" spans="2:18" ht="19.5" customHeight="1" x14ac:dyDescent="0.2">
      <c r="B136" s="11">
        <v>11</v>
      </c>
      <c r="C136" s="14">
        <v>2</v>
      </c>
      <c r="D136" s="12" t="s">
        <v>10</v>
      </c>
      <c r="E136" s="89" t="s">
        <v>48</v>
      </c>
      <c r="F136" s="96" t="s">
        <v>43</v>
      </c>
      <c r="G136" s="30">
        <v>11</v>
      </c>
      <c r="H136" s="9">
        <v>18</v>
      </c>
      <c r="I136" s="9">
        <v>31</v>
      </c>
      <c r="J136" s="22">
        <v>62</v>
      </c>
      <c r="K136" s="9">
        <v>82</v>
      </c>
      <c r="L136" s="9">
        <v>88</v>
      </c>
      <c r="M136" s="9">
        <v>95</v>
      </c>
      <c r="N136" s="9">
        <v>97</v>
      </c>
      <c r="O136" s="38">
        <v>100</v>
      </c>
      <c r="P136" s="38">
        <v>102</v>
      </c>
      <c r="Q136" s="54">
        <v>105</v>
      </c>
      <c r="R136" s="54">
        <v>107</v>
      </c>
    </row>
    <row r="137" spans="2:18" ht="19.5" customHeight="1" x14ac:dyDescent="0.2">
      <c r="B137" s="56"/>
      <c r="C137" s="57"/>
      <c r="D137" s="58" t="s">
        <v>33</v>
      </c>
      <c r="E137" s="90" t="s">
        <v>48</v>
      </c>
      <c r="F137" s="97" t="s">
        <v>43</v>
      </c>
      <c r="G137" s="86">
        <v>12</v>
      </c>
      <c r="H137" s="49">
        <v>19</v>
      </c>
      <c r="I137" s="49">
        <v>28</v>
      </c>
      <c r="J137" s="82">
        <v>64</v>
      </c>
      <c r="K137" s="49">
        <v>83</v>
      </c>
      <c r="L137" s="49">
        <v>91</v>
      </c>
      <c r="M137" s="49">
        <v>105</v>
      </c>
      <c r="N137" s="49">
        <v>109</v>
      </c>
      <c r="O137" s="87">
        <v>113</v>
      </c>
      <c r="P137" s="87">
        <v>115</v>
      </c>
      <c r="Q137" s="88">
        <v>116</v>
      </c>
      <c r="R137" s="88">
        <v>108</v>
      </c>
    </row>
    <row r="138" spans="2:18" ht="19.5" customHeight="1" thickBot="1" x14ac:dyDescent="0.25">
      <c r="B138" s="56"/>
      <c r="C138" s="57"/>
      <c r="D138" s="16" t="s">
        <v>11</v>
      </c>
      <c r="E138" s="91" t="s">
        <v>48</v>
      </c>
      <c r="F138" s="98" t="s">
        <v>43</v>
      </c>
      <c r="G138" s="31">
        <v>15</v>
      </c>
      <c r="H138" s="10">
        <v>23</v>
      </c>
      <c r="I138" s="10">
        <v>34</v>
      </c>
      <c r="J138" s="23">
        <v>73</v>
      </c>
      <c r="K138" s="10">
        <v>90</v>
      </c>
      <c r="L138" s="10">
        <v>95</v>
      </c>
      <c r="M138" s="10">
        <v>103</v>
      </c>
      <c r="N138" s="10">
        <v>106</v>
      </c>
      <c r="O138" s="23">
        <v>109</v>
      </c>
      <c r="P138" s="23">
        <v>111</v>
      </c>
      <c r="Q138" s="31">
        <v>111</v>
      </c>
      <c r="R138" s="31">
        <v>109</v>
      </c>
    </row>
    <row r="139" spans="2:18" ht="19.5" customHeight="1" x14ac:dyDescent="0.2">
      <c r="B139" s="11">
        <v>11</v>
      </c>
      <c r="C139" s="14">
        <v>3</v>
      </c>
      <c r="D139" s="12" t="s">
        <v>10</v>
      </c>
      <c r="E139" s="89" t="s">
        <v>46</v>
      </c>
      <c r="F139" s="96" t="s">
        <v>43</v>
      </c>
      <c r="G139" s="30">
        <v>14</v>
      </c>
      <c r="H139" s="9">
        <v>20</v>
      </c>
      <c r="I139" s="9">
        <v>28</v>
      </c>
      <c r="J139" s="22">
        <v>64</v>
      </c>
      <c r="K139" s="9">
        <v>85</v>
      </c>
      <c r="L139" s="9">
        <v>91</v>
      </c>
      <c r="M139" s="9">
        <v>98</v>
      </c>
      <c r="N139" s="9">
        <v>101</v>
      </c>
      <c r="O139" s="38">
        <v>105</v>
      </c>
      <c r="P139" s="38">
        <v>109</v>
      </c>
      <c r="Q139" s="54">
        <v>112</v>
      </c>
      <c r="R139" s="54">
        <v>112</v>
      </c>
    </row>
    <row r="140" spans="2:18" ht="19.5" customHeight="1" x14ac:dyDescent="0.2">
      <c r="B140" s="56"/>
      <c r="C140" s="57"/>
      <c r="D140" s="58" t="s">
        <v>33</v>
      </c>
      <c r="E140" s="90" t="s">
        <v>46</v>
      </c>
      <c r="F140" s="97" t="s">
        <v>43</v>
      </c>
      <c r="G140" s="86">
        <v>13</v>
      </c>
      <c r="H140" s="49">
        <v>20</v>
      </c>
      <c r="I140" s="49">
        <v>29</v>
      </c>
      <c r="J140" s="82">
        <v>65</v>
      </c>
      <c r="K140" s="49">
        <v>76</v>
      </c>
      <c r="L140" s="49">
        <v>86</v>
      </c>
      <c r="M140" s="49">
        <v>98</v>
      </c>
      <c r="N140" s="49">
        <v>105</v>
      </c>
      <c r="O140" s="87">
        <v>110</v>
      </c>
      <c r="P140" s="87">
        <v>115</v>
      </c>
      <c r="Q140" s="88">
        <v>118</v>
      </c>
      <c r="R140" s="88">
        <v>111</v>
      </c>
    </row>
    <row r="141" spans="2:18" ht="19.5" customHeight="1" thickBot="1" x14ac:dyDescent="0.25">
      <c r="B141" s="13"/>
      <c r="C141" s="15"/>
      <c r="D141" s="16" t="s">
        <v>11</v>
      </c>
      <c r="E141" s="91" t="s">
        <v>46</v>
      </c>
      <c r="F141" s="98" t="s">
        <v>43</v>
      </c>
      <c r="G141" s="31">
        <v>13</v>
      </c>
      <c r="H141" s="10">
        <v>20</v>
      </c>
      <c r="I141" s="10">
        <v>26</v>
      </c>
      <c r="J141" s="23">
        <v>53</v>
      </c>
      <c r="K141" s="10">
        <v>63</v>
      </c>
      <c r="L141" s="10">
        <v>69</v>
      </c>
      <c r="M141" s="10">
        <v>78</v>
      </c>
      <c r="N141" s="10">
        <v>85</v>
      </c>
      <c r="O141" s="48">
        <v>91</v>
      </c>
      <c r="P141" s="48">
        <v>94</v>
      </c>
      <c r="Q141" s="55">
        <v>97</v>
      </c>
      <c r="R141" s="55">
        <v>99</v>
      </c>
    </row>
    <row r="142" spans="2:18" ht="19.5" customHeight="1" x14ac:dyDescent="0.2">
      <c r="B142" s="11">
        <v>11</v>
      </c>
      <c r="C142" s="14">
        <v>4</v>
      </c>
      <c r="D142" s="12" t="s">
        <v>10</v>
      </c>
      <c r="E142" s="89" t="s">
        <v>45</v>
      </c>
      <c r="F142" s="96" t="s">
        <v>43</v>
      </c>
      <c r="G142" s="30">
        <v>13</v>
      </c>
      <c r="H142" s="9">
        <v>21</v>
      </c>
      <c r="I142" s="9">
        <v>24</v>
      </c>
      <c r="J142" s="22">
        <v>59</v>
      </c>
      <c r="K142" s="9">
        <v>71</v>
      </c>
      <c r="L142" s="9">
        <v>75</v>
      </c>
      <c r="M142" s="9">
        <v>79</v>
      </c>
      <c r="N142" s="9">
        <v>88</v>
      </c>
      <c r="O142" s="22">
        <v>91</v>
      </c>
      <c r="P142" s="22">
        <v>93</v>
      </c>
      <c r="Q142" s="30">
        <v>93</v>
      </c>
      <c r="R142" s="30">
        <v>91</v>
      </c>
    </row>
    <row r="143" spans="2:18" ht="19.5" customHeight="1" x14ac:dyDescent="0.2">
      <c r="B143" s="56"/>
      <c r="C143" s="57"/>
      <c r="D143" s="58" t="s">
        <v>33</v>
      </c>
      <c r="E143" s="90" t="s">
        <v>45</v>
      </c>
      <c r="F143" s="97" t="s">
        <v>43</v>
      </c>
      <c r="G143" s="86">
        <v>11</v>
      </c>
      <c r="H143" s="49">
        <v>19</v>
      </c>
      <c r="I143" s="49">
        <v>24</v>
      </c>
      <c r="J143" s="82">
        <v>54</v>
      </c>
      <c r="K143" s="49">
        <v>68</v>
      </c>
      <c r="L143" s="49">
        <v>71</v>
      </c>
      <c r="M143" s="49">
        <v>74</v>
      </c>
      <c r="N143" s="49">
        <v>81</v>
      </c>
      <c r="O143" s="82">
        <v>85</v>
      </c>
      <c r="P143" s="82">
        <v>87</v>
      </c>
      <c r="Q143" s="86">
        <v>88</v>
      </c>
      <c r="R143" s="86">
        <v>88</v>
      </c>
    </row>
    <row r="144" spans="2:18" ht="21" customHeight="1" thickBot="1" x14ac:dyDescent="0.25">
      <c r="B144" s="13"/>
      <c r="C144" s="15"/>
      <c r="D144" s="16" t="s">
        <v>11</v>
      </c>
      <c r="E144" s="91" t="s">
        <v>45</v>
      </c>
      <c r="F144" s="98" t="s">
        <v>43</v>
      </c>
      <c r="G144" s="31">
        <v>9</v>
      </c>
      <c r="H144" s="10">
        <v>18</v>
      </c>
      <c r="I144" s="10">
        <v>22</v>
      </c>
      <c r="J144" s="23">
        <v>45</v>
      </c>
      <c r="K144" s="10">
        <v>55</v>
      </c>
      <c r="L144" s="10">
        <v>57</v>
      </c>
      <c r="M144" s="10">
        <v>59</v>
      </c>
      <c r="N144" s="10">
        <v>64</v>
      </c>
      <c r="O144" s="23">
        <v>67</v>
      </c>
      <c r="P144" s="23">
        <v>70</v>
      </c>
      <c r="Q144" s="31">
        <v>71</v>
      </c>
      <c r="R144" s="31">
        <v>72</v>
      </c>
    </row>
    <row r="145" spans="2:18" ht="19.5" customHeight="1" x14ac:dyDescent="0.2">
      <c r="B145" s="11">
        <v>12</v>
      </c>
      <c r="C145" s="14">
        <v>4</v>
      </c>
      <c r="D145" s="12" t="s">
        <v>11</v>
      </c>
      <c r="E145" s="89" t="s">
        <v>45</v>
      </c>
      <c r="F145" s="93" t="s">
        <v>41</v>
      </c>
      <c r="G145" s="30">
        <v>6</v>
      </c>
      <c r="H145" s="9">
        <v>10</v>
      </c>
      <c r="I145" s="9">
        <v>15</v>
      </c>
      <c r="J145" s="22">
        <v>37</v>
      </c>
      <c r="K145" s="9">
        <v>52</v>
      </c>
      <c r="L145" s="9">
        <v>56</v>
      </c>
      <c r="M145" s="9">
        <v>65</v>
      </c>
      <c r="N145" s="9">
        <v>72</v>
      </c>
      <c r="O145" s="22">
        <v>75</v>
      </c>
      <c r="P145" s="22">
        <v>78</v>
      </c>
      <c r="Q145" s="30">
        <v>80</v>
      </c>
      <c r="R145" s="30">
        <v>80</v>
      </c>
    </row>
    <row r="146" spans="2:18" ht="19.5" customHeight="1" x14ac:dyDescent="0.2">
      <c r="B146" s="56"/>
      <c r="C146" s="57"/>
      <c r="D146" s="58" t="s">
        <v>33</v>
      </c>
      <c r="E146" s="90" t="s">
        <v>45</v>
      </c>
      <c r="F146" s="94" t="s">
        <v>41</v>
      </c>
      <c r="G146" s="86">
        <v>5</v>
      </c>
      <c r="H146" s="49">
        <v>9</v>
      </c>
      <c r="I146" s="49">
        <v>12</v>
      </c>
      <c r="J146" s="82">
        <v>35</v>
      </c>
      <c r="K146" s="49">
        <v>51</v>
      </c>
      <c r="L146" s="49">
        <v>56</v>
      </c>
      <c r="M146" s="49">
        <v>67</v>
      </c>
      <c r="N146" s="49">
        <v>74</v>
      </c>
      <c r="O146" s="82">
        <v>77</v>
      </c>
      <c r="P146" s="82">
        <v>80</v>
      </c>
      <c r="Q146" s="86">
        <v>82</v>
      </c>
      <c r="R146" s="86">
        <v>83</v>
      </c>
    </row>
    <row r="147" spans="2:18" ht="19.5" customHeight="1" thickBot="1" x14ac:dyDescent="0.25">
      <c r="B147" s="13"/>
      <c r="C147" s="15"/>
      <c r="D147" s="16" t="s">
        <v>10</v>
      </c>
      <c r="E147" s="91" t="s">
        <v>45</v>
      </c>
      <c r="F147" s="95" t="s">
        <v>41</v>
      </c>
      <c r="G147" s="31">
        <v>5</v>
      </c>
      <c r="H147" s="10">
        <v>9</v>
      </c>
      <c r="I147" s="10">
        <v>14</v>
      </c>
      <c r="J147" s="23">
        <v>38</v>
      </c>
      <c r="K147" s="10">
        <v>60</v>
      </c>
      <c r="L147" s="10">
        <v>68</v>
      </c>
      <c r="M147" s="10">
        <v>79</v>
      </c>
      <c r="N147" s="10">
        <v>85</v>
      </c>
      <c r="O147" s="23">
        <v>87</v>
      </c>
      <c r="P147" s="23">
        <v>89</v>
      </c>
      <c r="Q147" s="31">
        <v>90</v>
      </c>
      <c r="R147" s="31">
        <v>86</v>
      </c>
    </row>
    <row r="148" spans="2:18" ht="19.5" customHeight="1" x14ac:dyDescent="0.2">
      <c r="B148" s="11">
        <v>12</v>
      </c>
      <c r="C148" s="14">
        <v>3</v>
      </c>
      <c r="D148" s="12" t="s">
        <v>11</v>
      </c>
      <c r="E148" s="89" t="s">
        <v>46</v>
      </c>
      <c r="F148" s="93" t="s">
        <v>41</v>
      </c>
      <c r="G148" s="30">
        <v>4</v>
      </c>
      <c r="H148" s="9">
        <v>8</v>
      </c>
      <c r="I148" s="9">
        <v>12</v>
      </c>
      <c r="J148" s="22">
        <v>31</v>
      </c>
      <c r="K148" s="9">
        <v>50</v>
      </c>
      <c r="L148" s="9">
        <v>59</v>
      </c>
      <c r="M148" s="9">
        <v>73</v>
      </c>
      <c r="N148" s="9">
        <v>83</v>
      </c>
      <c r="O148" s="22">
        <v>87</v>
      </c>
      <c r="P148" s="22">
        <v>89</v>
      </c>
      <c r="Q148" s="30">
        <v>90</v>
      </c>
      <c r="R148" s="30">
        <v>90</v>
      </c>
    </row>
    <row r="149" spans="2:18" ht="19.5" customHeight="1" x14ac:dyDescent="0.2">
      <c r="B149" s="56"/>
      <c r="C149" s="57"/>
      <c r="D149" s="58" t="s">
        <v>33</v>
      </c>
      <c r="E149" s="90" t="s">
        <v>46</v>
      </c>
      <c r="F149" s="94" t="s">
        <v>41</v>
      </c>
      <c r="G149" s="86">
        <v>5</v>
      </c>
      <c r="H149" s="49">
        <v>10</v>
      </c>
      <c r="I149" s="49">
        <v>14</v>
      </c>
      <c r="J149" s="82">
        <v>28</v>
      </c>
      <c r="K149" s="49">
        <v>48</v>
      </c>
      <c r="L149" s="49">
        <v>60</v>
      </c>
      <c r="M149" s="49">
        <v>76</v>
      </c>
      <c r="N149" s="49">
        <v>90</v>
      </c>
      <c r="O149" s="82">
        <v>96</v>
      </c>
      <c r="P149" s="82">
        <v>99</v>
      </c>
      <c r="Q149" s="86">
        <v>101</v>
      </c>
      <c r="R149" s="86">
        <v>100</v>
      </c>
    </row>
    <row r="150" spans="2:18" ht="19.5" customHeight="1" thickBot="1" x14ac:dyDescent="0.25">
      <c r="B150" s="13"/>
      <c r="C150" s="15"/>
      <c r="D150" s="16" t="s">
        <v>10</v>
      </c>
      <c r="E150" s="91" t="s">
        <v>46</v>
      </c>
      <c r="F150" s="95" t="s">
        <v>41</v>
      </c>
      <c r="G150" s="31">
        <v>5</v>
      </c>
      <c r="H150" s="10">
        <v>9</v>
      </c>
      <c r="I150" s="10">
        <v>15</v>
      </c>
      <c r="J150" s="23">
        <v>39</v>
      </c>
      <c r="K150" s="10">
        <v>56</v>
      </c>
      <c r="L150" s="10">
        <v>69</v>
      </c>
      <c r="M150" s="10">
        <v>84</v>
      </c>
      <c r="N150" s="10">
        <v>97</v>
      </c>
      <c r="O150" s="23">
        <v>102</v>
      </c>
      <c r="P150" s="23">
        <v>104</v>
      </c>
      <c r="Q150" s="31">
        <v>105</v>
      </c>
      <c r="R150" s="31">
        <v>105</v>
      </c>
    </row>
    <row r="151" spans="2:18" ht="19.5" customHeight="1" x14ac:dyDescent="0.2">
      <c r="B151" s="11">
        <v>12</v>
      </c>
      <c r="C151" s="14">
        <v>2</v>
      </c>
      <c r="D151" s="12" t="s">
        <v>11</v>
      </c>
      <c r="E151" s="89" t="s">
        <v>48</v>
      </c>
      <c r="F151" s="93" t="s">
        <v>41</v>
      </c>
      <c r="G151" s="30">
        <v>6</v>
      </c>
      <c r="H151" s="9">
        <v>11</v>
      </c>
      <c r="I151" s="9">
        <v>20</v>
      </c>
      <c r="J151" s="22">
        <v>44</v>
      </c>
      <c r="K151" s="9">
        <v>58</v>
      </c>
      <c r="L151" s="9">
        <v>61</v>
      </c>
      <c r="M151" s="9">
        <v>63</v>
      </c>
      <c r="N151" s="9">
        <v>72</v>
      </c>
      <c r="O151" s="22">
        <v>77</v>
      </c>
      <c r="P151" s="22">
        <v>81</v>
      </c>
      <c r="Q151" s="30">
        <v>83</v>
      </c>
      <c r="R151" s="30">
        <v>84</v>
      </c>
    </row>
    <row r="152" spans="2:18" ht="19.5" customHeight="1" x14ac:dyDescent="0.2">
      <c r="B152" s="56"/>
      <c r="C152" s="57"/>
      <c r="D152" s="58" t="s">
        <v>33</v>
      </c>
      <c r="E152" s="90" t="s">
        <v>48</v>
      </c>
      <c r="F152" s="94" t="s">
        <v>41</v>
      </c>
      <c r="G152" s="86">
        <v>5</v>
      </c>
      <c r="H152" s="49">
        <v>10</v>
      </c>
      <c r="I152" s="49">
        <v>19</v>
      </c>
      <c r="J152" s="82">
        <v>46</v>
      </c>
      <c r="K152" s="49">
        <v>73</v>
      </c>
      <c r="L152" s="49">
        <v>81</v>
      </c>
      <c r="M152" s="49">
        <v>90</v>
      </c>
      <c r="N152" s="49">
        <v>100</v>
      </c>
      <c r="O152" s="82">
        <v>103</v>
      </c>
      <c r="P152" s="82">
        <v>105</v>
      </c>
      <c r="Q152" s="86">
        <v>107</v>
      </c>
      <c r="R152" s="86">
        <v>107</v>
      </c>
    </row>
    <row r="153" spans="2:18" ht="19.5" customHeight="1" thickBot="1" x14ac:dyDescent="0.25">
      <c r="B153" s="13"/>
      <c r="C153" s="15"/>
      <c r="D153" s="16" t="s">
        <v>10</v>
      </c>
      <c r="E153" s="91" t="s">
        <v>48</v>
      </c>
      <c r="F153" s="95" t="s">
        <v>41</v>
      </c>
      <c r="G153" s="31">
        <v>5</v>
      </c>
      <c r="H153" s="10">
        <v>10</v>
      </c>
      <c r="I153" s="10">
        <v>18</v>
      </c>
      <c r="J153" s="23">
        <v>45</v>
      </c>
      <c r="K153" s="10">
        <v>68</v>
      </c>
      <c r="L153" s="10">
        <v>76</v>
      </c>
      <c r="M153" s="10">
        <v>91</v>
      </c>
      <c r="N153" s="10">
        <v>102</v>
      </c>
      <c r="O153" s="23">
        <v>106</v>
      </c>
      <c r="P153" s="23">
        <v>108</v>
      </c>
      <c r="Q153" s="31">
        <v>109</v>
      </c>
      <c r="R153" s="31">
        <v>105</v>
      </c>
    </row>
    <row r="154" spans="2:18" ht="19.5" customHeight="1" x14ac:dyDescent="0.2">
      <c r="B154" s="11">
        <v>12</v>
      </c>
      <c r="C154" s="14">
        <v>1</v>
      </c>
      <c r="D154" s="66" t="s">
        <v>63</v>
      </c>
      <c r="E154" s="89" t="s">
        <v>44</v>
      </c>
      <c r="F154" s="93" t="s">
        <v>41</v>
      </c>
      <c r="G154" s="30">
        <v>6</v>
      </c>
      <c r="H154" s="9">
        <v>12</v>
      </c>
      <c r="I154" s="9">
        <v>17</v>
      </c>
      <c r="J154" s="22">
        <v>47</v>
      </c>
      <c r="K154" s="9">
        <v>60</v>
      </c>
      <c r="L154" s="9">
        <v>62</v>
      </c>
      <c r="M154" s="9">
        <v>68</v>
      </c>
      <c r="N154" s="9">
        <v>76</v>
      </c>
      <c r="O154" s="22">
        <v>80</v>
      </c>
      <c r="P154" s="22">
        <v>82</v>
      </c>
      <c r="Q154" s="30">
        <v>85</v>
      </c>
      <c r="R154" s="30">
        <v>86</v>
      </c>
    </row>
    <row r="155" spans="2:18" ht="19.5" customHeight="1" x14ac:dyDescent="0.2">
      <c r="B155" s="56"/>
      <c r="C155" s="57"/>
      <c r="D155" s="70" t="s">
        <v>33</v>
      </c>
      <c r="E155" s="90" t="s">
        <v>44</v>
      </c>
      <c r="F155" s="94" t="s">
        <v>41</v>
      </c>
      <c r="G155" s="86">
        <v>8</v>
      </c>
      <c r="H155" s="49">
        <v>13</v>
      </c>
      <c r="I155" s="49">
        <v>18</v>
      </c>
      <c r="J155" s="82">
        <v>44</v>
      </c>
      <c r="K155" s="49">
        <v>65</v>
      </c>
      <c r="L155" s="49">
        <v>69</v>
      </c>
      <c r="M155" s="49">
        <v>77</v>
      </c>
      <c r="N155" s="49">
        <v>83</v>
      </c>
      <c r="O155" s="82">
        <v>85</v>
      </c>
      <c r="P155" s="82">
        <v>86</v>
      </c>
      <c r="Q155" s="86">
        <v>86</v>
      </c>
      <c r="R155" s="86">
        <v>87</v>
      </c>
    </row>
    <row r="156" spans="2:18" ht="19.5" customHeight="1" thickBot="1" x14ac:dyDescent="0.25">
      <c r="B156" s="13"/>
      <c r="C156" s="15"/>
      <c r="D156" s="74" t="s">
        <v>10</v>
      </c>
      <c r="E156" s="91" t="s">
        <v>44</v>
      </c>
      <c r="F156" s="95" t="s">
        <v>41</v>
      </c>
      <c r="G156" s="31">
        <v>5</v>
      </c>
      <c r="H156" s="10">
        <v>12</v>
      </c>
      <c r="I156" s="10">
        <v>20</v>
      </c>
      <c r="J156" s="23">
        <v>46</v>
      </c>
      <c r="K156" s="10">
        <v>70</v>
      </c>
      <c r="L156" s="10">
        <v>78</v>
      </c>
      <c r="M156" s="10">
        <v>92</v>
      </c>
      <c r="N156" s="10">
        <v>98</v>
      </c>
      <c r="O156" s="23">
        <v>101</v>
      </c>
      <c r="P156" s="23">
        <v>104</v>
      </c>
      <c r="Q156" s="31">
        <v>105</v>
      </c>
      <c r="R156" s="31">
        <v>100</v>
      </c>
    </row>
  </sheetData>
  <mergeCells count="1">
    <mergeCell ref="B12:C12"/>
  </mergeCells>
  <conditionalFormatting sqref="E13:E156">
    <cfRule type="containsText" dxfId="79" priority="1" operator="containsText" text="AQC-N">
      <formula>NOT(ISERROR(SEARCH("AQC-N",E13)))</formula>
    </cfRule>
    <cfRule type="containsText" dxfId="78" priority="2" operator="containsText" text="AQC">
      <formula>NOT(ISERROR(SEARCH("AQC",E13)))</formula>
    </cfRule>
    <cfRule type="containsText" dxfId="77" priority="3" operator="containsText" text="FAO-N">
      <formula>NOT(ISERROR(SEARCH("FAO-N",E13)))</formula>
    </cfRule>
    <cfRule type="containsText" dxfId="76" priority="5" operator="containsText" text="CSM-N">
      <formula>NOT(ISERROR(SEARCH("CSM-N",E13)))</formula>
    </cfRule>
    <cfRule type="containsText" dxfId="75" priority="7" operator="containsText" text="CSM">
      <formula>NOT(ISERROR(SEARCH("CSM",E13)))</formula>
    </cfRule>
    <cfRule type="containsText" dxfId="74" priority="8" operator="containsText" text="FAO">
      <formula>NOT(ISERROR(SEARCH("FAO",E13)))</formula>
    </cfRule>
  </conditionalFormatting>
  <printOptions verticalCentered="1"/>
  <pageMargins left="0.45" right="0.45" top="1" bottom="0.25" header="0" footer="0"/>
  <pageSetup scale="92" fitToHeight="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A157"/>
  <sheetViews>
    <sheetView zoomScale="115" zoomScaleNormal="115" zoomScaleSheetLayoutView="70" workbookViewId="0">
      <selection activeCell="B1" sqref="B1"/>
    </sheetView>
  </sheetViews>
  <sheetFormatPr defaultRowHeight="12.75" x14ac:dyDescent="0.2"/>
  <cols>
    <col min="1" max="1" width="10.5703125" customWidth="1"/>
    <col min="2" max="2" width="4.7109375" style="1" customWidth="1"/>
    <col min="3" max="3" width="2.7109375" style="2" customWidth="1"/>
    <col min="4" max="4" width="5.140625" style="2" customWidth="1"/>
    <col min="5" max="5" width="6.85546875" style="2" customWidth="1"/>
    <col min="6" max="6" width="10.7109375" customWidth="1"/>
    <col min="7" max="8" width="11.140625" customWidth="1"/>
    <col min="9" max="11" width="12.7109375" customWidth="1"/>
    <col min="12" max="18" width="11.140625" customWidth="1"/>
  </cols>
  <sheetData>
    <row r="1" spans="1:18" ht="15.75" x14ac:dyDescent="0.25">
      <c r="A1" s="6" t="s">
        <v>18</v>
      </c>
      <c r="B1" s="26">
        <v>2022</v>
      </c>
      <c r="C1" s="27"/>
      <c r="D1" s="8" t="s">
        <v>24</v>
      </c>
      <c r="E1" s="41"/>
      <c r="G1" s="8" t="s">
        <v>6</v>
      </c>
      <c r="H1" t="s">
        <v>31</v>
      </c>
      <c r="I1" t="s">
        <v>31</v>
      </c>
      <c r="J1" t="s">
        <v>31</v>
      </c>
      <c r="K1" t="s">
        <v>31</v>
      </c>
      <c r="L1" t="s">
        <v>31</v>
      </c>
      <c r="M1" t="s">
        <v>31</v>
      </c>
      <c r="N1" t="s">
        <v>31</v>
      </c>
      <c r="O1" t="s">
        <v>31</v>
      </c>
      <c r="R1" t="s">
        <v>31</v>
      </c>
    </row>
    <row r="2" spans="1:18" ht="14.45" customHeight="1" x14ac:dyDescent="0.25">
      <c r="A2" s="6" t="s">
        <v>31</v>
      </c>
      <c r="B2" s="7" t="s">
        <v>31</v>
      </c>
      <c r="C2" s="8" t="s">
        <v>31</v>
      </c>
      <c r="D2" s="8" t="s">
        <v>31</v>
      </c>
      <c r="E2" s="41" t="s">
        <v>31</v>
      </c>
      <c r="F2" t="s">
        <v>31</v>
      </c>
      <c r="G2" t="s">
        <v>31</v>
      </c>
      <c r="H2" t="s">
        <v>31</v>
      </c>
      <c r="I2" t="s">
        <v>31</v>
      </c>
      <c r="J2" t="s">
        <v>31</v>
      </c>
      <c r="K2" t="s">
        <v>31</v>
      </c>
      <c r="L2" t="s">
        <v>31</v>
      </c>
      <c r="M2" t="s">
        <v>31</v>
      </c>
      <c r="N2" t="s">
        <v>31</v>
      </c>
      <c r="O2" t="s">
        <v>31</v>
      </c>
      <c r="R2" t="s">
        <v>31</v>
      </c>
    </row>
    <row r="3" spans="1:18" ht="15" x14ac:dyDescent="0.25">
      <c r="A3" t="s">
        <v>31</v>
      </c>
      <c r="B3" s="28" t="s">
        <v>19</v>
      </c>
      <c r="E3" s="40"/>
      <c r="H3" s="3" t="s">
        <v>30</v>
      </c>
      <c r="J3" t="s">
        <v>31</v>
      </c>
      <c r="K3" t="s">
        <v>31</v>
      </c>
      <c r="L3" t="s">
        <v>31</v>
      </c>
      <c r="M3" t="s">
        <v>31</v>
      </c>
      <c r="N3" t="s">
        <v>31</v>
      </c>
      <c r="O3" t="s">
        <v>31</v>
      </c>
      <c r="R3" t="s">
        <v>31</v>
      </c>
    </row>
    <row r="4" spans="1:18" ht="7.9" customHeight="1" x14ac:dyDescent="0.2">
      <c r="A4" t="s">
        <v>31</v>
      </c>
      <c r="B4" s="5" t="s">
        <v>31</v>
      </c>
      <c r="C4" s="2" t="s">
        <v>31</v>
      </c>
      <c r="D4" s="2" t="s">
        <v>31</v>
      </c>
      <c r="E4" s="40" t="s">
        <v>31</v>
      </c>
      <c r="F4" t="s">
        <v>31</v>
      </c>
      <c r="G4" t="s">
        <v>31</v>
      </c>
      <c r="H4" t="s">
        <v>31</v>
      </c>
      <c r="I4" t="s">
        <v>31</v>
      </c>
      <c r="J4" t="s">
        <v>31</v>
      </c>
      <c r="K4" t="s">
        <v>31</v>
      </c>
      <c r="L4" t="s">
        <v>31</v>
      </c>
      <c r="M4" t="s">
        <v>31</v>
      </c>
      <c r="N4" t="s">
        <v>31</v>
      </c>
      <c r="O4" t="s">
        <v>31</v>
      </c>
      <c r="R4" t="s">
        <v>31</v>
      </c>
    </row>
    <row r="5" spans="1:18" x14ac:dyDescent="0.2">
      <c r="A5" t="s">
        <v>31</v>
      </c>
      <c r="B5" s="2" t="s">
        <v>31</v>
      </c>
      <c r="C5" s="2" t="s">
        <v>31</v>
      </c>
      <c r="D5" s="2" t="s">
        <v>31</v>
      </c>
      <c r="E5" s="40" t="s">
        <v>31</v>
      </c>
      <c r="F5" s="2" t="s">
        <v>31</v>
      </c>
      <c r="G5" s="2" t="s">
        <v>31</v>
      </c>
    </row>
    <row r="6" spans="1:18" x14ac:dyDescent="0.2">
      <c r="B6" s="2"/>
      <c r="E6" s="40"/>
    </row>
    <row r="7" spans="1:18" x14ac:dyDescent="0.2">
      <c r="A7" s="35"/>
      <c r="B7" s="35"/>
      <c r="C7" s="35"/>
      <c r="D7" s="35"/>
      <c r="E7" s="42"/>
      <c r="F7" s="35"/>
      <c r="G7" s="35"/>
      <c r="H7" s="50"/>
      <c r="I7" s="37"/>
      <c r="N7" s="35"/>
      <c r="O7" s="50"/>
      <c r="P7" s="50"/>
      <c r="Q7" s="50"/>
      <c r="R7" s="35"/>
    </row>
    <row r="8" spans="1:18" x14ac:dyDescent="0.2">
      <c r="A8" s="35"/>
      <c r="B8" s="35"/>
      <c r="C8" s="35"/>
      <c r="D8" s="43" t="s">
        <v>25</v>
      </c>
      <c r="E8" s="35"/>
      <c r="F8" s="35"/>
      <c r="G8" s="35" t="str">
        <f>'Height Summary'!G8</f>
        <v>SMM</v>
      </c>
      <c r="H8" s="35" t="str">
        <f>'Height Summary'!H8</f>
        <v>SMM</v>
      </c>
      <c r="I8" s="35" t="str">
        <f>'Height Summary'!I8</f>
        <v>SMM</v>
      </c>
      <c r="J8" s="35" t="str">
        <f>'Height Summary'!J8</f>
        <v>SMM</v>
      </c>
      <c r="K8" s="35" t="str">
        <f>'Height Summary'!K8</f>
        <v>SMM</v>
      </c>
      <c r="L8" s="35" t="str">
        <f>'Height Summary'!L8</f>
        <v>SMM</v>
      </c>
      <c r="M8" s="35" t="str">
        <f>'Height Summary'!M8</f>
        <v>SMM</v>
      </c>
      <c r="N8" s="35" t="str">
        <f>'Height Summary'!N8</f>
        <v>SMM</v>
      </c>
      <c r="O8" s="35" t="str">
        <f>'Height Summary'!O8</f>
        <v>SMM</v>
      </c>
      <c r="P8" s="35" t="str">
        <f>'Height Summary'!P8</f>
        <v>SMM</v>
      </c>
      <c r="Q8" s="35" t="str">
        <f>'Height Summary'!Q8</f>
        <v>SMM</v>
      </c>
      <c r="R8" s="35" t="str">
        <f>'Height Summary'!R8</f>
        <v>SMM</v>
      </c>
    </row>
    <row r="9" spans="1:18" x14ac:dyDescent="0.2">
      <c r="B9" s="2"/>
      <c r="D9" s="43" t="s">
        <v>26</v>
      </c>
      <c r="E9" s="40"/>
      <c r="F9" s="21"/>
      <c r="G9" s="108">
        <f>'Height Summary'!G9</f>
        <v>44713</v>
      </c>
      <c r="H9" s="108">
        <f>'Height Summary'!H9</f>
        <v>44718</v>
      </c>
      <c r="I9" s="108">
        <f>'Height Summary'!I9</f>
        <v>44725</v>
      </c>
      <c r="J9" s="108">
        <f>'Height Summary'!J9</f>
        <v>44739</v>
      </c>
      <c r="K9" s="108">
        <f>'Height Summary'!K9</f>
        <v>44747</v>
      </c>
      <c r="L9" s="108">
        <f>'Height Summary'!L9</f>
        <v>44753</v>
      </c>
      <c r="M9" s="108">
        <f>'Height Summary'!M9</f>
        <v>44767</v>
      </c>
      <c r="N9" s="108">
        <f>'Height Summary'!N9</f>
        <v>44781</v>
      </c>
      <c r="O9" s="108">
        <f>'Height Summary'!O9</f>
        <v>44788</v>
      </c>
      <c r="P9" s="108" t="str">
        <f>'Height Summary'!P9</f>
        <v>22-23 Aug 2022</v>
      </c>
      <c r="Q9" s="108">
        <f>'Height Summary'!Q9</f>
        <v>44802</v>
      </c>
      <c r="R9" s="108">
        <f>'Height Summary'!R9</f>
        <v>44812</v>
      </c>
    </row>
    <row r="10" spans="1:18" ht="15.6" customHeight="1" x14ac:dyDescent="0.2">
      <c r="B10" s="5"/>
      <c r="D10" s="43" t="s">
        <v>28</v>
      </c>
      <c r="E10" s="40"/>
      <c r="F10" s="17"/>
      <c r="G10" s="17">
        <f>'Height Summary'!G10</f>
        <v>152</v>
      </c>
      <c r="H10" s="17">
        <f>'Height Summary'!H10</f>
        <v>157</v>
      </c>
      <c r="I10" s="17">
        <f>'Height Summary'!I10</f>
        <v>164</v>
      </c>
      <c r="J10" s="17">
        <f>'Height Summary'!J10</f>
        <v>178</v>
      </c>
      <c r="K10" s="17">
        <f>'Height Summary'!K10</f>
        <v>186</v>
      </c>
      <c r="L10" s="17">
        <f>'Height Summary'!L10</f>
        <v>192</v>
      </c>
      <c r="M10" s="17">
        <f>'Height Summary'!M10</f>
        <v>206</v>
      </c>
      <c r="N10" s="17">
        <f>'Height Summary'!N10</f>
        <v>220</v>
      </c>
      <c r="O10" s="17">
        <f>'Height Summary'!O10</f>
        <v>227</v>
      </c>
      <c r="P10" s="17" t="str">
        <f>'Height Summary'!P10</f>
        <v>234-235</v>
      </c>
      <c r="Q10" s="17">
        <f>'Height Summary'!Q10</f>
        <v>241</v>
      </c>
      <c r="R10" s="17">
        <f>'Height Summary'!R10</f>
        <v>251</v>
      </c>
    </row>
    <row r="11" spans="1:18" ht="12" customHeight="1" x14ac:dyDescent="0.2">
      <c r="A11" s="52"/>
      <c r="B11" s="33"/>
      <c r="C11" s="52"/>
      <c r="D11" s="51" t="s">
        <v>27</v>
      </c>
      <c r="E11" s="51"/>
      <c r="F11" s="53"/>
      <c r="G11" s="35" t="str">
        <f>'Height Summary'!G11</f>
        <v>1400-1515h</v>
      </c>
      <c r="H11" s="35" t="str">
        <f>'Height Summary'!H11</f>
        <v>1030-1145</v>
      </c>
      <c r="I11" s="35" t="str">
        <f>'Height Summary'!I11</f>
        <v>0940-1045</v>
      </c>
      <c r="J11" s="35" t="str">
        <f>'Height Summary'!J11</f>
        <v>1015-1245</v>
      </c>
      <c r="K11" s="35" t="str">
        <f>'Height Summary'!K11</f>
        <v>1300-1715</v>
      </c>
      <c r="L11" s="35" t="str">
        <f>'Height Summary'!L11</f>
        <v>0945-1230</v>
      </c>
      <c r="M11" s="35" t="str">
        <f>'Height Summary'!M11</f>
        <v>1015-1315</v>
      </c>
      <c r="N11" s="35" t="str">
        <f>'Height Summary'!N11</f>
        <v>1030-1345</v>
      </c>
      <c r="O11" s="35" t="str">
        <f>'Height Summary'!O11</f>
        <v>1000-13:15</v>
      </c>
      <c r="P11" s="35">
        <f>'Height Summary'!P11</f>
        <v>0</v>
      </c>
      <c r="Q11" s="35" t="str">
        <f>'Height Summary'!Q11</f>
        <v>1200-1415</v>
      </c>
      <c r="R11" s="35" t="str">
        <f>'Height Summary'!R11</f>
        <v>1015-1245</v>
      </c>
    </row>
    <row r="12" spans="1:18" ht="27.6" customHeight="1" thickBot="1" x14ac:dyDescent="0.25">
      <c r="B12" s="117" t="s">
        <v>7</v>
      </c>
      <c r="C12" s="117"/>
      <c r="D12" s="17" t="s">
        <v>12</v>
      </c>
      <c r="E12" s="92" t="s">
        <v>23</v>
      </c>
      <c r="F12" s="92" t="s">
        <v>40</v>
      </c>
      <c r="G12" s="17" t="s">
        <v>67</v>
      </c>
      <c r="H12" s="17" t="s">
        <v>67</v>
      </c>
      <c r="I12" s="17" t="s">
        <v>67</v>
      </c>
      <c r="J12" s="17" t="s">
        <v>67</v>
      </c>
      <c r="K12" s="17" t="s">
        <v>67</v>
      </c>
      <c r="L12" s="17" t="s">
        <v>67</v>
      </c>
      <c r="M12" s="17" t="s">
        <v>67</v>
      </c>
      <c r="N12" s="17" t="s">
        <v>67</v>
      </c>
      <c r="O12" s="17" t="s">
        <v>67</v>
      </c>
      <c r="P12" s="17" t="s">
        <v>67</v>
      </c>
      <c r="Q12" s="17" t="s">
        <v>67</v>
      </c>
      <c r="R12" s="17" t="s">
        <v>67</v>
      </c>
    </row>
    <row r="13" spans="1:18" ht="19.899999999999999" customHeight="1" x14ac:dyDescent="0.2">
      <c r="A13" s="29"/>
      <c r="B13" s="11" t="s">
        <v>0</v>
      </c>
      <c r="C13" s="14">
        <v>1</v>
      </c>
      <c r="D13" s="12" t="s">
        <v>10</v>
      </c>
      <c r="E13" s="89" t="s">
        <v>42</v>
      </c>
      <c r="F13" s="93" t="s">
        <v>41</v>
      </c>
      <c r="G13" s="30">
        <v>8</v>
      </c>
      <c r="H13" s="9">
        <v>14</v>
      </c>
      <c r="I13" s="9">
        <v>24</v>
      </c>
      <c r="J13" s="22">
        <v>42</v>
      </c>
      <c r="K13" s="9">
        <v>51</v>
      </c>
      <c r="L13" s="9">
        <v>65</v>
      </c>
      <c r="M13" s="9">
        <v>81</v>
      </c>
      <c r="N13" s="9">
        <v>83</v>
      </c>
      <c r="O13" s="9">
        <v>83</v>
      </c>
      <c r="P13" s="38">
        <v>84</v>
      </c>
      <c r="Q13" s="54">
        <v>84</v>
      </c>
      <c r="R13" s="54">
        <v>84</v>
      </c>
    </row>
    <row r="14" spans="1:18" ht="19.899999999999999" customHeight="1" x14ac:dyDescent="0.2">
      <c r="A14" s="29"/>
      <c r="B14" s="56"/>
      <c r="C14" s="57"/>
      <c r="D14" s="58" t="s">
        <v>33</v>
      </c>
      <c r="E14" s="90" t="s">
        <v>42</v>
      </c>
      <c r="F14" s="94" t="s">
        <v>41</v>
      </c>
      <c r="G14" s="86">
        <v>7</v>
      </c>
      <c r="H14" s="49">
        <v>15</v>
      </c>
      <c r="I14" s="49">
        <v>23</v>
      </c>
      <c r="J14" s="82">
        <v>41</v>
      </c>
      <c r="K14" s="49">
        <v>53</v>
      </c>
      <c r="L14" s="49">
        <v>61</v>
      </c>
      <c r="M14" s="49">
        <v>67</v>
      </c>
      <c r="N14" s="49">
        <v>91</v>
      </c>
      <c r="O14" s="49">
        <v>95</v>
      </c>
      <c r="P14" s="87">
        <v>98</v>
      </c>
      <c r="Q14" s="88">
        <v>100</v>
      </c>
      <c r="R14" s="88" t="s">
        <v>58</v>
      </c>
    </row>
    <row r="15" spans="1:18" ht="19.899999999999999" customHeight="1" thickBot="1" x14ac:dyDescent="0.25">
      <c r="A15" s="29"/>
      <c r="B15" s="13"/>
      <c r="C15" s="15"/>
      <c r="D15" s="16" t="s">
        <v>11</v>
      </c>
      <c r="E15" s="91" t="s">
        <v>42</v>
      </c>
      <c r="F15" s="95" t="s">
        <v>41</v>
      </c>
      <c r="G15" s="31">
        <v>6</v>
      </c>
      <c r="H15" s="10">
        <v>13</v>
      </c>
      <c r="I15" s="10">
        <v>23</v>
      </c>
      <c r="J15" s="23">
        <v>45</v>
      </c>
      <c r="K15" s="10">
        <v>58</v>
      </c>
      <c r="L15" s="10">
        <v>67</v>
      </c>
      <c r="M15" s="10">
        <v>74</v>
      </c>
      <c r="N15" s="109" t="s">
        <v>58</v>
      </c>
      <c r="O15" s="109" t="s">
        <v>58</v>
      </c>
      <c r="P15" s="48" t="s">
        <v>58</v>
      </c>
      <c r="Q15" s="55" t="s">
        <v>58</v>
      </c>
      <c r="R15" s="55" t="s">
        <v>58</v>
      </c>
    </row>
    <row r="16" spans="1:18" ht="19.899999999999999" customHeight="1" x14ac:dyDescent="0.2">
      <c r="A16" s="29"/>
      <c r="B16" s="11" t="s">
        <v>0</v>
      </c>
      <c r="C16" s="14">
        <v>2</v>
      </c>
      <c r="D16" s="12" t="s">
        <v>10</v>
      </c>
      <c r="E16" s="89" t="s">
        <v>44</v>
      </c>
      <c r="F16" s="93" t="s">
        <v>41</v>
      </c>
      <c r="G16" s="30">
        <v>7</v>
      </c>
      <c r="H16" s="9">
        <v>13</v>
      </c>
      <c r="I16" s="9">
        <v>21</v>
      </c>
      <c r="J16" s="22">
        <v>38</v>
      </c>
      <c r="K16" s="9">
        <v>49</v>
      </c>
      <c r="L16" s="9">
        <v>53</v>
      </c>
      <c r="M16" s="9">
        <v>56</v>
      </c>
      <c r="N16" s="9">
        <v>72</v>
      </c>
      <c r="O16" s="9">
        <v>76</v>
      </c>
      <c r="P16" s="22">
        <v>80</v>
      </c>
      <c r="Q16" s="30">
        <v>83</v>
      </c>
      <c r="R16" s="30">
        <v>90</v>
      </c>
    </row>
    <row r="17" spans="1:18" ht="19.899999999999999" customHeight="1" x14ac:dyDescent="0.2">
      <c r="A17" s="29"/>
      <c r="B17" s="56"/>
      <c r="C17" s="57"/>
      <c r="D17" s="58" t="s">
        <v>33</v>
      </c>
      <c r="E17" s="90" t="s">
        <v>44</v>
      </c>
      <c r="F17" s="94" t="s">
        <v>41</v>
      </c>
      <c r="G17" s="86">
        <v>6</v>
      </c>
      <c r="H17" s="49">
        <v>13</v>
      </c>
      <c r="I17" s="49">
        <v>18</v>
      </c>
      <c r="J17" s="82">
        <v>37</v>
      </c>
      <c r="K17" s="49">
        <v>60</v>
      </c>
      <c r="L17" s="49">
        <v>69</v>
      </c>
      <c r="M17" s="49">
        <v>75</v>
      </c>
      <c r="N17" s="111" t="s">
        <v>58</v>
      </c>
      <c r="O17" s="111" t="s">
        <v>58</v>
      </c>
      <c r="P17" s="87" t="s">
        <v>58</v>
      </c>
      <c r="Q17" s="88" t="s">
        <v>58</v>
      </c>
      <c r="R17" s="88" t="s">
        <v>58</v>
      </c>
    </row>
    <row r="18" spans="1:18" ht="19.899999999999999" customHeight="1" thickBot="1" x14ac:dyDescent="0.25">
      <c r="A18" s="29"/>
      <c r="B18" s="13"/>
      <c r="C18" s="15"/>
      <c r="D18" s="16" t="s">
        <v>11</v>
      </c>
      <c r="E18" s="91" t="s">
        <v>44</v>
      </c>
      <c r="F18" s="95" t="s">
        <v>41</v>
      </c>
      <c r="G18" s="31">
        <v>8</v>
      </c>
      <c r="H18" s="10">
        <v>12</v>
      </c>
      <c r="I18" s="10">
        <v>18</v>
      </c>
      <c r="J18" s="23">
        <v>34</v>
      </c>
      <c r="K18" s="10">
        <v>51</v>
      </c>
      <c r="L18" s="10">
        <v>58</v>
      </c>
      <c r="M18" s="10">
        <v>61</v>
      </c>
      <c r="N18" s="10">
        <v>66</v>
      </c>
      <c r="O18" s="10">
        <v>73</v>
      </c>
      <c r="P18" s="23">
        <v>81</v>
      </c>
      <c r="Q18" s="31">
        <v>85</v>
      </c>
      <c r="R18" s="31">
        <v>89</v>
      </c>
    </row>
    <row r="19" spans="1:18" ht="19.899999999999999" customHeight="1" x14ac:dyDescent="0.2">
      <c r="A19" s="29"/>
      <c r="B19" s="11" t="s">
        <v>0</v>
      </c>
      <c r="C19" s="14">
        <v>3</v>
      </c>
      <c r="D19" s="12" t="s">
        <v>10</v>
      </c>
      <c r="E19" s="89" t="s">
        <v>45</v>
      </c>
      <c r="F19" s="93" t="s">
        <v>41</v>
      </c>
      <c r="G19" s="30">
        <v>7</v>
      </c>
      <c r="H19" s="9">
        <v>12</v>
      </c>
      <c r="I19" s="9">
        <v>15</v>
      </c>
      <c r="J19" s="22">
        <v>40</v>
      </c>
      <c r="K19" s="9">
        <v>49</v>
      </c>
      <c r="L19" s="9">
        <v>60</v>
      </c>
      <c r="M19" s="9">
        <v>68</v>
      </c>
      <c r="N19" s="9">
        <v>83</v>
      </c>
      <c r="O19" s="9">
        <v>93</v>
      </c>
      <c r="P19" s="22">
        <v>98</v>
      </c>
      <c r="Q19" s="30">
        <v>100</v>
      </c>
      <c r="R19" s="30">
        <v>100</v>
      </c>
    </row>
    <row r="20" spans="1:18" ht="19.899999999999999" customHeight="1" x14ac:dyDescent="0.2">
      <c r="A20" s="29"/>
      <c r="B20" s="56"/>
      <c r="C20" s="57"/>
      <c r="D20" s="58" t="s">
        <v>33</v>
      </c>
      <c r="E20" s="90" t="s">
        <v>45</v>
      </c>
      <c r="F20" s="94" t="s">
        <v>41</v>
      </c>
      <c r="G20" s="86">
        <v>8</v>
      </c>
      <c r="H20" s="49">
        <v>12</v>
      </c>
      <c r="I20" s="49">
        <v>16</v>
      </c>
      <c r="J20" s="82">
        <v>37</v>
      </c>
      <c r="K20" s="49">
        <v>53</v>
      </c>
      <c r="L20" s="49">
        <v>68</v>
      </c>
      <c r="M20" s="49">
        <v>77</v>
      </c>
      <c r="N20" s="49">
        <v>91</v>
      </c>
      <c r="O20" s="49">
        <v>91</v>
      </c>
      <c r="P20" s="82">
        <v>90</v>
      </c>
      <c r="Q20" s="86">
        <v>91</v>
      </c>
      <c r="R20" s="86">
        <v>99</v>
      </c>
    </row>
    <row r="21" spans="1:18" ht="19.899999999999999" customHeight="1" thickBot="1" x14ac:dyDescent="0.25">
      <c r="A21" s="29"/>
      <c r="B21" s="13"/>
      <c r="C21" s="15"/>
      <c r="D21" s="16" t="s">
        <v>11</v>
      </c>
      <c r="E21" s="91" t="s">
        <v>45</v>
      </c>
      <c r="F21" s="95" t="s">
        <v>41</v>
      </c>
      <c r="G21" s="31">
        <v>5</v>
      </c>
      <c r="H21" s="10">
        <v>11</v>
      </c>
      <c r="I21" s="10">
        <v>17</v>
      </c>
      <c r="J21" s="23">
        <v>36</v>
      </c>
      <c r="K21" s="10">
        <v>43</v>
      </c>
      <c r="L21" s="10">
        <v>46</v>
      </c>
      <c r="M21" s="10">
        <v>50</v>
      </c>
      <c r="N21" s="10">
        <v>54</v>
      </c>
      <c r="O21" s="10">
        <v>56</v>
      </c>
      <c r="P21" s="23">
        <v>57</v>
      </c>
      <c r="Q21" s="31">
        <v>58</v>
      </c>
      <c r="R21" s="31">
        <v>50</v>
      </c>
    </row>
    <row r="22" spans="1:18" ht="19.899999999999999" customHeight="1" x14ac:dyDescent="0.2">
      <c r="A22" s="29"/>
      <c r="B22" s="11" t="s">
        <v>0</v>
      </c>
      <c r="C22" s="14">
        <v>4</v>
      </c>
      <c r="D22" s="12" t="s">
        <v>10</v>
      </c>
      <c r="E22" s="89" t="s">
        <v>46</v>
      </c>
      <c r="F22" s="93" t="s">
        <v>41</v>
      </c>
      <c r="G22" s="30">
        <v>6</v>
      </c>
      <c r="H22" s="9">
        <v>11</v>
      </c>
      <c r="I22" s="9">
        <v>11</v>
      </c>
      <c r="J22" s="22">
        <v>25</v>
      </c>
      <c r="K22" s="9">
        <v>31</v>
      </c>
      <c r="L22" s="9">
        <v>34</v>
      </c>
      <c r="M22" s="9">
        <v>38</v>
      </c>
      <c r="N22" s="9">
        <v>45</v>
      </c>
      <c r="O22" s="9">
        <v>49</v>
      </c>
      <c r="P22" s="22">
        <v>52</v>
      </c>
      <c r="Q22" s="54">
        <v>54</v>
      </c>
      <c r="R22" s="54" t="s">
        <v>58</v>
      </c>
    </row>
    <row r="23" spans="1:18" ht="19.899999999999999" customHeight="1" x14ac:dyDescent="0.2">
      <c r="A23" s="29"/>
      <c r="B23" s="56"/>
      <c r="C23" s="57"/>
      <c r="D23" s="58" t="s">
        <v>33</v>
      </c>
      <c r="E23" s="90" t="s">
        <v>46</v>
      </c>
      <c r="F23" s="94" t="s">
        <v>41</v>
      </c>
      <c r="G23" s="86">
        <v>8</v>
      </c>
      <c r="H23" s="49">
        <v>11</v>
      </c>
      <c r="I23" s="49">
        <v>16</v>
      </c>
      <c r="J23" s="82">
        <v>40</v>
      </c>
      <c r="K23" s="49">
        <v>47</v>
      </c>
      <c r="L23" s="49">
        <v>64</v>
      </c>
      <c r="M23" s="49">
        <v>77</v>
      </c>
      <c r="N23" s="49">
        <v>94</v>
      </c>
      <c r="O23" s="49">
        <v>101</v>
      </c>
      <c r="P23" s="87" t="s">
        <v>58</v>
      </c>
      <c r="Q23" s="88" t="s">
        <v>58</v>
      </c>
      <c r="R23" s="88" t="s">
        <v>58</v>
      </c>
    </row>
    <row r="24" spans="1:18" ht="19.899999999999999" customHeight="1" thickBot="1" x14ac:dyDescent="0.25">
      <c r="A24" s="29"/>
      <c r="B24" s="13"/>
      <c r="C24" s="15"/>
      <c r="D24" s="16" t="s">
        <v>11</v>
      </c>
      <c r="E24" s="91" t="s">
        <v>46</v>
      </c>
      <c r="F24" s="95" t="s">
        <v>41</v>
      </c>
      <c r="G24" s="31">
        <v>7</v>
      </c>
      <c r="H24" s="10">
        <v>10</v>
      </c>
      <c r="I24" s="10">
        <v>13</v>
      </c>
      <c r="J24" s="23">
        <v>32</v>
      </c>
      <c r="K24" s="10">
        <v>42</v>
      </c>
      <c r="L24" s="10">
        <v>54</v>
      </c>
      <c r="M24" s="10">
        <v>62</v>
      </c>
      <c r="N24" s="10">
        <v>80</v>
      </c>
      <c r="O24" s="10">
        <v>86</v>
      </c>
      <c r="P24" s="23">
        <v>88</v>
      </c>
      <c r="Q24" s="31">
        <v>92</v>
      </c>
      <c r="R24" s="55" t="s">
        <v>58</v>
      </c>
    </row>
    <row r="25" spans="1:18" ht="19.899999999999999" customHeight="1" x14ac:dyDescent="0.2">
      <c r="A25" s="29"/>
      <c r="B25" s="11" t="s">
        <v>1</v>
      </c>
      <c r="C25" s="14">
        <v>4</v>
      </c>
      <c r="D25" s="12" t="s">
        <v>11</v>
      </c>
      <c r="E25" s="89" t="s">
        <v>46</v>
      </c>
      <c r="F25" s="96" t="s">
        <v>43</v>
      </c>
      <c r="G25" s="30">
        <v>11</v>
      </c>
      <c r="H25" s="9">
        <v>17</v>
      </c>
      <c r="I25" s="9">
        <v>21</v>
      </c>
      <c r="J25" s="22">
        <v>38</v>
      </c>
      <c r="K25" s="9">
        <v>42</v>
      </c>
      <c r="L25" s="9">
        <v>47</v>
      </c>
      <c r="M25" s="9">
        <v>51</v>
      </c>
      <c r="N25" s="9">
        <v>67</v>
      </c>
      <c r="O25" s="9">
        <v>79</v>
      </c>
      <c r="P25" s="22">
        <v>90</v>
      </c>
      <c r="Q25" s="54" t="s">
        <v>58</v>
      </c>
      <c r="R25" s="54" t="s">
        <v>58</v>
      </c>
    </row>
    <row r="26" spans="1:18" ht="19.899999999999999" customHeight="1" x14ac:dyDescent="0.2">
      <c r="A26" s="29"/>
      <c r="B26" s="56"/>
      <c r="C26" s="57"/>
      <c r="D26" s="58" t="s">
        <v>33</v>
      </c>
      <c r="E26" s="90" t="s">
        <v>46</v>
      </c>
      <c r="F26" s="97" t="s">
        <v>43</v>
      </c>
      <c r="G26" s="86">
        <v>14</v>
      </c>
      <c r="H26" s="49">
        <v>17</v>
      </c>
      <c r="I26" s="49">
        <v>22</v>
      </c>
      <c r="J26" s="82">
        <v>54</v>
      </c>
      <c r="K26" s="49">
        <v>57</v>
      </c>
      <c r="L26" s="49">
        <v>65</v>
      </c>
      <c r="M26" s="49">
        <v>69</v>
      </c>
      <c r="N26" s="49">
        <v>86</v>
      </c>
      <c r="O26" s="49">
        <v>92</v>
      </c>
      <c r="P26" s="82">
        <v>97</v>
      </c>
      <c r="Q26" s="86">
        <v>101</v>
      </c>
      <c r="R26" s="88" t="s">
        <v>58</v>
      </c>
    </row>
    <row r="27" spans="1:18" ht="19.899999999999999" customHeight="1" thickBot="1" x14ac:dyDescent="0.25">
      <c r="A27" s="29"/>
      <c r="B27" s="13"/>
      <c r="C27" s="15"/>
      <c r="D27" s="16" t="s">
        <v>10</v>
      </c>
      <c r="E27" s="91" t="s">
        <v>46</v>
      </c>
      <c r="F27" s="98" t="s">
        <v>43</v>
      </c>
      <c r="G27" s="31">
        <v>10</v>
      </c>
      <c r="H27" s="10">
        <v>15</v>
      </c>
      <c r="I27" s="10">
        <v>23</v>
      </c>
      <c r="J27" s="23">
        <v>54</v>
      </c>
      <c r="K27" s="10">
        <v>61</v>
      </c>
      <c r="L27" s="10">
        <v>68</v>
      </c>
      <c r="M27" s="10">
        <v>72</v>
      </c>
      <c r="N27" s="10">
        <v>95</v>
      </c>
      <c r="O27" s="109" t="s">
        <v>58</v>
      </c>
      <c r="P27" s="48" t="s">
        <v>58</v>
      </c>
      <c r="Q27" s="55" t="s">
        <v>58</v>
      </c>
      <c r="R27" s="55" t="s">
        <v>58</v>
      </c>
    </row>
    <row r="28" spans="1:18" ht="19.899999999999999" customHeight="1" x14ac:dyDescent="0.2">
      <c r="A28" s="29"/>
      <c r="B28" s="11" t="s">
        <v>1</v>
      </c>
      <c r="C28" s="14">
        <v>3</v>
      </c>
      <c r="D28" s="12" t="s">
        <v>11</v>
      </c>
      <c r="E28" s="89" t="s">
        <v>45</v>
      </c>
      <c r="F28" s="96" t="s">
        <v>43</v>
      </c>
      <c r="G28" s="30">
        <v>13</v>
      </c>
      <c r="H28" s="9">
        <v>19</v>
      </c>
      <c r="I28" s="9">
        <v>23</v>
      </c>
      <c r="J28" s="22">
        <v>51</v>
      </c>
      <c r="K28" s="9">
        <v>62</v>
      </c>
      <c r="L28" s="9">
        <v>67</v>
      </c>
      <c r="M28" s="9">
        <v>72</v>
      </c>
      <c r="N28" s="9">
        <v>84</v>
      </c>
      <c r="O28" s="9">
        <v>88</v>
      </c>
      <c r="P28" s="22">
        <v>91</v>
      </c>
      <c r="Q28" s="30">
        <v>95</v>
      </c>
      <c r="R28" s="54" t="s">
        <v>58</v>
      </c>
    </row>
    <row r="29" spans="1:18" ht="19.899999999999999" customHeight="1" x14ac:dyDescent="0.2">
      <c r="A29" s="29"/>
      <c r="B29" s="56"/>
      <c r="C29" s="57"/>
      <c r="D29" s="58" t="s">
        <v>33</v>
      </c>
      <c r="E29" s="90" t="s">
        <v>45</v>
      </c>
      <c r="F29" s="97" t="s">
        <v>43</v>
      </c>
      <c r="G29" s="86">
        <v>11</v>
      </c>
      <c r="H29" s="49">
        <v>16</v>
      </c>
      <c r="I29" s="49">
        <v>24</v>
      </c>
      <c r="J29" s="82">
        <v>54</v>
      </c>
      <c r="K29" s="49">
        <v>66</v>
      </c>
      <c r="L29" s="49">
        <v>77</v>
      </c>
      <c r="M29" s="49">
        <v>84</v>
      </c>
      <c r="N29" s="49">
        <v>96</v>
      </c>
      <c r="O29" s="111" t="s">
        <v>58</v>
      </c>
      <c r="P29" s="87" t="s">
        <v>58</v>
      </c>
      <c r="Q29" s="88" t="s">
        <v>58</v>
      </c>
      <c r="R29" s="88" t="s">
        <v>58</v>
      </c>
    </row>
    <row r="30" spans="1:18" ht="19.899999999999999" customHeight="1" thickBot="1" x14ac:dyDescent="0.25">
      <c r="A30" s="29"/>
      <c r="B30" s="13"/>
      <c r="C30" s="15"/>
      <c r="D30" s="16" t="s">
        <v>10</v>
      </c>
      <c r="E30" s="91" t="s">
        <v>45</v>
      </c>
      <c r="F30" s="98" t="s">
        <v>43</v>
      </c>
      <c r="G30" s="31">
        <v>15</v>
      </c>
      <c r="H30" s="10">
        <v>20</v>
      </c>
      <c r="I30" s="10">
        <v>26</v>
      </c>
      <c r="J30" s="23">
        <v>49</v>
      </c>
      <c r="K30" s="10">
        <v>57</v>
      </c>
      <c r="L30" s="10">
        <v>71</v>
      </c>
      <c r="M30" s="10">
        <v>80</v>
      </c>
      <c r="N30" s="10">
        <v>79</v>
      </c>
      <c r="O30" s="10">
        <v>82</v>
      </c>
      <c r="P30" s="23">
        <v>84</v>
      </c>
      <c r="Q30" s="31">
        <v>87</v>
      </c>
      <c r="R30" s="31">
        <v>88</v>
      </c>
    </row>
    <row r="31" spans="1:18" ht="19.899999999999999" customHeight="1" x14ac:dyDescent="0.2">
      <c r="A31" s="29"/>
      <c r="B31" s="11" t="s">
        <v>1</v>
      </c>
      <c r="C31" s="14">
        <v>2</v>
      </c>
      <c r="D31" s="12" t="s">
        <v>11</v>
      </c>
      <c r="E31" s="89" t="s">
        <v>44</v>
      </c>
      <c r="F31" s="96" t="s">
        <v>43</v>
      </c>
      <c r="G31" s="30">
        <v>11</v>
      </c>
      <c r="H31" s="9">
        <v>16</v>
      </c>
      <c r="I31" s="9">
        <v>24</v>
      </c>
      <c r="J31" s="22">
        <v>52</v>
      </c>
      <c r="K31" s="9">
        <v>62</v>
      </c>
      <c r="L31" s="9">
        <v>59</v>
      </c>
      <c r="M31" s="9">
        <v>59</v>
      </c>
      <c r="N31" s="9">
        <v>78</v>
      </c>
      <c r="O31" s="9">
        <v>80</v>
      </c>
      <c r="P31" s="22">
        <v>82</v>
      </c>
      <c r="Q31" s="30">
        <v>83</v>
      </c>
      <c r="R31" s="30">
        <v>82</v>
      </c>
    </row>
    <row r="32" spans="1:18" ht="19.899999999999999" customHeight="1" x14ac:dyDescent="0.2">
      <c r="A32" s="29"/>
      <c r="B32" s="56"/>
      <c r="C32" s="57"/>
      <c r="D32" s="58" t="s">
        <v>33</v>
      </c>
      <c r="E32" s="90" t="s">
        <v>44</v>
      </c>
      <c r="F32" s="97" t="s">
        <v>43</v>
      </c>
      <c r="G32" s="86">
        <v>12</v>
      </c>
      <c r="H32" s="49">
        <v>16</v>
      </c>
      <c r="I32" s="49">
        <v>21</v>
      </c>
      <c r="J32" s="82">
        <v>48</v>
      </c>
      <c r="K32" s="49">
        <v>58</v>
      </c>
      <c r="L32" s="49">
        <v>64</v>
      </c>
      <c r="M32" s="49">
        <v>68</v>
      </c>
      <c r="N32" s="49">
        <v>91</v>
      </c>
      <c r="O32" s="111" t="s">
        <v>58</v>
      </c>
      <c r="P32" s="87" t="s">
        <v>58</v>
      </c>
      <c r="Q32" s="88" t="s">
        <v>58</v>
      </c>
      <c r="R32" s="88" t="s">
        <v>58</v>
      </c>
    </row>
    <row r="33" spans="1:18" ht="19.899999999999999" customHeight="1" thickBot="1" x14ac:dyDescent="0.25">
      <c r="A33" s="29"/>
      <c r="B33" s="13"/>
      <c r="C33" s="15"/>
      <c r="D33" s="16" t="s">
        <v>10</v>
      </c>
      <c r="E33" s="91" t="s">
        <v>44</v>
      </c>
      <c r="F33" s="98" t="s">
        <v>43</v>
      </c>
      <c r="G33" s="31">
        <v>13</v>
      </c>
      <c r="H33" s="10">
        <v>20</v>
      </c>
      <c r="I33" s="10">
        <v>27</v>
      </c>
      <c r="J33" s="23">
        <v>61</v>
      </c>
      <c r="K33" s="10">
        <v>75</v>
      </c>
      <c r="L33" s="10">
        <v>87</v>
      </c>
      <c r="M33" s="10">
        <v>93</v>
      </c>
      <c r="N33" s="109" t="s">
        <v>58</v>
      </c>
      <c r="O33" s="109" t="s">
        <v>58</v>
      </c>
      <c r="P33" s="48" t="s">
        <v>58</v>
      </c>
      <c r="Q33" s="55" t="s">
        <v>58</v>
      </c>
      <c r="R33" s="55" t="s">
        <v>58</v>
      </c>
    </row>
    <row r="34" spans="1:18" ht="19.899999999999999" customHeight="1" x14ac:dyDescent="0.2">
      <c r="A34" s="29"/>
      <c r="B34" s="11" t="s">
        <v>1</v>
      </c>
      <c r="C34" s="14">
        <v>1</v>
      </c>
      <c r="D34" s="12" t="s">
        <v>11</v>
      </c>
      <c r="E34" s="89" t="s">
        <v>42</v>
      </c>
      <c r="F34" s="96" t="s">
        <v>43</v>
      </c>
      <c r="G34" s="30">
        <v>16</v>
      </c>
      <c r="H34" s="9">
        <v>23</v>
      </c>
      <c r="I34" s="9">
        <v>23</v>
      </c>
      <c r="J34" s="22">
        <v>57</v>
      </c>
      <c r="K34" s="9">
        <v>68</v>
      </c>
      <c r="L34" s="9">
        <v>81</v>
      </c>
      <c r="M34" s="9">
        <v>88</v>
      </c>
      <c r="N34" s="9">
        <v>98</v>
      </c>
      <c r="O34" s="110" t="s">
        <v>58</v>
      </c>
      <c r="P34" s="38" t="s">
        <v>58</v>
      </c>
      <c r="Q34" s="54" t="s">
        <v>58</v>
      </c>
      <c r="R34" s="54" t="s">
        <v>58</v>
      </c>
    </row>
    <row r="35" spans="1:18" ht="19.899999999999999" customHeight="1" x14ac:dyDescent="0.2">
      <c r="A35" s="29"/>
      <c r="B35" s="56"/>
      <c r="C35" s="57"/>
      <c r="D35" s="58" t="s">
        <v>33</v>
      </c>
      <c r="E35" s="90" t="s">
        <v>42</v>
      </c>
      <c r="F35" s="97" t="s">
        <v>43</v>
      </c>
      <c r="G35" s="86">
        <v>13</v>
      </c>
      <c r="H35" s="49">
        <v>20</v>
      </c>
      <c r="I35" s="49">
        <v>28</v>
      </c>
      <c r="J35" s="82">
        <v>58</v>
      </c>
      <c r="K35" s="49">
        <v>67</v>
      </c>
      <c r="L35" s="49">
        <v>83</v>
      </c>
      <c r="M35" s="49">
        <v>92</v>
      </c>
      <c r="N35" s="111" t="s">
        <v>58</v>
      </c>
      <c r="O35" s="111" t="s">
        <v>58</v>
      </c>
      <c r="P35" s="87" t="s">
        <v>58</v>
      </c>
      <c r="Q35" s="88" t="s">
        <v>58</v>
      </c>
      <c r="R35" s="88" t="s">
        <v>58</v>
      </c>
    </row>
    <row r="36" spans="1:18" ht="19.899999999999999" customHeight="1" thickBot="1" x14ac:dyDescent="0.25">
      <c r="A36" s="29"/>
      <c r="B36" s="13"/>
      <c r="C36" s="15"/>
      <c r="D36" s="16" t="s">
        <v>10</v>
      </c>
      <c r="E36" s="91" t="s">
        <v>42</v>
      </c>
      <c r="F36" s="98" t="s">
        <v>43</v>
      </c>
      <c r="G36" s="31">
        <v>15</v>
      </c>
      <c r="H36" s="10">
        <v>21</v>
      </c>
      <c r="I36" s="10">
        <v>31</v>
      </c>
      <c r="J36" s="23">
        <v>60</v>
      </c>
      <c r="K36" s="10">
        <v>77</v>
      </c>
      <c r="L36" s="10">
        <v>88</v>
      </c>
      <c r="M36" s="10">
        <v>95</v>
      </c>
      <c r="N36" s="109" t="s">
        <v>58</v>
      </c>
      <c r="O36" s="109" t="s">
        <v>58</v>
      </c>
      <c r="P36" s="48" t="s">
        <v>58</v>
      </c>
      <c r="Q36" s="55" t="s">
        <v>58</v>
      </c>
      <c r="R36" s="55" t="s">
        <v>58</v>
      </c>
    </row>
    <row r="37" spans="1:18" ht="19.899999999999999" customHeight="1" x14ac:dyDescent="0.2">
      <c r="A37" s="29"/>
      <c r="B37" s="11" t="s">
        <v>2</v>
      </c>
      <c r="C37" s="14">
        <v>1</v>
      </c>
      <c r="D37" s="12" t="s">
        <v>10</v>
      </c>
      <c r="E37" s="89" t="s">
        <v>46</v>
      </c>
      <c r="F37" s="93" t="s">
        <v>41</v>
      </c>
      <c r="G37" s="30">
        <v>9</v>
      </c>
      <c r="H37" s="9">
        <v>15</v>
      </c>
      <c r="I37" s="9">
        <v>26</v>
      </c>
      <c r="J37" s="22">
        <v>57</v>
      </c>
      <c r="K37" s="9">
        <v>73</v>
      </c>
      <c r="L37" s="9">
        <v>87</v>
      </c>
      <c r="M37" s="9">
        <v>98</v>
      </c>
      <c r="N37" s="110" t="s">
        <v>58</v>
      </c>
      <c r="O37" s="110" t="s">
        <v>58</v>
      </c>
      <c r="P37" s="38" t="s">
        <v>58</v>
      </c>
      <c r="Q37" s="54" t="s">
        <v>58</v>
      </c>
      <c r="R37" s="54" t="s">
        <v>58</v>
      </c>
    </row>
    <row r="38" spans="1:18" ht="19.899999999999999" customHeight="1" x14ac:dyDescent="0.2">
      <c r="A38" s="29"/>
      <c r="B38" s="56"/>
      <c r="C38" s="57"/>
      <c r="D38" s="58" t="s">
        <v>33</v>
      </c>
      <c r="E38" s="90" t="s">
        <v>46</v>
      </c>
      <c r="F38" s="94" t="s">
        <v>41</v>
      </c>
      <c r="G38" s="86">
        <v>9</v>
      </c>
      <c r="H38" s="49">
        <v>14</v>
      </c>
      <c r="I38" s="49">
        <v>16</v>
      </c>
      <c r="J38" s="82">
        <v>34</v>
      </c>
      <c r="K38" s="49">
        <v>48</v>
      </c>
      <c r="L38" s="49">
        <v>61</v>
      </c>
      <c r="M38" s="49">
        <v>72</v>
      </c>
      <c r="N38" s="49">
        <v>80</v>
      </c>
      <c r="O38" s="49">
        <v>86</v>
      </c>
      <c r="P38" s="87">
        <v>94</v>
      </c>
      <c r="Q38" s="88">
        <v>100</v>
      </c>
      <c r="R38" s="88">
        <v>98</v>
      </c>
    </row>
    <row r="39" spans="1:18" ht="19.899999999999999" customHeight="1" thickBot="1" x14ac:dyDescent="0.25">
      <c r="A39" s="29"/>
      <c r="B39" s="13"/>
      <c r="C39" s="15"/>
      <c r="D39" s="16" t="s">
        <v>11</v>
      </c>
      <c r="E39" s="91" t="s">
        <v>46</v>
      </c>
      <c r="F39" s="95" t="s">
        <v>41</v>
      </c>
      <c r="G39" s="31">
        <v>8</v>
      </c>
      <c r="H39" s="10">
        <v>12</v>
      </c>
      <c r="I39" s="10">
        <v>22</v>
      </c>
      <c r="J39" s="23">
        <v>48</v>
      </c>
      <c r="K39" s="10">
        <v>65</v>
      </c>
      <c r="L39" s="10">
        <v>78</v>
      </c>
      <c r="M39" s="10">
        <v>91</v>
      </c>
      <c r="N39" s="109" t="s">
        <v>58</v>
      </c>
      <c r="O39" s="109" t="s">
        <v>58</v>
      </c>
      <c r="P39" s="48" t="s">
        <v>58</v>
      </c>
      <c r="Q39" s="55" t="s">
        <v>58</v>
      </c>
      <c r="R39" s="55" t="s">
        <v>58</v>
      </c>
    </row>
    <row r="40" spans="1:18" ht="19.899999999999999" customHeight="1" x14ac:dyDescent="0.2">
      <c r="A40" s="29"/>
      <c r="B40" s="11" t="s">
        <v>2</v>
      </c>
      <c r="C40" s="14">
        <v>2</v>
      </c>
      <c r="D40" s="12" t="s">
        <v>10</v>
      </c>
      <c r="E40" s="89" t="s">
        <v>47</v>
      </c>
      <c r="F40" s="93" t="s">
        <v>41</v>
      </c>
      <c r="G40" s="30">
        <v>12</v>
      </c>
      <c r="H40" s="9">
        <v>15</v>
      </c>
      <c r="I40" s="9">
        <v>21</v>
      </c>
      <c r="J40" s="22">
        <v>41</v>
      </c>
      <c r="K40" s="9">
        <v>53</v>
      </c>
      <c r="L40" s="9">
        <v>61</v>
      </c>
      <c r="M40" s="9">
        <v>67</v>
      </c>
      <c r="N40" s="9">
        <v>71</v>
      </c>
      <c r="O40" s="9">
        <v>82</v>
      </c>
      <c r="P40" s="22">
        <v>91</v>
      </c>
      <c r="Q40" s="54" t="s">
        <v>58</v>
      </c>
      <c r="R40" s="54" t="s">
        <v>58</v>
      </c>
    </row>
    <row r="41" spans="1:18" ht="19.899999999999999" customHeight="1" x14ac:dyDescent="0.2">
      <c r="A41" s="29"/>
      <c r="B41" s="56"/>
      <c r="C41" s="57"/>
      <c r="D41" s="58" t="s">
        <v>33</v>
      </c>
      <c r="E41" s="90" t="s">
        <v>47</v>
      </c>
      <c r="F41" s="94" t="s">
        <v>41</v>
      </c>
      <c r="G41" s="86">
        <v>8</v>
      </c>
      <c r="H41" s="49">
        <v>13</v>
      </c>
      <c r="I41" s="49">
        <v>17</v>
      </c>
      <c r="J41" s="82">
        <v>36</v>
      </c>
      <c r="K41" s="49">
        <v>55</v>
      </c>
      <c r="L41" s="49">
        <v>65</v>
      </c>
      <c r="M41" s="49">
        <v>70</v>
      </c>
      <c r="N41" s="49">
        <v>82</v>
      </c>
      <c r="O41" s="49">
        <v>90</v>
      </c>
      <c r="P41" s="82">
        <v>94</v>
      </c>
      <c r="Q41" s="86">
        <v>97</v>
      </c>
      <c r="R41" s="88" t="s">
        <v>58</v>
      </c>
    </row>
    <row r="42" spans="1:18" ht="19.899999999999999" customHeight="1" thickBot="1" x14ac:dyDescent="0.25">
      <c r="A42" s="29"/>
      <c r="B42" s="13"/>
      <c r="C42" s="15"/>
      <c r="D42" s="16" t="s">
        <v>11</v>
      </c>
      <c r="E42" s="91" t="s">
        <v>47</v>
      </c>
      <c r="F42" s="95" t="s">
        <v>41</v>
      </c>
      <c r="G42" s="31">
        <v>10</v>
      </c>
      <c r="H42" s="10">
        <v>15</v>
      </c>
      <c r="I42" s="10">
        <v>24</v>
      </c>
      <c r="J42" s="23">
        <v>53</v>
      </c>
      <c r="K42" s="10">
        <v>72</v>
      </c>
      <c r="L42" s="10">
        <v>77</v>
      </c>
      <c r="M42" s="10">
        <v>80</v>
      </c>
      <c r="N42" s="10">
        <v>96</v>
      </c>
      <c r="O42" s="109" t="s">
        <v>58</v>
      </c>
      <c r="P42" s="48" t="s">
        <v>58</v>
      </c>
      <c r="Q42" s="55" t="s">
        <v>58</v>
      </c>
      <c r="R42" s="55" t="s">
        <v>58</v>
      </c>
    </row>
    <row r="43" spans="1:18" ht="19.899999999999999" customHeight="1" x14ac:dyDescent="0.2">
      <c r="A43" s="29"/>
      <c r="B43" s="11" t="s">
        <v>2</v>
      </c>
      <c r="C43" s="14">
        <v>3</v>
      </c>
      <c r="D43" s="12" t="s">
        <v>10</v>
      </c>
      <c r="E43" s="89" t="s">
        <v>48</v>
      </c>
      <c r="F43" s="93" t="s">
        <v>41</v>
      </c>
      <c r="G43" s="30">
        <v>12</v>
      </c>
      <c r="H43" s="9">
        <v>19</v>
      </c>
      <c r="I43" s="9">
        <v>26</v>
      </c>
      <c r="J43" s="22">
        <v>48</v>
      </c>
      <c r="K43" s="9">
        <v>67</v>
      </c>
      <c r="L43" s="9">
        <v>74</v>
      </c>
      <c r="M43" s="9">
        <v>79</v>
      </c>
      <c r="N43" s="9">
        <v>93</v>
      </c>
      <c r="O43" s="110" t="s">
        <v>58</v>
      </c>
      <c r="P43" s="38" t="s">
        <v>58</v>
      </c>
      <c r="Q43" s="54" t="s">
        <v>58</v>
      </c>
      <c r="R43" s="54" t="s">
        <v>58</v>
      </c>
    </row>
    <row r="44" spans="1:18" ht="19.899999999999999" customHeight="1" x14ac:dyDescent="0.2">
      <c r="A44" s="29"/>
      <c r="B44" s="56"/>
      <c r="C44" s="57"/>
      <c r="D44" s="58" t="s">
        <v>33</v>
      </c>
      <c r="E44" s="90" t="s">
        <v>48</v>
      </c>
      <c r="F44" s="94" t="s">
        <v>41</v>
      </c>
      <c r="G44" s="86">
        <v>10</v>
      </c>
      <c r="H44" s="49">
        <v>17</v>
      </c>
      <c r="I44" s="49">
        <v>21</v>
      </c>
      <c r="J44" s="82">
        <v>44</v>
      </c>
      <c r="K44" s="49">
        <v>64</v>
      </c>
      <c r="L44" s="49">
        <v>77</v>
      </c>
      <c r="M44" s="49">
        <v>85</v>
      </c>
      <c r="N44" s="49">
        <v>95</v>
      </c>
      <c r="O44" s="111" t="s">
        <v>58</v>
      </c>
      <c r="P44" s="87" t="s">
        <v>58</v>
      </c>
      <c r="Q44" s="88" t="s">
        <v>58</v>
      </c>
      <c r="R44" s="86">
        <v>100</v>
      </c>
    </row>
    <row r="45" spans="1:18" ht="19.899999999999999" customHeight="1" thickBot="1" x14ac:dyDescent="0.25">
      <c r="A45" s="29"/>
      <c r="B45" s="13"/>
      <c r="C45" s="15"/>
      <c r="D45" s="16" t="s">
        <v>11</v>
      </c>
      <c r="E45" s="91" t="s">
        <v>48</v>
      </c>
      <c r="F45" s="95" t="s">
        <v>41</v>
      </c>
      <c r="G45" s="31">
        <v>7</v>
      </c>
      <c r="H45" s="10">
        <v>15</v>
      </c>
      <c r="I45" s="10">
        <v>18</v>
      </c>
      <c r="J45" s="23">
        <v>28</v>
      </c>
      <c r="K45" s="10">
        <v>43</v>
      </c>
      <c r="L45" s="10">
        <v>41</v>
      </c>
      <c r="M45" s="10">
        <v>42</v>
      </c>
      <c r="N45" s="10">
        <v>50</v>
      </c>
      <c r="O45" s="10">
        <v>57</v>
      </c>
      <c r="P45" s="23">
        <v>66</v>
      </c>
      <c r="Q45" s="31">
        <v>72</v>
      </c>
      <c r="R45" s="31">
        <v>68</v>
      </c>
    </row>
    <row r="46" spans="1:18" ht="19.899999999999999" customHeight="1" x14ac:dyDescent="0.2">
      <c r="A46" s="29"/>
      <c r="B46" s="11" t="s">
        <v>2</v>
      </c>
      <c r="C46" s="14">
        <v>4</v>
      </c>
      <c r="D46" s="12" t="s">
        <v>10</v>
      </c>
      <c r="E46" s="89" t="s">
        <v>42</v>
      </c>
      <c r="F46" s="93" t="s">
        <v>41</v>
      </c>
      <c r="G46" s="30">
        <v>8</v>
      </c>
      <c r="H46" s="9">
        <v>13</v>
      </c>
      <c r="I46" s="9">
        <v>18</v>
      </c>
      <c r="J46" s="22">
        <v>42</v>
      </c>
      <c r="K46" s="9">
        <v>57</v>
      </c>
      <c r="L46" s="9">
        <v>70</v>
      </c>
      <c r="M46" s="9">
        <v>78</v>
      </c>
      <c r="N46" s="9">
        <v>93</v>
      </c>
      <c r="O46" s="9">
        <v>99</v>
      </c>
      <c r="P46" s="38" t="s">
        <v>58</v>
      </c>
      <c r="Q46" s="54" t="s">
        <v>58</v>
      </c>
      <c r="R46" s="54" t="s">
        <v>58</v>
      </c>
    </row>
    <row r="47" spans="1:18" ht="19.899999999999999" customHeight="1" x14ac:dyDescent="0.2">
      <c r="A47" s="29"/>
      <c r="B47" s="56"/>
      <c r="C47" s="57"/>
      <c r="D47" s="58" t="s">
        <v>33</v>
      </c>
      <c r="E47" s="90" t="s">
        <v>42</v>
      </c>
      <c r="F47" s="94" t="s">
        <v>41</v>
      </c>
      <c r="G47" s="86">
        <v>12</v>
      </c>
      <c r="H47" s="49">
        <v>15</v>
      </c>
      <c r="I47" s="49">
        <v>21</v>
      </c>
      <c r="J47" s="82">
        <v>36</v>
      </c>
      <c r="K47" s="49">
        <v>55</v>
      </c>
      <c r="L47" s="49">
        <v>67</v>
      </c>
      <c r="M47" s="49">
        <v>74</v>
      </c>
      <c r="N47" s="49">
        <v>90</v>
      </c>
      <c r="O47" s="49">
        <v>96</v>
      </c>
      <c r="P47" s="82">
        <v>99</v>
      </c>
      <c r="Q47" s="86">
        <v>101</v>
      </c>
      <c r="R47" s="88" t="s">
        <v>58</v>
      </c>
    </row>
    <row r="48" spans="1:18" ht="19.899999999999999" customHeight="1" thickBot="1" x14ac:dyDescent="0.25">
      <c r="A48" s="29"/>
      <c r="B48" s="13"/>
      <c r="C48" s="15"/>
      <c r="D48" s="16" t="s">
        <v>11</v>
      </c>
      <c r="E48" s="91" t="s">
        <v>42</v>
      </c>
      <c r="F48" s="95" t="s">
        <v>41</v>
      </c>
      <c r="G48" s="31">
        <v>10</v>
      </c>
      <c r="H48" s="10">
        <v>15</v>
      </c>
      <c r="I48" s="10">
        <v>19</v>
      </c>
      <c r="J48" s="23">
        <v>41</v>
      </c>
      <c r="K48" s="10">
        <v>59</v>
      </c>
      <c r="L48" s="10">
        <v>66</v>
      </c>
      <c r="M48" s="10">
        <v>74</v>
      </c>
      <c r="N48" s="10">
        <v>92</v>
      </c>
      <c r="O48" s="10">
        <v>98</v>
      </c>
      <c r="P48" s="48" t="s">
        <v>58</v>
      </c>
      <c r="Q48" s="55" t="s">
        <v>58</v>
      </c>
      <c r="R48" s="55" t="s">
        <v>58</v>
      </c>
    </row>
    <row r="49" spans="1:18" ht="19.899999999999999" customHeight="1" x14ac:dyDescent="0.2">
      <c r="A49" s="29"/>
      <c r="B49" s="11" t="s">
        <v>3</v>
      </c>
      <c r="C49" s="14">
        <v>4</v>
      </c>
      <c r="D49" s="12" t="s">
        <v>11</v>
      </c>
      <c r="E49" s="89" t="s">
        <v>42</v>
      </c>
      <c r="F49" s="96" t="s">
        <v>43</v>
      </c>
      <c r="G49" s="30">
        <v>14</v>
      </c>
      <c r="H49" s="9">
        <v>18</v>
      </c>
      <c r="I49" s="9">
        <v>26</v>
      </c>
      <c r="J49" s="22">
        <v>48</v>
      </c>
      <c r="K49" s="9">
        <v>62</v>
      </c>
      <c r="L49" s="9">
        <v>69</v>
      </c>
      <c r="M49" s="9">
        <v>73</v>
      </c>
      <c r="N49" s="9">
        <v>88</v>
      </c>
      <c r="O49" s="9">
        <v>96</v>
      </c>
      <c r="P49" s="38" t="s">
        <v>58</v>
      </c>
      <c r="Q49" s="54" t="s">
        <v>58</v>
      </c>
      <c r="R49" s="54" t="s">
        <v>58</v>
      </c>
    </row>
    <row r="50" spans="1:18" ht="19.899999999999999" customHeight="1" x14ac:dyDescent="0.2">
      <c r="A50" s="29"/>
      <c r="B50" s="56"/>
      <c r="C50" s="57"/>
      <c r="D50" s="58" t="s">
        <v>33</v>
      </c>
      <c r="E50" s="90" t="s">
        <v>42</v>
      </c>
      <c r="F50" s="97" t="s">
        <v>43</v>
      </c>
      <c r="G50" s="86">
        <v>15</v>
      </c>
      <c r="H50" s="49">
        <v>19</v>
      </c>
      <c r="I50" s="49">
        <v>25</v>
      </c>
      <c r="J50" s="82">
        <v>52</v>
      </c>
      <c r="K50" s="49">
        <v>55</v>
      </c>
      <c r="L50" s="49">
        <v>67</v>
      </c>
      <c r="M50" s="49">
        <v>77</v>
      </c>
      <c r="N50" s="111" t="s">
        <v>58</v>
      </c>
      <c r="O50" s="111" t="s">
        <v>58</v>
      </c>
      <c r="P50" s="87" t="s">
        <v>58</v>
      </c>
      <c r="Q50" s="88" t="s">
        <v>58</v>
      </c>
      <c r="R50" s="88" t="s">
        <v>58</v>
      </c>
    </row>
    <row r="51" spans="1:18" ht="19.899999999999999" customHeight="1" thickBot="1" x14ac:dyDescent="0.25">
      <c r="A51" s="29"/>
      <c r="B51" s="13"/>
      <c r="C51" s="15"/>
      <c r="D51" s="16" t="s">
        <v>10</v>
      </c>
      <c r="E51" s="91" t="s">
        <v>42</v>
      </c>
      <c r="F51" s="98" t="s">
        <v>43</v>
      </c>
      <c r="G51" s="31">
        <v>10</v>
      </c>
      <c r="H51" s="10">
        <v>15</v>
      </c>
      <c r="I51" s="10">
        <v>24</v>
      </c>
      <c r="J51" s="23">
        <v>48</v>
      </c>
      <c r="K51" s="10">
        <v>70</v>
      </c>
      <c r="L51" s="10">
        <v>86</v>
      </c>
      <c r="M51" s="109" t="s">
        <v>58</v>
      </c>
      <c r="N51" s="109" t="s">
        <v>58</v>
      </c>
      <c r="O51" s="109" t="s">
        <v>58</v>
      </c>
      <c r="P51" s="48" t="s">
        <v>58</v>
      </c>
      <c r="Q51" s="55" t="s">
        <v>58</v>
      </c>
      <c r="R51" s="55" t="s">
        <v>58</v>
      </c>
    </row>
    <row r="52" spans="1:18" ht="19.899999999999999" customHeight="1" x14ac:dyDescent="0.2">
      <c r="A52" s="29"/>
      <c r="B52" s="11" t="s">
        <v>3</v>
      </c>
      <c r="C52" s="14">
        <v>3</v>
      </c>
      <c r="D52" s="12" t="s">
        <v>11</v>
      </c>
      <c r="E52" s="89" t="s">
        <v>48</v>
      </c>
      <c r="F52" s="96" t="s">
        <v>43</v>
      </c>
      <c r="G52" s="30">
        <v>15</v>
      </c>
      <c r="H52" s="9">
        <v>21</v>
      </c>
      <c r="I52" s="9">
        <v>28</v>
      </c>
      <c r="J52" s="22">
        <v>58</v>
      </c>
      <c r="K52" s="9">
        <v>73</v>
      </c>
      <c r="L52" s="9">
        <v>91</v>
      </c>
      <c r="M52" s="110" t="s">
        <v>58</v>
      </c>
      <c r="N52" s="110" t="s">
        <v>58</v>
      </c>
      <c r="O52" s="110" t="s">
        <v>58</v>
      </c>
      <c r="P52" s="38" t="s">
        <v>58</v>
      </c>
      <c r="Q52" s="54" t="s">
        <v>58</v>
      </c>
      <c r="R52" s="54" t="s">
        <v>58</v>
      </c>
    </row>
    <row r="53" spans="1:18" ht="19.899999999999999" customHeight="1" x14ac:dyDescent="0.2">
      <c r="A53" s="29"/>
      <c r="B53" s="56"/>
      <c r="C53" s="57"/>
      <c r="D53" s="58" t="s">
        <v>33</v>
      </c>
      <c r="E53" s="90" t="s">
        <v>48</v>
      </c>
      <c r="F53" s="97" t="s">
        <v>43</v>
      </c>
      <c r="G53" s="86">
        <v>9</v>
      </c>
      <c r="H53" s="49">
        <v>14</v>
      </c>
      <c r="I53" s="49">
        <v>22</v>
      </c>
      <c r="J53" s="82">
        <v>43</v>
      </c>
      <c r="K53" s="49">
        <v>60</v>
      </c>
      <c r="L53" s="49">
        <v>77</v>
      </c>
      <c r="M53" s="49">
        <v>89</v>
      </c>
      <c r="N53" s="49">
        <v>100</v>
      </c>
      <c r="O53" s="111" t="s">
        <v>58</v>
      </c>
      <c r="P53" s="87" t="s">
        <v>58</v>
      </c>
      <c r="Q53" s="88" t="s">
        <v>58</v>
      </c>
      <c r="R53" s="88" t="s">
        <v>58</v>
      </c>
    </row>
    <row r="54" spans="1:18" ht="19.899999999999999" customHeight="1" thickBot="1" x14ac:dyDescent="0.25">
      <c r="A54" s="29"/>
      <c r="B54" s="13"/>
      <c r="C54" s="15"/>
      <c r="D54" s="16" t="s">
        <v>10</v>
      </c>
      <c r="E54" s="91" t="s">
        <v>48</v>
      </c>
      <c r="F54" s="98" t="s">
        <v>43</v>
      </c>
      <c r="G54" s="31">
        <v>18</v>
      </c>
      <c r="H54" s="10">
        <v>26</v>
      </c>
      <c r="I54" s="10">
        <v>30</v>
      </c>
      <c r="J54" s="23">
        <v>62</v>
      </c>
      <c r="K54" s="10">
        <v>78</v>
      </c>
      <c r="L54" s="10">
        <v>89</v>
      </c>
      <c r="M54" s="10">
        <v>97</v>
      </c>
      <c r="N54" s="109" t="s">
        <v>58</v>
      </c>
      <c r="O54" s="109" t="s">
        <v>58</v>
      </c>
      <c r="P54" s="48" t="s">
        <v>58</v>
      </c>
      <c r="Q54" s="55" t="s">
        <v>58</v>
      </c>
      <c r="R54" s="55" t="s">
        <v>58</v>
      </c>
    </row>
    <row r="55" spans="1:18" ht="19.899999999999999" customHeight="1" x14ac:dyDescent="0.2">
      <c r="A55" s="29"/>
      <c r="B55" s="11" t="s">
        <v>3</v>
      </c>
      <c r="C55" s="14">
        <v>2</v>
      </c>
      <c r="D55" s="12" t="s">
        <v>11</v>
      </c>
      <c r="E55" s="89" t="s">
        <v>47</v>
      </c>
      <c r="F55" s="96" t="s">
        <v>43</v>
      </c>
      <c r="G55" s="30">
        <v>16</v>
      </c>
      <c r="H55" s="9">
        <v>25</v>
      </c>
      <c r="I55" s="9">
        <v>30</v>
      </c>
      <c r="J55" s="22">
        <v>55</v>
      </c>
      <c r="K55" s="9">
        <v>66</v>
      </c>
      <c r="L55" s="9">
        <v>69</v>
      </c>
      <c r="M55" s="9">
        <v>71</v>
      </c>
      <c r="N55" s="9">
        <v>78</v>
      </c>
      <c r="O55" s="9">
        <v>85</v>
      </c>
      <c r="P55" s="22">
        <v>92</v>
      </c>
      <c r="Q55" s="30">
        <v>100</v>
      </c>
      <c r="R55" s="54" t="s">
        <v>58</v>
      </c>
    </row>
    <row r="56" spans="1:18" ht="19.899999999999999" customHeight="1" x14ac:dyDescent="0.2">
      <c r="A56" s="29"/>
      <c r="B56" s="56"/>
      <c r="C56" s="57"/>
      <c r="D56" s="58" t="s">
        <v>33</v>
      </c>
      <c r="E56" s="90" t="s">
        <v>47</v>
      </c>
      <c r="F56" s="97" t="s">
        <v>43</v>
      </c>
      <c r="G56" s="86">
        <v>12</v>
      </c>
      <c r="H56" s="49">
        <v>21</v>
      </c>
      <c r="I56" s="49">
        <v>31</v>
      </c>
      <c r="J56" s="82">
        <v>62</v>
      </c>
      <c r="K56" s="49">
        <v>75</v>
      </c>
      <c r="L56" s="49">
        <v>89</v>
      </c>
      <c r="M56" s="49">
        <v>98</v>
      </c>
      <c r="N56" s="111" t="s">
        <v>58</v>
      </c>
      <c r="O56" s="111" t="s">
        <v>58</v>
      </c>
      <c r="P56" s="87" t="s">
        <v>58</v>
      </c>
      <c r="Q56" s="88" t="s">
        <v>58</v>
      </c>
      <c r="R56" s="88" t="s">
        <v>58</v>
      </c>
    </row>
    <row r="57" spans="1:18" ht="19.899999999999999" customHeight="1" thickBot="1" x14ac:dyDescent="0.25">
      <c r="A57" s="29"/>
      <c r="B57" s="13"/>
      <c r="C57" s="15"/>
      <c r="D57" s="16" t="s">
        <v>10</v>
      </c>
      <c r="E57" s="91" t="s">
        <v>47</v>
      </c>
      <c r="F57" s="98" t="s">
        <v>43</v>
      </c>
      <c r="G57" s="31">
        <v>10</v>
      </c>
      <c r="H57" s="10">
        <v>19</v>
      </c>
      <c r="I57" s="10">
        <v>26</v>
      </c>
      <c r="J57" s="23">
        <v>49</v>
      </c>
      <c r="K57" s="10">
        <v>65</v>
      </c>
      <c r="L57" s="10">
        <v>69</v>
      </c>
      <c r="M57" s="10">
        <v>70</v>
      </c>
      <c r="N57" s="10">
        <v>78</v>
      </c>
      <c r="O57" s="10">
        <v>86</v>
      </c>
      <c r="P57" s="23">
        <v>94</v>
      </c>
      <c r="Q57" s="55" t="s">
        <v>58</v>
      </c>
      <c r="R57" s="55" t="s">
        <v>58</v>
      </c>
    </row>
    <row r="58" spans="1:18" ht="19.899999999999999" customHeight="1" x14ac:dyDescent="0.2">
      <c r="A58" s="29"/>
      <c r="B58" s="11" t="s">
        <v>3</v>
      </c>
      <c r="C58" s="14">
        <v>1</v>
      </c>
      <c r="D58" s="12" t="s">
        <v>11</v>
      </c>
      <c r="E58" s="89" t="s">
        <v>46</v>
      </c>
      <c r="F58" s="96" t="s">
        <v>43</v>
      </c>
      <c r="G58" s="30">
        <v>18</v>
      </c>
      <c r="H58" s="9">
        <v>24</v>
      </c>
      <c r="I58" s="9">
        <v>34</v>
      </c>
      <c r="J58" s="22">
        <v>66</v>
      </c>
      <c r="K58" s="9">
        <v>78</v>
      </c>
      <c r="L58" s="9">
        <v>92</v>
      </c>
      <c r="M58" s="110" t="s">
        <v>58</v>
      </c>
      <c r="N58" s="110" t="s">
        <v>58</v>
      </c>
      <c r="O58" s="110" t="s">
        <v>58</v>
      </c>
      <c r="P58" s="38" t="s">
        <v>58</v>
      </c>
      <c r="Q58" s="54" t="s">
        <v>58</v>
      </c>
      <c r="R58" s="54" t="s">
        <v>58</v>
      </c>
    </row>
    <row r="59" spans="1:18" ht="19.899999999999999" customHeight="1" x14ac:dyDescent="0.2">
      <c r="A59" s="29"/>
      <c r="B59" s="56"/>
      <c r="C59" s="57"/>
      <c r="D59" s="58" t="s">
        <v>33</v>
      </c>
      <c r="E59" s="90" t="s">
        <v>46</v>
      </c>
      <c r="F59" s="97" t="s">
        <v>43</v>
      </c>
      <c r="G59" s="86">
        <v>17</v>
      </c>
      <c r="H59" s="49">
        <v>21</v>
      </c>
      <c r="I59" s="49">
        <v>28</v>
      </c>
      <c r="J59" s="82">
        <v>59</v>
      </c>
      <c r="K59" s="49">
        <v>78</v>
      </c>
      <c r="L59" s="49">
        <v>91</v>
      </c>
      <c r="M59" s="111" t="s">
        <v>58</v>
      </c>
      <c r="N59" s="111" t="s">
        <v>58</v>
      </c>
      <c r="O59" s="111" t="s">
        <v>58</v>
      </c>
      <c r="P59" s="87" t="s">
        <v>58</v>
      </c>
      <c r="Q59" s="88" t="s">
        <v>58</v>
      </c>
      <c r="R59" s="88" t="s">
        <v>58</v>
      </c>
    </row>
    <row r="60" spans="1:18" ht="19.899999999999999" customHeight="1" thickBot="1" x14ac:dyDescent="0.25">
      <c r="A60" s="29"/>
      <c r="B60" s="13"/>
      <c r="C60" s="15"/>
      <c r="D60" s="16" t="s">
        <v>10</v>
      </c>
      <c r="E60" s="91" t="s">
        <v>46</v>
      </c>
      <c r="F60" s="98" t="s">
        <v>43</v>
      </c>
      <c r="G60" s="31">
        <v>15</v>
      </c>
      <c r="H60" s="10">
        <v>18</v>
      </c>
      <c r="I60" s="10">
        <v>33</v>
      </c>
      <c r="J60" s="23">
        <v>59</v>
      </c>
      <c r="K60" s="10">
        <v>73</v>
      </c>
      <c r="L60" s="10">
        <v>88</v>
      </c>
      <c r="M60" s="109" t="s">
        <v>58</v>
      </c>
      <c r="N60" s="109" t="s">
        <v>58</v>
      </c>
      <c r="O60" s="109" t="s">
        <v>58</v>
      </c>
      <c r="P60" s="48" t="s">
        <v>58</v>
      </c>
      <c r="Q60" s="55" t="s">
        <v>58</v>
      </c>
      <c r="R60" s="55" t="s">
        <v>58</v>
      </c>
    </row>
    <row r="61" spans="1:18" ht="19.5" customHeight="1" x14ac:dyDescent="0.2">
      <c r="B61" s="11" t="s">
        <v>4</v>
      </c>
      <c r="C61" s="14">
        <v>1</v>
      </c>
      <c r="D61" s="12" t="s">
        <v>10</v>
      </c>
      <c r="E61" s="89" t="s">
        <v>48</v>
      </c>
      <c r="F61" s="96" t="s">
        <v>43</v>
      </c>
      <c r="G61" s="30">
        <v>15</v>
      </c>
      <c r="H61" s="9">
        <v>23</v>
      </c>
      <c r="I61" s="9">
        <v>33</v>
      </c>
      <c r="J61" s="22">
        <v>62</v>
      </c>
      <c r="K61" s="9">
        <v>74</v>
      </c>
      <c r="L61" s="9">
        <v>87</v>
      </c>
      <c r="M61" s="110" t="s">
        <v>58</v>
      </c>
      <c r="N61" s="110" t="s">
        <v>58</v>
      </c>
      <c r="O61" s="110" t="s">
        <v>58</v>
      </c>
      <c r="P61" s="38" t="s">
        <v>58</v>
      </c>
      <c r="Q61" s="54" t="s">
        <v>58</v>
      </c>
      <c r="R61" s="54" t="s">
        <v>58</v>
      </c>
    </row>
    <row r="62" spans="1:18" ht="19.5" customHeight="1" x14ac:dyDescent="0.2">
      <c r="B62" s="56"/>
      <c r="C62" s="57"/>
      <c r="D62" s="58" t="s">
        <v>33</v>
      </c>
      <c r="E62" s="90" t="s">
        <v>48</v>
      </c>
      <c r="F62" s="97" t="s">
        <v>43</v>
      </c>
      <c r="G62" s="86">
        <v>16</v>
      </c>
      <c r="H62" s="49">
        <v>25</v>
      </c>
      <c r="I62" s="49">
        <v>33</v>
      </c>
      <c r="J62" s="82">
        <v>60</v>
      </c>
      <c r="K62" s="49">
        <v>72</v>
      </c>
      <c r="L62" s="49">
        <v>85</v>
      </c>
      <c r="M62" s="49">
        <v>93</v>
      </c>
      <c r="N62" s="111" t="s">
        <v>58</v>
      </c>
      <c r="O62" s="111" t="s">
        <v>58</v>
      </c>
      <c r="P62" s="87" t="s">
        <v>58</v>
      </c>
      <c r="Q62" s="88" t="s">
        <v>58</v>
      </c>
      <c r="R62" s="88" t="s">
        <v>58</v>
      </c>
    </row>
    <row r="63" spans="1:18" ht="19.5" customHeight="1" thickBot="1" x14ac:dyDescent="0.25">
      <c r="B63" s="13"/>
      <c r="C63" s="15"/>
      <c r="D63" s="16" t="s">
        <v>11</v>
      </c>
      <c r="E63" s="91" t="s">
        <v>48</v>
      </c>
      <c r="F63" s="98" t="s">
        <v>43</v>
      </c>
      <c r="G63" s="31">
        <v>16</v>
      </c>
      <c r="H63" s="10">
        <v>22</v>
      </c>
      <c r="I63" s="10">
        <v>32</v>
      </c>
      <c r="J63" s="23">
        <v>55</v>
      </c>
      <c r="K63" s="10">
        <v>65</v>
      </c>
      <c r="L63" s="10">
        <v>76</v>
      </c>
      <c r="M63" s="10">
        <v>82</v>
      </c>
      <c r="N63" s="10">
        <v>86</v>
      </c>
      <c r="O63" s="10">
        <v>89</v>
      </c>
      <c r="P63" s="23">
        <v>91</v>
      </c>
      <c r="Q63" s="31">
        <v>92</v>
      </c>
      <c r="R63" s="31">
        <v>92</v>
      </c>
    </row>
    <row r="64" spans="1:18" ht="19.5" customHeight="1" x14ac:dyDescent="0.2">
      <c r="B64" s="11" t="s">
        <v>4</v>
      </c>
      <c r="C64" s="14">
        <v>2</v>
      </c>
      <c r="D64" s="12" t="s">
        <v>10</v>
      </c>
      <c r="E64" s="89" t="s">
        <v>45</v>
      </c>
      <c r="F64" s="96" t="s">
        <v>43</v>
      </c>
      <c r="G64" s="30">
        <v>16</v>
      </c>
      <c r="H64" s="9">
        <v>23</v>
      </c>
      <c r="I64" s="9">
        <v>26</v>
      </c>
      <c r="J64" s="22">
        <v>48</v>
      </c>
      <c r="K64" s="9">
        <v>53</v>
      </c>
      <c r="L64" s="9">
        <v>60</v>
      </c>
      <c r="M64" s="9">
        <v>65</v>
      </c>
      <c r="N64" s="9">
        <v>68</v>
      </c>
      <c r="O64" s="9">
        <v>71</v>
      </c>
      <c r="P64" s="38">
        <v>73</v>
      </c>
      <c r="Q64" s="54">
        <v>72</v>
      </c>
      <c r="R64" s="54">
        <v>73</v>
      </c>
    </row>
    <row r="65" spans="2:18" ht="19.5" customHeight="1" x14ac:dyDescent="0.2">
      <c r="B65" s="56"/>
      <c r="C65" s="57"/>
      <c r="D65" s="58" t="s">
        <v>33</v>
      </c>
      <c r="E65" s="90" t="s">
        <v>45</v>
      </c>
      <c r="F65" s="97" t="s">
        <v>43</v>
      </c>
      <c r="G65" s="86">
        <v>15</v>
      </c>
      <c r="H65" s="49">
        <v>21</v>
      </c>
      <c r="I65" s="49">
        <v>27</v>
      </c>
      <c r="J65" s="82">
        <v>51</v>
      </c>
      <c r="K65" s="49">
        <v>57</v>
      </c>
      <c r="L65" s="49">
        <v>63</v>
      </c>
      <c r="M65" s="49">
        <v>68</v>
      </c>
      <c r="N65" s="49">
        <v>72</v>
      </c>
      <c r="O65" s="49">
        <v>74</v>
      </c>
      <c r="P65" s="87">
        <v>77</v>
      </c>
      <c r="Q65" s="88">
        <v>75</v>
      </c>
      <c r="R65" s="88">
        <v>75</v>
      </c>
    </row>
    <row r="66" spans="2:18" ht="19.5" customHeight="1" thickBot="1" x14ac:dyDescent="0.25">
      <c r="B66" s="56"/>
      <c r="C66" s="57"/>
      <c r="D66" s="16" t="s">
        <v>11</v>
      </c>
      <c r="E66" s="91" t="s">
        <v>45</v>
      </c>
      <c r="F66" s="98" t="s">
        <v>43</v>
      </c>
      <c r="G66" s="31">
        <v>12</v>
      </c>
      <c r="H66" s="10">
        <v>19</v>
      </c>
      <c r="I66" s="10">
        <v>25</v>
      </c>
      <c r="J66" s="23">
        <v>51</v>
      </c>
      <c r="K66" s="10">
        <v>57</v>
      </c>
      <c r="L66" s="10">
        <v>64</v>
      </c>
      <c r="M66" s="10">
        <v>69</v>
      </c>
      <c r="N66" s="10">
        <v>73</v>
      </c>
      <c r="O66" s="10">
        <v>74</v>
      </c>
      <c r="P66" s="23">
        <v>75</v>
      </c>
      <c r="Q66" s="31">
        <v>75</v>
      </c>
      <c r="R66" s="31">
        <v>75</v>
      </c>
    </row>
    <row r="67" spans="2:18" ht="19.5" customHeight="1" x14ac:dyDescent="0.2">
      <c r="B67" s="11" t="s">
        <v>4</v>
      </c>
      <c r="C67" s="14">
        <v>3</v>
      </c>
      <c r="D67" s="12" t="s">
        <v>10</v>
      </c>
      <c r="E67" s="89" t="s">
        <v>44</v>
      </c>
      <c r="F67" s="96" t="s">
        <v>43</v>
      </c>
      <c r="G67" s="30">
        <v>10</v>
      </c>
      <c r="H67" s="9">
        <v>16</v>
      </c>
      <c r="I67" s="9">
        <v>22</v>
      </c>
      <c r="J67" s="22">
        <v>48</v>
      </c>
      <c r="K67" s="9">
        <v>89</v>
      </c>
      <c r="L67" s="9">
        <v>94</v>
      </c>
      <c r="M67" s="9">
        <v>98</v>
      </c>
      <c r="N67" s="9" t="s">
        <v>58</v>
      </c>
      <c r="O67" s="110" t="s">
        <v>58</v>
      </c>
      <c r="P67" s="38" t="s">
        <v>58</v>
      </c>
      <c r="Q67" s="54" t="s">
        <v>58</v>
      </c>
      <c r="R67" s="54" t="s">
        <v>58</v>
      </c>
    </row>
    <row r="68" spans="2:18" ht="19.5" customHeight="1" x14ac:dyDescent="0.2">
      <c r="B68" s="56"/>
      <c r="C68" s="57"/>
      <c r="D68" s="58" t="s">
        <v>33</v>
      </c>
      <c r="E68" s="90" t="s">
        <v>44</v>
      </c>
      <c r="F68" s="97" t="s">
        <v>43</v>
      </c>
      <c r="G68" s="86">
        <v>14</v>
      </c>
      <c r="H68" s="49">
        <v>21</v>
      </c>
      <c r="I68" s="49">
        <v>26</v>
      </c>
      <c r="J68" s="82">
        <v>51</v>
      </c>
      <c r="K68" s="49">
        <v>86</v>
      </c>
      <c r="L68" s="49">
        <v>86</v>
      </c>
      <c r="M68" s="49">
        <v>86</v>
      </c>
      <c r="N68" s="49">
        <v>88</v>
      </c>
      <c r="O68" s="49">
        <v>89</v>
      </c>
      <c r="P68" s="87">
        <v>89</v>
      </c>
      <c r="Q68" s="88">
        <v>90</v>
      </c>
      <c r="R68" s="88">
        <v>90</v>
      </c>
    </row>
    <row r="69" spans="2:18" ht="19.5" customHeight="1" thickBot="1" x14ac:dyDescent="0.25">
      <c r="B69" s="13"/>
      <c r="C69" s="15"/>
      <c r="D69" s="16" t="s">
        <v>11</v>
      </c>
      <c r="E69" s="91" t="s">
        <v>44</v>
      </c>
      <c r="F69" s="98" t="s">
        <v>43</v>
      </c>
      <c r="G69" s="31">
        <v>11</v>
      </c>
      <c r="H69" s="10">
        <v>18</v>
      </c>
      <c r="I69" s="10">
        <v>29</v>
      </c>
      <c r="J69" s="23">
        <v>56</v>
      </c>
      <c r="K69" s="10">
        <v>62</v>
      </c>
      <c r="L69" s="10">
        <v>88</v>
      </c>
      <c r="M69" s="10">
        <v>93</v>
      </c>
      <c r="N69" s="10">
        <v>95</v>
      </c>
      <c r="O69" s="10">
        <v>97</v>
      </c>
      <c r="P69" s="48">
        <v>98</v>
      </c>
      <c r="Q69" s="55">
        <v>98</v>
      </c>
      <c r="R69" s="55">
        <v>100</v>
      </c>
    </row>
    <row r="70" spans="2:18" ht="19.5" customHeight="1" x14ac:dyDescent="0.2">
      <c r="B70" s="11" t="s">
        <v>4</v>
      </c>
      <c r="C70" s="14">
        <v>4</v>
      </c>
      <c r="D70" s="12" t="s">
        <v>10</v>
      </c>
      <c r="E70" s="89" t="s">
        <v>47</v>
      </c>
      <c r="F70" s="96" t="s">
        <v>43</v>
      </c>
      <c r="G70" s="30">
        <v>15</v>
      </c>
      <c r="H70" s="9">
        <v>23</v>
      </c>
      <c r="I70" s="9">
        <v>27</v>
      </c>
      <c r="J70" s="22">
        <v>52</v>
      </c>
      <c r="K70" s="9">
        <v>63</v>
      </c>
      <c r="L70" s="9">
        <v>74</v>
      </c>
      <c r="M70" s="9">
        <v>82</v>
      </c>
      <c r="N70" s="9">
        <v>93</v>
      </c>
      <c r="O70" s="9">
        <v>96</v>
      </c>
      <c r="P70" s="38" t="s">
        <v>58</v>
      </c>
      <c r="Q70" s="54" t="s">
        <v>58</v>
      </c>
      <c r="R70" s="54" t="s">
        <v>58</v>
      </c>
    </row>
    <row r="71" spans="2:18" ht="19.5" customHeight="1" x14ac:dyDescent="0.2">
      <c r="B71" s="56"/>
      <c r="C71" s="57"/>
      <c r="D71" s="58" t="s">
        <v>33</v>
      </c>
      <c r="E71" s="90" t="s">
        <v>47</v>
      </c>
      <c r="F71" s="97" t="s">
        <v>43</v>
      </c>
      <c r="G71" s="86">
        <v>12</v>
      </c>
      <c r="H71" s="49">
        <v>21</v>
      </c>
      <c r="I71" s="49">
        <v>24</v>
      </c>
      <c r="J71" s="82">
        <v>40</v>
      </c>
      <c r="K71" s="49">
        <v>47</v>
      </c>
      <c r="L71" s="49">
        <v>54</v>
      </c>
      <c r="M71" s="49">
        <v>58</v>
      </c>
      <c r="N71" s="49">
        <v>61</v>
      </c>
      <c r="O71" s="49">
        <v>65</v>
      </c>
      <c r="P71" s="82">
        <v>68</v>
      </c>
      <c r="Q71" s="86">
        <v>70</v>
      </c>
      <c r="R71" s="86">
        <v>70</v>
      </c>
    </row>
    <row r="72" spans="2:18" ht="19.5" customHeight="1" thickBot="1" x14ac:dyDescent="0.25">
      <c r="B72" s="13"/>
      <c r="C72" s="15"/>
      <c r="D72" s="16" t="s">
        <v>11</v>
      </c>
      <c r="E72" s="91" t="s">
        <v>47</v>
      </c>
      <c r="F72" s="98" t="s">
        <v>43</v>
      </c>
      <c r="G72" s="31">
        <v>14</v>
      </c>
      <c r="H72" s="10">
        <v>23</v>
      </c>
      <c r="I72" s="10">
        <v>25</v>
      </c>
      <c r="J72" s="23">
        <v>55</v>
      </c>
      <c r="K72" s="10">
        <v>66</v>
      </c>
      <c r="L72" s="10">
        <v>77</v>
      </c>
      <c r="M72" s="10">
        <v>85</v>
      </c>
      <c r="N72" s="10">
        <v>96</v>
      </c>
      <c r="O72" s="109" t="s">
        <v>58</v>
      </c>
      <c r="P72" s="48" t="s">
        <v>58</v>
      </c>
      <c r="Q72" s="55" t="s">
        <v>58</v>
      </c>
      <c r="R72" s="55" t="s">
        <v>58</v>
      </c>
    </row>
    <row r="73" spans="2:18" ht="19.5" customHeight="1" x14ac:dyDescent="0.2">
      <c r="B73" s="11" t="s">
        <v>5</v>
      </c>
      <c r="C73" s="14">
        <v>4</v>
      </c>
      <c r="D73" s="12" t="s">
        <v>11</v>
      </c>
      <c r="E73" s="89" t="s">
        <v>47</v>
      </c>
      <c r="F73" s="93" t="s">
        <v>41</v>
      </c>
      <c r="G73" s="30">
        <v>6</v>
      </c>
      <c r="H73" s="9">
        <v>10</v>
      </c>
      <c r="I73" s="9">
        <v>17</v>
      </c>
      <c r="J73" s="22">
        <v>39</v>
      </c>
      <c r="K73" s="9">
        <v>47</v>
      </c>
      <c r="L73" s="9">
        <v>57</v>
      </c>
      <c r="M73" s="9">
        <v>64</v>
      </c>
      <c r="N73" s="9">
        <v>69</v>
      </c>
      <c r="O73" s="9">
        <v>76</v>
      </c>
      <c r="P73" s="22">
        <v>79</v>
      </c>
      <c r="Q73" s="30">
        <v>84</v>
      </c>
      <c r="R73" s="30">
        <v>86</v>
      </c>
    </row>
    <row r="74" spans="2:18" ht="19.5" customHeight="1" x14ac:dyDescent="0.2">
      <c r="B74" s="56"/>
      <c r="C74" s="57"/>
      <c r="D74" s="58" t="s">
        <v>33</v>
      </c>
      <c r="E74" s="90" t="s">
        <v>47</v>
      </c>
      <c r="F74" s="94" t="s">
        <v>41</v>
      </c>
      <c r="G74" s="86">
        <v>7</v>
      </c>
      <c r="H74" s="49">
        <v>11</v>
      </c>
      <c r="I74" s="49">
        <v>18</v>
      </c>
      <c r="J74" s="82">
        <v>42</v>
      </c>
      <c r="K74" s="49">
        <v>53</v>
      </c>
      <c r="L74" s="49">
        <v>65</v>
      </c>
      <c r="M74" s="49">
        <v>72</v>
      </c>
      <c r="N74" s="49">
        <v>80</v>
      </c>
      <c r="O74" s="49">
        <v>86</v>
      </c>
      <c r="P74" s="82">
        <v>91</v>
      </c>
      <c r="Q74" s="86">
        <v>97</v>
      </c>
      <c r="R74" s="88" t="s">
        <v>58</v>
      </c>
    </row>
    <row r="75" spans="2:18" ht="19.5" customHeight="1" thickBot="1" x14ac:dyDescent="0.25">
      <c r="B75" s="13"/>
      <c r="C75" s="15"/>
      <c r="D75" s="16" t="s">
        <v>10</v>
      </c>
      <c r="E75" s="91" t="s">
        <v>47</v>
      </c>
      <c r="F75" s="95" t="s">
        <v>41</v>
      </c>
      <c r="G75" s="31">
        <v>8</v>
      </c>
      <c r="H75" s="10">
        <v>15</v>
      </c>
      <c r="I75" s="10">
        <v>18</v>
      </c>
      <c r="J75" s="23">
        <v>50</v>
      </c>
      <c r="K75" s="10">
        <v>62</v>
      </c>
      <c r="L75" s="10">
        <v>74</v>
      </c>
      <c r="M75" s="10">
        <v>82</v>
      </c>
      <c r="N75" s="10">
        <v>87</v>
      </c>
      <c r="O75" s="10">
        <v>95</v>
      </c>
      <c r="P75" s="48" t="s">
        <v>58</v>
      </c>
      <c r="Q75" s="55" t="s">
        <v>58</v>
      </c>
      <c r="R75" s="55" t="s">
        <v>58</v>
      </c>
    </row>
    <row r="76" spans="2:18" ht="19.5" customHeight="1" x14ac:dyDescent="0.2">
      <c r="B76" s="11" t="s">
        <v>5</v>
      </c>
      <c r="C76" s="14">
        <v>3</v>
      </c>
      <c r="D76" s="12" t="s">
        <v>11</v>
      </c>
      <c r="E76" s="89" t="s">
        <v>44</v>
      </c>
      <c r="F76" s="93" t="s">
        <v>41</v>
      </c>
      <c r="G76" s="30">
        <v>6</v>
      </c>
      <c r="H76" s="9">
        <v>13</v>
      </c>
      <c r="I76" s="9">
        <v>19</v>
      </c>
      <c r="J76" s="22">
        <v>41</v>
      </c>
      <c r="K76" s="9">
        <v>50</v>
      </c>
      <c r="L76" s="9">
        <v>60</v>
      </c>
      <c r="M76" s="9">
        <v>66</v>
      </c>
      <c r="N76" s="110">
        <v>70</v>
      </c>
      <c r="O76" s="110">
        <v>73</v>
      </c>
      <c r="P76" s="38">
        <v>74</v>
      </c>
      <c r="Q76" s="54">
        <v>75</v>
      </c>
      <c r="R76" s="54">
        <v>76</v>
      </c>
    </row>
    <row r="77" spans="2:18" ht="19.5" customHeight="1" x14ac:dyDescent="0.2">
      <c r="B77" s="56"/>
      <c r="C77" s="57"/>
      <c r="D77" s="58" t="s">
        <v>33</v>
      </c>
      <c r="E77" s="90" t="s">
        <v>44</v>
      </c>
      <c r="F77" s="94" t="s">
        <v>41</v>
      </c>
      <c r="G77" s="86">
        <v>6</v>
      </c>
      <c r="H77" s="49">
        <v>15</v>
      </c>
      <c r="I77" s="49">
        <v>20</v>
      </c>
      <c r="J77" s="82">
        <v>44</v>
      </c>
      <c r="K77" s="49">
        <v>54</v>
      </c>
      <c r="L77" s="49">
        <v>64</v>
      </c>
      <c r="M77" s="49">
        <v>73</v>
      </c>
      <c r="N77" s="49">
        <v>81</v>
      </c>
      <c r="O77" s="49">
        <v>85</v>
      </c>
      <c r="P77" s="82">
        <v>88</v>
      </c>
      <c r="Q77" s="86">
        <v>90</v>
      </c>
      <c r="R77" s="86">
        <v>95</v>
      </c>
    </row>
    <row r="78" spans="2:18" ht="19.5" customHeight="1" thickBot="1" x14ac:dyDescent="0.25">
      <c r="B78" s="13"/>
      <c r="C78" s="15"/>
      <c r="D78" s="16" t="s">
        <v>10</v>
      </c>
      <c r="E78" s="91" t="s">
        <v>44</v>
      </c>
      <c r="F78" s="95" t="s">
        <v>41</v>
      </c>
      <c r="G78" s="31">
        <v>7</v>
      </c>
      <c r="H78" s="10">
        <v>14</v>
      </c>
      <c r="I78" s="10">
        <v>16</v>
      </c>
      <c r="J78" s="23">
        <v>43</v>
      </c>
      <c r="K78" s="10">
        <v>53</v>
      </c>
      <c r="L78" s="10">
        <v>62</v>
      </c>
      <c r="M78" s="10">
        <v>67</v>
      </c>
      <c r="N78" s="10">
        <v>71</v>
      </c>
      <c r="O78" s="10">
        <v>75</v>
      </c>
      <c r="P78" s="23">
        <v>75</v>
      </c>
      <c r="Q78" s="31">
        <v>77</v>
      </c>
      <c r="R78" s="31">
        <v>77</v>
      </c>
    </row>
    <row r="79" spans="2:18" ht="19.5" customHeight="1" x14ac:dyDescent="0.2">
      <c r="B79" s="11" t="s">
        <v>5</v>
      </c>
      <c r="C79" s="14">
        <v>2</v>
      </c>
      <c r="D79" s="12" t="s">
        <v>11</v>
      </c>
      <c r="E79" s="89" t="s">
        <v>45</v>
      </c>
      <c r="F79" s="93" t="s">
        <v>41</v>
      </c>
      <c r="G79" s="30">
        <v>4</v>
      </c>
      <c r="H79" s="9">
        <v>11</v>
      </c>
      <c r="I79" s="9">
        <v>17</v>
      </c>
      <c r="J79" s="22">
        <v>36</v>
      </c>
      <c r="K79" s="9">
        <v>51</v>
      </c>
      <c r="L79" s="9">
        <v>67</v>
      </c>
      <c r="M79" s="9">
        <v>77</v>
      </c>
      <c r="N79" s="9">
        <v>84</v>
      </c>
      <c r="O79" s="9">
        <v>88</v>
      </c>
      <c r="P79" s="22">
        <v>91</v>
      </c>
      <c r="Q79" s="30">
        <v>95</v>
      </c>
      <c r="R79" s="30">
        <v>99</v>
      </c>
    </row>
    <row r="80" spans="2:18" ht="19.5" customHeight="1" x14ac:dyDescent="0.2">
      <c r="B80" s="56"/>
      <c r="C80" s="57"/>
      <c r="D80" s="58" t="s">
        <v>33</v>
      </c>
      <c r="E80" s="90" t="s">
        <v>45</v>
      </c>
      <c r="F80" s="94" t="s">
        <v>41</v>
      </c>
      <c r="G80" s="86">
        <v>7</v>
      </c>
      <c r="H80" s="49">
        <v>12</v>
      </c>
      <c r="I80" s="49">
        <v>16</v>
      </c>
      <c r="J80" s="82">
        <v>35</v>
      </c>
      <c r="K80" s="49">
        <v>50</v>
      </c>
      <c r="L80" s="49">
        <v>65</v>
      </c>
      <c r="M80" s="49">
        <v>75</v>
      </c>
      <c r="N80" s="49">
        <v>82</v>
      </c>
      <c r="O80" s="49">
        <v>85</v>
      </c>
      <c r="P80" s="82">
        <v>90</v>
      </c>
      <c r="Q80" s="86">
        <v>91</v>
      </c>
      <c r="R80" s="86">
        <v>93</v>
      </c>
    </row>
    <row r="81" spans="2:18" ht="19.5" customHeight="1" thickBot="1" x14ac:dyDescent="0.25">
      <c r="B81" s="13"/>
      <c r="C81" s="15"/>
      <c r="D81" s="16" t="s">
        <v>10</v>
      </c>
      <c r="E81" s="91" t="s">
        <v>45</v>
      </c>
      <c r="F81" s="95" t="s">
        <v>41</v>
      </c>
      <c r="G81" s="31">
        <v>7</v>
      </c>
      <c r="H81" s="10">
        <v>13</v>
      </c>
      <c r="I81" s="10">
        <v>20</v>
      </c>
      <c r="J81" s="23">
        <v>43</v>
      </c>
      <c r="K81" s="10">
        <v>57</v>
      </c>
      <c r="L81" s="10">
        <v>73</v>
      </c>
      <c r="M81" s="10">
        <v>83</v>
      </c>
      <c r="N81" s="10">
        <v>91</v>
      </c>
      <c r="O81" s="10">
        <v>96</v>
      </c>
      <c r="P81" s="48" t="s">
        <v>58</v>
      </c>
      <c r="Q81" s="55" t="s">
        <v>58</v>
      </c>
      <c r="R81" s="55" t="s">
        <v>58</v>
      </c>
    </row>
    <row r="82" spans="2:18" ht="19.5" customHeight="1" x14ac:dyDescent="0.2">
      <c r="B82" s="11" t="s">
        <v>5</v>
      </c>
      <c r="C82" s="14">
        <v>1</v>
      </c>
      <c r="D82" s="66" t="s">
        <v>11</v>
      </c>
      <c r="E82" s="89" t="s">
        <v>48</v>
      </c>
      <c r="F82" s="93" t="s">
        <v>41</v>
      </c>
      <c r="G82" s="30">
        <v>8</v>
      </c>
      <c r="H82" s="9">
        <v>13</v>
      </c>
      <c r="I82" s="9">
        <v>21</v>
      </c>
      <c r="J82" s="22">
        <v>30</v>
      </c>
      <c r="K82" s="9">
        <v>45</v>
      </c>
      <c r="L82" s="9">
        <v>61</v>
      </c>
      <c r="M82" s="9">
        <v>72</v>
      </c>
      <c r="N82" s="9">
        <v>79</v>
      </c>
      <c r="O82" s="9">
        <v>85</v>
      </c>
      <c r="P82" s="22">
        <v>94</v>
      </c>
      <c r="Q82" s="30">
        <v>97</v>
      </c>
      <c r="R82" s="30">
        <v>99</v>
      </c>
    </row>
    <row r="83" spans="2:18" ht="19.5" customHeight="1" x14ac:dyDescent="0.2">
      <c r="B83" s="56"/>
      <c r="C83" s="57"/>
      <c r="D83" s="70" t="s">
        <v>33</v>
      </c>
      <c r="E83" s="90" t="s">
        <v>48</v>
      </c>
      <c r="F83" s="94" t="s">
        <v>41</v>
      </c>
      <c r="G83" s="86">
        <v>10</v>
      </c>
      <c r="H83" s="49">
        <v>17</v>
      </c>
      <c r="I83" s="49">
        <v>20</v>
      </c>
      <c r="J83" s="82">
        <v>40</v>
      </c>
      <c r="K83" s="49">
        <v>56</v>
      </c>
      <c r="L83" s="49">
        <v>73</v>
      </c>
      <c r="M83" s="49">
        <v>84</v>
      </c>
      <c r="N83" s="49">
        <v>91</v>
      </c>
      <c r="O83" s="49">
        <v>96</v>
      </c>
      <c r="P83" s="87" t="s">
        <v>58</v>
      </c>
      <c r="Q83" s="88" t="s">
        <v>58</v>
      </c>
      <c r="R83" s="88" t="s">
        <v>58</v>
      </c>
    </row>
    <row r="84" spans="2:18" ht="19.5" customHeight="1" thickBot="1" x14ac:dyDescent="0.25">
      <c r="B84" s="13"/>
      <c r="C84" s="15"/>
      <c r="D84" s="74" t="s">
        <v>10</v>
      </c>
      <c r="E84" s="91" t="s">
        <v>48</v>
      </c>
      <c r="F84" s="95" t="s">
        <v>41</v>
      </c>
      <c r="G84" s="31">
        <v>14</v>
      </c>
      <c r="H84" s="10">
        <v>20</v>
      </c>
      <c r="I84" s="10">
        <v>25</v>
      </c>
      <c r="J84" s="23">
        <v>53</v>
      </c>
      <c r="K84" s="10">
        <v>66</v>
      </c>
      <c r="L84" s="10">
        <v>80</v>
      </c>
      <c r="M84" s="10">
        <v>88</v>
      </c>
      <c r="N84" s="10">
        <v>94</v>
      </c>
      <c r="O84" s="10">
        <v>98</v>
      </c>
      <c r="P84" s="23" t="s">
        <v>58</v>
      </c>
      <c r="Q84" s="55" t="s">
        <v>58</v>
      </c>
      <c r="R84" s="55" t="s">
        <v>58</v>
      </c>
    </row>
    <row r="85" spans="2:18" ht="19.5" customHeight="1" x14ac:dyDescent="0.2">
      <c r="B85" s="11">
        <v>7</v>
      </c>
      <c r="C85" s="14">
        <v>1</v>
      </c>
      <c r="D85" s="12" t="s">
        <v>10</v>
      </c>
      <c r="E85" s="89" t="s">
        <v>47</v>
      </c>
      <c r="F85" s="96" t="s">
        <v>43</v>
      </c>
      <c r="G85" s="30">
        <v>12</v>
      </c>
      <c r="H85" s="9">
        <v>16</v>
      </c>
      <c r="I85" s="9">
        <v>28</v>
      </c>
      <c r="J85" s="22">
        <v>59</v>
      </c>
      <c r="K85" s="9">
        <v>64</v>
      </c>
      <c r="L85" s="9">
        <v>71</v>
      </c>
      <c r="M85" s="9">
        <v>75</v>
      </c>
      <c r="N85" s="9">
        <v>78</v>
      </c>
      <c r="O85" s="9">
        <v>86</v>
      </c>
      <c r="P85" s="38">
        <v>93</v>
      </c>
      <c r="Q85" s="54" t="s">
        <v>58</v>
      </c>
      <c r="R85" s="54" t="s">
        <v>58</v>
      </c>
    </row>
    <row r="86" spans="2:18" ht="19.5" customHeight="1" x14ac:dyDescent="0.2">
      <c r="B86" s="56"/>
      <c r="C86" s="57"/>
      <c r="D86" s="58" t="s">
        <v>33</v>
      </c>
      <c r="E86" s="90" t="s">
        <v>47</v>
      </c>
      <c r="F86" s="97" t="s">
        <v>43</v>
      </c>
      <c r="G86" s="86">
        <v>15</v>
      </c>
      <c r="H86" s="49">
        <v>21</v>
      </c>
      <c r="I86" s="49">
        <v>24</v>
      </c>
      <c r="J86" s="82">
        <v>51</v>
      </c>
      <c r="K86" s="49">
        <v>56</v>
      </c>
      <c r="L86" s="49">
        <v>64</v>
      </c>
      <c r="M86" s="49">
        <v>70</v>
      </c>
      <c r="N86" s="49">
        <v>75</v>
      </c>
      <c r="O86" s="49">
        <v>85</v>
      </c>
      <c r="P86" s="87">
        <v>92</v>
      </c>
      <c r="Q86" s="88">
        <v>100</v>
      </c>
      <c r="R86" s="88" t="s">
        <v>58</v>
      </c>
    </row>
    <row r="87" spans="2:18" ht="19.5" customHeight="1" thickBot="1" x14ac:dyDescent="0.25">
      <c r="B87" s="13"/>
      <c r="C87" s="15"/>
      <c r="D87" s="16" t="s">
        <v>11</v>
      </c>
      <c r="E87" s="91" t="s">
        <v>47</v>
      </c>
      <c r="F87" s="98" t="s">
        <v>43</v>
      </c>
      <c r="G87" s="31">
        <v>17</v>
      </c>
      <c r="H87" s="10">
        <v>22</v>
      </c>
      <c r="I87" s="10">
        <v>28</v>
      </c>
      <c r="J87" s="23">
        <v>47</v>
      </c>
      <c r="K87" s="10">
        <v>50</v>
      </c>
      <c r="L87" s="10">
        <v>53</v>
      </c>
      <c r="M87" s="10">
        <v>55</v>
      </c>
      <c r="N87" s="10">
        <v>58</v>
      </c>
      <c r="O87" s="10">
        <v>65</v>
      </c>
      <c r="P87" s="23">
        <v>71</v>
      </c>
      <c r="Q87" s="31">
        <v>76</v>
      </c>
      <c r="R87" s="31">
        <v>78</v>
      </c>
    </row>
    <row r="88" spans="2:18" ht="19.5" customHeight="1" x14ac:dyDescent="0.2">
      <c r="B88" s="11">
        <v>7</v>
      </c>
      <c r="C88" s="14">
        <v>2</v>
      </c>
      <c r="D88" s="12" t="s">
        <v>10</v>
      </c>
      <c r="E88" s="89" t="s">
        <v>46</v>
      </c>
      <c r="F88" s="96" t="s">
        <v>43</v>
      </c>
      <c r="G88" s="30">
        <v>12</v>
      </c>
      <c r="H88" s="9">
        <v>17</v>
      </c>
      <c r="I88" s="9">
        <v>22</v>
      </c>
      <c r="J88" s="22">
        <v>35</v>
      </c>
      <c r="K88" s="9">
        <v>42</v>
      </c>
      <c r="L88" s="9">
        <v>49</v>
      </c>
      <c r="M88" s="9">
        <v>53</v>
      </c>
      <c r="N88" s="9">
        <v>61</v>
      </c>
      <c r="O88" s="9">
        <v>68</v>
      </c>
      <c r="P88" s="22">
        <v>76</v>
      </c>
      <c r="Q88" s="30">
        <v>81</v>
      </c>
      <c r="R88" s="30">
        <v>86</v>
      </c>
    </row>
    <row r="89" spans="2:18" ht="19.5" customHeight="1" x14ac:dyDescent="0.2">
      <c r="B89" s="56"/>
      <c r="C89" s="57"/>
      <c r="D89" s="58" t="s">
        <v>33</v>
      </c>
      <c r="E89" s="90" t="s">
        <v>46</v>
      </c>
      <c r="F89" s="97" t="s">
        <v>43</v>
      </c>
      <c r="G89" s="86">
        <v>13</v>
      </c>
      <c r="H89" s="49">
        <v>23</v>
      </c>
      <c r="I89" s="49">
        <v>26</v>
      </c>
      <c r="J89" s="82">
        <v>53</v>
      </c>
      <c r="K89" s="49">
        <v>61</v>
      </c>
      <c r="L89" s="49">
        <v>72</v>
      </c>
      <c r="M89" s="49">
        <v>79</v>
      </c>
      <c r="N89" s="49">
        <v>86</v>
      </c>
      <c r="O89" s="49">
        <v>90</v>
      </c>
      <c r="P89" s="82">
        <v>98</v>
      </c>
      <c r="Q89" s="88" t="s">
        <v>58</v>
      </c>
      <c r="R89" s="88" t="s">
        <v>58</v>
      </c>
    </row>
    <row r="90" spans="2:18" ht="19.5" customHeight="1" thickBot="1" x14ac:dyDescent="0.25">
      <c r="B90" s="13"/>
      <c r="C90" s="15"/>
      <c r="D90" s="16" t="s">
        <v>11</v>
      </c>
      <c r="E90" s="91" t="s">
        <v>46</v>
      </c>
      <c r="F90" s="98" t="s">
        <v>43</v>
      </c>
      <c r="G90" s="31">
        <v>11</v>
      </c>
      <c r="H90" s="10">
        <v>17</v>
      </c>
      <c r="I90" s="10">
        <v>24</v>
      </c>
      <c r="J90" s="23">
        <v>48</v>
      </c>
      <c r="K90" s="10">
        <v>59</v>
      </c>
      <c r="L90" s="10">
        <v>74</v>
      </c>
      <c r="M90" s="10">
        <v>83</v>
      </c>
      <c r="N90" s="10">
        <v>91</v>
      </c>
      <c r="O90" s="10">
        <v>95</v>
      </c>
      <c r="P90" s="23" t="s">
        <v>58</v>
      </c>
      <c r="Q90" s="55" t="s">
        <v>58</v>
      </c>
      <c r="R90" s="55" t="s">
        <v>58</v>
      </c>
    </row>
    <row r="91" spans="2:18" ht="19.5" customHeight="1" x14ac:dyDescent="0.2">
      <c r="B91" s="11">
        <v>7</v>
      </c>
      <c r="C91" s="14">
        <v>3</v>
      </c>
      <c r="D91" s="12" t="s">
        <v>10</v>
      </c>
      <c r="E91" s="89" t="s">
        <v>42</v>
      </c>
      <c r="F91" s="96" t="s">
        <v>43</v>
      </c>
      <c r="G91" s="30">
        <v>9</v>
      </c>
      <c r="H91" s="9">
        <v>17</v>
      </c>
      <c r="I91" s="9">
        <v>15</v>
      </c>
      <c r="J91" s="22">
        <v>38</v>
      </c>
      <c r="K91" s="9">
        <v>49</v>
      </c>
      <c r="L91" s="9">
        <v>59</v>
      </c>
      <c r="M91" s="9">
        <v>68</v>
      </c>
      <c r="N91" s="9">
        <v>78</v>
      </c>
      <c r="O91" s="9">
        <v>83</v>
      </c>
      <c r="P91" s="22">
        <v>90</v>
      </c>
      <c r="Q91" s="30">
        <v>92</v>
      </c>
      <c r="R91" s="30">
        <v>90</v>
      </c>
    </row>
    <row r="92" spans="2:18" ht="19.5" customHeight="1" x14ac:dyDescent="0.2">
      <c r="B92" s="56"/>
      <c r="C92" s="57"/>
      <c r="D92" s="58" t="s">
        <v>33</v>
      </c>
      <c r="E92" s="90" t="s">
        <v>42</v>
      </c>
      <c r="F92" s="97" t="s">
        <v>43</v>
      </c>
      <c r="G92" s="86">
        <v>14</v>
      </c>
      <c r="H92" s="49">
        <v>23</v>
      </c>
      <c r="I92" s="49">
        <v>28</v>
      </c>
      <c r="J92" s="82">
        <v>62</v>
      </c>
      <c r="K92" s="49">
        <v>70</v>
      </c>
      <c r="L92" s="49">
        <v>80</v>
      </c>
      <c r="M92" s="49">
        <v>87</v>
      </c>
      <c r="N92" s="49">
        <v>95</v>
      </c>
      <c r="O92" s="49">
        <v>101</v>
      </c>
      <c r="P92" s="82" t="s">
        <v>58</v>
      </c>
      <c r="Q92" s="88" t="s">
        <v>58</v>
      </c>
      <c r="R92" s="88" t="s">
        <v>58</v>
      </c>
    </row>
    <row r="93" spans="2:18" ht="19.5" customHeight="1" thickBot="1" x14ac:dyDescent="0.25">
      <c r="B93" s="13"/>
      <c r="C93" s="15"/>
      <c r="D93" s="16" t="s">
        <v>11</v>
      </c>
      <c r="E93" s="91" t="s">
        <v>42</v>
      </c>
      <c r="F93" s="98" t="s">
        <v>43</v>
      </c>
      <c r="G93" s="31">
        <v>12</v>
      </c>
      <c r="H93" s="10">
        <v>19</v>
      </c>
      <c r="I93" s="10">
        <v>24</v>
      </c>
      <c r="J93" s="23">
        <v>41</v>
      </c>
      <c r="K93" s="10">
        <v>50</v>
      </c>
      <c r="L93" s="10">
        <v>61</v>
      </c>
      <c r="M93" s="10">
        <v>67</v>
      </c>
      <c r="N93" s="10">
        <v>76</v>
      </c>
      <c r="O93" s="10">
        <v>82</v>
      </c>
      <c r="P93" s="23">
        <v>89</v>
      </c>
      <c r="Q93" s="31">
        <v>94</v>
      </c>
      <c r="R93" s="31">
        <v>94</v>
      </c>
    </row>
    <row r="94" spans="2:18" ht="19.5" customHeight="1" x14ac:dyDescent="0.2">
      <c r="B94" s="11">
        <v>7</v>
      </c>
      <c r="C94" s="14">
        <v>4</v>
      </c>
      <c r="D94" s="12" t="s">
        <v>10</v>
      </c>
      <c r="E94" s="89" t="s">
        <v>48</v>
      </c>
      <c r="F94" s="96" t="s">
        <v>43</v>
      </c>
      <c r="G94" s="30">
        <v>13</v>
      </c>
      <c r="H94" s="9">
        <v>19</v>
      </c>
      <c r="I94" s="9">
        <v>23</v>
      </c>
      <c r="J94" s="22">
        <v>49</v>
      </c>
      <c r="K94" s="9">
        <v>59</v>
      </c>
      <c r="L94" s="9">
        <v>69</v>
      </c>
      <c r="M94" s="9">
        <v>76</v>
      </c>
      <c r="N94" s="9">
        <v>89</v>
      </c>
      <c r="O94" s="9">
        <v>96</v>
      </c>
      <c r="P94" s="38" t="s">
        <v>58</v>
      </c>
      <c r="Q94" s="54" t="s">
        <v>58</v>
      </c>
      <c r="R94" s="54" t="s">
        <v>58</v>
      </c>
    </row>
    <row r="95" spans="2:18" ht="19.5" customHeight="1" x14ac:dyDescent="0.2">
      <c r="B95" s="56"/>
      <c r="C95" s="57"/>
      <c r="D95" s="58" t="s">
        <v>33</v>
      </c>
      <c r="E95" s="90" t="s">
        <v>48</v>
      </c>
      <c r="F95" s="97" t="s">
        <v>43</v>
      </c>
      <c r="G95" s="86">
        <v>11</v>
      </c>
      <c r="H95" s="49">
        <v>15</v>
      </c>
      <c r="I95" s="49">
        <v>21</v>
      </c>
      <c r="J95" s="82">
        <v>41</v>
      </c>
      <c r="K95" s="49">
        <v>51</v>
      </c>
      <c r="L95" s="49">
        <v>62</v>
      </c>
      <c r="M95" s="49">
        <v>69</v>
      </c>
      <c r="N95" s="49">
        <v>83</v>
      </c>
      <c r="O95" s="49">
        <v>91</v>
      </c>
      <c r="P95" s="82">
        <v>100</v>
      </c>
      <c r="Q95" s="88" t="s">
        <v>58</v>
      </c>
      <c r="R95" s="88" t="s">
        <v>58</v>
      </c>
    </row>
    <row r="96" spans="2:18" ht="19.5" customHeight="1" thickBot="1" x14ac:dyDescent="0.25">
      <c r="B96" s="13"/>
      <c r="C96" s="15"/>
      <c r="D96" s="16" t="s">
        <v>11</v>
      </c>
      <c r="E96" s="91" t="s">
        <v>48</v>
      </c>
      <c r="F96" s="98" t="s">
        <v>43</v>
      </c>
      <c r="G96" s="31">
        <v>12</v>
      </c>
      <c r="H96" s="10">
        <v>19</v>
      </c>
      <c r="I96" s="10">
        <v>24</v>
      </c>
      <c r="J96" s="23">
        <v>50</v>
      </c>
      <c r="K96" s="10">
        <v>57</v>
      </c>
      <c r="L96" s="10">
        <v>64</v>
      </c>
      <c r="M96" s="10">
        <v>70</v>
      </c>
      <c r="N96" s="10">
        <v>80</v>
      </c>
      <c r="O96" s="10">
        <v>86</v>
      </c>
      <c r="P96" s="23">
        <v>90</v>
      </c>
      <c r="Q96" s="31">
        <v>94</v>
      </c>
      <c r="R96" s="31">
        <v>95</v>
      </c>
    </row>
    <row r="97" spans="2:18" ht="19.5" customHeight="1" x14ac:dyDescent="0.2">
      <c r="B97" s="11">
        <v>8</v>
      </c>
      <c r="C97" s="14">
        <v>4</v>
      </c>
      <c r="D97" s="12" t="s">
        <v>11</v>
      </c>
      <c r="E97" s="89" t="s">
        <v>48</v>
      </c>
      <c r="F97" s="93" t="s">
        <v>41</v>
      </c>
      <c r="G97" s="30">
        <v>8</v>
      </c>
      <c r="H97" s="9">
        <v>14</v>
      </c>
      <c r="I97" s="9">
        <v>17</v>
      </c>
      <c r="J97" s="22">
        <v>37</v>
      </c>
      <c r="K97" s="9">
        <v>53</v>
      </c>
      <c r="L97" s="9">
        <v>69</v>
      </c>
      <c r="M97" s="9">
        <v>80</v>
      </c>
      <c r="N97" s="9">
        <v>85</v>
      </c>
      <c r="O97" s="9">
        <v>89</v>
      </c>
      <c r="P97" s="22">
        <v>93</v>
      </c>
      <c r="Q97" s="30">
        <v>96</v>
      </c>
      <c r="R97" s="30">
        <v>96</v>
      </c>
    </row>
    <row r="98" spans="2:18" ht="19.5" customHeight="1" x14ac:dyDescent="0.2">
      <c r="B98" s="56"/>
      <c r="C98" s="57"/>
      <c r="D98" s="58" t="s">
        <v>33</v>
      </c>
      <c r="E98" s="90" t="s">
        <v>48</v>
      </c>
      <c r="F98" s="94" t="s">
        <v>41</v>
      </c>
      <c r="G98" s="86">
        <v>7</v>
      </c>
      <c r="H98" s="49">
        <v>13</v>
      </c>
      <c r="I98" s="49">
        <v>13</v>
      </c>
      <c r="J98" s="82">
        <v>28</v>
      </c>
      <c r="K98" s="49">
        <v>39</v>
      </c>
      <c r="L98" s="49">
        <v>50</v>
      </c>
      <c r="M98" s="49">
        <v>57</v>
      </c>
      <c r="N98" s="49">
        <v>63</v>
      </c>
      <c r="O98" s="49">
        <v>70</v>
      </c>
      <c r="P98" s="82">
        <v>75</v>
      </c>
      <c r="Q98" s="86">
        <v>79</v>
      </c>
      <c r="R98" s="86">
        <v>81</v>
      </c>
    </row>
    <row r="99" spans="2:18" ht="19.5" customHeight="1" thickBot="1" x14ac:dyDescent="0.25">
      <c r="B99" s="13"/>
      <c r="C99" s="15"/>
      <c r="D99" s="16" t="s">
        <v>10</v>
      </c>
      <c r="E99" s="91" t="s">
        <v>48</v>
      </c>
      <c r="F99" s="95" t="s">
        <v>41</v>
      </c>
      <c r="G99" s="31">
        <v>6</v>
      </c>
      <c r="H99" s="10">
        <v>13</v>
      </c>
      <c r="I99" s="10">
        <v>17</v>
      </c>
      <c r="J99" s="23">
        <v>38</v>
      </c>
      <c r="K99" s="10">
        <v>52</v>
      </c>
      <c r="L99" s="10">
        <v>66</v>
      </c>
      <c r="M99" s="10">
        <v>76</v>
      </c>
      <c r="N99" s="10">
        <v>80</v>
      </c>
      <c r="O99" s="10">
        <v>85</v>
      </c>
      <c r="P99" s="23">
        <v>91</v>
      </c>
      <c r="Q99" s="31">
        <v>93</v>
      </c>
      <c r="R99" s="31">
        <v>94</v>
      </c>
    </row>
    <row r="100" spans="2:18" ht="19.5" customHeight="1" x14ac:dyDescent="0.2">
      <c r="B100" s="11">
        <v>8</v>
      </c>
      <c r="C100" s="14">
        <v>3</v>
      </c>
      <c r="D100" s="12" t="s">
        <v>11</v>
      </c>
      <c r="E100" s="89" t="s">
        <v>42</v>
      </c>
      <c r="F100" s="93" t="s">
        <v>41</v>
      </c>
      <c r="G100" s="30">
        <v>7</v>
      </c>
      <c r="H100" s="9">
        <v>13</v>
      </c>
      <c r="I100" s="9">
        <v>19</v>
      </c>
      <c r="J100" s="22">
        <v>37</v>
      </c>
      <c r="K100" s="9">
        <v>50</v>
      </c>
      <c r="L100" s="9">
        <v>64</v>
      </c>
      <c r="M100" s="9">
        <v>72</v>
      </c>
      <c r="N100" s="9">
        <v>88</v>
      </c>
      <c r="O100" s="9">
        <v>93</v>
      </c>
      <c r="P100" s="22">
        <v>97</v>
      </c>
      <c r="Q100" s="30">
        <v>99</v>
      </c>
      <c r="R100" s="54" t="s">
        <v>58</v>
      </c>
    </row>
    <row r="101" spans="2:18" ht="19.5" customHeight="1" x14ac:dyDescent="0.2">
      <c r="B101" s="56"/>
      <c r="C101" s="57"/>
      <c r="D101" s="58" t="s">
        <v>33</v>
      </c>
      <c r="E101" s="90" t="s">
        <v>42</v>
      </c>
      <c r="F101" s="94" t="s">
        <v>41</v>
      </c>
      <c r="G101" s="86">
        <v>10</v>
      </c>
      <c r="H101" s="49">
        <v>17</v>
      </c>
      <c r="I101" s="49">
        <v>20</v>
      </c>
      <c r="J101" s="82">
        <v>41</v>
      </c>
      <c r="K101" s="49">
        <v>52</v>
      </c>
      <c r="L101" s="49">
        <v>65</v>
      </c>
      <c r="M101" s="49">
        <v>72</v>
      </c>
      <c r="N101" s="49">
        <v>88</v>
      </c>
      <c r="O101" s="49">
        <v>94</v>
      </c>
      <c r="P101" s="82">
        <v>98</v>
      </c>
      <c r="Q101" s="88" t="s">
        <v>58</v>
      </c>
      <c r="R101" s="88" t="s">
        <v>58</v>
      </c>
    </row>
    <row r="102" spans="2:18" ht="19.5" customHeight="1" thickBot="1" x14ac:dyDescent="0.25">
      <c r="B102" s="13"/>
      <c r="C102" s="15"/>
      <c r="D102" s="16" t="s">
        <v>10</v>
      </c>
      <c r="E102" s="91" t="s">
        <v>42</v>
      </c>
      <c r="F102" s="95" t="s">
        <v>41</v>
      </c>
      <c r="G102" s="31">
        <v>6</v>
      </c>
      <c r="H102" s="10">
        <v>13</v>
      </c>
      <c r="I102" s="10">
        <v>20</v>
      </c>
      <c r="J102" s="23">
        <v>38</v>
      </c>
      <c r="K102" s="10">
        <v>50</v>
      </c>
      <c r="L102" s="10">
        <v>65</v>
      </c>
      <c r="M102" s="10">
        <v>73</v>
      </c>
      <c r="N102" s="10">
        <v>89</v>
      </c>
      <c r="O102" s="10">
        <v>94</v>
      </c>
      <c r="P102" s="23">
        <v>99</v>
      </c>
      <c r="Q102" s="55" t="s">
        <v>58</v>
      </c>
      <c r="R102" s="55" t="s">
        <v>58</v>
      </c>
    </row>
    <row r="103" spans="2:18" ht="19.5" customHeight="1" x14ac:dyDescent="0.2">
      <c r="B103" s="11">
        <v>8</v>
      </c>
      <c r="C103" s="14">
        <v>2</v>
      </c>
      <c r="D103" s="12" t="s">
        <v>11</v>
      </c>
      <c r="E103" s="89" t="s">
        <v>46</v>
      </c>
      <c r="F103" s="93" t="s">
        <v>41</v>
      </c>
      <c r="G103" s="30">
        <v>8</v>
      </c>
      <c r="H103" s="9">
        <v>16</v>
      </c>
      <c r="I103" s="9">
        <v>20</v>
      </c>
      <c r="J103" s="22">
        <v>43</v>
      </c>
      <c r="K103" s="9">
        <v>56</v>
      </c>
      <c r="L103" s="9">
        <v>69</v>
      </c>
      <c r="M103" s="9">
        <v>78</v>
      </c>
      <c r="N103" s="9">
        <v>83</v>
      </c>
      <c r="O103" s="9">
        <v>87</v>
      </c>
      <c r="P103" s="22">
        <v>94</v>
      </c>
      <c r="Q103" s="30">
        <v>86</v>
      </c>
      <c r="R103" s="30">
        <v>88</v>
      </c>
    </row>
    <row r="104" spans="2:18" ht="19.5" customHeight="1" x14ac:dyDescent="0.2">
      <c r="B104" s="56"/>
      <c r="C104" s="57"/>
      <c r="D104" s="58" t="s">
        <v>33</v>
      </c>
      <c r="E104" s="90" t="s">
        <v>46</v>
      </c>
      <c r="F104" s="94" t="s">
        <v>41</v>
      </c>
      <c r="G104" s="86">
        <v>6</v>
      </c>
      <c r="H104" s="49">
        <v>12</v>
      </c>
      <c r="I104" s="49">
        <v>17</v>
      </c>
      <c r="J104" s="82">
        <v>45</v>
      </c>
      <c r="K104" s="49">
        <v>54</v>
      </c>
      <c r="L104" s="49">
        <v>65</v>
      </c>
      <c r="M104" s="49">
        <v>73</v>
      </c>
      <c r="N104" s="49">
        <v>76</v>
      </c>
      <c r="O104" s="49">
        <v>78</v>
      </c>
      <c r="P104" s="82">
        <v>84</v>
      </c>
      <c r="Q104" s="86">
        <v>89</v>
      </c>
      <c r="R104" s="86">
        <v>92</v>
      </c>
    </row>
    <row r="105" spans="2:18" ht="19.5" customHeight="1" thickBot="1" x14ac:dyDescent="0.25">
      <c r="B105" s="13"/>
      <c r="C105" s="15"/>
      <c r="D105" s="16" t="s">
        <v>10</v>
      </c>
      <c r="E105" s="91" t="s">
        <v>46</v>
      </c>
      <c r="F105" s="95" t="s">
        <v>41</v>
      </c>
      <c r="G105" s="31">
        <v>7</v>
      </c>
      <c r="H105" s="10">
        <v>13</v>
      </c>
      <c r="I105" s="10">
        <v>18</v>
      </c>
      <c r="J105" s="23">
        <v>36</v>
      </c>
      <c r="K105" s="10">
        <v>49</v>
      </c>
      <c r="L105" s="10">
        <v>61</v>
      </c>
      <c r="M105" s="10">
        <v>71</v>
      </c>
      <c r="N105" s="10">
        <v>75</v>
      </c>
      <c r="O105" s="10">
        <v>78</v>
      </c>
      <c r="P105" s="23">
        <v>86</v>
      </c>
      <c r="Q105" s="31">
        <v>89</v>
      </c>
      <c r="R105" s="31">
        <v>90</v>
      </c>
    </row>
    <row r="106" spans="2:18" ht="19.5" customHeight="1" x14ac:dyDescent="0.2">
      <c r="B106" s="11">
        <v>8</v>
      </c>
      <c r="C106" s="14">
        <v>1</v>
      </c>
      <c r="D106" s="12" t="s">
        <v>11</v>
      </c>
      <c r="E106" s="89" t="s">
        <v>47</v>
      </c>
      <c r="F106" s="93" t="s">
        <v>41</v>
      </c>
      <c r="G106" s="30">
        <v>7</v>
      </c>
      <c r="H106" s="9">
        <v>13</v>
      </c>
      <c r="I106" s="9">
        <v>15</v>
      </c>
      <c r="J106" s="22">
        <v>34</v>
      </c>
      <c r="K106" s="9">
        <v>46</v>
      </c>
      <c r="L106" s="9">
        <v>59</v>
      </c>
      <c r="M106" s="9">
        <v>68</v>
      </c>
      <c r="N106" s="9">
        <v>80</v>
      </c>
      <c r="O106" s="9">
        <v>84</v>
      </c>
      <c r="P106" s="38">
        <v>89</v>
      </c>
      <c r="Q106" s="54">
        <v>93</v>
      </c>
      <c r="R106" s="54">
        <v>96</v>
      </c>
    </row>
    <row r="107" spans="2:18" ht="19.5" customHeight="1" x14ac:dyDescent="0.2">
      <c r="B107" s="56"/>
      <c r="C107" s="57"/>
      <c r="D107" s="58" t="s">
        <v>33</v>
      </c>
      <c r="E107" s="90" t="s">
        <v>47</v>
      </c>
      <c r="F107" s="94" t="s">
        <v>41</v>
      </c>
      <c r="G107" s="86">
        <v>8</v>
      </c>
      <c r="H107" s="49">
        <v>15</v>
      </c>
      <c r="I107" s="49">
        <v>19</v>
      </c>
      <c r="J107" s="82">
        <v>44</v>
      </c>
      <c r="K107" s="49">
        <v>55</v>
      </c>
      <c r="L107" s="49">
        <v>66</v>
      </c>
      <c r="M107" s="49">
        <v>73</v>
      </c>
      <c r="N107" s="49">
        <v>84</v>
      </c>
      <c r="O107" s="49">
        <v>88</v>
      </c>
      <c r="P107" s="87">
        <v>95</v>
      </c>
      <c r="Q107" s="88">
        <v>100</v>
      </c>
      <c r="R107" s="88" t="s">
        <v>58</v>
      </c>
    </row>
    <row r="108" spans="2:18" ht="19.5" customHeight="1" thickBot="1" x14ac:dyDescent="0.25">
      <c r="B108" s="13"/>
      <c r="C108" s="15"/>
      <c r="D108" s="16" t="s">
        <v>10</v>
      </c>
      <c r="E108" s="91" t="s">
        <v>47</v>
      </c>
      <c r="F108" s="95" t="s">
        <v>41</v>
      </c>
      <c r="G108" s="31">
        <v>10</v>
      </c>
      <c r="H108" s="10">
        <v>16</v>
      </c>
      <c r="I108" s="10">
        <v>21</v>
      </c>
      <c r="J108" s="23">
        <v>41</v>
      </c>
      <c r="K108" s="10">
        <v>54</v>
      </c>
      <c r="L108" s="10">
        <v>67</v>
      </c>
      <c r="M108" s="10">
        <v>77</v>
      </c>
      <c r="N108" s="10">
        <v>87</v>
      </c>
      <c r="O108" s="10">
        <v>93</v>
      </c>
      <c r="P108" s="23">
        <v>99</v>
      </c>
      <c r="Q108" s="55" t="s">
        <v>58</v>
      </c>
      <c r="R108" s="55" t="s">
        <v>58</v>
      </c>
    </row>
    <row r="109" spans="2:18" ht="19.5" customHeight="1" x14ac:dyDescent="0.2">
      <c r="B109" s="11">
        <v>9</v>
      </c>
      <c r="C109" s="14">
        <v>1</v>
      </c>
      <c r="D109" s="12" t="s">
        <v>10</v>
      </c>
      <c r="E109" s="89" t="s">
        <v>45</v>
      </c>
      <c r="F109" s="93" t="s">
        <v>41</v>
      </c>
      <c r="G109" s="30">
        <v>5</v>
      </c>
      <c r="H109" s="9">
        <v>12</v>
      </c>
      <c r="I109" s="9">
        <v>16</v>
      </c>
      <c r="J109" s="22">
        <v>30</v>
      </c>
      <c r="K109" s="9">
        <v>39</v>
      </c>
      <c r="L109" s="9">
        <v>48</v>
      </c>
      <c r="M109" s="9">
        <v>54</v>
      </c>
      <c r="N109" s="9">
        <v>62</v>
      </c>
      <c r="O109" s="9">
        <v>68</v>
      </c>
      <c r="P109" s="38">
        <v>70</v>
      </c>
      <c r="Q109" s="54">
        <v>73</v>
      </c>
      <c r="R109" s="54">
        <v>75</v>
      </c>
    </row>
    <row r="110" spans="2:18" ht="19.5" customHeight="1" x14ac:dyDescent="0.2">
      <c r="B110" s="56"/>
      <c r="C110" s="57"/>
      <c r="D110" s="58" t="s">
        <v>33</v>
      </c>
      <c r="E110" s="90" t="s">
        <v>45</v>
      </c>
      <c r="F110" s="94" t="s">
        <v>41</v>
      </c>
      <c r="G110" s="86">
        <v>5</v>
      </c>
      <c r="H110" s="49">
        <v>12</v>
      </c>
      <c r="I110" s="49">
        <v>21</v>
      </c>
      <c r="J110" s="82">
        <v>42</v>
      </c>
      <c r="K110" s="49">
        <v>51</v>
      </c>
      <c r="L110" s="49">
        <v>62</v>
      </c>
      <c r="M110" s="49">
        <v>68</v>
      </c>
      <c r="N110" s="49">
        <v>74</v>
      </c>
      <c r="O110" s="49">
        <v>79</v>
      </c>
      <c r="P110" s="87">
        <v>82</v>
      </c>
      <c r="Q110" s="88">
        <v>84</v>
      </c>
      <c r="R110" s="88">
        <v>84</v>
      </c>
    </row>
    <row r="111" spans="2:18" ht="19.5" customHeight="1" thickBot="1" x14ac:dyDescent="0.25">
      <c r="B111" s="13"/>
      <c r="C111" s="15"/>
      <c r="D111" s="16" t="s">
        <v>11</v>
      </c>
      <c r="E111" s="91" t="s">
        <v>45</v>
      </c>
      <c r="F111" s="95" t="s">
        <v>41</v>
      </c>
      <c r="G111" s="31">
        <v>3</v>
      </c>
      <c r="H111" s="10">
        <v>11</v>
      </c>
      <c r="I111" s="10">
        <v>15</v>
      </c>
      <c r="J111" s="23">
        <v>34</v>
      </c>
      <c r="K111" s="10">
        <v>49</v>
      </c>
      <c r="L111" s="10">
        <v>66</v>
      </c>
      <c r="M111" s="10">
        <v>75</v>
      </c>
      <c r="N111" s="10">
        <v>80</v>
      </c>
      <c r="O111" s="10">
        <v>85</v>
      </c>
      <c r="P111" s="23">
        <v>89</v>
      </c>
      <c r="Q111" s="31">
        <v>90</v>
      </c>
      <c r="R111" s="31">
        <v>90</v>
      </c>
    </row>
    <row r="112" spans="2:18" ht="19.5" customHeight="1" x14ac:dyDescent="0.2">
      <c r="B112" s="11">
        <v>9</v>
      </c>
      <c r="C112" s="14">
        <v>2</v>
      </c>
      <c r="D112" s="12" t="s">
        <v>10</v>
      </c>
      <c r="E112" s="89" t="s">
        <v>42</v>
      </c>
      <c r="F112" s="93" t="s">
        <v>41</v>
      </c>
      <c r="G112" s="30">
        <v>4</v>
      </c>
      <c r="H112" s="9">
        <v>11</v>
      </c>
      <c r="I112" s="9">
        <v>16</v>
      </c>
      <c r="J112" s="22">
        <v>28</v>
      </c>
      <c r="K112" s="9">
        <v>44</v>
      </c>
      <c r="L112" s="9">
        <v>61</v>
      </c>
      <c r="M112" s="9">
        <v>71</v>
      </c>
      <c r="N112" s="9">
        <v>84</v>
      </c>
      <c r="O112" s="9">
        <v>88</v>
      </c>
      <c r="P112" s="22">
        <v>90</v>
      </c>
      <c r="Q112" s="30">
        <v>92</v>
      </c>
      <c r="R112" s="30">
        <v>91</v>
      </c>
    </row>
    <row r="113" spans="2:18" ht="19.5" customHeight="1" x14ac:dyDescent="0.2">
      <c r="B113" s="56"/>
      <c r="C113" s="57"/>
      <c r="D113" s="58" t="s">
        <v>33</v>
      </c>
      <c r="E113" s="90" t="s">
        <v>42</v>
      </c>
      <c r="F113" s="94" t="s">
        <v>41</v>
      </c>
      <c r="G113" s="86">
        <v>7</v>
      </c>
      <c r="H113" s="49">
        <v>15</v>
      </c>
      <c r="I113" s="49">
        <v>19</v>
      </c>
      <c r="J113" s="82">
        <v>38</v>
      </c>
      <c r="K113" s="49">
        <v>50</v>
      </c>
      <c r="L113" s="49">
        <v>66</v>
      </c>
      <c r="M113" s="49">
        <v>77</v>
      </c>
      <c r="N113" s="49">
        <v>88</v>
      </c>
      <c r="O113" s="49">
        <v>95</v>
      </c>
      <c r="P113" s="82">
        <v>98</v>
      </c>
      <c r="Q113" s="86">
        <v>84</v>
      </c>
      <c r="R113" s="86">
        <v>86</v>
      </c>
    </row>
    <row r="114" spans="2:18" ht="19.5" customHeight="1" thickBot="1" x14ac:dyDescent="0.25">
      <c r="B114" s="13"/>
      <c r="C114" s="15"/>
      <c r="D114" s="16" t="s">
        <v>11</v>
      </c>
      <c r="E114" s="91" t="s">
        <v>42</v>
      </c>
      <c r="F114" s="95" t="s">
        <v>41</v>
      </c>
      <c r="G114" s="31">
        <v>5</v>
      </c>
      <c r="H114" s="10">
        <v>11</v>
      </c>
      <c r="I114" s="10">
        <v>17</v>
      </c>
      <c r="J114" s="23">
        <v>28</v>
      </c>
      <c r="K114" s="10">
        <v>44</v>
      </c>
      <c r="L114" s="10">
        <v>62</v>
      </c>
      <c r="M114" s="10">
        <v>74</v>
      </c>
      <c r="N114" s="10">
        <v>85</v>
      </c>
      <c r="O114" s="10">
        <v>89</v>
      </c>
      <c r="P114" s="23">
        <v>91</v>
      </c>
      <c r="Q114" s="31">
        <v>93</v>
      </c>
      <c r="R114" s="31">
        <v>93</v>
      </c>
    </row>
    <row r="115" spans="2:18" ht="19.5" customHeight="1" x14ac:dyDescent="0.2">
      <c r="B115" s="11">
        <v>9</v>
      </c>
      <c r="C115" s="14">
        <v>3</v>
      </c>
      <c r="D115" s="12" t="s">
        <v>10</v>
      </c>
      <c r="E115" s="89" t="s">
        <v>47</v>
      </c>
      <c r="F115" s="93" t="s">
        <v>41</v>
      </c>
      <c r="G115" s="30">
        <v>9</v>
      </c>
      <c r="H115" s="9">
        <v>14</v>
      </c>
      <c r="I115" s="9">
        <v>22</v>
      </c>
      <c r="J115" s="22">
        <v>46</v>
      </c>
      <c r="K115" s="9">
        <v>60</v>
      </c>
      <c r="L115" s="9">
        <v>77</v>
      </c>
      <c r="M115" s="9">
        <v>88</v>
      </c>
      <c r="N115" s="9">
        <v>97</v>
      </c>
      <c r="O115" s="9" t="s">
        <v>58</v>
      </c>
      <c r="P115" s="38" t="s">
        <v>58</v>
      </c>
      <c r="Q115" s="54" t="s">
        <v>58</v>
      </c>
      <c r="R115" s="54" t="s">
        <v>58</v>
      </c>
    </row>
    <row r="116" spans="2:18" ht="19.5" customHeight="1" x14ac:dyDescent="0.2">
      <c r="B116" s="56"/>
      <c r="C116" s="57"/>
      <c r="D116" s="58" t="s">
        <v>33</v>
      </c>
      <c r="E116" s="90" t="s">
        <v>47</v>
      </c>
      <c r="F116" s="94" t="s">
        <v>41</v>
      </c>
      <c r="G116" s="86">
        <v>8</v>
      </c>
      <c r="H116" s="49">
        <v>11</v>
      </c>
      <c r="I116" s="49">
        <v>16</v>
      </c>
      <c r="J116" s="82">
        <v>28</v>
      </c>
      <c r="K116" s="49">
        <v>34</v>
      </c>
      <c r="L116" s="49">
        <v>41</v>
      </c>
      <c r="M116" s="49">
        <v>45</v>
      </c>
      <c r="N116" s="49">
        <v>53</v>
      </c>
      <c r="O116" s="49">
        <v>57</v>
      </c>
      <c r="P116" s="82">
        <v>61</v>
      </c>
      <c r="Q116" s="86">
        <v>65</v>
      </c>
      <c r="R116" s="86">
        <v>69</v>
      </c>
    </row>
    <row r="117" spans="2:18" ht="19.5" customHeight="1" thickBot="1" x14ac:dyDescent="0.25">
      <c r="B117" s="13"/>
      <c r="C117" s="15"/>
      <c r="D117" s="16" t="s">
        <v>11</v>
      </c>
      <c r="E117" s="91" t="s">
        <v>47</v>
      </c>
      <c r="F117" s="95" t="s">
        <v>41</v>
      </c>
      <c r="G117" s="31">
        <v>7</v>
      </c>
      <c r="H117" s="10">
        <v>11</v>
      </c>
      <c r="I117" s="10">
        <v>15</v>
      </c>
      <c r="J117" s="23">
        <v>35</v>
      </c>
      <c r="K117" s="10">
        <v>40</v>
      </c>
      <c r="L117" s="10">
        <v>42</v>
      </c>
      <c r="M117" s="10">
        <v>49</v>
      </c>
      <c r="N117" s="10">
        <v>55</v>
      </c>
      <c r="O117" s="10">
        <v>58</v>
      </c>
      <c r="P117" s="23">
        <v>60</v>
      </c>
      <c r="Q117" s="31">
        <v>63</v>
      </c>
      <c r="R117" s="31">
        <v>64</v>
      </c>
    </row>
    <row r="118" spans="2:18" ht="19.5" customHeight="1" x14ac:dyDescent="0.2">
      <c r="B118" s="11">
        <v>9</v>
      </c>
      <c r="C118" s="14">
        <v>4</v>
      </c>
      <c r="D118" s="12" t="s">
        <v>10</v>
      </c>
      <c r="E118" s="89" t="s">
        <v>44</v>
      </c>
      <c r="F118" s="93" t="s">
        <v>41</v>
      </c>
      <c r="G118" s="30">
        <v>6</v>
      </c>
      <c r="H118" s="9">
        <v>12</v>
      </c>
      <c r="I118" s="9">
        <v>16</v>
      </c>
      <c r="J118" s="22">
        <v>36</v>
      </c>
      <c r="K118" s="9">
        <v>50</v>
      </c>
      <c r="L118" s="9">
        <v>63</v>
      </c>
      <c r="M118" s="9">
        <v>74</v>
      </c>
      <c r="N118" s="9">
        <v>82</v>
      </c>
      <c r="O118" s="9">
        <v>86</v>
      </c>
      <c r="P118" s="22">
        <v>92</v>
      </c>
      <c r="Q118" s="30">
        <v>95</v>
      </c>
      <c r="R118" s="30">
        <v>97</v>
      </c>
    </row>
    <row r="119" spans="2:18" ht="19.5" customHeight="1" x14ac:dyDescent="0.2">
      <c r="B119" s="56"/>
      <c r="C119" s="57"/>
      <c r="D119" s="58" t="s">
        <v>33</v>
      </c>
      <c r="E119" s="90" t="s">
        <v>44</v>
      </c>
      <c r="F119" s="94" t="s">
        <v>41</v>
      </c>
      <c r="G119" s="86">
        <v>7</v>
      </c>
      <c r="H119" s="49">
        <v>11</v>
      </c>
      <c r="I119" s="49">
        <v>15</v>
      </c>
      <c r="J119" s="82">
        <v>34</v>
      </c>
      <c r="K119" s="49">
        <v>42</v>
      </c>
      <c r="L119" s="49">
        <v>52</v>
      </c>
      <c r="M119" s="49">
        <v>59</v>
      </c>
      <c r="N119" s="49">
        <v>65</v>
      </c>
      <c r="O119" s="49">
        <v>67</v>
      </c>
      <c r="P119" s="82">
        <v>74</v>
      </c>
      <c r="Q119" s="86">
        <v>78</v>
      </c>
      <c r="R119" s="86">
        <v>82</v>
      </c>
    </row>
    <row r="120" spans="2:18" ht="19.5" customHeight="1" thickBot="1" x14ac:dyDescent="0.25">
      <c r="B120" s="13"/>
      <c r="C120" s="15"/>
      <c r="D120" s="16" t="s">
        <v>11</v>
      </c>
      <c r="E120" s="91" t="s">
        <v>44</v>
      </c>
      <c r="F120" s="95" t="s">
        <v>41</v>
      </c>
      <c r="G120" s="31">
        <v>9</v>
      </c>
      <c r="H120" s="10">
        <v>15</v>
      </c>
      <c r="I120" s="10">
        <v>19</v>
      </c>
      <c r="J120" s="23">
        <v>38</v>
      </c>
      <c r="K120" s="10">
        <v>54</v>
      </c>
      <c r="L120" s="10">
        <v>69</v>
      </c>
      <c r="M120" s="10">
        <v>81</v>
      </c>
      <c r="N120" s="10">
        <v>87</v>
      </c>
      <c r="O120" s="10">
        <v>91</v>
      </c>
      <c r="P120" s="23">
        <v>96</v>
      </c>
      <c r="Q120" s="55" t="s">
        <v>58</v>
      </c>
      <c r="R120" s="55" t="s">
        <v>58</v>
      </c>
    </row>
    <row r="121" spans="2:18" ht="19.5" customHeight="1" x14ac:dyDescent="0.2">
      <c r="B121" s="11">
        <v>10</v>
      </c>
      <c r="C121" s="14">
        <v>4</v>
      </c>
      <c r="D121" s="12" t="s">
        <v>11</v>
      </c>
      <c r="E121" s="89" t="s">
        <v>44</v>
      </c>
      <c r="F121" s="96" t="s">
        <v>43</v>
      </c>
      <c r="G121" s="30">
        <v>13</v>
      </c>
      <c r="H121" s="9">
        <v>17</v>
      </c>
      <c r="I121" s="9">
        <v>23</v>
      </c>
      <c r="J121" s="22">
        <v>44</v>
      </c>
      <c r="K121" s="9">
        <v>49</v>
      </c>
      <c r="L121" s="9">
        <v>55</v>
      </c>
      <c r="M121" s="9">
        <v>59</v>
      </c>
      <c r="N121" s="9">
        <v>69</v>
      </c>
      <c r="O121" s="9">
        <v>76</v>
      </c>
      <c r="P121" s="22">
        <v>80</v>
      </c>
      <c r="Q121" s="30">
        <v>82</v>
      </c>
      <c r="R121" s="30">
        <v>83</v>
      </c>
    </row>
    <row r="122" spans="2:18" ht="19.5" customHeight="1" x14ac:dyDescent="0.2">
      <c r="B122" s="56"/>
      <c r="C122" s="57"/>
      <c r="D122" s="58" t="s">
        <v>33</v>
      </c>
      <c r="E122" s="90" t="s">
        <v>44</v>
      </c>
      <c r="F122" s="97" t="s">
        <v>43</v>
      </c>
      <c r="G122" s="86">
        <v>11</v>
      </c>
      <c r="H122" s="49">
        <v>16</v>
      </c>
      <c r="I122" s="49">
        <v>22</v>
      </c>
      <c r="J122" s="82">
        <v>37</v>
      </c>
      <c r="K122" s="49">
        <v>15</v>
      </c>
      <c r="L122" s="49">
        <v>41</v>
      </c>
      <c r="M122" s="49">
        <v>58</v>
      </c>
      <c r="N122" s="49">
        <v>69</v>
      </c>
      <c r="O122" s="49">
        <v>74</v>
      </c>
      <c r="P122" s="82">
        <v>77</v>
      </c>
      <c r="Q122" s="86">
        <v>79</v>
      </c>
      <c r="R122" s="86">
        <v>81</v>
      </c>
    </row>
    <row r="123" spans="2:18" ht="19.5" customHeight="1" thickBot="1" x14ac:dyDescent="0.25">
      <c r="B123" s="13"/>
      <c r="C123" s="15"/>
      <c r="D123" s="16" t="s">
        <v>10</v>
      </c>
      <c r="E123" s="91" t="s">
        <v>44</v>
      </c>
      <c r="F123" s="98" t="s">
        <v>43</v>
      </c>
      <c r="G123" s="31">
        <v>11</v>
      </c>
      <c r="H123" s="10">
        <v>15</v>
      </c>
      <c r="I123" s="10">
        <v>22</v>
      </c>
      <c r="J123" s="23">
        <v>48</v>
      </c>
      <c r="K123" s="10">
        <v>60</v>
      </c>
      <c r="L123" s="10">
        <v>73</v>
      </c>
      <c r="M123" s="10">
        <v>82</v>
      </c>
      <c r="N123" s="10">
        <v>89</v>
      </c>
      <c r="O123" s="10">
        <v>93</v>
      </c>
      <c r="P123" s="23">
        <v>97</v>
      </c>
      <c r="Q123" s="55" t="s">
        <v>58</v>
      </c>
      <c r="R123" s="55" t="s">
        <v>58</v>
      </c>
    </row>
    <row r="124" spans="2:18" ht="19.5" customHeight="1" x14ac:dyDescent="0.2">
      <c r="B124" s="11">
        <v>10</v>
      </c>
      <c r="C124" s="14">
        <v>3</v>
      </c>
      <c r="D124" s="12" t="s">
        <v>11</v>
      </c>
      <c r="E124" s="89" t="s">
        <v>47</v>
      </c>
      <c r="F124" s="96" t="s">
        <v>43</v>
      </c>
      <c r="G124" s="30">
        <v>13</v>
      </c>
      <c r="H124" s="9">
        <v>21</v>
      </c>
      <c r="I124" s="9">
        <v>26</v>
      </c>
      <c r="J124" s="22">
        <v>48</v>
      </c>
      <c r="K124" s="9">
        <v>59</v>
      </c>
      <c r="L124" s="9">
        <v>69</v>
      </c>
      <c r="M124" s="9">
        <v>78</v>
      </c>
      <c r="N124" s="9">
        <v>81</v>
      </c>
      <c r="O124" s="9">
        <v>83</v>
      </c>
      <c r="P124" s="22">
        <v>90</v>
      </c>
      <c r="Q124" s="30">
        <v>96</v>
      </c>
      <c r="R124" s="54" t="s">
        <v>58</v>
      </c>
    </row>
    <row r="125" spans="2:18" ht="19.5" customHeight="1" x14ac:dyDescent="0.2">
      <c r="B125" s="56"/>
      <c r="C125" s="57"/>
      <c r="D125" s="58" t="s">
        <v>33</v>
      </c>
      <c r="E125" s="90" t="s">
        <v>47</v>
      </c>
      <c r="F125" s="97" t="s">
        <v>43</v>
      </c>
      <c r="G125" s="86">
        <v>12</v>
      </c>
      <c r="H125" s="49">
        <v>20</v>
      </c>
      <c r="I125" s="49">
        <v>25</v>
      </c>
      <c r="J125" s="82">
        <v>57</v>
      </c>
      <c r="K125" s="49">
        <v>68</v>
      </c>
      <c r="L125" s="49">
        <v>82</v>
      </c>
      <c r="M125" s="49">
        <v>91</v>
      </c>
      <c r="N125" s="49">
        <v>95</v>
      </c>
      <c r="O125" s="49" t="s">
        <v>58</v>
      </c>
      <c r="P125" s="87" t="s">
        <v>58</v>
      </c>
      <c r="Q125" s="88" t="s">
        <v>58</v>
      </c>
      <c r="R125" s="88" t="s">
        <v>58</v>
      </c>
    </row>
    <row r="126" spans="2:18" ht="19.5" customHeight="1" thickBot="1" x14ac:dyDescent="0.25">
      <c r="B126" s="13"/>
      <c r="C126" s="15"/>
      <c r="D126" s="16" t="s">
        <v>10</v>
      </c>
      <c r="E126" s="91" t="s">
        <v>47</v>
      </c>
      <c r="F126" s="98" t="s">
        <v>43</v>
      </c>
      <c r="G126" s="31">
        <v>12</v>
      </c>
      <c r="H126" s="10">
        <v>21</v>
      </c>
      <c r="I126" s="10">
        <v>25</v>
      </c>
      <c r="J126" s="23">
        <v>53</v>
      </c>
      <c r="K126" s="10">
        <v>62</v>
      </c>
      <c r="L126" s="10">
        <v>86</v>
      </c>
      <c r="M126" s="109" t="s">
        <v>58</v>
      </c>
      <c r="N126" s="109" t="s">
        <v>58</v>
      </c>
      <c r="O126" s="109" t="s">
        <v>58</v>
      </c>
      <c r="P126" s="48" t="s">
        <v>58</v>
      </c>
      <c r="Q126" s="55" t="s">
        <v>58</v>
      </c>
      <c r="R126" s="55" t="s">
        <v>58</v>
      </c>
    </row>
    <row r="127" spans="2:18" ht="19.5" customHeight="1" x14ac:dyDescent="0.2">
      <c r="B127" s="11">
        <v>10</v>
      </c>
      <c r="C127" s="14">
        <v>2</v>
      </c>
      <c r="D127" s="12" t="s">
        <v>11</v>
      </c>
      <c r="E127" s="89" t="s">
        <v>42</v>
      </c>
      <c r="F127" s="96" t="s">
        <v>43</v>
      </c>
      <c r="G127" s="30">
        <v>15</v>
      </c>
      <c r="H127" s="9">
        <v>21</v>
      </c>
      <c r="I127" s="9">
        <v>24</v>
      </c>
      <c r="J127" s="22">
        <v>44</v>
      </c>
      <c r="K127" s="9">
        <v>53</v>
      </c>
      <c r="L127" s="9">
        <v>62</v>
      </c>
      <c r="M127" s="9">
        <v>69</v>
      </c>
      <c r="N127" s="9">
        <v>79</v>
      </c>
      <c r="O127" s="9">
        <v>83</v>
      </c>
      <c r="P127" s="22">
        <v>86</v>
      </c>
      <c r="Q127" s="30">
        <v>86</v>
      </c>
      <c r="R127" s="30">
        <v>85</v>
      </c>
    </row>
    <row r="128" spans="2:18" ht="19.5" customHeight="1" x14ac:dyDescent="0.2">
      <c r="B128" s="56"/>
      <c r="C128" s="57"/>
      <c r="D128" s="58" t="s">
        <v>33</v>
      </c>
      <c r="E128" s="90" t="s">
        <v>42</v>
      </c>
      <c r="F128" s="97" t="s">
        <v>43</v>
      </c>
      <c r="G128" s="86">
        <v>16</v>
      </c>
      <c r="H128" s="49">
        <v>22</v>
      </c>
      <c r="I128" s="49">
        <v>30</v>
      </c>
      <c r="J128" s="82">
        <v>56</v>
      </c>
      <c r="K128" s="49">
        <v>71</v>
      </c>
      <c r="L128" s="49">
        <v>85</v>
      </c>
      <c r="M128" s="49">
        <v>96</v>
      </c>
      <c r="N128" s="49" t="s">
        <v>58</v>
      </c>
      <c r="O128" s="111" t="s">
        <v>58</v>
      </c>
      <c r="P128" s="87" t="s">
        <v>58</v>
      </c>
      <c r="Q128" s="88" t="s">
        <v>58</v>
      </c>
      <c r="R128" s="88" t="s">
        <v>58</v>
      </c>
    </row>
    <row r="129" spans="2:18" ht="19.5" customHeight="1" thickBot="1" x14ac:dyDescent="0.25">
      <c r="B129" s="13"/>
      <c r="C129" s="15"/>
      <c r="D129" s="16" t="s">
        <v>10</v>
      </c>
      <c r="E129" s="91" t="s">
        <v>42</v>
      </c>
      <c r="F129" s="98" t="s">
        <v>43</v>
      </c>
      <c r="G129" s="31">
        <v>17</v>
      </c>
      <c r="H129" s="10">
        <v>27</v>
      </c>
      <c r="I129" s="10">
        <v>29</v>
      </c>
      <c r="J129" s="23">
        <v>52</v>
      </c>
      <c r="K129" s="10">
        <v>66</v>
      </c>
      <c r="L129" s="10">
        <v>80</v>
      </c>
      <c r="M129" s="10">
        <v>90</v>
      </c>
      <c r="N129" s="10">
        <v>99</v>
      </c>
      <c r="O129" s="10" t="s">
        <v>58</v>
      </c>
      <c r="P129" s="48" t="s">
        <v>58</v>
      </c>
      <c r="Q129" s="55" t="s">
        <v>58</v>
      </c>
      <c r="R129" s="55" t="s">
        <v>58</v>
      </c>
    </row>
    <row r="130" spans="2:18" ht="19.5" customHeight="1" x14ac:dyDescent="0.2">
      <c r="B130" s="11">
        <v>10</v>
      </c>
      <c r="C130" s="14">
        <v>1</v>
      </c>
      <c r="D130" s="12" t="s">
        <v>11</v>
      </c>
      <c r="E130" s="89" t="s">
        <v>45</v>
      </c>
      <c r="F130" s="96" t="s">
        <v>43</v>
      </c>
      <c r="G130" s="30">
        <v>12</v>
      </c>
      <c r="H130" s="9">
        <v>19</v>
      </c>
      <c r="I130" s="9">
        <v>18</v>
      </c>
      <c r="J130" s="22">
        <v>43</v>
      </c>
      <c r="K130" s="9">
        <v>50</v>
      </c>
      <c r="L130" s="9">
        <v>56</v>
      </c>
      <c r="M130" s="9">
        <v>61</v>
      </c>
      <c r="N130" s="9">
        <v>70</v>
      </c>
      <c r="O130" s="9">
        <v>74</v>
      </c>
      <c r="P130" s="22">
        <v>79</v>
      </c>
      <c r="Q130" s="30">
        <v>81</v>
      </c>
      <c r="R130" s="30">
        <v>81</v>
      </c>
    </row>
    <row r="131" spans="2:18" ht="19.5" customHeight="1" x14ac:dyDescent="0.2">
      <c r="B131" s="56"/>
      <c r="C131" s="57"/>
      <c r="D131" s="58" t="s">
        <v>33</v>
      </c>
      <c r="E131" s="90" t="s">
        <v>45</v>
      </c>
      <c r="F131" s="97" t="s">
        <v>43</v>
      </c>
      <c r="G131" s="86">
        <v>17</v>
      </c>
      <c r="H131" s="49">
        <v>25</v>
      </c>
      <c r="I131" s="49">
        <v>30</v>
      </c>
      <c r="J131" s="82">
        <v>61</v>
      </c>
      <c r="K131" s="49">
        <v>74</v>
      </c>
      <c r="L131" s="49">
        <v>88</v>
      </c>
      <c r="M131" s="49">
        <v>97</v>
      </c>
      <c r="N131" s="49" t="s">
        <v>58</v>
      </c>
      <c r="O131" s="111" t="s">
        <v>58</v>
      </c>
      <c r="P131" s="87" t="s">
        <v>58</v>
      </c>
      <c r="Q131" s="88" t="s">
        <v>58</v>
      </c>
      <c r="R131" s="88" t="s">
        <v>58</v>
      </c>
    </row>
    <row r="132" spans="2:18" ht="19.5" customHeight="1" thickBot="1" x14ac:dyDescent="0.25">
      <c r="B132" s="13"/>
      <c r="C132" s="15"/>
      <c r="D132" s="16" t="s">
        <v>10</v>
      </c>
      <c r="E132" s="91" t="s">
        <v>45</v>
      </c>
      <c r="F132" s="98" t="s">
        <v>43</v>
      </c>
      <c r="G132" s="31">
        <v>17</v>
      </c>
      <c r="H132" s="10">
        <v>25</v>
      </c>
      <c r="I132" s="10">
        <v>30</v>
      </c>
      <c r="J132" s="23">
        <v>57</v>
      </c>
      <c r="K132" s="10">
        <v>65</v>
      </c>
      <c r="L132" s="10">
        <v>73</v>
      </c>
      <c r="M132" s="10">
        <v>79</v>
      </c>
      <c r="N132" s="10">
        <v>88</v>
      </c>
      <c r="O132" s="10">
        <v>90</v>
      </c>
      <c r="P132" s="23">
        <v>94</v>
      </c>
      <c r="Q132" s="31">
        <v>97</v>
      </c>
      <c r="R132" s="55" t="s">
        <v>58</v>
      </c>
    </row>
    <row r="133" spans="2:18" ht="19.5" customHeight="1" x14ac:dyDescent="0.2">
      <c r="B133" s="11">
        <v>11</v>
      </c>
      <c r="C133" s="14">
        <v>1</v>
      </c>
      <c r="D133" s="12" t="s">
        <v>10</v>
      </c>
      <c r="E133" s="89" t="s">
        <v>44</v>
      </c>
      <c r="F133" s="96" t="s">
        <v>43</v>
      </c>
      <c r="G133" s="30">
        <v>17</v>
      </c>
      <c r="H133" s="9">
        <v>25</v>
      </c>
      <c r="I133" s="9">
        <v>31</v>
      </c>
      <c r="J133" s="22">
        <v>58</v>
      </c>
      <c r="K133" s="9">
        <v>68</v>
      </c>
      <c r="L133" s="9">
        <v>75</v>
      </c>
      <c r="M133" s="9">
        <v>82</v>
      </c>
      <c r="N133" s="9">
        <v>88</v>
      </c>
      <c r="O133" s="9">
        <v>93</v>
      </c>
      <c r="P133" s="22">
        <v>94</v>
      </c>
      <c r="Q133" s="30">
        <v>95</v>
      </c>
      <c r="R133" s="30">
        <v>96</v>
      </c>
    </row>
    <row r="134" spans="2:18" ht="19.5" customHeight="1" x14ac:dyDescent="0.2">
      <c r="B134" s="56"/>
      <c r="C134" s="57"/>
      <c r="D134" s="58" t="s">
        <v>33</v>
      </c>
      <c r="E134" s="90" t="s">
        <v>44</v>
      </c>
      <c r="F134" s="97" t="s">
        <v>43</v>
      </c>
      <c r="G134" s="86">
        <v>16</v>
      </c>
      <c r="H134" s="49">
        <v>24</v>
      </c>
      <c r="I134" s="49">
        <v>33</v>
      </c>
      <c r="J134" s="82">
        <v>58</v>
      </c>
      <c r="K134" s="49">
        <v>67</v>
      </c>
      <c r="L134" s="49">
        <v>75</v>
      </c>
      <c r="M134" s="49">
        <v>82</v>
      </c>
      <c r="N134" s="49">
        <v>88</v>
      </c>
      <c r="O134" s="49">
        <v>93</v>
      </c>
      <c r="P134" s="82">
        <v>96</v>
      </c>
      <c r="Q134" s="86">
        <v>98</v>
      </c>
      <c r="R134" s="88" t="s">
        <v>58</v>
      </c>
    </row>
    <row r="135" spans="2:18" ht="19.5" customHeight="1" thickBot="1" x14ac:dyDescent="0.25">
      <c r="B135" s="13"/>
      <c r="C135" s="15"/>
      <c r="D135" s="16" t="s">
        <v>11</v>
      </c>
      <c r="E135" s="91" t="s">
        <v>44</v>
      </c>
      <c r="F135" s="98" t="s">
        <v>43</v>
      </c>
      <c r="G135" s="31">
        <v>15</v>
      </c>
      <c r="H135" s="10">
        <v>24</v>
      </c>
      <c r="I135" s="10">
        <v>29</v>
      </c>
      <c r="J135" s="23">
        <v>57</v>
      </c>
      <c r="K135" s="10">
        <v>64</v>
      </c>
      <c r="L135" s="10">
        <v>71</v>
      </c>
      <c r="M135" s="10">
        <v>75</v>
      </c>
      <c r="N135" s="10">
        <v>83</v>
      </c>
      <c r="O135" s="10">
        <v>89</v>
      </c>
      <c r="P135" s="23">
        <v>91</v>
      </c>
      <c r="Q135" s="31">
        <v>93</v>
      </c>
      <c r="R135" s="31">
        <v>93</v>
      </c>
    </row>
    <row r="136" spans="2:18" ht="19.5" customHeight="1" x14ac:dyDescent="0.2">
      <c r="B136" s="11">
        <v>11</v>
      </c>
      <c r="C136" s="14">
        <v>2</v>
      </c>
      <c r="D136" s="12" t="s">
        <v>10</v>
      </c>
      <c r="E136" s="89" t="s">
        <v>48</v>
      </c>
      <c r="F136" s="96" t="s">
        <v>43</v>
      </c>
      <c r="G136" s="30">
        <v>13</v>
      </c>
      <c r="H136" s="9">
        <v>21</v>
      </c>
      <c r="I136" s="9">
        <v>30</v>
      </c>
      <c r="J136" s="22">
        <v>57</v>
      </c>
      <c r="K136" s="9">
        <v>69</v>
      </c>
      <c r="L136" s="9">
        <v>82</v>
      </c>
      <c r="M136" s="9">
        <v>90</v>
      </c>
      <c r="N136" s="9">
        <v>99</v>
      </c>
      <c r="O136" s="9" t="s">
        <v>58</v>
      </c>
      <c r="P136" s="38" t="s">
        <v>58</v>
      </c>
      <c r="Q136" s="54" t="s">
        <v>58</v>
      </c>
      <c r="R136" s="54" t="s">
        <v>58</v>
      </c>
    </row>
    <row r="137" spans="2:18" ht="19.5" customHeight="1" x14ac:dyDescent="0.2">
      <c r="B137" s="56"/>
      <c r="C137" s="57"/>
      <c r="D137" s="58" t="s">
        <v>33</v>
      </c>
      <c r="E137" s="90" t="s">
        <v>48</v>
      </c>
      <c r="F137" s="97" t="s">
        <v>43</v>
      </c>
      <c r="G137" s="86">
        <v>13</v>
      </c>
      <c r="H137" s="49">
        <v>22</v>
      </c>
      <c r="I137" s="49">
        <v>27</v>
      </c>
      <c r="J137" s="82">
        <v>59</v>
      </c>
      <c r="K137" s="49">
        <v>74</v>
      </c>
      <c r="L137" s="49">
        <v>88</v>
      </c>
      <c r="M137" s="111" t="s">
        <v>58</v>
      </c>
      <c r="N137" s="111" t="s">
        <v>58</v>
      </c>
      <c r="O137" s="111" t="s">
        <v>58</v>
      </c>
      <c r="P137" s="87" t="s">
        <v>58</v>
      </c>
      <c r="Q137" s="88" t="s">
        <v>58</v>
      </c>
      <c r="R137" s="88" t="s">
        <v>58</v>
      </c>
    </row>
    <row r="138" spans="2:18" ht="19.5" customHeight="1" thickBot="1" x14ac:dyDescent="0.25">
      <c r="B138" s="56"/>
      <c r="C138" s="57"/>
      <c r="D138" s="16" t="s">
        <v>11</v>
      </c>
      <c r="E138" s="91" t="s">
        <v>48</v>
      </c>
      <c r="F138" s="98" t="s">
        <v>43</v>
      </c>
      <c r="G138" s="31">
        <v>16</v>
      </c>
      <c r="H138" s="10">
        <v>24</v>
      </c>
      <c r="I138" s="10">
        <v>32</v>
      </c>
      <c r="J138" s="23">
        <v>65</v>
      </c>
      <c r="K138" s="10">
        <v>80</v>
      </c>
      <c r="L138" s="10">
        <v>93</v>
      </c>
      <c r="M138" s="109" t="s">
        <v>58</v>
      </c>
      <c r="N138" s="109" t="s">
        <v>58</v>
      </c>
      <c r="O138" s="109" t="s">
        <v>58</v>
      </c>
      <c r="P138" s="48" t="s">
        <v>58</v>
      </c>
      <c r="Q138" s="55" t="s">
        <v>58</v>
      </c>
      <c r="R138" s="55" t="s">
        <v>58</v>
      </c>
    </row>
    <row r="139" spans="2:18" ht="19.5" customHeight="1" x14ac:dyDescent="0.2">
      <c r="B139" s="11">
        <v>11</v>
      </c>
      <c r="C139" s="14">
        <v>3</v>
      </c>
      <c r="D139" s="12" t="s">
        <v>10</v>
      </c>
      <c r="E139" s="89" t="s">
        <v>46</v>
      </c>
      <c r="F139" s="96" t="s">
        <v>43</v>
      </c>
      <c r="G139" s="30">
        <v>15</v>
      </c>
      <c r="H139" s="9">
        <v>23</v>
      </c>
      <c r="I139" s="9">
        <v>27</v>
      </c>
      <c r="J139" s="22">
        <v>62</v>
      </c>
      <c r="K139" s="9">
        <v>72</v>
      </c>
      <c r="L139" s="9">
        <v>83</v>
      </c>
      <c r="M139" s="9">
        <v>90</v>
      </c>
      <c r="N139" s="9">
        <v>100</v>
      </c>
      <c r="O139" s="9" t="s">
        <v>58</v>
      </c>
      <c r="P139" s="38" t="s">
        <v>58</v>
      </c>
      <c r="Q139" s="54" t="s">
        <v>58</v>
      </c>
      <c r="R139" s="54" t="s">
        <v>58</v>
      </c>
    </row>
    <row r="140" spans="2:18" ht="19.5" customHeight="1" x14ac:dyDescent="0.2">
      <c r="B140" s="56"/>
      <c r="C140" s="57"/>
      <c r="D140" s="58" t="s">
        <v>33</v>
      </c>
      <c r="E140" s="90" t="s">
        <v>46</v>
      </c>
      <c r="F140" s="97" t="s">
        <v>43</v>
      </c>
      <c r="G140" s="86">
        <v>14</v>
      </c>
      <c r="H140" s="49">
        <v>21</v>
      </c>
      <c r="I140" s="49">
        <v>27</v>
      </c>
      <c r="J140" s="82">
        <v>58</v>
      </c>
      <c r="K140" s="49">
        <v>68</v>
      </c>
      <c r="L140" s="49">
        <v>78</v>
      </c>
      <c r="M140" s="49">
        <v>87</v>
      </c>
      <c r="N140" s="49">
        <v>90</v>
      </c>
      <c r="O140" s="49">
        <v>96</v>
      </c>
      <c r="P140" s="87" t="s">
        <v>58</v>
      </c>
      <c r="Q140" s="88" t="s">
        <v>58</v>
      </c>
      <c r="R140" s="88" t="s">
        <v>58</v>
      </c>
    </row>
    <row r="141" spans="2:18" ht="19.5" customHeight="1" thickBot="1" x14ac:dyDescent="0.25">
      <c r="B141" s="13"/>
      <c r="C141" s="15"/>
      <c r="D141" s="16" t="s">
        <v>11</v>
      </c>
      <c r="E141" s="91" t="s">
        <v>46</v>
      </c>
      <c r="F141" s="98" t="s">
        <v>43</v>
      </c>
      <c r="G141" s="31">
        <v>14</v>
      </c>
      <c r="H141" s="10">
        <v>20</v>
      </c>
      <c r="I141" s="10">
        <v>23</v>
      </c>
      <c r="J141" s="23">
        <v>48</v>
      </c>
      <c r="K141" s="10">
        <v>55</v>
      </c>
      <c r="L141" s="10">
        <v>65</v>
      </c>
      <c r="M141" s="10">
        <v>71</v>
      </c>
      <c r="N141" s="10">
        <v>77</v>
      </c>
      <c r="O141" s="10">
        <v>83</v>
      </c>
      <c r="P141" s="48">
        <v>86</v>
      </c>
      <c r="Q141" s="55">
        <v>88</v>
      </c>
      <c r="R141" s="55">
        <v>89</v>
      </c>
    </row>
    <row r="142" spans="2:18" ht="19.5" customHeight="1" x14ac:dyDescent="0.2">
      <c r="B142" s="11">
        <v>11</v>
      </c>
      <c r="C142" s="14">
        <v>4</v>
      </c>
      <c r="D142" s="12" t="s">
        <v>10</v>
      </c>
      <c r="E142" s="89" t="s">
        <v>45</v>
      </c>
      <c r="F142" s="96" t="s">
        <v>43</v>
      </c>
      <c r="G142" s="30">
        <v>13</v>
      </c>
      <c r="H142" s="9">
        <v>22</v>
      </c>
      <c r="I142" s="9">
        <v>23</v>
      </c>
      <c r="J142" s="22">
        <v>52</v>
      </c>
      <c r="K142" s="9">
        <v>57</v>
      </c>
      <c r="L142" s="9">
        <v>63</v>
      </c>
      <c r="M142" s="9">
        <v>67</v>
      </c>
      <c r="N142" s="9">
        <v>78</v>
      </c>
      <c r="O142" s="9">
        <v>83</v>
      </c>
      <c r="P142" s="22">
        <v>86</v>
      </c>
      <c r="Q142" s="30">
        <v>90</v>
      </c>
      <c r="R142" s="30">
        <v>92</v>
      </c>
    </row>
    <row r="143" spans="2:18" ht="19.5" customHeight="1" x14ac:dyDescent="0.2">
      <c r="B143" s="56"/>
      <c r="C143" s="57"/>
      <c r="D143" s="58" t="s">
        <v>33</v>
      </c>
      <c r="E143" s="90" t="s">
        <v>45</v>
      </c>
      <c r="F143" s="97" t="s">
        <v>43</v>
      </c>
      <c r="G143" s="86">
        <v>12</v>
      </c>
      <c r="H143" s="49">
        <v>20</v>
      </c>
      <c r="I143" s="49">
        <v>23</v>
      </c>
      <c r="J143" s="82">
        <v>48</v>
      </c>
      <c r="K143" s="49">
        <v>62</v>
      </c>
      <c r="L143" s="49">
        <v>75</v>
      </c>
      <c r="M143" s="49">
        <v>83</v>
      </c>
      <c r="N143" s="49">
        <v>89</v>
      </c>
      <c r="O143" s="49">
        <v>93</v>
      </c>
      <c r="P143" s="82">
        <v>95</v>
      </c>
      <c r="Q143" s="86">
        <v>99</v>
      </c>
      <c r="R143" s="88" t="s">
        <v>58</v>
      </c>
    </row>
    <row r="144" spans="2:18" ht="19.5" customHeight="1" thickBot="1" x14ac:dyDescent="0.25">
      <c r="B144" s="13"/>
      <c r="C144" s="15"/>
      <c r="D144" s="16" t="s">
        <v>11</v>
      </c>
      <c r="E144" s="91" t="s">
        <v>45</v>
      </c>
      <c r="F144" s="98" t="s">
        <v>43</v>
      </c>
      <c r="G144" s="31">
        <v>10</v>
      </c>
      <c r="H144" s="10">
        <v>19</v>
      </c>
      <c r="I144" s="10">
        <v>21</v>
      </c>
      <c r="J144" s="23">
        <v>41</v>
      </c>
      <c r="K144" s="10">
        <v>43</v>
      </c>
      <c r="L144" s="10">
        <v>44</v>
      </c>
      <c r="M144" s="10">
        <v>45</v>
      </c>
      <c r="N144" s="10">
        <v>50</v>
      </c>
      <c r="O144" s="10">
        <v>54</v>
      </c>
      <c r="P144" s="23">
        <v>57</v>
      </c>
      <c r="Q144" s="31">
        <v>60</v>
      </c>
      <c r="R144" s="31">
        <v>62</v>
      </c>
    </row>
    <row r="145" spans="2:18 2185:2185" ht="19.5" customHeight="1" x14ac:dyDescent="0.2">
      <c r="B145" s="11">
        <v>12</v>
      </c>
      <c r="C145" s="14">
        <v>4</v>
      </c>
      <c r="D145" s="12" t="s">
        <v>11</v>
      </c>
      <c r="E145" s="89" t="s">
        <v>45</v>
      </c>
      <c r="F145" s="93" t="s">
        <v>41</v>
      </c>
      <c r="G145" s="30">
        <v>7</v>
      </c>
      <c r="H145" s="9">
        <v>13</v>
      </c>
      <c r="I145" s="9">
        <v>16</v>
      </c>
      <c r="J145" s="22">
        <v>34</v>
      </c>
      <c r="K145" s="9">
        <v>43</v>
      </c>
      <c r="L145" s="9">
        <v>53</v>
      </c>
      <c r="M145" s="9">
        <v>61</v>
      </c>
      <c r="N145" s="9">
        <v>66</v>
      </c>
      <c r="O145" s="9">
        <v>76</v>
      </c>
      <c r="P145" s="22">
        <v>81</v>
      </c>
      <c r="Q145" s="30">
        <v>82</v>
      </c>
      <c r="R145" s="30">
        <v>83</v>
      </c>
    </row>
    <row r="146" spans="2:18 2185:2185" ht="19.5" customHeight="1" x14ac:dyDescent="0.2">
      <c r="B146" s="56"/>
      <c r="C146" s="57"/>
      <c r="D146" s="58" t="s">
        <v>33</v>
      </c>
      <c r="E146" s="90" t="s">
        <v>45</v>
      </c>
      <c r="F146" s="94" t="s">
        <v>41</v>
      </c>
      <c r="G146" s="86">
        <v>5</v>
      </c>
      <c r="H146" s="49">
        <v>11</v>
      </c>
      <c r="I146" s="49">
        <v>13</v>
      </c>
      <c r="J146" s="82">
        <v>34</v>
      </c>
      <c r="K146" s="49">
        <v>40</v>
      </c>
      <c r="L146" s="49">
        <v>48</v>
      </c>
      <c r="M146" s="49">
        <v>52</v>
      </c>
      <c r="N146" s="49">
        <v>60</v>
      </c>
      <c r="O146" s="49">
        <v>69</v>
      </c>
      <c r="P146" s="82">
        <v>71</v>
      </c>
      <c r="Q146" s="86">
        <v>74</v>
      </c>
      <c r="R146" s="86">
        <v>74</v>
      </c>
    </row>
    <row r="147" spans="2:18 2185:2185" ht="19.5" customHeight="1" thickBot="1" x14ac:dyDescent="0.25">
      <c r="B147" s="13"/>
      <c r="C147" s="15"/>
      <c r="D147" s="16" t="s">
        <v>10</v>
      </c>
      <c r="E147" s="91" t="s">
        <v>45</v>
      </c>
      <c r="F147" s="95" t="s">
        <v>41</v>
      </c>
      <c r="G147" s="31">
        <v>4</v>
      </c>
      <c r="H147" s="10">
        <v>11</v>
      </c>
      <c r="I147" s="10">
        <v>15</v>
      </c>
      <c r="J147" s="23">
        <v>35</v>
      </c>
      <c r="K147" s="10">
        <v>46</v>
      </c>
      <c r="L147" s="10">
        <v>59</v>
      </c>
      <c r="M147" s="10">
        <v>67</v>
      </c>
      <c r="N147" s="10">
        <v>71</v>
      </c>
      <c r="O147" s="10">
        <v>79</v>
      </c>
      <c r="P147" s="23">
        <v>83</v>
      </c>
      <c r="Q147" s="31">
        <v>85</v>
      </c>
      <c r="R147" s="31">
        <v>87</v>
      </c>
    </row>
    <row r="148" spans="2:18 2185:2185" ht="19.5" customHeight="1" x14ac:dyDescent="0.2">
      <c r="B148" s="11">
        <v>12</v>
      </c>
      <c r="C148" s="14">
        <v>3</v>
      </c>
      <c r="D148" s="12" t="s">
        <v>11</v>
      </c>
      <c r="E148" s="89" t="s">
        <v>46</v>
      </c>
      <c r="F148" s="93" t="s">
        <v>41</v>
      </c>
      <c r="G148" s="30">
        <v>4</v>
      </c>
      <c r="H148" s="9">
        <v>9</v>
      </c>
      <c r="I148" s="9">
        <v>13</v>
      </c>
      <c r="J148" s="22">
        <v>30</v>
      </c>
      <c r="K148" s="9">
        <v>42</v>
      </c>
      <c r="L148" s="9">
        <v>55</v>
      </c>
      <c r="M148" s="9">
        <v>64</v>
      </c>
      <c r="N148" s="9">
        <v>68</v>
      </c>
      <c r="O148" s="9">
        <v>75</v>
      </c>
      <c r="P148" s="22">
        <v>77</v>
      </c>
      <c r="Q148" s="30">
        <v>79</v>
      </c>
      <c r="R148" s="30">
        <v>80</v>
      </c>
    </row>
    <row r="149" spans="2:18 2185:2185" ht="19.5" customHeight="1" x14ac:dyDescent="0.2">
      <c r="B149" s="56"/>
      <c r="C149" s="57"/>
      <c r="D149" s="58" t="s">
        <v>33</v>
      </c>
      <c r="E149" s="90" t="s">
        <v>46</v>
      </c>
      <c r="F149" s="94" t="s">
        <v>41</v>
      </c>
      <c r="G149" s="86">
        <v>5</v>
      </c>
      <c r="H149" s="49">
        <v>11</v>
      </c>
      <c r="I149" s="49">
        <v>14</v>
      </c>
      <c r="J149" s="82">
        <v>26</v>
      </c>
      <c r="K149" s="49">
        <v>57</v>
      </c>
      <c r="L149" s="49">
        <v>68</v>
      </c>
      <c r="M149" s="49">
        <v>77</v>
      </c>
      <c r="N149" s="49">
        <v>79</v>
      </c>
      <c r="O149" s="49">
        <v>86</v>
      </c>
      <c r="P149" s="82">
        <v>89</v>
      </c>
      <c r="Q149" s="86">
        <v>93</v>
      </c>
      <c r="R149" s="86">
        <v>95</v>
      </c>
    </row>
    <row r="150" spans="2:18 2185:2185" ht="19.5" customHeight="1" thickBot="1" x14ac:dyDescent="0.25">
      <c r="B150" s="13"/>
      <c r="C150" s="15"/>
      <c r="D150" s="16" t="s">
        <v>10</v>
      </c>
      <c r="E150" s="91" t="s">
        <v>46</v>
      </c>
      <c r="F150" s="95" t="s">
        <v>41</v>
      </c>
      <c r="G150" s="31">
        <v>5</v>
      </c>
      <c r="H150" s="10">
        <v>10</v>
      </c>
      <c r="I150" s="10">
        <v>16</v>
      </c>
      <c r="J150" s="23">
        <v>36</v>
      </c>
      <c r="K150" s="10">
        <v>51</v>
      </c>
      <c r="L150" s="10">
        <v>67</v>
      </c>
      <c r="M150" s="10">
        <v>79</v>
      </c>
      <c r="N150" s="10">
        <v>83</v>
      </c>
      <c r="O150" s="10">
        <v>89</v>
      </c>
      <c r="P150" s="23">
        <v>91</v>
      </c>
      <c r="Q150" s="31">
        <v>94</v>
      </c>
      <c r="R150" s="31">
        <v>96</v>
      </c>
    </row>
    <row r="151" spans="2:18 2185:2185" ht="19.5" customHeight="1" x14ac:dyDescent="0.2">
      <c r="B151" s="11">
        <v>12</v>
      </c>
      <c r="C151" s="14">
        <v>2</v>
      </c>
      <c r="D151" s="12" t="s">
        <v>11</v>
      </c>
      <c r="E151" s="89" t="s">
        <v>48</v>
      </c>
      <c r="F151" s="93" t="s">
        <v>41</v>
      </c>
      <c r="G151" s="30">
        <v>7</v>
      </c>
      <c r="H151" s="9">
        <v>13</v>
      </c>
      <c r="I151" s="9">
        <v>21</v>
      </c>
      <c r="J151" s="22">
        <v>44</v>
      </c>
      <c r="K151" s="9">
        <v>53</v>
      </c>
      <c r="L151" s="9">
        <v>62</v>
      </c>
      <c r="M151" s="9">
        <v>68</v>
      </c>
      <c r="N151" s="9">
        <v>75</v>
      </c>
      <c r="O151" s="9">
        <v>80</v>
      </c>
      <c r="P151" s="22">
        <v>84</v>
      </c>
      <c r="Q151" s="30">
        <v>86</v>
      </c>
      <c r="R151" s="30">
        <v>87</v>
      </c>
    </row>
    <row r="152" spans="2:18 2185:2185" ht="19.5" customHeight="1" x14ac:dyDescent="0.2">
      <c r="B152" s="56"/>
      <c r="C152" s="57"/>
      <c r="D152" s="58" t="s">
        <v>33</v>
      </c>
      <c r="E152" s="90" t="s">
        <v>48</v>
      </c>
      <c r="F152" s="94" t="s">
        <v>41</v>
      </c>
      <c r="G152" s="86">
        <v>6</v>
      </c>
      <c r="H152" s="49">
        <v>13</v>
      </c>
      <c r="I152" s="49">
        <v>21</v>
      </c>
      <c r="J152" s="82">
        <v>43</v>
      </c>
      <c r="K152" s="49">
        <v>60</v>
      </c>
      <c r="L152" s="49">
        <v>78</v>
      </c>
      <c r="M152" s="49">
        <v>92</v>
      </c>
      <c r="N152" s="49">
        <v>98</v>
      </c>
      <c r="O152" s="49" t="s">
        <v>58</v>
      </c>
      <c r="P152" s="87" t="s">
        <v>58</v>
      </c>
      <c r="Q152" s="88" t="s">
        <v>58</v>
      </c>
      <c r="R152" s="88" t="s">
        <v>58</v>
      </c>
    </row>
    <row r="153" spans="2:18 2185:2185" ht="19.5" customHeight="1" thickBot="1" x14ac:dyDescent="0.25">
      <c r="B153" s="13"/>
      <c r="C153" s="15"/>
      <c r="D153" s="16" t="s">
        <v>10</v>
      </c>
      <c r="E153" s="91" t="s">
        <v>48</v>
      </c>
      <c r="F153" s="95" t="s">
        <v>41</v>
      </c>
      <c r="G153" s="31">
        <v>5</v>
      </c>
      <c r="H153" s="10">
        <v>12</v>
      </c>
      <c r="I153" s="10">
        <v>20</v>
      </c>
      <c r="J153" s="23">
        <v>42</v>
      </c>
      <c r="K153" s="10">
        <v>57</v>
      </c>
      <c r="L153" s="10">
        <v>72</v>
      </c>
      <c r="M153" s="10">
        <v>81</v>
      </c>
      <c r="N153" s="10">
        <v>88</v>
      </c>
      <c r="O153" s="10">
        <v>92</v>
      </c>
      <c r="P153" s="23">
        <v>95</v>
      </c>
      <c r="Q153" s="31">
        <v>97</v>
      </c>
      <c r="R153" s="55" t="s">
        <v>58</v>
      </c>
    </row>
    <row r="154" spans="2:18 2185:2185" ht="19.5" customHeight="1" x14ac:dyDescent="0.2">
      <c r="B154" s="11">
        <v>12</v>
      </c>
      <c r="C154" s="14">
        <v>1</v>
      </c>
      <c r="D154" s="66" t="s">
        <v>11</v>
      </c>
      <c r="E154" s="89" t="s">
        <v>44</v>
      </c>
      <c r="F154" s="93" t="s">
        <v>41</v>
      </c>
      <c r="G154" s="30">
        <v>7</v>
      </c>
      <c r="H154" s="9">
        <v>15</v>
      </c>
      <c r="I154" s="9">
        <v>19</v>
      </c>
      <c r="J154" s="22">
        <v>43</v>
      </c>
      <c r="K154" s="9">
        <v>50</v>
      </c>
      <c r="L154" s="9">
        <v>60</v>
      </c>
      <c r="M154" s="9">
        <v>66</v>
      </c>
      <c r="N154" s="9">
        <v>68</v>
      </c>
      <c r="O154" s="9">
        <v>72</v>
      </c>
      <c r="P154" s="22">
        <v>76</v>
      </c>
      <c r="Q154" s="30">
        <v>81</v>
      </c>
      <c r="R154" s="30">
        <v>84</v>
      </c>
    </row>
    <row r="155" spans="2:18 2185:2185" ht="19.5" customHeight="1" x14ac:dyDescent="0.2">
      <c r="B155" s="56"/>
      <c r="C155" s="57"/>
      <c r="D155" s="70" t="s">
        <v>33</v>
      </c>
      <c r="E155" s="90" t="s">
        <v>44</v>
      </c>
      <c r="F155" s="94" t="s">
        <v>41</v>
      </c>
      <c r="G155" s="86">
        <v>9</v>
      </c>
      <c r="H155" s="49">
        <v>15</v>
      </c>
      <c r="I155" s="49">
        <v>18</v>
      </c>
      <c r="J155" s="82">
        <v>40</v>
      </c>
      <c r="K155" s="49">
        <v>49</v>
      </c>
      <c r="L155" s="49">
        <v>61</v>
      </c>
      <c r="M155" s="49">
        <v>68</v>
      </c>
      <c r="N155" s="49">
        <v>70</v>
      </c>
      <c r="O155" s="49">
        <v>73</v>
      </c>
      <c r="P155" s="82">
        <v>79</v>
      </c>
      <c r="Q155" s="86">
        <v>83</v>
      </c>
      <c r="R155" s="86">
        <v>86</v>
      </c>
    </row>
    <row r="156" spans="2:18 2185:2185" ht="19.5" customHeight="1" thickBot="1" x14ac:dyDescent="0.25">
      <c r="B156" s="13"/>
      <c r="C156" s="15"/>
      <c r="D156" s="74" t="s">
        <v>10</v>
      </c>
      <c r="E156" s="91" t="s">
        <v>44</v>
      </c>
      <c r="F156" s="95" t="s">
        <v>41</v>
      </c>
      <c r="G156" s="31">
        <v>6</v>
      </c>
      <c r="H156" s="10">
        <v>14</v>
      </c>
      <c r="I156" s="10">
        <v>21</v>
      </c>
      <c r="J156" s="23">
        <v>44</v>
      </c>
      <c r="K156" s="10">
        <v>59</v>
      </c>
      <c r="L156" s="10">
        <v>76</v>
      </c>
      <c r="M156" s="10">
        <v>87</v>
      </c>
      <c r="N156" s="10">
        <v>91</v>
      </c>
      <c r="O156" s="10">
        <v>94</v>
      </c>
      <c r="P156" s="23">
        <v>99</v>
      </c>
      <c r="Q156" s="55" t="s">
        <v>58</v>
      </c>
      <c r="R156" s="55" t="s">
        <v>58</v>
      </c>
    </row>
    <row r="157" spans="2:18 2185:2185" x14ac:dyDescent="0.2">
      <c r="CFA157">
        <v>543</v>
      </c>
    </row>
  </sheetData>
  <mergeCells count="1">
    <mergeCell ref="B12:C12"/>
  </mergeCells>
  <conditionalFormatting sqref="E13:E156">
    <cfRule type="containsText" dxfId="73" priority="1" operator="containsText" text="AQC-N">
      <formula>NOT(ISERROR(SEARCH("AQC-N",E13)))</formula>
    </cfRule>
    <cfRule type="containsText" dxfId="72" priority="2" operator="containsText" text="AQC">
      <formula>NOT(ISERROR(SEARCH("AQC",E13)))</formula>
    </cfRule>
    <cfRule type="containsText" dxfId="71" priority="3" operator="containsText" text="FAO-N">
      <formula>NOT(ISERROR(SEARCH("FAO-N",E13)))</formula>
    </cfRule>
    <cfRule type="containsText" dxfId="70" priority="4" operator="containsText" text="CSM-N">
      <formula>NOT(ISERROR(SEARCH("CSM-N",E13)))</formula>
    </cfRule>
    <cfRule type="containsText" dxfId="69" priority="5" operator="containsText" text="CSM">
      <formula>NOT(ISERROR(SEARCH("CSM",E13)))</formula>
    </cfRule>
    <cfRule type="containsText" dxfId="68" priority="6" operator="containsText" text="FAO">
      <formula>NOT(ISERROR(SEARCH("FAO",E13)))</formula>
    </cfRule>
  </conditionalFormatting>
  <printOptions verticalCentered="1"/>
  <pageMargins left="0.45" right="0.45" top="1" bottom="0.25" header="0" footer="0"/>
  <pageSetup scale="92" fitToHeight="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76"/>
  <sheetViews>
    <sheetView zoomScaleNormal="100" workbookViewId="0"/>
  </sheetViews>
  <sheetFormatPr defaultRowHeight="12.75" x14ac:dyDescent="0.2"/>
  <cols>
    <col min="1" max="1" width="17.85546875" customWidth="1"/>
    <col min="3" max="3" width="9" hidden="1" customWidth="1"/>
    <col min="4" max="5" width="8.85546875" hidden="1" customWidth="1"/>
    <col min="19" max="19" width="13.7109375" customWidth="1"/>
  </cols>
  <sheetData>
    <row r="1" spans="1:32" ht="21" x14ac:dyDescent="0.35">
      <c r="A1" s="6" t="s">
        <v>56</v>
      </c>
      <c r="E1" s="100">
        <v>2021</v>
      </c>
      <c r="G1" s="52"/>
    </row>
    <row r="2" spans="1:32" ht="15.75" x14ac:dyDescent="0.25">
      <c r="A2" s="6"/>
      <c r="D2" s="37"/>
      <c r="E2" s="37"/>
      <c r="F2" s="37"/>
      <c r="G2" s="52"/>
    </row>
    <row r="3" spans="1:32" ht="15.75" x14ac:dyDescent="0.25">
      <c r="A3" s="6"/>
      <c r="G3" s="52"/>
      <c r="S3" s="6"/>
      <c r="Y3" s="52"/>
    </row>
    <row r="4" spans="1:32" ht="23.25" x14ac:dyDescent="0.35">
      <c r="A4" s="101" t="s">
        <v>21</v>
      </c>
      <c r="G4" s="52"/>
      <c r="S4" s="100" t="s">
        <v>21</v>
      </c>
      <c r="Y4" s="52"/>
    </row>
    <row r="5" spans="1:32" s="44" customFormat="1" ht="20.45" customHeight="1" x14ac:dyDescent="0.2">
      <c r="B5" s="45"/>
      <c r="C5" s="46"/>
      <c r="D5" s="46">
        <v>44348</v>
      </c>
      <c r="E5" s="46">
        <v>44354</v>
      </c>
      <c r="F5" s="46">
        <f>'Height Summary'!G9</f>
        <v>44713</v>
      </c>
      <c r="G5" s="46">
        <f>'Height Summary'!H9</f>
        <v>44718</v>
      </c>
      <c r="H5" s="46">
        <f>'Height Summary'!I9</f>
        <v>44725</v>
      </c>
      <c r="I5" s="46">
        <f>'Height Summary'!J9</f>
        <v>44739</v>
      </c>
      <c r="J5" s="46">
        <f>'Height Summary'!K9</f>
        <v>44747</v>
      </c>
      <c r="K5" s="46">
        <f>'Height Summary'!L9</f>
        <v>44753</v>
      </c>
      <c r="L5" s="46">
        <f>'Height Summary'!M9</f>
        <v>44767</v>
      </c>
      <c r="M5" s="46">
        <f>'Height Summary'!N9</f>
        <v>44781</v>
      </c>
      <c r="N5" s="46">
        <f>'Height Summary'!O9</f>
        <v>44788</v>
      </c>
      <c r="O5" s="46" t="str">
        <f>'Height Summary'!P9</f>
        <v>22-23 Aug 2022</v>
      </c>
      <c r="P5" s="46">
        <f>'Height Summary'!Q9</f>
        <v>44802</v>
      </c>
      <c r="Q5" s="46">
        <f>'Height Summary'!R9</f>
        <v>44812</v>
      </c>
      <c r="T5" s="45"/>
      <c r="U5" s="46">
        <f>'Height Summary'!G9</f>
        <v>44713</v>
      </c>
      <c r="V5" s="46">
        <f>'Height Summary'!H9</f>
        <v>44718</v>
      </c>
      <c r="W5" s="46">
        <f>'Height Summary'!I9</f>
        <v>44725</v>
      </c>
      <c r="X5" s="46">
        <f>'Height Summary'!J9</f>
        <v>44739</v>
      </c>
      <c r="Y5" s="46">
        <f>'Height Summary'!K9</f>
        <v>44747</v>
      </c>
      <c r="Z5" s="46">
        <f>'Height Summary'!L9</f>
        <v>44753</v>
      </c>
      <c r="AA5" s="46">
        <f>'Height Summary'!M9</f>
        <v>44767</v>
      </c>
      <c r="AB5" s="46">
        <f>'Height Summary'!N9</f>
        <v>44781</v>
      </c>
      <c r="AC5" s="46">
        <f>'Height Summary'!O9</f>
        <v>44788</v>
      </c>
      <c r="AD5" s="46" t="str">
        <f>'Height Summary'!P9</f>
        <v>22-23 Aug 2022</v>
      </c>
      <c r="AE5" s="46">
        <f>'Height Summary'!Q9</f>
        <v>44802</v>
      </c>
      <c r="AF5" s="46">
        <f>'Height Summary'!R9</f>
        <v>44812</v>
      </c>
    </row>
    <row r="6" spans="1:32" ht="21" x14ac:dyDescent="0.2">
      <c r="A6" s="102" t="s">
        <v>43</v>
      </c>
      <c r="C6" s="33"/>
      <c r="D6" s="33">
        <v>152</v>
      </c>
      <c r="E6" s="33">
        <v>158</v>
      </c>
      <c r="F6" s="33">
        <f>'Height Summary'!G10</f>
        <v>152</v>
      </c>
      <c r="G6" s="33">
        <f>'Height Summary'!H10</f>
        <v>157</v>
      </c>
      <c r="H6" s="33">
        <f>'Height Summary'!I10</f>
        <v>164</v>
      </c>
      <c r="I6" s="33">
        <f>'Height Summary'!J10</f>
        <v>178</v>
      </c>
      <c r="J6" s="33">
        <f>'Height Summary'!K10</f>
        <v>186</v>
      </c>
      <c r="K6" s="33">
        <f>'Height Summary'!L10</f>
        <v>192</v>
      </c>
      <c r="L6" s="33">
        <f>'Height Summary'!M10</f>
        <v>206</v>
      </c>
      <c r="M6" s="33">
        <f>'Height Summary'!N10</f>
        <v>220</v>
      </c>
      <c r="N6" s="33">
        <f>'Height Summary'!O10</f>
        <v>227</v>
      </c>
      <c r="O6" s="33" t="str">
        <f>'Height Summary'!P10</f>
        <v>234-235</v>
      </c>
      <c r="P6" s="33">
        <f>'Height Summary'!Q10</f>
        <v>241</v>
      </c>
      <c r="Q6" s="33">
        <f>'Height Summary'!R10</f>
        <v>251</v>
      </c>
      <c r="S6" s="103" t="s">
        <v>41</v>
      </c>
      <c r="U6" s="33">
        <f>'Height Summary'!G10</f>
        <v>152</v>
      </c>
      <c r="V6" s="33">
        <f>'Height Summary'!H10</f>
        <v>157</v>
      </c>
      <c r="W6" s="33">
        <f>'Height Summary'!I10</f>
        <v>164</v>
      </c>
      <c r="X6" s="33">
        <f>'Height Summary'!J10</f>
        <v>178</v>
      </c>
      <c r="Y6" s="33">
        <f>'Height Summary'!K10</f>
        <v>186</v>
      </c>
      <c r="Z6" s="33">
        <f>'Height Summary'!L10</f>
        <v>192</v>
      </c>
      <c r="AA6" s="33">
        <f>'Height Summary'!M10</f>
        <v>206</v>
      </c>
      <c r="AB6" s="33">
        <f>'Height Summary'!N10</f>
        <v>220</v>
      </c>
      <c r="AC6" s="33">
        <f>'Height Summary'!O10</f>
        <v>227</v>
      </c>
      <c r="AD6" s="33" t="str">
        <f>'Height Summary'!P10</f>
        <v>234-235</v>
      </c>
      <c r="AE6" s="33">
        <f>'Height Summary'!Q10</f>
        <v>241</v>
      </c>
      <c r="AF6" s="33">
        <f>'Height Summary'!R10</f>
        <v>251</v>
      </c>
    </row>
    <row r="7" spans="1:32" ht="21" x14ac:dyDescent="0.35">
      <c r="A7" s="104"/>
      <c r="B7" s="105" t="s">
        <v>48</v>
      </c>
      <c r="C7" s="39"/>
      <c r="D7" s="39" t="e">
        <v>#VALUE!</v>
      </c>
      <c r="E7" s="39" t="e">
        <v>#VALUE!</v>
      </c>
      <c r="F7" s="39">
        <f>AVERAGEIFS('Height Summary'!G$13:G$156,'Height Summary'!$F$13:$F$156, "NG3195",'Height Summary'!$E$13:$E$156, "AQC")</f>
        <v>12.833333333333334</v>
      </c>
      <c r="G7" s="39">
        <f>AVERAGEIFS('Height Summary'!H$13:H$156,'Height Summary'!$F$13:$F$156, "NG3195",'Height Summary'!$E$13:$E$156, "AQC")</f>
        <v>19.416666666666668</v>
      </c>
      <c r="H7" s="39">
        <f>AVERAGEIFS('Height Summary'!I$13:I$156,'Height Summary'!$F$13:$F$156, "NG3195",'Height Summary'!$E$13:$E$156, "AQC")</f>
        <v>28.5</v>
      </c>
      <c r="I7" s="39">
        <f>AVERAGEIFS('Height Summary'!J$13:J$156,'Height Summary'!$F$13:$F$156, "NG3195",'Height Summary'!$E$13:$E$156, "AQC")</f>
        <v>60.416666666666664</v>
      </c>
      <c r="J7" s="39">
        <f>AVERAGEIFS('Height Summary'!K$13:K$156,'Height Summary'!$F$13:$F$156, "NG3195",'Height Summary'!$E$13:$E$156, "AQC")</f>
        <v>78.833333333333329</v>
      </c>
      <c r="K7" s="39">
        <f>AVERAGEIFS('Height Summary'!L$13:L$156,'Height Summary'!$F$13:$F$156, "NG3195",'Height Summary'!$E$13:$E$156, "AQC")</f>
        <v>85.666666666666671</v>
      </c>
      <c r="L7" s="39">
        <f>AVERAGEIFS('Height Summary'!M$13:M$156,'Height Summary'!$F$13:$F$156, "NG3195",'Height Summary'!$E$13:$E$156, "AQC")</f>
        <v>97.5</v>
      </c>
      <c r="M7" s="39">
        <f>AVERAGEIFS('Height Summary'!N$13:N$156,'Height Summary'!$F$13:$F$156, "NG3195",'Height Summary'!$E$13:$E$156, "AQC")</f>
        <v>103.08333333333333</v>
      </c>
      <c r="N7" s="39">
        <f>AVERAGEIFS('Height Summary'!O$13:O$156,'Height Summary'!$F$13:$F$156, "NG3195",'Height Summary'!$E$13:$E$156, "AQC")</f>
        <v>106.08333333333333</v>
      </c>
      <c r="O7" s="39">
        <f>AVERAGEIFS('Height Summary'!P$13:P$156,'Height Summary'!$F$13:$F$156, "NG3195",'Height Summary'!$E$13:$E$156, "AQC")</f>
        <v>108.91666666666667</v>
      </c>
      <c r="P7" s="39">
        <f>AVERAGEIFS('Height Summary'!Q$13:Q$156,'Height Summary'!$F$13:$F$156, "NG3195",'Height Summary'!$E$13:$E$156, "AQC")</f>
        <v>110.33333333333333</v>
      </c>
      <c r="Q7" s="39">
        <f>AVERAGEIFS('Height Summary'!R$13:R$156,'Height Summary'!$F$13:$F$156, "NG3195",'Height Summary'!$E$13:$E$156, "AQC")</f>
        <v>107.66666666666667</v>
      </c>
      <c r="S7" s="106"/>
      <c r="T7" s="105" t="s">
        <v>48</v>
      </c>
      <c r="U7" s="39">
        <f>AVERAGEIFS('Height Summary'!G$13:G$156,'Height Summary'!$F$13:$F$156, "NG4936",'Height Summary'!$E$13:$E$156, "AQC")</f>
        <v>7.5</v>
      </c>
      <c r="V7" s="39">
        <f>AVERAGEIFS('Height Summary'!H$13:H$156,'Height Summary'!$F$13:$F$156, "NG4936",'Height Summary'!$E$13:$E$156, "AQC")</f>
        <v>12.666666666666666</v>
      </c>
      <c r="W7" s="39">
        <f>AVERAGEIFS('Height Summary'!I$13:I$156,'Height Summary'!$F$13:$F$156, "NG4936",'Height Summary'!$E$13:$E$156, "AQC")</f>
        <v>18.833333333333332</v>
      </c>
      <c r="X7" s="39">
        <f>AVERAGEIFS('Height Summary'!J$13:J$156,'Height Summary'!$F$13:$F$156, "NG4936",'Height Summary'!$E$13:$E$156, "AQC")</f>
        <v>41.583333333333336</v>
      </c>
      <c r="Y7" s="39">
        <f>AVERAGEIFS('Height Summary'!K$13:K$156,'Height Summary'!$F$13:$F$156, "NG4936",'Height Summary'!$E$13:$E$156, "AQC")</f>
        <v>62.583333333333336</v>
      </c>
      <c r="Z7" s="39">
        <f>AVERAGEIFS('Height Summary'!L$13:L$156,'Height Summary'!$F$13:$F$156, "NG4936",'Height Summary'!$E$13:$E$156, "AQC")</f>
        <v>68.5</v>
      </c>
      <c r="AA7" s="39">
        <f>AVERAGEIFS('Height Summary'!M$13:M$156,'Height Summary'!$F$13:$F$156, "NG4936",'Height Summary'!$E$13:$E$156, "AQC")</f>
        <v>80.833333333333329</v>
      </c>
      <c r="AB7" s="39">
        <f>AVERAGEIFS('Height Summary'!N$13:N$156,'Height Summary'!$F$13:$F$156, "NG4936",'Height Summary'!$E$13:$E$156, "AQC")</f>
        <v>92</v>
      </c>
      <c r="AC7" s="39">
        <f>AVERAGEIFS('Height Summary'!O$13:O$156,'Height Summary'!$F$13:$F$156, "NG4936",'Height Summary'!$E$13:$E$156, "AQC")</f>
        <v>95.666666666666671</v>
      </c>
      <c r="AD7" s="39">
        <f>AVERAGEIFS('Height Summary'!P$13:P$156,'Height Summary'!$F$13:$F$156, "NG4936",'Height Summary'!$E$13:$E$156, "AQC")</f>
        <v>97.666666666666671</v>
      </c>
      <c r="AE7" s="39">
        <f>AVERAGEIFS('Height Summary'!Q$13:Q$156,'Height Summary'!$F$13:$F$156, "NG4936",'Height Summary'!$E$13:$E$156, "AQC")</f>
        <v>98.666666666666671</v>
      </c>
      <c r="AF7" s="39">
        <f>AVERAGEIFS('Height Summary'!R$13:R$156,'Height Summary'!$F$13:$F$156, "NG4936",'Height Summary'!$E$13:$E$156, "AQC")</f>
        <v>98.916666666666671</v>
      </c>
    </row>
    <row r="8" spans="1:32" ht="21" x14ac:dyDescent="0.35">
      <c r="A8" s="104"/>
      <c r="B8" s="105"/>
      <c r="C8" s="32"/>
      <c r="D8" s="25"/>
      <c r="E8" s="25"/>
      <c r="F8" s="25"/>
      <c r="G8" s="25"/>
      <c r="H8" s="25"/>
      <c r="I8" s="25"/>
      <c r="J8" s="25"/>
      <c r="K8" s="25"/>
      <c r="L8" s="25"/>
      <c r="M8" s="25"/>
      <c r="N8" s="25"/>
      <c r="O8" s="25"/>
      <c r="P8" s="25"/>
      <c r="Q8" s="25"/>
      <c r="S8" s="106"/>
      <c r="T8" s="105"/>
      <c r="U8" s="25"/>
      <c r="V8" s="25"/>
      <c r="W8" s="25"/>
      <c r="X8" s="25"/>
      <c r="Y8" s="25"/>
      <c r="Z8" s="25"/>
      <c r="AA8" s="25"/>
      <c r="AB8" s="25"/>
      <c r="AC8" s="25"/>
      <c r="AD8" s="25"/>
      <c r="AE8" s="25"/>
      <c r="AF8" s="25"/>
    </row>
    <row r="9" spans="1:32" ht="21" x14ac:dyDescent="0.35">
      <c r="A9" s="104"/>
      <c r="B9" s="105" t="s">
        <v>45</v>
      </c>
      <c r="C9" s="39"/>
      <c r="D9" s="39" t="e">
        <v>#VALUE!</v>
      </c>
      <c r="E9" s="39" t="e">
        <v>#VALUE!</v>
      </c>
      <c r="F9" s="39">
        <f>AVERAGEIFS('Height Summary'!G$13:G$156,'Height Summary'!$F$13:$F$156, "NG3195",'Height Summary'!$E$13:$E$156, "AQC-N")</f>
        <v>12.25</v>
      </c>
      <c r="G9" s="39">
        <f>AVERAGEIFS('Height Summary'!H$13:H$156,'Height Summary'!$F$13:$F$156, "NG3195",'Height Summary'!$E$13:$E$156, "AQC-N")</f>
        <v>18.75</v>
      </c>
      <c r="H9" s="39">
        <f>AVERAGEIFS('Height Summary'!I$13:I$156,'Height Summary'!$F$13:$F$156, "NG3195",'Height Summary'!$E$13:$E$156, "AQC-N")</f>
        <v>25.25</v>
      </c>
      <c r="I9" s="39">
        <f>AVERAGEIFS('Height Summary'!J$13:J$156,'Height Summary'!$F$13:$F$156, "NG3195",'Height Summary'!$E$13:$E$156, "AQC-N")</f>
        <v>55.333333333333336</v>
      </c>
      <c r="J9" s="39">
        <f>AVERAGEIFS('Height Summary'!K$13:K$156,'Height Summary'!$F$13:$F$156, "NG3195",'Height Summary'!$E$13:$E$156, "AQC-N")</f>
        <v>72.583333333333329</v>
      </c>
      <c r="K9" s="39">
        <f>AVERAGEIFS('Height Summary'!L$13:L$156,'Height Summary'!$F$13:$F$156, "NG3195",'Height Summary'!$E$13:$E$156, "AQC-N")</f>
        <v>75</v>
      </c>
      <c r="L9" s="39">
        <f>AVERAGEIFS('Height Summary'!M$13:M$156,'Height Summary'!$F$13:$F$156, "NG3195",'Height Summary'!$E$13:$E$156, "AQC-N")</f>
        <v>81.416666666666671</v>
      </c>
      <c r="M9" s="39">
        <f>AVERAGEIFS('Height Summary'!N$13:N$156,'Height Summary'!$F$13:$F$156, "NG3195",'Height Summary'!$E$13:$E$156, "AQC-N")</f>
        <v>89</v>
      </c>
      <c r="N9" s="39">
        <f>AVERAGEIFS('Height Summary'!O$13:O$156,'Height Summary'!$F$13:$F$156, "NG3195",'Height Summary'!$E$13:$E$156, "AQC-N")</f>
        <v>91.75</v>
      </c>
      <c r="O9" s="39">
        <f>AVERAGEIFS('Height Summary'!P$13:P$156,'Height Summary'!$F$13:$F$156, "NG3195",'Height Summary'!$E$13:$E$156, "AQC-N")</f>
        <v>93.666666666666671</v>
      </c>
      <c r="P9" s="39">
        <f>AVERAGEIFS('Height Summary'!Q$13:Q$156,'Height Summary'!$F$13:$F$156, "NG3195",'Height Summary'!$E$13:$E$156, "AQC-N")</f>
        <v>93.5</v>
      </c>
      <c r="Q9" s="39">
        <f>AVERAGEIFS('Height Summary'!R$13:R$156,'Height Summary'!$F$13:$F$156, "NG3195",'Height Summary'!$E$13:$E$156, "AQC-N")</f>
        <v>91.666666666666671</v>
      </c>
      <c r="S9" s="106"/>
      <c r="T9" s="105" t="s">
        <v>45</v>
      </c>
      <c r="U9" s="39">
        <f>AVERAGEIFS('Height Summary'!G$13:G$156,'Height Summary'!$F$13:$F$156, "NG4936",'Height Summary'!$E$13:$E$156, "AQC-N")</f>
        <v>5.083333333333333</v>
      </c>
      <c r="V9" s="39">
        <f>AVERAGEIFS('Height Summary'!H$13:H$156,'Height Summary'!$F$13:$F$156, "NG4936",'Height Summary'!$E$13:$E$156, "AQC-N")</f>
        <v>9.9166666666666661</v>
      </c>
      <c r="W9" s="39">
        <f>AVERAGEIFS('Height Summary'!I$13:I$156,'Height Summary'!$F$13:$F$156, "NG4936",'Height Summary'!$E$13:$E$156, "AQC-N")</f>
        <v>15.583333333333334</v>
      </c>
      <c r="X9" s="39">
        <f>AVERAGEIFS('Height Summary'!J$13:J$156,'Height Summary'!$F$13:$F$156, "NG4936",'Height Summary'!$E$13:$E$156, "AQC-N")</f>
        <v>37.916666666666664</v>
      </c>
      <c r="Y9" s="39">
        <f>AVERAGEIFS('Height Summary'!K$13:K$156,'Height Summary'!$F$13:$F$156, "NG4936",'Height Summary'!$E$13:$E$156, "AQC-N")</f>
        <v>56</v>
      </c>
      <c r="Z9" s="39">
        <f>AVERAGEIFS('Height Summary'!L$13:L$156,'Height Summary'!$F$13:$F$156, "NG4936",'Height Summary'!$E$13:$E$156, "AQC-N")</f>
        <v>62.416666666666664</v>
      </c>
      <c r="AA9" s="39">
        <f>AVERAGEIFS('Height Summary'!M$13:M$156,'Height Summary'!$F$13:$F$156, "NG4936",'Height Summary'!$E$13:$E$156, "AQC-N")</f>
        <v>77</v>
      </c>
      <c r="AB9" s="39">
        <f>AVERAGEIFS('Height Summary'!N$13:N$156,'Height Summary'!$F$13:$F$156, "NG4936",'Height Summary'!$E$13:$E$156, "AQC-N")</f>
        <v>85.5</v>
      </c>
      <c r="AC9" s="39">
        <f>AVERAGEIFS('Height Summary'!O$13:O$156,'Height Summary'!$F$13:$F$156, "NG4936",'Height Summary'!$E$13:$E$156, "AQC-N")</f>
        <v>88.666666666666671</v>
      </c>
      <c r="AD9" s="39">
        <f>AVERAGEIFS('Height Summary'!P$13:P$156,'Height Summary'!$F$13:$F$156, "NG4936",'Height Summary'!$E$13:$E$156, "AQC-N")</f>
        <v>91.166666666666671</v>
      </c>
      <c r="AE9" s="39">
        <f>AVERAGEIFS('Height Summary'!Q$13:Q$156,'Height Summary'!$F$13:$F$156, "NG4936",'Height Summary'!$E$13:$E$156, "AQC-N")</f>
        <v>91.5</v>
      </c>
      <c r="AF9" s="39">
        <f>AVERAGEIFS('Height Summary'!R$13:R$156,'Height Summary'!$F$13:$F$156, "NG4936",'Height Summary'!$E$13:$E$156, "AQC-N")</f>
        <v>87.833333333333329</v>
      </c>
    </row>
    <row r="10" spans="1:32" ht="21" x14ac:dyDescent="0.35">
      <c r="A10" s="104"/>
      <c r="B10" s="105"/>
      <c r="C10" s="32"/>
      <c r="D10" s="25"/>
      <c r="E10" s="25"/>
      <c r="F10" s="25"/>
      <c r="G10" s="25"/>
      <c r="H10" s="25"/>
      <c r="I10" s="25"/>
      <c r="J10" s="25"/>
      <c r="K10" s="25"/>
      <c r="L10" s="25"/>
      <c r="M10" s="25"/>
      <c r="N10" s="25"/>
      <c r="O10" s="25"/>
      <c r="P10" s="25"/>
      <c r="Q10" s="25"/>
      <c r="S10" s="106"/>
      <c r="T10" s="105"/>
      <c r="U10" s="25"/>
      <c r="V10" s="25"/>
      <c r="W10" s="25"/>
      <c r="X10" s="25"/>
      <c r="Y10" s="25"/>
      <c r="Z10" s="25"/>
      <c r="AA10" s="25"/>
      <c r="AB10" s="25"/>
      <c r="AC10" s="25"/>
      <c r="AD10" s="25"/>
      <c r="AE10" s="25"/>
      <c r="AF10" s="25"/>
    </row>
    <row r="11" spans="1:32" ht="21" x14ac:dyDescent="0.35">
      <c r="A11" s="104"/>
      <c r="B11" s="105" t="s">
        <v>46</v>
      </c>
      <c r="C11" s="39"/>
      <c r="D11" s="39" t="e">
        <v>#VALUE!</v>
      </c>
      <c r="E11" s="39" t="e">
        <v>#VALUE!</v>
      </c>
      <c r="F11" s="39">
        <f>AVERAGEIFS('Height Summary'!G$13:G$156,'Height Summary'!$F$13:$F$156, "NG3195",'Height Summary'!$E$13:$E$156, "CSM")</f>
        <v>12.916666666666666</v>
      </c>
      <c r="G11" s="39">
        <f>AVERAGEIFS('Height Summary'!H$13:H$156,'Height Summary'!$F$13:$F$156, "NG3195",'Height Summary'!$E$13:$E$156, "CSM")</f>
        <v>18.583333333333332</v>
      </c>
      <c r="H11" s="39">
        <f>AVERAGEIFS('Height Summary'!I$13:I$156,'Height Summary'!$F$13:$F$156, "NG3195",'Height Summary'!$E$13:$E$156, "CSM")</f>
        <v>27.083333333333332</v>
      </c>
      <c r="I11" s="39">
        <f>AVERAGEIFS('Height Summary'!J$13:J$156,'Height Summary'!$F$13:$F$156, "NG3195",'Height Summary'!$E$13:$E$156, "CSM")</f>
        <v>57</v>
      </c>
      <c r="J11" s="39">
        <f>AVERAGEIFS('Height Summary'!K$13:K$156,'Height Summary'!$F$13:$F$156, "NG3195",'Height Summary'!$E$13:$E$156, "CSM")</f>
        <v>75.083333333333329</v>
      </c>
      <c r="K11" s="39">
        <f>AVERAGEIFS('Height Summary'!L$13:L$156,'Height Summary'!$F$13:$F$156, "NG3195",'Height Summary'!$E$13:$E$156, "CSM")</f>
        <v>79.833333333333329</v>
      </c>
      <c r="L11" s="39">
        <f>AVERAGEIFS('Height Summary'!M$13:M$156,'Height Summary'!$F$13:$F$156, "NG3195",'Height Summary'!$E$13:$E$156, "CSM")</f>
        <v>89.583333333333329</v>
      </c>
      <c r="M11" s="39">
        <f>AVERAGEIFS('Height Summary'!N$13:N$156,'Height Summary'!$F$13:$F$156, "NG3195",'Height Summary'!$E$13:$E$156, "CSM")</f>
        <v>97.583333333333329</v>
      </c>
      <c r="N11" s="39">
        <f>AVERAGEIFS('Height Summary'!O$13:O$156,'Height Summary'!$F$13:$F$156, "NG3195",'Height Summary'!$E$13:$E$156, "CSM")</f>
        <v>102.83333333333333</v>
      </c>
      <c r="O11" s="39">
        <f>AVERAGEIFS('Height Summary'!P$13:P$156,'Height Summary'!$F$13:$F$156, "NG3195",'Height Summary'!$E$13:$E$156, "CSM")</f>
        <v>107.75</v>
      </c>
      <c r="P11" s="39">
        <f>AVERAGEIFS('Height Summary'!Q$13:Q$156,'Height Summary'!$F$13:$F$156, "NG3195",'Height Summary'!$E$13:$E$156, "CSM")</f>
        <v>110.41666666666667</v>
      </c>
      <c r="Q11" s="39">
        <f>AVERAGEIFS('Height Summary'!R$13:R$156,'Height Summary'!$F$13:$F$156, "NG3195",'Height Summary'!$E$13:$E$156, "CSM")</f>
        <v>108.5</v>
      </c>
      <c r="S11" s="106"/>
      <c r="T11" s="105" t="s">
        <v>46</v>
      </c>
      <c r="U11" s="39">
        <f>AVERAGEIFS('Height Summary'!G$13:G$156,'Height Summary'!$F$13:$F$156, "NG4936",'Height Summary'!$E$13:$E$156, "CSM")</f>
        <v>6.083333333333333</v>
      </c>
      <c r="V11" s="39">
        <f>AVERAGEIFS('Height Summary'!H$13:H$156,'Height Summary'!$F$13:$F$156, "NG4936",'Height Summary'!$E$13:$E$156, "CSM")</f>
        <v>10.583333333333334</v>
      </c>
      <c r="W11" s="39">
        <f>AVERAGEIFS('Height Summary'!I$13:I$156,'Height Summary'!$F$13:$F$156, "NG4936",'Height Summary'!$E$13:$E$156, "CSM")</f>
        <v>16.166666666666668</v>
      </c>
      <c r="X11" s="39">
        <f>AVERAGEIFS('Height Summary'!J$13:J$156,'Height Summary'!$F$13:$F$156, "NG4936",'Height Summary'!$E$13:$E$156, "CSM")</f>
        <v>38.75</v>
      </c>
      <c r="Y11" s="39">
        <f>AVERAGEIFS('Height Summary'!K$13:K$156,'Height Summary'!$F$13:$F$156, "NG4936",'Height Summary'!$E$13:$E$156, "CSM")</f>
        <v>57.166666666666664</v>
      </c>
      <c r="Z11" s="39">
        <f>AVERAGEIFS('Height Summary'!L$13:L$156,'Height Summary'!$F$13:$F$156, "NG4936",'Height Summary'!$E$13:$E$156, "CSM")</f>
        <v>66.166666666666671</v>
      </c>
      <c r="AA11" s="39">
        <f>AVERAGEIFS('Height Summary'!M$13:M$156,'Height Summary'!$F$13:$F$156, "NG4936",'Height Summary'!$E$13:$E$156, "CSM")</f>
        <v>79.5</v>
      </c>
      <c r="AB11" s="39">
        <f>AVERAGEIFS('Height Summary'!N$13:N$156,'Height Summary'!$F$13:$F$156, "NG4936",'Height Summary'!$E$13:$E$156, "CSM")</f>
        <v>91.833333333333329</v>
      </c>
      <c r="AC11" s="39">
        <f>AVERAGEIFS('Height Summary'!O$13:O$156,'Height Summary'!$F$13:$F$156, "NG4936",'Height Summary'!$E$13:$E$156, "CSM")</f>
        <v>96.5</v>
      </c>
      <c r="AD11" s="39">
        <f>AVERAGEIFS('Height Summary'!P$13:P$156,'Height Summary'!$F$13:$F$156, "NG4936",'Height Summary'!$E$13:$E$156, "CSM")</f>
        <v>99.5</v>
      </c>
      <c r="AE11" s="39">
        <f>AVERAGEIFS('Height Summary'!Q$13:Q$156,'Height Summary'!$F$13:$F$156, "NG4936",'Height Summary'!$E$13:$E$156, "CSM")</f>
        <v>101.41666666666667</v>
      </c>
      <c r="AF11" s="39">
        <f>AVERAGEIFS('Height Summary'!R$13:R$156,'Height Summary'!$F$13:$F$156, "NG4936",'Height Summary'!$E$13:$E$156, "CSM")</f>
        <v>101.16666666666667</v>
      </c>
    </row>
    <row r="12" spans="1:32" ht="21" x14ac:dyDescent="0.35">
      <c r="A12" s="104"/>
      <c r="B12" s="105"/>
      <c r="C12" s="32"/>
      <c r="D12" s="25"/>
      <c r="E12" s="25"/>
      <c r="F12" s="25"/>
      <c r="G12" s="25"/>
      <c r="H12" s="25"/>
      <c r="I12" s="25"/>
      <c r="J12" s="25"/>
      <c r="K12" s="25"/>
      <c r="L12" s="25"/>
      <c r="M12" s="25"/>
      <c r="N12" s="25"/>
      <c r="O12" s="25"/>
      <c r="P12" s="25"/>
      <c r="Q12" s="25"/>
      <c r="S12" s="106"/>
      <c r="T12" s="105"/>
      <c r="U12" s="25"/>
      <c r="V12" s="25"/>
      <c r="W12" s="25"/>
      <c r="X12" s="25"/>
      <c r="Y12" s="25"/>
      <c r="Z12" s="25"/>
      <c r="AA12" s="25"/>
      <c r="AB12" s="25"/>
      <c r="AC12" s="25"/>
      <c r="AD12" s="25"/>
      <c r="AE12" s="25"/>
      <c r="AF12" s="25"/>
    </row>
    <row r="13" spans="1:32" ht="21" x14ac:dyDescent="0.35">
      <c r="A13" s="104"/>
      <c r="B13" s="105" t="s">
        <v>47</v>
      </c>
      <c r="C13" s="39"/>
      <c r="D13" s="39" t="e">
        <v>#VALUE!</v>
      </c>
      <c r="E13" s="39" t="e">
        <v>#VALUE!</v>
      </c>
      <c r="F13" s="39">
        <f>AVERAGEIFS('Height Summary'!G$13:G$156,'Height Summary'!$F$13:$F$156, "NG3195",'Height Summary'!$E$13:$E$156, "CSM-N")</f>
        <v>12.416666666666666</v>
      </c>
      <c r="G13" s="39">
        <f>AVERAGEIFS('Height Summary'!H$13:H$156,'Height Summary'!$F$13:$F$156, "NG3195",'Height Summary'!$E$13:$E$156, "CSM-N")</f>
        <v>19.333333333333332</v>
      </c>
      <c r="H13" s="39">
        <f>AVERAGEIFS('Height Summary'!I$13:I$156,'Height Summary'!$F$13:$F$156, "NG3195",'Height Summary'!$E$13:$E$156, "CSM-N")</f>
        <v>27.833333333333332</v>
      </c>
      <c r="I13" s="39">
        <f>AVERAGEIFS('Height Summary'!J$13:J$156,'Height Summary'!$F$13:$F$156, "NG3195",'Height Summary'!$E$13:$E$156, "CSM-N")</f>
        <v>58.5</v>
      </c>
      <c r="J13" s="39">
        <f>AVERAGEIFS('Height Summary'!K$13:K$156,'Height Summary'!$F$13:$F$156, "NG3195",'Height Summary'!$E$13:$E$156, "CSM-N")</f>
        <v>79.083333333333329</v>
      </c>
      <c r="K13" s="39">
        <f>AVERAGEIFS('Height Summary'!L$13:L$156,'Height Summary'!$F$13:$F$156, "NG3195",'Height Summary'!$E$13:$E$156, "CSM-N")</f>
        <v>82</v>
      </c>
      <c r="L13" s="39">
        <f>AVERAGEIFS('Height Summary'!M$13:M$156,'Height Summary'!$F$13:$F$156, "NG3195",'Height Summary'!$E$13:$E$156, "CSM-N")</f>
        <v>86.75</v>
      </c>
      <c r="M13" s="39">
        <f>AVERAGEIFS('Height Summary'!N$13:N$156,'Height Summary'!$F$13:$F$156, "NG3195",'Height Summary'!$E$13:$E$156, "CSM-N")</f>
        <v>92.833333333333329</v>
      </c>
      <c r="N13" s="39">
        <f>AVERAGEIFS('Height Summary'!O$13:O$156,'Height Summary'!$F$13:$F$156, "NG3195",'Height Summary'!$E$13:$E$156, "CSM-N")</f>
        <v>97.25</v>
      </c>
      <c r="O13" s="39">
        <f>AVERAGEIFS('Height Summary'!P$13:P$156,'Height Summary'!$F$13:$F$156, "NG3195",'Height Summary'!$E$13:$E$156, "CSM-N")</f>
        <v>100.91666666666667</v>
      </c>
      <c r="P13" s="39">
        <f>AVERAGEIFS('Height Summary'!Q$13:Q$156,'Height Summary'!$F$13:$F$156, "NG3195",'Height Summary'!$E$13:$E$156, "CSM-N")</f>
        <v>102.16666666666667</v>
      </c>
      <c r="Q13" s="39">
        <f>AVERAGEIFS('Height Summary'!R$13:R$156,'Height Summary'!$F$13:$F$156, "NG3195",'Height Summary'!$E$13:$E$156, "CSM-N")</f>
        <v>101</v>
      </c>
      <c r="S13" s="106"/>
      <c r="T13" s="105" t="s">
        <v>47</v>
      </c>
      <c r="U13" s="39">
        <f>AVERAGEIFS('Height Summary'!G$13:G$156,'Height Summary'!$F$13:$F$156, "NG4936",'Height Summary'!$E$13:$E$156, "CSM-N")</f>
        <v>7.333333333333333</v>
      </c>
      <c r="V13" s="39">
        <f>AVERAGEIFS('Height Summary'!H$13:H$156,'Height Summary'!$F$13:$F$156, "NG4936",'Height Summary'!$E$13:$E$156, "CSM-N")</f>
        <v>11.75</v>
      </c>
      <c r="W13" s="39">
        <f>AVERAGEIFS('Height Summary'!I$13:I$156,'Height Summary'!$F$13:$F$156, "NG4936",'Height Summary'!$E$13:$E$156, "CSM-N")</f>
        <v>17.833333333333332</v>
      </c>
      <c r="X13" s="39">
        <f>AVERAGEIFS('Height Summary'!J$13:J$156,'Height Summary'!$F$13:$F$156, "NG4936",'Height Summary'!$E$13:$E$156, "CSM-N")</f>
        <v>43.333333333333336</v>
      </c>
      <c r="Y13" s="39">
        <f>AVERAGEIFS('Height Summary'!K$13:K$156,'Height Summary'!$F$13:$F$156, "NG4936",'Height Summary'!$E$13:$E$156, "CSM-N")</f>
        <v>62.666666666666664</v>
      </c>
      <c r="Z13" s="39">
        <f>AVERAGEIFS('Height Summary'!L$13:L$156,'Height Summary'!$F$13:$F$156, "NG4936",'Height Summary'!$E$13:$E$156, "CSM-N")</f>
        <v>68.333333333333329</v>
      </c>
      <c r="AA13" s="39">
        <f>AVERAGEIFS('Height Summary'!M$13:M$156,'Height Summary'!$F$13:$F$156, "NG4936",'Height Summary'!$E$13:$E$156, "CSM-N")</f>
        <v>77</v>
      </c>
      <c r="AB13" s="39">
        <f>AVERAGEIFS('Height Summary'!N$13:N$156,'Height Summary'!$F$13:$F$156, "NG4936",'Height Summary'!$E$13:$E$156, "CSM-N")</f>
        <v>86.833333333333329</v>
      </c>
      <c r="AC13" s="39">
        <f>AVERAGEIFS('Height Summary'!O$13:O$156,'Height Summary'!$F$13:$F$156, "NG4936",'Height Summary'!$E$13:$E$156, "CSM-N")</f>
        <v>91.333333333333329</v>
      </c>
      <c r="AD13" s="39">
        <f>AVERAGEIFS('Height Summary'!P$13:P$156,'Height Summary'!$F$13:$F$156, "NG4936",'Height Summary'!$E$13:$E$156, "CSM-N")</f>
        <v>95.583333333333329</v>
      </c>
      <c r="AE13" s="39">
        <f>AVERAGEIFS('Height Summary'!Q$13:Q$156,'Height Summary'!$F$13:$F$156, "NG4936",'Height Summary'!$E$13:$E$156, "CSM-N")</f>
        <v>97.916666666666671</v>
      </c>
      <c r="AF13" s="39">
        <f>AVERAGEIFS('Height Summary'!R$13:R$156,'Height Summary'!$F$13:$F$156, "NG4936",'Height Summary'!$E$13:$E$156, "CSM-N")</f>
        <v>99.333333333333329</v>
      </c>
    </row>
    <row r="14" spans="1:32" ht="21" x14ac:dyDescent="0.35">
      <c r="A14" s="104"/>
      <c r="B14" s="105"/>
      <c r="C14" s="25"/>
      <c r="D14" s="25"/>
      <c r="E14" s="25"/>
      <c r="F14" s="25"/>
      <c r="G14" s="25"/>
      <c r="H14" s="25"/>
      <c r="I14" s="25"/>
      <c r="J14" s="25"/>
      <c r="K14" s="25"/>
      <c r="L14" s="25"/>
      <c r="M14" s="25"/>
      <c r="N14" s="25"/>
      <c r="O14" s="25"/>
      <c r="P14" s="25"/>
      <c r="Q14" s="25"/>
      <c r="S14" s="106"/>
      <c r="T14" s="105"/>
      <c r="U14" s="25"/>
      <c r="V14" s="25"/>
      <c r="W14" s="25"/>
      <c r="X14" s="25"/>
      <c r="Y14" s="25"/>
      <c r="Z14" s="25"/>
      <c r="AA14" s="25"/>
      <c r="AB14" s="25"/>
      <c r="AC14" s="25"/>
      <c r="AD14" s="25"/>
      <c r="AE14" s="25"/>
      <c r="AF14" s="25"/>
    </row>
    <row r="15" spans="1:32" ht="21" x14ac:dyDescent="0.35">
      <c r="A15" s="104"/>
      <c r="B15" s="105" t="s">
        <v>42</v>
      </c>
      <c r="C15" s="39"/>
      <c r="D15" s="39" t="e">
        <v>#VALUE!</v>
      </c>
      <c r="E15" s="39" t="e">
        <v>#VALUE!</v>
      </c>
      <c r="F15" s="39">
        <f>AVERAGEIFS('Height Summary'!G$13:G$156,'Height Summary'!$F$13:$F$156, "NG3195",'Height Summary'!$E$13:$E$156, "FAO")</f>
        <v>12.5</v>
      </c>
      <c r="G15" s="39">
        <f>AVERAGEIFS('Height Summary'!H$13:H$156,'Height Summary'!$F$13:$F$156, "NG3195",'Height Summary'!$E$13:$E$156, "FAO")</f>
        <v>18.833333333333332</v>
      </c>
      <c r="H15" s="39">
        <f>AVERAGEIFS('Height Summary'!I$13:I$156,'Height Summary'!$F$13:$F$156, "NG3195",'Height Summary'!$E$13:$E$156, "FAO")</f>
        <v>26.333333333333332</v>
      </c>
      <c r="I15" s="39">
        <f>AVERAGEIFS('Height Summary'!J$13:J$156,'Height Summary'!$F$13:$F$156, "NG3195",'Height Summary'!$E$13:$E$156, "FAO")</f>
        <v>56.25</v>
      </c>
      <c r="J15" s="39">
        <f>AVERAGEIFS('Height Summary'!K$13:K$156,'Height Summary'!$F$13:$F$156, "NG3195",'Height Summary'!$E$13:$E$156, "FAO")</f>
        <v>71.833333333333329</v>
      </c>
      <c r="K15" s="39">
        <f>AVERAGEIFS('Height Summary'!L$13:L$156,'Height Summary'!$F$13:$F$156, "NG3195",'Height Summary'!$E$13:$E$156, "FAO")</f>
        <v>78.166666666666671</v>
      </c>
      <c r="L15" s="39">
        <f>AVERAGEIFS('Height Summary'!M$13:M$156,'Height Summary'!$F$13:$F$156, "NG3195",'Height Summary'!$E$13:$E$156, "FAO")</f>
        <v>90.583333333333329</v>
      </c>
      <c r="M15" s="39">
        <f>AVERAGEIFS('Height Summary'!N$13:N$156,'Height Summary'!$F$13:$F$156, "NG3195",'Height Summary'!$E$13:$E$156, "FAO")</f>
        <v>102.58333333333333</v>
      </c>
      <c r="N15" s="39">
        <f>AVERAGEIFS('Height Summary'!O$13:O$156,'Height Summary'!$F$13:$F$156, "NG3195",'Height Summary'!$E$13:$E$156, "FAO")</f>
        <v>106.91666666666667</v>
      </c>
      <c r="O15" s="39">
        <f>AVERAGEIFS('Height Summary'!P$13:P$156,'Height Summary'!$F$13:$F$156, "NG3195",'Height Summary'!$E$13:$E$156, "FAO")</f>
        <v>110.75</v>
      </c>
      <c r="P15" s="39">
        <f>AVERAGEIFS('Height Summary'!Q$13:Q$156,'Height Summary'!$F$13:$F$156, "NG3195",'Height Summary'!$E$13:$E$156, "FAO")</f>
        <v>112.75</v>
      </c>
      <c r="Q15" s="39">
        <f>AVERAGEIFS('Height Summary'!R$13:R$156,'Height Summary'!$F$13:$F$156, "NG3195",'Height Summary'!$E$13:$E$156, "FAO")</f>
        <v>113.08333333333333</v>
      </c>
      <c r="S15" s="106"/>
      <c r="T15" s="105" t="s">
        <v>42</v>
      </c>
      <c r="U15" s="39">
        <f>AVERAGEIFS('Height Summary'!G$13:G$156,'Height Summary'!$F$13:$F$156, "NG4936",'Height Summary'!$E$13:$E$156, "FAO")</f>
        <v>6.75</v>
      </c>
      <c r="V15" s="39">
        <f>AVERAGEIFS('Height Summary'!H$13:H$156,'Height Summary'!$F$13:$F$156, "NG4936",'Height Summary'!$E$13:$E$156, "FAO")</f>
        <v>12.25</v>
      </c>
      <c r="W15" s="39">
        <f>AVERAGEIFS('Height Summary'!I$13:I$156,'Height Summary'!$F$13:$F$156, "NG4936",'Height Summary'!$E$13:$E$156, "FAO")</f>
        <v>19</v>
      </c>
      <c r="X15" s="39">
        <f>AVERAGEIFS('Height Summary'!J$13:J$156,'Height Summary'!$F$13:$F$156, "NG4936",'Height Summary'!$E$13:$E$156, "FAO")</f>
        <v>41.083333333333336</v>
      </c>
      <c r="Y15" s="39">
        <f>AVERAGEIFS('Height Summary'!K$13:K$156,'Height Summary'!$F$13:$F$156, "NG4936",'Height Summary'!$E$13:$E$156, "FAO")</f>
        <v>59.333333333333336</v>
      </c>
      <c r="Z15" s="39">
        <f>AVERAGEIFS('Height Summary'!L$13:L$156,'Height Summary'!$F$13:$F$156, "NG4936",'Height Summary'!$E$13:$E$156, "FAO")</f>
        <v>68</v>
      </c>
      <c r="AA15" s="39">
        <f>AVERAGEIFS('Height Summary'!M$13:M$156,'Height Summary'!$F$13:$F$156, "NG4936",'Height Summary'!$E$13:$E$156, "FAO")</f>
        <v>83.833333333333329</v>
      </c>
      <c r="AB15" s="39">
        <f>AVERAGEIFS('Height Summary'!N$13:N$156,'Height Summary'!$F$13:$F$156, "NG4936",'Height Summary'!$E$13:$E$156, "FAO")</f>
        <v>93.916666666666671</v>
      </c>
      <c r="AC15" s="39">
        <f>AVERAGEIFS('Height Summary'!O$13:O$156,'Height Summary'!$F$13:$F$156, "NG4936",'Height Summary'!$E$13:$E$156, "FAO")</f>
        <v>97.833333333333329</v>
      </c>
      <c r="AD15" s="39">
        <f>AVERAGEIFS('Height Summary'!P$13:P$156,'Height Summary'!$F$13:$F$156, "NG4936",'Height Summary'!$E$13:$E$156, "FAO")</f>
        <v>101.33333333333333</v>
      </c>
      <c r="AE15" s="39">
        <f>AVERAGEIFS('Height Summary'!Q$13:Q$156,'Height Summary'!$F$13:$F$156, "NG4936",'Height Summary'!$E$13:$E$156, "FAO")</f>
        <v>103.41666666666667</v>
      </c>
      <c r="AF15" s="39">
        <f>AVERAGEIFS('Height Summary'!R$13:R$156,'Height Summary'!$F$13:$F$156, "NG4936",'Height Summary'!$E$13:$E$156, "FAO")</f>
        <v>105.16666666666667</v>
      </c>
    </row>
    <row r="16" spans="1:32" ht="21" x14ac:dyDescent="0.35">
      <c r="A16" s="104"/>
      <c r="B16" s="105"/>
      <c r="C16" s="25"/>
      <c r="D16" s="25"/>
      <c r="E16" s="25"/>
      <c r="F16" s="25"/>
      <c r="G16" s="25"/>
      <c r="H16" s="25"/>
      <c r="I16" s="25"/>
      <c r="J16" s="25"/>
      <c r="K16" s="25"/>
      <c r="L16" s="25"/>
      <c r="M16" s="25"/>
      <c r="N16" s="25"/>
      <c r="O16" s="25"/>
      <c r="P16" s="25"/>
      <c r="Q16" s="25"/>
      <c r="S16" s="106"/>
      <c r="T16" s="105"/>
      <c r="U16" s="25"/>
      <c r="V16" s="25"/>
      <c r="W16" s="25"/>
      <c r="X16" s="25"/>
      <c r="Y16" s="25"/>
      <c r="Z16" s="25"/>
      <c r="AA16" s="25"/>
      <c r="AB16" s="25"/>
      <c r="AC16" s="25"/>
      <c r="AD16" s="25"/>
      <c r="AE16" s="25"/>
      <c r="AF16" s="25"/>
    </row>
    <row r="17" spans="1:32" ht="21" x14ac:dyDescent="0.35">
      <c r="A17" s="104"/>
      <c r="B17" s="105" t="s">
        <v>44</v>
      </c>
      <c r="C17" s="39"/>
      <c r="D17" s="39" t="e">
        <v>#VALUE!</v>
      </c>
      <c r="E17" s="39" t="e">
        <v>#VALUE!</v>
      </c>
      <c r="F17" s="39">
        <f>AVERAGEIFS('Height Summary'!G$13:G$156,'Height Summary'!$F$13:$F$156, "NG3195",'Height Summary'!$E$13:$E$156, "FAO-N")</f>
        <v>11.666666666666666</v>
      </c>
      <c r="G17" s="39">
        <f>AVERAGEIFS('Height Summary'!H$13:H$156,'Height Summary'!$F$13:$F$156, "NG3195",'Height Summary'!$E$13:$E$156, "FAO-N")</f>
        <v>17.916666666666668</v>
      </c>
      <c r="H17" s="39">
        <f>AVERAGEIFS('Height Summary'!I$13:I$156,'Height Summary'!$F$13:$F$156, "NG3195",'Height Summary'!$E$13:$E$156, "FAO-N")</f>
        <v>26</v>
      </c>
      <c r="I17" s="39">
        <f>AVERAGEIFS('Height Summary'!J$13:J$156,'Height Summary'!$F$13:$F$156, "NG3195",'Height Summary'!$E$13:$E$156, "FAO-N")</f>
        <v>56.25</v>
      </c>
      <c r="J17" s="39">
        <f>AVERAGEIFS('Height Summary'!K$13:K$156,'Height Summary'!$F$13:$F$156, "NG3195",'Height Summary'!$E$13:$E$156, "FAO-N")</f>
        <v>75.416666666666671</v>
      </c>
      <c r="K17" s="39">
        <f>AVERAGEIFS('Height Summary'!L$13:L$156,'Height Summary'!$F$13:$F$156, "NG3195",'Height Summary'!$E$13:$E$156, "FAO-N")</f>
        <v>77.166666666666671</v>
      </c>
      <c r="L17" s="39">
        <f>AVERAGEIFS('Height Summary'!M$13:M$156,'Height Summary'!$F$13:$F$156, "NG3195",'Height Summary'!$E$13:$E$156, "FAO-N")</f>
        <v>81.75</v>
      </c>
      <c r="M17" s="39">
        <f>AVERAGEIFS('Height Summary'!N$13:N$156,'Height Summary'!$F$13:$F$156, "NG3195",'Height Summary'!$E$13:$E$156, "FAO-N")</f>
        <v>92.5</v>
      </c>
      <c r="N17" s="39">
        <f>AVERAGEIFS('Height Summary'!O$13:O$156,'Height Summary'!$F$13:$F$156, "NG3195",'Height Summary'!$E$13:$E$156, "FAO-N")</f>
        <v>96.083333333333329</v>
      </c>
      <c r="O17" s="39">
        <f>AVERAGEIFS('Height Summary'!P$13:P$156,'Height Summary'!$F$13:$F$156, "NG3195",'Height Summary'!$E$13:$E$156, "FAO-N")</f>
        <v>98.166666666666671</v>
      </c>
      <c r="P17" s="39">
        <f>AVERAGEIFS('Height Summary'!Q$13:Q$156,'Height Summary'!$F$13:$F$156, "NG3195",'Height Summary'!$E$13:$E$156, "FAO-N")</f>
        <v>98.666666666666671</v>
      </c>
      <c r="Q17" s="39">
        <f>AVERAGEIFS('Height Summary'!R$13:R$156,'Height Summary'!$F$13:$F$156, "NG3195",'Height Summary'!$E$13:$E$156, "FAO-N")</f>
        <v>97</v>
      </c>
      <c r="S17" s="106"/>
      <c r="T17" s="105" t="s">
        <v>44</v>
      </c>
      <c r="U17" s="39">
        <f>AVERAGEIFS('Height Summary'!G$13:G$156,'Height Summary'!$F$13:$F$156, "NG4936",'Height Summary'!$E$13:$E$156, "FAO-N")</f>
        <v>6.083333333333333</v>
      </c>
      <c r="V17" s="39">
        <f>AVERAGEIFS('Height Summary'!H$13:H$156,'Height Summary'!$F$13:$F$156, "NG4936",'Height Summary'!$E$13:$E$156, "FAO-N")</f>
        <v>11.75</v>
      </c>
      <c r="W17" s="39">
        <f>AVERAGEIFS('Height Summary'!I$13:I$156,'Height Summary'!$F$13:$F$156, "NG4936",'Height Summary'!$E$13:$E$156, "FAO-N")</f>
        <v>17.416666666666668</v>
      </c>
      <c r="X17" s="39">
        <f>AVERAGEIFS('Height Summary'!J$13:J$156,'Height Summary'!$F$13:$F$156, "NG4936",'Height Summary'!$E$13:$E$156, "FAO-N")</f>
        <v>41.25</v>
      </c>
      <c r="Y17" s="39">
        <f>AVERAGEIFS('Height Summary'!K$13:K$156,'Height Summary'!$F$13:$F$156, "NG4936",'Height Summary'!$E$13:$E$156, "FAO-N")</f>
        <v>59.583333333333336</v>
      </c>
      <c r="Z17" s="39">
        <f>AVERAGEIFS('Height Summary'!L$13:L$156,'Height Summary'!$F$13:$F$156, "NG4936",'Height Summary'!$E$13:$E$156, "FAO-N")</f>
        <v>65</v>
      </c>
      <c r="AA17" s="39">
        <f>AVERAGEIFS('Height Summary'!M$13:M$156,'Height Summary'!$F$13:$F$156, "NG4936",'Height Summary'!$E$13:$E$156, "FAO-N")</f>
        <v>76.916666666666671</v>
      </c>
      <c r="AB17" s="39">
        <f>AVERAGEIFS('Height Summary'!N$13:N$156,'Height Summary'!$F$13:$F$156, "NG4936",'Height Summary'!$E$13:$E$156, "FAO-N")</f>
        <v>86.166666666666671</v>
      </c>
      <c r="AC17" s="39">
        <f>AVERAGEIFS('Height Summary'!O$13:O$156,'Height Summary'!$F$13:$F$156, "NG4936",'Height Summary'!$E$13:$E$156, "FAO-N")</f>
        <v>89</v>
      </c>
      <c r="AD17" s="39">
        <f>AVERAGEIFS('Height Summary'!P$13:P$156,'Height Summary'!$F$13:$F$156, "NG4936",'Height Summary'!$E$13:$E$156, "FAO-N")</f>
        <v>91.333333333333329</v>
      </c>
      <c r="AE17" s="39">
        <f>AVERAGEIFS('Height Summary'!Q$13:Q$156,'Height Summary'!$F$13:$F$156, "NG4936",'Height Summary'!$E$13:$E$156, "FAO-N")</f>
        <v>92.166666666666671</v>
      </c>
      <c r="AF17" s="39">
        <f>AVERAGEIFS('Height Summary'!R$13:R$156,'Height Summary'!$F$13:$F$156, "NG4936",'Height Summary'!$E$13:$E$156, "FAO-N")</f>
        <v>91</v>
      </c>
    </row>
    <row r="18" spans="1:32" ht="21" x14ac:dyDescent="0.35">
      <c r="A18" s="104"/>
      <c r="B18" s="105"/>
      <c r="C18" s="25"/>
      <c r="G18" s="52"/>
      <c r="S18" s="106"/>
      <c r="T18" s="105"/>
      <c r="U18" s="25"/>
      <c r="Y18" s="52"/>
    </row>
    <row r="19" spans="1:32" ht="21" x14ac:dyDescent="0.35">
      <c r="A19" s="107"/>
      <c r="B19" s="105"/>
      <c r="C19" s="25"/>
      <c r="D19" s="46"/>
      <c r="E19" s="46"/>
      <c r="F19" s="46"/>
      <c r="G19" s="46"/>
      <c r="H19" s="46"/>
      <c r="I19" s="46"/>
      <c r="J19" s="46"/>
      <c r="K19" s="46"/>
      <c r="L19" s="46"/>
      <c r="M19" s="46"/>
      <c r="N19" s="46"/>
      <c r="O19" s="46"/>
      <c r="P19" s="46"/>
      <c r="Q19" s="46"/>
      <c r="R19" s="44"/>
      <c r="S19" s="44"/>
      <c r="T19" s="44"/>
      <c r="U19" s="44"/>
      <c r="V19" s="44"/>
      <c r="W19" s="44"/>
      <c r="X19" s="44"/>
      <c r="Y19" s="44"/>
      <c r="Z19" s="44"/>
      <c r="AA19" s="44"/>
      <c r="AB19" s="44"/>
      <c r="AC19" s="44"/>
      <c r="AD19" s="44"/>
      <c r="AE19" s="44"/>
      <c r="AF19" s="44"/>
    </row>
    <row r="20" spans="1:32" ht="21" x14ac:dyDescent="0.35">
      <c r="A20" s="100" t="s">
        <v>22</v>
      </c>
      <c r="B20" s="105"/>
      <c r="C20" s="44"/>
      <c r="D20" s="47"/>
      <c r="E20" s="47"/>
      <c r="F20" s="47"/>
      <c r="G20" s="47"/>
      <c r="H20" s="47"/>
      <c r="I20" s="47"/>
      <c r="J20" s="47"/>
      <c r="K20" s="47"/>
      <c r="L20" s="47"/>
      <c r="M20" s="47"/>
      <c r="N20" s="47"/>
      <c r="O20" s="47"/>
      <c r="P20" s="47"/>
      <c r="Q20" s="47"/>
      <c r="R20" s="44"/>
      <c r="S20" s="100" t="s">
        <v>22</v>
      </c>
      <c r="T20" s="105"/>
      <c r="U20" s="34"/>
      <c r="V20" s="47"/>
      <c r="W20" s="47"/>
      <c r="X20" s="47"/>
      <c r="Y20" s="47"/>
      <c r="Z20" s="47"/>
      <c r="AA20" s="47"/>
      <c r="AB20" s="47"/>
      <c r="AC20" s="47"/>
      <c r="AD20" s="47"/>
      <c r="AE20" s="47"/>
      <c r="AF20" s="47"/>
    </row>
    <row r="21" spans="1:32" ht="21" x14ac:dyDescent="0.35">
      <c r="A21" s="107"/>
      <c r="B21" s="105"/>
      <c r="D21" s="25"/>
      <c r="E21" s="25"/>
      <c r="F21" s="25"/>
      <c r="G21" s="25"/>
      <c r="H21" s="25"/>
      <c r="I21" s="25"/>
      <c r="J21" s="25"/>
      <c r="K21" s="25"/>
      <c r="L21" s="25"/>
      <c r="M21" s="25"/>
      <c r="N21" s="25"/>
      <c r="O21" s="25"/>
      <c r="P21" s="25"/>
      <c r="Q21" s="25"/>
      <c r="S21" s="107"/>
      <c r="T21" s="105"/>
      <c r="V21" s="25"/>
      <c r="W21" s="25"/>
      <c r="X21" s="25"/>
      <c r="Y21" s="25"/>
      <c r="Z21" s="25"/>
      <c r="AA21" s="25"/>
      <c r="AB21" s="25"/>
      <c r="AC21" s="25"/>
      <c r="AD21" s="25"/>
      <c r="AE21" s="25"/>
      <c r="AF21" s="25"/>
    </row>
    <row r="22" spans="1:32" ht="21" x14ac:dyDescent="0.35">
      <c r="A22" s="107"/>
      <c r="B22" s="105"/>
      <c r="C22" s="46"/>
      <c r="D22" s="46">
        <v>44348</v>
      </c>
      <c r="E22" s="46">
        <v>44354</v>
      </c>
      <c r="F22" s="46">
        <f>'Cover Summary'!G9</f>
        <v>44713</v>
      </c>
      <c r="G22" s="46">
        <f>'Cover Summary'!H9</f>
        <v>44718</v>
      </c>
      <c r="H22" s="46">
        <f>'Cover Summary'!I9</f>
        <v>44725</v>
      </c>
      <c r="I22" s="46">
        <f>'Cover Summary'!J9</f>
        <v>44739</v>
      </c>
      <c r="J22" s="46">
        <f>'Cover Summary'!K9</f>
        <v>44747</v>
      </c>
      <c r="K22" s="46">
        <f>'Cover Summary'!L9</f>
        <v>44753</v>
      </c>
      <c r="L22" s="46">
        <f>'Cover Summary'!M9</f>
        <v>44767</v>
      </c>
      <c r="M22" s="46">
        <f>'Cover Summary'!N9</f>
        <v>44781</v>
      </c>
      <c r="N22" s="46">
        <f>'Cover Summary'!O9</f>
        <v>44788</v>
      </c>
      <c r="O22" s="46" t="str">
        <f>'Cover Summary'!P9</f>
        <v>22-23 Aug 2022</v>
      </c>
      <c r="P22" s="46">
        <f>'Cover Summary'!Q9</f>
        <v>44802</v>
      </c>
      <c r="Q22" s="46">
        <f>'Cover Summary'!R9</f>
        <v>44812</v>
      </c>
      <c r="S22" s="107"/>
      <c r="T22" s="105"/>
      <c r="U22" s="46">
        <f>'Cover Summary'!G9</f>
        <v>44713</v>
      </c>
      <c r="V22" s="46">
        <f>'Cover Summary'!H9</f>
        <v>44718</v>
      </c>
      <c r="W22" s="46">
        <f>'Cover Summary'!I9</f>
        <v>44725</v>
      </c>
      <c r="X22" s="46">
        <f>'Cover Summary'!J9</f>
        <v>44739</v>
      </c>
      <c r="Y22" s="46">
        <f>'Cover Summary'!K9</f>
        <v>44747</v>
      </c>
      <c r="Z22" s="46">
        <f>'Cover Summary'!L9</f>
        <v>44753</v>
      </c>
      <c r="AA22" s="46">
        <f>'Cover Summary'!M9</f>
        <v>44767</v>
      </c>
      <c r="AB22" s="46">
        <f>'Cover Summary'!N9</f>
        <v>44781</v>
      </c>
      <c r="AC22" s="46">
        <f>'Cover Summary'!O9</f>
        <v>44788</v>
      </c>
      <c r="AD22" s="46" t="str">
        <f>'Cover Summary'!P9</f>
        <v>22-23 Aug 2022</v>
      </c>
      <c r="AE22" s="46">
        <f>'Cover Summary'!Q9</f>
        <v>44802</v>
      </c>
      <c r="AF22" s="46">
        <f>'Cover Summary'!R9</f>
        <v>44812</v>
      </c>
    </row>
    <row r="23" spans="1:32" ht="21" x14ac:dyDescent="0.2">
      <c r="A23" s="102" t="s">
        <v>43</v>
      </c>
      <c r="B23" s="105"/>
      <c r="C23" s="47"/>
      <c r="D23" s="33">
        <v>152</v>
      </c>
      <c r="E23" s="33">
        <v>158</v>
      </c>
      <c r="F23" s="33">
        <f>'Cover Summary'!G10</f>
        <v>152</v>
      </c>
      <c r="G23" s="33">
        <f>'Cover Summary'!H10</f>
        <v>157</v>
      </c>
      <c r="H23" s="33">
        <f>'Cover Summary'!I10</f>
        <v>164</v>
      </c>
      <c r="I23" s="33">
        <f>'Cover Summary'!J10</f>
        <v>178</v>
      </c>
      <c r="J23" s="33">
        <f>'Cover Summary'!K10</f>
        <v>186</v>
      </c>
      <c r="K23" s="33">
        <f>'Cover Summary'!L10</f>
        <v>192</v>
      </c>
      <c r="L23" s="33">
        <f>'Cover Summary'!M10</f>
        <v>206</v>
      </c>
      <c r="M23" s="33">
        <f>'Cover Summary'!N10</f>
        <v>220</v>
      </c>
      <c r="N23" s="33">
        <f>'Cover Summary'!O10</f>
        <v>227</v>
      </c>
      <c r="O23" s="33" t="str">
        <f>'Cover Summary'!P10</f>
        <v>234-235</v>
      </c>
      <c r="P23" s="33">
        <f>'Cover Summary'!Q10</f>
        <v>241</v>
      </c>
      <c r="Q23" s="33">
        <f>'Cover Summary'!R10</f>
        <v>251</v>
      </c>
      <c r="R23" s="45"/>
      <c r="S23" s="103" t="s">
        <v>41</v>
      </c>
      <c r="T23" s="105"/>
      <c r="U23" s="33">
        <f>'Cover Summary'!G10</f>
        <v>152</v>
      </c>
      <c r="V23" s="33">
        <f>'Cover Summary'!H10</f>
        <v>157</v>
      </c>
      <c r="W23" s="33">
        <f>'Cover Summary'!I10</f>
        <v>164</v>
      </c>
      <c r="X23" s="33">
        <f>'Cover Summary'!J10</f>
        <v>178</v>
      </c>
      <c r="Y23" s="33">
        <f>'Cover Summary'!K10</f>
        <v>186</v>
      </c>
      <c r="Z23" s="33">
        <f>'Cover Summary'!L10</f>
        <v>192</v>
      </c>
      <c r="AA23" s="33">
        <f>'Cover Summary'!M10</f>
        <v>206</v>
      </c>
      <c r="AB23" s="33">
        <f>'Cover Summary'!N10</f>
        <v>220</v>
      </c>
      <c r="AC23" s="33">
        <f>'Cover Summary'!O10</f>
        <v>227</v>
      </c>
      <c r="AD23" s="33" t="str">
        <f>'Cover Summary'!P10</f>
        <v>234-235</v>
      </c>
      <c r="AE23" s="33">
        <f>'Cover Summary'!Q10</f>
        <v>241</v>
      </c>
      <c r="AF23" s="33">
        <f>'Cover Summary'!R10</f>
        <v>251</v>
      </c>
    </row>
    <row r="24" spans="1:32" ht="21" x14ac:dyDescent="0.35">
      <c r="A24" s="104"/>
      <c r="B24" s="105" t="s">
        <v>48</v>
      </c>
      <c r="C24" s="39"/>
      <c r="D24" s="39" t="e">
        <v>#VALUE!</v>
      </c>
      <c r="E24" s="39" t="e">
        <v>#VALUE!</v>
      </c>
      <c r="F24" s="39">
        <f>AVERAGEIFS('Cover Summary'!G$13:G$156,'Cover Summary'!$F$13:$F$156, "NG3195",'Cover Summary'!$E$13:$E$156, "AQC")</f>
        <v>13.916666666666666</v>
      </c>
      <c r="G24" s="39">
        <f>AVERAGEIFS('Cover Summary'!H$13:H$156,'Cover Summary'!$F$13:$F$156, "NG3195",'Cover Summary'!$E$13:$E$156, "AQC")</f>
        <v>20.916666666666668</v>
      </c>
      <c r="H24" s="39">
        <f>AVERAGEIFS('Cover Summary'!I$13:I$156,'Cover Summary'!$F$13:$F$156, "NG3195",'Cover Summary'!$E$13:$E$156, "AQC")</f>
        <v>27.916666666666668</v>
      </c>
      <c r="I24" s="39">
        <f>AVERAGEIFS('Cover Summary'!J$13:J$156,'Cover Summary'!$F$13:$F$156, "NG3195",'Cover Summary'!$E$13:$E$156, "AQC")</f>
        <v>55.083333333333336</v>
      </c>
      <c r="J24" s="39">
        <f>AVERAGEIFS('Cover Summary'!K$13:K$156,'Cover Summary'!$F$13:$F$156, "NG3195",'Cover Summary'!$E$13:$E$156, "AQC")</f>
        <v>67.666666666666671</v>
      </c>
      <c r="K24" s="39">
        <f>AVERAGEIFS('Cover Summary'!L$13:L$156,'Cover Summary'!$F$13:$F$156, "NG3195",'Cover Summary'!$E$13:$E$156, "AQC")</f>
        <v>80.25</v>
      </c>
      <c r="L24" s="39">
        <f>AVERAGEIFS('Cover Summary'!M$13:M$156,'Cover Summary'!$F$13:$F$156, "NG3195",'Cover Summary'!$E$13:$E$156, "AQC")</f>
        <v>83.25</v>
      </c>
      <c r="M24" s="39">
        <f>AVERAGEIFS('Cover Summary'!N$13:N$156,'Cover Summary'!$F$13:$F$156, "NG3195",'Cover Summary'!$E$13:$E$156, "AQC")</f>
        <v>89.5</v>
      </c>
      <c r="N24" s="39">
        <f>AVERAGEIFS('Cover Summary'!O$13:O$156,'Cover Summary'!$F$13:$F$156, "NG3195",'Cover Summary'!$E$13:$E$156, "AQC")</f>
        <v>90.5</v>
      </c>
      <c r="O24" s="39">
        <f>AVERAGEIFS('Cover Summary'!P$13:P$156,'Cover Summary'!$F$13:$F$156, "NG3195",'Cover Summary'!$E$13:$E$156, "AQC")</f>
        <v>93.666666666666671</v>
      </c>
      <c r="P24" s="39">
        <f>AVERAGEIFS('Cover Summary'!Q$13:Q$156,'Cover Summary'!$F$13:$F$156, "NG3195",'Cover Summary'!$E$13:$E$156, "AQC")</f>
        <v>93</v>
      </c>
      <c r="Q24" s="39">
        <f>AVERAGEIFS('Cover Summary'!R$13:R$156,'Cover Summary'!$F$13:$F$156, "NG3195",'Cover Summary'!$E$13:$E$156, "AQC")</f>
        <v>93.5</v>
      </c>
      <c r="S24" s="106"/>
      <c r="T24" s="105" t="s">
        <v>48</v>
      </c>
      <c r="U24" s="39">
        <f>AVERAGEIFS('Cover Summary'!G$13:G$156,'Cover Summary'!$F$13:$F$156, "NG4936",'Cover Summary'!$E$13:$E$156, "AQC")</f>
        <v>8.3333333333333339</v>
      </c>
      <c r="V24" s="39">
        <f>AVERAGEIFS('Cover Summary'!H$13:H$156,'Cover Summary'!$F$13:$F$156, "NG4936",'Cover Summary'!$E$13:$E$156, "AQC")</f>
        <v>14.916666666666666</v>
      </c>
      <c r="W24" s="39">
        <f>AVERAGEIFS('Cover Summary'!I$13:I$156,'Cover Summary'!$F$13:$F$156, "NG4936",'Cover Summary'!$E$13:$E$156, "AQC")</f>
        <v>20</v>
      </c>
      <c r="X24" s="39">
        <f>AVERAGEIFS('Cover Summary'!J$13:J$156,'Cover Summary'!$F$13:$F$156, "NG4936",'Cover Summary'!$E$13:$E$156, "AQC")</f>
        <v>39.583333333333336</v>
      </c>
      <c r="Y24" s="39">
        <f>AVERAGEIFS('Cover Summary'!K$13:K$156,'Cover Summary'!$F$13:$F$156, "NG4936",'Cover Summary'!$E$13:$E$156, "AQC")</f>
        <v>54.583333333333336</v>
      </c>
      <c r="Z24" s="39">
        <f>AVERAGEIFS('Cover Summary'!L$13:L$156,'Cover Summary'!$F$13:$F$156, "NG4936",'Cover Summary'!$E$13:$E$156, "AQC")</f>
        <v>66.916666666666671</v>
      </c>
      <c r="AA24" s="39">
        <f>AVERAGEIFS('Cover Summary'!M$13:M$156,'Cover Summary'!$F$13:$F$156, "NG4936",'Cover Summary'!$E$13:$E$156, "AQC")</f>
        <v>75.333333333333329</v>
      </c>
      <c r="AB24" s="39">
        <f>AVERAGEIFS('Cover Summary'!N$13:N$156,'Cover Summary'!$F$13:$F$156, "NG4936",'Cover Summary'!$E$13:$E$156, "AQC")</f>
        <v>82.583333333333329</v>
      </c>
      <c r="AC24" s="39">
        <f>AVERAGEIFS('Cover Summary'!O$13:O$156,'Cover Summary'!$F$13:$F$156, "NG4936",'Cover Summary'!$E$13:$E$156, "AQC")</f>
        <v>83.555555555555557</v>
      </c>
      <c r="AD24" s="39">
        <f>AVERAGEIFS('Cover Summary'!P$13:P$156,'Cover Summary'!$F$13:$F$156, "NG4936",'Cover Summary'!$E$13:$E$156, "AQC")</f>
        <v>85.428571428571431</v>
      </c>
      <c r="AE24" s="39">
        <f>AVERAGEIFS('Cover Summary'!Q$13:Q$156,'Cover Summary'!$F$13:$F$156, "NG4936",'Cover Summary'!$E$13:$E$156, "AQC")</f>
        <v>88.571428571428569</v>
      </c>
      <c r="AF24" s="39">
        <f>AVERAGEIFS('Cover Summary'!R$13:R$156,'Cover Summary'!$F$13:$F$156, "NG4936",'Cover Summary'!$E$13:$E$156, "AQC")</f>
        <v>89.285714285714292</v>
      </c>
    </row>
    <row r="25" spans="1:32" ht="21" x14ac:dyDescent="0.35">
      <c r="A25" s="104"/>
      <c r="B25" s="105"/>
      <c r="C25" s="32"/>
      <c r="D25" s="25"/>
      <c r="E25" s="25"/>
      <c r="F25" s="25"/>
      <c r="G25" s="25"/>
      <c r="H25" s="25"/>
      <c r="I25" s="25"/>
      <c r="J25" s="25"/>
      <c r="K25" s="25"/>
      <c r="L25" s="25"/>
      <c r="M25" s="25"/>
      <c r="N25" s="25"/>
      <c r="O25" s="25"/>
      <c r="P25" s="25"/>
      <c r="Q25" s="25"/>
      <c r="R25" s="4"/>
      <c r="S25" s="106"/>
      <c r="T25" s="105"/>
      <c r="U25" s="25"/>
      <c r="V25" s="25"/>
      <c r="W25" s="25"/>
      <c r="X25" s="25"/>
      <c r="Y25" s="25"/>
      <c r="Z25" s="25"/>
      <c r="AA25" s="25"/>
      <c r="AB25" s="25"/>
      <c r="AC25" s="25"/>
      <c r="AD25" s="25"/>
      <c r="AE25" s="25"/>
      <c r="AF25" s="25"/>
    </row>
    <row r="26" spans="1:32" ht="21" x14ac:dyDescent="0.35">
      <c r="A26" s="104"/>
      <c r="B26" s="105" t="s">
        <v>45</v>
      </c>
      <c r="C26" s="39"/>
      <c r="D26" s="39" t="e">
        <v>#VALUE!</v>
      </c>
      <c r="E26" s="39" t="e">
        <v>#VALUE!</v>
      </c>
      <c r="F26" s="39">
        <f>AVERAGEIFS('Cover Summary'!G$13:G$156,'Cover Summary'!$F$13:$F$156, "NG3195",'Cover Summary'!$E$13:$E$156, "AQC-N")</f>
        <v>13.583333333333334</v>
      </c>
      <c r="G26" s="39">
        <f>AVERAGEIFS('Cover Summary'!H$13:H$156,'Cover Summary'!$F$13:$F$156, "NG3195",'Cover Summary'!$E$13:$E$156, "AQC-N")</f>
        <v>20.666666666666668</v>
      </c>
      <c r="H26" s="39">
        <f>AVERAGEIFS('Cover Summary'!I$13:I$156,'Cover Summary'!$F$13:$F$156, "NG3195",'Cover Summary'!$E$13:$E$156, "AQC-N")</f>
        <v>24.666666666666668</v>
      </c>
      <c r="I26" s="39">
        <f>AVERAGEIFS('Cover Summary'!J$13:J$156,'Cover Summary'!$F$13:$F$156, "NG3195",'Cover Summary'!$E$13:$E$156, "AQC-N")</f>
        <v>50.5</v>
      </c>
      <c r="J26" s="39">
        <f>AVERAGEIFS('Cover Summary'!K$13:K$156,'Cover Summary'!$F$13:$F$156, "NG3195",'Cover Summary'!$E$13:$E$156, "AQC-N")</f>
        <v>58.583333333333336</v>
      </c>
      <c r="K26" s="39">
        <f>AVERAGEIFS('Cover Summary'!L$13:L$156,'Cover Summary'!$F$13:$F$156, "NG3195",'Cover Summary'!$E$13:$E$156, "AQC-N")</f>
        <v>66.75</v>
      </c>
      <c r="L26" s="39">
        <f>AVERAGEIFS('Cover Summary'!M$13:M$156,'Cover Summary'!$F$13:$F$156, "NG3195",'Cover Summary'!$E$13:$E$156, "AQC-N")</f>
        <v>72.5</v>
      </c>
      <c r="M26" s="39">
        <f>AVERAGEIFS('Cover Summary'!N$13:N$156,'Cover Summary'!$F$13:$F$156, "NG3195",'Cover Summary'!$E$13:$E$156, "AQC-N")</f>
        <v>77</v>
      </c>
      <c r="N26" s="39">
        <f>AVERAGEIFS('Cover Summary'!O$13:O$156,'Cover Summary'!$F$13:$F$156, "NG3195",'Cover Summary'!$E$13:$E$156, "AQC-N")</f>
        <v>78.3</v>
      </c>
      <c r="O26" s="39">
        <f>AVERAGEIFS('Cover Summary'!P$13:P$156,'Cover Summary'!$F$13:$F$156, "NG3195",'Cover Summary'!$E$13:$E$156, "AQC-N")</f>
        <v>81.099999999999994</v>
      </c>
      <c r="P26" s="39">
        <f>AVERAGEIFS('Cover Summary'!Q$13:Q$156,'Cover Summary'!$F$13:$F$156, "NG3195",'Cover Summary'!$E$13:$E$156, "AQC-N")</f>
        <v>83.1</v>
      </c>
      <c r="Q26" s="39">
        <f>AVERAGEIFS('Cover Summary'!R$13:R$156,'Cover Summary'!$F$13:$F$156, "NG3195",'Cover Summary'!$E$13:$E$156, "AQC-N")</f>
        <v>78</v>
      </c>
      <c r="S26" s="106"/>
      <c r="T26" s="105" t="s">
        <v>45</v>
      </c>
      <c r="U26" s="39">
        <f>AVERAGEIFS('Cover Summary'!G$13:G$156,'Cover Summary'!$F$13:$F$156, "NG4936",'Cover Summary'!$E$13:$E$156, "AQC-N")</f>
        <v>5.583333333333333</v>
      </c>
      <c r="V26" s="39">
        <f>AVERAGEIFS('Cover Summary'!H$13:H$156,'Cover Summary'!$F$13:$F$156, "NG4936",'Cover Summary'!$E$13:$E$156, "AQC-N")</f>
        <v>11.75</v>
      </c>
      <c r="W26" s="39">
        <f>AVERAGEIFS('Cover Summary'!I$13:I$156,'Cover Summary'!$F$13:$F$156, "NG4936",'Cover Summary'!$E$13:$E$156, "AQC-N")</f>
        <v>16.416666666666668</v>
      </c>
      <c r="X26" s="39">
        <f>AVERAGEIFS('Cover Summary'!J$13:J$156,'Cover Summary'!$F$13:$F$156, "NG4936",'Cover Summary'!$E$13:$E$156, "AQC-N")</f>
        <v>36.333333333333336</v>
      </c>
      <c r="Y26" s="39">
        <f>AVERAGEIFS('Cover Summary'!K$13:K$156,'Cover Summary'!$F$13:$F$156, "NG4936",'Cover Summary'!$E$13:$E$156, "AQC-N")</f>
        <v>47.583333333333336</v>
      </c>
      <c r="Z26" s="39">
        <f>AVERAGEIFS('Cover Summary'!L$13:L$156,'Cover Summary'!$F$13:$F$156, "NG4936",'Cover Summary'!$E$13:$E$156, "AQC-N")</f>
        <v>59.583333333333336</v>
      </c>
      <c r="AA26" s="39">
        <f>AVERAGEIFS('Cover Summary'!M$13:M$156,'Cover Summary'!$F$13:$F$156, "NG4936",'Cover Summary'!$E$13:$E$156, "AQC-N")</f>
        <v>67.25</v>
      </c>
      <c r="AB26" s="39">
        <f>AVERAGEIFS('Cover Summary'!N$13:N$156,'Cover Summary'!$F$13:$F$156, "NG4936",'Cover Summary'!$E$13:$E$156, "AQC-N")</f>
        <v>74.833333333333329</v>
      </c>
      <c r="AC26" s="39">
        <f>AVERAGEIFS('Cover Summary'!O$13:O$156,'Cover Summary'!$F$13:$F$156, "NG4936",'Cover Summary'!$E$13:$E$156, "AQC-N")</f>
        <v>80.416666666666671</v>
      </c>
      <c r="AD26" s="39">
        <f>AVERAGEIFS('Cover Summary'!P$13:P$156,'Cover Summary'!$F$13:$F$156, "NG4936",'Cover Summary'!$E$13:$E$156, "AQC-N")</f>
        <v>82</v>
      </c>
      <c r="AE26" s="39">
        <f>AVERAGEIFS('Cover Summary'!Q$13:Q$156,'Cover Summary'!$F$13:$F$156, "NG4936",'Cover Summary'!$E$13:$E$156, "AQC-N")</f>
        <v>83.909090909090907</v>
      </c>
      <c r="AF26" s="39">
        <f>AVERAGEIFS('Cover Summary'!R$13:R$156,'Cover Summary'!$F$13:$F$156, "NG4936",'Cover Summary'!$E$13:$E$156, "AQC-N")</f>
        <v>84.909090909090907</v>
      </c>
    </row>
    <row r="27" spans="1:32" ht="21" x14ac:dyDescent="0.35">
      <c r="A27" s="104"/>
      <c r="B27" s="105"/>
      <c r="C27" s="32"/>
      <c r="D27" s="25"/>
      <c r="E27" s="25"/>
      <c r="F27" s="25"/>
      <c r="G27" s="25"/>
      <c r="H27" s="25"/>
      <c r="I27" s="25"/>
      <c r="J27" s="25"/>
      <c r="K27" s="25"/>
      <c r="L27" s="25"/>
      <c r="M27" s="25"/>
      <c r="N27" s="25"/>
      <c r="O27" s="25"/>
      <c r="P27" s="25"/>
      <c r="Q27" s="25"/>
      <c r="R27" s="4"/>
      <c r="S27" s="106"/>
      <c r="T27" s="105"/>
      <c r="U27" s="25"/>
      <c r="V27" s="25"/>
      <c r="W27" s="25"/>
      <c r="X27" s="25"/>
      <c r="Y27" s="25"/>
      <c r="Z27" s="25"/>
      <c r="AA27" s="25"/>
      <c r="AB27" s="25"/>
      <c r="AC27" s="25"/>
      <c r="AD27" s="25"/>
      <c r="AE27" s="25"/>
      <c r="AF27" s="25"/>
    </row>
    <row r="28" spans="1:32" ht="21" x14ac:dyDescent="0.35">
      <c r="A28" s="104"/>
      <c r="B28" s="105" t="s">
        <v>46</v>
      </c>
      <c r="C28" s="39"/>
      <c r="D28" s="39" t="e">
        <v>#VALUE!</v>
      </c>
      <c r="E28" s="39" t="e">
        <v>#VALUE!</v>
      </c>
      <c r="F28" s="39">
        <f>AVERAGEIFS('Cover Summary'!G$13:G$156,'Cover Summary'!$F$13:$F$156, "NG3195",'Cover Summary'!$E$13:$E$156, "CSM")</f>
        <v>13.666666666666666</v>
      </c>
      <c r="G28" s="39">
        <f>AVERAGEIFS('Cover Summary'!H$13:H$156,'Cover Summary'!$F$13:$F$156, "NG3195",'Cover Summary'!$E$13:$E$156, "CSM")</f>
        <v>19.416666666666668</v>
      </c>
      <c r="H28" s="39">
        <f>AVERAGEIFS('Cover Summary'!I$13:I$156,'Cover Summary'!$F$13:$F$156, "NG3195",'Cover Summary'!$E$13:$E$156, "CSM")</f>
        <v>25.833333333333332</v>
      </c>
      <c r="I28" s="39">
        <f>AVERAGEIFS('Cover Summary'!J$13:J$156,'Cover Summary'!$F$13:$F$156, "NG3195",'Cover Summary'!$E$13:$E$156, "CSM")</f>
        <v>52.833333333333336</v>
      </c>
      <c r="J28" s="39">
        <f>AVERAGEIFS('Cover Summary'!K$13:K$156,'Cover Summary'!$F$13:$F$156, "NG3195",'Cover Summary'!$E$13:$E$156, "CSM")</f>
        <v>62.166666666666664</v>
      </c>
      <c r="K28" s="39">
        <f>AVERAGEIFS('Cover Summary'!L$13:L$156,'Cover Summary'!$F$13:$F$156, "NG3195",'Cover Summary'!$E$13:$E$156, "CSM")</f>
        <v>72.666666666666671</v>
      </c>
      <c r="L28" s="39">
        <f>AVERAGEIFS('Cover Summary'!M$13:M$156,'Cover Summary'!$F$13:$F$156, "NG3195",'Cover Summary'!$E$13:$E$156, "CSM")</f>
        <v>72.777777777777771</v>
      </c>
      <c r="M28" s="39">
        <f>AVERAGEIFS('Cover Summary'!N$13:N$156,'Cover Summary'!$F$13:$F$156, "NG3195",'Cover Summary'!$E$13:$E$156, "CSM")</f>
        <v>83.666666666666671</v>
      </c>
      <c r="N28" s="39">
        <f>AVERAGEIFS('Cover Summary'!O$13:O$156,'Cover Summary'!$F$13:$F$156, "NG3195",'Cover Summary'!$E$13:$E$156, "CSM")</f>
        <v>86.142857142857139</v>
      </c>
      <c r="O28" s="39">
        <f>AVERAGEIFS('Cover Summary'!P$13:P$156,'Cover Summary'!$F$13:$F$156, "NG3195",'Cover Summary'!$E$13:$E$156, "CSM")</f>
        <v>89.4</v>
      </c>
      <c r="P28" s="39">
        <f>AVERAGEIFS('Cover Summary'!Q$13:Q$156,'Cover Summary'!$F$13:$F$156, "NG3195",'Cover Summary'!$E$13:$E$156, "CSM")</f>
        <v>90</v>
      </c>
      <c r="Q28" s="39">
        <f>AVERAGEIFS('Cover Summary'!R$13:R$156,'Cover Summary'!$F$13:$F$156, "NG3195",'Cover Summary'!$E$13:$E$156, "CSM")</f>
        <v>87.5</v>
      </c>
      <c r="S28" s="106"/>
      <c r="T28" s="105" t="s">
        <v>46</v>
      </c>
      <c r="U28" s="39">
        <f>AVERAGEIFS('Cover Summary'!G$13:G$156,'Cover Summary'!$F$13:$F$156, "NG4936",'Cover Summary'!$E$13:$E$156, "CSM")</f>
        <v>6.833333333333333</v>
      </c>
      <c r="V28" s="39">
        <f>AVERAGEIFS('Cover Summary'!H$13:H$156,'Cover Summary'!$F$13:$F$156, "NG4936",'Cover Summary'!$E$13:$E$156, "CSM")</f>
        <v>12</v>
      </c>
      <c r="W28" s="39">
        <f>AVERAGEIFS('Cover Summary'!I$13:I$156,'Cover Summary'!$F$13:$F$156, "NG4936",'Cover Summary'!$E$13:$E$156, "CSM")</f>
        <v>16.833333333333332</v>
      </c>
      <c r="X28" s="39">
        <f>AVERAGEIFS('Cover Summary'!J$13:J$156,'Cover Summary'!$F$13:$F$156, "NG4936",'Cover Summary'!$E$13:$E$156, "CSM")</f>
        <v>37.666666666666664</v>
      </c>
      <c r="Y28" s="39">
        <f>AVERAGEIFS('Cover Summary'!K$13:K$156,'Cover Summary'!$F$13:$F$156, "NG4936",'Cover Summary'!$E$13:$E$156, "CSM")</f>
        <v>51.25</v>
      </c>
      <c r="Z28" s="39">
        <f>AVERAGEIFS('Cover Summary'!L$13:L$156,'Cover Summary'!$F$13:$F$156, "NG4936",'Cover Summary'!$E$13:$E$156, "CSM")</f>
        <v>63.583333333333336</v>
      </c>
      <c r="AA28" s="39">
        <f>AVERAGEIFS('Cover Summary'!M$13:M$156,'Cover Summary'!$F$13:$F$156, "NG4936",'Cover Summary'!$E$13:$E$156, "CSM")</f>
        <v>73.333333333333329</v>
      </c>
      <c r="AB28" s="39">
        <f>AVERAGEIFS('Cover Summary'!N$13:N$156,'Cover Summary'!$F$13:$F$156, "NG4936",'Cover Summary'!$E$13:$E$156, "CSM")</f>
        <v>76.3</v>
      </c>
      <c r="AC28" s="39">
        <f>AVERAGEIFS('Cover Summary'!O$13:O$156,'Cover Summary'!$F$13:$F$156, "NG4936",'Cover Summary'!$E$13:$E$156, "CSM")</f>
        <v>81.5</v>
      </c>
      <c r="AD28" s="39">
        <f>AVERAGEIFS('Cover Summary'!P$13:P$156,'Cover Summary'!$F$13:$F$156, "NG4936",'Cover Summary'!$E$13:$E$156, "CSM")</f>
        <v>83.888888888888886</v>
      </c>
      <c r="AE28" s="39">
        <f>AVERAGEIFS('Cover Summary'!Q$13:Q$156,'Cover Summary'!$F$13:$F$156, "NG4936",'Cover Summary'!$E$13:$E$156, "CSM")</f>
        <v>86.222222222222229</v>
      </c>
      <c r="AF28" s="39">
        <f>AVERAGEIFS('Cover Summary'!R$13:R$156,'Cover Summary'!$F$13:$F$156, "NG4936",'Cover Summary'!$E$13:$E$156, "CSM")</f>
        <v>91.285714285714292</v>
      </c>
    </row>
    <row r="29" spans="1:32" ht="21" x14ac:dyDescent="0.35">
      <c r="A29" s="104"/>
      <c r="B29" s="105"/>
      <c r="C29" s="32"/>
      <c r="D29" s="25"/>
      <c r="E29" s="25"/>
      <c r="F29" s="25"/>
      <c r="G29" s="25"/>
      <c r="H29" s="25"/>
      <c r="I29" s="25"/>
      <c r="J29" s="25"/>
      <c r="K29" s="25"/>
      <c r="L29" s="25"/>
      <c r="M29" s="25"/>
      <c r="N29" s="25"/>
      <c r="O29" s="25"/>
      <c r="P29" s="25"/>
      <c r="Q29" s="25"/>
      <c r="R29" s="4"/>
      <c r="S29" s="106"/>
      <c r="T29" s="105"/>
      <c r="U29" s="25"/>
      <c r="V29" s="25"/>
      <c r="W29" s="25"/>
      <c r="X29" s="25"/>
      <c r="Y29" s="25"/>
      <c r="Z29" s="25"/>
      <c r="AA29" s="25"/>
      <c r="AB29" s="25"/>
      <c r="AC29" s="25"/>
      <c r="AD29" s="25"/>
      <c r="AE29" s="25"/>
      <c r="AF29" s="25"/>
    </row>
    <row r="30" spans="1:32" ht="21" x14ac:dyDescent="0.35">
      <c r="A30" s="104"/>
      <c r="B30" s="105" t="s">
        <v>47</v>
      </c>
      <c r="C30" s="39"/>
      <c r="D30" s="39" t="e">
        <v>#VALUE!</v>
      </c>
      <c r="E30" s="39" t="e">
        <v>#VALUE!</v>
      </c>
      <c r="F30" s="39">
        <f>AVERAGEIFS('Cover Summary'!G$13:G$156,'Cover Summary'!$F$13:$F$156, "NG3195",'Cover Summary'!$E$13:$E$156, "CSM-N")</f>
        <v>13.333333333333334</v>
      </c>
      <c r="G30" s="39">
        <f>AVERAGEIFS('Cover Summary'!H$13:H$156,'Cover Summary'!$F$13:$F$156, "NG3195",'Cover Summary'!$E$13:$E$156, "CSM-N")</f>
        <v>21.083333333333332</v>
      </c>
      <c r="H30" s="39">
        <f>AVERAGEIFS('Cover Summary'!I$13:I$156,'Cover Summary'!$F$13:$F$156, "NG3195",'Cover Summary'!$E$13:$E$156, "CSM-N")</f>
        <v>26.583333333333332</v>
      </c>
      <c r="I30" s="39">
        <f>AVERAGEIFS('Cover Summary'!J$13:J$156,'Cover Summary'!$F$13:$F$156, "NG3195",'Cover Summary'!$E$13:$E$156, "CSM-N")</f>
        <v>52.333333333333336</v>
      </c>
      <c r="J30" s="39">
        <f>AVERAGEIFS('Cover Summary'!K$13:K$156,'Cover Summary'!$F$13:$F$156, "NG3195",'Cover Summary'!$E$13:$E$156, "CSM-N")</f>
        <v>61.75</v>
      </c>
      <c r="K30" s="39">
        <f>AVERAGEIFS('Cover Summary'!L$13:L$156,'Cover Summary'!$F$13:$F$156, "NG3195",'Cover Summary'!$E$13:$E$156, "CSM-N")</f>
        <v>71.416666666666671</v>
      </c>
      <c r="L30" s="39">
        <f>AVERAGEIFS('Cover Summary'!M$13:M$156,'Cover Summary'!$F$13:$F$156, "NG3195",'Cover Summary'!$E$13:$E$156, "CSM-N")</f>
        <v>75.727272727272734</v>
      </c>
      <c r="M30" s="39">
        <f>AVERAGEIFS('Cover Summary'!N$13:N$156,'Cover Summary'!$F$13:$F$156, "NG3195",'Cover Summary'!$E$13:$E$156, "CSM-N")</f>
        <v>79.3</v>
      </c>
      <c r="N30" s="39">
        <f>AVERAGEIFS('Cover Summary'!O$13:O$156,'Cover Summary'!$F$13:$F$156, "NG3195",'Cover Summary'!$E$13:$E$156, "CSM-N")</f>
        <v>81.375</v>
      </c>
      <c r="O30" s="39">
        <f>AVERAGEIFS('Cover Summary'!P$13:P$156,'Cover Summary'!$F$13:$F$156, "NG3195",'Cover Summary'!$E$13:$E$156, "CSM-N")</f>
        <v>85.714285714285708</v>
      </c>
      <c r="P30" s="39">
        <f>AVERAGEIFS('Cover Summary'!Q$13:Q$156,'Cover Summary'!$F$13:$F$156, "NG3195",'Cover Summary'!$E$13:$E$156, "CSM-N")</f>
        <v>88.4</v>
      </c>
      <c r="Q30" s="39">
        <f>AVERAGEIFS('Cover Summary'!R$13:R$156,'Cover Summary'!$F$13:$F$156, "NG3195",'Cover Summary'!$E$13:$E$156, "CSM-N")</f>
        <v>74</v>
      </c>
      <c r="S30" s="106"/>
      <c r="T30" s="105" t="s">
        <v>47</v>
      </c>
      <c r="U30" s="39">
        <f>AVERAGEIFS('Cover Summary'!G$13:G$156,'Cover Summary'!$F$13:$F$156, "NG4936",'Cover Summary'!$E$13:$E$156, "CSM-N")</f>
        <v>8.3333333333333339</v>
      </c>
      <c r="V30" s="39">
        <f>AVERAGEIFS('Cover Summary'!H$13:H$156,'Cover Summary'!$F$13:$F$156, "NG4936",'Cover Summary'!$E$13:$E$156, "CSM-N")</f>
        <v>13.25</v>
      </c>
      <c r="W30" s="39">
        <f>AVERAGEIFS('Cover Summary'!I$13:I$156,'Cover Summary'!$F$13:$F$156, "NG4936",'Cover Summary'!$E$13:$E$156, "CSM-N")</f>
        <v>18.583333333333332</v>
      </c>
      <c r="X30" s="39">
        <f>AVERAGEIFS('Cover Summary'!J$13:J$156,'Cover Summary'!$F$13:$F$156, "NG4936",'Cover Summary'!$E$13:$E$156, "CSM-N")</f>
        <v>40.75</v>
      </c>
      <c r="Y30" s="39">
        <f>AVERAGEIFS('Cover Summary'!K$13:K$156,'Cover Summary'!$F$13:$F$156, "NG4936",'Cover Summary'!$E$13:$E$156, "CSM-N")</f>
        <v>52.583333333333336</v>
      </c>
      <c r="Z30" s="39">
        <f>AVERAGEIFS('Cover Summary'!L$13:L$156,'Cover Summary'!$F$13:$F$156, "NG4936",'Cover Summary'!$E$13:$E$156, "CSM-N")</f>
        <v>62.583333333333336</v>
      </c>
      <c r="AA30" s="39">
        <f>AVERAGEIFS('Cover Summary'!M$13:M$156,'Cover Summary'!$F$13:$F$156, "NG4936",'Cover Summary'!$E$13:$E$156, "CSM-N")</f>
        <v>69.583333333333329</v>
      </c>
      <c r="AB30" s="39">
        <f>AVERAGEIFS('Cover Summary'!N$13:N$156,'Cover Summary'!$F$13:$F$156, "NG4936",'Cover Summary'!$E$13:$E$156, "CSM-N")</f>
        <v>78.416666666666671</v>
      </c>
      <c r="AC30" s="39">
        <f>AVERAGEIFS('Cover Summary'!O$13:O$156,'Cover Summary'!$F$13:$F$156, "NG4936",'Cover Summary'!$E$13:$E$156, "CSM-N")</f>
        <v>80.900000000000006</v>
      </c>
      <c r="AD30" s="39">
        <f>AVERAGEIFS('Cover Summary'!P$13:P$156,'Cover Summary'!$F$13:$F$156, "NG4936",'Cover Summary'!$E$13:$E$156, "CSM-N")</f>
        <v>84.333333333333329</v>
      </c>
      <c r="AE30" s="39">
        <f>AVERAGEIFS('Cover Summary'!Q$13:Q$156,'Cover Summary'!$F$13:$F$156, "NG4936",'Cover Summary'!$E$13:$E$156, "CSM-N")</f>
        <v>85.571428571428569</v>
      </c>
      <c r="AF30" s="39">
        <f>AVERAGEIFS('Cover Summary'!R$13:R$156,'Cover Summary'!$F$13:$F$156, "NG4936",'Cover Summary'!$E$13:$E$156, "CSM-N")</f>
        <v>78.75</v>
      </c>
    </row>
    <row r="31" spans="1:32" ht="21" x14ac:dyDescent="0.35">
      <c r="A31" s="104"/>
      <c r="B31" s="105"/>
      <c r="C31" s="25"/>
      <c r="D31" s="25"/>
      <c r="E31" s="25"/>
      <c r="F31" s="25"/>
      <c r="G31" s="25"/>
      <c r="H31" s="25"/>
      <c r="I31" s="25"/>
      <c r="J31" s="25"/>
      <c r="K31" s="25"/>
      <c r="L31" s="25"/>
      <c r="M31" s="25"/>
      <c r="N31" s="25"/>
      <c r="O31" s="25"/>
      <c r="P31" s="25"/>
      <c r="Q31" s="25"/>
      <c r="R31" s="4"/>
      <c r="S31" s="106"/>
      <c r="T31" s="105"/>
      <c r="U31" s="25"/>
      <c r="V31" s="25"/>
      <c r="W31" s="25"/>
      <c r="X31" s="25"/>
      <c r="Y31" s="25"/>
      <c r="Z31" s="25"/>
      <c r="AA31" s="25"/>
      <c r="AB31" s="25"/>
      <c r="AC31" s="25"/>
      <c r="AD31" s="25"/>
      <c r="AE31" s="25"/>
      <c r="AF31" s="25"/>
    </row>
    <row r="32" spans="1:32" ht="21" x14ac:dyDescent="0.35">
      <c r="A32" s="104"/>
      <c r="B32" s="105" t="s">
        <v>42</v>
      </c>
      <c r="C32" s="39"/>
      <c r="D32" s="39" t="e">
        <v>#VALUE!</v>
      </c>
      <c r="E32" s="39" t="e">
        <v>#VALUE!</v>
      </c>
      <c r="F32" s="39">
        <f>AVERAGEIFS('Cover Summary'!G$13:G$156,'Cover Summary'!$F$13:$F$156, "NG3195",'Cover Summary'!$E$13:$E$156, "FAO")</f>
        <v>13.833333333333334</v>
      </c>
      <c r="G32" s="39">
        <f>AVERAGEIFS('Cover Summary'!H$13:H$156,'Cover Summary'!$F$13:$F$156, "NG3195",'Cover Summary'!$E$13:$E$156, "FAO")</f>
        <v>20.416666666666668</v>
      </c>
      <c r="H32" s="39">
        <f>AVERAGEIFS('Cover Summary'!I$13:I$156,'Cover Summary'!$F$13:$F$156, "NG3195",'Cover Summary'!$E$13:$E$156, "FAO")</f>
        <v>25.583333333333332</v>
      </c>
      <c r="I32" s="39">
        <f>AVERAGEIFS('Cover Summary'!J$13:J$156,'Cover Summary'!$F$13:$F$156, "NG3195",'Cover Summary'!$E$13:$E$156, "FAO")</f>
        <v>51.333333333333336</v>
      </c>
      <c r="J32" s="39">
        <f>AVERAGEIFS('Cover Summary'!K$13:K$156,'Cover Summary'!$F$13:$F$156, "NG3195",'Cover Summary'!$E$13:$E$156, "FAO")</f>
        <v>63.166666666666664</v>
      </c>
      <c r="K32" s="39">
        <f>AVERAGEIFS('Cover Summary'!L$13:L$156,'Cover Summary'!$F$13:$F$156, "NG3195",'Cover Summary'!$E$13:$E$156, "FAO")</f>
        <v>75.083333333333329</v>
      </c>
      <c r="L32" s="39">
        <f>AVERAGEIFS('Cover Summary'!M$13:M$156,'Cover Summary'!$F$13:$F$156, "NG3195",'Cover Summary'!$E$13:$E$156, "FAO")</f>
        <v>82</v>
      </c>
      <c r="M32" s="39">
        <f>AVERAGEIFS('Cover Summary'!N$13:N$156,'Cover Summary'!$F$13:$F$156, "NG3195",'Cover Summary'!$E$13:$E$156, "FAO")</f>
        <v>87.571428571428569</v>
      </c>
      <c r="N32" s="39">
        <f>AVERAGEIFS('Cover Summary'!O$13:O$156,'Cover Summary'!$F$13:$F$156, "NG3195",'Cover Summary'!$E$13:$E$156, "FAO")</f>
        <v>89</v>
      </c>
      <c r="O32" s="39">
        <f>AVERAGEIFS('Cover Summary'!P$13:P$156,'Cover Summary'!$F$13:$F$156, "NG3195",'Cover Summary'!$E$13:$E$156, "FAO")</f>
        <v>88.333333333333329</v>
      </c>
      <c r="P32" s="39">
        <f>AVERAGEIFS('Cover Summary'!Q$13:Q$156,'Cover Summary'!$F$13:$F$156, "NG3195",'Cover Summary'!$E$13:$E$156, "FAO")</f>
        <v>90.666666666666671</v>
      </c>
      <c r="Q32" s="39">
        <f>AVERAGEIFS('Cover Summary'!R$13:R$156,'Cover Summary'!$F$13:$F$156, "NG3195",'Cover Summary'!$E$13:$E$156, "FAO")</f>
        <v>89.666666666666671</v>
      </c>
      <c r="R32" s="4"/>
      <c r="S32" s="106"/>
      <c r="T32" s="105" t="s">
        <v>42</v>
      </c>
      <c r="U32" s="39">
        <f>AVERAGEIFS('Cover Summary'!G$13:G$156,'Cover Summary'!$F$13:$F$156, "NG4936",'Cover Summary'!$E$13:$E$156, "FAO")</f>
        <v>7.5</v>
      </c>
      <c r="V32" s="39">
        <f>AVERAGEIFS('Cover Summary'!H$13:H$156,'Cover Summary'!$F$13:$F$156, "NG4936",'Cover Summary'!$E$13:$E$156, "FAO")</f>
        <v>13.75</v>
      </c>
      <c r="W32" s="39">
        <f>AVERAGEIFS('Cover Summary'!I$13:I$156,'Cover Summary'!$F$13:$F$156, "NG4936",'Cover Summary'!$E$13:$E$156, "FAO")</f>
        <v>19.916666666666668</v>
      </c>
      <c r="X32" s="39">
        <f>AVERAGEIFS('Cover Summary'!J$13:J$156,'Cover Summary'!$F$13:$F$156, "NG4936",'Cover Summary'!$E$13:$E$156, "FAO")</f>
        <v>38.083333333333336</v>
      </c>
      <c r="Y32" s="39">
        <f>AVERAGEIFS('Cover Summary'!K$13:K$156,'Cover Summary'!$F$13:$F$156, "NG4936",'Cover Summary'!$E$13:$E$156, "FAO")</f>
        <v>51.916666666666664</v>
      </c>
      <c r="Z32" s="39">
        <f>AVERAGEIFS('Cover Summary'!L$13:L$156,'Cover Summary'!$F$13:$F$156, "NG4936",'Cover Summary'!$E$13:$E$156, "FAO")</f>
        <v>64.916666666666671</v>
      </c>
      <c r="AA32" s="39">
        <f>AVERAGEIFS('Cover Summary'!M$13:M$156,'Cover Summary'!$F$13:$F$156, "NG4936",'Cover Summary'!$E$13:$E$156, "FAO")</f>
        <v>73.916666666666671</v>
      </c>
      <c r="AB32" s="39">
        <f>AVERAGEIFS('Cover Summary'!N$13:N$156,'Cover Summary'!$F$13:$F$156, "NG4936",'Cover Summary'!$E$13:$E$156, "FAO")</f>
        <v>88.272727272727266</v>
      </c>
      <c r="AC32" s="39">
        <f>AVERAGEIFS('Cover Summary'!O$13:O$156,'Cover Summary'!$F$13:$F$156, "NG4936",'Cover Summary'!$E$13:$E$156, "FAO")</f>
        <v>93.090909090909093</v>
      </c>
      <c r="AD32" s="39">
        <f>AVERAGEIFS('Cover Summary'!P$13:P$156,'Cover Summary'!$F$13:$F$156, "NG4936",'Cover Summary'!$E$13:$E$156, "FAO")</f>
        <v>94.888888888888886</v>
      </c>
      <c r="AE32" s="39">
        <f>AVERAGEIFS('Cover Summary'!Q$13:Q$156,'Cover Summary'!$F$13:$F$156, "NG4936",'Cover Summary'!$E$13:$E$156, "FAO")</f>
        <v>93.285714285714292</v>
      </c>
      <c r="AF32" s="39">
        <f>AVERAGEIFS('Cover Summary'!R$13:R$156,'Cover Summary'!$F$13:$F$156, "NG4936",'Cover Summary'!$E$13:$E$156, "FAO")</f>
        <v>88.5</v>
      </c>
    </row>
    <row r="33" spans="1:32" ht="21" x14ac:dyDescent="0.35">
      <c r="A33" s="104"/>
      <c r="B33" s="105"/>
      <c r="C33" s="25"/>
      <c r="D33" s="52"/>
      <c r="E33" s="52"/>
      <c r="F33" s="52"/>
      <c r="G33" s="52"/>
      <c r="H33" s="52"/>
      <c r="I33" s="52"/>
      <c r="J33" s="52"/>
      <c r="K33" s="52"/>
      <c r="L33" s="52"/>
      <c r="M33" s="52"/>
      <c r="N33" s="52"/>
      <c r="O33" s="52"/>
      <c r="P33" s="52"/>
      <c r="Q33" s="52"/>
      <c r="R33" s="4"/>
      <c r="S33" s="106"/>
      <c r="T33" s="105"/>
      <c r="U33" s="52"/>
      <c r="V33" s="52"/>
      <c r="W33" s="52"/>
      <c r="X33" s="52"/>
      <c r="Y33" s="52"/>
      <c r="Z33" s="52"/>
      <c r="AA33" s="52"/>
      <c r="AB33" s="52"/>
      <c r="AC33" s="52"/>
      <c r="AD33" s="52"/>
      <c r="AE33" s="52"/>
      <c r="AF33" s="52"/>
    </row>
    <row r="34" spans="1:32" ht="21" x14ac:dyDescent="0.35">
      <c r="A34" s="104"/>
      <c r="B34" s="105" t="s">
        <v>44</v>
      </c>
      <c r="C34" s="39"/>
      <c r="D34" s="39" t="e">
        <v>#VALUE!</v>
      </c>
      <c r="E34" s="39" t="e">
        <v>#VALUE!</v>
      </c>
      <c r="F34" s="39">
        <f>AVERAGEIFS('Cover Summary'!G$13:G$156,'Cover Summary'!$F$13:$F$156, "NG3195",'Cover Summary'!$E$13:$E$156, "FAO-N")</f>
        <v>12.833333333333334</v>
      </c>
      <c r="G34" s="39">
        <f>AVERAGEIFS('Cover Summary'!H$13:H$156,'Cover Summary'!$F$13:$F$156, "NG3195",'Cover Summary'!$E$13:$E$156, "FAO-N")</f>
        <v>19</v>
      </c>
      <c r="H34" s="39">
        <f>AVERAGEIFS('Cover Summary'!I$13:I$156,'Cover Summary'!$F$13:$F$156, "NG3195",'Cover Summary'!$E$13:$E$156, "FAO-N")</f>
        <v>25.75</v>
      </c>
      <c r="I34" s="39">
        <f>AVERAGEIFS('Cover Summary'!J$13:J$156,'Cover Summary'!$F$13:$F$156, "NG3195",'Cover Summary'!$E$13:$E$156, "FAO-N")</f>
        <v>51.5</v>
      </c>
      <c r="J34" s="39">
        <f>AVERAGEIFS('Cover Summary'!K$13:K$156,'Cover Summary'!$F$13:$F$156, "NG3195",'Cover Summary'!$E$13:$E$156, "FAO-N")</f>
        <v>62.916666666666664</v>
      </c>
      <c r="K34" s="39">
        <f>AVERAGEIFS('Cover Summary'!L$13:L$156,'Cover Summary'!$F$13:$F$156, "NG3195",'Cover Summary'!$E$13:$E$156, "FAO-N")</f>
        <v>72.333333333333329</v>
      </c>
      <c r="L34" s="39">
        <f>AVERAGEIFS('Cover Summary'!M$13:M$156,'Cover Summary'!$F$13:$F$156, "NG3195",'Cover Summary'!$E$13:$E$156, "FAO-N")</f>
        <v>77.916666666666671</v>
      </c>
      <c r="M34" s="39">
        <f>AVERAGEIFS('Cover Summary'!N$13:N$156,'Cover Summary'!$F$13:$F$156, "NG3195",'Cover Summary'!$E$13:$E$156, "FAO-N")</f>
        <v>83.8</v>
      </c>
      <c r="N34" s="39">
        <f>AVERAGEIFS('Cover Summary'!O$13:O$156,'Cover Summary'!$F$13:$F$156, "NG3195",'Cover Summary'!$E$13:$E$156, "FAO-N")</f>
        <v>87.111111111111114</v>
      </c>
      <c r="O34" s="39">
        <f>AVERAGEIFS('Cover Summary'!P$13:P$156,'Cover Summary'!$F$13:$F$156, "NG3195",'Cover Summary'!$E$13:$E$156, "FAO-N")</f>
        <v>89.333333333333329</v>
      </c>
      <c r="P34" s="39">
        <f>AVERAGEIFS('Cover Summary'!Q$13:Q$156,'Cover Summary'!$F$13:$F$156, "NG3195",'Cover Summary'!$E$13:$E$156, "FAO-N")</f>
        <v>89.75</v>
      </c>
      <c r="Q34" s="39">
        <f>AVERAGEIFS('Cover Summary'!R$13:R$156,'Cover Summary'!$F$13:$F$156, "NG3195",'Cover Summary'!$E$13:$E$156, "FAO-N")</f>
        <v>89.285714285714292</v>
      </c>
      <c r="R34" s="4"/>
      <c r="S34" s="106"/>
      <c r="T34" s="105" t="s">
        <v>44</v>
      </c>
      <c r="U34" s="39">
        <f>AVERAGEIFS('Cover Summary'!G$13:G$156,'Cover Summary'!$F$13:$F$156, "NG4936",'Cover Summary'!$E$13:$E$156, "FAO-N")</f>
        <v>7</v>
      </c>
      <c r="V34" s="39">
        <f>AVERAGEIFS('Cover Summary'!H$13:H$156,'Cover Summary'!$F$13:$F$156, "NG4936",'Cover Summary'!$E$13:$E$156, "FAO-N")</f>
        <v>13.5</v>
      </c>
      <c r="W34" s="39">
        <f>AVERAGEIFS('Cover Summary'!I$13:I$156,'Cover Summary'!$F$13:$F$156, "NG4936",'Cover Summary'!$E$13:$E$156, "FAO-N")</f>
        <v>18.333333333333332</v>
      </c>
      <c r="X34" s="39">
        <f>AVERAGEIFS('Cover Summary'!J$13:J$156,'Cover Summary'!$F$13:$F$156, "NG4936",'Cover Summary'!$E$13:$E$156, "FAO-N")</f>
        <v>39.333333333333336</v>
      </c>
      <c r="Y34" s="39">
        <f>AVERAGEIFS('Cover Summary'!K$13:K$156,'Cover Summary'!$F$13:$F$156, "NG4936",'Cover Summary'!$E$13:$E$156, "FAO-N")</f>
        <v>51.75</v>
      </c>
      <c r="Z34" s="39">
        <f>AVERAGEIFS('Cover Summary'!L$13:L$156,'Cover Summary'!$F$13:$F$156, "NG4936",'Cover Summary'!$E$13:$E$156, "FAO-N")</f>
        <v>62.25</v>
      </c>
      <c r="AA34" s="39">
        <f>AVERAGEIFS('Cover Summary'!M$13:M$156,'Cover Summary'!$F$13:$F$156, "NG4936",'Cover Summary'!$E$13:$E$156, "FAO-N")</f>
        <v>69.416666666666671</v>
      </c>
      <c r="AB34" s="39">
        <f>AVERAGEIFS('Cover Summary'!N$13:N$156,'Cover Summary'!$F$13:$F$156, "NG4936",'Cover Summary'!$E$13:$E$156, "FAO-N")</f>
        <v>74.818181818181813</v>
      </c>
      <c r="AC34" s="39">
        <f>AVERAGEIFS('Cover Summary'!O$13:O$156,'Cover Summary'!$F$13:$F$156, "NG4936",'Cover Summary'!$E$13:$E$156, "FAO-N")</f>
        <v>78.63636363636364</v>
      </c>
      <c r="AD34" s="39">
        <f>AVERAGEIFS('Cover Summary'!P$13:P$156,'Cover Summary'!$F$13:$F$156, "NG4936",'Cover Summary'!$E$13:$E$156, "FAO-N")</f>
        <v>83.090909090909093</v>
      </c>
      <c r="AE34" s="39">
        <f>AVERAGEIFS('Cover Summary'!Q$13:Q$156,'Cover Summary'!$F$13:$F$156, "NG4936",'Cover Summary'!$E$13:$E$156, "FAO-N")</f>
        <v>83</v>
      </c>
      <c r="AF34" s="39">
        <f>AVERAGEIFS('Cover Summary'!R$13:R$156,'Cover Summary'!$F$13:$F$156, "NG4936",'Cover Summary'!$E$13:$E$156, "FAO-N")</f>
        <v>86.222222222222229</v>
      </c>
    </row>
    <row r="35" spans="1:32" ht="21" x14ac:dyDescent="0.35">
      <c r="A35" s="104"/>
      <c r="B35" s="25"/>
      <c r="C35" s="25"/>
      <c r="G35" s="52"/>
      <c r="R35" s="4"/>
      <c r="S35" s="106"/>
      <c r="T35" s="25"/>
      <c r="X35" s="52"/>
    </row>
    <row r="36" spans="1:32" x14ac:dyDescent="0.2">
      <c r="B36" s="4"/>
      <c r="C36" s="39"/>
      <c r="D36" s="39"/>
      <c r="E36" s="32"/>
      <c r="F36" s="39"/>
      <c r="G36" s="39"/>
      <c r="H36" s="32"/>
      <c r="I36" s="32"/>
      <c r="J36" s="32"/>
      <c r="K36" s="32"/>
      <c r="L36" s="32"/>
      <c r="M36" s="32"/>
      <c r="N36" s="32"/>
      <c r="O36" s="32"/>
      <c r="P36" s="32"/>
      <c r="Q36" s="32"/>
      <c r="R36" s="32"/>
      <c r="S36" s="32"/>
      <c r="T36" s="32"/>
    </row>
    <row r="37" spans="1:32" x14ac:dyDescent="0.2">
      <c r="B37" s="4"/>
      <c r="C37" s="39"/>
      <c r="D37" s="39"/>
      <c r="E37" s="32"/>
      <c r="F37" s="39"/>
      <c r="G37" s="39"/>
      <c r="H37" s="32"/>
      <c r="I37" s="32"/>
      <c r="J37" s="32"/>
      <c r="K37" s="32"/>
      <c r="L37" s="32"/>
      <c r="M37" s="32"/>
      <c r="N37" s="32"/>
      <c r="O37" s="32"/>
      <c r="P37" s="32"/>
      <c r="Q37" s="32"/>
      <c r="R37" s="32"/>
      <c r="S37" s="32"/>
      <c r="T37" s="32"/>
    </row>
    <row r="38" spans="1:32" x14ac:dyDescent="0.2">
      <c r="B38" s="4"/>
      <c r="C38" s="39"/>
      <c r="D38" s="39"/>
      <c r="E38" s="32"/>
      <c r="F38" s="39"/>
      <c r="G38" s="39"/>
      <c r="H38" s="32"/>
      <c r="I38" s="32"/>
      <c r="J38" s="32"/>
      <c r="K38" s="32"/>
      <c r="L38" s="32"/>
      <c r="M38" s="32"/>
      <c r="N38" s="32"/>
      <c r="O38" s="32"/>
      <c r="P38" s="32"/>
      <c r="Q38" s="32"/>
      <c r="R38" s="32"/>
      <c r="S38" s="32"/>
      <c r="T38" s="32"/>
    </row>
    <row r="39" spans="1:32" x14ac:dyDescent="0.2">
      <c r="B39" s="4"/>
      <c r="C39" s="39"/>
      <c r="D39" s="39"/>
      <c r="E39" s="32"/>
      <c r="F39" s="39"/>
      <c r="G39" s="39"/>
      <c r="H39" s="32"/>
      <c r="I39" s="32"/>
      <c r="J39" s="32"/>
      <c r="K39" s="32"/>
      <c r="L39" s="32"/>
      <c r="M39" s="32"/>
      <c r="N39" s="32"/>
      <c r="O39" s="32"/>
      <c r="P39" s="32"/>
      <c r="Q39" s="32"/>
      <c r="R39" s="32"/>
      <c r="S39" s="32"/>
      <c r="T39" s="32"/>
    </row>
    <row r="40" spans="1:32" x14ac:dyDescent="0.2">
      <c r="B40" s="4"/>
      <c r="C40" s="39"/>
      <c r="D40" s="39"/>
      <c r="E40" s="32"/>
      <c r="F40" s="39"/>
      <c r="G40" s="39"/>
      <c r="H40" s="32"/>
      <c r="I40" s="32"/>
      <c r="J40" s="32"/>
      <c r="K40" s="32"/>
      <c r="L40" s="32"/>
      <c r="M40" s="32"/>
      <c r="N40" s="32"/>
      <c r="O40" s="32"/>
      <c r="P40" s="32"/>
      <c r="Q40" s="32"/>
      <c r="R40" s="32"/>
      <c r="S40" s="32"/>
      <c r="T40" s="32"/>
    </row>
    <row r="41" spans="1:32" x14ac:dyDescent="0.2">
      <c r="B41" s="4"/>
      <c r="C41" s="39"/>
      <c r="D41" s="39"/>
      <c r="E41" s="32"/>
      <c r="F41" s="39"/>
      <c r="G41" s="39"/>
      <c r="H41" s="32"/>
      <c r="I41" s="32"/>
      <c r="J41" s="32"/>
      <c r="K41" s="32"/>
      <c r="L41" s="32"/>
      <c r="M41" s="32"/>
      <c r="N41" s="32"/>
      <c r="O41" s="32"/>
      <c r="P41" s="32"/>
      <c r="Q41" s="32"/>
      <c r="R41" s="32"/>
      <c r="S41" s="32"/>
      <c r="T41" s="32"/>
    </row>
    <row r="42" spans="1:32" x14ac:dyDescent="0.2">
      <c r="B42" s="3"/>
      <c r="C42" s="25"/>
      <c r="D42" s="25"/>
    </row>
    <row r="43" spans="1:32" x14ac:dyDescent="0.2">
      <c r="C43" s="25"/>
    </row>
    <row r="44" spans="1:32" ht="18.75" x14ac:dyDescent="0.3">
      <c r="C44" s="34" t="s">
        <v>22</v>
      </c>
    </row>
    <row r="46" spans="1:32" s="44" customFormat="1" ht="12" x14ac:dyDescent="0.2">
      <c r="C46" s="46">
        <f>'Cover Summary'!F9</f>
        <v>0</v>
      </c>
      <c r="D46" s="46"/>
      <c r="E46" s="46"/>
      <c r="F46" s="46"/>
      <c r="G46" s="46"/>
      <c r="H46" s="46"/>
      <c r="I46" s="46"/>
      <c r="J46" s="46"/>
      <c r="K46" s="46"/>
      <c r="L46" s="46"/>
      <c r="M46" s="46"/>
      <c r="N46" s="46"/>
      <c r="O46" s="46"/>
      <c r="P46" s="46"/>
      <c r="Q46" s="46"/>
      <c r="R46" s="46"/>
      <c r="S46" s="46"/>
      <c r="T46" s="46"/>
    </row>
    <row r="47" spans="1:32" s="44" customFormat="1" ht="15.75" x14ac:dyDescent="0.2">
      <c r="A47" s="99"/>
      <c r="C47" s="47"/>
      <c r="D47" s="47"/>
      <c r="E47" s="47"/>
      <c r="F47" s="47"/>
      <c r="G47" s="47"/>
      <c r="H47" s="47"/>
      <c r="I47" s="47"/>
      <c r="J47" s="47"/>
      <c r="K47" s="47"/>
      <c r="L47" s="47"/>
      <c r="M47" s="47"/>
      <c r="N47" s="47"/>
      <c r="O47" s="47"/>
      <c r="P47" s="47"/>
      <c r="Q47" s="47"/>
      <c r="R47" s="47"/>
      <c r="S47" s="47"/>
      <c r="T47" s="47"/>
    </row>
    <row r="48" spans="1:32" x14ac:dyDescent="0.2">
      <c r="B48" s="4"/>
      <c r="C48" s="39"/>
      <c r="D48" s="25"/>
      <c r="E48" s="25"/>
      <c r="F48" s="25"/>
      <c r="G48" s="25"/>
      <c r="H48" s="25"/>
      <c r="I48" s="25"/>
      <c r="J48" s="25"/>
      <c r="K48" s="25"/>
      <c r="L48" s="25"/>
      <c r="M48" s="25"/>
      <c r="N48" s="25"/>
      <c r="O48" s="25"/>
      <c r="P48" s="25"/>
      <c r="Q48" s="25"/>
      <c r="R48" s="25"/>
      <c r="S48" s="25"/>
      <c r="T48" s="25"/>
    </row>
    <row r="49" spans="2:20" x14ac:dyDescent="0.2">
      <c r="C49" s="32"/>
      <c r="D49" s="32"/>
      <c r="E49" s="32"/>
      <c r="F49" s="32"/>
      <c r="G49" s="32"/>
      <c r="H49" s="32"/>
      <c r="I49" s="32"/>
      <c r="J49" s="32"/>
      <c r="K49" s="32"/>
      <c r="L49" s="32"/>
      <c r="M49" s="32"/>
      <c r="N49" s="32"/>
      <c r="O49" s="32"/>
      <c r="P49" s="32"/>
      <c r="Q49" s="32"/>
      <c r="R49" s="32"/>
      <c r="S49" s="32"/>
      <c r="T49" s="32"/>
    </row>
    <row r="50" spans="2:20" x14ac:dyDescent="0.2">
      <c r="B50" s="4"/>
      <c r="C50" s="39"/>
      <c r="D50" s="25"/>
      <c r="E50" s="25"/>
      <c r="F50" s="25"/>
      <c r="G50" s="25"/>
      <c r="H50" s="25"/>
      <c r="I50" s="25"/>
      <c r="J50" s="25"/>
      <c r="K50" s="25"/>
      <c r="L50" s="25"/>
      <c r="M50" s="25"/>
      <c r="N50" s="25"/>
      <c r="O50" s="25"/>
      <c r="P50" s="25"/>
      <c r="Q50" s="25"/>
      <c r="R50" s="25"/>
      <c r="S50" s="25"/>
      <c r="T50" s="25"/>
    </row>
    <row r="51" spans="2:20" x14ac:dyDescent="0.2">
      <c r="C51" s="32"/>
      <c r="D51" s="32"/>
      <c r="E51" s="32"/>
      <c r="F51" s="32"/>
      <c r="G51" s="32"/>
      <c r="H51" s="32"/>
      <c r="I51" s="32"/>
      <c r="J51" s="32"/>
      <c r="K51" s="32"/>
      <c r="L51" s="32"/>
      <c r="M51" s="32"/>
      <c r="N51" s="32"/>
      <c r="O51" s="32"/>
      <c r="P51" s="32"/>
      <c r="Q51" s="32"/>
      <c r="R51" s="32"/>
      <c r="S51" s="32"/>
      <c r="T51" s="32"/>
    </row>
    <row r="52" spans="2:20" x14ac:dyDescent="0.2">
      <c r="B52" s="4"/>
      <c r="C52" s="39"/>
      <c r="D52" s="25"/>
      <c r="E52" s="25"/>
      <c r="F52" s="25"/>
      <c r="G52" s="25"/>
      <c r="H52" s="25"/>
      <c r="I52" s="25"/>
      <c r="J52" s="25"/>
      <c r="K52" s="25"/>
      <c r="L52" s="25"/>
      <c r="M52" s="25"/>
      <c r="N52" s="25"/>
      <c r="O52" s="25"/>
      <c r="P52" s="25"/>
      <c r="Q52" s="25"/>
      <c r="R52" s="25"/>
      <c r="S52" s="25"/>
      <c r="T52" s="25"/>
    </row>
    <row r="53" spans="2:20" x14ac:dyDescent="0.2">
      <c r="C53" s="32"/>
      <c r="D53" s="32"/>
      <c r="E53" s="32"/>
      <c r="F53" s="32"/>
      <c r="G53" s="32"/>
      <c r="H53" s="32"/>
      <c r="I53" s="32"/>
      <c r="J53" s="32"/>
      <c r="K53" s="32"/>
      <c r="L53" s="32"/>
      <c r="M53" s="32"/>
      <c r="N53" s="32"/>
      <c r="O53" s="32"/>
      <c r="P53" s="32"/>
      <c r="Q53" s="32"/>
      <c r="R53" s="32"/>
      <c r="S53" s="32"/>
      <c r="T53" s="32"/>
    </row>
    <row r="54" spans="2:20" x14ac:dyDescent="0.2">
      <c r="B54" s="4"/>
      <c r="C54" s="39"/>
      <c r="D54" s="25"/>
      <c r="E54" s="25"/>
      <c r="F54" s="25"/>
      <c r="G54" s="25"/>
      <c r="H54" s="25"/>
      <c r="I54" s="25"/>
      <c r="J54" s="25"/>
      <c r="K54" s="25"/>
      <c r="L54" s="25"/>
      <c r="M54" s="25"/>
      <c r="N54" s="25"/>
      <c r="O54" s="25"/>
      <c r="P54" s="25"/>
      <c r="Q54" s="25"/>
      <c r="R54" s="25"/>
      <c r="S54" s="25"/>
      <c r="T54" s="25"/>
    </row>
    <row r="55" spans="2:20" x14ac:dyDescent="0.2">
      <c r="B55" s="4"/>
      <c r="C55" s="25"/>
      <c r="D55" s="32"/>
      <c r="E55" s="32"/>
      <c r="F55" s="32"/>
      <c r="G55" s="32"/>
      <c r="H55" s="32"/>
      <c r="I55" s="32"/>
      <c r="J55" s="32"/>
      <c r="K55" s="32"/>
      <c r="L55" s="32"/>
      <c r="M55" s="32"/>
      <c r="N55" s="32"/>
      <c r="O55" s="32"/>
      <c r="P55" s="32"/>
      <c r="Q55" s="32"/>
      <c r="R55" s="32"/>
      <c r="S55" s="32"/>
      <c r="T55" s="32"/>
    </row>
    <row r="56" spans="2:20" x14ac:dyDescent="0.2">
      <c r="B56" s="4"/>
      <c r="C56" s="39"/>
    </row>
    <row r="57" spans="2:20" x14ac:dyDescent="0.2">
      <c r="B57" s="4"/>
      <c r="C57" s="25"/>
    </row>
    <row r="58" spans="2:20" x14ac:dyDescent="0.2">
      <c r="B58" s="4"/>
      <c r="C58" s="39"/>
    </row>
    <row r="59" spans="2:20" x14ac:dyDescent="0.2">
      <c r="B59" s="25"/>
      <c r="C59" s="25"/>
    </row>
    <row r="60" spans="2:20" x14ac:dyDescent="0.2">
      <c r="B60" s="25"/>
      <c r="C60" s="25"/>
    </row>
    <row r="61" spans="2:20" x14ac:dyDescent="0.2">
      <c r="B61" s="25"/>
      <c r="C61" s="25"/>
    </row>
    <row r="62" spans="2:20" x14ac:dyDescent="0.2">
      <c r="B62" s="25"/>
      <c r="C62" s="25"/>
    </row>
    <row r="63" spans="2:20" x14ac:dyDescent="0.2">
      <c r="B63" s="25"/>
      <c r="C63" s="25"/>
    </row>
    <row r="64" spans="2:20" x14ac:dyDescent="0.2">
      <c r="B64" s="25"/>
      <c r="C64" s="25"/>
    </row>
    <row r="65" spans="2:3" x14ac:dyDescent="0.2">
      <c r="B65" s="25"/>
      <c r="C65" s="25"/>
    </row>
    <row r="66" spans="2:3" x14ac:dyDescent="0.2">
      <c r="B66" s="25"/>
      <c r="C66" s="25"/>
    </row>
    <row r="67" spans="2:3" x14ac:dyDescent="0.2">
      <c r="B67" s="25"/>
      <c r="C67" s="25"/>
    </row>
    <row r="68" spans="2:3" x14ac:dyDescent="0.2">
      <c r="B68" s="25"/>
      <c r="C68" s="25"/>
    </row>
    <row r="69" spans="2:3" x14ac:dyDescent="0.2">
      <c r="B69" s="25"/>
      <c r="C69" s="25"/>
    </row>
    <row r="70" spans="2:3" x14ac:dyDescent="0.2">
      <c r="B70" s="25"/>
      <c r="C70" s="25"/>
    </row>
    <row r="71" spans="2:3" x14ac:dyDescent="0.2">
      <c r="B71" s="25"/>
      <c r="C71" s="25"/>
    </row>
    <row r="72" spans="2:3" x14ac:dyDescent="0.2">
      <c r="B72" s="25"/>
      <c r="C72" s="25"/>
    </row>
    <row r="73" spans="2:3" x14ac:dyDescent="0.2">
      <c r="C73" s="25"/>
    </row>
    <row r="74" spans="2:3" x14ac:dyDescent="0.2">
      <c r="C74" s="25"/>
    </row>
    <row r="75" spans="2:3" x14ac:dyDescent="0.2">
      <c r="C75" s="25"/>
    </row>
    <row r="76" spans="2:3" x14ac:dyDescent="0.2">
      <c r="C76" s="25"/>
    </row>
  </sheetData>
  <conditionalFormatting sqref="B7:B34">
    <cfRule type="endsWith" dxfId="67" priority="13" operator="endsWith" text="FAO">
      <formula>RIGHT(B7,LEN("FAO"))="FAO"</formula>
    </cfRule>
    <cfRule type="endsWith" dxfId="66" priority="14" operator="endsWith" text="AQC">
      <formula>RIGHT(B7,LEN("AQC"))="AQC"</formula>
    </cfRule>
    <cfRule type="endsWith" dxfId="65" priority="15" operator="endsWith" text="CSM-N">
      <formula>RIGHT(B7,LEN("CSM-N"))="CSM-N"</formula>
    </cfRule>
    <cfRule type="endsWith" dxfId="64" priority="16" operator="endsWith" text="FAO-N">
      <formula>RIGHT(B7,LEN("FAO-N"))="FAO-N"</formula>
    </cfRule>
    <cfRule type="endsWith" dxfId="63" priority="17" operator="endsWith" text="AQC-N">
      <formula>RIGHT(B7,LEN("AQC-N"))="AQC-N"</formula>
    </cfRule>
    <cfRule type="endsWith" dxfId="62" priority="18" operator="endsWith" text="CSM">
      <formula>RIGHT(B7,LEN("CSM"))="CSM"</formula>
    </cfRule>
  </conditionalFormatting>
  <conditionalFormatting sqref="T7:T18">
    <cfRule type="endsWith" dxfId="61" priority="7" operator="endsWith" text="FAO">
      <formula>RIGHT(T7,LEN("FAO"))="FAO"</formula>
    </cfRule>
    <cfRule type="endsWith" dxfId="60" priority="8" operator="endsWith" text="AQC">
      <formula>RIGHT(T7,LEN("AQC"))="AQC"</formula>
    </cfRule>
    <cfRule type="endsWith" dxfId="59" priority="9" operator="endsWith" text="CSM-N">
      <formula>RIGHT(T7,LEN("CSM-N"))="CSM-N"</formula>
    </cfRule>
    <cfRule type="endsWith" dxfId="58" priority="10" operator="endsWith" text="FAO-N">
      <formula>RIGHT(T7,LEN("FAO-N"))="FAO-N"</formula>
    </cfRule>
    <cfRule type="endsWith" dxfId="57" priority="11" operator="endsWith" text="AQC-N">
      <formula>RIGHT(T7,LEN("AQC-N"))="AQC-N"</formula>
    </cfRule>
    <cfRule type="endsWith" dxfId="56" priority="12" operator="endsWith" text="CSM">
      <formula>RIGHT(T7,LEN("CSM"))="CSM"</formula>
    </cfRule>
  </conditionalFormatting>
  <conditionalFormatting sqref="T20:T34">
    <cfRule type="endsWith" dxfId="55" priority="1" operator="endsWith" text="FAO">
      <formula>RIGHT(T20,LEN("FAO"))="FAO"</formula>
    </cfRule>
    <cfRule type="endsWith" dxfId="54" priority="2" operator="endsWith" text="AQC">
      <formula>RIGHT(T20,LEN("AQC"))="AQC"</formula>
    </cfRule>
    <cfRule type="endsWith" dxfId="53" priority="3" operator="endsWith" text="CSM-N">
      <formula>RIGHT(T20,LEN("CSM-N"))="CSM-N"</formula>
    </cfRule>
    <cfRule type="endsWith" dxfId="52" priority="4" operator="endsWith" text="FAO-N">
      <formula>RIGHT(T20,LEN("FAO-N"))="FAO-N"</formula>
    </cfRule>
    <cfRule type="endsWith" dxfId="51" priority="5" operator="endsWith" text="AQC-N">
      <formula>RIGHT(T20,LEN("AQC-N"))="AQC-N"</formula>
    </cfRule>
    <cfRule type="endsWith" dxfId="50" priority="6" operator="endsWith" text="CSM">
      <formula>RIGHT(T20,LEN("CSM"))="CSM"</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8EA0-8E94-4CD4-B077-1CB7AC8677E6}">
  <dimension ref="A1:AJ118"/>
  <sheetViews>
    <sheetView topLeftCell="A67" zoomScaleNormal="100" workbookViewId="0">
      <selection activeCell="B118" sqref="B71:B118"/>
    </sheetView>
  </sheetViews>
  <sheetFormatPr defaultRowHeight="15" x14ac:dyDescent="0.25"/>
  <cols>
    <col min="1" max="1" width="17" style="122" customWidth="1"/>
    <col min="2" max="2" width="7" style="121" customWidth="1"/>
    <col min="3" max="3" width="8.140625" style="121" customWidth="1"/>
    <col min="4" max="4" width="14.85546875" style="121" customWidth="1"/>
    <col min="5" max="6" width="9.140625" style="120" customWidth="1"/>
    <col min="7" max="7" width="9" style="120" bestFit="1" customWidth="1"/>
    <col min="8" max="8" width="9.140625" style="120"/>
    <col min="9" max="9" width="11.140625" style="120" customWidth="1"/>
    <col min="10" max="10" width="9.140625" style="120"/>
    <col min="11" max="11" width="9" style="120" bestFit="1" customWidth="1"/>
    <col min="12" max="12" width="9.140625" style="120"/>
    <col min="13" max="13" width="9" style="120" bestFit="1" customWidth="1"/>
    <col min="14" max="15" width="9.140625" style="120"/>
    <col min="16" max="16" width="9" style="120" bestFit="1" customWidth="1"/>
    <col min="17" max="17" width="9.140625" style="120"/>
    <col min="18" max="18" width="9" style="120" bestFit="1" customWidth="1"/>
    <col min="19" max="19" width="9.7109375" style="120" bestFit="1" customWidth="1"/>
    <col min="20" max="20" width="9.140625" style="120"/>
    <col min="21" max="22" width="9.7109375" style="120" bestFit="1" customWidth="1"/>
    <col min="23" max="23" width="9.140625" style="120"/>
    <col min="24" max="24" width="9.7109375" style="120" bestFit="1" customWidth="1"/>
    <col min="25" max="16384" width="9.140625" style="120"/>
  </cols>
  <sheetData>
    <row r="1" spans="1:36" ht="22.15" customHeight="1" x14ac:dyDescent="0.3">
      <c r="A1" s="128">
        <v>2022</v>
      </c>
      <c r="B1" s="128"/>
      <c r="C1" s="248" t="s">
        <v>6</v>
      </c>
      <c r="D1" s="248"/>
      <c r="E1" s="247" t="s">
        <v>294</v>
      </c>
    </row>
    <row r="2" spans="1:36" x14ac:dyDescent="0.25">
      <c r="B2" s="120"/>
      <c r="C2" s="120"/>
      <c r="D2" s="120"/>
    </row>
    <row r="3" spans="1:36" x14ac:dyDescent="0.25">
      <c r="B3" s="245"/>
      <c r="C3" s="245"/>
      <c r="D3" s="245"/>
    </row>
    <row r="4" spans="1:36" x14ac:dyDescent="0.25">
      <c r="A4" s="246" t="s">
        <v>293</v>
      </c>
      <c r="B4" s="245"/>
      <c r="C4" s="245"/>
      <c r="D4" s="245"/>
    </row>
    <row r="5" spans="1:36" x14ac:dyDescent="0.25">
      <c r="A5" s="246"/>
      <c r="B5" s="245"/>
      <c r="C5" s="245"/>
      <c r="D5" s="245"/>
    </row>
    <row r="6" spans="1:36" x14ac:dyDescent="0.25">
      <c r="A6" s="246" t="s">
        <v>292</v>
      </c>
      <c r="B6" s="245"/>
      <c r="C6" s="245"/>
      <c r="D6" s="245"/>
    </row>
    <row r="7" spans="1:36" x14ac:dyDescent="0.25">
      <c r="A7" s="246"/>
      <c r="B7" s="245"/>
      <c r="C7" s="245"/>
      <c r="D7" s="245"/>
    </row>
    <row r="8" spans="1:36" x14ac:dyDescent="0.25">
      <c r="A8" s="246"/>
      <c r="B8" s="245"/>
      <c r="C8" s="245"/>
      <c r="D8" s="245"/>
    </row>
    <row r="9" spans="1:36" ht="15" customHeight="1" x14ac:dyDescent="0.25">
      <c r="E9" s="245"/>
    </row>
    <row r="10" spans="1:36" ht="19.899999999999999" customHeight="1" x14ac:dyDescent="0.25">
      <c r="E10" s="120" t="s">
        <v>291</v>
      </c>
    </row>
    <row r="11" spans="1:36" ht="28.15" customHeight="1" x14ac:dyDescent="0.25">
      <c r="B11" s="244"/>
      <c r="C11" s="244" t="s">
        <v>26</v>
      </c>
      <c r="D11" s="243">
        <v>44680</v>
      </c>
      <c r="E11" s="242">
        <v>44683</v>
      </c>
      <c r="F11" s="240"/>
      <c r="G11" s="239">
        <v>44684</v>
      </c>
      <c r="H11" s="240"/>
      <c r="I11" s="242">
        <v>44685</v>
      </c>
      <c r="J11" s="241"/>
      <c r="K11" s="239">
        <v>44686</v>
      </c>
      <c r="L11" s="240"/>
      <c r="M11" s="238">
        <v>44690</v>
      </c>
      <c r="N11" s="237"/>
      <c r="O11" s="236"/>
      <c r="P11" s="239">
        <v>44691</v>
      </c>
      <c r="Q11" s="234"/>
      <c r="R11" s="233"/>
      <c r="S11" s="238">
        <v>44694</v>
      </c>
      <c r="T11" s="237"/>
      <c r="U11" s="236"/>
      <c r="V11" s="235">
        <v>44697</v>
      </c>
      <c r="W11" s="234"/>
      <c r="X11" s="233"/>
      <c r="Y11" s="238">
        <v>44700</v>
      </c>
      <c r="Z11" s="237"/>
      <c r="AA11" s="236"/>
      <c r="AB11" s="235">
        <v>44704</v>
      </c>
      <c r="AC11" s="234"/>
      <c r="AD11" s="233"/>
      <c r="AE11" s="238">
        <v>44707</v>
      </c>
      <c r="AF11" s="237"/>
      <c r="AG11" s="236"/>
      <c r="AH11" s="235"/>
      <c r="AI11" s="234"/>
      <c r="AJ11" s="233"/>
    </row>
    <row r="12" spans="1:36" ht="28.15" customHeight="1" x14ac:dyDescent="0.25">
      <c r="B12" s="232"/>
      <c r="C12" s="232" t="s">
        <v>28</v>
      </c>
      <c r="D12" s="231">
        <v>119</v>
      </c>
      <c r="E12" s="230">
        <v>122</v>
      </c>
      <c r="F12" s="218"/>
      <c r="G12" s="227">
        <v>123</v>
      </c>
      <c r="H12" s="218"/>
      <c r="I12" s="230">
        <v>124</v>
      </c>
      <c r="J12" s="229"/>
      <c r="K12" s="227">
        <v>125</v>
      </c>
      <c r="L12" s="218"/>
      <c r="M12" s="228">
        <v>129</v>
      </c>
      <c r="N12" s="222"/>
      <c r="O12" s="221"/>
      <c r="P12" s="227">
        <v>130</v>
      </c>
      <c r="Q12" s="219"/>
      <c r="R12" s="218"/>
      <c r="S12" s="228">
        <v>133</v>
      </c>
      <c r="T12" s="222"/>
      <c r="U12" s="221"/>
      <c r="V12" s="227">
        <v>136</v>
      </c>
      <c r="W12" s="219"/>
      <c r="X12" s="218"/>
      <c r="Y12" s="228">
        <v>139</v>
      </c>
      <c r="Z12" s="222"/>
      <c r="AA12" s="221"/>
      <c r="AB12" s="227">
        <v>143</v>
      </c>
      <c r="AC12" s="219"/>
      <c r="AD12" s="218"/>
      <c r="AE12" s="228">
        <v>146</v>
      </c>
      <c r="AF12" s="222"/>
      <c r="AG12" s="221"/>
      <c r="AH12" s="227"/>
      <c r="AI12" s="219"/>
      <c r="AJ12" s="218"/>
    </row>
    <row r="13" spans="1:36" s="217" customFormat="1" ht="28.15" customHeight="1" x14ac:dyDescent="0.2">
      <c r="B13" s="226"/>
      <c r="C13" s="226" t="s">
        <v>13</v>
      </c>
      <c r="D13" s="225" t="s">
        <v>290</v>
      </c>
      <c r="E13" s="224" t="s">
        <v>51</v>
      </c>
      <c r="F13" s="218"/>
      <c r="G13" s="220" t="s">
        <v>51</v>
      </c>
      <c r="H13" s="218"/>
      <c r="I13" s="224" t="s">
        <v>51</v>
      </c>
      <c r="J13" s="218"/>
      <c r="K13" s="220" t="s">
        <v>51</v>
      </c>
      <c r="L13" s="218"/>
      <c r="M13" s="223" t="s">
        <v>51</v>
      </c>
      <c r="N13" s="222"/>
      <c r="O13" s="221"/>
      <c r="P13" s="220" t="s">
        <v>51</v>
      </c>
      <c r="Q13" s="219"/>
      <c r="R13" s="218"/>
      <c r="S13" s="223" t="s">
        <v>51</v>
      </c>
      <c r="T13" s="222"/>
      <c r="U13" s="221"/>
      <c r="V13" s="220" t="s">
        <v>51</v>
      </c>
      <c r="W13" s="219"/>
      <c r="X13" s="218"/>
      <c r="Y13" s="223" t="s">
        <v>51</v>
      </c>
      <c r="Z13" s="222"/>
      <c r="AA13" s="221"/>
      <c r="AB13" s="220" t="s">
        <v>51</v>
      </c>
      <c r="AC13" s="219"/>
      <c r="AD13" s="218"/>
      <c r="AE13" s="223" t="s">
        <v>51</v>
      </c>
      <c r="AF13" s="222"/>
      <c r="AG13" s="221"/>
      <c r="AH13" s="220" t="s">
        <v>51</v>
      </c>
      <c r="AI13" s="219"/>
      <c r="AJ13" s="218"/>
    </row>
    <row r="14" spans="1:36" s="121" customFormat="1" ht="8.4499999999999993" customHeight="1" x14ac:dyDescent="0.25">
      <c r="A14" s="208"/>
      <c r="B14" s="207"/>
      <c r="C14" s="207"/>
      <c r="D14" s="207"/>
      <c r="E14" s="216"/>
      <c r="F14" s="210"/>
      <c r="G14" s="211"/>
      <c r="H14" s="210"/>
      <c r="I14" s="215"/>
      <c r="J14" s="210"/>
      <c r="K14" s="211"/>
      <c r="L14" s="210"/>
      <c r="M14" s="214"/>
      <c r="N14" s="213"/>
      <c r="O14" s="212"/>
      <c r="P14" s="211"/>
      <c r="Q14" s="210"/>
      <c r="R14" s="209"/>
      <c r="S14" s="214"/>
      <c r="T14" s="213"/>
      <c r="U14" s="212"/>
      <c r="V14" s="211"/>
      <c r="W14" s="210"/>
      <c r="X14" s="209"/>
      <c r="Y14" s="214"/>
      <c r="Z14" s="213"/>
      <c r="AA14" s="212"/>
      <c r="AB14" s="211"/>
      <c r="AC14" s="210"/>
      <c r="AD14" s="209"/>
      <c r="AE14" s="214"/>
      <c r="AF14" s="213"/>
      <c r="AG14" s="212"/>
      <c r="AH14" s="211"/>
      <c r="AI14" s="210"/>
      <c r="AJ14" s="209"/>
    </row>
    <row r="15" spans="1:36" s="121" customFormat="1" ht="37.15" customHeight="1" thickBot="1" x14ac:dyDescent="0.3">
      <c r="A15" s="208"/>
      <c r="B15" s="207" t="s">
        <v>7</v>
      </c>
      <c r="C15" s="207"/>
      <c r="D15" s="207"/>
      <c r="E15" s="206" t="s">
        <v>289</v>
      </c>
      <c r="F15" s="204" t="s">
        <v>288</v>
      </c>
      <c r="G15" s="200" t="s">
        <v>289</v>
      </c>
      <c r="H15" s="199" t="s">
        <v>288</v>
      </c>
      <c r="I15" s="205" t="s">
        <v>289</v>
      </c>
      <c r="J15" s="204" t="s">
        <v>288</v>
      </c>
      <c r="K15" s="200" t="s">
        <v>289</v>
      </c>
      <c r="L15" s="199" t="s">
        <v>288</v>
      </c>
      <c r="M15" s="203" t="s">
        <v>289</v>
      </c>
      <c r="N15" s="202" t="s">
        <v>288</v>
      </c>
      <c r="O15" s="201" t="s">
        <v>287</v>
      </c>
      <c r="P15" s="200" t="s">
        <v>289</v>
      </c>
      <c r="Q15" s="199" t="s">
        <v>288</v>
      </c>
      <c r="R15" s="198" t="s">
        <v>287</v>
      </c>
      <c r="S15" s="203" t="s">
        <v>289</v>
      </c>
      <c r="T15" s="202" t="s">
        <v>288</v>
      </c>
      <c r="U15" s="201" t="s">
        <v>287</v>
      </c>
      <c r="V15" s="200" t="s">
        <v>289</v>
      </c>
      <c r="W15" s="199" t="s">
        <v>288</v>
      </c>
      <c r="X15" s="198" t="s">
        <v>287</v>
      </c>
      <c r="Y15" s="203" t="s">
        <v>289</v>
      </c>
      <c r="Z15" s="202" t="s">
        <v>288</v>
      </c>
      <c r="AA15" s="201" t="s">
        <v>287</v>
      </c>
      <c r="AB15" s="200" t="s">
        <v>289</v>
      </c>
      <c r="AC15" s="199" t="s">
        <v>288</v>
      </c>
      <c r="AD15" s="198" t="s">
        <v>287</v>
      </c>
      <c r="AE15" s="203" t="s">
        <v>289</v>
      </c>
      <c r="AF15" s="202" t="s">
        <v>288</v>
      </c>
      <c r="AG15" s="201" t="s">
        <v>287</v>
      </c>
      <c r="AH15" s="200" t="s">
        <v>289</v>
      </c>
      <c r="AI15" s="199" t="s">
        <v>288</v>
      </c>
      <c r="AJ15" s="198" t="s">
        <v>287</v>
      </c>
    </row>
    <row r="16" spans="1:36" ht="37.9" customHeight="1" thickBot="1" x14ac:dyDescent="0.3">
      <c r="A16" s="146"/>
      <c r="B16" s="187" t="s">
        <v>286</v>
      </c>
      <c r="C16" s="169" t="s">
        <v>41</v>
      </c>
      <c r="D16" s="197" t="s">
        <v>285</v>
      </c>
      <c r="E16" s="185">
        <v>4</v>
      </c>
      <c r="F16" s="186">
        <v>1</v>
      </c>
      <c r="G16" s="179">
        <v>4</v>
      </c>
      <c r="H16" s="180">
        <v>2</v>
      </c>
      <c r="I16" s="185">
        <v>4</v>
      </c>
      <c r="J16" s="184">
        <v>3</v>
      </c>
      <c r="K16" s="179">
        <v>6</v>
      </c>
      <c r="L16" s="183">
        <v>3</v>
      </c>
      <c r="M16" s="181">
        <v>9</v>
      </c>
      <c r="N16" s="182">
        <v>0</v>
      </c>
      <c r="O16" s="181">
        <v>0</v>
      </c>
      <c r="P16" s="179">
        <v>9</v>
      </c>
      <c r="Q16" s="180"/>
      <c r="R16" s="179">
        <v>1</v>
      </c>
      <c r="S16" s="181">
        <v>9</v>
      </c>
      <c r="T16" s="182">
        <v>1</v>
      </c>
      <c r="U16" s="181">
        <v>3</v>
      </c>
      <c r="V16" s="179">
        <v>9</v>
      </c>
      <c r="W16" s="180"/>
      <c r="X16" s="179">
        <v>7</v>
      </c>
      <c r="Y16" s="181">
        <v>9</v>
      </c>
      <c r="Z16" s="182"/>
      <c r="AA16" s="181">
        <v>7</v>
      </c>
      <c r="AB16" s="179">
        <v>9</v>
      </c>
      <c r="AC16" s="180"/>
      <c r="AD16" s="179">
        <v>8</v>
      </c>
      <c r="AE16" s="181">
        <v>9</v>
      </c>
      <c r="AF16" s="182"/>
      <c r="AG16" s="181">
        <v>9</v>
      </c>
      <c r="AH16" s="179"/>
      <c r="AI16" s="180"/>
      <c r="AJ16" s="179"/>
    </row>
    <row r="17" spans="1:36" ht="37.9" customHeight="1" thickBot="1" x14ac:dyDescent="0.3">
      <c r="A17" s="146"/>
      <c r="B17" s="178" t="s">
        <v>284</v>
      </c>
      <c r="C17" s="169" t="s">
        <v>41</v>
      </c>
      <c r="D17" s="196"/>
      <c r="E17" s="176">
        <v>3</v>
      </c>
      <c r="F17" s="177">
        <v>0</v>
      </c>
      <c r="G17" s="170">
        <v>4</v>
      </c>
      <c r="H17" s="171">
        <v>0</v>
      </c>
      <c r="I17" s="176">
        <v>4</v>
      </c>
      <c r="J17" s="175">
        <v>1</v>
      </c>
      <c r="K17" s="170">
        <v>4</v>
      </c>
      <c r="L17" s="174">
        <v>1</v>
      </c>
      <c r="M17" s="172">
        <v>7</v>
      </c>
      <c r="N17" s="173">
        <v>0</v>
      </c>
      <c r="O17" s="172">
        <v>0</v>
      </c>
      <c r="P17" s="170">
        <v>7</v>
      </c>
      <c r="Q17" s="171"/>
      <c r="R17" s="170">
        <v>0</v>
      </c>
      <c r="S17" s="172">
        <v>7</v>
      </c>
      <c r="T17" s="173"/>
      <c r="U17" s="172">
        <v>3</v>
      </c>
      <c r="V17" s="170">
        <v>7</v>
      </c>
      <c r="W17" s="171"/>
      <c r="X17" s="170">
        <v>5</v>
      </c>
      <c r="Y17" s="172">
        <v>7</v>
      </c>
      <c r="Z17" s="173"/>
      <c r="AA17" s="172">
        <v>5</v>
      </c>
      <c r="AB17" s="170">
        <v>7</v>
      </c>
      <c r="AC17" s="171"/>
      <c r="AD17" s="170">
        <v>5</v>
      </c>
      <c r="AE17" s="172">
        <v>7</v>
      </c>
      <c r="AF17" s="173"/>
      <c r="AG17" s="172">
        <v>7</v>
      </c>
      <c r="AH17" s="170"/>
      <c r="AI17" s="171"/>
      <c r="AJ17" s="170"/>
    </row>
    <row r="18" spans="1:36" ht="37.9" customHeight="1" x14ac:dyDescent="0.25">
      <c r="A18" s="189"/>
      <c r="B18" s="167" t="s">
        <v>283</v>
      </c>
      <c r="C18" s="169" t="s">
        <v>41</v>
      </c>
      <c r="D18" s="143"/>
      <c r="E18" s="165">
        <v>3</v>
      </c>
      <c r="F18" s="166">
        <v>2</v>
      </c>
      <c r="G18" s="159">
        <v>4</v>
      </c>
      <c r="H18" s="160">
        <v>3</v>
      </c>
      <c r="I18" s="165">
        <v>4</v>
      </c>
      <c r="J18" s="164">
        <v>4</v>
      </c>
      <c r="K18" s="159">
        <v>9</v>
      </c>
      <c r="L18" s="163">
        <v>0</v>
      </c>
      <c r="M18" s="161">
        <v>9</v>
      </c>
      <c r="N18" s="162">
        <v>0</v>
      </c>
      <c r="O18" s="161">
        <v>0</v>
      </c>
      <c r="P18" s="159">
        <v>9</v>
      </c>
      <c r="Q18" s="160"/>
      <c r="R18" s="159">
        <v>0</v>
      </c>
      <c r="S18" s="161">
        <v>9</v>
      </c>
      <c r="T18" s="162"/>
      <c r="U18" s="161">
        <v>2</v>
      </c>
      <c r="V18" s="159">
        <v>9</v>
      </c>
      <c r="W18" s="160"/>
      <c r="X18" s="159">
        <v>5</v>
      </c>
      <c r="Y18" s="161">
        <v>9</v>
      </c>
      <c r="Z18" s="162"/>
      <c r="AA18" s="161">
        <v>7</v>
      </c>
      <c r="AB18" s="159">
        <v>9</v>
      </c>
      <c r="AC18" s="160"/>
      <c r="AD18" s="159">
        <v>7</v>
      </c>
      <c r="AE18" s="161">
        <v>9</v>
      </c>
      <c r="AF18" s="162"/>
      <c r="AG18" s="161">
        <v>8</v>
      </c>
      <c r="AH18" s="159"/>
      <c r="AI18" s="160"/>
      <c r="AJ18" s="159"/>
    </row>
    <row r="19" spans="1:36" ht="37.9" customHeight="1" x14ac:dyDescent="0.25">
      <c r="A19" s="158"/>
      <c r="B19" s="167" t="s">
        <v>282</v>
      </c>
      <c r="C19" s="168" t="s">
        <v>41</v>
      </c>
      <c r="D19" s="143"/>
      <c r="E19" s="165">
        <v>1</v>
      </c>
      <c r="F19" s="166">
        <v>3</v>
      </c>
      <c r="G19" s="159">
        <v>4</v>
      </c>
      <c r="H19" s="160">
        <v>2</v>
      </c>
      <c r="I19" s="165">
        <v>5</v>
      </c>
      <c r="J19" s="164">
        <v>1</v>
      </c>
      <c r="K19" s="159">
        <v>8</v>
      </c>
      <c r="L19" s="163">
        <v>0</v>
      </c>
      <c r="M19" s="161">
        <v>8</v>
      </c>
      <c r="N19" s="162">
        <v>0</v>
      </c>
      <c r="O19" s="161">
        <v>0</v>
      </c>
      <c r="P19" s="159">
        <v>8</v>
      </c>
      <c r="Q19" s="160"/>
      <c r="R19" s="159">
        <v>1</v>
      </c>
      <c r="S19" s="161">
        <v>8</v>
      </c>
      <c r="T19" s="162"/>
      <c r="U19" s="161">
        <v>3</v>
      </c>
      <c r="V19" s="159">
        <v>8</v>
      </c>
      <c r="W19" s="160"/>
      <c r="X19" s="159">
        <v>7</v>
      </c>
      <c r="Y19" s="161">
        <v>8</v>
      </c>
      <c r="Z19" s="162"/>
      <c r="AA19" s="161">
        <v>8</v>
      </c>
      <c r="AB19" s="159">
        <v>8</v>
      </c>
      <c r="AC19" s="160"/>
      <c r="AD19" s="159">
        <v>7</v>
      </c>
      <c r="AE19" s="161">
        <v>8</v>
      </c>
      <c r="AF19" s="162"/>
      <c r="AG19" s="161">
        <v>8</v>
      </c>
      <c r="AH19" s="159"/>
      <c r="AI19" s="160"/>
      <c r="AJ19" s="159"/>
    </row>
    <row r="20" spans="1:36" ht="37.9" customHeight="1" x14ac:dyDescent="0.25">
      <c r="A20" s="158"/>
      <c r="B20" s="167" t="s">
        <v>281</v>
      </c>
      <c r="C20" s="195" t="s">
        <v>43</v>
      </c>
      <c r="D20" s="143"/>
      <c r="E20" s="165">
        <v>6</v>
      </c>
      <c r="F20" s="166">
        <v>1</v>
      </c>
      <c r="G20" s="159">
        <v>6</v>
      </c>
      <c r="H20" s="160">
        <v>1</v>
      </c>
      <c r="I20" s="165">
        <v>6</v>
      </c>
      <c r="J20" s="164">
        <v>1</v>
      </c>
      <c r="K20" s="159">
        <v>7</v>
      </c>
      <c r="L20" s="163">
        <v>1</v>
      </c>
      <c r="M20" s="161">
        <v>8</v>
      </c>
      <c r="N20" s="162">
        <v>0</v>
      </c>
      <c r="O20" s="161">
        <v>1</v>
      </c>
      <c r="P20" s="159">
        <v>8</v>
      </c>
      <c r="Q20" s="160"/>
      <c r="R20" s="159">
        <v>2</v>
      </c>
      <c r="S20" s="161">
        <v>8</v>
      </c>
      <c r="T20" s="162"/>
      <c r="U20" s="161">
        <v>5</v>
      </c>
      <c r="V20" s="159">
        <v>8</v>
      </c>
      <c r="W20" s="160"/>
      <c r="X20" s="159">
        <v>6</v>
      </c>
      <c r="Y20" s="161">
        <v>8</v>
      </c>
      <c r="Z20" s="162"/>
      <c r="AA20" s="161">
        <v>6</v>
      </c>
      <c r="AB20" s="159">
        <v>8</v>
      </c>
      <c r="AC20" s="160"/>
      <c r="AD20" s="159">
        <v>6</v>
      </c>
      <c r="AE20" s="161">
        <v>8</v>
      </c>
      <c r="AF20" s="162"/>
      <c r="AG20" s="161">
        <v>8</v>
      </c>
      <c r="AH20" s="159"/>
      <c r="AI20" s="160"/>
      <c r="AJ20" s="159"/>
    </row>
    <row r="21" spans="1:36" ht="37.9" customHeight="1" x14ac:dyDescent="0.25">
      <c r="A21" s="158"/>
      <c r="B21" s="145" t="s">
        <v>280</v>
      </c>
      <c r="C21" s="195" t="s">
        <v>43</v>
      </c>
      <c r="D21" s="143"/>
      <c r="E21" s="156">
        <v>7</v>
      </c>
      <c r="F21" s="157">
        <v>0</v>
      </c>
      <c r="G21" s="147">
        <v>7</v>
      </c>
      <c r="H21" s="148">
        <v>1</v>
      </c>
      <c r="I21" s="156">
        <v>7</v>
      </c>
      <c r="J21" s="155">
        <v>2</v>
      </c>
      <c r="K21" s="147">
        <v>8</v>
      </c>
      <c r="L21" s="154">
        <v>1</v>
      </c>
      <c r="M21" s="149">
        <v>9</v>
      </c>
      <c r="N21" s="150">
        <v>0</v>
      </c>
      <c r="O21" s="149">
        <v>2</v>
      </c>
      <c r="P21" s="147">
        <v>9</v>
      </c>
      <c r="Q21" s="148"/>
      <c r="R21" s="147">
        <v>3</v>
      </c>
      <c r="S21" s="149">
        <v>9</v>
      </c>
      <c r="T21" s="150"/>
      <c r="U21" s="149">
        <v>6</v>
      </c>
      <c r="V21" s="147">
        <v>8</v>
      </c>
      <c r="W21" s="148"/>
      <c r="X21" s="147">
        <v>8</v>
      </c>
      <c r="Y21" s="149">
        <v>8</v>
      </c>
      <c r="Z21" s="150"/>
      <c r="AA21" s="149">
        <v>8</v>
      </c>
      <c r="AB21" s="147">
        <v>8</v>
      </c>
      <c r="AC21" s="148"/>
      <c r="AD21" s="147">
        <v>8</v>
      </c>
      <c r="AE21" s="149">
        <v>8</v>
      </c>
      <c r="AF21" s="150"/>
      <c r="AG21" s="149">
        <v>8</v>
      </c>
      <c r="AH21" s="147"/>
      <c r="AI21" s="148"/>
      <c r="AJ21" s="147"/>
    </row>
    <row r="22" spans="1:36" ht="37.9" customHeight="1" x14ac:dyDescent="0.25">
      <c r="A22" s="120"/>
      <c r="B22" s="145" t="s">
        <v>279</v>
      </c>
      <c r="C22" s="195" t="s">
        <v>43</v>
      </c>
      <c r="D22" s="143"/>
      <c r="E22" s="156">
        <v>4</v>
      </c>
      <c r="F22" s="157">
        <v>1</v>
      </c>
      <c r="G22" s="147">
        <v>5</v>
      </c>
      <c r="H22" s="148">
        <v>0</v>
      </c>
      <c r="I22" s="156">
        <v>5</v>
      </c>
      <c r="J22" s="155">
        <v>1</v>
      </c>
      <c r="K22" s="147">
        <v>5</v>
      </c>
      <c r="L22" s="154">
        <v>1</v>
      </c>
      <c r="M22" s="149">
        <v>6</v>
      </c>
      <c r="N22" s="150">
        <v>0</v>
      </c>
      <c r="O22" s="149">
        <v>0</v>
      </c>
      <c r="P22" s="147">
        <v>6</v>
      </c>
      <c r="Q22" s="148"/>
      <c r="R22" s="147">
        <v>1</v>
      </c>
      <c r="S22" s="149">
        <v>6</v>
      </c>
      <c r="T22" s="150"/>
      <c r="U22" s="149">
        <v>3</v>
      </c>
      <c r="V22" s="147">
        <v>6</v>
      </c>
      <c r="W22" s="148"/>
      <c r="X22" s="147">
        <v>5</v>
      </c>
      <c r="Y22" s="149">
        <v>6</v>
      </c>
      <c r="Z22" s="150"/>
      <c r="AA22" s="149">
        <v>6</v>
      </c>
      <c r="AB22" s="147">
        <v>6</v>
      </c>
      <c r="AC22" s="148"/>
      <c r="AD22" s="147">
        <v>6</v>
      </c>
      <c r="AE22" s="149">
        <v>6</v>
      </c>
      <c r="AF22" s="150"/>
      <c r="AG22" s="149">
        <v>6</v>
      </c>
      <c r="AH22" s="147"/>
      <c r="AI22" s="148"/>
      <c r="AJ22" s="147"/>
    </row>
    <row r="23" spans="1:36" ht="37.9" customHeight="1" thickBot="1" x14ac:dyDescent="0.3">
      <c r="A23" s="158"/>
      <c r="B23" s="188" t="s">
        <v>278</v>
      </c>
      <c r="C23" s="195" t="s">
        <v>43</v>
      </c>
      <c r="D23" s="143"/>
      <c r="E23" s="141">
        <v>5</v>
      </c>
      <c r="F23" s="142">
        <v>1</v>
      </c>
      <c r="G23" s="132">
        <v>7</v>
      </c>
      <c r="H23" s="133">
        <v>1</v>
      </c>
      <c r="I23" s="141"/>
      <c r="J23" s="140">
        <v>1</v>
      </c>
      <c r="K23" s="132">
        <v>8</v>
      </c>
      <c r="L23" s="139">
        <v>0</v>
      </c>
      <c r="M23" s="134">
        <v>8</v>
      </c>
      <c r="N23" s="135">
        <v>0</v>
      </c>
      <c r="O23" s="134">
        <v>1</v>
      </c>
      <c r="P23" s="132">
        <v>8</v>
      </c>
      <c r="Q23" s="133"/>
      <c r="R23" s="132">
        <v>2</v>
      </c>
      <c r="S23" s="134">
        <v>8</v>
      </c>
      <c r="T23" s="135"/>
      <c r="U23" s="134">
        <v>5</v>
      </c>
      <c r="V23" s="132">
        <v>8</v>
      </c>
      <c r="W23" s="133"/>
      <c r="X23" s="132">
        <v>7</v>
      </c>
      <c r="Y23" s="134">
        <v>8</v>
      </c>
      <c r="Z23" s="135"/>
      <c r="AA23" s="134">
        <v>8</v>
      </c>
      <c r="AB23" s="132">
        <v>8</v>
      </c>
      <c r="AC23" s="133"/>
      <c r="AD23" s="132">
        <v>8</v>
      </c>
      <c r="AE23" s="134">
        <v>8</v>
      </c>
      <c r="AF23" s="135"/>
      <c r="AG23" s="134">
        <v>8</v>
      </c>
      <c r="AH23" s="132"/>
      <c r="AI23" s="133"/>
      <c r="AJ23" s="132"/>
    </row>
    <row r="24" spans="1:36" ht="37.9" customHeight="1" x14ac:dyDescent="0.25">
      <c r="A24" s="158"/>
      <c r="B24" s="187" t="s">
        <v>277</v>
      </c>
      <c r="C24" s="195" t="s">
        <v>41</v>
      </c>
      <c r="D24" s="143"/>
      <c r="E24" s="185">
        <v>3</v>
      </c>
      <c r="F24" s="186">
        <v>2</v>
      </c>
      <c r="G24" s="179">
        <v>3</v>
      </c>
      <c r="H24" s="180">
        <v>2</v>
      </c>
      <c r="I24" s="185">
        <v>3</v>
      </c>
      <c r="J24" s="184">
        <v>4</v>
      </c>
      <c r="K24" s="179">
        <v>5</v>
      </c>
      <c r="L24" s="183">
        <v>3</v>
      </c>
      <c r="M24" s="181">
        <v>7</v>
      </c>
      <c r="N24" s="182">
        <v>0</v>
      </c>
      <c r="O24" s="181">
        <v>0</v>
      </c>
      <c r="P24" s="179">
        <v>7</v>
      </c>
      <c r="Q24" s="180"/>
      <c r="R24" s="179">
        <v>0</v>
      </c>
      <c r="S24" s="181">
        <v>7</v>
      </c>
      <c r="T24" s="182"/>
      <c r="U24" s="181">
        <v>2</v>
      </c>
      <c r="V24" s="179">
        <v>7</v>
      </c>
      <c r="W24" s="180"/>
      <c r="X24" s="179">
        <v>5</v>
      </c>
      <c r="Y24" s="181">
        <v>7</v>
      </c>
      <c r="Z24" s="182"/>
      <c r="AA24" s="181">
        <v>6</v>
      </c>
      <c r="AB24" s="179">
        <v>7</v>
      </c>
      <c r="AC24" s="180"/>
      <c r="AD24" s="179">
        <v>6</v>
      </c>
      <c r="AE24" s="181">
        <v>7</v>
      </c>
      <c r="AF24" s="182"/>
      <c r="AG24" s="181">
        <v>7</v>
      </c>
      <c r="AH24" s="179"/>
      <c r="AI24" s="180"/>
      <c r="AJ24" s="179"/>
    </row>
    <row r="25" spans="1:36" ht="37.9" customHeight="1" x14ac:dyDescent="0.25">
      <c r="A25" s="158"/>
      <c r="B25" s="178" t="s">
        <v>276</v>
      </c>
      <c r="C25" s="195" t="s">
        <v>41</v>
      </c>
      <c r="D25" s="143"/>
      <c r="E25" s="176">
        <v>7</v>
      </c>
      <c r="F25" s="177">
        <v>1</v>
      </c>
      <c r="G25" s="170">
        <v>7</v>
      </c>
      <c r="H25" s="171">
        <v>2</v>
      </c>
      <c r="I25" s="176">
        <v>7</v>
      </c>
      <c r="J25" s="175">
        <v>3</v>
      </c>
      <c r="K25" s="170">
        <v>10</v>
      </c>
      <c r="L25" s="174">
        <v>0</v>
      </c>
      <c r="M25" s="172">
        <v>11</v>
      </c>
      <c r="N25" s="173">
        <v>0</v>
      </c>
      <c r="O25" s="172">
        <v>0</v>
      </c>
      <c r="P25" s="170">
        <v>11</v>
      </c>
      <c r="Q25" s="171"/>
      <c r="R25" s="170">
        <v>1</v>
      </c>
      <c r="S25" s="172">
        <v>11</v>
      </c>
      <c r="T25" s="173"/>
      <c r="U25" s="172">
        <v>4</v>
      </c>
      <c r="V25" s="170">
        <v>11</v>
      </c>
      <c r="W25" s="171"/>
      <c r="X25" s="170">
        <v>7</v>
      </c>
      <c r="Y25" s="172">
        <v>11</v>
      </c>
      <c r="Z25" s="173"/>
      <c r="AA25" s="172">
        <v>8</v>
      </c>
      <c r="AB25" s="170">
        <v>11</v>
      </c>
      <c r="AC25" s="171"/>
      <c r="AD25" s="170">
        <v>8</v>
      </c>
      <c r="AE25" s="172">
        <v>11</v>
      </c>
      <c r="AF25" s="173"/>
      <c r="AG25" s="172">
        <v>10</v>
      </c>
      <c r="AH25" s="170"/>
      <c r="AI25" s="171"/>
      <c r="AJ25" s="170"/>
    </row>
    <row r="26" spans="1:36" ht="37.9" customHeight="1" x14ac:dyDescent="0.25">
      <c r="A26" s="158"/>
      <c r="B26" s="167" t="s">
        <v>275</v>
      </c>
      <c r="C26" s="195" t="s">
        <v>41</v>
      </c>
      <c r="D26" s="143"/>
      <c r="E26" s="165">
        <v>5</v>
      </c>
      <c r="F26" s="166">
        <v>1</v>
      </c>
      <c r="G26" s="159">
        <v>6</v>
      </c>
      <c r="H26" s="160">
        <v>0</v>
      </c>
      <c r="I26" s="165">
        <v>6</v>
      </c>
      <c r="J26" s="164">
        <v>0</v>
      </c>
      <c r="K26" s="159">
        <v>6</v>
      </c>
      <c r="L26" s="163">
        <v>0</v>
      </c>
      <c r="M26" s="161">
        <v>6</v>
      </c>
      <c r="N26" s="162">
        <v>0</v>
      </c>
      <c r="O26" s="161">
        <v>1</v>
      </c>
      <c r="P26" s="159">
        <v>6</v>
      </c>
      <c r="Q26" s="160"/>
      <c r="R26" s="159">
        <v>1</v>
      </c>
      <c r="S26" s="161">
        <v>6</v>
      </c>
      <c r="T26" s="162"/>
      <c r="U26" s="161">
        <v>2</v>
      </c>
      <c r="V26" s="159">
        <v>6</v>
      </c>
      <c r="W26" s="160"/>
      <c r="X26" s="159">
        <v>5</v>
      </c>
      <c r="Y26" s="161">
        <v>6</v>
      </c>
      <c r="Z26" s="162"/>
      <c r="AA26" s="161">
        <v>6</v>
      </c>
      <c r="AB26" s="159">
        <v>6</v>
      </c>
      <c r="AC26" s="160"/>
      <c r="AD26" s="159">
        <v>6</v>
      </c>
      <c r="AE26" s="161">
        <v>6</v>
      </c>
      <c r="AF26" s="162"/>
      <c r="AG26" s="161">
        <v>6</v>
      </c>
      <c r="AH26" s="159"/>
      <c r="AI26" s="160"/>
      <c r="AJ26" s="159"/>
    </row>
    <row r="27" spans="1:36" ht="37.9" customHeight="1" x14ac:dyDescent="0.25">
      <c r="A27" s="158"/>
      <c r="B27" s="167" t="s">
        <v>274</v>
      </c>
      <c r="C27" s="195" t="s">
        <v>41</v>
      </c>
      <c r="D27" s="143"/>
      <c r="E27" s="165">
        <v>2</v>
      </c>
      <c r="F27" s="166">
        <v>3</v>
      </c>
      <c r="G27" s="159">
        <v>4</v>
      </c>
      <c r="H27" s="160">
        <v>3</v>
      </c>
      <c r="I27" s="165">
        <v>4</v>
      </c>
      <c r="J27" s="164">
        <v>4</v>
      </c>
      <c r="K27" s="159">
        <v>8</v>
      </c>
      <c r="L27" s="163">
        <v>0</v>
      </c>
      <c r="M27" s="161">
        <v>8</v>
      </c>
      <c r="N27" s="162">
        <v>0</v>
      </c>
      <c r="O27" s="161">
        <v>0</v>
      </c>
      <c r="P27" s="159">
        <v>8</v>
      </c>
      <c r="Q27" s="160"/>
      <c r="R27" s="159">
        <v>0</v>
      </c>
      <c r="S27" s="161">
        <v>9</v>
      </c>
      <c r="T27" s="162"/>
      <c r="U27" s="161">
        <v>2</v>
      </c>
      <c r="V27" s="159">
        <v>9</v>
      </c>
      <c r="W27" s="160"/>
      <c r="X27" s="159">
        <v>5</v>
      </c>
      <c r="Y27" s="161">
        <v>9</v>
      </c>
      <c r="Z27" s="162"/>
      <c r="AA27" s="161">
        <v>7</v>
      </c>
      <c r="AB27" s="159">
        <v>9</v>
      </c>
      <c r="AC27" s="160"/>
      <c r="AD27" s="159">
        <v>7</v>
      </c>
      <c r="AE27" s="161">
        <v>9</v>
      </c>
      <c r="AF27" s="162"/>
      <c r="AG27" s="161">
        <v>9</v>
      </c>
      <c r="AH27" s="159"/>
      <c r="AI27" s="160"/>
      <c r="AJ27" s="159"/>
    </row>
    <row r="28" spans="1:36" ht="37.9" customHeight="1" x14ac:dyDescent="0.25">
      <c r="A28" s="158"/>
      <c r="B28" s="167" t="s">
        <v>273</v>
      </c>
      <c r="C28" s="168" t="s">
        <v>43</v>
      </c>
      <c r="D28" s="143"/>
      <c r="E28" s="165">
        <v>6</v>
      </c>
      <c r="F28" s="166">
        <v>0</v>
      </c>
      <c r="G28" s="159">
        <v>7</v>
      </c>
      <c r="H28" s="160">
        <v>0</v>
      </c>
      <c r="I28" s="165">
        <v>7</v>
      </c>
      <c r="J28" s="164">
        <v>0</v>
      </c>
      <c r="K28" s="159">
        <v>7</v>
      </c>
      <c r="L28" s="163">
        <v>0</v>
      </c>
      <c r="M28" s="161">
        <v>7</v>
      </c>
      <c r="N28" s="162">
        <v>0</v>
      </c>
      <c r="O28" s="161">
        <v>0</v>
      </c>
      <c r="P28" s="159">
        <v>7</v>
      </c>
      <c r="Q28" s="160"/>
      <c r="R28" s="159">
        <v>1</v>
      </c>
      <c r="S28" s="161">
        <v>7</v>
      </c>
      <c r="T28" s="162"/>
      <c r="U28" s="161">
        <v>4</v>
      </c>
      <c r="V28" s="159">
        <v>7</v>
      </c>
      <c r="W28" s="160"/>
      <c r="X28" s="159">
        <v>7</v>
      </c>
      <c r="Y28" s="161">
        <v>7</v>
      </c>
      <c r="Z28" s="162"/>
      <c r="AA28" s="161">
        <v>7</v>
      </c>
      <c r="AB28" s="159">
        <v>7</v>
      </c>
      <c r="AC28" s="160"/>
      <c r="AD28" s="159">
        <v>7</v>
      </c>
      <c r="AE28" s="161">
        <v>7</v>
      </c>
      <c r="AF28" s="162"/>
      <c r="AG28" s="161">
        <v>7</v>
      </c>
      <c r="AH28" s="159"/>
      <c r="AI28" s="160"/>
      <c r="AJ28" s="159"/>
    </row>
    <row r="29" spans="1:36" ht="37.9" customHeight="1" x14ac:dyDescent="0.25">
      <c r="A29" s="158"/>
      <c r="B29" s="145" t="s">
        <v>272</v>
      </c>
      <c r="C29" s="168" t="s">
        <v>43</v>
      </c>
      <c r="D29" s="143"/>
      <c r="E29" s="156">
        <v>2</v>
      </c>
      <c r="F29" s="157">
        <v>2</v>
      </c>
      <c r="G29" s="147">
        <v>5</v>
      </c>
      <c r="H29" s="148">
        <v>0</v>
      </c>
      <c r="I29" s="156">
        <v>5</v>
      </c>
      <c r="J29" s="155">
        <v>1</v>
      </c>
      <c r="K29" s="147">
        <v>5</v>
      </c>
      <c r="L29" s="154">
        <v>1</v>
      </c>
      <c r="M29" s="149">
        <v>6</v>
      </c>
      <c r="N29" s="150">
        <v>0</v>
      </c>
      <c r="O29" s="149">
        <v>0</v>
      </c>
      <c r="P29" s="147">
        <v>6</v>
      </c>
      <c r="Q29" s="148"/>
      <c r="R29" s="147">
        <v>1</v>
      </c>
      <c r="S29" s="149">
        <v>6</v>
      </c>
      <c r="T29" s="150"/>
      <c r="U29" s="149">
        <v>2</v>
      </c>
      <c r="V29" s="147">
        <v>5</v>
      </c>
      <c r="W29" s="148"/>
      <c r="X29" s="147">
        <v>5</v>
      </c>
      <c r="Y29" s="149">
        <v>5</v>
      </c>
      <c r="Z29" s="150"/>
      <c r="AA29" s="149">
        <v>5</v>
      </c>
      <c r="AB29" s="147">
        <v>5</v>
      </c>
      <c r="AC29" s="148"/>
      <c r="AD29" s="147">
        <v>5</v>
      </c>
      <c r="AE29" s="149">
        <v>5</v>
      </c>
      <c r="AF29" s="150"/>
      <c r="AG29" s="149">
        <v>5</v>
      </c>
      <c r="AH29" s="147"/>
      <c r="AI29" s="148"/>
      <c r="AJ29" s="147"/>
    </row>
    <row r="30" spans="1:36" ht="37.9" customHeight="1" x14ac:dyDescent="0.25">
      <c r="A30" s="120"/>
      <c r="B30" s="145" t="s">
        <v>271</v>
      </c>
      <c r="C30" s="168" t="s">
        <v>43</v>
      </c>
      <c r="D30" s="143"/>
      <c r="E30" s="156">
        <v>5</v>
      </c>
      <c r="F30" s="157">
        <v>3</v>
      </c>
      <c r="G30" s="147">
        <v>6</v>
      </c>
      <c r="H30" s="148">
        <v>2</v>
      </c>
      <c r="I30" s="156">
        <v>6</v>
      </c>
      <c r="J30" s="155">
        <v>3</v>
      </c>
      <c r="K30" s="147">
        <v>7</v>
      </c>
      <c r="L30" s="154">
        <v>2</v>
      </c>
      <c r="M30" s="149">
        <v>8</v>
      </c>
      <c r="N30" s="150">
        <v>0</v>
      </c>
      <c r="O30" s="149">
        <v>1</v>
      </c>
      <c r="P30" s="147">
        <v>8</v>
      </c>
      <c r="Q30" s="148"/>
      <c r="R30" s="147">
        <v>2</v>
      </c>
      <c r="S30" s="149">
        <v>8</v>
      </c>
      <c r="T30" s="150"/>
      <c r="U30" s="149">
        <v>4</v>
      </c>
      <c r="V30" s="147">
        <v>8</v>
      </c>
      <c r="W30" s="148"/>
      <c r="X30" s="147">
        <v>6</v>
      </c>
      <c r="Y30" s="149">
        <v>8</v>
      </c>
      <c r="Z30" s="150"/>
      <c r="AA30" s="149">
        <v>7</v>
      </c>
      <c r="AB30" s="147">
        <v>8</v>
      </c>
      <c r="AC30" s="148"/>
      <c r="AD30" s="147">
        <v>8</v>
      </c>
      <c r="AE30" s="149">
        <v>8</v>
      </c>
      <c r="AF30" s="150"/>
      <c r="AG30" s="149">
        <v>8</v>
      </c>
      <c r="AH30" s="147"/>
      <c r="AI30" s="148"/>
      <c r="AJ30" s="147"/>
    </row>
    <row r="31" spans="1:36" ht="37.9" customHeight="1" thickBot="1" x14ac:dyDescent="0.3">
      <c r="A31" s="146"/>
      <c r="B31" s="188" t="s">
        <v>270</v>
      </c>
      <c r="C31" s="168" t="s">
        <v>43</v>
      </c>
      <c r="D31" s="143"/>
      <c r="E31" s="141">
        <v>6</v>
      </c>
      <c r="F31" s="142">
        <v>1</v>
      </c>
      <c r="G31" s="132">
        <v>7</v>
      </c>
      <c r="H31" s="133">
        <v>0</v>
      </c>
      <c r="I31" s="141">
        <v>7</v>
      </c>
      <c r="J31" s="140">
        <v>1</v>
      </c>
      <c r="K31" s="132">
        <v>8</v>
      </c>
      <c r="L31" s="139">
        <v>1</v>
      </c>
      <c r="M31" s="134">
        <v>9</v>
      </c>
      <c r="N31" s="135">
        <v>0</v>
      </c>
      <c r="O31" s="134">
        <v>1</v>
      </c>
      <c r="P31" s="132">
        <v>9</v>
      </c>
      <c r="Q31" s="133"/>
      <c r="R31" s="132">
        <v>1</v>
      </c>
      <c r="S31" s="134">
        <v>9</v>
      </c>
      <c r="T31" s="135"/>
      <c r="U31" s="134">
        <v>5</v>
      </c>
      <c r="V31" s="132">
        <v>9</v>
      </c>
      <c r="W31" s="133"/>
      <c r="X31" s="132">
        <v>6</v>
      </c>
      <c r="Y31" s="134">
        <v>9</v>
      </c>
      <c r="Z31" s="135"/>
      <c r="AA31" s="134">
        <v>7</v>
      </c>
      <c r="AB31" s="132">
        <v>9</v>
      </c>
      <c r="AC31" s="133"/>
      <c r="AD31" s="132">
        <v>9</v>
      </c>
      <c r="AE31" s="134">
        <v>8</v>
      </c>
      <c r="AF31" s="135"/>
      <c r="AG31" s="134">
        <v>8</v>
      </c>
      <c r="AH31" s="132"/>
      <c r="AI31" s="133"/>
      <c r="AJ31" s="132"/>
    </row>
    <row r="32" spans="1:36" ht="37.9" customHeight="1" thickBot="1" x14ac:dyDescent="0.3">
      <c r="A32" s="146"/>
      <c r="B32" s="187" t="s">
        <v>269</v>
      </c>
      <c r="C32" s="169" t="s">
        <v>43</v>
      </c>
      <c r="D32" s="143"/>
      <c r="E32" s="185">
        <v>6</v>
      </c>
      <c r="F32" s="186">
        <v>0</v>
      </c>
      <c r="G32" s="179">
        <v>6</v>
      </c>
      <c r="H32" s="180">
        <v>1</v>
      </c>
      <c r="I32" s="185">
        <v>6</v>
      </c>
      <c r="J32" s="184">
        <v>2</v>
      </c>
      <c r="K32" s="179">
        <v>6</v>
      </c>
      <c r="L32" s="183">
        <v>2</v>
      </c>
      <c r="M32" s="181">
        <v>9</v>
      </c>
      <c r="N32" s="182">
        <v>0</v>
      </c>
      <c r="O32" s="181">
        <v>1</v>
      </c>
      <c r="P32" s="179">
        <v>9</v>
      </c>
      <c r="Q32" s="180"/>
      <c r="R32" s="179">
        <v>1</v>
      </c>
      <c r="S32" s="181">
        <v>9</v>
      </c>
      <c r="T32" s="182"/>
      <c r="U32" s="181">
        <v>4</v>
      </c>
      <c r="V32" s="179">
        <v>9</v>
      </c>
      <c r="W32" s="180"/>
      <c r="X32" s="179">
        <v>8</v>
      </c>
      <c r="Y32" s="181">
        <v>9</v>
      </c>
      <c r="Z32" s="182"/>
      <c r="AA32" s="181">
        <v>9</v>
      </c>
      <c r="AB32" s="179">
        <v>9</v>
      </c>
      <c r="AC32" s="180"/>
      <c r="AD32" s="179">
        <v>9</v>
      </c>
      <c r="AE32" s="181">
        <v>9</v>
      </c>
      <c r="AF32" s="182"/>
      <c r="AG32" s="181">
        <v>9</v>
      </c>
      <c r="AH32" s="179"/>
      <c r="AI32" s="180"/>
      <c r="AJ32" s="179"/>
    </row>
    <row r="33" spans="1:36" ht="37.9" customHeight="1" thickBot="1" x14ac:dyDescent="0.3">
      <c r="A33" s="146"/>
      <c r="B33" s="178" t="s">
        <v>268</v>
      </c>
      <c r="C33" s="169" t="s">
        <v>43</v>
      </c>
      <c r="D33" s="143"/>
      <c r="E33" s="176">
        <v>7</v>
      </c>
      <c r="F33" s="177">
        <v>1</v>
      </c>
      <c r="G33" s="170">
        <v>8</v>
      </c>
      <c r="H33" s="171">
        <v>1</v>
      </c>
      <c r="I33" s="176">
        <v>8</v>
      </c>
      <c r="J33" s="175">
        <v>2</v>
      </c>
      <c r="K33" s="170">
        <v>6</v>
      </c>
      <c r="L33" s="174">
        <v>1</v>
      </c>
      <c r="M33" s="172">
        <v>11</v>
      </c>
      <c r="N33" s="173">
        <v>0</v>
      </c>
      <c r="O33" s="172">
        <v>0</v>
      </c>
      <c r="P33" s="170">
        <v>11</v>
      </c>
      <c r="Q33" s="171"/>
      <c r="R33" s="170">
        <v>3</v>
      </c>
      <c r="S33" s="172">
        <v>11</v>
      </c>
      <c r="T33" s="173"/>
      <c r="U33" s="172">
        <v>6</v>
      </c>
      <c r="V33" s="170">
        <v>11</v>
      </c>
      <c r="W33" s="171"/>
      <c r="X33" s="170">
        <v>7</v>
      </c>
      <c r="Y33" s="172">
        <v>11</v>
      </c>
      <c r="Z33" s="173"/>
      <c r="AA33" s="172">
        <v>8</v>
      </c>
      <c r="AB33" s="170">
        <v>11</v>
      </c>
      <c r="AC33" s="171"/>
      <c r="AD33" s="170">
        <v>10</v>
      </c>
      <c r="AE33" s="172">
        <v>11</v>
      </c>
      <c r="AF33" s="173"/>
      <c r="AG33" s="172">
        <v>11</v>
      </c>
      <c r="AH33" s="170"/>
      <c r="AI33" s="171"/>
      <c r="AJ33" s="170"/>
    </row>
    <row r="34" spans="1:36" ht="37.9" customHeight="1" thickBot="1" x14ac:dyDescent="0.3">
      <c r="A34" s="189"/>
      <c r="B34" s="167" t="s">
        <v>267</v>
      </c>
      <c r="C34" s="169" t="s">
        <v>43</v>
      </c>
      <c r="D34" s="143"/>
      <c r="E34" s="165">
        <v>5</v>
      </c>
      <c r="F34" s="166">
        <v>2</v>
      </c>
      <c r="G34" s="159">
        <v>7</v>
      </c>
      <c r="H34" s="160">
        <v>2</v>
      </c>
      <c r="I34" s="165">
        <v>7</v>
      </c>
      <c r="J34" s="164">
        <v>3</v>
      </c>
      <c r="K34" s="159">
        <v>7</v>
      </c>
      <c r="L34" s="163">
        <v>3</v>
      </c>
      <c r="M34" s="161">
        <v>10</v>
      </c>
      <c r="N34" s="162">
        <v>0</v>
      </c>
      <c r="O34" s="161">
        <v>1</v>
      </c>
      <c r="P34" s="159">
        <v>10</v>
      </c>
      <c r="Q34" s="160"/>
      <c r="R34" s="159">
        <v>2</v>
      </c>
      <c r="S34" s="161">
        <v>10</v>
      </c>
      <c r="T34" s="162"/>
      <c r="U34" s="161">
        <v>6</v>
      </c>
      <c r="V34" s="159">
        <v>10</v>
      </c>
      <c r="W34" s="160"/>
      <c r="X34" s="159">
        <v>8</v>
      </c>
      <c r="Y34" s="161">
        <v>10</v>
      </c>
      <c r="Z34" s="162"/>
      <c r="AA34" s="161">
        <v>9</v>
      </c>
      <c r="AB34" s="159">
        <v>10</v>
      </c>
      <c r="AC34" s="160"/>
      <c r="AD34" s="159">
        <v>10</v>
      </c>
      <c r="AE34" s="161">
        <v>10</v>
      </c>
      <c r="AF34" s="162"/>
      <c r="AG34" s="161">
        <v>10</v>
      </c>
      <c r="AH34" s="159"/>
      <c r="AI34" s="160"/>
      <c r="AJ34" s="159"/>
    </row>
    <row r="35" spans="1:36" ht="37.9" customHeight="1" x14ac:dyDescent="0.25">
      <c r="A35" s="158"/>
      <c r="B35" s="167" t="s">
        <v>266</v>
      </c>
      <c r="C35" s="169" t="s">
        <v>43</v>
      </c>
      <c r="D35" s="143"/>
      <c r="E35" s="165">
        <v>8</v>
      </c>
      <c r="F35" s="166">
        <v>0</v>
      </c>
      <c r="G35" s="159">
        <v>9</v>
      </c>
      <c r="H35" s="160">
        <v>0</v>
      </c>
      <c r="I35" s="165">
        <v>9</v>
      </c>
      <c r="J35" s="164">
        <v>0</v>
      </c>
      <c r="K35" s="159">
        <v>9</v>
      </c>
      <c r="L35" s="163">
        <v>0</v>
      </c>
      <c r="M35" s="161">
        <v>9</v>
      </c>
      <c r="N35" s="162">
        <v>0</v>
      </c>
      <c r="O35" s="161">
        <v>0</v>
      </c>
      <c r="P35" s="159">
        <v>9</v>
      </c>
      <c r="Q35" s="160"/>
      <c r="R35" s="159">
        <v>0</v>
      </c>
      <c r="S35" s="161">
        <v>9</v>
      </c>
      <c r="T35" s="162"/>
      <c r="U35" s="161">
        <v>4</v>
      </c>
      <c r="V35" s="159">
        <v>9</v>
      </c>
      <c r="W35" s="160"/>
      <c r="X35" s="159">
        <v>8</v>
      </c>
      <c r="Y35" s="161">
        <v>9</v>
      </c>
      <c r="Z35" s="162"/>
      <c r="AA35" s="161">
        <v>9</v>
      </c>
      <c r="AB35" s="159">
        <v>9</v>
      </c>
      <c r="AC35" s="160"/>
      <c r="AD35" s="159">
        <v>9</v>
      </c>
      <c r="AE35" s="161">
        <v>9</v>
      </c>
      <c r="AF35" s="162"/>
      <c r="AG35" s="161">
        <v>9</v>
      </c>
      <c r="AH35" s="159"/>
      <c r="AI35" s="160"/>
      <c r="AJ35" s="159"/>
    </row>
    <row r="36" spans="1:36" ht="37.9" customHeight="1" x14ac:dyDescent="0.25">
      <c r="A36" s="158"/>
      <c r="B36" s="167" t="s">
        <v>265</v>
      </c>
      <c r="C36" s="144" t="s">
        <v>41</v>
      </c>
      <c r="D36" s="143"/>
      <c r="E36" s="165">
        <v>2</v>
      </c>
      <c r="F36" s="166">
        <v>3</v>
      </c>
      <c r="G36" s="159">
        <v>2</v>
      </c>
      <c r="H36" s="160">
        <v>3</v>
      </c>
      <c r="I36" s="165">
        <v>2</v>
      </c>
      <c r="J36" s="164">
        <v>4</v>
      </c>
      <c r="K36" s="159">
        <v>4</v>
      </c>
      <c r="L36" s="163">
        <v>2</v>
      </c>
      <c r="M36" s="161">
        <v>8</v>
      </c>
      <c r="N36" s="162">
        <v>0</v>
      </c>
      <c r="O36" s="161">
        <v>0</v>
      </c>
      <c r="P36" s="159">
        <v>8</v>
      </c>
      <c r="Q36" s="160"/>
      <c r="R36" s="159">
        <v>0</v>
      </c>
      <c r="S36" s="161">
        <v>8</v>
      </c>
      <c r="T36" s="162"/>
      <c r="U36" s="161">
        <v>2</v>
      </c>
      <c r="V36" s="159">
        <v>8</v>
      </c>
      <c r="W36" s="160"/>
      <c r="X36" s="159">
        <v>3</v>
      </c>
      <c r="Y36" s="161">
        <v>8</v>
      </c>
      <c r="Z36" s="162"/>
      <c r="AA36" s="161">
        <v>5</v>
      </c>
      <c r="AB36" s="159">
        <v>8</v>
      </c>
      <c r="AC36" s="160"/>
      <c r="AD36" s="159">
        <v>6</v>
      </c>
      <c r="AE36" s="161">
        <v>8</v>
      </c>
      <c r="AF36" s="162"/>
      <c r="AG36" s="161">
        <v>7</v>
      </c>
      <c r="AH36" s="159"/>
      <c r="AI36" s="160"/>
      <c r="AJ36" s="159"/>
    </row>
    <row r="37" spans="1:36" ht="37.9" customHeight="1" x14ac:dyDescent="0.25">
      <c r="A37" s="158"/>
      <c r="B37" s="145" t="s">
        <v>264</v>
      </c>
      <c r="C37" s="144" t="s">
        <v>41</v>
      </c>
      <c r="D37" s="143"/>
      <c r="E37" s="156">
        <v>3</v>
      </c>
      <c r="F37" s="157">
        <v>3</v>
      </c>
      <c r="G37" s="147">
        <v>7</v>
      </c>
      <c r="H37" s="148">
        <v>3</v>
      </c>
      <c r="I37" s="156">
        <v>8</v>
      </c>
      <c r="J37" s="155">
        <v>2</v>
      </c>
      <c r="K37" s="147">
        <v>9</v>
      </c>
      <c r="L37" s="154">
        <v>1</v>
      </c>
      <c r="M37" s="149">
        <v>10</v>
      </c>
      <c r="N37" s="150">
        <v>0</v>
      </c>
      <c r="O37" s="149">
        <v>0</v>
      </c>
      <c r="P37" s="147">
        <v>10</v>
      </c>
      <c r="Q37" s="148"/>
      <c r="R37" s="147">
        <v>1</v>
      </c>
      <c r="S37" s="149">
        <v>10</v>
      </c>
      <c r="T37" s="150"/>
      <c r="U37" s="149">
        <v>2</v>
      </c>
      <c r="V37" s="147">
        <v>10</v>
      </c>
      <c r="W37" s="148"/>
      <c r="X37" s="147">
        <v>8</v>
      </c>
      <c r="Y37" s="149">
        <v>10</v>
      </c>
      <c r="Z37" s="150"/>
      <c r="AA37" s="149">
        <v>9</v>
      </c>
      <c r="AB37" s="147">
        <v>10</v>
      </c>
      <c r="AC37" s="148"/>
      <c r="AD37" s="147">
        <v>9</v>
      </c>
      <c r="AE37" s="149">
        <v>10</v>
      </c>
      <c r="AF37" s="150"/>
      <c r="AG37" s="149">
        <v>10</v>
      </c>
      <c r="AH37" s="147"/>
      <c r="AI37" s="148"/>
      <c r="AJ37" s="147"/>
    </row>
    <row r="38" spans="1:36" ht="37.9" customHeight="1" x14ac:dyDescent="0.25">
      <c r="A38" s="158"/>
      <c r="B38" s="145" t="s">
        <v>263</v>
      </c>
      <c r="C38" s="144" t="s">
        <v>41</v>
      </c>
      <c r="D38" s="143"/>
      <c r="E38" s="156">
        <v>2</v>
      </c>
      <c r="F38" s="157">
        <v>3</v>
      </c>
      <c r="G38" s="147">
        <v>4</v>
      </c>
      <c r="H38" s="148">
        <v>3</v>
      </c>
      <c r="I38" s="156">
        <v>5</v>
      </c>
      <c r="J38" s="155">
        <v>4</v>
      </c>
      <c r="K38" s="147">
        <v>6</v>
      </c>
      <c r="L38" s="154">
        <v>3</v>
      </c>
      <c r="M38" s="149">
        <v>9</v>
      </c>
      <c r="N38" s="150">
        <v>0</v>
      </c>
      <c r="O38" s="149">
        <v>0</v>
      </c>
      <c r="P38" s="147">
        <v>9</v>
      </c>
      <c r="Q38" s="148"/>
      <c r="R38" s="147">
        <v>0</v>
      </c>
      <c r="S38" s="149">
        <v>10</v>
      </c>
      <c r="T38" s="150"/>
      <c r="U38" s="149">
        <v>0</v>
      </c>
      <c r="V38" s="147">
        <v>9</v>
      </c>
      <c r="W38" s="148"/>
      <c r="X38" s="147">
        <v>4</v>
      </c>
      <c r="Y38" s="149">
        <v>9</v>
      </c>
      <c r="Z38" s="150"/>
      <c r="AA38" s="149">
        <v>7</v>
      </c>
      <c r="AB38" s="147">
        <v>9</v>
      </c>
      <c r="AC38" s="148"/>
      <c r="AD38" s="147">
        <v>8</v>
      </c>
      <c r="AE38" s="149">
        <v>9</v>
      </c>
      <c r="AF38" s="150"/>
      <c r="AG38" s="149">
        <v>9</v>
      </c>
      <c r="AH38" s="147"/>
      <c r="AI38" s="148"/>
      <c r="AJ38" s="147"/>
    </row>
    <row r="39" spans="1:36" ht="37.9" customHeight="1" thickBot="1" x14ac:dyDescent="0.3">
      <c r="A39" s="158"/>
      <c r="B39" s="188" t="s">
        <v>262</v>
      </c>
      <c r="C39" s="144" t="s">
        <v>41</v>
      </c>
      <c r="D39" s="143"/>
      <c r="E39" s="141">
        <v>5</v>
      </c>
      <c r="F39" s="142">
        <v>1</v>
      </c>
      <c r="G39" s="132">
        <v>6</v>
      </c>
      <c r="H39" s="133">
        <v>1</v>
      </c>
      <c r="I39" s="141">
        <v>6</v>
      </c>
      <c r="J39" s="140">
        <v>1</v>
      </c>
      <c r="K39" s="132">
        <v>6</v>
      </c>
      <c r="L39" s="139">
        <v>1</v>
      </c>
      <c r="M39" s="134">
        <v>7</v>
      </c>
      <c r="N39" s="135">
        <v>0</v>
      </c>
      <c r="O39" s="134">
        <v>0</v>
      </c>
      <c r="P39" s="132">
        <v>7</v>
      </c>
      <c r="Q39" s="133"/>
      <c r="R39" s="132">
        <v>0</v>
      </c>
      <c r="S39" s="134">
        <v>7</v>
      </c>
      <c r="T39" s="135"/>
      <c r="U39" s="134">
        <v>2</v>
      </c>
      <c r="V39" s="132">
        <v>7</v>
      </c>
      <c r="W39" s="133"/>
      <c r="X39" s="132">
        <v>5</v>
      </c>
      <c r="Y39" s="134">
        <v>7</v>
      </c>
      <c r="Z39" s="135"/>
      <c r="AA39" s="134">
        <v>6</v>
      </c>
      <c r="AB39" s="132">
        <v>7</v>
      </c>
      <c r="AC39" s="133"/>
      <c r="AD39" s="132">
        <v>7</v>
      </c>
      <c r="AE39" s="134">
        <v>7</v>
      </c>
      <c r="AF39" s="135"/>
      <c r="AG39" s="134">
        <v>7</v>
      </c>
      <c r="AH39" s="132"/>
      <c r="AI39" s="133"/>
      <c r="AJ39" s="132"/>
    </row>
    <row r="40" spans="1:36" ht="37.9" customHeight="1" x14ac:dyDescent="0.25">
      <c r="A40" s="158"/>
      <c r="B40" s="187" t="s">
        <v>261</v>
      </c>
      <c r="C40" s="195" t="s">
        <v>43</v>
      </c>
      <c r="D40" s="143"/>
      <c r="E40" s="185">
        <v>2</v>
      </c>
      <c r="F40" s="186">
        <v>3</v>
      </c>
      <c r="G40" s="179">
        <v>4</v>
      </c>
      <c r="H40" s="180">
        <v>1</v>
      </c>
      <c r="I40" s="185">
        <v>4</v>
      </c>
      <c r="J40" s="184">
        <v>2</v>
      </c>
      <c r="K40" s="179">
        <v>4</v>
      </c>
      <c r="L40" s="183">
        <v>2</v>
      </c>
      <c r="M40" s="181">
        <v>6</v>
      </c>
      <c r="N40" s="182">
        <v>0</v>
      </c>
      <c r="O40" s="181">
        <v>0</v>
      </c>
      <c r="P40" s="179">
        <v>6</v>
      </c>
      <c r="Q40" s="180"/>
      <c r="R40" s="179">
        <v>0</v>
      </c>
      <c r="S40" s="181">
        <v>5</v>
      </c>
      <c r="T40" s="182"/>
      <c r="U40" s="181">
        <v>2</v>
      </c>
      <c r="V40" s="179">
        <v>5</v>
      </c>
      <c r="W40" s="180"/>
      <c r="X40" s="179">
        <v>4</v>
      </c>
      <c r="Y40" s="181">
        <v>5</v>
      </c>
      <c r="Z40" s="182"/>
      <c r="AA40" s="181">
        <v>5</v>
      </c>
      <c r="AB40" s="179">
        <v>5</v>
      </c>
      <c r="AC40" s="180"/>
      <c r="AD40" s="179">
        <v>5</v>
      </c>
      <c r="AE40" s="181">
        <v>5</v>
      </c>
      <c r="AF40" s="182"/>
      <c r="AG40" s="181">
        <v>5</v>
      </c>
      <c r="AH40" s="179"/>
      <c r="AI40" s="180"/>
      <c r="AJ40" s="179"/>
    </row>
    <row r="41" spans="1:36" ht="37.9" customHeight="1" x14ac:dyDescent="0.25">
      <c r="A41" s="158"/>
      <c r="B41" s="178" t="s">
        <v>260</v>
      </c>
      <c r="C41" s="195" t="s">
        <v>43</v>
      </c>
      <c r="D41" s="143"/>
      <c r="E41" s="176">
        <v>4</v>
      </c>
      <c r="F41" s="177">
        <v>1</v>
      </c>
      <c r="G41" s="170">
        <v>7</v>
      </c>
      <c r="H41" s="171">
        <v>0</v>
      </c>
      <c r="I41" s="176">
        <v>7</v>
      </c>
      <c r="J41" s="175">
        <v>1</v>
      </c>
      <c r="K41" s="170">
        <v>7</v>
      </c>
      <c r="L41" s="174">
        <v>1</v>
      </c>
      <c r="M41" s="172">
        <v>8</v>
      </c>
      <c r="N41" s="173">
        <v>0</v>
      </c>
      <c r="O41" s="172">
        <v>0</v>
      </c>
      <c r="P41" s="170">
        <v>8</v>
      </c>
      <c r="Q41" s="171"/>
      <c r="R41" s="170">
        <v>1</v>
      </c>
      <c r="S41" s="172">
        <v>8</v>
      </c>
      <c r="T41" s="173"/>
      <c r="U41" s="172">
        <v>4</v>
      </c>
      <c r="V41" s="170">
        <v>8</v>
      </c>
      <c r="W41" s="171"/>
      <c r="X41" s="170">
        <v>7</v>
      </c>
      <c r="Y41" s="172">
        <v>8</v>
      </c>
      <c r="Z41" s="173"/>
      <c r="AA41" s="172">
        <v>8</v>
      </c>
      <c r="AB41" s="170">
        <v>8</v>
      </c>
      <c r="AC41" s="171"/>
      <c r="AD41" s="170">
        <v>8</v>
      </c>
      <c r="AE41" s="172">
        <v>8</v>
      </c>
      <c r="AF41" s="173"/>
      <c r="AG41" s="172">
        <v>8</v>
      </c>
      <c r="AH41" s="170"/>
      <c r="AI41" s="171"/>
      <c r="AJ41" s="170"/>
    </row>
    <row r="42" spans="1:36" ht="37.9" customHeight="1" x14ac:dyDescent="0.25">
      <c r="A42" s="158"/>
      <c r="B42" s="167" t="s">
        <v>259</v>
      </c>
      <c r="C42" s="195" t="s">
        <v>43</v>
      </c>
      <c r="D42" s="143"/>
      <c r="E42" s="165">
        <v>7</v>
      </c>
      <c r="F42" s="166">
        <v>1</v>
      </c>
      <c r="G42" s="159">
        <v>9</v>
      </c>
      <c r="H42" s="160">
        <v>0</v>
      </c>
      <c r="I42" s="165">
        <v>9</v>
      </c>
      <c r="J42" s="164">
        <v>0</v>
      </c>
      <c r="K42" s="159">
        <v>9</v>
      </c>
      <c r="L42" s="163">
        <v>0</v>
      </c>
      <c r="M42" s="161"/>
      <c r="N42" s="162">
        <v>0</v>
      </c>
      <c r="O42" s="161">
        <v>0</v>
      </c>
      <c r="P42" s="159">
        <v>9</v>
      </c>
      <c r="Q42" s="160"/>
      <c r="R42" s="159">
        <v>2</v>
      </c>
      <c r="S42" s="161">
        <v>9</v>
      </c>
      <c r="T42" s="162"/>
      <c r="U42" s="161">
        <v>6</v>
      </c>
      <c r="V42" s="159">
        <v>9</v>
      </c>
      <c r="W42" s="160"/>
      <c r="X42" s="159">
        <v>8</v>
      </c>
      <c r="Y42" s="161">
        <v>9</v>
      </c>
      <c r="Z42" s="162"/>
      <c r="AA42" s="161">
        <v>9</v>
      </c>
      <c r="AB42" s="159">
        <v>9</v>
      </c>
      <c r="AC42" s="160"/>
      <c r="AD42" s="159">
        <v>9</v>
      </c>
      <c r="AE42" s="161">
        <v>9</v>
      </c>
      <c r="AF42" s="162"/>
      <c r="AG42" s="161">
        <v>9</v>
      </c>
      <c r="AH42" s="159"/>
      <c r="AI42" s="160"/>
      <c r="AJ42" s="159"/>
    </row>
    <row r="43" spans="1:36" ht="37.9" customHeight="1" x14ac:dyDescent="0.25">
      <c r="A43" s="158"/>
      <c r="B43" s="167" t="s">
        <v>258</v>
      </c>
      <c r="C43" s="195" t="s">
        <v>43</v>
      </c>
      <c r="D43" s="143"/>
      <c r="E43" s="165">
        <v>5</v>
      </c>
      <c r="F43" s="166">
        <v>1</v>
      </c>
      <c r="G43" s="159">
        <v>6</v>
      </c>
      <c r="H43" s="160">
        <v>0</v>
      </c>
      <c r="I43" s="165">
        <v>6</v>
      </c>
      <c r="J43" s="164">
        <v>2</v>
      </c>
      <c r="K43" s="159">
        <v>7</v>
      </c>
      <c r="L43" s="163">
        <v>1</v>
      </c>
      <c r="M43" s="161">
        <v>9</v>
      </c>
      <c r="N43" s="162">
        <v>0</v>
      </c>
      <c r="O43" s="161">
        <v>0</v>
      </c>
      <c r="P43" s="159">
        <v>9</v>
      </c>
      <c r="Q43" s="160"/>
      <c r="R43" s="159">
        <v>1</v>
      </c>
      <c r="S43" s="161">
        <v>9</v>
      </c>
      <c r="T43" s="162"/>
      <c r="U43" s="161">
        <v>3</v>
      </c>
      <c r="V43" s="159">
        <v>9</v>
      </c>
      <c r="W43" s="160"/>
      <c r="X43" s="159">
        <v>6</v>
      </c>
      <c r="Y43" s="161">
        <v>9</v>
      </c>
      <c r="Z43" s="162"/>
      <c r="AA43" s="161">
        <v>7</v>
      </c>
      <c r="AB43" s="159">
        <v>9</v>
      </c>
      <c r="AC43" s="160"/>
      <c r="AD43" s="159">
        <v>7</v>
      </c>
      <c r="AE43" s="161">
        <v>9</v>
      </c>
      <c r="AF43" s="162"/>
      <c r="AG43" s="161">
        <v>9</v>
      </c>
      <c r="AH43" s="159"/>
      <c r="AI43" s="160"/>
      <c r="AJ43" s="159"/>
    </row>
    <row r="44" spans="1:36" ht="37.9" customHeight="1" x14ac:dyDescent="0.25">
      <c r="A44" s="158"/>
      <c r="B44" s="167" t="s">
        <v>257</v>
      </c>
      <c r="C44" s="168" t="s">
        <v>41</v>
      </c>
      <c r="D44" s="143"/>
      <c r="E44" s="165">
        <v>3</v>
      </c>
      <c r="F44" s="166">
        <v>2</v>
      </c>
      <c r="G44" s="159">
        <v>4</v>
      </c>
      <c r="H44" s="160">
        <v>3</v>
      </c>
      <c r="I44" s="165">
        <v>4</v>
      </c>
      <c r="J44" s="164">
        <v>3</v>
      </c>
      <c r="K44" s="159">
        <v>5</v>
      </c>
      <c r="L44" s="163">
        <v>2</v>
      </c>
      <c r="M44" s="161">
        <v>7</v>
      </c>
      <c r="N44" s="162">
        <v>1</v>
      </c>
      <c r="O44" s="161">
        <v>0</v>
      </c>
      <c r="P44" s="159">
        <v>8</v>
      </c>
      <c r="Q44" s="160"/>
      <c r="R44" s="159">
        <v>0</v>
      </c>
      <c r="S44" s="161">
        <v>8</v>
      </c>
      <c r="T44" s="162"/>
      <c r="U44" s="161">
        <v>1</v>
      </c>
      <c r="V44" s="159">
        <v>8</v>
      </c>
      <c r="W44" s="160"/>
      <c r="X44" s="159">
        <v>3</v>
      </c>
      <c r="Y44" s="161">
        <v>8</v>
      </c>
      <c r="Z44" s="162"/>
      <c r="AA44" s="161">
        <v>5</v>
      </c>
      <c r="AB44" s="159">
        <v>8</v>
      </c>
      <c r="AC44" s="160"/>
      <c r="AD44" s="159">
        <v>5</v>
      </c>
      <c r="AE44" s="161">
        <v>8</v>
      </c>
      <c r="AF44" s="162"/>
      <c r="AG44" s="161">
        <v>7</v>
      </c>
      <c r="AH44" s="159"/>
      <c r="AI44" s="160"/>
      <c r="AJ44" s="159"/>
    </row>
    <row r="45" spans="1:36" ht="37.9" customHeight="1" x14ac:dyDescent="0.25">
      <c r="A45" s="158"/>
      <c r="B45" s="145" t="s">
        <v>256</v>
      </c>
      <c r="C45" s="168" t="s">
        <v>41</v>
      </c>
      <c r="D45" s="143"/>
      <c r="E45" s="156">
        <v>4</v>
      </c>
      <c r="F45" s="157">
        <v>1</v>
      </c>
      <c r="G45" s="147">
        <v>6</v>
      </c>
      <c r="H45" s="148">
        <v>1</v>
      </c>
      <c r="I45" s="156">
        <v>6</v>
      </c>
      <c r="J45" s="155">
        <v>2</v>
      </c>
      <c r="K45" s="147">
        <v>6</v>
      </c>
      <c r="L45" s="154">
        <v>2</v>
      </c>
      <c r="M45" s="149">
        <v>8</v>
      </c>
      <c r="N45" s="150">
        <v>0</v>
      </c>
      <c r="O45" s="149">
        <v>0</v>
      </c>
      <c r="P45" s="147">
        <v>8</v>
      </c>
      <c r="Q45" s="148"/>
      <c r="R45" s="147">
        <v>0</v>
      </c>
      <c r="S45" s="149">
        <v>9</v>
      </c>
      <c r="T45" s="150"/>
      <c r="U45" s="149">
        <v>2</v>
      </c>
      <c r="V45" s="147">
        <v>9</v>
      </c>
      <c r="W45" s="148"/>
      <c r="X45" s="147">
        <v>6</v>
      </c>
      <c r="Y45" s="149">
        <v>9</v>
      </c>
      <c r="Z45" s="150"/>
      <c r="AA45" s="149">
        <v>7</v>
      </c>
      <c r="AB45" s="147">
        <v>9</v>
      </c>
      <c r="AC45" s="148"/>
      <c r="AD45" s="147">
        <v>7</v>
      </c>
      <c r="AE45" s="149">
        <v>9</v>
      </c>
      <c r="AF45" s="150"/>
      <c r="AG45" s="149">
        <v>9</v>
      </c>
      <c r="AH45" s="147"/>
      <c r="AI45" s="148"/>
      <c r="AJ45" s="147"/>
    </row>
    <row r="46" spans="1:36" ht="37.9" customHeight="1" x14ac:dyDescent="0.25">
      <c r="A46" s="120"/>
      <c r="B46" s="145" t="s">
        <v>255</v>
      </c>
      <c r="C46" s="168" t="s">
        <v>41</v>
      </c>
      <c r="D46" s="143"/>
      <c r="E46" s="156">
        <v>2</v>
      </c>
      <c r="F46" s="157">
        <v>2</v>
      </c>
      <c r="G46" s="147">
        <v>4</v>
      </c>
      <c r="H46" s="148">
        <v>2</v>
      </c>
      <c r="I46" s="156">
        <v>4</v>
      </c>
      <c r="J46" s="155">
        <v>3</v>
      </c>
      <c r="K46" s="193">
        <v>5</v>
      </c>
      <c r="L46" s="154">
        <v>2</v>
      </c>
      <c r="M46" s="194">
        <v>7</v>
      </c>
      <c r="N46" s="150">
        <v>0</v>
      </c>
      <c r="O46" s="149">
        <v>0</v>
      </c>
      <c r="P46" s="193">
        <v>7</v>
      </c>
      <c r="Q46" s="148"/>
      <c r="R46" s="147">
        <v>0</v>
      </c>
      <c r="S46" s="194">
        <v>7</v>
      </c>
      <c r="T46" s="150"/>
      <c r="U46" s="149">
        <v>2</v>
      </c>
      <c r="V46" s="193">
        <v>7</v>
      </c>
      <c r="W46" s="148"/>
      <c r="X46" s="147">
        <v>4</v>
      </c>
      <c r="Y46" s="194">
        <v>7</v>
      </c>
      <c r="Z46" s="150"/>
      <c r="AA46" s="149">
        <v>4</v>
      </c>
      <c r="AB46" s="193">
        <v>7</v>
      </c>
      <c r="AC46" s="148"/>
      <c r="AD46" s="147">
        <v>4</v>
      </c>
      <c r="AE46" s="194">
        <v>7</v>
      </c>
      <c r="AF46" s="150"/>
      <c r="AG46" s="149">
        <v>6</v>
      </c>
      <c r="AH46" s="193"/>
      <c r="AI46" s="148"/>
      <c r="AJ46" s="147"/>
    </row>
    <row r="47" spans="1:36" ht="37.9" customHeight="1" thickBot="1" x14ac:dyDescent="0.3">
      <c r="A47" s="146"/>
      <c r="B47" s="188" t="s">
        <v>254</v>
      </c>
      <c r="C47" s="168" t="s">
        <v>41</v>
      </c>
      <c r="D47" s="143"/>
      <c r="E47" s="141">
        <v>2</v>
      </c>
      <c r="F47" s="142">
        <v>3</v>
      </c>
      <c r="G47" s="132">
        <v>2</v>
      </c>
      <c r="H47" s="133">
        <v>5</v>
      </c>
      <c r="I47" s="141">
        <v>3</v>
      </c>
      <c r="J47" s="140">
        <v>4</v>
      </c>
      <c r="K47" s="132">
        <v>5</v>
      </c>
      <c r="L47" s="139">
        <v>2</v>
      </c>
      <c r="M47" s="134">
        <v>7</v>
      </c>
      <c r="N47" s="135">
        <v>0</v>
      </c>
      <c r="O47" s="134">
        <v>0</v>
      </c>
      <c r="P47" s="132">
        <v>7</v>
      </c>
      <c r="Q47" s="133"/>
      <c r="R47" s="132">
        <v>0</v>
      </c>
      <c r="S47" s="134">
        <v>7</v>
      </c>
      <c r="T47" s="135"/>
      <c r="U47" s="134">
        <v>1</v>
      </c>
      <c r="V47" s="132">
        <v>7</v>
      </c>
      <c r="W47" s="133"/>
      <c r="X47" s="132">
        <v>3</v>
      </c>
      <c r="Y47" s="134">
        <v>7</v>
      </c>
      <c r="Z47" s="135"/>
      <c r="AA47" s="134">
        <v>4</v>
      </c>
      <c r="AB47" s="132">
        <v>7</v>
      </c>
      <c r="AC47" s="133"/>
      <c r="AD47" s="132">
        <v>4</v>
      </c>
      <c r="AE47" s="134">
        <v>7</v>
      </c>
      <c r="AF47" s="135"/>
      <c r="AG47" s="134">
        <v>5</v>
      </c>
      <c r="AH47" s="132"/>
      <c r="AI47" s="133"/>
      <c r="AJ47" s="132"/>
    </row>
    <row r="48" spans="1:36" ht="37.9" customHeight="1" thickBot="1" x14ac:dyDescent="0.3">
      <c r="A48" s="146"/>
      <c r="B48" s="187" t="s">
        <v>253</v>
      </c>
      <c r="C48" s="169" t="s">
        <v>41</v>
      </c>
      <c r="D48" s="143"/>
      <c r="E48" s="185">
        <v>0</v>
      </c>
      <c r="F48" s="186">
        <v>1</v>
      </c>
      <c r="G48" s="179">
        <v>1</v>
      </c>
      <c r="H48" s="180">
        <v>0</v>
      </c>
      <c r="I48" s="185">
        <v>1</v>
      </c>
      <c r="J48" s="184">
        <v>2</v>
      </c>
      <c r="K48" s="179">
        <v>2</v>
      </c>
      <c r="L48" s="183">
        <v>1</v>
      </c>
      <c r="M48" s="181">
        <v>4</v>
      </c>
      <c r="N48" s="182">
        <v>2</v>
      </c>
      <c r="O48" s="181">
        <v>0</v>
      </c>
      <c r="P48" s="179">
        <v>4</v>
      </c>
      <c r="Q48" s="180"/>
      <c r="R48" s="179">
        <v>0</v>
      </c>
      <c r="S48" s="181">
        <v>5</v>
      </c>
      <c r="T48" s="182">
        <v>1</v>
      </c>
      <c r="U48" s="181">
        <v>0</v>
      </c>
      <c r="V48" s="179">
        <v>5</v>
      </c>
      <c r="W48" s="180"/>
      <c r="X48" s="179">
        <v>1</v>
      </c>
      <c r="Y48" s="192" t="s">
        <v>252</v>
      </c>
      <c r="Z48" s="191"/>
      <c r="AA48" s="190"/>
      <c r="AB48" s="179">
        <v>4</v>
      </c>
      <c r="AC48" s="180"/>
      <c r="AD48" s="179">
        <v>1</v>
      </c>
      <c r="AE48" s="181">
        <v>4</v>
      </c>
      <c r="AF48" s="182"/>
      <c r="AG48" s="181">
        <v>2</v>
      </c>
      <c r="AH48" s="179"/>
      <c r="AI48" s="180"/>
      <c r="AJ48" s="179"/>
    </row>
    <row r="49" spans="1:36" ht="37.9" customHeight="1" thickBot="1" x14ac:dyDescent="0.3">
      <c r="A49" s="146"/>
      <c r="B49" s="178" t="s">
        <v>251</v>
      </c>
      <c r="C49" s="169" t="s">
        <v>41</v>
      </c>
      <c r="D49" s="143"/>
      <c r="E49" s="176">
        <v>1</v>
      </c>
      <c r="F49" s="177">
        <v>2</v>
      </c>
      <c r="G49" s="170">
        <v>4</v>
      </c>
      <c r="H49" s="171">
        <v>2</v>
      </c>
      <c r="I49" s="176">
        <v>4</v>
      </c>
      <c r="J49" s="175">
        <v>3</v>
      </c>
      <c r="K49" s="170">
        <v>6</v>
      </c>
      <c r="L49" s="174">
        <v>2</v>
      </c>
      <c r="M49" s="172">
        <v>7</v>
      </c>
      <c r="N49" s="173">
        <v>0</v>
      </c>
      <c r="O49" s="172">
        <v>0</v>
      </c>
      <c r="P49" s="170">
        <v>7</v>
      </c>
      <c r="Q49" s="171"/>
      <c r="R49" s="170">
        <v>0</v>
      </c>
      <c r="S49" s="172">
        <v>7</v>
      </c>
      <c r="T49" s="173"/>
      <c r="U49" s="172">
        <v>2</v>
      </c>
      <c r="V49" s="170">
        <v>7</v>
      </c>
      <c r="W49" s="171"/>
      <c r="X49" s="170">
        <v>4</v>
      </c>
      <c r="Y49" s="153"/>
      <c r="Z49" s="152"/>
      <c r="AA49" s="151"/>
      <c r="AB49" s="170">
        <v>7</v>
      </c>
      <c r="AC49" s="171"/>
      <c r="AD49" s="170">
        <v>5</v>
      </c>
      <c r="AE49" s="172">
        <v>7</v>
      </c>
      <c r="AF49" s="173"/>
      <c r="AG49" s="172">
        <v>6</v>
      </c>
      <c r="AH49" s="170"/>
      <c r="AI49" s="171"/>
      <c r="AJ49" s="170"/>
    </row>
    <row r="50" spans="1:36" ht="37.9" customHeight="1" x14ac:dyDescent="0.25">
      <c r="A50" s="189"/>
      <c r="B50" s="167" t="s">
        <v>250</v>
      </c>
      <c r="C50" s="169" t="s">
        <v>41</v>
      </c>
      <c r="D50" s="143"/>
      <c r="E50" s="165">
        <v>1</v>
      </c>
      <c r="F50" s="166">
        <v>2</v>
      </c>
      <c r="G50" s="159">
        <v>2</v>
      </c>
      <c r="H50" s="160">
        <v>3</v>
      </c>
      <c r="I50" s="165">
        <v>2</v>
      </c>
      <c r="J50" s="164">
        <v>3</v>
      </c>
      <c r="K50" s="159">
        <v>3</v>
      </c>
      <c r="L50" s="163">
        <v>2</v>
      </c>
      <c r="M50" s="161">
        <v>8</v>
      </c>
      <c r="N50" s="162">
        <v>0</v>
      </c>
      <c r="O50" s="161">
        <v>0</v>
      </c>
      <c r="P50" s="159">
        <v>8</v>
      </c>
      <c r="Q50" s="160"/>
      <c r="R50" s="159">
        <v>0</v>
      </c>
      <c r="S50" s="161">
        <v>8</v>
      </c>
      <c r="T50" s="162"/>
      <c r="U50" s="161">
        <v>1</v>
      </c>
      <c r="V50" s="159">
        <v>8</v>
      </c>
      <c r="W50" s="160"/>
      <c r="X50" s="159">
        <v>3</v>
      </c>
      <c r="Y50" s="153"/>
      <c r="Z50" s="152"/>
      <c r="AA50" s="151"/>
      <c r="AB50" s="159">
        <v>8</v>
      </c>
      <c r="AC50" s="160"/>
      <c r="AD50" s="159">
        <v>3</v>
      </c>
      <c r="AE50" s="161">
        <v>8</v>
      </c>
      <c r="AF50" s="162"/>
      <c r="AG50" s="161">
        <v>5</v>
      </c>
      <c r="AH50" s="159"/>
      <c r="AI50" s="160"/>
      <c r="AJ50" s="159"/>
    </row>
    <row r="51" spans="1:36" ht="37.9" customHeight="1" x14ac:dyDescent="0.25">
      <c r="A51" s="158"/>
      <c r="B51" s="167" t="s">
        <v>249</v>
      </c>
      <c r="C51" s="168" t="s">
        <v>41</v>
      </c>
      <c r="D51" s="143"/>
      <c r="E51" s="165">
        <v>3</v>
      </c>
      <c r="F51" s="166"/>
      <c r="G51" s="159">
        <v>5</v>
      </c>
      <c r="H51" s="160">
        <v>2</v>
      </c>
      <c r="I51" s="165">
        <v>6</v>
      </c>
      <c r="J51" s="164">
        <v>1</v>
      </c>
      <c r="K51" s="159">
        <v>6</v>
      </c>
      <c r="L51" s="163">
        <v>1</v>
      </c>
      <c r="M51" s="161">
        <v>7</v>
      </c>
      <c r="N51" s="162">
        <v>0</v>
      </c>
      <c r="O51" s="161">
        <v>0</v>
      </c>
      <c r="P51" s="159">
        <v>8</v>
      </c>
      <c r="Q51" s="160"/>
      <c r="R51" s="159">
        <v>0</v>
      </c>
      <c r="S51" s="161">
        <v>8</v>
      </c>
      <c r="T51" s="162"/>
      <c r="U51" s="161">
        <v>2</v>
      </c>
      <c r="V51" s="159">
        <v>8</v>
      </c>
      <c r="W51" s="160"/>
      <c r="X51" s="159">
        <v>3</v>
      </c>
      <c r="Y51" s="153"/>
      <c r="Z51" s="152"/>
      <c r="AA51" s="151"/>
      <c r="AB51" s="159">
        <v>7</v>
      </c>
      <c r="AC51" s="160"/>
      <c r="AD51" s="159">
        <v>6</v>
      </c>
      <c r="AE51" s="161">
        <v>7</v>
      </c>
      <c r="AF51" s="162"/>
      <c r="AG51" s="161">
        <v>7</v>
      </c>
      <c r="AH51" s="159"/>
      <c r="AI51" s="160"/>
      <c r="AJ51" s="159"/>
    </row>
    <row r="52" spans="1:36" ht="37.9" customHeight="1" x14ac:dyDescent="0.25">
      <c r="A52" s="158"/>
      <c r="B52" s="167" t="s">
        <v>248</v>
      </c>
      <c r="C52" s="144" t="s">
        <v>43</v>
      </c>
      <c r="D52" s="143"/>
      <c r="E52" s="165">
        <v>4</v>
      </c>
      <c r="F52" s="166">
        <v>1</v>
      </c>
      <c r="G52" s="159">
        <v>5</v>
      </c>
      <c r="H52" s="160">
        <v>2</v>
      </c>
      <c r="I52" s="165">
        <v>5</v>
      </c>
      <c r="J52" s="164">
        <v>2</v>
      </c>
      <c r="K52" s="159">
        <v>5</v>
      </c>
      <c r="L52" s="163">
        <v>2</v>
      </c>
      <c r="M52" s="161">
        <v>6</v>
      </c>
      <c r="N52" s="162">
        <v>0</v>
      </c>
      <c r="O52" s="161">
        <v>0</v>
      </c>
      <c r="P52" s="159">
        <v>6</v>
      </c>
      <c r="Q52" s="160"/>
      <c r="R52" s="159">
        <v>1</v>
      </c>
      <c r="S52" s="161">
        <v>6</v>
      </c>
      <c r="T52" s="162"/>
      <c r="U52" s="161">
        <v>3</v>
      </c>
      <c r="V52" s="159">
        <v>6</v>
      </c>
      <c r="W52" s="160"/>
      <c r="X52" s="159">
        <v>5</v>
      </c>
      <c r="Y52" s="153"/>
      <c r="Z52" s="152"/>
      <c r="AA52" s="151"/>
      <c r="AB52" s="159">
        <v>6</v>
      </c>
      <c r="AC52" s="160"/>
      <c r="AD52" s="159">
        <v>6</v>
      </c>
      <c r="AE52" s="161">
        <v>6</v>
      </c>
      <c r="AF52" s="162"/>
      <c r="AG52" s="161">
        <v>6</v>
      </c>
      <c r="AH52" s="159"/>
      <c r="AI52" s="160"/>
      <c r="AJ52" s="159"/>
    </row>
    <row r="53" spans="1:36" ht="37.9" customHeight="1" x14ac:dyDescent="0.25">
      <c r="A53" s="158"/>
      <c r="B53" s="145" t="s">
        <v>247</v>
      </c>
      <c r="C53" s="144" t="s">
        <v>43</v>
      </c>
      <c r="D53" s="143"/>
      <c r="E53" s="156">
        <v>4</v>
      </c>
      <c r="F53" s="157">
        <v>2</v>
      </c>
      <c r="G53" s="147">
        <v>9</v>
      </c>
      <c r="H53" s="148">
        <v>2</v>
      </c>
      <c r="I53" s="156">
        <v>9</v>
      </c>
      <c r="J53" s="155">
        <v>2</v>
      </c>
      <c r="K53" s="147">
        <v>9</v>
      </c>
      <c r="L53" s="154">
        <v>2</v>
      </c>
      <c r="M53" s="149">
        <v>11</v>
      </c>
      <c r="N53" s="150">
        <v>0</v>
      </c>
      <c r="O53" s="149">
        <v>0</v>
      </c>
      <c r="P53" s="147">
        <v>11</v>
      </c>
      <c r="Q53" s="148"/>
      <c r="R53" s="147">
        <v>2</v>
      </c>
      <c r="S53" s="149">
        <v>11</v>
      </c>
      <c r="T53" s="150"/>
      <c r="U53" s="149">
        <v>5</v>
      </c>
      <c r="V53" s="147">
        <v>11</v>
      </c>
      <c r="W53" s="148"/>
      <c r="X53" s="147">
        <v>8</v>
      </c>
      <c r="Y53" s="153"/>
      <c r="Z53" s="152"/>
      <c r="AA53" s="151"/>
      <c r="AB53" s="147">
        <v>11</v>
      </c>
      <c r="AC53" s="148"/>
      <c r="AD53" s="147">
        <v>11</v>
      </c>
      <c r="AE53" s="149">
        <v>11</v>
      </c>
      <c r="AF53" s="150"/>
      <c r="AG53" s="149">
        <v>11</v>
      </c>
      <c r="AH53" s="147"/>
      <c r="AI53" s="148"/>
      <c r="AJ53" s="147"/>
    </row>
    <row r="54" spans="1:36" ht="37.9" customHeight="1" x14ac:dyDescent="0.25">
      <c r="B54" s="145" t="s">
        <v>246</v>
      </c>
      <c r="C54" s="144" t="s">
        <v>43</v>
      </c>
      <c r="D54" s="143"/>
      <c r="E54" s="156">
        <v>5</v>
      </c>
      <c r="F54" s="157">
        <v>2</v>
      </c>
      <c r="G54" s="147">
        <v>5</v>
      </c>
      <c r="H54" s="148">
        <v>2</v>
      </c>
      <c r="I54" s="156">
        <v>5</v>
      </c>
      <c r="J54" s="155">
        <v>3</v>
      </c>
      <c r="K54" s="147">
        <v>6</v>
      </c>
      <c r="L54" s="154">
        <v>2</v>
      </c>
      <c r="M54" s="149">
        <v>9</v>
      </c>
      <c r="N54" s="150">
        <v>0</v>
      </c>
      <c r="O54" s="149">
        <v>1</v>
      </c>
      <c r="P54" s="147">
        <v>9</v>
      </c>
      <c r="Q54" s="148"/>
      <c r="R54" s="147">
        <v>0</v>
      </c>
      <c r="S54" s="149">
        <v>9</v>
      </c>
      <c r="T54" s="150"/>
      <c r="U54" s="149">
        <v>2</v>
      </c>
      <c r="V54" s="147">
        <v>9</v>
      </c>
      <c r="W54" s="148"/>
      <c r="X54" s="147">
        <v>5</v>
      </c>
      <c r="Y54" s="153"/>
      <c r="Z54" s="152"/>
      <c r="AA54" s="151"/>
      <c r="AB54" s="147">
        <v>9</v>
      </c>
      <c r="AC54" s="148"/>
      <c r="AD54" s="147">
        <v>7</v>
      </c>
      <c r="AE54" s="149">
        <v>9</v>
      </c>
      <c r="AF54" s="150"/>
      <c r="AG54" s="149">
        <v>9</v>
      </c>
      <c r="AH54" s="147"/>
      <c r="AI54" s="148"/>
      <c r="AJ54" s="147"/>
    </row>
    <row r="55" spans="1:36" ht="37.9" customHeight="1" thickBot="1" x14ac:dyDescent="0.3">
      <c r="A55" s="158"/>
      <c r="B55" s="188" t="s">
        <v>245</v>
      </c>
      <c r="C55" s="144" t="s">
        <v>43</v>
      </c>
      <c r="D55" s="143"/>
      <c r="E55" s="141">
        <v>5</v>
      </c>
      <c r="F55" s="142">
        <v>2</v>
      </c>
      <c r="G55" s="132">
        <v>8</v>
      </c>
      <c r="H55" s="133">
        <v>0</v>
      </c>
      <c r="I55" s="141">
        <v>8</v>
      </c>
      <c r="J55" s="140">
        <v>1</v>
      </c>
      <c r="K55" s="132">
        <v>8</v>
      </c>
      <c r="L55" s="139">
        <v>1</v>
      </c>
      <c r="M55" s="134">
        <v>9</v>
      </c>
      <c r="N55" s="135">
        <v>0</v>
      </c>
      <c r="O55" s="134">
        <v>1</v>
      </c>
      <c r="P55" s="132">
        <v>9</v>
      </c>
      <c r="Q55" s="133"/>
      <c r="R55" s="132">
        <v>1</v>
      </c>
      <c r="S55" s="134">
        <v>10</v>
      </c>
      <c r="T55" s="135"/>
      <c r="U55" s="134">
        <v>4</v>
      </c>
      <c r="V55" s="132">
        <v>10</v>
      </c>
      <c r="W55" s="133"/>
      <c r="X55" s="132">
        <v>7</v>
      </c>
      <c r="Y55" s="153"/>
      <c r="Z55" s="152"/>
      <c r="AA55" s="151"/>
      <c r="AB55" s="132">
        <v>10</v>
      </c>
      <c r="AC55" s="133"/>
      <c r="AD55" s="132">
        <v>9</v>
      </c>
      <c r="AE55" s="134">
        <v>10</v>
      </c>
      <c r="AF55" s="135"/>
      <c r="AG55" s="134">
        <v>10</v>
      </c>
      <c r="AH55" s="132"/>
      <c r="AI55" s="133"/>
      <c r="AJ55" s="132"/>
    </row>
    <row r="56" spans="1:36" ht="37.9" customHeight="1" thickBot="1" x14ac:dyDescent="0.3">
      <c r="A56" s="158"/>
      <c r="B56" s="187" t="s">
        <v>244</v>
      </c>
      <c r="C56" s="169" t="s">
        <v>43</v>
      </c>
      <c r="D56" s="143"/>
      <c r="E56" s="185">
        <v>4</v>
      </c>
      <c r="F56" s="186">
        <v>1</v>
      </c>
      <c r="G56" s="179">
        <v>6</v>
      </c>
      <c r="H56" s="180">
        <v>1</v>
      </c>
      <c r="I56" s="185">
        <v>6</v>
      </c>
      <c r="J56" s="184">
        <v>2</v>
      </c>
      <c r="K56" s="179">
        <v>6</v>
      </c>
      <c r="L56" s="183">
        <v>2</v>
      </c>
      <c r="M56" s="181">
        <v>9</v>
      </c>
      <c r="N56" s="182">
        <v>0</v>
      </c>
      <c r="O56" s="181">
        <v>0</v>
      </c>
      <c r="P56" s="179">
        <v>9</v>
      </c>
      <c r="Q56" s="180"/>
      <c r="R56" s="179">
        <v>2</v>
      </c>
      <c r="S56" s="181">
        <v>9</v>
      </c>
      <c r="T56" s="182"/>
      <c r="U56" s="181">
        <v>5</v>
      </c>
      <c r="V56" s="179">
        <v>9</v>
      </c>
      <c r="W56" s="180"/>
      <c r="X56" s="179">
        <v>8</v>
      </c>
      <c r="Y56" s="153"/>
      <c r="Z56" s="152"/>
      <c r="AA56" s="151"/>
      <c r="AB56" s="179">
        <v>8</v>
      </c>
      <c r="AC56" s="180"/>
      <c r="AD56" s="179">
        <v>8</v>
      </c>
      <c r="AE56" s="181">
        <v>8</v>
      </c>
      <c r="AF56" s="182"/>
      <c r="AG56" s="181">
        <v>8</v>
      </c>
      <c r="AH56" s="179"/>
      <c r="AI56" s="180"/>
      <c r="AJ56" s="179"/>
    </row>
    <row r="57" spans="1:36" ht="37.9" customHeight="1" thickBot="1" x14ac:dyDescent="0.3">
      <c r="A57" s="158"/>
      <c r="B57" s="178" t="s">
        <v>243</v>
      </c>
      <c r="C57" s="169" t="s">
        <v>43</v>
      </c>
      <c r="D57" s="143"/>
      <c r="E57" s="176">
        <v>4</v>
      </c>
      <c r="F57" s="177">
        <v>1</v>
      </c>
      <c r="G57" s="170">
        <v>5</v>
      </c>
      <c r="H57" s="171">
        <v>1</v>
      </c>
      <c r="I57" s="176">
        <v>5</v>
      </c>
      <c r="J57" s="175">
        <v>2</v>
      </c>
      <c r="K57" s="170">
        <v>5</v>
      </c>
      <c r="L57" s="174">
        <v>3</v>
      </c>
      <c r="M57" s="172">
        <v>8</v>
      </c>
      <c r="N57" s="173">
        <v>0</v>
      </c>
      <c r="O57" s="172">
        <v>1</v>
      </c>
      <c r="P57" s="170">
        <v>9</v>
      </c>
      <c r="Q57" s="171"/>
      <c r="R57" s="170">
        <v>2</v>
      </c>
      <c r="S57" s="172">
        <v>9</v>
      </c>
      <c r="T57" s="173"/>
      <c r="U57" s="172">
        <v>3</v>
      </c>
      <c r="V57" s="170">
        <v>9</v>
      </c>
      <c r="W57" s="171"/>
      <c r="X57" s="170">
        <v>6</v>
      </c>
      <c r="Y57" s="153"/>
      <c r="Z57" s="152"/>
      <c r="AA57" s="151"/>
      <c r="AB57" s="170">
        <v>9</v>
      </c>
      <c r="AC57" s="171"/>
      <c r="AD57" s="170">
        <v>9</v>
      </c>
      <c r="AE57" s="172">
        <v>7</v>
      </c>
      <c r="AF57" s="173"/>
      <c r="AG57" s="172">
        <v>9</v>
      </c>
      <c r="AH57" s="170"/>
      <c r="AI57" s="171"/>
      <c r="AJ57" s="170"/>
    </row>
    <row r="58" spans="1:36" ht="37.9" customHeight="1" x14ac:dyDescent="0.25">
      <c r="A58" s="158"/>
      <c r="B58" s="167" t="s">
        <v>242</v>
      </c>
      <c r="C58" s="169" t="s">
        <v>43</v>
      </c>
      <c r="D58" s="143"/>
      <c r="E58" s="165">
        <v>7</v>
      </c>
      <c r="F58" s="166">
        <v>2</v>
      </c>
      <c r="G58" s="159">
        <v>9</v>
      </c>
      <c r="H58" s="160">
        <v>1</v>
      </c>
      <c r="I58" s="165">
        <v>9</v>
      </c>
      <c r="J58" s="164">
        <v>1</v>
      </c>
      <c r="K58" s="159">
        <v>9</v>
      </c>
      <c r="L58" s="163">
        <v>1</v>
      </c>
      <c r="M58" s="161">
        <v>11</v>
      </c>
      <c r="N58" s="162">
        <v>0</v>
      </c>
      <c r="O58" s="161">
        <v>0</v>
      </c>
      <c r="P58" s="159">
        <v>11</v>
      </c>
      <c r="Q58" s="160"/>
      <c r="R58" s="159">
        <v>1</v>
      </c>
      <c r="S58" s="161">
        <v>11</v>
      </c>
      <c r="T58" s="162"/>
      <c r="U58" s="161">
        <v>6</v>
      </c>
      <c r="V58" s="159">
        <v>11</v>
      </c>
      <c r="W58" s="160"/>
      <c r="X58" s="159">
        <v>7</v>
      </c>
      <c r="Y58" s="153"/>
      <c r="Z58" s="152"/>
      <c r="AA58" s="151"/>
      <c r="AB58" s="159">
        <v>11</v>
      </c>
      <c r="AC58" s="160"/>
      <c r="AD58" s="159">
        <v>9</v>
      </c>
      <c r="AE58" s="161">
        <v>11</v>
      </c>
      <c r="AF58" s="162"/>
      <c r="AG58" s="161">
        <v>10</v>
      </c>
      <c r="AH58" s="159"/>
      <c r="AI58" s="160"/>
      <c r="AJ58" s="159"/>
    </row>
    <row r="59" spans="1:36" ht="37.9" customHeight="1" x14ac:dyDescent="0.25">
      <c r="A59" s="158"/>
      <c r="B59" s="167" t="s">
        <v>241</v>
      </c>
      <c r="C59" s="168" t="s">
        <v>43</v>
      </c>
      <c r="D59" s="143"/>
      <c r="E59" s="165">
        <v>5</v>
      </c>
      <c r="F59" s="166">
        <v>2</v>
      </c>
      <c r="G59" s="159">
        <v>8</v>
      </c>
      <c r="H59" s="160">
        <v>0</v>
      </c>
      <c r="I59" s="165">
        <v>8</v>
      </c>
      <c r="J59" s="164">
        <v>1</v>
      </c>
      <c r="K59" s="159">
        <v>8</v>
      </c>
      <c r="L59" s="163">
        <v>1</v>
      </c>
      <c r="M59" s="161">
        <v>8</v>
      </c>
      <c r="N59" s="162">
        <v>1</v>
      </c>
      <c r="O59" s="161">
        <v>0</v>
      </c>
      <c r="P59" s="159">
        <v>8</v>
      </c>
      <c r="Q59" s="160">
        <v>1</v>
      </c>
      <c r="R59" s="159">
        <v>1</v>
      </c>
      <c r="S59" s="161">
        <v>8</v>
      </c>
      <c r="T59" s="162"/>
      <c r="U59" s="161">
        <v>4</v>
      </c>
      <c r="V59" s="159">
        <v>7</v>
      </c>
      <c r="W59" s="160"/>
      <c r="X59" s="159">
        <v>6</v>
      </c>
      <c r="Y59" s="153"/>
      <c r="Z59" s="152"/>
      <c r="AA59" s="151"/>
      <c r="AB59" s="159">
        <v>9</v>
      </c>
      <c r="AC59" s="160"/>
      <c r="AD59" s="159">
        <v>8</v>
      </c>
      <c r="AE59" s="161">
        <v>9</v>
      </c>
      <c r="AF59" s="162"/>
      <c r="AG59" s="161">
        <v>9</v>
      </c>
      <c r="AH59" s="159"/>
      <c r="AI59" s="160"/>
      <c r="AJ59" s="159"/>
    </row>
    <row r="60" spans="1:36" ht="37.9" customHeight="1" x14ac:dyDescent="0.25">
      <c r="A60" s="158"/>
      <c r="B60" s="167" t="s">
        <v>240</v>
      </c>
      <c r="C60" s="144" t="s">
        <v>41</v>
      </c>
      <c r="D60" s="143"/>
      <c r="E60" s="165">
        <v>0</v>
      </c>
      <c r="F60" s="166">
        <v>1</v>
      </c>
      <c r="G60" s="159">
        <v>2</v>
      </c>
      <c r="H60" s="160">
        <v>0</v>
      </c>
      <c r="I60" s="165">
        <v>2</v>
      </c>
      <c r="J60" s="164">
        <v>1</v>
      </c>
      <c r="K60" s="159">
        <v>3</v>
      </c>
      <c r="L60" s="163">
        <v>0</v>
      </c>
      <c r="M60" s="161">
        <v>3</v>
      </c>
      <c r="N60" s="162">
        <v>3</v>
      </c>
      <c r="O60" s="161">
        <v>0</v>
      </c>
      <c r="P60" s="159">
        <v>3</v>
      </c>
      <c r="Q60" s="160">
        <v>3</v>
      </c>
      <c r="R60" s="159">
        <v>0</v>
      </c>
      <c r="S60" s="161">
        <v>3</v>
      </c>
      <c r="T60" s="162"/>
      <c r="U60" s="161">
        <v>1</v>
      </c>
      <c r="V60" s="159">
        <v>3</v>
      </c>
      <c r="W60" s="160"/>
      <c r="X60" s="159">
        <v>1</v>
      </c>
      <c r="Y60" s="153"/>
      <c r="Z60" s="152"/>
      <c r="AA60" s="151"/>
      <c r="AB60" s="159">
        <v>3</v>
      </c>
      <c r="AC60" s="160"/>
      <c r="AD60" s="159">
        <v>2</v>
      </c>
      <c r="AE60" s="161">
        <v>3</v>
      </c>
      <c r="AF60" s="162"/>
      <c r="AG60" s="161">
        <v>3</v>
      </c>
      <c r="AH60" s="159"/>
      <c r="AI60" s="160"/>
      <c r="AJ60" s="159"/>
    </row>
    <row r="61" spans="1:36" ht="37.9" customHeight="1" x14ac:dyDescent="0.25">
      <c r="A61" s="158"/>
      <c r="B61" s="145" t="s">
        <v>239</v>
      </c>
      <c r="C61" s="144" t="s">
        <v>41</v>
      </c>
      <c r="D61" s="143"/>
      <c r="E61" s="156">
        <v>0</v>
      </c>
      <c r="F61" s="157">
        <v>1</v>
      </c>
      <c r="G61" s="147">
        <v>0</v>
      </c>
      <c r="H61" s="148">
        <v>1</v>
      </c>
      <c r="I61" s="156">
        <v>0</v>
      </c>
      <c r="J61" s="155">
        <v>1</v>
      </c>
      <c r="K61" s="147">
        <v>1</v>
      </c>
      <c r="L61" s="154">
        <v>0</v>
      </c>
      <c r="M61" s="149">
        <v>2</v>
      </c>
      <c r="N61" s="150">
        <v>2</v>
      </c>
      <c r="O61" s="149">
        <v>0</v>
      </c>
      <c r="P61" s="147">
        <v>2</v>
      </c>
      <c r="Q61" s="148">
        <v>3</v>
      </c>
      <c r="R61" s="147">
        <v>0</v>
      </c>
      <c r="S61" s="149">
        <v>3</v>
      </c>
      <c r="T61" s="150"/>
      <c r="U61" s="149">
        <v>0</v>
      </c>
      <c r="V61" s="147">
        <v>2</v>
      </c>
      <c r="W61" s="148"/>
      <c r="X61" s="147">
        <v>0</v>
      </c>
      <c r="Y61" s="153"/>
      <c r="Z61" s="152"/>
      <c r="AA61" s="151"/>
      <c r="AB61" s="147">
        <v>3</v>
      </c>
      <c r="AC61" s="148"/>
      <c r="AD61" s="147">
        <v>0</v>
      </c>
      <c r="AE61" s="149">
        <v>3</v>
      </c>
      <c r="AF61" s="150"/>
      <c r="AG61" s="149">
        <v>1</v>
      </c>
      <c r="AH61" s="147"/>
      <c r="AI61" s="148"/>
      <c r="AJ61" s="147"/>
    </row>
    <row r="62" spans="1:36" ht="37.9" customHeight="1" x14ac:dyDescent="0.25">
      <c r="A62" s="158"/>
      <c r="B62" s="145" t="s">
        <v>238</v>
      </c>
      <c r="C62" s="144" t="s">
        <v>41</v>
      </c>
      <c r="D62" s="143"/>
      <c r="E62" s="156">
        <v>2</v>
      </c>
      <c r="F62" s="157">
        <v>1</v>
      </c>
      <c r="G62" s="147">
        <v>4</v>
      </c>
      <c r="H62" s="148">
        <v>1</v>
      </c>
      <c r="I62" s="156">
        <v>5</v>
      </c>
      <c r="J62" s="155">
        <v>2</v>
      </c>
      <c r="K62" s="147">
        <v>5</v>
      </c>
      <c r="L62" s="154">
        <v>3</v>
      </c>
      <c r="M62" s="149">
        <v>8</v>
      </c>
      <c r="N62" s="150">
        <v>0</v>
      </c>
      <c r="O62" s="149">
        <v>0</v>
      </c>
      <c r="P62" s="147">
        <v>8</v>
      </c>
      <c r="Q62" s="148"/>
      <c r="R62" s="147">
        <v>1</v>
      </c>
      <c r="S62" s="149">
        <v>8</v>
      </c>
      <c r="T62" s="150"/>
      <c r="U62" s="149">
        <v>1</v>
      </c>
      <c r="V62" s="147">
        <v>8</v>
      </c>
      <c r="W62" s="148"/>
      <c r="X62" s="147">
        <v>3</v>
      </c>
      <c r="Y62" s="153"/>
      <c r="Z62" s="152"/>
      <c r="AA62" s="151"/>
      <c r="AB62" s="147">
        <v>8</v>
      </c>
      <c r="AC62" s="148"/>
      <c r="AD62" s="147">
        <v>8</v>
      </c>
      <c r="AE62" s="149">
        <v>8</v>
      </c>
      <c r="AF62" s="150"/>
      <c r="AG62" s="149">
        <v>8</v>
      </c>
      <c r="AH62" s="147"/>
      <c r="AI62" s="148"/>
      <c r="AJ62" s="147"/>
    </row>
    <row r="63" spans="1:36" ht="37.9" customHeight="1" thickBot="1" x14ac:dyDescent="0.3">
      <c r="A63" s="146"/>
      <c r="B63" s="145" t="s">
        <v>237</v>
      </c>
      <c r="C63" s="144" t="s">
        <v>41</v>
      </c>
      <c r="D63" s="143"/>
      <c r="E63" s="141">
        <v>1</v>
      </c>
      <c r="F63" s="142">
        <v>2</v>
      </c>
      <c r="G63" s="132">
        <v>4</v>
      </c>
      <c r="H63" s="133">
        <v>1</v>
      </c>
      <c r="I63" s="141">
        <v>4</v>
      </c>
      <c r="J63" s="140">
        <v>1</v>
      </c>
      <c r="K63" s="132">
        <v>4</v>
      </c>
      <c r="L63" s="139">
        <v>2</v>
      </c>
      <c r="M63" s="134">
        <v>9</v>
      </c>
      <c r="N63" s="135">
        <v>0</v>
      </c>
      <c r="O63" s="134">
        <v>1</v>
      </c>
      <c r="P63" s="132">
        <v>9</v>
      </c>
      <c r="Q63" s="133"/>
      <c r="R63" s="132">
        <v>1</v>
      </c>
      <c r="S63" s="134">
        <v>11</v>
      </c>
      <c r="T63" s="135"/>
      <c r="U63" s="134">
        <v>2</v>
      </c>
      <c r="V63" s="132">
        <v>11</v>
      </c>
      <c r="W63" s="133"/>
      <c r="X63" s="132">
        <v>3</v>
      </c>
      <c r="Y63" s="138"/>
      <c r="Z63" s="137"/>
      <c r="AA63" s="136"/>
      <c r="AB63" s="132">
        <v>9</v>
      </c>
      <c r="AC63" s="133"/>
      <c r="AD63" s="132">
        <v>3</v>
      </c>
      <c r="AE63" s="134">
        <v>9</v>
      </c>
      <c r="AF63" s="135"/>
      <c r="AG63" s="134">
        <v>5</v>
      </c>
      <c r="AH63" s="132"/>
      <c r="AI63" s="133"/>
      <c r="AJ63" s="132"/>
    </row>
    <row r="64" spans="1:36" ht="37.9" customHeight="1" x14ac:dyDescent="0.25">
      <c r="E64" s="121" t="s">
        <v>236</v>
      </c>
      <c r="G64" s="121" t="s">
        <v>236</v>
      </c>
      <c r="I64" s="121" t="s">
        <v>236</v>
      </c>
      <c r="K64" s="121" t="s">
        <v>236</v>
      </c>
      <c r="M64" s="121" t="s">
        <v>236</v>
      </c>
      <c r="O64" s="121" t="s">
        <v>235</v>
      </c>
      <c r="P64" s="121" t="s">
        <v>236</v>
      </c>
      <c r="R64" s="121" t="s">
        <v>235</v>
      </c>
      <c r="S64" s="121" t="s">
        <v>236</v>
      </c>
      <c r="U64" s="121" t="s">
        <v>235</v>
      </c>
      <c r="V64" s="121" t="s">
        <v>236</v>
      </c>
      <c r="X64" s="121" t="s">
        <v>235</v>
      </c>
      <c r="Y64" s="130" t="s">
        <v>236</v>
      </c>
      <c r="Z64" s="131"/>
      <c r="AA64" s="130" t="s">
        <v>235</v>
      </c>
      <c r="AB64" s="121" t="s">
        <v>236</v>
      </c>
      <c r="AD64" s="121" t="s">
        <v>235</v>
      </c>
      <c r="AE64" s="121" t="s">
        <v>236</v>
      </c>
      <c r="AG64" s="121" t="s">
        <v>235</v>
      </c>
    </row>
    <row r="65" spans="2:36" ht="18.75" x14ac:dyDescent="0.3">
      <c r="B65" s="129"/>
      <c r="C65" s="128" t="s">
        <v>234</v>
      </c>
      <c r="D65" s="128"/>
      <c r="E65" s="123">
        <f>AVERAGE(E16:E63)</f>
        <v>3.7916666666666665</v>
      </c>
      <c r="F65" s="127"/>
      <c r="G65" s="123">
        <f>AVERAGE(G16:G63)</f>
        <v>5.291666666666667</v>
      </c>
      <c r="H65" s="127"/>
      <c r="I65" s="123">
        <f>AVERAGE(I16:I63)</f>
        <v>5.3829787234042552</v>
      </c>
      <c r="J65" s="124"/>
      <c r="K65" s="123">
        <f>AVERAGE(K16:K63)</f>
        <v>6.208333333333333</v>
      </c>
      <c r="L65" s="124"/>
      <c r="M65" s="123">
        <f>AVERAGE(M16:M63)</f>
        <v>7.8723404255319149</v>
      </c>
      <c r="N65" s="124"/>
      <c r="O65" s="123">
        <f>AVERAGE(O16:O63)</f>
        <v>0.27083333333333331</v>
      </c>
      <c r="P65" s="123">
        <f>AVERAGE(P16:P63)</f>
        <v>7.958333333333333</v>
      </c>
      <c r="Q65" s="124"/>
      <c r="R65" s="123">
        <f>AVERAGE(R16:R63)</f>
        <v>0.83333333333333337</v>
      </c>
      <c r="S65" s="123">
        <f>AVERAGE(S16:S63)</f>
        <v>8.1041666666666661</v>
      </c>
      <c r="T65" s="124"/>
      <c r="U65" s="123">
        <f>AVERAGE(U16:U63)</f>
        <v>2.9791666666666665</v>
      </c>
      <c r="V65" s="123">
        <f>AVERAGE(V16:V63)</f>
        <v>8</v>
      </c>
      <c r="W65" s="124"/>
      <c r="X65" s="123">
        <f>AVERAGE(X16:X63)</f>
        <v>5.375</v>
      </c>
      <c r="Y65" s="125">
        <f>AVERAGE(Y16:Y63)</f>
        <v>8.125</v>
      </c>
      <c r="Z65" s="126"/>
      <c r="AA65" s="125">
        <f>AVERAGE(AA16:AA63)</f>
        <v>6.84375</v>
      </c>
      <c r="AB65" s="123">
        <f>AVERAGE(AB16:AB63)</f>
        <v>7.958333333333333</v>
      </c>
      <c r="AC65" s="124"/>
      <c r="AD65" s="123">
        <f>AVERAGE(AD16:AD63)</f>
        <v>6.729166666666667</v>
      </c>
      <c r="AE65" s="123">
        <f>AVERAGE(AE16:AE63)</f>
        <v>7.895833333333333</v>
      </c>
      <c r="AF65" s="124"/>
      <c r="AG65" s="123">
        <f>AVERAGE(AG16:AG63)</f>
        <v>7.520833333333333</v>
      </c>
      <c r="AH65" s="123"/>
      <c r="AI65" s="124"/>
      <c r="AJ65" s="123"/>
    </row>
    <row r="66" spans="2:36" ht="18.75" x14ac:dyDescent="0.3">
      <c r="B66" s="129"/>
      <c r="C66" s="128" t="s">
        <v>233</v>
      </c>
      <c r="D66" s="128"/>
      <c r="E66" s="123">
        <f>AVERAGEIFS(E$16:E$63, $C$16:$C$63, "NG3195")</f>
        <v>5.125</v>
      </c>
      <c r="F66" s="127"/>
      <c r="G66" s="123">
        <f>AVERAGEIFS(G$16:G$63, $C$16:$C$63, "NG3195")</f>
        <v>6.708333333333333</v>
      </c>
      <c r="H66" s="127"/>
      <c r="I66" s="123">
        <f>AVERAGEIFS(I$16:I$63, $C$16:$C$63, "NG3195")</f>
        <v>6.6956521739130439</v>
      </c>
      <c r="J66" s="124"/>
      <c r="K66" s="123">
        <f>AVERAGEIFS(K$16:K$63, $C$16:$C$63, "NG3195")</f>
        <v>6.916666666666667</v>
      </c>
      <c r="L66" s="124"/>
      <c r="M66" s="123">
        <f>AVERAGEIFS(M$16:M$63, $C$16:$C$63, "NG3195")</f>
        <v>8.4347826086956523</v>
      </c>
      <c r="N66" s="124"/>
      <c r="O66" s="123">
        <f>AVERAGEIFS(O$16:O$63, $C$16:$C$63, "NG3195")</f>
        <v>0.45833333333333331</v>
      </c>
      <c r="P66" s="123">
        <f>AVERAGEIFS(P$16:P$63, $C$16:$C$63, "NG3195")</f>
        <v>8.5</v>
      </c>
      <c r="Q66" s="124"/>
      <c r="R66" s="123">
        <f>AVERAGEIFS(R$16:R$63, $C$16:$C$63, "NG3195")</f>
        <v>1.375</v>
      </c>
      <c r="S66" s="123">
        <f>AVERAGEIFS(S$16:S$63, $C$16:$C$63, "NG3195")</f>
        <v>8.5</v>
      </c>
      <c r="T66" s="124"/>
      <c r="U66" s="123">
        <f>AVERAGEIFS(U$16:U$63, $C$16:$C$63, "NG3195")</f>
        <v>4.208333333333333</v>
      </c>
      <c r="V66" s="123">
        <f>AVERAGEIFS(V$16:V$63, $C$16:$C$63, "NG3195")</f>
        <v>8.375</v>
      </c>
      <c r="W66" s="124"/>
      <c r="X66" s="123">
        <f>AVERAGEIFS(X$16:X$63, $C$16:$C$63, "NG3195")</f>
        <v>6.583333333333333</v>
      </c>
      <c r="Y66" s="125">
        <f>AVERAGEIFS(Y$16:Y$63, $C$16:$C$63, "NG3195")</f>
        <v>8.0625</v>
      </c>
      <c r="Z66" s="126"/>
      <c r="AA66" s="125">
        <f>AVERAGEIFS(AA$16:AA$63, $C$16:$C$63, "NG3195")</f>
        <v>7.375</v>
      </c>
      <c r="AB66" s="123">
        <f>AVERAGEIFS(AB$16:AB$63, $C$16:$C$63, "NG3195")</f>
        <v>8.4166666666666661</v>
      </c>
      <c r="AC66" s="124"/>
      <c r="AD66" s="123">
        <f>AVERAGEIFS(AD$16:AD$63, $C$16:$C$63, "NG3195")</f>
        <v>7.958333333333333</v>
      </c>
      <c r="AE66" s="123">
        <f>AVERAGEIFS(AE$16:AE$63, $C$16:$C$63, "NG3195")</f>
        <v>8.2916666666666661</v>
      </c>
      <c r="AF66" s="124"/>
      <c r="AG66" s="123">
        <f>AVERAGEIFS(AG$16:AG$63, $C$16:$C$63, "NG3195")</f>
        <v>8.3333333333333339</v>
      </c>
      <c r="AH66" s="123"/>
      <c r="AI66" s="124"/>
      <c r="AJ66" s="123"/>
    </row>
    <row r="67" spans="2:36" ht="18.75" x14ac:dyDescent="0.3">
      <c r="B67" s="129"/>
      <c r="C67" s="128" t="s">
        <v>232</v>
      </c>
      <c r="D67" s="128"/>
      <c r="E67" s="123">
        <f>AVERAGEIFS(E$16:E$63, $C$16:$C$63, "NG4936")</f>
        <v>2.4583333333333335</v>
      </c>
      <c r="F67" s="127"/>
      <c r="G67" s="123">
        <f>AVERAGEIFS(G$16:G$63, $C$16:$C$63, "NG4936")</f>
        <v>3.875</v>
      </c>
      <c r="H67" s="127"/>
      <c r="I67" s="123">
        <f>AVERAGEIFS(I$16:I$63, $C$16:$C$63, "NG4936")</f>
        <v>4.125</v>
      </c>
      <c r="J67" s="124"/>
      <c r="K67" s="123">
        <f>AVERAGEIFS(K$16:K$63, $C$16:$C$63, "NG4936")</f>
        <v>5.5</v>
      </c>
      <c r="L67" s="124"/>
      <c r="M67" s="123">
        <f>AVERAGEIFS(M$16:M$63, $C$16:$C$63, "NG4936")</f>
        <v>7.333333333333333</v>
      </c>
      <c r="N67" s="124"/>
      <c r="O67" s="123">
        <f>AVERAGEIFS(O$16:O$63, $C$16:$C$63, "NG4936")</f>
        <v>8.3333333333333329E-2</v>
      </c>
      <c r="P67" s="123">
        <f>AVERAGEIFS(P$16:P$63, $C$16:$C$63, "NG4936")</f>
        <v>7.416666666666667</v>
      </c>
      <c r="Q67" s="124"/>
      <c r="R67" s="123">
        <f>AVERAGEIFS(R$16:R$63, $C$16:$C$63, "NG4936")</f>
        <v>0.29166666666666669</v>
      </c>
      <c r="S67" s="123">
        <f>AVERAGEIFS(S$16:S$63, $C$16:$C$63, "NG4936")</f>
        <v>7.708333333333333</v>
      </c>
      <c r="T67" s="124"/>
      <c r="U67" s="123">
        <f>AVERAGEIFS(U$16:U$63, $C$16:$C$63, "NG4936")</f>
        <v>1.75</v>
      </c>
      <c r="V67" s="123">
        <f>AVERAGEIFS(V$16:V$63, $C$16:$C$63, "NG4936")</f>
        <v>7.625</v>
      </c>
      <c r="W67" s="124"/>
      <c r="X67" s="123">
        <f>AVERAGEIFS(X$16:X$63, $C$16:$C$63, "NG4936")</f>
        <v>4.166666666666667</v>
      </c>
      <c r="Y67" s="125">
        <f>AVERAGEIFS(Y$16:Y$63, $C$16:$C$63, "NG4936")</f>
        <v>8.1875</v>
      </c>
      <c r="Z67" s="126"/>
      <c r="AA67" s="125">
        <f>AVERAGEIFS(AA$16:AA$63, $C$16:$C$63, "NG4936")</f>
        <v>6.3125</v>
      </c>
      <c r="AB67" s="123">
        <f>AVERAGEIFS(AB$16:AB$63, $C$16:$C$63, "NG4936")</f>
        <v>7.5</v>
      </c>
      <c r="AC67" s="124"/>
      <c r="AD67" s="123">
        <f>AVERAGEIFS(AD$16:AD$63, $C$16:$C$63, "NG4936")</f>
        <v>5.5</v>
      </c>
      <c r="AE67" s="123">
        <f>AVERAGEIFS(AE$16:AE$63, $C$16:$C$63, "NG4936")</f>
        <v>7.5</v>
      </c>
      <c r="AF67" s="124"/>
      <c r="AG67" s="123">
        <f>AVERAGEIFS(AG$16:AG$63, $C$16:$C$63, "NG4936")</f>
        <v>6.708333333333333</v>
      </c>
      <c r="AH67" s="123"/>
      <c r="AI67" s="124"/>
      <c r="AJ67" s="123"/>
    </row>
    <row r="69" spans="2:36" x14ac:dyDescent="0.25">
      <c r="B69" s="121" t="s">
        <v>295</v>
      </c>
      <c r="R69" s="120" t="s">
        <v>345</v>
      </c>
    </row>
    <row r="70" spans="2:36" x14ac:dyDescent="0.25">
      <c r="C70" s="252">
        <v>119</v>
      </c>
      <c r="D70" s="121">
        <v>122</v>
      </c>
      <c r="E70" s="121">
        <v>123</v>
      </c>
      <c r="F70" s="120">
        <v>124</v>
      </c>
      <c r="G70" s="120">
        <v>125</v>
      </c>
      <c r="H70" s="120">
        <v>129</v>
      </c>
      <c r="I70" s="120">
        <v>130</v>
      </c>
      <c r="J70" s="120">
        <v>133</v>
      </c>
      <c r="K70" s="120">
        <v>136</v>
      </c>
      <c r="L70" s="120">
        <v>139</v>
      </c>
      <c r="M70" s="120">
        <v>143</v>
      </c>
      <c r="N70" s="120">
        <v>146</v>
      </c>
      <c r="O70" s="249">
        <v>0.5</v>
      </c>
      <c r="P70" s="120" t="s">
        <v>296</v>
      </c>
      <c r="R70" s="120">
        <v>129</v>
      </c>
      <c r="S70" s="120">
        <v>130</v>
      </c>
      <c r="T70" s="120">
        <v>133</v>
      </c>
      <c r="U70" s="120">
        <v>136</v>
      </c>
      <c r="V70" s="120">
        <v>139</v>
      </c>
      <c r="W70" s="120">
        <v>143</v>
      </c>
      <c r="X70" s="120">
        <v>146</v>
      </c>
      <c r="Y70" s="249">
        <v>0.5</v>
      </c>
      <c r="Z70" s="120" t="s">
        <v>296</v>
      </c>
    </row>
    <row r="71" spans="2:36" x14ac:dyDescent="0.25">
      <c r="B71" s="121" t="s">
        <v>286</v>
      </c>
      <c r="C71" s="252">
        <v>0</v>
      </c>
      <c r="D71" s="121">
        <v>4</v>
      </c>
      <c r="E71" s="121">
        <v>4</v>
      </c>
      <c r="F71" s="120">
        <v>4</v>
      </c>
      <c r="G71" s="120">
        <v>6</v>
      </c>
      <c r="H71" s="120">
        <v>9</v>
      </c>
      <c r="I71" s="120">
        <v>9</v>
      </c>
      <c r="J71" s="120">
        <v>9</v>
      </c>
      <c r="K71" s="120">
        <v>9</v>
      </c>
      <c r="L71" s="120">
        <v>9</v>
      </c>
      <c r="M71" s="120">
        <v>9</v>
      </c>
      <c r="N71" s="120">
        <v>9</v>
      </c>
      <c r="O71" s="120">
        <f>N71/2</f>
        <v>4.5</v>
      </c>
      <c r="P71" s="250">
        <f>F$70+(O71-F71)/(G71-F71)*(G$70-F$70)</f>
        <v>124.25</v>
      </c>
      <c r="R71" s="120">
        <v>0</v>
      </c>
      <c r="S71" s="120">
        <v>1</v>
      </c>
      <c r="T71" s="120">
        <v>3</v>
      </c>
      <c r="U71" s="120">
        <v>7</v>
      </c>
      <c r="V71" s="120">
        <v>7</v>
      </c>
      <c r="W71" s="120">
        <v>8</v>
      </c>
      <c r="X71" s="120">
        <v>9</v>
      </c>
      <c r="Y71" s="120">
        <f>X71/2</f>
        <v>4.5</v>
      </c>
      <c r="Z71" s="250">
        <f>T$70+(Y71-T71)/(U71-T71)*(U$70-T$70)</f>
        <v>134.125</v>
      </c>
    </row>
    <row r="72" spans="2:36" x14ac:dyDescent="0.25">
      <c r="B72" s="121" t="s">
        <v>284</v>
      </c>
      <c r="C72" s="252">
        <v>0</v>
      </c>
      <c r="D72" s="121">
        <v>3</v>
      </c>
      <c r="E72" s="121">
        <v>4</v>
      </c>
      <c r="F72" s="120">
        <v>4</v>
      </c>
      <c r="G72" s="120">
        <v>4</v>
      </c>
      <c r="H72" s="120">
        <v>7</v>
      </c>
      <c r="I72" s="120">
        <v>7</v>
      </c>
      <c r="J72" s="120">
        <v>7</v>
      </c>
      <c r="K72" s="120">
        <v>7</v>
      </c>
      <c r="L72" s="120">
        <v>7</v>
      </c>
      <c r="M72" s="120">
        <v>7</v>
      </c>
      <c r="N72" s="120">
        <v>7</v>
      </c>
      <c r="O72" s="120">
        <f t="shared" ref="O72:O118" si="0">N72/2</f>
        <v>3.5</v>
      </c>
      <c r="P72" s="250">
        <f>D$70+(O72-D72)/(E72-D72)*(E$70-D$70)</f>
        <v>122.5</v>
      </c>
      <c r="R72" s="120">
        <v>0</v>
      </c>
      <c r="S72" s="120">
        <v>0</v>
      </c>
      <c r="T72" s="120">
        <v>3</v>
      </c>
      <c r="U72" s="120">
        <v>5</v>
      </c>
      <c r="V72" s="120">
        <v>5</v>
      </c>
      <c r="W72" s="120">
        <v>5</v>
      </c>
      <c r="X72" s="120">
        <v>7</v>
      </c>
      <c r="Y72" s="120">
        <f t="shared" ref="Y72:Y118" si="1">X72/2</f>
        <v>3.5</v>
      </c>
      <c r="Z72" s="250">
        <f>T$70+(Y72-T72)/(U72-T72)*(U$70-T$70)</f>
        <v>133.75</v>
      </c>
    </row>
    <row r="73" spans="2:36" x14ac:dyDescent="0.25">
      <c r="B73" s="121" t="s">
        <v>283</v>
      </c>
      <c r="C73" s="252">
        <v>0</v>
      </c>
      <c r="D73" s="121">
        <v>3</v>
      </c>
      <c r="E73" s="121">
        <v>4</v>
      </c>
      <c r="F73" s="120">
        <v>4</v>
      </c>
      <c r="G73" s="120">
        <v>9</v>
      </c>
      <c r="H73" s="120">
        <v>9</v>
      </c>
      <c r="I73" s="120">
        <v>9</v>
      </c>
      <c r="J73" s="120">
        <v>9</v>
      </c>
      <c r="K73" s="120">
        <v>9</v>
      </c>
      <c r="L73" s="120">
        <v>9</v>
      </c>
      <c r="M73" s="120">
        <v>9</v>
      </c>
      <c r="N73" s="120">
        <v>9</v>
      </c>
      <c r="O73" s="120">
        <f t="shared" si="0"/>
        <v>4.5</v>
      </c>
      <c r="P73" s="250">
        <f>F$70+(O73-F73)/(G73-F73)*(G$70-F$70)</f>
        <v>124.1</v>
      </c>
      <c r="R73" s="120">
        <v>0</v>
      </c>
      <c r="S73" s="120">
        <v>0</v>
      </c>
      <c r="T73" s="120">
        <v>2</v>
      </c>
      <c r="U73" s="120">
        <v>5</v>
      </c>
      <c r="V73" s="120">
        <v>7</v>
      </c>
      <c r="W73" s="120">
        <v>7</v>
      </c>
      <c r="X73" s="120">
        <v>8</v>
      </c>
      <c r="Y73" s="120">
        <f t="shared" si="1"/>
        <v>4</v>
      </c>
      <c r="Z73" s="250">
        <f>T$70+(Y73-T73)/(U73-T73)*(U$70-T$70)</f>
        <v>135</v>
      </c>
    </row>
    <row r="74" spans="2:36" x14ac:dyDescent="0.25">
      <c r="B74" s="121" t="s">
        <v>282</v>
      </c>
      <c r="C74" s="252">
        <v>0</v>
      </c>
      <c r="D74" s="121">
        <v>1</v>
      </c>
      <c r="E74" s="121">
        <v>4</v>
      </c>
      <c r="F74" s="120">
        <v>5</v>
      </c>
      <c r="G74" s="120">
        <v>8</v>
      </c>
      <c r="H74" s="120">
        <v>8</v>
      </c>
      <c r="I74" s="120">
        <v>8</v>
      </c>
      <c r="J74" s="120">
        <v>8</v>
      </c>
      <c r="K74" s="120">
        <v>8</v>
      </c>
      <c r="L74" s="120">
        <v>8</v>
      </c>
      <c r="M74" s="120">
        <v>8</v>
      </c>
      <c r="N74" s="120">
        <v>8</v>
      </c>
      <c r="O74" s="120">
        <f t="shared" si="0"/>
        <v>4</v>
      </c>
      <c r="P74" s="250">
        <f>E$70+(O74-E74)/(F74-E74)*(F$70-E$70)</f>
        <v>123</v>
      </c>
      <c r="R74" s="120">
        <v>0</v>
      </c>
      <c r="S74" s="120">
        <v>1</v>
      </c>
      <c r="T74" s="120">
        <v>3</v>
      </c>
      <c r="U74" s="120">
        <v>7</v>
      </c>
      <c r="V74" s="120">
        <v>8</v>
      </c>
      <c r="W74" s="120">
        <v>7</v>
      </c>
      <c r="X74" s="120">
        <v>8</v>
      </c>
      <c r="Y74" s="120">
        <f t="shared" si="1"/>
        <v>4</v>
      </c>
      <c r="Z74" s="250">
        <f>T$70+(Y74-T74)/(U74-T74)*(U$70-T$70)</f>
        <v>133.75</v>
      </c>
    </row>
    <row r="75" spans="2:36" x14ac:dyDescent="0.25">
      <c r="B75" s="251" t="s">
        <v>281</v>
      </c>
      <c r="C75" s="252">
        <v>1</v>
      </c>
      <c r="D75" s="121">
        <v>6</v>
      </c>
      <c r="E75" s="121">
        <v>6</v>
      </c>
      <c r="F75" s="120">
        <v>6</v>
      </c>
      <c r="G75" s="120">
        <v>7</v>
      </c>
      <c r="H75" s="120">
        <v>8</v>
      </c>
      <c r="I75" s="120">
        <v>8</v>
      </c>
      <c r="J75" s="120">
        <v>8</v>
      </c>
      <c r="K75" s="120">
        <v>8</v>
      </c>
      <c r="L75" s="120">
        <v>8</v>
      </c>
      <c r="M75" s="120">
        <v>8</v>
      </c>
      <c r="N75" s="120">
        <v>8</v>
      </c>
      <c r="O75" s="120">
        <f t="shared" si="0"/>
        <v>4</v>
      </c>
      <c r="P75" s="250">
        <f>C$70+(O75-C75)/(D75-C75)*(D$70-C$70)</f>
        <v>120.8</v>
      </c>
      <c r="R75" s="120">
        <v>1</v>
      </c>
      <c r="S75" s="120">
        <v>2</v>
      </c>
      <c r="T75" s="120">
        <v>5</v>
      </c>
      <c r="U75" s="120">
        <v>6</v>
      </c>
      <c r="V75" s="120">
        <v>6</v>
      </c>
      <c r="W75" s="120">
        <v>6</v>
      </c>
      <c r="X75" s="120">
        <v>8</v>
      </c>
      <c r="Y75" s="120">
        <f t="shared" si="1"/>
        <v>4</v>
      </c>
      <c r="Z75" s="250">
        <f>S$70+(Y75-S75)/(T75-S75)*(T$70-S$70)</f>
        <v>132</v>
      </c>
    </row>
    <row r="76" spans="2:36" x14ac:dyDescent="0.25">
      <c r="B76" s="251" t="s">
        <v>280</v>
      </c>
      <c r="C76" s="252">
        <v>1</v>
      </c>
      <c r="D76" s="121">
        <v>7</v>
      </c>
      <c r="E76" s="121">
        <v>7</v>
      </c>
      <c r="F76" s="120">
        <v>7</v>
      </c>
      <c r="G76" s="120">
        <v>8</v>
      </c>
      <c r="H76" s="120">
        <v>9</v>
      </c>
      <c r="I76" s="120">
        <v>9</v>
      </c>
      <c r="J76" s="120">
        <v>9</v>
      </c>
      <c r="K76" s="120">
        <v>8</v>
      </c>
      <c r="L76" s="120">
        <v>8</v>
      </c>
      <c r="M76" s="120">
        <v>8</v>
      </c>
      <c r="N76" s="120">
        <v>8</v>
      </c>
      <c r="O76" s="120">
        <f t="shared" si="0"/>
        <v>4</v>
      </c>
      <c r="P76" s="250">
        <f>C$70+(O76-C76)/(D76-C76)*(D$70-C$70)</f>
        <v>120.5</v>
      </c>
      <c r="R76" s="120">
        <v>2</v>
      </c>
      <c r="S76" s="120">
        <v>3</v>
      </c>
      <c r="T76" s="120">
        <v>6</v>
      </c>
      <c r="U76" s="120">
        <v>8</v>
      </c>
      <c r="V76" s="120">
        <v>8</v>
      </c>
      <c r="W76" s="120">
        <v>8</v>
      </c>
      <c r="X76" s="120">
        <v>8</v>
      </c>
      <c r="Y76" s="120">
        <f t="shared" si="1"/>
        <v>4</v>
      </c>
      <c r="Z76" s="250">
        <f>S$70+(Y76-S76)/(T76-S76)*(T$70-S$70)</f>
        <v>131</v>
      </c>
    </row>
    <row r="77" spans="2:36" x14ac:dyDescent="0.25">
      <c r="B77" s="251" t="s">
        <v>279</v>
      </c>
      <c r="C77" s="252">
        <v>1</v>
      </c>
      <c r="D77" s="121">
        <v>4</v>
      </c>
      <c r="E77" s="121">
        <v>5</v>
      </c>
      <c r="F77" s="120">
        <v>5</v>
      </c>
      <c r="G77" s="120">
        <v>5</v>
      </c>
      <c r="H77" s="120">
        <v>6</v>
      </c>
      <c r="I77" s="120">
        <v>6</v>
      </c>
      <c r="J77" s="120">
        <v>6</v>
      </c>
      <c r="K77" s="120">
        <v>6</v>
      </c>
      <c r="L77" s="120">
        <v>6</v>
      </c>
      <c r="M77" s="120">
        <v>6</v>
      </c>
      <c r="N77" s="120">
        <v>6</v>
      </c>
      <c r="O77" s="120">
        <f t="shared" si="0"/>
        <v>3</v>
      </c>
      <c r="P77" s="250">
        <f>C$70+(O77-C77)/(D77-C77)*(D$70-C$70)</f>
        <v>121</v>
      </c>
      <c r="R77" s="120">
        <v>0</v>
      </c>
      <c r="S77" s="120">
        <v>1</v>
      </c>
      <c r="T77" s="120">
        <v>3</v>
      </c>
      <c r="U77" s="120">
        <v>5</v>
      </c>
      <c r="V77" s="120">
        <v>6</v>
      </c>
      <c r="W77" s="120">
        <v>6</v>
      </c>
      <c r="X77" s="120">
        <v>6</v>
      </c>
      <c r="Y77" s="120">
        <f t="shared" si="1"/>
        <v>3</v>
      </c>
      <c r="Z77" s="250">
        <f>T$70+(Y77-T77)/(U77-T77)*(U$70-T$70)</f>
        <v>133</v>
      </c>
    </row>
    <row r="78" spans="2:36" x14ac:dyDescent="0.25">
      <c r="B78" s="251" t="s">
        <v>278</v>
      </c>
      <c r="C78" s="252">
        <v>1</v>
      </c>
      <c r="D78" s="121">
        <v>5</v>
      </c>
      <c r="E78" s="121">
        <v>7</v>
      </c>
      <c r="G78" s="120">
        <v>8</v>
      </c>
      <c r="H78" s="120">
        <v>8</v>
      </c>
      <c r="I78" s="120">
        <v>8</v>
      </c>
      <c r="J78" s="120">
        <v>8</v>
      </c>
      <c r="K78" s="120">
        <v>8</v>
      </c>
      <c r="L78" s="120">
        <v>8</v>
      </c>
      <c r="M78" s="120">
        <v>8</v>
      </c>
      <c r="N78" s="120">
        <v>8</v>
      </c>
      <c r="O78" s="120">
        <f t="shared" si="0"/>
        <v>4</v>
      </c>
      <c r="P78" s="250">
        <f>C$70+(O78-C78)/(D78-C78)*(D$70-C$70)</f>
        <v>121.25</v>
      </c>
      <c r="R78" s="120">
        <v>1</v>
      </c>
      <c r="S78" s="120">
        <v>2</v>
      </c>
      <c r="T78" s="120">
        <v>5</v>
      </c>
      <c r="U78" s="120">
        <v>7</v>
      </c>
      <c r="V78" s="120">
        <v>8</v>
      </c>
      <c r="W78" s="120">
        <v>8</v>
      </c>
      <c r="X78" s="120">
        <v>8</v>
      </c>
      <c r="Y78" s="120">
        <f t="shared" si="1"/>
        <v>4</v>
      </c>
      <c r="Z78" s="250">
        <f>S$70+(Y78-S78)/(T78-S78)*(T$70-S$70)</f>
        <v>132</v>
      </c>
    </row>
    <row r="79" spans="2:36" x14ac:dyDescent="0.25">
      <c r="B79" s="121" t="s">
        <v>277</v>
      </c>
      <c r="C79" s="252">
        <v>0</v>
      </c>
      <c r="D79" s="121">
        <v>3</v>
      </c>
      <c r="E79" s="121">
        <v>3</v>
      </c>
      <c r="F79" s="120">
        <v>3</v>
      </c>
      <c r="G79" s="120">
        <v>5</v>
      </c>
      <c r="H79" s="120">
        <v>7</v>
      </c>
      <c r="I79" s="120">
        <v>7</v>
      </c>
      <c r="J79" s="120">
        <v>7</v>
      </c>
      <c r="K79" s="120">
        <v>7</v>
      </c>
      <c r="L79" s="120">
        <v>7</v>
      </c>
      <c r="M79" s="120">
        <v>7</v>
      </c>
      <c r="N79" s="120">
        <v>7</v>
      </c>
      <c r="O79" s="120">
        <f t="shared" si="0"/>
        <v>3.5</v>
      </c>
      <c r="P79" s="250">
        <f>F$70+(O79-F79)/(G79-F79)*(G$70-F$70)</f>
        <v>124.25</v>
      </c>
      <c r="R79" s="120">
        <v>0</v>
      </c>
      <c r="S79" s="120">
        <v>0</v>
      </c>
      <c r="T79" s="120">
        <v>2</v>
      </c>
      <c r="U79" s="120">
        <v>5</v>
      </c>
      <c r="V79" s="120">
        <v>6</v>
      </c>
      <c r="W79" s="120">
        <v>6</v>
      </c>
      <c r="X79" s="120">
        <v>7</v>
      </c>
      <c r="Y79" s="120">
        <f t="shared" si="1"/>
        <v>3.5</v>
      </c>
      <c r="Z79" s="250">
        <f>T$70+(Y79-T79)/(U79-T79)*(U$70-T$70)</f>
        <v>134.5</v>
      </c>
    </row>
    <row r="80" spans="2:36" x14ac:dyDescent="0.25">
      <c r="B80" s="121" t="s">
        <v>276</v>
      </c>
      <c r="C80" s="252">
        <v>0</v>
      </c>
      <c r="D80" s="121">
        <v>7</v>
      </c>
      <c r="E80" s="121">
        <v>7</v>
      </c>
      <c r="F80" s="120">
        <v>7</v>
      </c>
      <c r="G80" s="120">
        <v>10</v>
      </c>
      <c r="H80" s="120">
        <v>11</v>
      </c>
      <c r="I80" s="120">
        <v>11</v>
      </c>
      <c r="J80" s="120">
        <v>11</v>
      </c>
      <c r="K80" s="120">
        <v>11</v>
      </c>
      <c r="L80" s="120">
        <v>11</v>
      </c>
      <c r="M80" s="120">
        <v>11</v>
      </c>
      <c r="N80" s="120">
        <v>11</v>
      </c>
      <c r="O80" s="120">
        <f t="shared" si="0"/>
        <v>5.5</v>
      </c>
      <c r="P80" s="250">
        <f>C$70+(O80-C80)/(D80-C80)*(D$70-C$70)</f>
        <v>121.35714285714286</v>
      </c>
      <c r="R80" s="120">
        <v>0</v>
      </c>
      <c r="S80" s="120">
        <v>1</v>
      </c>
      <c r="T80" s="120">
        <v>4</v>
      </c>
      <c r="U80" s="120">
        <v>7</v>
      </c>
      <c r="V80" s="120">
        <v>8</v>
      </c>
      <c r="W80" s="120">
        <v>8</v>
      </c>
      <c r="X80" s="120">
        <v>10</v>
      </c>
      <c r="Y80" s="120">
        <f t="shared" si="1"/>
        <v>5</v>
      </c>
      <c r="Z80" s="250">
        <f>T$70+(Y80-T80)/(U80-T80)*(U$70-T$70)</f>
        <v>134</v>
      </c>
    </row>
    <row r="81" spans="2:26" x14ac:dyDescent="0.25">
      <c r="B81" s="121" t="s">
        <v>275</v>
      </c>
      <c r="C81" s="252">
        <v>0</v>
      </c>
      <c r="D81" s="121">
        <v>5</v>
      </c>
      <c r="E81" s="121">
        <v>6</v>
      </c>
      <c r="F81" s="120">
        <v>6</v>
      </c>
      <c r="G81" s="120">
        <v>6</v>
      </c>
      <c r="H81" s="120">
        <v>6</v>
      </c>
      <c r="I81" s="120">
        <v>6</v>
      </c>
      <c r="J81" s="120">
        <v>6</v>
      </c>
      <c r="K81" s="120">
        <v>6</v>
      </c>
      <c r="L81" s="120">
        <v>6</v>
      </c>
      <c r="M81" s="120">
        <v>6</v>
      </c>
      <c r="N81" s="120">
        <v>6</v>
      </c>
      <c r="O81" s="120">
        <f t="shared" si="0"/>
        <v>3</v>
      </c>
      <c r="P81" s="250">
        <f>C$70+(O81-C81)/(D81-C81)*(D$70-C$70)</f>
        <v>120.8</v>
      </c>
      <c r="R81" s="120">
        <v>1</v>
      </c>
      <c r="S81" s="120">
        <v>1</v>
      </c>
      <c r="T81" s="120">
        <v>2</v>
      </c>
      <c r="U81" s="120">
        <v>5</v>
      </c>
      <c r="V81" s="120">
        <v>6</v>
      </c>
      <c r="W81" s="120">
        <v>6</v>
      </c>
      <c r="X81" s="120">
        <v>6</v>
      </c>
      <c r="Y81" s="120">
        <f t="shared" si="1"/>
        <v>3</v>
      </c>
      <c r="Z81" s="250">
        <f>T$70+(Y81-T81)/(U81-T81)*(U$70-T$70)</f>
        <v>134</v>
      </c>
    </row>
    <row r="82" spans="2:26" x14ac:dyDescent="0.25">
      <c r="B82" s="121" t="s">
        <v>274</v>
      </c>
      <c r="C82" s="252">
        <v>0</v>
      </c>
      <c r="D82" s="121">
        <v>2</v>
      </c>
      <c r="E82" s="121">
        <v>4</v>
      </c>
      <c r="F82" s="120">
        <v>4</v>
      </c>
      <c r="G82" s="120">
        <v>8</v>
      </c>
      <c r="H82" s="120">
        <v>8</v>
      </c>
      <c r="I82" s="120">
        <v>8</v>
      </c>
      <c r="J82" s="120">
        <v>9</v>
      </c>
      <c r="K82" s="120">
        <v>9</v>
      </c>
      <c r="L82" s="120">
        <v>9</v>
      </c>
      <c r="M82" s="120">
        <v>9</v>
      </c>
      <c r="N82" s="120">
        <v>9</v>
      </c>
      <c r="O82" s="120">
        <f t="shared" si="0"/>
        <v>4.5</v>
      </c>
      <c r="P82" s="250">
        <f>F$70+(O82-F82)/(G82-F82)*(G$70-F$70)</f>
        <v>124.125</v>
      </c>
      <c r="R82" s="120">
        <v>0</v>
      </c>
      <c r="S82" s="120">
        <v>0</v>
      </c>
      <c r="T82" s="120">
        <v>2</v>
      </c>
      <c r="U82" s="120">
        <v>5</v>
      </c>
      <c r="V82" s="120">
        <v>7</v>
      </c>
      <c r="W82" s="120">
        <v>7</v>
      </c>
      <c r="X82" s="120">
        <v>9</v>
      </c>
      <c r="Y82" s="120">
        <f t="shared" si="1"/>
        <v>4.5</v>
      </c>
      <c r="Z82" s="250">
        <f>T$70+(Y82-T82)/(U82-T82)*(U$70-T$70)</f>
        <v>135.5</v>
      </c>
    </row>
    <row r="83" spans="2:26" x14ac:dyDescent="0.25">
      <c r="B83" s="251" t="s">
        <v>273</v>
      </c>
      <c r="C83" s="252">
        <v>1</v>
      </c>
      <c r="D83" s="121">
        <v>6</v>
      </c>
      <c r="E83" s="121">
        <v>7</v>
      </c>
      <c r="F83" s="120">
        <v>7</v>
      </c>
      <c r="G83" s="120">
        <v>7</v>
      </c>
      <c r="H83" s="120">
        <v>7</v>
      </c>
      <c r="I83" s="120">
        <v>7</v>
      </c>
      <c r="J83" s="120">
        <v>7</v>
      </c>
      <c r="K83" s="120">
        <v>7</v>
      </c>
      <c r="L83" s="120">
        <v>7</v>
      </c>
      <c r="M83" s="120">
        <v>7</v>
      </c>
      <c r="N83" s="120">
        <v>7</v>
      </c>
      <c r="O83" s="120">
        <f t="shared" si="0"/>
        <v>3.5</v>
      </c>
      <c r="P83" s="250">
        <f>C$70+(O83-C83)/(D83-C83)*(D$70-C$70)</f>
        <v>120.5</v>
      </c>
      <c r="R83" s="120">
        <v>0</v>
      </c>
      <c r="S83" s="120">
        <v>1</v>
      </c>
      <c r="T83" s="120">
        <v>4</v>
      </c>
      <c r="U83" s="120">
        <v>7</v>
      </c>
      <c r="V83" s="120">
        <v>7</v>
      </c>
      <c r="W83" s="120">
        <v>7</v>
      </c>
      <c r="X83" s="120">
        <v>7</v>
      </c>
      <c r="Y83" s="120">
        <f t="shared" si="1"/>
        <v>3.5</v>
      </c>
      <c r="Z83" s="250">
        <f>T$70+(Y83-T83)/(U83-T83)*(U$70-T$70)</f>
        <v>132.5</v>
      </c>
    </row>
    <row r="84" spans="2:26" x14ac:dyDescent="0.25">
      <c r="B84" s="251" t="s">
        <v>272</v>
      </c>
      <c r="C84" s="252">
        <v>1</v>
      </c>
      <c r="D84" s="121">
        <v>2</v>
      </c>
      <c r="E84" s="121">
        <v>5</v>
      </c>
      <c r="F84" s="120">
        <v>5</v>
      </c>
      <c r="G84" s="120">
        <v>5</v>
      </c>
      <c r="H84" s="120">
        <v>6</v>
      </c>
      <c r="I84" s="120">
        <v>6</v>
      </c>
      <c r="J84" s="120">
        <v>6</v>
      </c>
      <c r="K84" s="120">
        <v>5</v>
      </c>
      <c r="L84" s="120">
        <v>5</v>
      </c>
      <c r="M84" s="120">
        <v>5</v>
      </c>
      <c r="N84" s="120">
        <v>5</v>
      </c>
      <c r="O84" s="120">
        <f t="shared" si="0"/>
        <v>2.5</v>
      </c>
      <c r="P84" s="250">
        <f>D$70+(O84-D84)/(E84-D84)*(E$70-D$70)</f>
        <v>122.16666666666667</v>
      </c>
      <c r="R84" s="120">
        <v>0</v>
      </c>
      <c r="S84" s="120">
        <v>1</v>
      </c>
      <c r="T84" s="120">
        <v>2</v>
      </c>
      <c r="U84" s="120">
        <v>5</v>
      </c>
      <c r="V84" s="120">
        <v>5</v>
      </c>
      <c r="W84" s="120">
        <v>5</v>
      </c>
      <c r="X84" s="120">
        <v>5</v>
      </c>
      <c r="Y84" s="120">
        <f t="shared" si="1"/>
        <v>2.5</v>
      </c>
      <c r="Z84" s="250">
        <f>T$70+(Y84-T84)/(U84-T84)*(U$70-T$70)</f>
        <v>133.5</v>
      </c>
    </row>
    <row r="85" spans="2:26" x14ac:dyDescent="0.25">
      <c r="B85" s="251" t="s">
        <v>271</v>
      </c>
      <c r="C85" s="252">
        <v>1</v>
      </c>
      <c r="D85" s="121">
        <v>5</v>
      </c>
      <c r="E85" s="121">
        <v>6</v>
      </c>
      <c r="F85" s="120">
        <v>6</v>
      </c>
      <c r="G85" s="120">
        <v>7</v>
      </c>
      <c r="H85" s="120">
        <v>8</v>
      </c>
      <c r="I85" s="120">
        <v>8</v>
      </c>
      <c r="J85" s="120">
        <v>8</v>
      </c>
      <c r="K85" s="120">
        <v>8</v>
      </c>
      <c r="L85" s="120">
        <v>8</v>
      </c>
      <c r="M85" s="120">
        <v>8</v>
      </c>
      <c r="N85" s="120">
        <v>8</v>
      </c>
      <c r="O85" s="120">
        <f t="shared" si="0"/>
        <v>4</v>
      </c>
      <c r="P85" s="250">
        <f>C$70+(O85-C85)/(D85-C85)*(D$70-C$70)</f>
        <v>121.25</v>
      </c>
      <c r="R85" s="120">
        <v>1</v>
      </c>
      <c r="S85" s="120">
        <v>2</v>
      </c>
      <c r="T85" s="120">
        <v>4</v>
      </c>
      <c r="U85" s="120">
        <v>6</v>
      </c>
      <c r="V85" s="120">
        <v>7</v>
      </c>
      <c r="W85" s="120">
        <v>8</v>
      </c>
      <c r="X85" s="120">
        <v>8</v>
      </c>
      <c r="Y85" s="120">
        <f t="shared" si="1"/>
        <v>4</v>
      </c>
      <c r="Z85" s="250">
        <f>T$70+(Y85-T85)/(U85-T85)*(U$70-T$70)</f>
        <v>133</v>
      </c>
    </row>
    <row r="86" spans="2:26" x14ac:dyDescent="0.25">
      <c r="B86" s="251" t="s">
        <v>270</v>
      </c>
      <c r="C86" s="252">
        <v>1</v>
      </c>
      <c r="D86" s="121">
        <v>6</v>
      </c>
      <c r="E86" s="121">
        <v>7</v>
      </c>
      <c r="F86" s="120">
        <v>7</v>
      </c>
      <c r="G86" s="120">
        <v>8</v>
      </c>
      <c r="H86" s="120">
        <v>9</v>
      </c>
      <c r="I86" s="120">
        <v>9</v>
      </c>
      <c r="J86" s="120">
        <v>9</v>
      </c>
      <c r="K86" s="120">
        <v>9</v>
      </c>
      <c r="L86" s="120">
        <v>9</v>
      </c>
      <c r="M86" s="120">
        <v>9</v>
      </c>
      <c r="N86" s="120">
        <v>8</v>
      </c>
      <c r="O86" s="120">
        <f t="shared" si="0"/>
        <v>4</v>
      </c>
      <c r="P86" s="250">
        <f>C$70+(O86-C86)/(D86-C86)*(D$70-C$70)</f>
        <v>120.8</v>
      </c>
      <c r="R86" s="120">
        <v>1</v>
      </c>
      <c r="S86" s="120">
        <v>1</v>
      </c>
      <c r="T86" s="120">
        <v>5</v>
      </c>
      <c r="U86" s="120">
        <v>6</v>
      </c>
      <c r="V86" s="120">
        <v>7</v>
      </c>
      <c r="W86" s="120">
        <v>9</v>
      </c>
      <c r="X86" s="120">
        <v>8</v>
      </c>
      <c r="Y86" s="120">
        <f t="shared" si="1"/>
        <v>4</v>
      </c>
      <c r="Z86" s="250">
        <f>S$70+(Y86-S86)/(T86-S86)*(T$70-S$70)</f>
        <v>132.25</v>
      </c>
    </row>
    <row r="87" spans="2:26" x14ac:dyDescent="0.25">
      <c r="B87" s="251" t="s">
        <v>269</v>
      </c>
      <c r="C87" s="252">
        <v>1</v>
      </c>
      <c r="D87" s="121">
        <v>6</v>
      </c>
      <c r="E87" s="121">
        <v>6</v>
      </c>
      <c r="F87" s="120">
        <v>6</v>
      </c>
      <c r="G87" s="120">
        <v>6</v>
      </c>
      <c r="H87" s="120">
        <v>9</v>
      </c>
      <c r="I87" s="120">
        <v>9</v>
      </c>
      <c r="J87" s="120">
        <v>9</v>
      </c>
      <c r="K87" s="120">
        <v>9</v>
      </c>
      <c r="L87" s="120">
        <v>9</v>
      </c>
      <c r="M87" s="120">
        <v>9</v>
      </c>
      <c r="N87" s="120">
        <v>9</v>
      </c>
      <c r="O87" s="120">
        <f t="shared" si="0"/>
        <v>4.5</v>
      </c>
      <c r="P87" s="250">
        <f>C$70+(O87-C87)/(D87-C87)*(D$70-C$70)</f>
        <v>121.1</v>
      </c>
      <c r="R87" s="120">
        <v>1</v>
      </c>
      <c r="S87" s="120">
        <v>1</v>
      </c>
      <c r="T87" s="120">
        <v>4</v>
      </c>
      <c r="U87" s="120">
        <v>8</v>
      </c>
      <c r="V87" s="120">
        <v>9</v>
      </c>
      <c r="W87" s="120">
        <v>9</v>
      </c>
      <c r="X87" s="120">
        <v>9</v>
      </c>
      <c r="Y87" s="120">
        <f t="shared" si="1"/>
        <v>4.5</v>
      </c>
      <c r="Z87" s="250">
        <f>T$70+(Y87-T87)/(U87-T87)*(U$70-T$70)</f>
        <v>133.375</v>
      </c>
    </row>
    <row r="88" spans="2:26" x14ac:dyDescent="0.25">
      <c r="B88" s="251" t="s">
        <v>268</v>
      </c>
      <c r="C88" s="252">
        <v>1</v>
      </c>
      <c r="D88" s="121">
        <v>7</v>
      </c>
      <c r="E88" s="121">
        <v>8</v>
      </c>
      <c r="F88" s="120">
        <v>8</v>
      </c>
      <c r="G88" s="120">
        <v>6</v>
      </c>
      <c r="H88" s="120">
        <v>11</v>
      </c>
      <c r="I88" s="120">
        <v>11</v>
      </c>
      <c r="J88" s="120">
        <v>11</v>
      </c>
      <c r="K88" s="120">
        <v>11</v>
      </c>
      <c r="L88" s="120">
        <v>11</v>
      </c>
      <c r="M88" s="120">
        <v>11</v>
      </c>
      <c r="N88" s="120">
        <v>11</v>
      </c>
      <c r="O88" s="120">
        <f t="shared" si="0"/>
        <v>5.5</v>
      </c>
      <c r="P88" s="250">
        <f>C$70+(O88-C88)/(D88-C88)*(D$70-C$70)</f>
        <v>121.25</v>
      </c>
      <c r="R88" s="120">
        <v>0</v>
      </c>
      <c r="S88" s="120">
        <v>3</v>
      </c>
      <c r="T88" s="120">
        <v>6</v>
      </c>
      <c r="U88" s="120">
        <v>7</v>
      </c>
      <c r="V88" s="120">
        <v>8</v>
      </c>
      <c r="W88" s="120">
        <v>10</v>
      </c>
      <c r="X88" s="120">
        <v>11</v>
      </c>
      <c r="Y88" s="120">
        <f t="shared" si="1"/>
        <v>5.5</v>
      </c>
      <c r="Z88" s="250">
        <f>S$70+(Y88-S88)/(T88-S88)*(T$70-S$70)</f>
        <v>132.5</v>
      </c>
    </row>
    <row r="89" spans="2:26" x14ac:dyDescent="0.25">
      <c r="B89" s="251" t="s">
        <v>267</v>
      </c>
      <c r="C89" s="252">
        <v>1</v>
      </c>
      <c r="D89" s="121">
        <v>5</v>
      </c>
      <c r="E89" s="121">
        <v>7</v>
      </c>
      <c r="F89" s="120">
        <v>7</v>
      </c>
      <c r="G89" s="120">
        <v>7</v>
      </c>
      <c r="H89" s="120">
        <v>10</v>
      </c>
      <c r="I89" s="120">
        <v>10</v>
      </c>
      <c r="J89" s="120">
        <v>10</v>
      </c>
      <c r="K89" s="120">
        <v>10</v>
      </c>
      <c r="L89" s="120">
        <v>10</v>
      </c>
      <c r="M89" s="120">
        <v>10</v>
      </c>
      <c r="N89" s="120">
        <v>10</v>
      </c>
      <c r="O89" s="120">
        <f t="shared" si="0"/>
        <v>5</v>
      </c>
      <c r="P89" s="250">
        <f>D$70+(O89-D89)/(E89-D89)*(E$70-D$70)</f>
        <v>122</v>
      </c>
      <c r="R89" s="120">
        <v>1</v>
      </c>
      <c r="S89" s="120">
        <v>2</v>
      </c>
      <c r="T89" s="120">
        <v>6</v>
      </c>
      <c r="U89" s="120">
        <v>8</v>
      </c>
      <c r="V89" s="120">
        <v>9</v>
      </c>
      <c r="W89" s="120">
        <v>10</v>
      </c>
      <c r="X89" s="120">
        <v>10</v>
      </c>
      <c r="Y89" s="120">
        <f t="shared" si="1"/>
        <v>5</v>
      </c>
      <c r="Z89" s="250">
        <f>S$70+(Y89-S89)/(T89-S89)*(T$70-S$70)</f>
        <v>132.25</v>
      </c>
    </row>
    <row r="90" spans="2:26" x14ac:dyDescent="0.25">
      <c r="B90" s="251" t="s">
        <v>266</v>
      </c>
      <c r="C90" s="252">
        <v>1</v>
      </c>
      <c r="D90" s="121">
        <v>8</v>
      </c>
      <c r="E90" s="121">
        <v>9</v>
      </c>
      <c r="F90" s="120">
        <v>9</v>
      </c>
      <c r="G90" s="120">
        <v>9</v>
      </c>
      <c r="H90" s="120">
        <v>9</v>
      </c>
      <c r="I90" s="120">
        <v>9</v>
      </c>
      <c r="J90" s="120">
        <v>9</v>
      </c>
      <c r="K90" s="120">
        <v>9</v>
      </c>
      <c r="L90" s="120">
        <v>9</v>
      </c>
      <c r="M90" s="120">
        <v>9</v>
      </c>
      <c r="N90" s="120">
        <v>9</v>
      </c>
      <c r="O90" s="120">
        <f t="shared" si="0"/>
        <v>4.5</v>
      </c>
      <c r="P90" s="250">
        <f>C$70+(O90-C90)/(D90-C90)*(D$70-C$70)</f>
        <v>120.5</v>
      </c>
      <c r="R90" s="120">
        <v>0</v>
      </c>
      <c r="S90" s="120">
        <v>0</v>
      </c>
      <c r="T90" s="120">
        <v>4</v>
      </c>
      <c r="U90" s="120">
        <v>8</v>
      </c>
      <c r="V90" s="120">
        <v>9</v>
      </c>
      <c r="W90" s="120">
        <v>9</v>
      </c>
      <c r="X90" s="120">
        <v>9</v>
      </c>
      <c r="Y90" s="120">
        <f t="shared" si="1"/>
        <v>4.5</v>
      </c>
      <c r="Z90" s="250">
        <f>T$70+(Y90-T90)/(U90-T90)*(U$70-T$70)</f>
        <v>133.375</v>
      </c>
    </row>
    <row r="91" spans="2:26" x14ac:dyDescent="0.25">
      <c r="B91" s="121" t="s">
        <v>265</v>
      </c>
      <c r="C91" s="252">
        <v>0</v>
      </c>
      <c r="D91" s="121">
        <v>2</v>
      </c>
      <c r="E91" s="121">
        <v>2</v>
      </c>
      <c r="F91" s="120">
        <v>2</v>
      </c>
      <c r="G91" s="120">
        <v>4</v>
      </c>
      <c r="H91" s="120">
        <v>8</v>
      </c>
      <c r="I91" s="120">
        <v>8</v>
      </c>
      <c r="J91" s="120">
        <v>8</v>
      </c>
      <c r="K91" s="120">
        <v>8</v>
      </c>
      <c r="L91" s="120">
        <v>8</v>
      </c>
      <c r="M91" s="120">
        <v>8</v>
      </c>
      <c r="N91" s="120">
        <v>8</v>
      </c>
      <c r="O91" s="120">
        <f t="shared" si="0"/>
        <v>4</v>
      </c>
      <c r="P91" s="250">
        <f>F$70+(O91-F91)/(G91-F91)*(G$70-F$70)</f>
        <v>125</v>
      </c>
      <c r="R91" s="120">
        <v>0</v>
      </c>
      <c r="S91" s="120">
        <v>0</v>
      </c>
      <c r="T91" s="120">
        <v>2</v>
      </c>
      <c r="U91" s="120">
        <v>3</v>
      </c>
      <c r="V91" s="120">
        <v>5</v>
      </c>
      <c r="W91" s="120">
        <v>6</v>
      </c>
      <c r="X91" s="120">
        <v>7</v>
      </c>
      <c r="Y91" s="120">
        <f t="shared" si="1"/>
        <v>3.5</v>
      </c>
      <c r="Z91" s="250">
        <f>U$70+(Y91-U91)/(V91-U91)*(V$70-U$70)</f>
        <v>136.75</v>
      </c>
    </row>
    <row r="92" spans="2:26" x14ac:dyDescent="0.25">
      <c r="B92" s="121" t="s">
        <v>264</v>
      </c>
      <c r="C92" s="252">
        <v>0</v>
      </c>
      <c r="D92" s="121">
        <v>3</v>
      </c>
      <c r="E92" s="121">
        <v>7</v>
      </c>
      <c r="F92" s="120">
        <v>8</v>
      </c>
      <c r="G92" s="120">
        <v>9</v>
      </c>
      <c r="H92" s="120">
        <v>10</v>
      </c>
      <c r="I92" s="120">
        <v>10</v>
      </c>
      <c r="J92" s="120">
        <v>10</v>
      </c>
      <c r="K92" s="120">
        <v>10</v>
      </c>
      <c r="L92" s="120">
        <v>10</v>
      </c>
      <c r="M92" s="120">
        <v>10</v>
      </c>
      <c r="N92" s="120">
        <v>10</v>
      </c>
      <c r="O92" s="120">
        <f t="shared" si="0"/>
        <v>5</v>
      </c>
      <c r="P92" s="250">
        <f>D$70+(O92-D92)/(E92-D92)*(E$70-D$70)</f>
        <v>122.5</v>
      </c>
      <c r="R92" s="120">
        <v>0</v>
      </c>
      <c r="S92" s="120">
        <v>1</v>
      </c>
      <c r="T92" s="120">
        <v>2</v>
      </c>
      <c r="U92" s="120">
        <v>8</v>
      </c>
      <c r="V92" s="120">
        <v>9</v>
      </c>
      <c r="W92" s="120">
        <v>9</v>
      </c>
      <c r="X92" s="120">
        <v>10</v>
      </c>
      <c r="Y92" s="120">
        <f t="shared" si="1"/>
        <v>5</v>
      </c>
      <c r="Z92" s="250">
        <f>T$70+(Y92-T92)/(U92-T92)*(U$70-T$70)</f>
        <v>134.5</v>
      </c>
    </row>
    <row r="93" spans="2:26" x14ac:dyDescent="0.25">
      <c r="B93" s="121" t="s">
        <v>263</v>
      </c>
      <c r="C93" s="252">
        <v>0</v>
      </c>
      <c r="D93" s="121">
        <v>2</v>
      </c>
      <c r="E93" s="121">
        <v>4</v>
      </c>
      <c r="F93" s="120">
        <v>5</v>
      </c>
      <c r="G93" s="120">
        <v>6</v>
      </c>
      <c r="H93" s="120">
        <v>9</v>
      </c>
      <c r="I93" s="120">
        <v>9</v>
      </c>
      <c r="J93" s="120">
        <v>10</v>
      </c>
      <c r="K93" s="120">
        <v>9</v>
      </c>
      <c r="L93" s="120">
        <v>9</v>
      </c>
      <c r="M93" s="120">
        <v>9</v>
      </c>
      <c r="N93" s="120">
        <v>9</v>
      </c>
      <c r="O93" s="120">
        <f t="shared" si="0"/>
        <v>4.5</v>
      </c>
      <c r="P93" s="250">
        <f>E$70+(O93-E93)/(F93-E93)*(F$70-E$70)</f>
        <v>123.5</v>
      </c>
      <c r="R93" s="120">
        <v>0</v>
      </c>
      <c r="S93" s="120">
        <v>0</v>
      </c>
      <c r="T93" s="120">
        <v>0</v>
      </c>
      <c r="U93" s="120">
        <v>4</v>
      </c>
      <c r="V93" s="120">
        <v>7</v>
      </c>
      <c r="W93" s="120">
        <v>8</v>
      </c>
      <c r="X93" s="120">
        <v>9</v>
      </c>
      <c r="Y93" s="120">
        <f t="shared" si="1"/>
        <v>4.5</v>
      </c>
      <c r="Z93" s="250">
        <f>U$70+(Y93-U93)/(V93-U93)*(V$70-U$70)</f>
        <v>136.5</v>
      </c>
    </row>
    <row r="94" spans="2:26" x14ac:dyDescent="0.25">
      <c r="B94" s="121" t="s">
        <v>262</v>
      </c>
      <c r="C94" s="252">
        <v>0</v>
      </c>
      <c r="D94" s="121">
        <v>5</v>
      </c>
      <c r="E94" s="121">
        <v>6</v>
      </c>
      <c r="F94" s="120">
        <v>6</v>
      </c>
      <c r="G94" s="120">
        <v>6</v>
      </c>
      <c r="H94" s="120">
        <v>7</v>
      </c>
      <c r="I94" s="120">
        <v>7</v>
      </c>
      <c r="J94" s="120">
        <v>7</v>
      </c>
      <c r="K94" s="120">
        <v>7</v>
      </c>
      <c r="L94" s="120">
        <v>7</v>
      </c>
      <c r="M94" s="120">
        <v>7</v>
      </c>
      <c r="N94" s="120">
        <v>7</v>
      </c>
      <c r="O94" s="120">
        <f t="shared" si="0"/>
        <v>3.5</v>
      </c>
      <c r="P94" s="250">
        <f>C$70+(O94-C94)/(D94-C94)*(D$70-C$70)</f>
        <v>121.1</v>
      </c>
      <c r="R94" s="120">
        <v>0</v>
      </c>
      <c r="S94" s="120">
        <v>0</v>
      </c>
      <c r="T94" s="120">
        <v>2</v>
      </c>
      <c r="U94" s="120">
        <v>5</v>
      </c>
      <c r="V94" s="120">
        <v>6</v>
      </c>
      <c r="W94" s="120">
        <v>7</v>
      </c>
      <c r="X94" s="120">
        <v>7</v>
      </c>
      <c r="Y94" s="120">
        <f t="shared" si="1"/>
        <v>3.5</v>
      </c>
      <c r="Z94" s="250">
        <f>T$70+(Y94-T94)/(U94-T94)*(U$70-T$70)</f>
        <v>134.5</v>
      </c>
    </row>
    <row r="95" spans="2:26" x14ac:dyDescent="0.25">
      <c r="B95" s="251" t="s">
        <v>261</v>
      </c>
      <c r="C95" s="252">
        <v>1</v>
      </c>
      <c r="D95" s="121">
        <v>2</v>
      </c>
      <c r="E95" s="121">
        <v>4</v>
      </c>
      <c r="F95" s="120">
        <v>4</v>
      </c>
      <c r="G95" s="120">
        <v>4</v>
      </c>
      <c r="H95" s="120">
        <v>6</v>
      </c>
      <c r="I95" s="120">
        <v>6</v>
      </c>
      <c r="J95" s="120">
        <v>5</v>
      </c>
      <c r="K95" s="120">
        <v>5</v>
      </c>
      <c r="L95" s="120">
        <v>5</v>
      </c>
      <c r="M95" s="120">
        <v>5</v>
      </c>
      <c r="N95" s="120">
        <v>5</v>
      </c>
      <c r="O95" s="120">
        <f t="shared" si="0"/>
        <v>2.5</v>
      </c>
      <c r="P95" s="250">
        <f>D$70+(O95-D95)/(E95-D95)*(E$70-D$70)</f>
        <v>122.25</v>
      </c>
      <c r="R95" s="120">
        <v>0</v>
      </c>
      <c r="S95" s="120">
        <v>0</v>
      </c>
      <c r="T95" s="120">
        <v>2</v>
      </c>
      <c r="U95" s="120">
        <v>4</v>
      </c>
      <c r="V95" s="120">
        <v>5</v>
      </c>
      <c r="W95" s="120">
        <v>5</v>
      </c>
      <c r="X95" s="120">
        <v>5</v>
      </c>
      <c r="Y95" s="120">
        <f t="shared" si="1"/>
        <v>2.5</v>
      </c>
      <c r="Z95" s="250">
        <f>T$70+(Y95-T95)/(U95-T95)*(U$70-T$70)</f>
        <v>133.75</v>
      </c>
    </row>
    <row r="96" spans="2:26" x14ac:dyDescent="0.25">
      <c r="B96" s="251" t="s">
        <v>260</v>
      </c>
      <c r="C96" s="252">
        <v>1</v>
      </c>
      <c r="D96" s="121">
        <v>4</v>
      </c>
      <c r="E96" s="121">
        <v>7</v>
      </c>
      <c r="F96" s="120">
        <v>7</v>
      </c>
      <c r="G96" s="120">
        <v>7</v>
      </c>
      <c r="H96" s="120">
        <v>8</v>
      </c>
      <c r="I96" s="120">
        <v>8</v>
      </c>
      <c r="J96" s="120">
        <v>8</v>
      </c>
      <c r="K96" s="120">
        <v>8</v>
      </c>
      <c r="L96" s="120">
        <v>8</v>
      </c>
      <c r="M96" s="120">
        <v>8</v>
      </c>
      <c r="N96" s="120">
        <v>8</v>
      </c>
      <c r="O96" s="120">
        <f t="shared" si="0"/>
        <v>4</v>
      </c>
      <c r="P96" s="250">
        <f>D$70+(O96-D96)/(E96-D96)*(E$70-D$70)</f>
        <v>122</v>
      </c>
      <c r="R96" s="120">
        <v>0</v>
      </c>
      <c r="S96" s="120">
        <v>1</v>
      </c>
      <c r="T96" s="120">
        <v>4</v>
      </c>
      <c r="U96" s="120">
        <v>7</v>
      </c>
      <c r="V96" s="120">
        <v>8</v>
      </c>
      <c r="W96" s="120">
        <v>8</v>
      </c>
      <c r="X96" s="120">
        <v>8</v>
      </c>
      <c r="Y96" s="120">
        <f t="shared" si="1"/>
        <v>4</v>
      </c>
      <c r="Z96" s="250">
        <f>T$70+(Y96-T96)/(U96-T96)*(U$70-T$70)</f>
        <v>133</v>
      </c>
    </row>
    <row r="97" spans="2:26" x14ac:dyDescent="0.25">
      <c r="B97" s="251" t="s">
        <v>259</v>
      </c>
      <c r="C97" s="252">
        <v>1</v>
      </c>
      <c r="D97" s="121">
        <v>7</v>
      </c>
      <c r="E97" s="121">
        <v>9</v>
      </c>
      <c r="F97" s="120">
        <v>9</v>
      </c>
      <c r="G97" s="120">
        <v>9</v>
      </c>
      <c r="I97" s="120">
        <v>9</v>
      </c>
      <c r="J97" s="120">
        <v>9</v>
      </c>
      <c r="K97" s="120">
        <v>9</v>
      </c>
      <c r="L97" s="120">
        <v>9</v>
      </c>
      <c r="M97" s="120">
        <v>9</v>
      </c>
      <c r="N97" s="120">
        <v>9</v>
      </c>
      <c r="O97" s="120">
        <f t="shared" si="0"/>
        <v>4.5</v>
      </c>
      <c r="P97" s="250">
        <f>C$70+(O97-C97)/(D97-C97)*(D$70-C$70)</f>
        <v>120.75</v>
      </c>
      <c r="R97" s="120">
        <v>0</v>
      </c>
      <c r="S97" s="120">
        <v>2</v>
      </c>
      <c r="T97" s="120">
        <v>6</v>
      </c>
      <c r="U97" s="120">
        <v>8</v>
      </c>
      <c r="V97" s="120">
        <v>9</v>
      </c>
      <c r="W97" s="120">
        <v>9</v>
      </c>
      <c r="X97" s="120">
        <v>9</v>
      </c>
      <c r="Y97" s="120">
        <f t="shared" si="1"/>
        <v>4.5</v>
      </c>
      <c r="Z97" s="250">
        <f>S$70+(Y97-S97)/(T97-S97)*(T$70-S$70)</f>
        <v>131.875</v>
      </c>
    </row>
    <row r="98" spans="2:26" x14ac:dyDescent="0.25">
      <c r="B98" s="251" t="s">
        <v>258</v>
      </c>
      <c r="C98" s="252">
        <v>1</v>
      </c>
      <c r="D98" s="121">
        <v>5</v>
      </c>
      <c r="E98" s="121">
        <v>6</v>
      </c>
      <c r="F98" s="120">
        <v>6</v>
      </c>
      <c r="G98" s="120">
        <v>7</v>
      </c>
      <c r="H98" s="120">
        <v>9</v>
      </c>
      <c r="I98" s="120">
        <v>9</v>
      </c>
      <c r="J98" s="120">
        <v>9</v>
      </c>
      <c r="K98" s="120">
        <v>9</v>
      </c>
      <c r="L98" s="120">
        <v>9</v>
      </c>
      <c r="M98" s="120">
        <v>9</v>
      </c>
      <c r="N98" s="120">
        <v>9</v>
      </c>
      <c r="O98" s="120">
        <f t="shared" si="0"/>
        <v>4.5</v>
      </c>
      <c r="P98" s="250">
        <f>C$70+(O98-C98)/(D98-C98)*(D$70-C$70)</f>
        <v>121.625</v>
      </c>
      <c r="R98" s="120">
        <v>0</v>
      </c>
      <c r="S98" s="120">
        <v>1</v>
      </c>
      <c r="T98" s="120">
        <v>3</v>
      </c>
      <c r="U98" s="120">
        <v>6</v>
      </c>
      <c r="V98" s="120">
        <v>7</v>
      </c>
      <c r="W98" s="120">
        <v>7</v>
      </c>
      <c r="X98" s="120">
        <v>9</v>
      </c>
      <c r="Y98" s="120">
        <f t="shared" si="1"/>
        <v>4.5</v>
      </c>
      <c r="Z98" s="250">
        <f>T$70+(Y98-T98)/(U98-T98)*(U$70-T$70)</f>
        <v>134.5</v>
      </c>
    </row>
    <row r="99" spans="2:26" x14ac:dyDescent="0.25">
      <c r="B99" s="121" t="s">
        <v>257</v>
      </c>
      <c r="C99" s="252">
        <v>0</v>
      </c>
      <c r="D99" s="121">
        <v>3</v>
      </c>
      <c r="E99" s="121">
        <v>4</v>
      </c>
      <c r="F99" s="120">
        <v>4</v>
      </c>
      <c r="G99" s="120">
        <v>5</v>
      </c>
      <c r="H99" s="120">
        <v>7</v>
      </c>
      <c r="I99" s="120">
        <v>8</v>
      </c>
      <c r="J99" s="120">
        <v>8</v>
      </c>
      <c r="K99" s="120">
        <v>8</v>
      </c>
      <c r="L99" s="120">
        <v>8</v>
      </c>
      <c r="M99" s="120">
        <v>8</v>
      </c>
      <c r="N99" s="120">
        <v>8</v>
      </c>
      <c r="O99" s="120">
        <f t="shared" si="0"/>
        <v>4</v>
      </c>
      <c r="P99" s="250">
        <f>D$70+(O99-D99)/(E99-D99)*(E$70-D$70)</f>
        <v>123</v>
      </c>
      <c r="R99" s="120">
        <v>0</v>
      </c>
      <c r="S99" s="120">
        <v>0</v>
      </c>
      <c r="T99" s="120">
        <v>1</v>
      </c>
      <c r="U99" s="120">
        <v>3</v>
      </c>
      <c r="V99" s="120">
        <v>5</v>
      </c>
      <c r="W99" s="120">
        <v>5</v>
      </c>
      <c r="X99" s="120">
        <v>7</v>
      </c>
      <c r="Y99" s="120">
        <f t="shared" si="1"/>
        <v>3.5</v>
      </c>
      <c r="Z99" s="250">
        <f>U$70+(Y99-U99)/(V99-U99)*(V$70-U$70)</f>
        <v>136.75</v>
      </c>
    </row>
    <row r="100" spans="2:26" x14ac:dyDescent="0.25">
      <c r="B100" s="121" t="s">
        <v>256</v>
      </c>
      <c r="C100" s="252">
        <v>0</v>
      </c>
      <c r="D100" s="121">
        <v>4</v>
      </c>
      <c r="E100" s="121">
        <v>6</v>
      </c>
      <c r="F100" s="120">
        <v>6</v>
      </c>
      <c r="G100" s="120">
        <v>6</v>
      </c>
      <c r="H100" s="120">
        <v>8</v>
      </c>
      <c r="I100" s="120">
        <v>8</v>
      </c>
      <c r="J100" s="120">
        <v>9</v>
      </c>
      <c r="K100" s="120">
        <v>9</v>
      </c>
      <c r="L100" s="120">
        <v>9</v>
      </c>
      <c r="M100" s="120">
        <v>9</v>
      </c>
      <c r="N100" s="120">
        <v>9</v>
      </c>
      <c r="O100" s="120">
        <f t="shared" si="0"/>
        <v>4.5</v>
      </c>
      <c r="P100" s="250">
        <f>D$70+(O100-D100)/(E100-D100)*(E$70-D$70)</f>
        <v>122.25</v>
      </c>
      <c r="R100" s="120">
        <v>0</v>
      </c>
      <c r="S100" s="120">
        <v>0</v>
      </c>
      <c r="T100" s="120">
        <v>2</v>
      </c>
      <c r="U100" s="120">
        <v>6</v>
      </c>
      <c r="V100" s="120">
        <v>7</v>
      </c>
      <c r="W100" s="120">
        <v>7</v>
      </c>
      <c r="X100" s="120">
        <v>9</v>
      </c>
      <c r="Y100" s="120">
        <f t="shared" si="1"/>
        <v>4.5</v>
      </c>
      <c r="Z100" s="250">
        <f>T$70+(Y100-T100)/(U100-T100)*(U$70-T$70)</f>
        <v>134.875</v>
      </c>
    </row>
    <row r="101" spans="2:26" x14ac:dyDescent="0.25">
      <c r="B101" s="121" t="s">
        <v>255</v>
      </c>
      <c r="C101" s="252">
        <v>0</v>
      </c>
      <c r="D101" s="121">
        <v>2</v>
      </c>
      <c r="E101" s="121">
        <v>4</v>
      </c>
      <c r="F101" s="120">
        <v>4</v>
      </c>
      <c r="G101" s="120">
        <v>5</v>
      </c>
      <c r="H101" s="120">
        <v>7</v>
      </c>
      <c r="I101" s="120">
        <v>7</v>
      </c>
      <c r="J101" s="120">
        <v>7</v>
      </c>
      <c r="K101" s="120">
        <v>7</v>
      </c>
      <c r="L101" s="120">
        <v>7</v>
      </c>
      <c r="M101" s="120">
        <v>7</v>
      </c>
      <c r="N101" s="120">
        <v>7</v>
      </c>
      <c r="O101" s="120">
        <f t="shared" si="0"/>
        <v>3.5</v>
      </c>
      <c r="P101" s="250">
        <f>D$70+(O101-D101)/(E101-D101)*(E$70-D$70)</f>
        <v>122.75</v>
      </c>
      <c r="R101" s="120">
        <v>0</v>
      </c>
      <c r="S101" s="120">
        <v>0</v>
      </c>
      <c r="T101" s="120">
        <v>2</v>
      </c>
      <c r="U101" s="120">
        <v>4</v>
      </c>
      <c r="V101" s="120">
        <v>4</v>
      </c>
      <c r="W101" s="120">
        <v>4</v>
      </c>
      <c r="X101" s="120">
        <v>6</v>
      </c>
      <c r="Y101" s="120">
        <f t="shared" si="1"/>
        <v>3</v>
      </c>
      <c r="Z101" s="250">
        <f>T$70+(Y101-T101)/(U101-T101)*(U$70-T$70)</f>
        <v>134.5</v>
      </c>
    </row>
    <row r="102" spans="2:26" x14ac:dyDescent="0.25">
      <c r="B102" s="121" t="s">
        <v>254</v>
      </c>
      <c r="C102" s="252">
        <v>0</v>
      </c>
      <c r="D102" s="121">
        <v>2</v>
      </c>
      <c r="E102" s="121">
        <v>2</v>
      </c>
      <c r="F102" s="120">
        <v>3</v>
      </c>
      <c r="G102" s="120">
        <v>5</v>
      </c>
      <c r="H102" s="120">
        <v>7</v>
      </c>
      <c r="I102" s="120">
        <v>7</v>
      </c>
      <c r="J102" s="120">
        <v>7</v>
      </c>
      <c r="K102" s="120">
        <v>7</v>
      </c>
      <c r="L102" s="120">
        <v>7</v>
      </c>
      <c r="M102" s="120">
        <v>7</v>
      </c>
      <c r="N102" s="120">
        <v>7</v>
      </c>
      <c r="O102" s="120">
        <f t="shared" si="0"/>
        <v>3.5</v>
      </c>
      <c r="P102" s="250">
        <f>F$70+(O102-F102)/(G102-F102)*(G$70-F$70)</f>
        <v>124.25</v>
      </c>
      <c r="R102" s="120">
        <v>0</v>
      </c>
      <c r="S102" s="120">
        <v>0</v>
      </c>
      <c r="T102" s="120">
        <v>1</v>
      </c>
      <c r="U102" s="120">
        <v>3</v>
      </c>
      <c r="V102" s="120">
        <v>4</v>
      </c>
      <c r="W102" s="120">
        <v>4</v>
      </c>
      <c r="X102" s="120">
        <v>5</v>
      </c>
      <c r="Y102" s="120">
        <f t="shared" si="1"/>
        <v>2.5</v>
      </c>
      <c r="Z102" s="250">
        <f>T$70+(Y102-T102)/(U102-T102)*(U$70-T$70)</f>
        <v>135.25</v>
      </c>
    </row>
    <row r="103" spans="2:26" x14ac:dyDescent="0.25">
      <c r="B103" s="121" t="s">
        <v>253</v>
      </c>
      <c r="C103" s="252">
        <v>0</v>
      </c>
      <c r="D103" s="121">
        <v>0</v>
      </c>
      <c r="E103" s="121">
        <v>1</v>
      </c>
      <c r="F103" s="120">
        <v>1</v>
      </c>
      <c r="G103" s="120">
        <v>2</v>
      </c>
      <c r="H103" s="120">
        <v>4</v>
      </c>
      <c r="I103" s="120">
        <v>4</v>
      </c>
      <c r="J103" s="120">
        <v>5</v>
      </c>
      <c r="K103" s="120">
        <v>5</v>
      </c>
      <c r="M103" s="120">
        <v>4</v>
      </c>
      <c r="N103" s="120">
        <v>4</v>
      </c>
      <c r="O103" s="120">
        <f t="shared" si="0"/>
        <v>2</v>
      </c>
      <c r="P103" s="250">
        <f>F$70+(O103-F103)/(G103-F103)*(G$70-F$70)</f>
        <v>125</v>
      </c>
      <c r="R103" s="120">
        <v>0</v>
      </c>
      <c r="S103" s="120">
        <v>0</v>
      </c>
      <c r="T103" s="120">
        <v>0</v>
      </c>
      <c r="U103" s="120">
        <v>1</v>
      </c>
      <c r="W103" s="120">
        <v>1</v>
      </c>
      <c r="X103" s="120">
        <v>2</v>
      </c>
      <c r="Y103" s="120">
        <f t="shared" si="1"/>
        <v>1</v>
      </c>
      <c r="Z103" s="250">
        <f>T$70+(Y103-T103)/(U103-T103)*(U$70-T$70)</f>
        <v>136</v>
      </c>
    </row>
    <row r="104" spans="2:26" x14ac:dyDescent="0.25">
      <c r="B104" s="121" t="s">
        <v>251</v>
      </c>
      <c r="C104" s="252">
        <v>0</v>
      </c>
      <c r="D104" s="121">
        <v>1</v>
      </c>
      <c r="E104" s="121">
        <v>4</v>
      </c>
      <c r="F104" s="120">
        <v>4</v>
      </c>
      <c r="G104" s="120">
        <v>6</v>
      </c>
      <c r="H104" s="120">
        <v>7</v>
      </c>
      <c r="I104" s="120">
        <v>7</v>
      </c>
      <c r="J104" s="120">
        <v>7</v>
      </c>
      <c r="K104" s="120">
        <v>7</v>
      </c>
      <c r="M104" s="120">
        <v>7</v>
      </c>
      <c r="N104" s="120">
        <v>7</v>
      </c>
      <c r="O104" s="120">
        <f t="shared" si="0"/>
        <v>3.5</v>
      </c>
      <c r="P104" s="250">
        <f>D$70+(O104-D104)/(E104-D104)*(E$70-D$70)</f>
        <v>122.83333333333333</v>
      </c>
      <c r="R104" s="120">
        <v>0</v>
      </c>
      <c r="S104" s="120">
        <v>0</v>
      </c>
      <c r="T104" s="120">
        <v>2</v>
      </c>
      <c r="U104" s="120">
        <v>4</v>
      </c>
      <c r="W104" s="120">
        <v>5</v>
      </c>
      <c r="X104" s="120">
        <v>6</v>
      </c>
      <c r="Y104" s="120">
        <f t="shared" si="1"/>
        <v>3</v>
      </c>
      <c r="Z104" s="250">
        <f>T$70+(Y104-T104)/(U104-T104)*(U$70-T$70)</f>
        <v>134.5</v>
      </c>
    </row>
    <row r="105" spans="2:26" x14ac:dyDescent="0.25">
      <c r="B105" s="121" t="s">
        <v>250</v>
      </c>
      <c r="C105" s="252">
        <v>0</v>
      </c>
      <c r="D105" s="121">
        <v>1</v>
      </c>
      <c r="E105" s="121">
        <v>2</v>
      </c>
      <c r="F105" s="120">
        <v>2</v>
      </c>
      <c r="G105" s="120">
        <v>3</v>
      </c>
      <c r="H105" s="120">
        <v>8</v>
      </c>
      <c r="I105" s="120">
        <v>8</v>
      </c>
      <c r="J105" s="120">
        <v>8</v>
      </c>
      <c r="K105" s="120">
        <v>8</v>
      </c>
      <c r="M105" s="120">
        <v>8</v>
      </c>
      <c r="N105" s="120">
        <v>8</v>
      </c>
      <c r="O105" s="120">
        <f t="shared" si="0"/>
        <v>4</v>
      </c>
      <c r="P105" s="250">
        <f>G$70+(O105-G105)/(H105-G105)*(H$70-G$70)</f>
        <v>125.8</v>
      </c>
      <c r="R105" s="120">
        <v>0</v>
      </c>
      <c r="S105" s="120">
        <v>0</v>
      </c>
      <c r="T105" s="120">
        <v>1</v>
      </c>
      <c r="U105" s="120">
        <v>3</v>
      </c>
      <c r="W105" s="120">
        <v>3</v>
      </c>
      <c r="X105" s="120">
        <v>5</v>
      </c>
      <c r="Y105" s="120">
        <f t="shared" si="1"/>
        <v>2.5</v>
      </c>
      <c r="Z105" s="250">
        <f>T$70+(Y105-T105)/(U105-T105)*(U$70-T$70)</f>
        <v>135.25</v>
      </c>
    </row>
    <row r="106" spans="2:26" x14ac:dyDescent="0.25">
      <c r="B106" s="121" t="s">
        <v>249</v>
      </c>
      <c r="C106" s="252">
        <v>0</v>
      </c>
      <c r="D106" s="121">
        <v>3</v>
      </c>
      <c r="E106" s="121">
        <v>5</v>
      </c>
      <c r="F106" s="120">
        <v>6</v>
      </c>
      <c r="G106" s="120">
        <v>6</v>
      </c>
      <c r="H106" s="120">
        <v>7</v>
      </c>
      <c r="I106" s="120">
        <v>8</v>
      </c>
      <c r="J106" s="120">
        <v>8</v>
      </c>
      <c r="K106" s="120">
        <v>8</v>
      </c>
      <c r="M106" s="120">
        <v>7</v>
      </c>
      <c r="N106" s="120">
        <v>7</v>
      </c>
      <c r="O106" s="120">
        <f t="shared" si="0"/>
        <v>3.5</v>
      </c>
      <c r="P106" s="250">
        <f>D$70+(O106-D106)/(E106-D106)*(E$70-D$70)</f>
        <v>122.25</v>
      </c>
      <c r="R106" s="120">
        <v>0</v>
      </c>
      <c r="S106" s="120">
        <v>0</v>
      </c>
      <c r="T106" s="120">
        <v>2</v>
      </c>
      <c r="U106" s="120">
        <v>3</v>
      </c>
      <c r="W106" s="120">
        <v>6</v>
      </c>
      <c r="X106" s="120">
        <v>7</v>
      </c>
      <c r="Y106" s="120">
        <f t="shared" si="1"/>
        <v>3.5</v>
      </c>
      <c r="Z106" s="250">
        <f>U$70+(Y106-U106)/(W106-U106)*(W$70-U$70)</f>
        <v>137.16666666666666</v>
      </c>
    </row>
    <row r="107" spans="2:26" x14ac:dyDescent="0.25">
      <c r="B107" s="251" t="s">
        <v>248</v>
      </c>
      <c r="C107" s="252">
        <v>1</v>
      </c>
      <c r="D107" s="121">
        <v>4</v>
      </c>
      <c r="E107" s="121">
        <v>5</v>
      </c>
      <c r="F107" s="120">
        <v>5</v>
      </c>
      <c r="G107" s="120">
        <v>5</v>
      </c>
      <c r="H107" s="120">
        <v>6</v>
      </c>
      <c r="I107" s="120">
        <v>6</v>
      </c>
      <c r="J107" s="120">
        <v>6</v>
      </c>
      <c r="K107" s="120">
        <v>6</v>
      </c>
      <c r="M107" s="120">
        <v>6</v>
      </c>
      <c r="N107" s="120">
        <v>6</v>
      </c>
      <c r="O107" s="120">
        <f t="shared" si="0"/>
        <v>3</v>
      </c>
      <c r="P107" s="250">
        <f>C$70+(O107-C107)/(D107-C107)*(D$70-C$70)</f>
        <v>121</v>
      </c>
      <c r="R107" s="120">
        <v>0</v>
      </c>
      <c r="S107" s="120">
        <v>1</v>
      </c>
      <c r="T107" s="120">
        <v>3</v>
      </c>
      <c r="U107" s="120">
        <v>5</v>
      </c>
      <c r="W107" s="120">
        <v>6</v>
      </c>
      <c r="X107" s="120">
        <v>6</v>
      </c>
      <c r="Y107" s="120">
        <f t="shared" si="1"/>
        <v>3</v>
      </c>
      <c r="Z107" s="250">
        <f>T$70+(Y107-T107)/(U107-T107)*(U$70-T$70)</f>
        <v>133</v>
      </c>
    </row>
    <row r="108" spans="2:26" x14ac:dyDescent="0.25">
      <c r="B108" s="251" t="s">
        <v>247</v>
      </c>
      <c r="C108" s="252">
        <v>1</v>
      </c>
      <c r="D108" s="121">
        <v>4</v>
      </c>
      <c r="E108" s="121">
        <v>9</v>
      </c>
      <c r="F108" s="120">
        <v>9</v>
      </c>
      <c r="G108" s="120">
        <v>9</v>
      </c>
      <c r="H108" s="120">
        <v>11</v>
      </c>
      <c r="I108" s="120">
        <v>11</v>
      </c>
      <c r="J108" s="120">
        <v>11</v>
      </c>
      <c r="K108" s="120">
        <v>11</v>
      </c>
      <c r="M108" s="120">
        <v>11</v>
      </c>
      <c r="N108" s="120">
        <v>11</v>
      </c>
      <c r="O108" s="120">
        <f t="shared" si="0"/>
        <v>5.5</v>
      </c>
      <c r="P108" s="250">
        <f>D$70+(O108-D108)/(E108-D108)*(E$70-D$70)</f>
        <v>122.3</v>
      </c>
      <c r="R108" s="120">
        <v>0</v>
      </c>
      <c r="S108" s="120">
        <v>2</v>
      </c>
      <c r="T108" s="120">
        <v>5</v>
      </c>
      <c r="U108" s="120">
        <v>8</v>
      </c>
      <c r="W108" s="120">
        <v>11</v>
      </c>
      <c r="X108" s="120">
        <v>11</v>
      </c>
      <c r="Y108" s="120">
        <f t="shared" si="1"/>
        <v>5.5</v>
      </c>
      <c r="Z108" s="250">
        <f>T$70+(Y108-T108)/(U108-T108)*(U$70-T$70)</f>
        <v>133.5</v>
      </c>
    </row>
    <row r="109" spans="2:26" x14ac:dyDescent="0.25">
      <c r="B109" s="251" t="s">
        <v>246</v>
      </c>
      <c r="C109" s="252">
        <v>1</v>
      </c>
      <c r="D109" s="121">
        <v>5</v>
      </c>
      <c r="E109" s="121">
        <v>5</v>
      </c>
      <c r="F109" s="120">
        <v>5</v>
      </c>
      <c r="G109" s="120">
        <v>6</v>
      </c>
      <c r="H109" s="120">
        <v>9</v>
      </c>
      <c r="I109" s="120">
        <v>9</v>
      </c>
      <c r="J109" s="120">
        <v>9</v>
      </c>
      <c r="K109" s="120">
        <v>9</v>
      </c>
      <c r="M109" s="120">
        <v>9</v>
      </c>
      <c r="N109" s="120">
        <v>9</v>
      </c>
      <c r="O109" s="120">
        <f t="shared" si="0"/>
        <v>4.5</v>
      </c>
      <c r="P109" s="250">
        <f>C$70+(O109-C109)/(D109-C109)*(D$70-C$70)</f>
        <v>121.625</v>
      </c>
      <c r="R109" s="120">
        <v>1</v>
      </c>
      <c r="S109" s="120">
        <v>0</v>
      </c>
      <c r="T109" s="120">
        <v>2</v>
      </c>
      <c r="U109" s="120">
        <v>5</v>
      </c>
      <c r="W109" s="120">
        <v>7</v>
      </c>
      <c r="X109" s="120">
        <v>9</v>
      </c>
      <c r="Y109" s="120">
        <f t="shared" si="1"/>
        <v>4.5</v>
      </c>
      <c r="Z109" s="250">
        <f>T$70+(Y109-T109)/(U109-T109)*(U$70-T$70)</f>
        <v>135.5</v>
      </c>
    </row>
    <row r="110" spans="2:26" x14ac:dyDescent="0.25">
      <c r="B110" s="251" t="s">
        <v>245</v>
      </c>
      <c r="C110" s="252">
        <v>1</v>
      </c>
      <c r="D110" s="121">
        <v>5</v>
      </c>
      <c r="E110" s="121">
        <v>8</v>
      </c>
      <c r="F110" s="120">
        <v>8</v>
      </c>
      <c r="G110" s="120">
        <v>8</v>
      </c>
      <c r="H110" s="120">
        <v>9</v>
      </c>
      <c r="I110" s="120">
        <v>9</v>
      </c>
      <c r="J110" s="120">
        <v>10</v>
      </c>
      <c r="K110" s="120">
        <v>10</v>
      </c>
      <c r="M110" s="120">
        <v>10</v>
      </c>
      <c r="N110" s="120">
        <v>10</v>
      </c>
      <c r="O110" s="120">
        <f t="shared" si="0"/>
        <v>5</v>
      </c>
      <c r="P110" s="250">
        <f>D$70+(O110-D110)/(E110-D110)*(E$70-D$70)</f>
        <v>122</v>
      </c>
      <c r="R110" s="120">
        <v>1</v>
      </c>
      <c r="S110" s="120">
        <v>1</v>
      </c>
      <c r="T110" s="120">
        <v>4</v>
      </c>
      <c r="U110" s="120">
        <v>7</v>
      </c>
      <c r="W110" s="120">
        <v>9</v>
      </c>
      <c r="X110" s="120">
        <v>10</v>
      </c>
      <c r="Y110" s="120">
        <f t="shared" si="1"/>
        <v>5</v>
      </c>
      <c r="Z110" s="250">
        <f>T$70+(Y110-T110)/(U110-T110)*(U$70-T$70)</f>
        <v>134</v>
      </c>
    </row>
    <row r="111" spans="2:26" x14ac:dyDescent="0.25">
      <c r="B111" s="251" t="s">
        <v>244</v>
      </c>
      <c r="C111" s="252">
        <v>1</v>
      </c>
      <c r="D111" s="121">
        <v>4</v>
      </c>
      <c r="E111" s="121">
        <v>6</v>
      </c>
      <c r="F111" s="120">
        <v>6</v>
      </c>
      <c r="G111" s="120">
        <v>6</v>
      </c>
      <c r="H111" s="120">
        <v>9</v>
      </c>
      <c r="I111" s="120">
        <v>9</v>
      </c>
      <c r="J111" s="120">
        <v>9</v>
      </c>
      <c r="K111" s="120">
        <v>9</v>
      </c>
      <c r="M111" s="120">
        <v>8</v>
      </c>
      <c r="N111" s="120">
        <v>8</v>
      </c>
      <c r="O111" s="120">
        <f t="shared" si="0"/>
        <v>4</v>
      </c>
      <c r="P111" s="250">
        <f>D$70+(O111-D111)/(E111-D111)*(E$70-D$70)</f>
        <v>122</v>
      </c>
      <c r="R111" s="120">
        <v>0</v>
      </c>
      <c r="S111" s="120">
        <v>2</v>
      </c>
      <c r="T111" s="120">
        <v>5</v>
      </c>
      <c r="U111" s="120">
        <v>8</v>
      </c>
      <c r="W111" s="120">
        <v>8</v>
      </c>
      <c r="X111" s="120">
        <v>8</v>
      </c>
      <c r="Y111" s="120">
        <f t="shared" si="1"/>
        <v>4</v>
      </c>
      <c r="Z111" s="250">
        <f>S$70+(Y111-S111)/(T111-S111)*(T$70-S$70)</f>
        <v>132</v>
      </c>
    </row>
    <row r="112" spans="2:26" x14ac:dyDescent="0.25">
      <c r="B112" s="251" t="s">
        <v>243</v>
      </c>
      <c r="C112" s="252">
        <v>1</v>
      </c>
      <c r="D112" s="121">
        <v>4</v>
      </c>
      <c r="E112" s="121">
        <v>5</v>
      </c>
      <c r="F112" s="120">
        <v>5</v>
      </c>
      <c r="G112" s="120">
        <v>5</v>
      </c>
      <c r="H112" s="120">
        <v>8</v>
      </c>
      <c r="I112" s="120">
        <v>9</v>
      </c>
      <c r="J112" s="120">
        <v>9</v>
      </c>
      <c r="K112" s="120">
        <v>9</v>
      </c>
      <c r="M112" s="120">
        <v>9</v>
      </c>
      <c r="N112" s="120">
        <v>7</v>
      </c>
      <c r="O112" s="120">
        <f t="shared" si="0"/>
        <v>3.5</v>
      </c>
      <c r="P112" s="250">
        <f>C$70+(O112-C112)/(D112-C112)*(D$70-C$70)</f>
        <v>121.5</v>
      </c>
      <c r="R112" s="120">
        <v>1</v>
      </c>
      <c r="S112" s="120">
        <v>2</v>
      </c>
      <c r="T112" s="120">
        <v>3</v>
      </c>
      <c r="U112" s="120">
        <v>6</v>
      </c>
      <c r="W112" s="120">
        <v>9</v>
      </c>
      <c r="X112" s="120">
        <v>9</v>
      </c>
      <c r="Y112" s="120">
        <f t="shared" si="1"/>
        <v>4.5</v>
      </c>
      <c r="Z112" s="250">
        <f>T$70+(Y112-T112)/(U112-T112)*(U$70-T$70)</f>
        <v>134.5</v>
      </c>
    </row>
    <row r="113" spans="2:26" x14ac:dyDescent="0.25">
      <c r="B113" s="251" t="s">
        <v>242</v>
      </c>
      <c r="C113" s="252">
        <v>1</v>
      </c>
      <c r="D113" s="121">
        <v>7</v>
      </c>
      <c r="E113" s="121">
        <v>9</v>
      </c>
      <c r="F113" s="120">
        <v>9</v>
      </c>
      <c r="G113" s="120">
        <v>9</v>
      </c>
      <c r="H113" s="120">
        <v>11</v>
      </c>
      <c r="I113" s="120">
        <v>11</v>
      </c>
      <c r="J113" s="120">
        <v>11</v>
      </c>
      <c r="K113" s="120">
        <v>11</v>
      </c>
      <c r="M113" s="120">
        <v>11</v>
      </c>
      <c r="N113" s="120">
        <v>11</v>
      </c>
      <c r="O113" s="120">
        <f t="shared" si="0"/>
        <v>5.5</v>
      </c>
      <c r="P113" s="250">
        <f>C$70+(O113-C113)/(D113-C113)*(D$70-C$70)</f>
        <v>121.25</v>
      </c>
      <c r="R113" s="120">
        <v>0</v>
      </c>
      <c r="S113" s="120">
        <v>1</v>
      </c>
      <c r="T113" s="120">
        <v>6</v>
      </c>
      <c r="U113" s="120">
        <v>7</v>
      </c>
      <c r="W113" s="120">
        <v>9</v>
      </c>
      <c r="X113" s="120">
        <v>10</v>
      </c>
      <c r="Y113" s="120">
        <f t="shared" si="1"/>
        <v>5</v>
      </c>
      <c r="Z113" s="250">
        <f>S$70+(Y113-S113)/(T113-S113)*(T$70-S$70)</f>
        <v>132.4</v>
      </c>
    </row>
    <row r="114" spans="2:26" x14ac:dyDescent="0.25">
      <c r="B114" s="251" t="s">
        <v>241</v>
      </c>
      <c r="C114" s="252">
        <v>1</v>
      </c>
      <c r="D114" s="121">
        <v>5</v>
      </c>
      <c r="E114" s="121">
        <v>8</v>
      </c>
      <c r="F114" s="120">
        <v>8</v>
      </c>
      <c r="G114" s="120">
        <v>8</v>
      </c>
      <c r="H114" s="120">
        <v>8</v>
      </c>
      <c r="I114" s="120">
        <v>8</v>
      </c>
      <c r="J114" s="120">
        <v>8</v>
      </c>
      <c r="K114" s="120">
        <v>7</v>
      </c>
      <c r="M114" s="120">
        <v>9</v>
      </c>
      <c r="N114" s="120">
        <v>9</v>
      </c>
      <c r="O114" s="120">
        <f t="shared" si="0"/>
        <v>4.5</v>
      </c>
      <c r="P114" s="250">
        <f>C$70+(O114-C114)/(D114-C114)*(D$70-C$70)</f>
        <v>121.625</v>
      </c>
      <c r="R114" s="120">
        <v>0</v>
      </c>
      <c r="S114" s="120">
        <v>1</v>
      </c>
      <c r="T114" s="120">
        <v>4</v>
      </c>
      <c r="U114" s="120">
        <v>6</v>
      </c>
      <c r="W114" s="120">
        <v>8</v>
      </c>
      <c r="X114" s="120">
        <v>9</v>
      </c>
      <c r="Y114" s="120">
        <f t="shared" si="1"/>
        <v>4.5</v>
      </c>
      <c r="Z114" s="250">
        <f>T$70+(Y114-T114)/(U114-T114)*(U$70-T$70)</f>
        <v>133.75</v>
      </c>
    </row>
    <row r="115" spans="2:26" x14ac:dyDescent="0.25">
      <c r="B115" s="121" t="s">
        <v>240</v>
      </c>
      <c r="C115" s="252">
        <v>0</v>
      </c>
      <c r="D115" s="121">
        <v>0</v>
      </c>
      <c r="E115" s="121">
        <v>2</v>
      </c>
      <c r="F115" s="120">
        <v>2</v>
      </c>
      <c r="G115" s="120">
        <v>3</v>
      </c>
      <c r="H115" s="120">
        <v>3</v>
      </c>
      <c r="I115" s="120">
        <v>3</v>
      </c>
      <c r="J115" s="120">
        <v>3</v>
      </c>
      <c r="K115" s="120">
        <v>3</v>
      </c>
      <c r="M115" s="120">
        <v>3</v>
      </c>
      <c r="N115" s="120">
        <v>3</v>
      </c>
      <c r="O115" s="120">
        <f t="shared" si="0"/>
        <v>1.5</v>
      </c>
      <c r="P115" s="250">
        <f>D$70+(O115-D115)/(E115-D115)*(E$70-D$70)</f>
        <v>122.75</v>
      </c>
      <c r="R115" s="120">
        <v>0</v>
      </c>
      <c r="S115" s="120">
        <v>0</v>
      </c>
      <c r="T115" s="120">
        <v>1</v>
      </c>
      <c r="U115" s="120">
        <v>1</v>
      </c>
      <c r="W115" s="120">
        <v>2</v>
      </c>
      <c r="X115" s="120">
        <v>3</v>
      </c>
      <c r="Y115" s="120">
        <f t="shared" si="1"/>
        <v>1.5</v>
      </c>
      <c r="Z115" s="250">
        <f>U$70+(Y115-U115)/(W115-U115)*(W$70-U$70)</f>
        <v>139.5</v>
      </c>
    </row>
    <row r="116" spans="2:26" x14ac:dyDescent="0.25">
      <c r="B116" s="121" t="s">
        <v>239</v>
      </c>
      <c r="C116" s="252">
        <v>0</v>
      </c>
      <c r="D116" s="121">
        <v>0</v>
      </c>
      <c r="E116" s="121">
        <v>0</v>
      </c>
      <c r="F116" s="120">
        <v>0</v>
      </c>
      <c r="G116" s="120">
        <v>1</v>
      </c>
      <c r="H116" s="120">
        <v>2</v>
      </c>
      <c r="I116" s="120">
        <v>2</v>
      </c>
      <c r="J116" s="120">
        <v>3</v>
      </c>
      <c r="K116" s="120">
        <v>2</v>
      </c>
      <c r="M116" s="120">
        <v>3</v>
      </c>
      <c r="N116" s="120">
        <v>3</v>
      </c>
      <c r="O116" s="120">
        <f t="shared" si="0"/>
        <v>1.5</v>
      </c>
      <c r="P116" s="250">
        <f>G$70+(O116-G116)/(H116-G116)*(H$70-G$70)</f>
        <v>127</v>
      </c>
      <c r="R116" s="120">
        <v>0</v>
      </c>
      <c r="S116" s="120">
        <v>0</v>
      </c>
      <c r="T116" s="120">
        <v>0</v>
      </c>
      <c r="U116" s="120">
        <v>0</v>
      </c>
      <c r="W116" s="120">
        <v>0</v>
      </c>
      <c r="X116" s="120">
        <v>1</v>
      </c>
      <c r="Y116" s="120">
        <f t="shared" si="1"/>
        <v>0.5</v>
      </c>
      <c r="Z116" s="250">
        <f>W$70+(Y116-W116)/(X116-W116)*(X$70-W$70)</f>
        <v>144.5</v>
      </c>
    </row>
    <row r="117" spans="2:26" x14ac:dyDescent="0.25">
      <c r="B117" s="121" t="s">
        <v>238</v>
      </c>
      <c r="C117" s="252">
        <v>0</v>
      </c>
      <c r="D117" s="121">
        <v>2</v>
      </c>
      <c r="E117" s="121">
        <v>4</v>
      </c>
      <c r="F117" s="120">
        <v>5</v>
      </c>
      <c r="G117" s="120">
        <v>5</v>
      </c>
      <c r="H117" s="120">
        <v>8</v>
      </c>
      <c r="I117" s="120">
        <v>8</v>
      </c>
      <c r="J117" s="120">
        <v>8</v>
      </c>
      <c r="K117" s="120">
        <v>8</v>
      </c>
      <c r="M117" s="120">
        <v>8</v>
      </c>
      <c r="N117" s="120">
        <v>8</v>
      </c>
      <c r="O117" s="120">
        <f t="shared" si="0"/>
        <v>4</v>
      </c>
      <c r="P117" s="250">
        <f>E$70+(O117-E117)/(F117-E117)*(F$70-E$70)</f>
        <v>123</v>
      </c>
      <c r="R117" s="120">
        <v>0</v>
      </c>
      <c r="S117" s="120">
        <v>1</v>
      </c>
      <c r="T117" s="120">
        <v>1</v>
      </c>
      <c r="U117" s="120">
        <v>3</v>
      </c>
      <c r="W117" s="120">
        <v>8</v>
      </c>
      <c r="X117" s="120">
        <v>8</v>
      </c>
      <c r="Y117" s="120">
        <f t="shared" si="1"/>
        <v>4</v>
      </c>
      <c r="Z117" s="250">
        <f>U$70+(Y117-U117)/(W117-U117)*(W$70-U$70)</f>
        <v>137.4</v>
      </c>
    </row>
    <row r="118" spans="2:26" x14ac:dyDescent="0.25">
      <c r="B118" s="121" t="s">
        <v>237</v>
      </c>
      <c r="C118" s="252">
        <v>0</v>
      </c>
      <c r="D118" s="121">
        <v>1</v>
      </c>
      <c r="E118" s="121">
        <v>4</v>
      </c>
      <c r="F118" s="120">
        <v>4</v>
      </c>
      <c r="G118" s="120">
        <v>4</v>
      </c>
      <c r="H118" s="120">
        <v>9</v>
      </c>
      <c r="I118" s="120">
        <v>9</v>
      </c>
      <c r="J118" s="120">
        <v>11</v>
      </c>
      <c r="K118" s="120">
        <v>11</v>
      </c>
      <c r="M118" s="120">
        <v>9</v>
      </c>
      <c r="N118" s="120">
        <v>9</v>
      </c>
      <c r="O118" s="120">
        <f t="shared" si="0"/>
        <v>4.5</v>
      </c>
      <c r="P118" s="250">
        <f>G$70+(O118-G118)/(H118-G118)*(H$70-G$70)</f>
        <v>125.4</v>
      </c>
      <c r="R118" s="120">
        <v>1</v>
      </c>
      <c r="S118" s="120">
        <v>1</v>
      </c>
      <c r="T118" s="120">
        <v>2</v>
      </c>
      <c r="U118" s="120">
        <v>3</v>
      </c>
      <c r="W118" s="120">
        <v>3</v>
      </c>
      <c r="X118" s="120">
        <v>5</v>
      </c>
      <c r="Y118" s="120">
        <f t="shared" si="1"/>
        <v>2.5</v>
      </c>
      <c r="Z118" s="250">
        <f>T$70+(Y118-T118)/(U118-T118)*(U$70-T$70)</f>
        <v>134.5</v>
      </c>
    </row>
  </sheetData>
  <mergeCells count="50">
    <mergeCell ref="S13:U13"/>
    <mergeCell ref="S14:T14"/>
    <mergeCell ref="P14:Q14"/>
    <mergeCell ref="M14:N14"/>
    <mergeCell ref="V13:X13"/>
    <mergeCell ref="V14:W14"/>
    <mergeCell ref="M11:O11"/>
    <mergeCell ref="M12:O12"/>
    <mergeCell ref="M13:O13"/>
    <mergeCell ref="P11:R11"/>
    <mergeCell ref="P12:R12"/>
    <mergeCell ref="P13:R13"/>
    <mergeCell ref="S11:U11"/>
    <mergeCell ref="S12:U12"/>
    <mergeCell ref="I13:J13"/>
    <mergeCell ref="I14:J14"/>
    <mergeCell ref="K13:L13"/>
    <mergeCell ref="K14:L14"/>
    <mergeCell ref="E11:F11"/>
    <mergeCell ref="E12:F12"/>
    <mergeCell ref="G12:H12"/>
    <mergeCell ref="G11:H11"/>
    <mergeCell ref="I11:J11"/>
    <mergeCell ref="I12:J12"/>
    <mergeCell ref="V11:X11"/>
    <mergeCell ref="V12:X12"/>
    <mergeCell ref="D16:D17"/>
    <mergeCell ref="K11:L11"/>
    <mergeCell ref="K12:L12"/>
    <mergeCell ref="E14:F14"/>
    <mergeCell ref="E13:F13"/>
    <mergeCell ref="G13:H13"/>
    <mergeCell ref="G14:H14"/>
    <mergeCell ref="AB14:AC14"/>
    <mergeCell ref="AE11:AG11"/>
    <mergeCell ref="AE14:AF14"/>
    <mergeCell ref="Y11:AA11"/>
    <mergeCell ref="AB11:AD11"/>
    <mergeCell ref="Y12:AA12"/>
    <mergeCell ref="AB12:AD12"/>
    <mergeCell ref="AH14:AI14"/>
    <mergeCell ref="Y48:AA63"/>
    <mergeCell ref="AH11:AJ11"/>
    <mergeCell ref="AE12:AG12"/>
    <mergeCell ref="AH12:AJ12"/>
    <mergeCell ref="AE13:AG13"/>
    <mergeCell ref="AH13:AJ13"/>
    <mergeCell ref="Y13:AA13"/>
    <mergeCell ref="AB13:AD13"/>
    <mergeCell ref="Y14:Z14"/>
  </mergeCells>
  <conditionalFormatting sqref="C16:D16 C17 C18:D63">
    <cfRule type="cellIs" dxfId="49" priority="1" operator="equal">
      <formula>"NG3195"</formula>
    </cfRule>
    <cfRule type="cellIs" dxfId="48" priority="2" operator="equal">
      <formula>"NG4936"</formula>
    </cfRule>
  </conditionalFormatting>
  <printOptions horizontalCentered="1"/>
  <pageMargins left="0.5" right="0.5" top="0.5" bottom="0.5" header="0" footer="0.25"/>
  <pageSetup scale="80" fitToHeight="2" orientation="portrait" r:id="rId1"/>
  <headerFooter>
    <oddFooter xml:space="preserve">&amp;R&amp;9smm - &amp;Z&amp;F&amp;P of &amp;N&amp;11
  </oddFooter>
  </headerFooter>
  <rowBreaks count="2" manualBreakCount="2">
    <brk id="31" max="16383" man="1"/>
    <brk id="47"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3EC5-11AB-44BF-855A-802254637785}">
  <dimension ref="A1:S34"/>
  <sheetViews>
    <sheetView topLeftCell="A8" zoomScale="115" zoomScaleNormal="115" zoomScaleSheetLayoutView="100" workbookViewId="0">
      <selection activeCell="I23" sqref="I23:M34"/>
    </sheetView>
  </sheetViews>
  <sheetFormatPr defaultRowHeight="12.75" x14ac:dyDescent="0.2"/>
  <cols>
    <col min="1" max="1" width="10.140625" customWidth="1"/>
    <col min="2" max="2" width="4.7109375" style="1" customWidth="1"/>
    <col min="3" max="3" width="2.7109375" style="2" customWidth="1"/>
    <col min="4" max="6" width="7.7109375" customWidth="1"/>
    <col min="7" max="7" width="9.140625" hidden="1" customWidth="1"/>
    <col min="8" max="8" width="3.85546875" customWidth="1"/>
    <col min="9" max="9" width="4.7109375" customWidth="1"/>
    <col min="10" max="10" width="2.7109375" customWidth="1"/>
    <col min="11" max="13" width="7.7109375" customWidth="1"/>
    <col min="14" max="14" width="9.140625" hidden="1" customWidth="1"/>
  </cols>
  <sheetData>
    <row r="1" spans="1:14" ht="15.75" x14ac:dyDescent="0.25">
      <c r="A1" s="6">
        <v>2022</v>
      </c>
      <c r="B1" s="8" t="s">
        <v>24</v>
      </c>
      <c r="C1" s="8"/>
      <c r="D1" s="8" t="s">
        <v>6</v>
      </c>
      <c r="I1" s="4" t="s">
        <v>8</v>
      </c>
      <c r="J1" s="275"/>
      <c r="K1" s="274" t="s">
        <v>353</v>
      </c>
    </row>
    <row r="2" spans="1:14" ht="6.6" customHeight="1" x14ac:dyDescent="0.25">
      <c r="A2" s="6"/>
      <c r="B2" s="7"/>
      <c r="C2" s="8"/>
      <c r="I2" s="4"/>
    </row>
    <row r="3" spans="1:14" x14ac:dyDescent="0.2">
      <c r="B3" s="5" t="s">
        <v>352</v>
      </c>
      <c r="I3" s="4" t="s">
        <v>13</v>
      </c>
      <c r="J3" t="s">
        <v>51</v>
      </c>
    </row>
    <row r="4" spans="1:14" ht="54.6" customHeight="1" x14ac:dyDescent="0.2">
      <c r="B4" s="273" t="s">
        <v>351</v>
      </c>
      <c r="C4" s="272"/>
      <c r="D4" s="272"/>
      <c r="E4" s="272"/>
      <c r="F4" s="272"/>
      <c r="G4" s="272"/>
      <c r="H4" s="272"/>
      <c r="I4" s="272"/>
      <c r="J4" s="272"/>
      <c r="K4" s="272"/>
      <c r="L4" s="272"/>
      <c r="M4" s="272"/>
    </row>
    <row r="5" spans="1:14" ht="40.15" customHeight="1" x14ac:dyDescent="0.2">
      <c r="B5" s="5"/>
      <c r="D5" s="271" t="s">
        <v>350</v>
      </c>
      <c r="E5" s="271" t="s">
        <v>31</v>
      </c>
      <c r="F5" s="271" t="s">
        <v>348</v>
      </c>
      <c r="G5" s="271"/>
      <c r="H5" s="3"/>
      <c r="I5" s="3"/>
      <c r="J5" s="271"/>
      <c r="K5" s="271" t="s">
        <v>350</v>
      </c>
      <c r="L5" s="271" t="s">
        <v>349</v>
      </c>
      <c r="M5" s="271" t="s">
        <v>348</v>
      </c>
    </row>
    <row r="6" spans="1:14" ht="22.15" customHeight="1" thickBot="1" x14ac:dyDescent="0.25">
      <c r="B6" s="267" t="s">
        <v>7</v>
      </c>
      <c r="C6" s="267"/>
      <c r="D6" s="269" t="s">
        <v>347</v>
      </c>
      <c r="E6" s="269" t="s">
        <v>347</v>
      </c>
      <c r="F6" s="269" t="s">
        <v>347</v>
      </c>
      <c r="G6" s="269" t="s">
        <v>346</v>
      </c>
      <c r="H6" s="268"/>
      <c r="I6" s="267" t="s">
        <v>7</v>
      </c>
      <c r="J6" s="267"/>
      <c r="K6" s="266" t="s">
        <v>347</v>
      </c>
      <c r="L6" s="266" t="s">
        <v>347</v>
      </c>
      <c r="M6" s="266" t="s">
        <v>347</v>
      </c>
      <c r="N6" s="266" t="s">
        <v>346</v>
      </c>
    </row>
    <row r="7" spans="1:14" ht="22.15" customHeight="1" x14ac:dyDescent="0.2">
      <c r="B7" s="11" t="s">
        <v>0</v>
      </c>
      <c r="C7" s="262">
        <v>1</v>
      </c>
      <c r="D7" s="67">
        <v>13</v>
      </c>
      <c r="E7" s="67">
        <v>12</v>
      </c>
      <c r="F7" s="67">
        <v>10</v>
      </c>
      <c r="G7" s="265">
        <f>(AVERAGE(D7:F7))/1.5</f>
        <v>7.7777777777777777</v>
      </c>
      <c r="I7" s="264" t="s">
        <v>3</v>
      </c>
      <c r="J7" s="263">
        <v>4</v>
      </c>
      <c r="K7" s="9">
        <v>8</v>
      </c>
      <c r="L7" s="9">
        <v>10</v>
      </c>
      <c r="M7" s="9">
        <v>9</v>
      </c>
      <c r="N7" s="261">
        <f>(AVERAGE(K7:M7))/1.5</f>
        <v>6</v>
      </c>
    </row>
    <row r="8" spans="1:14" ht="22.15" customHeight="1" x14ac:dyDescent="0.2">
      <c r="B8" s="259" t="s">
        <v>0</v>
      </c>
      <c r="C8" s="258">
        <v>2</v>
      </c>
      <c r="D8" s="260">
        <v>11</v>
      </c>
      <c r="E8" s="260">
        <v>11</v>
      </c>
      <c r="F8" s="260">
        <v>13</v>
      </c>
      <c r="G8" s="256">
        <f>(AVERAGE(D8:F8))/1.5</f>
        <v>7.7777777777777777</v>
      </c>
      <c r="I8" s="259" t="s">
        <v>3</v>
      </c>
      <c r="J8" s="258">
        <v>3</v>
      </c>
      <c r="K8" s="260">
        <v>10</v>
      </c>
      <c r="L8" s="260">
        <v>8</v>
      </c>
      <c r="M8" s="260">
        <v>11</v>
      </c>
      <c r="N8" s="256">
        <f>(AVERAGE(K8:M8))/1.5</f>
        <v>6.4444444444444438</v>
      </c>
    </row>
    <row r="9" spans="1:14" ht="22.15" customHeight="1" x14ac:dyDescent="0.2">
      <c r="B9" s="259" t="s">
        <v>0</v>
      </c>
      <c r="C9" s="258">
        <v>3</v>
      </c>
      <c r="D9" s="260">
        <v>15</v>
      </c>
      <c r="E9" s="260">
        <v>16</v>
      </c>
      <c r="F9" s="260">
        <v>12</v>
      </c>
      <c r="G9" s="256">
        <f>(AVERAGE(D9:F9))/1.5</f>
        <v>9.5555555555555554</v>
      </c>
      <c r="I9" s="259" t="s">
        <v>3</v>
      </c>
      <c r="J9" s="258">
        <v>2</v>
      </c>
      <c r="K9" s="260">
        <v>14</v>
      </c>
      <c r="L9" s="260">
        <v>13</v>
      </c>
      <c r="M9" s="260">
        <v>16</v>
      </c>
      <c r="N9" s="256">
        <f>(AVERAGE(K9:M9))/1.5</f>
        <v>9.5555555555555554</v>
      </c>
    </row>
    <row r="10" spans="1:14" ht="22.15" customHeight="1" thickBot="1" x14ac:dyDescent="0.25">
      <c r="B10" s="255" t="s">
        <v>0</v>
      </c>
      <c r="C10" s="254">
        <v>4</v>
      </c>
      <c r="D10" s="10">
        <v>14</v>
      </c>
      <c r="E10" s="10">
        <v>13</v>
      </c>
      <c r="F10" s="10">
        <v>15</v>
      </c>
      <c r="G10" s="253">
        <f>(AVERAGE(D10:F10))/1.5</f>
        <v>9.3333333333333339</v>
      </c>
      <c r="I10" s="255" t="s">
        <v>3</v>
      </c>
      <c r="J10" s="254">
        <v>1</v>
      </c>
      <c r="K10" s="10">
        <v>10</v>
      </c>
      <c r="L10" s="10">
        <v>12</v>
      </c>
      <c r="M10" s="10">
        <v>12</v>
      </c>
      <c r="N10" s="253">
        <f>(AVERAGE(K10:M10))/1.5</f>
        <v>7.5555555555555562</v>
      </c>
    </row>
    <row r="11" spans="1:14" ht="22.15" customHeight="1" x14ac:dyDescent="0.2">
      <c r="B11" s="11" t="s">
        <v>1</v>
      </c>
      <c r="C11" s="262">
        <v>4</v>
      </c>
      <c r="D11" s="9">
        <v>13</v>
      </c>
      <c r="E11" s="9">
        <v>12</v>
      </c>
      <c r="F11" s="9">
        <v>14</v>
      </c>
      <c r="G11" s="261">
        <f>(AVERAGE(D11:F11))/1.5</f>
        <v>8.6666666666666661</v>
      </c>
      <c r="I11" s="11" t="s">
        <v>4</v>
      </c>
      <c r="J11" s="262">
        <v>1</v>
      </c>
      <c r="K11" s="9">
        <v>13</v>
      </c>
      <c r="L11" s="9">
        <v>15</v>
      </c>
      <c r="M11" s="9">
        <v>14</v>
      </c>
      <c r="N11" s="261">
        <f>(AVERAGE(K11:M11))/1.5</f>
        <v>9.3333333333333339</v>
      </c>
    </row>
    <row r="12" spans="1:14" ht="22.15" customHeight="1" x14ac:dyDescent="0.2">
      <c r="B12" s="259" t="s">
        <v>1</v>
      </c>
      <c r="C12" s="258">
        <v>3</v>
      </c>
      <c r="D12" s="260">
        <v>13</v>
      </c>
      <c r="E12" s="260">
        <v>13</v>
      </c>
      <c r="F12" s="260">
        <v>11</v>
      </c>
      <c r="G12" s="256">
        <f>(AVERAGE(D12:F12))/1.5</f>
        <v>8.2222222222222232</v>
      </c>
      <c r="I12" s="259" t="s">
        <v>4</v>
      </c>
      <c r="J12" s="258">
        <v>2</v>
      </c>
      <c r="K12" s="260">
        <v>15</v>
      </c>
      <c r="L12" s="260">
        <v>18</v>
      </c>
      <c r="M12" s="260">
        <v>12</v>
      </c>
      <c r="N12" s="256">
        <f>(AVERAGE(K12:M12))/1.5</f>
        <v>10</v>
      </c>
    </row>
    <row r="13" spans="1:14" ht="22.15" customHeight="1" x14ac:dyDescent="0.2">
      <c r="B13" s="259" t="s">
        <v>1</v>
      </c>
      <c r="C13" s="258">
        <v>2</v>
      </c>
      <c r="D13" s="260">
        <v>12</v>
      </c>
      <c r="E13" s="260">
        <v>10</v>
      </c>
      <c r="F13" s="260">
        <v>13</v>
      </c>
      <c r="G13" s="256">
        <f>(AVERAGE(D13:F13))/1.5</f>
        <v>7.7777777777777777</v>
      </c>
      <c r="I13" s="259" t="s">
        <v>4</v>
      </c>
      <c r="J13" s="258">
        <v>3</v>
      </c>
      <c r="K13" s="260">
        <v>14</v>
      </c>
      <c r="L13" s="260">
        <v>14</v>
      </c>
      <c r="M13" s="260">
        <v>13</v>
      </c>
      <c r="N13" s="256">
        <f>(AVERAGE(K13:M13))/1.5</f>
        <v>9.1111111111111107</v>
      </c>
    </row>
    <row r="14" spans="1:14" ht="22.15" customHeight="1" thickBot="1" x14ac:dyDescent="0.25">
      <c r="B14" s="255" t="s">
        <v>1</v>
      </c>
      <c r="C14" s="254">
        <v>1</v>
      </c>
      <c r="D14" s="10">
        <v>13</v>
      </c>
      <c r="E14" s="10">
        <v>11</v>
      </c>
      <c r="F14" s="10">
        <v>14</v>
      </c>
      <c r="G14" s="253">
        <f>(AVERAGE(D14:F14))/1.5</f>
        <v>8.4444444444444446</v>
      </c>
      <c r="I14" s="255" t="s">
        <v>4</v>
      </c>
      <c r="J14" s="254">
        <v>4</v>
      </c>
      <c r="K14" s="10">
        <v>13</v>
      </c>
      <c r="L14" s="10">
        <v>12</v>
      </c>
      <c r="M14" s="10">
        <v>11</v>
      </c>
      <c r="N14" s="253">
        <f>(AVERAGE(K14:M14))/1.5</f>
        <v>8</v>
      </c>
    </row>
    <row r="15" spans="1:14" ht="22.15" customHeight="1" x14ac:dyDescent="0.2">
      <c r="B15" s="11" t="s">
        <v>2</v>
      </c>
      <c r="C15" s="262">
        <v>1</v>
      </c>
      <c r="D15" s="9">
        <v>12</v>
      </c>
      <c r="E15" s="9">
        <v>10</v>
      </c>
      <c r="F15" s="9">
        <v>11</v>
      </c>
      <c r="G15" s="261">
        <f>(AVERAGE(D15:F15))/1.5</f>
        <v>7.333333333333333</v>
      </c>
      <c r="I15" s="11" t="s">
        <v>5</v>
      </c>
      <c r="J15" s="262">
        <v>4</v>
      </c>
      <c r="K15" s="9">
        <v>12</v>
      </c>
      <c r="L15" s="9">
        <v>11</v>
      </c>
      <c r="M15" s="9">
        <v>12</v>
      </c>
      <c r="N15" s="261">
        <f>(AVERAGE(K15:M15))/1.5</f>
        <v>7.7777777777777777</v>
      </c>
    </row>
    <row r="16" spans="1:14" ht="22.15" customHeight="1" x14ac:dyDescent="0.2">
      <c r="B16" s="259" t="s">
        <v>2</v>
      </c>
      <c r="C16" s="258">
        <v>2</v>
      </c>
      <c r="D16" s="260">
        <v>15</v>
      </c>
      <c r="E16" s="260">
        <v>18</v>
      </c>
      <c r="F16" s="260">
        <v>13</v>
      </c>
      <c r="G16" s="256">
        <f>(AVERAGE(D16:F16))/1.5</f>
        <v>10.222222222222223</v>
      </c>
      <c r="I16" s="259" t="s">
        <v>5</v>
      </c>
      <c r="J16" s="258">
        <v>3</v>
      </c>
      <c r="K16" s="260">
        <v>15</v>
      </c>
      <c r="L16" s="260">
        <v>16</v>
      </c>
      <c r="M16" s="260">
        <v>14</v>
      </c>
      <c r="N16" s="256">
        <f>(AVERAGE(K16:M16))/1.5</f>
        <v>10</v>
      </c>
    </row>
    <row r="17" spans="2:19" ht="22.15" customHeight="1" x14ac:dyDescent="0.2">
      <c r="B17" s="259" t="s">
        <v>2</v>
      </c>
      <c r="C17" s="258">
        <v>3</v>
      </c>
      <c r="D17" s="260">
        <v>12</v>
      </c>
      <c r="E17" s="260">
        <v>9</v>
      </c>
      <c r="F17" s="260">
        <v>11</v>
      </c>
      <c r="G17" s="256">
        <f>(AVERAGE(D17:F17))/1.5</f>
        <v>7.1111111111111107</v>
      </c>
      <c r="I17" s="259" t="s">
        <v>5</v>
      </c>
      <c r="J17" s="258">
        <v>2</v>
      </c>
      <c r="K17" s="257">
        <v>12</v>
      </c>
      <c r="L17" s="257">
        <v>12</v>
      </c>
      <c r="M17" s="257">
        <v>12</v>
      </c>
      <c r="N17" s="256">
        <f>(AVERAGE(K17:M17))/1.5</f>
        <v>8</v>
      </c>
    </row>
    <row r="18" spans="2:19" ht="22.15" customHeight="1" thickBot="1" x14ac:dyDescent="0.25">
      <c r="B18" s="255" t="s">
        <v>2</v>
      </c>
      <c r="C18" s="254">
        <v>4</v>
      </c>
      <c r="D18" s="10">
        <v>13</v>
      </c>
      <c r="E18" s="10">
        <v>12</v>
      </c>
      <c r="F18" s="10">
        <v>14</v>
      </c>
      <c r="G18" s="253">
        <f>(AVERAGE(D18:F18))/1.5</f>
        <v>8.6666666666666661</v>
      </c>
      <c r="I18" s="255" t="s">
        <v>5</v>
      </c>
      <c r="J18" s="254">
        <v>1</v>
      </c>
      <c r="K18" s="10">
        <v>12</v>
      </c>
      <c r="L18" s="10">
        <v>10</v>
      </c>
      <c r="M18" s="10">
        <v>13</v>
      </c>
      <c r="N18" s="253">
        <f>(AVERAGE(K18:M18))/1.5</f>
        <v>7.7777777777777777</v>
      </c>
    </row>
    <row r="21" spans="2:19" ht="40.15" customHeight="1" x14ac:dyDescent="0.2">
      <c r="B21" s="5"/>
      <c r="D21" s="271" t="s">
        <v>350</v>
      </c>
      <c r="E21" s="271" t="s">
        <v>31</v>
      </c>
      <c r="F21" s="271" t="s">
        <v>348</v>
      </c>
      <c r="G21" s="271"/>
      <c r="H21" s="3"/>
      <c r="I21" s="3"/>
      <c r="J21" s="271"/>
      <c r="K21" s="271" t="s">
        <v>350</v>
      </c>
      <c r="L21" s="271" t="s">
        <v>349</v>
      </c>
      <c r="M21" s="271" t="s">
        <v>348</v>
      </c>
    </row>
    <row r="22" spans="2:19" ht="22.15" customHeight="1" thickBot="1" x14ac:dyDescent="0.25">
      <c r="B22" s="270" t="s">
        <v>7</v>
      </c>
      <c r="C22" s="270"/>
      <c r="D22" s="269" t="s">
        <v>347</v>
      </c>
      <c r="E22" s="269" t="s">
        <v>347</v>
      </c>
      <c r="F22" s="269" t="s">
        <v>347</v>
      </c>
      <c r="G22" s="269" t="s">
        <v>346</v>
      </c>
      <c r="H22" s="268"/>
      <c r="I22" s="267" t="s">
        <v>7</v>
      </c>
      <c r="J22" s="267"/>
      <c r="K22" s="266" t="s">
        <v>347</v>
      </c>
      <c r="L22" s="266" t="s">
        <v>347</v>
      </c>
      <c r="M22" s="266" t="s">
        <v>347</v>
      </c>
      <c r="N22" s="266" t="s">
        <v>346</v>
      </c>
    </row>
    <row r="23" spans="2:19" ht="22.15" customHeight="1" x14ac:dyDescent="0.2">
      <c r="B23" s="11">
        <v>7</v>
      </c>
      <c r="C23" s="262">
        <v>1</v>
      </c>
      <c r="D23" s="67">
        <v>11</v>
      </c>
      <c r="E23" s="67">
        <v>7</v>
      </c>
      <c r="F23" s="67">
        <v>9</v>
      </c>
      <c r="G23" s="265">
        <f>(AVERAGE(D23:F23))/1.5</f>
        <v>6</v>
      </c>
      <c r="I23" s="264">
        <v>10</v>
      </c>
      <c r="J23" s="263">
        <v>4</v>
      </c>
      <c r="K23" s="9">
        <v>9</v>
      </c>
      <c r="L23" s="9">
        <v>8</v>
      </c>
      <c r="M23" s="9">
        <v>10</v>
      </c>
      <c r="N23" s="261">
        <f>(AVERAGE(K23:M23))/1.5</f>
        <v>6</v>
      </c>
    </row>
    <row r="24" spans="2:19" ht="22.15" customHeight="1" x14ac:dyDescent="0.2">
      <c r="B24" s="259">
        <v>7</v>
      </c>
      <c r="C24" s="258">
        <v>2</v>
      </c>
      <c r="D24" s="260">
        <v>14</v>
      </c>
      <c r="E24" s="260">
        <v>13</v>
      </c>
      <c r="F24" s="260">
        <v>12</v>
      </c>
      <c r="G24" s="256">
        <f>(AVERAGE(D24:F24))/1.5</f>
        <v>8.6666666666666661</v>
      </c>
      <c r="I24" s="259">
        <v>10</v>
      </c>
      <c r="J24" s="258">
        <v>3</v>
      </c>
      <c r="K24" s="260">
        <v>13</v>
      </c>
      <c r="L24" s="260">
        <v>18</v>
      </c>
      <c r="M24" s="260">
        <v>12</v>
      </c>
      <c r="N24" s="256">
        <f>(AVERAGE(K24:M24))/1.5</f>
        <v>9.5555555555555554</v>
      </c>
    </row>
    <row r="25" spans="2:19" ht="22.15" customHeight="1" x14ac:dyDescent="0.2">
      <c r="B25" s="259">
        <v>7</v>
      </c>
      <c r="C25" s="258">
        <v>3</v>
      </c>
      <c r="D25" s="260">
        <v>16</v>
      </c>
      <c r="E25" s="260">
        <v>14</v>
      </c>
      <c r="F25" s="260">
        <v>14</v>
      </c>
      <c r="G25" s="256">
        <f>(AVERAGE(D25:F25))/1.5</f>
        <v>9.7777777777777768</v>
      </c>
      <c r="I25" s="259">
        <v>10</v>
      </c>
      <c r="J25" s="258">
        <v>2</v>
      </c>
      <c r="K25" s="260">
        <v>14</v>
      </c>
      <c r="L25" s="260">
        <v>15</v>
      </c>
      <c r="M25" s="260">
        <v>10</v>
      </c>
      <c r="N25" s="256">
        <f>(AVERAGE(K25:M25))/1.5</f>
        <v>8.6666666666666661</v>
      </c>
    </row>
    <row r="26" spans="2:19" ht="22.15" customHeight="1" thickBot="1" x14ac:dyDescent="0.25">
      <c r="B26" s="255">
        <v>7</v>
      </c>
      <c r="C26" s="254">
        <v>4</v>
      </c>
      <c r="D26" s="10">
        <v>13</v>
      </c>
      <c r="E26" s="10">
        <v>12</v>
      </c>
      <c r="F26" s="10">
        <v>12</v>
      </c>
      <c r="G26" s="253">
        <f>(AVERAGE(D26:F26))/1.5</f>
        <v>8.2222222222222232</v>
      </c>
      <c r="I26" s="255">
        <v>10</v>
      </c>
      <c r="J26" s="254">
        <v>1</v>
      </c>
      <c r="K26" s="10">
        <v>16</v>
      </c>
      <c r="L26" s="10">
        <v>18</v>
      </c>
      <c r="M26" s="10">
        <v>14</v>
      </c>
      <c r="N26" s="253">
        <f>(AVERAGE(K26:M26))/1.5</f>
        <v>10.666666666666666</v>
      </c>
    </row>
    <row r="27" spans="2:19" ht="22.15" customHeight="1" x14ac:dyDescent="0.2">
      <c r="B27" s="11">
        <v>8</v>
      </c>
      <c r="C27" s="262">
        <v>4</v>
      </c>
      <c r="D27" s="9">
        <v>12</v>
      </c>
      <c r="E27" s="9">
        <v>11</v>
      </c>
      <c r="F27" s="9">
        <v>10</v>
      </c>
      <c r="G27" s="261">
        <f>(AVERAGE(D27:F27))/1.5</f>
        <v>7.333333333333333</v>
      </c>
      <c r="I27" s="11">
        <v>11</v>
      </c>
      <c r="J27" s="262">
        <v>1</v>
      </c>
      <c r="K27" s="9">
        <v>10</v>
      </c>
      <c r="L27" s="9">
        <v>11</v>
      </c>
      <c r="M27" s="9">
        <v>12</v>
      </c>
      <c r="N27" s="261">
        <f>(AVERAGE(K27:M27))/1.5</f>
        <v>7.333333333333333</v>
      </c>
    </row>
    <row r="28" spans="2:19" ht="22.15" customHeight="1" x14ac:dyDescent="0.2">
      <c r="B28" s="259">
        <v>8</v>
      </c>
      <c r="C28" s="258">
        <v>3</v>
      </c>
      <c r="D28" s="260">
        <v>15</v>
      </c>
      <c r="E28" s="260">
        <v>13</v>
      </c>
      <c r="F28" s="260">
        <v>14</v>
      </c>
      <c r="G28" s="256">
        <f>(AVERAGE(D28:F28))/1.5</f>
        <v>9.3333333333333339</v>
      </c>
      <c r="I28" s="259">
        <v>11</v>
      </c>
      <c r="J28" s="258">
        <v>2</v>
      </c>
      <c r="K28" s="260">
        <v>12</v>
      </c>
      <c r="L28" s="260">
        <v>12</v>
      </c>
      <c r="M28" s="260">
        <v>12</v>
      </c>
      <c r="N28" s="256">
        <f>(AVERAGE(K28:M28))/1.5</f>
        <v>8</v>
      </c>
    </row>
    <row r="29" spans="2:19" ht="22.15" customHeight="1" x14ac:dyDescent="0.2">
      <c r="B29" s="259">
        <v>8</v>
      </c>
      <c r="C29" s="258">
        <v>2</v>
      </c>
      <c r="D29" s="260">
        <v>9</v>
      </c>
      <c r="E29" s="260">
        <v>11</v>
      </c>
      <c r="F29" s="260">
        <v>10</v>
      </c>
      <c r="G29" s="256">
        <f>(AVERAGE(D29:F29))/1.5</f>
        <v>6.666666666666667</v>
      </c>
      <c r="I29" s="259">
        <v>11</v>
      </c>
      <c r="J29" s="258">
        <v>3</v>
      </c>
      <c r="K29" s="260">
        <v>14</v>
      </c>
      <c r="L29" s="260">
        <v>15</v>
      </c>
      <c r="M29" s="260">
        <v>11</v>
      </c>
      <c r="N29" s="256">
        <f>(AVERAGE(K29:M29))/1.5</f>
        <v>8.8888888888888893</v>
      </c>
    </row>
    <row r="30" spans="2:19" ht="22.15" customHeight="1" thickBot="1" x14ac:dyDescent="0.25">
      <c r="B30" s="255">
        <v>8</v>
      </c>
      <c r="C30" s="254">
        <v>1</v>
      </c>
      <c r="D30" s="10">
        <v>14</v>
      </c>
      <c r="E30" s="10">
        <v>11</v>
      </c>
      <c r="F30" s="10">
        <v>11</v>
      </c>
      <c r="G30" s="253">
        <f>(AVERAGE(D30:F30))/1.5</f>
        <v>8</v>
      </c>
      <c r="I30" s="255">
        <v>11</v>
      </c>
      <c r="J30" s="254">
        <v>4</v>
      </c>
      <c r="K30" s="10">
        <v>10</v>
      </c>
      <c r="L30" s="10">
        <v>12</v>
      </c>
      <c r="M30" s="10">
        <v>11</v>
      </c>
      <c r="N30" s="253">
        <f>(AVERAGE(K30:M30))/1.5</f>
        <v>7.333333333333333</v>
      </c>
    </row>
    <row r="31" spans="2:19" ht="22.15" customHeight="1" x14ac:dyDescent="0.2">
      <c r="B31" s="11">
        <v>9</v>
      </c>
      <c r="C31" s="262">
        <v>1</v>
      </c>
      <c r="D31" s="9">
        <v>9</v>
      </c>
      <c r="E31" s="9">
        <v>5</v>
      </c>
      <c r="F31" s="9">
        <v>6</v>
      </c>
      <c r="G31" s="261">
        <f>(AVERAGE(D31:F31))/1.5</f>
        <v>4.4444444444444446</v>
      </c>
      <c r="I31" s="11">
        <v>12</v>
      </c>
      <c r="J31" s="262">
        <v>4</v>
      </c>
      <c r="K31" s="9">
        <v>7</v>
      </c>
      <c r="L31" s="9">
        <v>4</v>
      </c>
      <c r="M31" s="9">
        <v>10</v>
      </c>
      <c r="N31" s="261">
        <f>(AVERAGE(K31:M31))/1.5</f>
        <v>4.666666666666667</v>
      </c>
    </row>
    <row r="32" spans="2:19" ht="22.15" customHeight="1" x14ac:dyDescent="0.2">
      <c r="B32" s="259">
        <v>9</v>
      </c>
      <c r="C32" s="258">
        <v>2</v>
      </c>
      <c r="D32" s="260">
        <v>11</v>
      </c>
      <c r="E32" s="260">
        <v>9</v>
      </c>
      <c r="F32" s="260">
        <v>11</v>
      </c>
      <c r="G32" s="256">
        <f>(AVERAGE(D32:F32))/1.5</f>
        <v>6.8888888888888893</v>
      </c>
      <c r="I32" s="259">
        <v>12</v>
      </c>
      <c r="J32" s="258">
        <v>3</v>
      </c>
      <c r="K32" s="260">
        <v>9</v>
      </c>
      <c r="L32" s="260">
        <v>3</v>
      </c>
      <c r="M32" s="260">
        <v>6</v>
      </c>
      <c r="N32" s="256">
        <f>(AVERAGE(K32:M32))/1.5</f>
        <v>4</v>
      </c>
      <c r="Q32" t="s">
        <v>41</v>
      </c>
      <c r="R32">
        <f>AVERAGE(D7:F10,D15:F18,K15:M18,D27:F30,D31:F34,K31:M34)</f>
        <v>11.513888888888889</v>
      </c>
      <c r="S32">
        <f>R32/1.5*1.016</f>
        <v>7.7987407407407412</v>
      </c>
    </row>
    <row r="33" spans="2:19" ht="22.15" customHeight="1" x14ac:dyDescent="0.2">
      <c r="B33" s="259">
        <v>9</v>
      </c>
      <c r="C33" s="258">
        <v>3</v>
      </c>
      <c r="D33" s="260">
        <v>12</v>
      </c>
      <c r="E33" s="260">
        <v>11</v>
      </c>
      <c r="F33" s="260">
        <v>13</v>
      </c>
      <c r="G33" s="256">
        <f>(AVERAGE(D33:F33))/1.5</f>
        <v>8</v>
      </c>
      <c r="I33" s="259">
        <v>12</v>
      </c>
      <c r="J33" s="258">
        <v>2</v>
      </c>
      <c r="K33" s="257">
        <v>12</v>
      </c>
      <c r="L33" s="257">
        <v>13</v>
      </c>
      <c r="M33" s="257">
        <v>13</v>
      </c>
      <c r="N33" s="256">
        <f>(AVERAGE(K33:M33))/1.5</f>
        <v>8.4444444444444446</v>
      </c>
      <c r="Q33" t="s">
        <v>43</v>
      </c>
      <c r="R33">
        <f>AVERAGE(D11:F14,K7:M10,K11:M14,D23:F26,K23:M26,K27:M30)</f>
        <v>12.388888888888889</v>
      </c>
      <c r="S33">
        <f>R33/1.5*1.016</f>
        <v>8.3914074074074083</v>
      </c>
    </row>
    <row r="34" spans="2:19" ht="22.15" customHeight="1" thickBot="1" x14ac:dyDescent="0.25">
      <c r="B34" s="255">
        <v>9</v>
      </c>
      <c r="C34" s="254">
        <v>4</v>
      </c>
      <c r="D34" s="10">
        <v>14</v>
      </c>
      <c r="E34" s="10">
        <v>9</v>
      </c>
      <c r="F34" s="10">
        <v>10</v>
      </c>
      <c r="G34" s="253">
        <f>(AVERAGE(D34:F34))/1.5</f>
        <v>7.333333333333333</v>
      </c>
      <c r="I34" s="255">
        <v>12</v>
      </c>
      <c r="J34" s="254">
        <v>1</v>
      </c>
      <c r="K34" s="10">
        <v>10</v>
      </c>
      <c r="L34" s="10">
        <v>11</v>
      </c>
      <c r="M34" s="10">
        <v>14</v>
      </c>
      <c r="N34" s="253">
        <f>(AVERAGE(K34:M34))/1.5</f>
        <v>7.7777777777777777</v>
      </c>
    </row>
  </sheetData>
  <mergeCells count="5">
    <mergeCell ref="B6:C6"/>
    <mergeCell ref="I6:J6"/>
    <mergeCell ref="B4:M4"/>
    <mergeCell ref="B22:C22"/>
    <mergeCell ref="I22:J22"/>
  </mergeCells>
  <pageMargins left="0.45" right="0.45" top="0.75" bottom="0.75" header="0.3" footer="0.3"/>
  <pageSetup scale="125" fitToHeight="2" orientation="portrait" r:id="rId1"/>
  <rowBreaks count="1" manualBreakCount="1">
    <brk id="19" max="12"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4638-E4AB-4A55-8945-3C67FA8A70F7}">
  <dimension ref="A2:E50"/>
  <sheetViews>
    <sheetView workbookViewId="0">
      <selection activeCell="A3" sqref="A3:A50"/>
    </sheetView>
  </sheetViews>
  <sheetFormatPr defaultRowHeight="12.75" x14ac:dyDescent="0.2"/>
  <sheetData>
    <row r="2" spans="1:5" x14ac:dyDescent="0.2">
      <c r="E2" t="s">
        <v>354</v>
      </c>
    </row>
    <row r="3" spans="1:5" x14ac:dyDescent="0.2">
      <c r="A3" t="s">
        <v>286</v>
      </c>
      <c r="B3">
        <v>13</v>
      </c>
      <c r="C3">
        <v>12</v>
      </c>
      <c r="D3">
        <v>10</v>
      </c>
      <c r="E3">
        <f>SUM(B3:D3)/(1.5*1.016*3)</f>
        <v>7.6552930883639547</v>
      </c>
    </row>
    <row r="4" spans="1:5" x14ac:dyDescent="0.2">
      <c r="A4" t="s">
        <v>284</v>
      </c>
      <c r="B4">
        <v>11</v>
      </c>
      <c r="C4">
        <v>11</v>
      </c>
      <c r="D4">
        <v>13</v>
      </c>
      <c r="E4">
        <f t="shared" ref="E4:E50" si="0">SUM(B4:D4)/(1.5*1.016*3)</f>
        <v>7.6552930883639547</v>
      </c>
    </row>
    <row r="5" spans="1:5" x14ac:dyDescent="0.2">
      <c r="A5" t="s">
        <v>283</v>
      </c>
      <c r="B5">
        <v>15</v>
      </c>
      <c r="C5">
        <v>16</v>
      </c>
      <c r="D5">
        <v>12</v>
      </c>
      <c r="E5">
        <f t="shared" si="0"/>
        <v>9.4050743657042872</v>
      </c>
    </row>
    <row r="6" spans="1:5" x14ac:dyDescent="0.2">
      <c r="A6" t="s">
        <v>282</v>
      </c>
      <c r="B6">
        <v>14</v>
      </c>
      <c r="C6">
        <v>13</v>
      </c>
      <c r="D6">
        <v>15</v>
      </c>
      <c r="E6">
        <f t="shared" si="0"/>
        <v>9.1863517060367457</v>
      </c>
    </row>
    <row r="7" spans="1:5" x14ac:dyDescent="0.2">
      <c r="A7" t="s">
        <v>281</v>
      </c>
      <c r="B7">
        <v>13</v>
      </c>
      <c r="C7">
        <v>12</v>
      </c>
      <c r="D7">
        <v>14</v>
      </c>
      <c r="E7">
        <f t="shared" si="0"/>
        <v>8.530183727034121</v>
      </c>
    </row>
    <row r="8" spans="1:5" x14ac:dyDescent="0.2">
      <c r="A8" t="s">
        <v>280</v>
      </c>
      <c r="B8">
        <v>13</v>
      </c>
      <c r="C8">
        <v>13</v>
      </c>
      <c r="D8">
        <v>11</v>
      </c>
      <c r="E8">
        <f t="shared" si="0"/>
        <v>8.0927384076990379</v>
      </c>
    </row>
    <row r="9" spans="1:5" x14ac:dyDescent="0.2">
      <c r="A9" t="s">
        <v>279</v>
      </c>
      <c r="B9">
        <v>12</v>
      </c>
      <c r="C9">
        <v>10</v>
      </c>
      <c r="D9">
        <v>13</v>
      </c>
      <c r="E9">
        <f t="shared" si="0"/>
        <v>7.6552930883639547</v>
      </c>
    </row>
    <row r="10" spans="1:5" x14ac:dyDescent="0.2">
      <c r="A10" t="s">
        <v>278</v>
      </c>
      <c r="B10">
        <v>13</v>
      </c>
      <c r="C10">
        <v>11</v>
      </c>
      <c r="D10">
        <v>14</v>
      </c>
      <c r="E10">
        <f t="shared" si="0"/>
        <v>8.3114610673665794</v>
      </c>
    </row>
    <row r="11" spans="1:5" x14ac:dyDescent="0.2">
      <c r="A11" t="s">
        <v>277</v>
      </c>
      <c r="B11">
        <v>12</v>
      </c>
      <c r="C11">
        <v>10</v>
      </c>
      <c r="D11">
        <v>11</v>
      </c>
      <c r="E11">
        <f t="shared" si="0"/>
        <v>7.2178477690288716</v>
      </c>
    </row>
    <row r="12" spans="1:5" x14ac:dyDescent="0.2">
      <c r="A12" t="s">
        <v>276</v>
      </c>
      <c r="B12">
        <v>15</v>
      </c>
      <c r="C12">
        <v>18</v>
      </c>
      <c r="D12">
        <v>13</v>
      </c>
      <c r="E12">
        <f t="shared" si="0"/>
        <v>10.061242344706912</v>
      </c>
    </row>
    <row r="13" spans="1:5" x14ac:dyDescent="0.2">
      <c r="A13" t="s">
        <v>275</v>
      </c>
      <c r="B13">
        <v>12</v>
      </c>
      <c r="C13">
        <v>9</v>
      </c>
      <c r="D13">
        <v>11</v>
      </c>
      <c r="E13">
        <f t="shared" si="0"/>
        <v>6.99912510936133</v>
      </c>
    </row>
    <row r="14" spans="1:5" x14ac:dyDescent="0.2">
      <c r="A14" t="s">
        <v>274</v>
      </c>
      <c r="B14">
        <v>13</v>
      </c>
      <c r="C14">
        <v>12</v>
      </c>
      <c r="D14">
        <v>14</v>
      </c>
      <c r="E14">
        <f t="shared" si="0"/>
        <v>8.530183727034121</v>
      </c>
    </row>
    <row r="15" spans="1:5" x14ac:dyDescent="0.2">
      <c r="A15" t="s">
        <v>273</v>
      </c>
      <c r="B15">
        <v>8</v>
      </c>
      <c r="C15">
        <v>10</v>
      </c>
      <c r="D15">
        <v>9</v>
      </c>
      <c r="E15">
        <f t="shared" si="0"/>
        <v>5.9055118110236222</v>
      </c>
    </row>
    <row r="16" spans="1:5" x14ac:dyDescent="0.2">
      <c r="A16" t="s">
        <v>272</v>
      </c>
      <c r="B16">
        <v>10</v>
      </c>
      <c r="C16">
        <v>8</v>
      </c>
      <c r="D16">
        <v>11</v>
      </c>
      <c r="E16">
        <f t="shared" si="0"/>
        <v>6.3429571303587053</v>
      </c>
    </row>
    <row r="17" spans="1:5" x14ac:dyDescent="0.2">
      <c r="A17" t="s">
        <v>271</v>
      </c>
      <c r="B17">
        <v>14</v>
      </c>
      <c r="C17">
        <v>13</v>
      </c>
      <c r="D17">
        <v>16</v>
      </c>
      <c r="E17">
        <f t="shared" si="0"/>
        <v>9.4050743657042872</v>
      </c>
    </row>
    <row r="18" spans="1:5" x14ac:dyDescent="0.2">
      <c r="A18" t="s">
        <v>270</v>
      </c>
      <c r="B18">
        <v>10</v>
      </c>
      <c r="C18">
        <v>12</v>
      </c>
      <c r="D18">
        <v>12</v>
      </c>
      <c r="E18">
        <f t="shared" si="0"/>
        <v>7.4365704286964132</v>
      </c>
    </row>
    <row r="19" spans="1:5" x14ac:dyDescent="0.2">
      <c r="A19" t="s">
        <v>269</v>
      </c>
      <c r="B19">
        <v>13</v>
      </c>
      <c r="C19">
        <v>15</v>
      </c>
      <c r="D19">
        <v>14</v>
      </c>
      <c r="E19">
        <f t="shared" si="0"/>
        <v>9.1863517060367457</v>
      </c>
    </row>
    <row r="20" spans="1:5" x14ac:dyDescent="0.2">
      <c r="A20" t="s">
        <v>268</v>
      </c>
      <c r="B20">
        <v>15</v>
      </c>
      <c r="C20">
        <v>18</v>
      </c>
      <c r="D20">
        <v>12</v>
      </c>
      <c r="E20">
        <f t="shared" si="0"/>
        <v>9.8425196850393704</v>
      </c>
    </row>
    <row r="21" spans="1:5" x14ac:dyDescent="0.2">
      <c r="A21" t="s">
        <v>267</v>
      </c>
      <c r="B21">
        <v>14</v>
      </c>
      <c r="C21">
        <v>14</v>
      </c>
      <c r="D21">
        <v>13</v>
      </c>
      <c r="E21">
        <f t="shared" si="0"/>
        <v>8.9676290463692041</v>
      </c>
    </row>
    <row r="22" spans="1:5" x14ac:dyDescent="0.2">
      <c r="A22" t="s">
        <v>266</v>
      </c>
      <c r="B22">
        <v>13</v>
      </c>
      <c r="C22">
        <v>12</v>
      </c>
      <c r="D22">
        <v>11</v>
      </c>
      <c r="E22">
        <f t="shared" si="0"/>
        <v>7.8740157480314963</v>
      </c>
    </row>
    <row r="23" spans="1:5" x14ac:dyDescent="0.2">
      <c r="A23" t="s">
        <v>265</v>
      </c>
      <c r="B23">
        <v>12</v>
      </c>
      <c r="C23">
        <v>11</v>
      </c>
      <c r="D23">
        <v>12</v>
      </c>
      <c r="E23">
        <f t="shared" si="0"/>
        <v>7.6552930883639547</v>
      </c>
    </row>
    <row r="24" spans="1:5" x14ac:dyDescent="0.2">
      <c r="A24" t="s">
        <v>264</v>
      </c>
      <c r="B24">
        <v>15</v>
      </c>
      <c r="C24">
        <v>16</v>
      </c>
      <c r="D24">
        <v>14</v>
      </c>
      <c r="E24">
        <f t="shared" si="0"/>
        <v>9.8425196850393704</v>
      </c>
    </row>
    <row r="25" spans="1:5" x14ac:dyDescent="0.2">
      <c r="A25" t="s">
        <v>263</v>
      </c>
      <c r="B25">
        <v>12</v>
      </c>
      <c r="C25">
        <v>12</v>
      </c>
      <c r="D25">
        <v>12</v>
      </c>
      <c r="E25">
        <f t="shared" si="0"/>
        <v>7.8740157480314963</v>
      </c>
    </row>
    <row r="26" spans="1:5" x14ac:dyDescent="0.2">
      <c r="A26" t="s">
        <v>262</v>
      </c>
      <c r="B26">
        <v>12</v>
      </c>
      <c r="C26">
        <v>10</v>
      </c>
      <c r="D26">
        <v>13</v>
      </c>
      <c r="E26">
        <f t="shared" si="0"/>
        <v>7.6552930883639547</v>
      </c>
    </row>
    <row r="27" spans="1:5" x14ac:dyDescent="0.2">
      <c r="A27" t="s">
        <v>261</v>
      </c>
      <c r="B27">
        <v>11</v>
      </c>
      <c r="C27">
        <v>7</v>
      </c>
      <c r="D27">
        <v>9</v>
      </c>
      <c r="E27">
        <f t="shared" si="0"/>
        <v>5.9055118110236222</v>
      </c>
    </row>
    <row r="28" spans="1:5" x14ac:dyDescent="0.2">
      <c r="A28" t="s">
        <v>260</v>
      </c>
      <c r="B28">
        <v>14</v>
      </c>
      <c r="C28">
        <v>13</v>
      </c>
      <c r="D28">
        <v>12</v>
      </c>
      <c r="E28">
        <f t="shared" si="0"/>
        <v>8.530183727034121</v>
      </c>
    </row>
    <row r="29" spans="1:5" x14ac:dyDescent="0.2">
      <c r="A29" t="s">
        <v>259</v>
      </c>
      <c r="B29">
        <v>16</v>
      </c>
      <c r="C29">
        <v>14</v>
      </c>
      <c r="D29">
        <v>14</v>
      </c>
      <c r="E29">
        <f t="shared" si="0"/>
        <v>9.6237970253718288</v>
      </c>
    </row>
    <row r="30" spans="1:5" x14ac:dyDescent="0.2">
      <c r="A30" t="s">
        <v>258</v>
      </c>
      <c r="B30">
        <v>13</v>
      </c>
      <c r="C30">
        <v>12</v>
      </c>
      <c r="D30">
        <v>12</v>
      </c>
      <c r="E30">
        <f t="shared" si="0"/>
        <v>8.0927384076990379</v>
      </c>
    </row>
    <row r="31" spans="1:5" x14ac:dyDescent="0.2">
      <c r="A31" t="s">
        <v>257</v>
      </c>
      <c r="B31">
        <v>12</v>
      </c>
      <c r="C31">
        <v>11</v>
      </c>
      <c r="D31">
        <v>10</v>
      </c>
      <c r="E31">
        <f t="shared" si="0"/>
        <v>7.2178477690288716</v>
      </c>
    </row>
    <row r="32" spans="1:5" x14ac:dyDescent="0.2">
      <c r="A32" t="s">
        <v>256</v>
      </c>
      <c r="B32">
        <v>15</v>
      </c>
      <c r="C32">
        <v>13</v>
      </c>
      <c r="D32">
        <v>14</v>
      </c>
      <c r="E32">
        <f t="shared" si="0"/>
        <v>9.1863517060367457</v>
      </c>
    </row>
    <row r="33" spans="1:5" x14ac:dyDescent="0.2">
      <c r="A33" t="s">
        <v>255</v>
      </c>
      <c r="B33">
        <v>9</v>
      </c>
      <c r="C33">
        <v>11</v>
      </c>
      <c r="D33">
        <v>10</v>
      </c>
      <c r="E33">
        <f t="shared" si="0"/>
        <v>6.5616797900262469</v>
      </c>
    </row>
    <row r="34" spans="1:5" x14ac:dyDescent="0.2">
      <c r="A34" t="s">
        <v>254</v>
      </c>
      <c r="B34">
        <v>14</v>
      </c>
      <c r="C34">
        <v>11</v>
      </c>
      <c r="D34">
        <v>11</v>
      </c>
      <c r="E34">
        <f t="shared" si="0"/>
        <v>7.8740157480314963</v>
      </c>
    </row>
    <row r="35" spans="1:5" x14ac:dyDescent="0.2">
      <c r="A35" t="s">
        <v>253</v>
      </c>
      <c r="B35">
        <v>9</v>
      </c>
      <c r="C35">
        <v>5</v>
      </c>
      <c r="D35">
        <v>6</v>
      </c>
      <c r="E35">
        <f t="shared" si="0"/>
        <v>4.3744531933508313</v>
      </c>
    </row>
    <row r="36" spans="1:5" x14ac:dyDescent="0.2">
      <c r="A36" t="s">
        <v>251</v>
      </c>
      <c r="B36">
        <v>11</v>
      </c>
      <c r="C36">
        <v>9</v>
      </c>
      <c r="D36">
        <v>11</v>
      </c>
      <c r="E36">
        <f t="shared" si="0"/>
        <v>6.7804024496937885</v>
      </c>
    </row>
    <row r="37" spans="1:5" x14ac:dyDescent="0.2">
      <c r="A37" t="s">
        <v>250</v>
      </c>
      <c r="B37">
        <v>12</v>
      </c>
      <c r="C37">
        <v>11</v>
      </c>
      <c r="D37">
        <v>13</v>
      </c>
      <c r="E37">
        <f t="shared" si="0"/>
        <v>7.8740157480314963</v>
      </c>
    </row>
    <row r="38" spans="1:5" x14ac:dyDescent="0.2">
      <c r="A38" t="s">
        <v>249</v>
      </c>
      <c r="B38">
        <v>14</v>
      </c>
      <c r="C38">
        <v>9</v>
      </c>
      <c r="D38">
        <v>10</v>
      </c>
      <c r="E38">
        <f t="shared" si="0"/>
        <v>7.2178477690288716</v>
      </c>
    </row>
    <row r="39" spans="1:5" x14ac:dyDescent="0.2">
      <c r="A39" t="s">
        <v>248</v>
      </c>
      <c r="B39">
        <v>9</v>
      </c>
      <c r="C39">
        <v>8</v>
      </c>
      <c r="D39">
        <v>10</v>
      </c>
      <c r="E39">
        <f t="shared" si="0"/>
        <v>5.9055118110236222</v>
      </c>
    </row>
    <row r="40" spans="1:5" x14ac:dyDescent="0.2">
      <c r="A40" t="s">
        <v>247</v>
      </c>
      <c r="B40">
        <v>13</v>
      </c>
      <c r="C40">
        <v>18</v>
      </c>
      <c r="D40">
        <v>12</v>
      </c>
      <c r="E40">
        <f t="shared" si="0"/>
        <v>9.4050743657042872</v>
      </c>
    </row>
    <row r="41" spans="1:5" x14ac:dyDescent="0.2">
      <c r="A41" t="s">
        <v>246</v>
      </c>
      <c r="B41">
        <v>14</v>
      </c>
      <c r="C41">
        <v>15</v>
      </c>
      <c r="D41">
        <v>10</v>
      </c>
      <c r="E41">
        <f t="shared" si="0"/>
        <v>8.530183727034121</v>
      </c>
    </row>
    <row r="42" spans="1:5" x14ac:dyDescent="0.2">
      <c r="A42" t="s">
        <v>245</v>
      </c>
      <c r="B42">
        <v>16</v>
      </c>
      <c r="C42">
        <v>18</v>
      </c>
      <c r="D42">
        <v>14</v>
      </c>
      <c r="E42">
        <f t="shared" si="0"/>
        <v>10.498687664041995</v>
      </c>
    </row>
    <row r="43" spans="1:5" x14ac:dyDescent="0.2">
      <c r="A43" t="s">
        <v>244</v>
      </c>
      <c r="B43">
        <v>10</v>
      </c>
      <c r="C43">
        <v>11</v>
      </c>
      <c r="D43">
        <v>12</v>
      </c>
      <c r="E43">
        <f t="shared" si="0"/>
        <v>7.2178477690288716</v>
      </c>
    </row>
    <row r="44" spans="1:5" x14ac:dyDescent="0.2">
      <c r="A44" t="s">
        <v>243</v>
      </c>
      <c r="B44">
        <v>12</v>
      </c>
      <c r="C44">
        <v>12</v>
      </c>
      <c r="D44">
        <v>12</v>
      </c>
      <c r="E44">
        <f t="shared" si="0"/>
        <v>7.8740157480314963</v>
      </c>
    </row>
    <row r="45" spans="1:5" x14ac:dyDescent="0.2">
      <c r="A45" t="s">
        <v>242</v>
      </c>
      <c r="B45">
        <v>14</v>
      </c>
      <c r="C45">
        <v>15</v>
      </c>
      <c r="D45">
        <v>11</v>
      </c>
      <c r="E45">
        <f t="shared" si="0"/>
        <v>8.7489063867016625</v>
      </c>
    </row>
    <row r="46" spans="1:5" x14ac:dyDescent="0.2">
      <c r="A46" t="s">
        <v>241</v>
      </c>
      <c r="B46">
        <v>10</v>
      </c>
      <c r="C46">
        <v>12</v>
      </c>
      <c r="D46">
        <v>11</v>
      </c>
      <c r="E46">
        <f t="shared" si="0"/>
        <v>7.2178477690288716</v>
      </c>
    </row>
    <row r="47" spans="1:5" x14ac:dyDescent="0.2">
      <c r="A47" t="s">
        <v>240</v>
      </c>
      <c r="B47">
        <v>7</v>
      </c>
      <c r="C47">
        <v>4</v>
      </c>
      <c r="D47">
        <v>10</v>
      </c>
      <c r="E47">
        <f t="shared" si="0"/>
        <v>4.5931758530183728</v>
      </c>
    </row>
    <row r="48" spans="1:5" x14ac:dyDescent="0.2">
      <c r="A48" t="s">
        <v>239</v>
      </c>
      <c r="B48">
        <v>9</v>
      </c>
      <c r="C48">
        <v>3</v>
      </c>
      <c r="D48">
        <v>6</v>
      </c>
      <c r="E48">
        <f t="shared" si="0"/>
        <v>3.9370078740157481</v>
      </c>
    </row>
    <row r="49" spans="1:5" x14ac:dyDescent="0.2">
      <c r="A49" t="s">
        <v>238</v>
      </c>
      <c r="B49">
        <v>12</v>
      </c>
      <c r="C49">
        <v>13</v>
      </c>
      <c r="D49">
        <v>13</v>
      </c>
      <c r="E49">
        <f t="shared" si="0"/>
        <v>8.3114610673665794</v>
      </c>
    </row>
    <row r="50" spans="1:5" x14ac:dyDescent="0.2">
      <c r="A50" t="s">
        <v>237</v>
      </c>
      <c r="B50">
        <v>10</v>
      </c>
      <c r="C50">
        <v>11</v>
      </c>
      <c r="D50">
        <v>14</v>
      </c>
      <c r="E50">
        <f t="shared" si="0"/>
        <v>7.6552930883639547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B612-B30D-47A4-9432-8D76C628B90F}">
  <dimension ref="A1:P54"/>
  <sheetViews>
    <sheetView topLeftCell="A24"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7" width="12.7109375" style="52" customWidth="1"/>
    <col min="8" max="15" width="12.7109375" customWidth="1"/>
  </cols>
  <sheetData>
    <row r="1" spans="1:16" ht="15.75" x14ac:dyDescent="0.25">
      <c r="B1" s="6">
        <v>2022</v>
      </c>
      <c r="C1" s="8" t="s">
        <v>24</v>
      </c>
      <c r="D1" s="2"/>
      <c r="E1" s="290" t="s">
        <v>6</v>
      </c>
      <c r="F1"/>
      <c r="G1" s="4" t="s">
        <v>8</v>
      </c>
      <c r="H1" s="289">
        <v>44747</v>
      </c>
      <c r="I1" s="288"/>
      <c r="J1" s="288"/>
      <c r="K1" s="288"/>
      <c r="L1" s="288"/>
    </row>
    <row r="2" spans="1:16" ht="6.6" customHeight="1" x14ac:dyDescent="0.25">
      <c r="B2" s="6"/>
      <c r="C2" s="7"/>
      <c r="D2" s="8"/>
      <c r="E2" s="52"/>
      <c r="F2"/>
      <c r="G2" s="4"/>
      <c r="H2" s="4"/>
    </row>
    <row r="3" spans="1:16" x14ac:dyDescent="0.2">
      <c r="C3" s="5" t="s">
        <v>357</v>
      </c>
      <c r="D3" s="2"/>
      <c r="E3" s="52"/>
      <c r="F3"/>
      <c r="G3" s="4" t="s">
        <v>13</v>
      </c>
      <c r="H3" s="4" t="s">
        <v>51</v>
      </c>
    </row>
    <row r="4" spans="1:16" ht="33" customHeight="1" x14ac:dyDescent="0.2">
      <c r="C4" s="273" t="s">
        <v>356</v>
      </c>
      <c r="D4" s="287"/>
      <c r="E4" s="287"/>
      <c r="F4" s="287"/>
      <c r="G4" s="287"/>
      <c r="H4" s="287"/>
      <c r="I4" s="287"/>
      <c r="J4" s="286"/>
      <c r="K4" s="286"/>
      <c r="L4" s="286"/>
      <c r="M4" s="285"/>
    </row>
    <row r="5" spans="1:16" ht="15" customHeight="1" x14ac:dyDescent="0.2">
      <c r="E5" s="5"/>
      <c r="G5" s="284"/>
      <c r="H5" s="271"/>
      <c r="I5" s="271"/>
      <c r="J5" s="271"/>
      <c r="K5" s="271"/>
      <c r="L5" s="271"/>
      <c r="M5" s="271"/>
      <c r="N5" s="271"/>
      <c r="O5" s="3"/>
    </row>
    <row r="6" spans="1:16"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6" ht="21.6" customHeight="1" thickTop="1" thickBot="1" x14ac:dyDescent="0.25">
      <c r="A7" s="11" t="s">
        <v>0</v>
      </c>
      <c r="B7" s="14">
        <v>1</v>
      </c>
      <c r="C7" s="89" t="s">
        <v>42</v>
      </c>
      <c r="D7" s="93" t="s">
        <v>41</v>
      </c>
      <c r="E7" s="11" t="s">
        <v>0</v>
      </c>
      <c r="F7" s="14">
        <v>1</v>
      </c>
      <c r="G7" s="52">
        <v>8</v>
      </c>
      <c r="H7" s="279">
        <v>8</v>
      </c>
      <c r="I7" s="279">
        <v>8</v>
      </c>
      <c r="J7" s="279">
        <v>9</v>
      </c>
      <c r="K7" s="279">
        <v>9</v>
      </c>
      <c r="L7" s="279">
        <v>8</v>
      </c>
      <c r="M7" s="279">
        <v>9</v>
      </c>
      <c r="N7" s="279">
        <v>9</v>
      </c>
      <c r="O7" s="279">
        <v>8</v>
      </c>
      <c r="P7" s="276">
        <f>AVERAGE(H7:O7)</f>
        <v>8.5</v>
      </c>
    </row>
    <row r="8" spans="1:16" ht="21.6" customHeight="1" thickTop="1" thickBot="1" x14ac:dyDescent="0.25">
      <c r="A8" s="259" t="s">
        <v>0</v>
      </c>
      <c r="B8" s="281">
        <v>2</v>
      </c>
      <c r="C8" s="89" t="s">
        <v>44</v>
      </c>
      <c r="D8" s="93" t="s">
        <v>41</v>
      </c>
      <c r="E8" s="259" t="s">
        <v>0</v>
      </c>
      <c r="F8" s="281">
        <v>2</v>
      </c>
      <c r="G8" s="278">
        <v>8</v>
      </c>
      <c r="H8" s="278">
        <v>6</v>
      </c>
      <c r="I8" s="278">
        <v>7</v>
      </c>
      <c r="J8" s="278">
        <v>8</v>
      </c>
      <c r="K8" s="278">
        <v>7</v>
      </c>
      <c r="L8" s="278">
        <v>8</v>
      </c>
      <c r="M8" s="278">
        <v>7</v>
      </c>
      <c r="N8" s="278">
        <v>7</v>
      </c>
      <c r="O8" s="278">
        <v>8</v>
      </c>
      <c r="P8" s="276">
        <f>AVERAGE(G8:O8)</f>
        <v>7.333333333333333</v>
      </c>
    </row>
    <row r="9" spans="1:16" ht="21.6" customHeight="1" thickTop="1" thickBot="1" x14ac:dyDescent="0.25">
      <c r="A9" s="259" t="s">
        <v>0</v>
      </c>
      <c r="B9" s="281">
        <v>3</v>
      </c>
      <c r="C9" s="89" t="s">
        <v>45</v>
      </c>
      <c r="D9" s="93" t="s">
        <v>41</v>
      </c>
      <c r="E9" s="259" t="s">
        <v>0</v>
      </c>
      <c r="F9" s="281">
        <v>3</v>
      </c>
      <c r="G9" s="278">
        <v>9</v>
      </c>
      <c r="H9" s="278">
        <v>10</v>
      </c>
      <c r="I9" s="278">
        <v>8</v>
      </c>
      <c r="J9" s="278">
        <v>8</v>
      </c>
      <c r="K9" s="278">
        <v>8</v>
      </c>
      <c r="L9" s="278">
        <v>7</v>
      </c>
      <c r="M9" s="278">
        <v>7</v>
      </c>
      <c r="N9" s="278">
        <v>8</v>
      </c>
      <c r="O9" s="278">
        <v>7</v>
      </c>
      <c r="P9" s="276">
        <f>AVERAGE(G9:O9)</f>
        <v>8</v>
      </c>
    </row>
    <row r="10" spans="1:16" ht="21.6" customHeight="1" thickTop="1" thickBot="1" x14ac:dyDescent="0.25">
      <c r="A10" s="255" t="s">
        <v>0</v>
      </c>
      <c r="B10" s="280">
        <v>4</v>
      </c>
      <c r="C10" s="89" t="s">
        <v>46</v>
      </c>
      <c r="D10" s="93" t="s">
        <v>41</v>
      </c>
      <c r="E10" s="255" t="s">
        <v>0</v>
      </c>
      <c r="F10" s="280">
        <v>4</v>
      </c>
      <c r="G10" s="277">
        <v>8</v>
      </c>
      <c r="H10" s="277">
        <v>8</v>
      </c>
      <c r="I10" s="277">
        <v>9</v>
      </c>
      <c r="J10" s="277">
        <v>7</v>
      </c>
      <c r="K10" s="277">
        <v>10</v>
      </c>
      <c r="L10" s="277">
        <v>9</v>
      </c>
      <c r="M10" s="277">
        <v>9</v>
      </c>
      <c r="N10" s="277">
        <v>8</v>
      </c>
      <c r="O10" s="277">
        <v>7</v>
      </c>
      <c r="P10" s="276">
        <f>AVERAGE(G10:O10)</f>
        <v>8.3333333333333339</v>
      </c>
    </row>
    <row r="11" spans="1:16" ht="21.6" customHeight="1" thickTop="1" thickBot="1" x14ac:dyDescent="0.25">
      <c r="A11" s="11" t="s">
        <v>1</v>
      </c>
      <c r="B11" s="14">
        <v>4</v>
      </c>
      <c r="C11" s="89" t="s">
        <v>46</v>
      </c>
      <c r="D11" s="96" t="s">
        <v>43</v>
      </c>
      <c r="E11" s="11" t="s">
        <v>1</v>
      </c>
      <c r="F11" s="14">
        <v>4</v>
      </c>
      <c r="G11" s="279">
        <v>7</v>
      </c>
      <c r="H11" s="279">
        <v>7</v>
      </c>
      <c r="I11" s="279">
        <v>7</v>
      </c>
      <c r="J11" s="279">
        <v>6</v>
      </c>
      <c r="K11" s="279">
        <v>7</v>
      </c>
      <c r="L11" s="279">
        <v>8</v>
      </c>
      <c r="M11" s="279">
        <v>7</v>
      </c>
      <c r="N11" s="279">
        <v>9</v>
      </c>
      <c r="O11" s="279">
        <v>8</v>
      </c>
      <c r="P11" s="276">
        <f>AVERAGE(G11:O11)</f>
        <v>7.333333333333333</v>
      </c>
    </row>
    <row r="12" spans="1:16" ht="21.6" customHeight="1" thickTop="1" thickBot="1" x14ac:dyDescent="0.25">
      <c r="A12" s="259" t="s">
        <v>1</v>
      </c>
      <c r="B12" s="281">
        <v>3</v>
      </c>
      <c r="C12" s="89" t="s">
        <v>45</v>
      </c>
      <c r="D12" s="96" t="s">
        <v>43</v>
      </c>
      <c r="E12" s="259" t="s">
        <v>1</v>
      </c>
      <c r="F12" s="281">
        <v>3</v>
      </c>
      <c r="G12" s="278">
        <v>8</v>
      </c>
      <c r="H12" s="278">
        <v>8</v>
      </c>
      <c r="I12" s="278">
        <v>9</v>
      </c>
      <c r="J12" s="278">
        <v>7</v>
      </c>
      <c r="K12" s="278">
        <v>8</v>
      </c>
      <c r="L12" s="278">
        <v>9</v>
      </c>
      <c r="M12" s="278">
        <v>10</v>
      </c>
      <c r="N12" s="278">
        <v>8</v>
      </c>
      <c r="O12" s="278">
        <v>9</v>
      </c>
      <c r="P12" s="276">
        <f>AVERAGE(G12:O12)</f>
        <v>8.4444444444444446</v>
      </c>
    </row>
    <row r="13" spans="1:16" ht="21.6" customHeight="1" thickTop="1" thickBot="1" x14ac:dyDescent="0.25">
      <c r="A13" s="259" t="s">
        <v>1</v>
      </c>
      <c r="B13" s="281">
        <v>2</v>
      </c>
      <c r="C13" s="89" t="s">
        <v>44</v>
      </c>
      <c r="D13" s="96" t="s">
        <v>43</v>
      </c>
      <c r="E13" s="259" t="s">
        <v>1</v>
      </c>
      <c r="F13" s="281">
        <v>2</v>
      </c>
      <c r="G13" s="278">
        <v>10</v>
      </c>
      <c r="H13" s="278">
        <v>7</v>
      </c>
      <c r="I13" s="278">
        <v>7</v>
      </c>
      <c r="J13" s="278">
        <v>9</v>
      </c>
      <c r="K13" s="278">
        <v>9</v>
      </c>
      <c r="L13" s="278">
        <v>8</v>
      </c>
      <c r="M13" s="278">
        <v>8</v>
      </c>
      <c r="N13" s="278">
        <v>7</v>
      </c>
      <c r="O13" s="278">
        <v>9</v>
      </c>
      <c r="P13" s="276">
        <f>AVERAGE(G13:O13)</f>
        <v>8.2222222222222214</v>
      </c>
    </row>
    <row r="14" spans="1:16" ht="21.6" customHeight="1" thickTop="1" thickBot="1" x14ac:dyDescent="0.25">
      <c r="A14" s="255" t="s">
        <v>1</v>
      </c>
      <c r="B14" s="280">
        <v>1</v>
      </c>
      <c r="C14" s="89" t="s">
        <v>42</v>
      </c>
      <c r="D14" s="96" t="s">
        <v>43</v>
      </c>
      <c r="E14" s="255" t="s">
        <v>1</v>
      </c>
      <c r="F14" s="280">
        <v>1</v>
      </c>
      <c r="G14" s="277">
        <v>8</v>
      </c>
      <c r="H14" s="277">
        <v>8</v>
      </c>
      <c r="I14" s="277">
        <v>9</v>
      </c>
      <c r="J14" s="277">
        <v>7</v>
      </c>
      <c r="K14" s="277">
        <v>8</v>
      </c>
      <c r="L14" s="277">
        <v>9</v>
      </c>
      <c r="M14" s="277">
        <v>10</v>
      </c>
      <c r="N14" s="277">
        <v>9</v>
      </c>
      <c r="O14" s="277">
        <v>10</v>
      </c>
      <c r="P14" s="276">
        <f>AVERAGE(G14:O14)</f>
        <v>8.6666666666666661</v>
      </c>
    </row>
    <row r="15" spans="1:16" ht="21.6" customHeight="1" thickTop="1" thickBot="1" x14ac:dyDescent="0.25">
      <c r="A15" s="11" t="s">
        <v>2</v>
      </c>
      <c r="B15" s="14">
        <v>1</v>
      </c>
      <c r="C15" s="89" t="s">
        <v>46</v>
      </c>
      <c r="D15" s="93" t="s">
        <v>41</v>
      </c>
      <c r="E15" s="11" t="s">
        <v>2</v>
      </c>
      <c r="F15" s="14">
        <v>1</v>
      </c>
      <c r="G15" s="279">
        <v>9</v>
      </c>
      <c r="H15" s="279">
        <v>7</v>
      </c>
      <c r="I15" s="279">
        <v>8</v>
      </c>
      <c r="J15" s="279">
        <v>7</v>
      </c>
      <c r="K15" s="279">
        <v>8</v>
      </c>
      <c r="L15" s="279">
        <v>7</v>
      </c>
      <c r="M15" s="279">
        <v>7</v>
      </c>
      <c r="N15" s="279">
        <v>9</v>
      </c>
      <c r="O15" s="279">
        <v>8</v>
      </c>
      <c r="P15" s="276">
        <f>AVERAGE(G15:O15)</f>
        <v>7.7777777777777777</v>
      </c>
    </row>
    <row r="16" spans="1:16" ht="21.6" customHeight="1" thickTop="1" thickBot="1" x14ac:dyDescent="0.25">
      <c r="A16" s="259" t="s">
        <v>2</v>
      </c>
      <c r="B16" s="281">
        <v>2</v>
      </c>
      <c r="C16" s="89" t="s">
        <v>47</v>
      </c>
      <c r="D16" s="93" t="s">
        <v>41</v>
      </c>
      <c r="E16" s="259" t="s">
        <v>2</v>
      </c>
      <c r="F16" s="281">
        <v>2</v>
      </c>
      <c r="G16" s="278">
        <v>8</v>
      </c>
      <c r="H16" s="278">
        <v>9</v>
      </c>
      <c r="I16" s="278">
        <v>9</v>
      </c>
      <c r="J16" s="278">
        <v>8</v>
      </c>
      <c r="K16" s="278">
        <v>9</v>
      </c>
      <c r="L16" s="278">
        <v>9</v>
      </c>
      <c r="M16" s="278">
        <v>8</v>
      </c>
      <c r="N16" s="278">
        <v>7</v>
      </c>
      <c r="O16" s="278">
        <v>9</v>
      </c>
      <c r="P16" s="276">
        <f>AVERAGE(G16:O16)</f>
        <v>8.4444444444444446</v>
      </c>
    </row>
    <row r="17" spans="1:16" ht="21.6" customHeight="1" thickTop="1" thickBot="1" x14ac:dyDescent="0.25">
      <c r="A17" s="259" t="s">
        <v>2</v>
      </c>
      <c r="B17" s="281">
        <v>3</v>
      </c>
      <c r="C17" s="89" t="s">
        <v>48</v>
      </c>
      <c r="D17" s="93" t="s">
        <v>41</v>
      </c>
      <c r="E17" s="259" t="s">
        <v>2</v>
      </c>
      <c r="F17" s="281">
        <v>3</v>
      </c>
      <c r="G17" s="278">
        <v>10</v>
      </c>
      <c r="H17" s="278">
        <v>9</v>
      </c>
      <c r="I17" s="278">
        <v>9</v>
      </c>
      <c r="J17" s="278">
        <v>8</v>
      </c>
      <c r="K17" s="278">
        <v>9</v>
      </c>
      <c r="L17" s="278">
        <v>10</v>
      </c>
      <c r="M17" s="278">
        <v>7</v>
      </c>
      <c r="N17" s="278">
        <v>9</v>
      </c>
      <c r="O17" s="278">
        <v>8</v>
      </c>
      <c r="P17" s="276">
        <f>AVERAGE(G17:O17)</f>
        <v>8.7777777777777786</v>
      </c>
    </row>
    <row r="18" spans="1:16" ht="21.6" customHeight="1" thickTop="1" thickBot="1" x14ac:dyDescent="0.25">
      <c r="A18" s="255" t="s">
        <v>2</v>
      </c>
      <c r="B18" s="280">
        <v>4</v>
      </c>
      <c r="C18" s="89" t="s">
        <v>42</v>
      </c>
      <c r="D18" s="93" t="s">
        <v>41</v>
      </c>
      <c r="E18" s="255" t="s">
        <v>2</v>
      </c>
      <c r="F18" s="280">
        <v>4</v>
      </c>
      <c r="G18" s="277">
        <v>11</v>
      </c>
      <c r="H18" s="277">
        <v>7</v>
      </c>
      <c r="I18" s="277">
        <v>10</v>
      </c>
      <c r="J18" s="277">
        <v>9</v>
      </c>
      <c r="K18" s="277">
        <v>9</v>
      </c>
      <c r="L18" s="277">
        <v>8</v>
      </c>
      <c r="M18" s="277">
        <v>9</v>
      </c>
      <c r="N18" s="277">
        <v>7</v>
      </c>
      <c r="O18" s="277">
        <v>10</v>
      </c>
      <c r="P18" s="276">
        <f>AVERAGE(G18:O18)</f>
        <v>8.8888888888888893</v>
      </c>
    </row>
    <row r="19" spans="1:16" ht="21.6" customHeight="1" thickTop="1" thickBot="1" x14ac:dyDescent="0.25">
      <c r="A19" s="11" t="s">
        <v>3</v>
      </c>
      <c r="B19" s="14">
        <v>4</v>
      </c>
      <c r="C19" s="89" t="s">
        <v>42</v>
      </c>
      <c r="D19" s="96" t="s">
        <v>43</v>
      </c>
      <c r="E19" s="11" t="s">
        <v>3</v>
      </c>
      <c r="F19" s="14">
        <v>4</v>
      </c>
      <c r="G19" s="279">
        <v>8</v>
      </c>
      <c r="H19" s="279">
        <v>8</v>
      </c>
      <c r="I19" s="279">
        <v>8</v>
      </c>
      <c r="J19" s="279">
        <v>9</v>
      </c>
      <c r="K19" s="279">
        <v>7</v>
      </c>
      <c r="L19" s="279">
        <v>8</v>
      </c>
      <c r="M19" s="279">
        <v>9</v>
      </c>
      <c r="N19" s="279">
        <v>10</v>
      </c>
      <c r="O19" s="279">
        <v>9</v>
      </c>
      <c r="P19" s="276">
        <f>AVERAGE(G19:O19)</f>
        <v>8.4444444444444446</v>
      </c>
    </row>
    <row r="20" spans="1:16" ht="21.6" customHeight="1" thickTop="1" thickBot="1" x14ac:dyDescent="0.25">
      <c r="A20" s="259" t="s">
        <v>3</v>
      </c>
      <c r="B20" s="281">
        <v>3</v>
      </c>
      <c r="C20" s="89" t="s">
        <v>48</v>
      </c>
      <c r="D20" s="96" t="s">
        <v>43</v>
      </c>
      <c r="E20" s="259" t="s">
        <v>3</v>
      </c>
      <c r="F20" s="281">
        <v>3</v>
      </c>
      <c r="G20" s="278">
        <v>10</v>
      </c>
      <c r="H20" s="278">
        <v>9</v>
      </c>
      <c r="I20" s="278">
        <v>10</v>
      </c>
      <c r="J20" s="278">
        <v>10</v>
      </c>
      <c r="K20" s="278">
        <v>10</v>
      </c>
      <c r="L20" s="278">
        <v>9</v>
      </c>
      <c r="M20" s="278">
        <v>10</v>
      </c>
      <c r="N20" s="278">
        <v>9</v>
      </c>
      <c r="O20" s="278">
        <v>9</v>
      </c>
      <c r="P20" s="276">
        <f>AVERAGE(G20:O20)</f>
        <v>9.5555555555555554</v>
      </c>
    </row>
    <row r="21" spans="1:16" ht="21.6" customHeight="1" thickTop="1" thickBot="1" x14ac:dyDescent="0.25">
      <c r="A21" s="259" t="s">
        <v>3</v>
      </c>
      <c r="B21" s="281">
        <v>2</v>
      </c>
      <c r="C21" s="89" t="s">
        <v>47</v>
      </c>
      <c r="D21" s="96" t="s">
        <v>43</v>
      </c>
      <c r="E21" s="259" t="s">
        <v>3</v>
      </c>
      <c r="F21" s="281">
        <v>2</v>
      </c>
      <c r="G21" s="278">
        <v>10</v>
      </c>
      <c r="H21" s="278">
        <v>11</v>
      </c>
      <c r="I21" s="278">
        <v>10</v>
      </c>
      <c r="J21" s="278">
        <v>9</v>
      </c>
      <c r="K21" s="278">
        <v>9</v>
      </c>
      <c r="L21" s="278">
        <v>10</v>
      </c>
      <c r="M21" s="278">
        <v>8</v>
      </c>
      <c r="N21" s="278">
        <v>8</v>
      </c>
      <c r="O21" s="278">
        <v>9</v>
      </c>
      <c r="P21" s="276">
        <f>AVERAGE(G21:O21)</f>
        <v>9.3333333333333339</v>
      </c>
    </row>
    <row r="22" spans="1:16" ht="21.6" customHeight="1" thickTop="1" thickBot="1" x14ac:dyDescent="0.25">
      <c r="A22" s="255" t="s">
        <v>3</v>
      </c>
      <c r="B22" s="280">
        <v>1</v>
      </c>
      <c r="C22" s="89" t="s">
        <v>46</v>
      </c>
      <c r="D22" s="96" t="s">
        <v>43</v>
      </c>
      <c r="E22" s="255" t="s">
        <v>3</v>
      </c>
      <c r="F22" s="280">
        <v>1</v>
      </c>
      <c r="G22" s="277">
        <v>9</v>
      </c>
      <c r="H22" s="277">
        <v>9</v>
      </c>
      <c r="I22" s="277">
        <v>8</v>
      </c>
      <c r="J22" s="277">
        <v>8</v>
      </c>
      <c r="K22" s="277">
        <v>7</v>
      </c>
      <c r="L22" s="277">
        <v>9</v>
      </c>
      <c r="M22" s="277">
        <v>8</v>
      </c>
      <c r="N22" s="277">
        <v>9</v>
      </c>
      <c r="O22" s="277">
        <v>9</v>
      </c>
      <c r="P22" s="276">
        <f>AVERAGE(G22:O22)</f>
        <v>8.4444444444444446</v>
      </c>
    </row>
    <row r="23" spans="1:16" ht="21.6" customHeight="1" thickTop="1" thickBot="1" x14ac:dyDescent="0.25">
      <c r="A23" s="11" t="s">
        <v>4</v>
      </c>
      <c r="B23" s="14">
        <v>1</v>
      </c>
      <c r="C23" s="89" t="s">
        <v>48</v>
      </c>
      <c r="D23" s="96" t="s">
        <v>43</v>
      </c>
      <c r="E23" s="11" t="s">
        <v>4</v>
      </c>
      <c r="F23" s="14">
        <v>1</v>
      </c>
      <c r="G23" s="279">
        <v>7</v>
      </c>
      <c r="H23" s="279">
        <v>8</v>
      </c>
      <c r="I23" s="279">
        <v>8</v>
      </c>
      <c r="J23" s="279">
        <v>7</v>
      </c>
      <c r="K23" s="279">
        <v>8</v>
      </c>
      <c r="L23" s="279">
        <v>8</v>
      </c>
      <c r="M23" s="279">
        <v>6</v>
      </c>
      <c r="N23" s="279">
        <v>8</v>
      </c>
      <c r="O23" s="279">
        <v>7</v>
      </c>
      <c r="P23" s="276">
        <f>AVERAGE(G23:O23)</f>
        <v>7.4444444444444446</v>
      </c>
    </row>
    <row r="24" spans="1:16" ht="21.6" customHeight="1" thickTop="1" thickBot="1" x14ac:dyDescent="0.25">
      <c r="A24" s="259" t="s">
        <v>4</v>
      </c>
      <c r="B24" s="281">
        <v>2</v>
      </c>
      <c r="C24" s="89" t="s">
        <v>45</v>
      </c>
      <c r="D24" s="96" t="s">
        <v>43</v>
      </c>
      <c r="E24" s="259" t="s">
        <v>4</v>
      </c>
      <c r="F24" s="281">
        <v>2</v>
      </c>
      <c r="G24" s="278">
        <v>7</v>
      </c>
      <c r="H24" s="278">
        <v>7</v>
      </c>
      <c r="I24" s="278">
        <v>9</v>
      </c>
      <c r="J24" s="278">
        <v>8</v>
      </c>
      <c r="K24" s="278">
        <v>8</v>
      </c>
      <c r="L24" s="278">
        <v>9</v>
      </c>
      <c r="M24" s="278">
        <v>8</v>
      </c>
      <c r="N24" s="278">
        <v>8</v>
      </c>
      <c r="O24" s="278">
        <v>7</v>
      </c>
      <c r="P24" s="276">
        <f>AVERAGE(G24:O24)</f>
        <v>7.8888888888888893</v>
      </c>
    </row>
    <row r="25" spans="1:16" ht="21.6" customHeight="1" thickTop="1" thickBot="1" x14ac:dyDescent="0.25">
      <c r="A25" s="259" t="s">
        <v>4</v>
      </c>
      <c r="B25" s="281">
        <v>3</v>
      </c>
      <c r="C25" s="89" t="s">
        <v>44</v>
      </c>
      <c r="D25" s="96" t="s">
        <v>43</v>
      </c>
      <c r="E25" s="259" t="s">
        <v>4</v>
      </c>
      <c r="F25" s="281">
        <v>3</v>
      </c>
      <c r="G25" s="278">
        <v>8</v>
      </c>
      <c r="H25" s="278">
        <v>8</v>
      </c>
      <c r="I25" s="278">
        <v>8</v>
      </c>
      <c r="J25" s="278">
        <v>8</v>
      </c>
      <c r="K25" s="278">
        <v>7</v>
      </c>
      <c r="L25" s="278">
        <v>7</v>
      </c>
      <c r="M25" s="278">
        <v>8</v>
      </c>
      <c r="N25" s="278">
        <v>8</v>
      </c>
      <c r="O25" s="278">
        <v>7</v>
      </c>
      <c r="P25" s="276">
        <f>AVERAGE(G25:O25)</f>
        <v>7.666666666666667</v>
      </c>
    </row>
    <row r="26" spans="1:16" ht="21.6" customHeight="1" thickTop="1" thickBot="1" x14ac:dyDescent="0.25">
      <c r="A26" s="255" t="s">
        <v>4</v>
      </c>
      <c r="B26" s="280">
        <v>4</v>
      </c>
      <c r="C26" s="89" t="s">
        <v>47</v>
      </c>
      <c r="D26" s="96" t="s">
        <v>43</v>
      </c>
      <c r="E26" s="255" t="s">
        <v>4</v>
      </c>
      <c r="F26" s="280">
        <v>4</v>
      </c>
      <c r="G26" s="277">
        <v>8</v>
      </c>
      <c r="H26" s="277">
        <v>8</v>
      </c>
      <c r="I26" s="277">
        <v>8</v>
      </c>
      <c r="J26" s="277">
        <v>6</v>
      </c>
      <c r="K26" s="277">
        <v>7</v>
      </c>
      <c r="L26" s="277">
        <v>8</v>
      </c>
      <c r="M26" s="277">
        <v>7</v>
      </c>
      <c r="N26" s="277">
        <v>8</v>
      </c>
      <c r="O26" s="277">
        <v>8</v>
      </c>
      <c r="P26" s="276">
        <f>AVERAGE(G26:O26)</f>
        <v>7.5555555555555554</v>
      </c>
    </row>
    <row r="27" spans="1:16" ht="21.6" customHeight="1" thickTop="1" thickBot="1" x14ac:dyDescent="0.25">
      <c r="A27" s="11" t="s">
        <v>5</v>
      </c>
      <c r="B27" s="14">
        <v>4</v>
      </c>
      <c r="C27" s="89" t="s">
        <v>47</v>
      </c>
      <c r="D27" s="93" t="s">
        <v>41</v>
      </c>
      <c r="E27" s="11" t="s">
        <v>5</v>
      </c>
      <c r="F27" s="14">
        <v>4</v>
      </c>
      <c r="G27" s="279">
        <v>9</v>
      </c>
      <c r="H27" s="279">
        <v>8</v>
      </c>
      <c r="I27" s="279">
        <v>9</v>
      </c>
      <c r="J27" s="279">
        <v>8</v>
      </c>
      <c r="K27" s="279">
        <v>7</v>
      </c>
      <c r="L27" s="279">
        <v>8</v>
      </c>
      <c r="M27" s="279">
        <v>7</v>
      </c>
      <c r="N27" s="279">
        <v>8</v>
      </c>
      <c r="O27" s="279">
        <v>8</v>
      </c>
      <c r="P27" s="276">
        <f>AVERAGE(G27:O27)</f>
        <v>8</v>
      </c>
    </row>
    <row r="28" spans="1:16" ht="21.6" customHeight="1" thickTop="1" thickBot="1" x14ac:dyDescent="0.25">
      <c r="A28" s="259" t="s">
        <v>5</v>
      </c>
      <c r="B28" s="281">
        <v>3</v>
      </c>
      <c r="C28" s="89" t="s">
        <v>44</v>
      </c>
      <c r="D28" s="93" t="s">
        <v>41</v>
      </c>
      <c r="E28" s="259" t="s">
        <v>5</v>
      </c>
      <c r="F28" s="281">
        <v>3</v>
      </c>
      <c r="G28" s="278">
        <v>7</v>
      </c>
      <c r="H28" s="278">
        <v>8</v>
      </c>
      <c r="I28" s="278">
        <v>8</v>
      </c>
      <c r="J28" s="278">
        <v>9</v>
      </c>
      <c r="K28" s="278">
        <v>8</v>
      </c>
      <c r="L28" s="278">
        <v>8</v>
      </c>
      <c r="M28" s="278">
        <v>8</v>
      </c>
      <c r="N28" s="278">
        <v>9</v>
      </c>
      <c r="O28" s="278">
        <v>8</v>
      </c>
      <c r="P28" s="276">
        <f>AVERAGE(G28:O28)</f>
        <v>8.1111111111111107</v>
      </c>
    </row>
    <row r="29" spans="1:16" ht="21.6" customHeight="1" thickTop="1" thickBot="1" x14ac:dyDescent="0.25">
      <c r="A29" s="259" t="s">
        <v>5</v>
      </c>
      <c r="B29" s="281">
        <v>2</v>
      </c>
      <c r="C29" s="89" t="s">
        <v>45</v>
      </c>
      <c r="D29" s="93" t="s">
        <v>41</v>
      </c>
      <c r="E29" s="259" t="s">
        <v>5</v>
      </c>
      <c r="F29" s="281">
        <v>2</v>
      </c>
      <c r="G29" s="278">
        <v>8</v>
      </c>
      <c r="H29" s="278">
        <v>8</v>
      </c>
      <c r="I29" s="278">
        <v>7</v>
      </c>
      <c r="J29" s="278">
        <v>7</v>
      </c>
      <c r="K29" s="278">
        <v>7</v>
      </c>
      <c r="L29" s="278">
        <v>8</v>
      </c>
      <c r="M29" s="278">
        <v>7</v>
      </c>
      <c r="N29" s="278">
        <v>7</v>
      </c>
      <c r="O29" s="278">
        <v>8</v>
      </c>
      <c r="P29" s="276">
        <f>AVERAGE(G29:O29)</f>
        <v>7.4444444444444446</v>
      </c>
    </row>
    <row r="30" spans="1:16" ht="21.6" customHeight="1" thickTop="1" thickBot="1" x14ac:dyDescent="0.25">
      <c r="A30" s="255" t="s">
        <v>5</v>
      </c>
      <c r="B30" s="280">
        <v>1</v>
      </c>
      <c r="C30" s="89" t="s">
        <v>48</v>
      </c>
      <c r="D30" s="93" t="s">
        <v>41</v>
      </c>
      <c r="E30" s="255" t="s">
        <v>5</v>
      </c>
      <c r="F30" s="280">
        <v>1</v>
      </c>
      <c r="G30" s="277">
        <v>9</v>
      </c>
      <c r="H30" s="277">
        <v>8</v>
      </c>
      <c r="I30" s="277">
        <v>10</v>
      </c>
      <c r="J30" s="277">
        <v>10</v>
      </c>
      <c r="K30" s="277">
        <v>9</v>
      </c>
      <c r="L30" s="277">
        <v>8</v>
      </c>
      <c r="M30" s="277">
        <v>9</v>
      </c>
      <c r="N30" s="277">
        <v>8</v>
      </c>
      <c r="O30" s="277">
        <v>8</v>
      </c>
      <c r="P30" s="276">
        <f>AVERAGE(G30:O30)</f>
        <v>8.7777777777777786</v>
      </c>
    </row>
    <row r="31" spans="1:16" ht="21.6" customHeight="1" thickTop="1" thickBot="1" x14ac:dyDescent="0.25">
      <c r="A31" s="11" t="s">
        <v>34</v>
      </c>
      <c r="B31" s="262">
        <v>1</v>
      </c>
      <c r="C31" s="89" t="s">
        <v>47</v>
      </c>
      <c r="D31" s="96" t="s">
        <v>43</v>
      </c>
      <c r="E31" s="11" t="s">
        <v>34</v>
      </c>
      <c r="F31" s="262">
        <v>1</v>
      </c>
      <c r="G31" s="279">
        <v>5</v>
      </c>
      <c r="H31" s="279">
        <v>7</v>
      </c>
      <c r="I31" s="279">
        <v>7</v>
      </c>
      <c r="J31" s="279">
        <v>6</v>
      </c>
      <c r="K31" s="279">
        <v>7</v>
      </c>
      <c r="L31" s="279">
        <v>6</v>
      </c>
      <c r="M31" s="279">
        <v>6</v>
      </c>
      <c r="N31" s="279">
        <v>7</v>
      </c>
      <c r="O31" s="279">
        <v>7</v>
      </c>
      <c r="P31" s="276">
        <f>AVERAGE(G31:O31)</f>
        <v>6.4444444444444446</v>
      </c>
    </row>
    <row r="32" spans="1:16" ht="21.6" customHeight="1" thickTop="1" thickBot="1" x14ac:dyDescent="0.25">
      <c r="A32" s="259" t="s">
        <v>34</v>
      </c>
      <c r="B32" s="258">
        <v>2</v>
      </c>
      <c r="C32" s="89" t="s">
        <v>46</v>
      </c>
      <c r="D32" s="96" t="s">
        <v>43</v>
      </c>
      <c r="E32" s="259" t="s">
        <v>34</v>
      </c>
      <c r="F32" s="258">
        <v>2</v>
      </c>
      <c r="G32" s="278">
        <v>8</v>
      </c>
      <c r="H32" s="278">
        <v>7</v>
      </c>
      <c r="I32" s="278">
        <v>8</v>
      </c>
      <c r="J32" s="278">
        <v>9</v>
      </c>
      <c r="K32" s="278">
        <v>9</v>
      </c>
      <c r="L32" s="278">
        <v>7</v>
      </c>
      <c r="M32" s="278">
        <v>6</v>
      </c>
      <c r="N32" s="278">
        <v>7</v>
      </c>
      <c r="O32" s="278">
        <v>7</v>
      </c>
      <c r="P32" s="276">
        <f>AVERAGE(G32:O32)</f>
        <v>7.5555555555555554</v>
      </c>
    </row>
    <row r="33" spans="1:16" ht="21.6" customHeight="1" thickTop="1" thickBot="1" x14ac:dyDescent="0.25">
      <c r="A33" s="259" t="s">
        <v>34</v>
      </c>
      <c r="B33" s="258">
        <v>3</v>
      </c>
      <c r="C33" s="89" t="s">
        <v>42</v>
      </c>
      <c r="D33" s="96" t="s">
        <v>43</v>
      </c>
      <c r="E33" s="259" t="s">
        <v>34</v>
      </c>
      <c r="F33" s="258">
        <v>3</v>
      </c>
      <c r="G33" s="278">
        <v>8</v>
      </c>
      <c r="H33" s="278">
        <v>10</v>
      </c>
      <c r="I33" s="278">
        <v>9</v>
      </c>
      <c r="J33" s="278">
        <v>9</v>
      </c>
      <c r="K33" s="278">
        <v>8</v>
      </c>
      <c r="L33" s="278">
        <v>8</v>
      </c>
      <c r="M33" s="278">
        <v>8</v>
      </c>
      <c r="N33" s="278">
        <v>7</v>
      </c>
      <c r="O33" s="278">
        <v>8</v>
      </c>
      <c r="P33" s="276">
        <f>AVERAGE(G33:O33)</f>
        <v>8.3333333333333339</v>
      </c>
    </row>
    <row r="34" spans="1:16" ht="21.6" customHeight="1" thickTop="1" thickBot="1" x14ac:dyDescent="0.25">
      <c r="A34" s="255" t="s">
        <v>34</v>
      </c>
      <c r="B34" s="254">
        <v>4</v>
      </c>
      <c r="C34" s="89" t="s">
        <v>48</v>
      </c>
      <c r="D34" s="96" t="s">
        <v>43</v>
      </c>
      <c r="E34" s="255" t="s">
        <v>34</v>
      </c>
      <c r="F34" s="254">
        <v>4</v>
      </c>
      <c r="G34" s="277">
        <v>8</v>
      </c>
      <c r="H34" s="277">
        <v>8</v>
      </c>
      <c r="I34" s="277">
        <v>9</v>
      </c>
      <c r="J34" s="277">
        <v>8</v>
      </c>
      <c r="K34" s="277">
        <v>7</v>
      </c>
      <c r="L34" s="277">
        <v>9</v>
      </c>
      <c r="M34" s="277">
        <v>9</v>
      </c>
      <c r="N34" s="277">
        <v>9</v>
      </c>
      <c r="O34" s="277">
        <v>8</v>
      </c>
      <c r="P34" s="276">
        <f>AVERAGE(G34:O34)</f>
        <v>8.3333333333333339</v>
      </c>
    </row>
    <row r="35" spans="1:16" ht="21.6" customHeight="1" thickTop="1" thickBot="1" x14ac:dyDescent="0.25">
      <c r="A35" s="11" t="s">
        <v>35</v>
      </c>
      <c r="B35" s="262">
        <v>4</v>
      </c>
      <c r="C35" s="89" t="s">
        <v>48</v>
      </c>
      <c r="D35" s="93" t="s">
        <v>41</v>
      </c>
      <c r="E35" s="11" t="s">
        <v>35</v>
      </c>
      <c r="F35" s="262">
        <v>4</v>
      </c>
      <c r="G35" s="279">
        <v>9</v>
      </c>
      <c r="H35" s="279">
        <v>8</v>
      </c>
      <c r="I35" s="279">
        <v>8</v>
      </c>
      <c r="J35" s="279">
        <v>10</v>
      </c>
      <c r="K35" s="279">
        <v>10</v>
      </c>
      <c r="L35" s="279">
        <v>8</v>
      </c>
      <c r="M35" s="279">
        <v>9</v>
      </c>
      <c r="N35" s="279">
        <v>8</v>
      </c>
      <c r="O35" s="279">
        <v>9</v>
      </c>
      <c r="P35" s="276">
        <f>AVERAGE(G35:O35)</f>
        <v>8.7777777777777786</v>
      </c>
    </row>
    <row r="36" spans="1:16" ht="21.6" customHeight="1" thickTop="1" thickBot="1" x14ac:dyDescent="0.25">
      <c r="A36" s="259" t="s">
        <v>35</v>
      </c>
      <c r="B36" s="258">
        <v>3</v>
      </c>
      <c r="C36" s="89" t="s">
        <v>42</v>
      </c>
      <c r="D36" s="93" t="s">
        <v>41</v>
      </c>
      <c r="E36" s="259" t="s">
        <v>35</v>
      </c>
      <c r="F36" s="258">
        <v>3</v>
      </c>
      <c r="G36" s="278">
        <v>8</v>
      </c>
      <c r="H36" s="278">
        <v>9</v>
      </c>
      <c r="I36" s="278">
        <v>10</v>
      </c>
      <c r="J36" s="278">
        <v>10</v>
      </c>
      <c r="K36" s="278">
        <v>9</v>
      </c>
      <c r="L36" s="278">
        <v>9</v>
      </c>
      <c r="M36" s="278">
        <v>9</v>
      </c>
      <c r="N36" s="278">
        <v>10</v>
      </c>
      <c r="O36" s="278">
        <v>9</v>
      </c>
      <c r="P36" s="276">
        <f>AVERAGE(G36:O36)</f>
        <v>9.2222222222222214</v>
      </c>
    </row>
    <row r="37" spans="1:16" ht="21.6" customHeight="1" thickTop="1" thickBot="1" x14ac:dyDescent="0.25">
      <c r="A37" s="259" t="s">
        <v>35</v>
      </c>
      <c r="B37" s="258">
        <v>2</v>
      </c>
      <c r="C37" s="89" t="s">
        <v>46</v>
      </c>
      <c r="D37" s="93" t="s">
        <v>41</v>
      </c>
      <c r="E37" s="259" t="s">
        <v>35</v>
      </c>
      <c r="F37" s="258">
        <v>2</v>
      </c>
      <c r="G37" s="278">
        <v>8</v>
      </c>
      <c r="H37" s="278">
        <v>9</v>
      </c>
      <c r="I37" s="278">
        <v>11</v>
      </c>
      <c r="J37" s="278">
        <v>9</v>
      </c>
      <c r="K37" s="278">
        <v>9</v>
      </c>
      <c r="L37" s="278">
        <v>8</v>
      </c>
      <c r="M37" s="278">
        <v>10</v>
      </c>
      <c r="N37" s="278">
        <v>9</v>
      </c>
      <c r="O37" s="278">
        <v>9</v>
      </c>
      <c r="P37" s="276">
        <f>AVERAGE(G37:O37)</f>
        <v>9.1111111111111107</v>
      </c>
    </row>
    <row r="38" spans="1:16" ht="21.6" customHeight="1" thickTop="1" thickBot="1" x14ac:dyDescent="0.25">
      <c r="A38" s="255" t="s">
        <v>35</v>
      </c>
      <c r="B38" s="254">
        <v>1</v>
      </c>
      <c r="C38" s="89" t="s">
        <v>47</v>
      </c>
      <c r="D38" s="93" t="s">
        <v>41</v>
      </c>
      <c r="E38" s="255" t="s">
        <v>35</v>
      </c>
      <c r="F38" s="254">
        <v>1</v>
      </c>
      <c r="G38" s="277">
        <v>8</v>
      </c>
      <c r="H38" s="277">
        <v>7</v>
      </c>
      <c r="I38" s="277">
        <v>8</v>
      </c>
      <c r="J38" s="277">
        <v>8</v>
      </c>
      <c r="K38" s="277">
        <v>7</v>
      </c>
      <c r="L38" s="277">
        <v>7</v>
      </c>
      <c r="M38" s="277">
        <v>7</v>
      </c>
      <c r="N38" s="277">
        <v>6</v>
      </c>
      <c r="O38" s="277">
        <v>6</v>
      </c>
      <c r="P38" s="276">
        <f>AVERAGE(G38:O38)</f>
        <v>7.1111111111111107</v>
      </c>
    </row>
    <row r="39" spans="1:16" ht="21.6" customHeight="1" thickTop="1" thickBot="1" x14ac:dyDescent="0.25">
      <c r="A39" s="11" t="s">
        <v>36</v>
      </c>
      <c r="B39" s="262">
        <v>1</v>
      </c>
      <c r="C39" s="89" t="s">
        <v>45</v>
      </c>
      <c r="D39" s="93" t="s">
        <v>41</v>
      </c>
      <c r="E39" s="11" t="s">
        <v>36</v>
      </c>
      <c r="F39" s="262">
        <v>1</v>
      </c>
      <c r="G39" s="279">
        <v>7</v>
      </c>
      <c r="H39" s="279">
        <v>7</v>
      </c>
      <c r="I39" s="279">
        <v>7</v>
      </c>
      <c r="J39" s="279">
        <v>8</v>
      </c>
      <c r="K39" s="279">
        <v>9</v>
      </c>
      <c r="L39" s="279">
        <v>9</v>
      </c>
      <c r="M39" s="279">
        <v>9</v>
      </c>
      <c r="N39" s="279">
        <v>9</v>
      </c>
      <c r="O39" s="279">
        <v>8</v>
      </c>
      <c r="P39" s="276">
        <f>AVERAGE(G39:O39)</f>
        <v>8.1111111111111107</v>
      </c>
    </row>
    <row r="40" spans="1:16" ht="21.6" customHeight="1" thickTop="1" thickBot="1" x14ac:dyDescent="0.25">
      <c r="A40" s="259" t="s">
        <v>36</v>
      </c>
      <c r="B40" s="258">
        <v>2</v>
      </c>
      <c r="C40" s="89" t="s">
        <v>42</v>
      </c>
      <c r="D40" s="93" t="s">
        <v>41</v>
      </c>
      <c r="E40" s="259" t="s">
        <v>36</v>
      </c>
      <c r="F40" s="258">
        <v>2</v>
      </c>
      <c r="G40" s="278">
        <v>8</v>
      </c>
      <c r="H40" s="278">
        <v>9</v>
      </c>
      <c r="I40" s="278">
        <v>8</v>
      </c>
      <c r="J40" s="278">
        <v>9</v>
      </c>
      <c r="K40" s="278">
        <v>8</v>
      </c>
      <c r="L40" s="278">
        <v>10</v>
      </c>
      <c r="M40" s="278">
        <v>9</v>
      </c>
      <c r="N40" s="278">
        <v>8</v>
      </c>
      <c r="O40" s="278">
        <v>10</v>
      </c>
      <c r="P40" s="276">
        <f>AVERAGE(G40:O40)</f>
        <v>8.7777777777777786</v>
      </c>
    </row>
    <row r="41" spans="1:16" ht="21.6" customHeight="1" thickTop="1" thickBot="1" x14ac:dyDescent="0.25">
      <c r="A41" s="259" t="s">
        <v>36</v>
      </c>
      <c r="B41" s="258">
        <v>3</v>
      </c>
      <c r="C41" s="89" t="s">
        <v>47</v>
      </c>
      <c r="D41" s="93" t="s">
        <v>41</v>
      </c>
      <c r="E41" s="259" t="s">
        <v>36</v>
      </c>
      <c r="F41" s="258">
        <v>3</v>
      </c>
      <c r="G41" s="278">
        <v>8</v>
      </c>
      <c r="H41" s="278">
        <v>9</v>
      </c>
      <c r="I41" s="278">
        <v>9</v>
      </c>
      <c r="J41" s="278">
        <v>8</v>
      </c>
      <c r="K41" s="278">
        <v>7</v>
      </c>
      <c r="L41" s="278">
        <v>7</v>
      </c>
      <c r="M41" s="278">
        <v>9</v>
      </c>
      <c r="N41" s="278">
        <v>8</v>
      </c>
      <c r="O41" s="278">
        <v>9</v>
      </c>
      <c r="P41" s="276">
        <f>AVERAGE(G41:O41)</f>
        <v>8.2222222222222214</v>
      </c>
    </row>
    <row r="42" spans="1:16" ht="21.6" customHeight="1" thickTop="1" thickBot="1" x14ac:dyDescent="0.25">
      <c r="A42" s="255" t="s">
        <v>36</v>
      </c>
      <c r="B42" s="254">
        <v>4</v>
      </c>
      <c r="C42" s="89" t="s">
        <v>44</v>
      </c>
      <c r="D42" s="93" t="s">
        <v>41</v>
      </c>
      <c r="E42" s="255" t="s">
        <v>36</v>
      </c>
      <c r="F42" s="254">
        <v>4</v>
      </c>
      <c r="G42" s="277">
        <v>8</v>
      </c>
      <c r="H42" s="277">
        <v>9</v>
      </c>
      <c r="I42" s="277">
        <v>7</v>
      </c>
      <c r="J42" s="277">
        <v>8</v>
      </c>
      <c r="K42" s="277">
        <v>10</v>
      </c>
      <c r="L42" s="277">
        <v>8</v>
      </c>
      <c r="M42" s="277">
        <v>8</v>
      </c>
      <c r="N42" s="277">
        <v>7</v>
      </c>
      <c r="O42" s="277">
        <v>7</v>
      </c>
      <c r="P42" s="276">
        <f>AVERAGE(G42:O42)</f>
        <v>8</v>
      </c>
    </row>
    <row r="43" spans="1:16" ht="21.6" customHeight="1" thickTop="1" thickBot="1" x14ac:dyDescent="0.25">
      <c r="A43" s="11" t="s">
        <v>37</v>
      </c>
      <c r="B43" s="262">
        <v>4</v>
      </c>
      <c r="C43" s="89" t="s">
        <v>44</v>
      </c>
      <c r="D43" s="96" t="s">
        <v>43</v>
      </c>
      <c r="E43" s="11" t="s">
        <v>37</v>
      </c>
      <c r="F43" s="262">
        <v>4</v>
      </c>
      <c r="G43" s="279">
        <v>5</v>
      </c>
      <c r="H43" s="279">
        <v>7</v>
      </c>
      <c r="I43" s="279">
        <v>6</v>
      </c>
      <c r="J43" s="279">
        <v>7</v>
      </c>
      <c r="K43" s="279">
        <v>8</v>
      </c>
      <c r="L43" s="279">
        <v>7</v>
      </c>
      <c r="M43" s="279">
        <v>8</v>
      </c>
      <c r="N43" s="279">
        <v>8</v>
      </c>
      <c r="O43" s="279">
        <v>7</v>
      </c>
      <c r="P43" s="276">
        <f>AVERAGE(G43:O43)</f>
        <v>7</v>
      </c>
    </row>
    <row r="44" spans="1:16" ht="21.6" customHeight="1" thickTop="1" thickBot="1" x14ac:dyDescent="0.25">
      <c r="A44" s="259" t="s">
        <v>37</v>
      </c>
      <c r="B44" s="258">
        <v>3</v>
      </c>
      <c r="C44" s="89" t="s">
        <v>47</v>
      </c>
      <c r="D44" s="96" t="s">
        <v>43</v>
      </c>
      <c r="E44" s="259" t="s">
        <v>37</v>
      </c>
      <c r="F44" s="258">
        <v>3</v>
      </c>
      <c r="G44" s="278">
        <v>7</v>
      </c>
      <c r="H44" s="278">
        <v>8</v>
      </c>
      <c r="I44" s="278">
        <v>8</v>
      </c>
      <c r="J44" s="278">
        <v>8</v>
      </c>
      <c r="K44" s="278">
        <v>7</v>
      </c>
      <c r="L44" s="278">
        <v>7</v>
      </c>
      <c r="M44" s="278">
        <v>8</v>
      </c>
      <c r="N44" s="278">
        <v>7</v>
      </c>
      <c r="O44" s="278">
        <v>7</v>
      </c>
      <c r="P44" s="276">
        <f>AVERAGE(G44:O44)</f>
        <v>7.4444444444444446</v>
      </c>
    </row>
    <row r="45" spans="1:16" ht="21.6" customHeight="1" thickTop="1" thickBot="1" x14ac:dyDescent="0.25">
      <c r="A45" s="259" t="s">
        <v>37</v>
      </c>
      <c r="B45" s="258">
        <v>2</v>
      </c>
      <c r="C45" s="89" t="s">
        <v>42</v>
      </c>
      <c r="D45" s="96" t="s">
        <v>43</v>
      </c>
      <c r="E45" s="259" t="s">
        <v>37</v>
      </c>
      <c r="F45" s="258">
        <v>2</v>
      </c>
      <c r="G45" s="278">
        <v>9</v>
      </c>
      <c r="H45" s="278">
        <v>9</v>
      </c>
      <c r="I45" s="278">
        <v>8</v>
      </c>
      <c r="J45" s="278">
        <v>8</v>
      </c>
      <c r="K45" s="278">
        <v>7</v>
      </c>
      <c r="L45" s="278">
        <v>8</v>
      </c>
      <c r="M45" s="278">
        <v>9</v>
      </c>
      <c r="N45" s="278">
        <v>8</v>
      </c>
      <c r="O45" s="278">
        <v>8</v>
      </c>
      <c r="P45" s="276">
        <f>AVERAGE(G45:O45)</f>
        <v>8.2222222222222214</v>
      </c>
    </row>
    <row r="46" spans="1:16" ht="21.6" customHeight="1" thickTop="1" thickBot="1" x14ac:dyDescent="0.25">
      <c r="A46" s="255" t="s">
        <v>37</v>
      </c>
      <c r="B46" s="254">
        <v>1</v>
      </c>
      <c r="C46" s="89" t="s">
        <v>45</v>
      </c>
      <c r="D46" s="96" t="s">
        <v>43</v>
      </c>
      <c r="E46" s="255" t="s">
        <v>37</v>
      </c>
      <c r="F46" s="254">
        <v>1</v>
      </c>
      <c r="G46" s="277">
        <v>10</v>
      </c>
      <c r="H46" s="277">
        <v>8</v>
      </c>
      <c r="I46" s="277">
        <v>9</v>
      </c>
      <c r="J46" s="277">
        <v>7</v>
      </c>
      <c r="K46" s="277">
        <v>8</v>
      </c>
      <c r="L46" s="277">
        <v>8</v>
      </c>
      <c r="M46" s="277">
        <v>7</v>
      </c>
      <c r="N46" s="277">
        <v>8</v>
      </c>
      <c r="O46" s="277">
        <v>8</v>
      </c>
      <c r="P46" s="276">
        <f>AVERAGE(G46:O46)</f>
        <v>8.1111111111111107</v>
      </c>
    </row>
    <row r="47" spans="1:16" ht="21.6" customHeight="1" thickTop="1" thickBot="1" x14ac:dyDescent="0.25">
      <c r="A47" s="11" t="s">
        <v>38</v>
      </c>
      <c r="B47" s="262">
        <v>1</v>
      </c>
      <c r="C47" s="89" t="s">
        <v>44</v>
      </c>
      <c r="D47" s="96" t="s">
        <v>43</v>
      </c>
      <c r="E47" s="11" t="s">
        <v>38</v>
      </c>
      <c r="F47" s="262">
        <v>1</v>
      </c>
      <c r="G47" s="279">
        <v>6</v>
      </c>
      <c r="H47" s="279">
        <v>8</v>
      </c>
      <c r="I47" s="279">
        <v>9</v>
      </c>
      <c r="J47" s="279">
        <v>8</v>
      </c>
      <c r="K47" s="279">
        <v>8</v>
      </c>
      <c r="L47" s="279">
        <v>8</v>
      </c>
      <c r="M47" s="279">
        <v>9</v>
      </c>
      <c r="N47" s="279">
        <v>8</v>
      </c>
      <c r="O47" s="279">
        <v>9</v>
      </c>
      <c r="P47" s="276">
        <f>AVERAGE(G47:O47)</f>
        <v>8.1111111111111107</v>
      </c>
    </row>
    <row r="48" spans="1:16" ht="21.6" customHeight="1" thickTop="1" thickBot="1" x14ac:dyDescent="0.25">
      <c r="A48" s="259" t="s">
        <v>38</v>
      </c>
      <c r="B48" s="258">
        <v>2</v>
      </c>
      <c r="C48" s="89" t="s">
        <v>48</v>
      </c>
      <c r="D48" s="96" t="s">
        <v>43</v>
      </c>
      <c r="E48" s="259" t="s">
        <v>38</v>
      </c>
      <c r="F48" s="258">
        <v>2</v>
      </c>
      <c r="G48" s="278">
        <v>9</v>
      </c>
      <c r="H48" s="278">
        <v>9</v>
      </c>
      <c r="I48" s="278">
        <v>8</v>
      </c>
      <c r="J48" s="278">
        <v>7</v>
      </c>
      <c r="K48" s="278">
        <v>9</v>
      </c>
      <c r="L48" s="278">
        <v>8</v>
      </c>
      <c r="M48" s="278">
        <v>8</v>
      </c>
      <c r="N48" s="278">
        <v>9</v>
      </c>
      <c r="O48" s="278">
        <v>9</v>
      </c>
      <c r="P48" s="276">
        <f>AVERAGE(G48:O48)</f>
        <v>8.4444444444444446</v>
      </c>
    </row>
    <row r="49" spans="1:16" ht="21.6" customHeight="1" thickTop="1" thickBot="1" x14ac:dyDescent="0.25">
      <c r="A49" s="259" t="s">
        <v>38</v>
      </c>
      <c r="B49" s="258">
        <v>3</v>
      </c>
      <c r="C49" s="89" t="s">
        <v>46</v>
      </c>
      <c r="D49" s="96" t="s">
        <v>43</v>
      </c>
      <c r="E49" s="259" t="s">
        <v>38</v>
      </c>
      <c r="F49" s="258">
        <v>3</v>
      </c>
      <c r="G49" s="278">
        <v>9</v>
      </c>
      <c r="H49" s="278">
        <v>8</v>
      </c>
      <c r="I49" s="278">
        <v>8</v>
      </c>
      <c r="J49" s="278">
        <v>8</v>
      </c>
      <c r="K49" s="278">
        <v>10</v>
      </c>
      <c r="L49" s="278">
        <v>9</v>
      </c>
      <c r="M49" s="278">
        <v>8</v>
      </c>
      <c r="N49" s="278">
        <v>8</v>
      </c>
      <c r="O49" s="278">
        <v>9</v>
      </c>
      <c r="P49" s="276">
        <f>AVERAGE(G49:O49)</f>
        <v>8.5555555555555554</v>
      </c>
    </row>
    <row r="50" spans="1:16" ht="21.6" customHeight="1" thickTop="1" thickBot="1" x14ac:dyDescent="0.25">
      <c r="A50" s="255" t="s">
        <v>38</v>
      </c>
      <c r="B50" s="254">
        <v>4</v>
      </c>
      <c r="C50" s="89" t="s">
        <v>45</v>
      </c>
      <c r="D50" s="96" t="s">
        <v>43</v>
      </c>
      <c r="E50" s="255" t="s">
        <v>38</v>
      </c>
      <c r="F50" s="254">
        <v>4</v>
      </c>
      <c r="G50" s="277">
        <v>8</v>
      </c>
      <c r="H50" s="277">
        <v>8</v>
      </c>
      <c r="I50" s="277">
        <v>8</v>
      </c>
      <c r="J50" s="277">
        <v>8</v>
      </c>
      <c r="K50" s="277">
        <v>7</v>
      </c>
      <c r="L50" s="277">
        <v>7</v>
      </c>
      <c r="M50" s="277">
        <v>8</v>
      </c>
      <c r="N50" s="277">
        <v>7</v>
      </c>
      <c r="O50" s="277">
        <v>6</v>
      </c>
      <c r="P50" s="276">
        <f>AVERAGE(G50:O50)</f>
        <v>7.4444444444444446</v>
      </c>
    </row>
    <row r="51" spans="1:16" ht="21.6" customHeight="1" thickTop="1" thickBot="1" x14ac:dyDescent="0.25">
      <c r="A51" s="11" t="s">
        <v>39</v>
      </c>
      <c r="B51" s="262">
        <v>4</v>
      </c>
      <c r="C51" s="89" t="s">
        <v>45</v>
      </c>
      <c r="D51" s="93" t="s">
        <v>41</v>
      </c>
      <c r="E51" s="11" t="s">
        <v>39</v>
      </c>
      <c r="F51" s="262">
        <v>4</v>
      </c>
      <c r="G51" s="279">
        <v>7</v>
      </c>
      <c r="H51" s="279">
        <v>7</v>
      </c>
      <c r="I51" s="279">
        <v>8</v>
      </c>
      <c r="J51" s="279">
        <v>9</v>
      </c>
      <c r="K51" s="279">
        <v>8</v>
      </c>
      <c r="L51" s="279">
        <v>9</v>
      </c>
      <c r="M51" s="279">
        <v>9</v>
      </c>
      <c r="N51" s="279">
        <v>10</v>
      </c>
      <c r="O51" s="279">
        <v>8</v>
      </c>
      <c r="P51" s="276">
        <f>AVERAGE(G51:O51)</f>
        <v>8.3333333333333339</v>
      </c>
    </row>
    <row r="52" spans="1:16" ht="21.6" customHeight="1" thickTop="1" thickBot="1" x14ac:dyDescent="0.25">
      <c r="A52" s="259" t="s">
        <v>39</v>
      </c>
      <c r="B52" s="258">
        <v>3</v>
      </c>
      <c r="C52" s="89" t="s">
        <v>46</v>
      </c>
      <c r="D52" s="93" t="s">
        <v>41</v>
      </c>
      <c r="E52" s="259" t="s">
        <v>39</v>
      </c>
      <c r="F52" s="258">
        <v>3</v>
      </c>
      <c r="G52" s="278">
        <v>10</v>
      </c>
      <c r="H52" s="278">
        <v>9</v>
      </c>
      <c r="I52" s="278">
        <v>8</v>
      </c>
      <c r="J52" s="278">
        <v>9</v>
      </c>
      <c r="K52" s="278">
        <v>9</v>
      </c>
      <c r="L52" s="278">
        <v>8</v>
      </c>
      <c r="M52" s="278">
        <v>10</v>
      </c>
      <c r="N52" s="278">
        <v>11</v>
      </c>
      <c r="O52" s="278">
        <v>10</v>
      </c>
      <c r="P52" s="276">
        <f>AVERAGE(G52:O52)</f>
        <v>9.3333333333333339</v>
      </c>
    </row>
    <row r="53" spans="1:16" ht="21.6" customHeight="1" thickTop="1" thickBot="1" x14ac:dyDescent="0.25">
      <c r="A53" s="259" t="s">
        <v>39</v>
      </c>
      <c r="B53" s="258">
        <v>2</v>
      </c>
      <c r="C53" s="89" t="s">
        <v>48</v>
      </c>
      <c r="D53" s="93" t="s">
        <v>41</v>
      </c>
      <c r="E53" s="259" t="s">
        <v>39</v>
      </c>
      <c r="F53" s="258">
        <v>2</v>
      </c>
      <c r="G53" s="278">
        <v>9</v>
      </c>
      <c r="H53" s="278">
        <v>10</v>
      </c>
      <c r="I53" s="278">
        <v>9</v>
      </c>
      <c r="J53" s="278">
        <v>10</v>
      </c>
      <c r="K53" s="278">
        <v>8</v>
      </c>
      <c r="L53" s="278">
        <v>8</v>
      </c>
      <c r="M53" s="278">
        <v>8</v>
      </c>
      <c r="N53" s="278">
        <v>8</v>
      </c>
      <c r="O53" s="278">
        <v>8</v>
      </c>
      <c r="P53" s="276">
        <f>AVERAGE(G53:O53)</f>
        <v>8.6666666666666661</v>
      </c>
    </row>
    <row r="54" spans="1:16" ht="21.6" customHeight="1" thickTop="1" thickBot="1" x14ac:dyDescent="0.25">
      <c r="A54" s="255" t="s">
        <v>39</v>
      </c>
      <c r="B54" s="254">
        <v>1</v>
      </c>
      <c r="C54" s="89" t="s">
        <v>44</v>
      </c>
      <c r="D54" s="93" t="s">
        <v>41</v>
      </c>
      <c r="E54" s="255" t="s">
        <v>39</v>
      </c>
      <c r="F54" s="254">
        <v>1</v>
      </c>
      <c r="G54" s="277">
        <v>8</v>
      </c>
      <c r="H54" s="277">
        <v>7</v>
      </c>
      <c r="I54" s="277">
        <v>7</v>
      </c>
      <c r="J54" s="277">
        <v>8</v>
      </c>
      <c r="K54" s="277">
        <v>7</v>
      </c>
      <c r="L54" s="277">
        <v>7</v>
      </c>
      <c r="M54" s="277">
        <v>8</v>
      </c>
      <c r="N54" s="277">
        <v>6</v>
      </c>
      <c r="O54" s="277">
        <v>7</v>
      </c>
      <c r="P54" s="276">
        <f>AVERAGE(G54:O54)</f>
        <v>7.2222222222222223</v>
      </c>
    </row>
  </sheetData>
  <mergeCells count="3">
    <mergeCell ref="C4:I4"/>
    <mergeCell ref="E6:F6"/>
    <mergeCell ref="A6:B6"/>
  </mergeCells>
  <conditionalFormatting sqref="C7:C54">
    <cfRule type="containsText" dxfId="47" priority="1" operator="containsText" text="AQC-N">
      <formula>NOT(ISERROR(SEARCH("AQC-N",C7)))</formula>
    </cfRule>
    <cfRule type="containsText" dxfId="46" priority="2" operator="containsText" text="AQC">
      <formula>NOT(ISERROR(SEARCH("AQC",C7)))</formula>
    </cfRule>
    <cfRule type="containsText" dxfId="45" priority="3" operator="containsText" text="FAO-N">
      <formula>NOT(ISERROR(SEARCH("FAO-N",C7)))</formula>
    </cfRule>
    <cfRule type="containsText" dxfId="44" priority="4" operator="containsText" text="CSM-N">
      <formula>NOT(ISERROR(SEARCH("CSM-N",C7)))</formula>
    </cfRule>
    <cfRule type="containsText" dxfId="43" priority="5" operator="containsText" text="CSM">
      <formula>NOT(ISERROR(SEARCH("CSM",C7)))</formula>
    </cfRule>
    <cfRule type="containsText" dxfId="42" priority="6" operator="containsText" text="FAO">
      <formula>NOT(ISERROR(SEARCH("FAO",C7)))</formula>
    </cfRule>
  </conditionalFormatting>
  <pageMargins left="0.45" right="0.45" top="0.5" bottom="0.5" header="0" footer="0"/>
  <pageSetup scale="93"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1791-291C-42EB-8C71-EDDF1FD9A390}">
  <dimension ref="A1:Q150"/>
  <sheetViews>
    <sheetView topLeftCell="A24"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s>
  <sheetData>
    <row r="1" spans="1:17" ht="15.75" x14ac:dyDescent="0.25">
      <c r="B1" s="6">
        <v>2022</v>
      </c>
      <c r="C1" s="8" t="s">
        <v>24</v>
      </c>
      <c r="D1" s="2"/>
      <c r="E1" s="8" t="s">
        <v>6</v>
      </c>
      <c r="F1"/>
      <c r="G1" s="4" t="s">
        <v>8</v>
      </c>
      <c r="H1" s="289">
        <v>44753</v>
      </c>
      <c r="I1" s="288"/>
      <c r="J1" s="288"/>
      <c r="K1" s="288"/>
      <c r="L1" s="288"/>
    </row>
    <row r="2" spans="1:17" ht="6.6" customHeight="1" x14ac:dyDescent="0.25">
      <c r="B2" s="6"/>
      <c r="C2" s="7"/>
      <c r="D2" s="8"/>
      <c r="E2"/>
      <c r="F2"/>
      <c r="G2" s="4"/>
      <c r="H2" s="4"/>
    </row>
    <row r="3" spans="1:17" x14ac:dyDescent="0.2">
      <c r="C3" s="5" t="s">
        <v>357</v>
      </c>
      <c r="D3" s="2"/>
      <c r="E3"/>
      <c r="F3"/>
      <c r="G3" s="4" t="s">
        <v>13</v>
      </c>
      <c r="H3" s="4" t="s">
        <v>51</v>
      </c>
    </row>
    <row r="4" spans="1:17" ht="33" customHeight="1" x14ac:dyDescent="0.2">
      <c r="C4" s="273" t="s">
        <v>356</v>
      </c>
      <c r="D4" s="287"/>
      <c r="E4" s="287"/>
      <c r="F4" s="287"/>
      <c r="G4" s="287"/>
      <c r="H4" s="287"/>
      <c r="I4" s="287"/>
      <c r="J4" s="286"/>
      <c r="K4" s="286"/>
      <c r="L4" s="286"/>
      <c r="M4" s="285"/>
    </row>
    <row r="5" spans="1:17" ht="15" customHeight="1" x14ac:dyDescent="0.2">
      <c r="E5" s="5"/>
      <c r="G5" s="271"/>
      <c r="H5" s="271"/>
      <c r="I5" s="271"/>
      <c r="J5" s="271"/>
      <c r="K5" s="271"/>
      <c r="L5" s="271"/>
      <c r="M5" s="271"/>
      <c r="N5" s="271"/>
      <c r="O5" s="3"/>
    </row>
    <row r="6" spans="1:17"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7" ht="21.6" customHeight="1" thickTop="1" thickBot="1" x14ac:dyDescent="0.25">
      <c r="A7" s="11" t="s">
        <v>0</v>
      </c>
      <c r="B7" s="14">
        <v>1</v>
      </c>
      <c r="C7" s="89" t="s">
        <v>42</v>
      </c>
      <c r="D7" s="93" t="s">
        <v>41</v>
      </c>
      <c r="E7" s="11" t="s">
        <v>0</v>
      </c>
      <c r="F7" s="14">
        <v>1</v>
      </c>
      <c r="G7" s="279">
        <v>5</v>
      </c>
      <c r="H7" s="279">
        <v>5</v>
      </c>
      <c r="I7" s="279">
        <v>7</v>
      </c>
      <c r="J7" s="279">
        <v>6</v>
      </c>
      <c r="K7" s="279">
        <v>6</v>
      </c>
      <c r="L7" s="279">
        <v>7</v>
      </c>
      <c r="M7" s="279">
        <v>7</v>
      </c>
      <c r="N7" s="279">
        <v>8</v>
      </c>
      <c r="O7" s="279">
        <v>7</v>
      </c>
      <c r="P7" s="276">
        <f>AVERAGE(G7:O7)</f>
        <v>6.4444444444444446</v>
      </c>
      <c r="Q7" s="292"/>
    </row>
    <row r="8" spans="1:17" ht="21.6" customHeight="1" thickTop="1" thickBot="1" x14ac:dyDescent="0.25">
      <c r="A8" s="259" t="s">
        <v>0</v>
      </c>
      <c r="B8" s="281">
        <v>2</v>
      </c>
      <c r="C8" s="89" t="s">
        <v>44</v>
      </c>
      <c r="D8" s="93" t="s">
        <v>41</v>
      </c>
      <c r="E8" s="259" t="s">
        <v>0</v>
      </c>
      <c r="F8" s="281">
        <v>2</v>
      </c>
      <c r="G8" s="278">
        <v>5</v>
      </c>
      <c r="H8" s="278">
        <v>6</v>
      </c>
      <c r="I8" s="278">
        <v>7</v>
      </c>
      <c r="J8" s="278">
        <v>7</v>
      </c>
      <c r="K8" s="278">
        <v>5</v>
      </c>
      <c r="L8" s="278">
        <v>6</v>
      </c>
      <c r="M8" s="278">
        <v>6</v>
      </c>
      <c r="N8" s="278">
        <v>5</v>
      </c>
      <c r="O8" s="278">
        <v>5</v>
      </c>
      <c r="P8" s="276">
        <f>AVERAGE(G8:O8)</f>
        <v>5.7777777777777777</v>
      </c>
      <c r="Q8" s="292"/>
    </row>
    <row r="9" spans="1:17" ht="21.6" customHeight="1" thickTop="1" thickBot="1" x14ac:dyDescent="0.25">
      <c r="A9" s="259" t="s">
        <v>0</v>
      </c>
      <c r="B9" s="281">
        <v>3</v>
      </c>
      <c r="C9" s="89" t="s">
        <v>45</v>
      </c>
      <c r="D9" s="93" t="s">
        <v>41</v>
      </c>
      <c r="E9" s="259" t="s">
        <v>0</v>
      </c>
      <c r="F9" s="281">
        <v>3</v>
      </c>
      <c r="G9" s="278">
        <v>5</v>
      </c>
      <c r="H9" s="278">
        <v>7</v>
      </c>
      <c r="I9" s="278">
        <v>6</v>
      </c>
      <c r="J9" s="278">
        <v>6</v>
      </c>
      <c r="K9" s="278">
        <v>7</v>
      </c>
      <c r="L9" s="278">
        <v>7</v>
      </c>
      <c r="M9" s="278">
        <v>6</v>
      </c>
      <c r="N9" s="278">
        <v>7</v>
      </c>
      <c r="O9" s="278">
        <v>6</v>
      </c>
      <c r="P9" s="276">
        <f>AVERAGE(G9:O9)</f>
        <v>6.333333333333333</v>
      </c>
      <c r="Q9" s="292"/>
    </row>
    <row r="10" spans="1:17" ht="21.6" customHeight="1" thickTop="1" thickBot="1" x14ac:dyDescent="0.25">
      <c r="A10" s="255" t="s">
        <v>0</v>
      </c>
      <c r="B10" s="280">
        <v>4</v>
      </c>
      <c r="C10" s="89" t="s">
        <v>46</v>
      </c>
      <c r="D10" s="93" t="s">
        <v>41</v>
      </c>
      <c r="E10" s="255" t="s">
        <v>0</v>
      </c>
      <c r="F10" s="280">
        <v>4</v>
      </c>
      <c r="G10" s="277">
        <v>7</v>
      </c>
      <c r="H10" s="277">
        <v>7</v>
      </c>
      <c r="I10" s="277">
        <v>6</v>
      </c>
      <c r="J10" s="277">
        <v>5</v>
      </c>
      <c r="K10" s="277">
        <v>7</v>
      </c>
      <c r="L10" s="277">
        <v>7</v>
      </c>
      <c r="M10" s="277">
        <v>7</v>
      </c>
      <c r="N10" s="277">
        <v>6</v>
      </c>
      <c r="O10" s="277">
        <v>6</v>
      </c>
      <c r="P10" s="276">
        <f>AVERAGE(G10:O10)</f>
        <v>6.4444444444444446</v>
      </c>
      <c r="Q10" s="292"/>
    </row>
    <row r="11" spans="1:17" ht="21.6" customHeight="1" thickTop="1" thickBot="1" x14ac:dyDescent="0.25">
      <c r="A11" s="11" t="s">
        <v>1</v>
      </c>
      <c r="B11" s="14">
        <v>4</v>
      </c>
      <c r="C11" s="89" t="s">
        <v>46</v>
      </c>
      <c r="D11" s="96" t="s">
        <v>43</v>
      </c>
      <c r="E11" s="11" t="s">
        <v>1</v>
      </c>
      <c r="F11" s="14">
        <v>4</v>
      </c>
      <c r="G11" s="279">
        <v>5</v>
      </c>
      <c r="H11" s="279">
        <v>5</v>
      </c>
      <c r="I11" s="279">
        <v>6</v>
      </c>
      <c r="J11" s="279">
        <v>7</v>
      </c>
      <c r="K11" s="279">
        <v>6</v>
      </c>
      <c r="L11" s="279">
        <v>6</v>
      </c>
      <c r="M11" s="279">
        <v>6</v>
      </c>
      <c r="N11" s="279">
        <v>5</v>
      </c>
      <c r="O11" s="279">
        <v>5</v>
      </c>
      <c r="P11" s="276">
        <f>AVERAGE(G11:O11)</f>
        <v>5.666666666666667</v>
      </c>
      <c r="Q11" s="292"/>
    </row>
    <row r="12" spans="1:17" ht="21.6" customHeight="1" thickTop="1" thickBot="1" x14ac:dyDescent="0.25">
      <c r="A12" s="259" t="s">
        <v>1</v>
      </c>
      <c r="B12" s="281">
        <v>3</v>
      </c>
      <c r="C12" s="89" t="s">
        <v>45</v>
      </c>
      <c r="D12" s="96" t="s">
        <v>43</v>
      </c>
      <c r="E12" s="259" t="s">
        <v>1</v>
      </c>
      <c r="F12" s="281">
        <v>3</v>
      </c>
      <c r="G12" s="278">
        <v>6</v>
      </c>
      <c r="H12" s="278">
        <v>6</v>
      </c>
      <c r="I12" s="278">
        <v>6</v>
      </c>
      <c r="J12" s="278">
        <v>7</v>
      </c>
      <c r="K12" s="278">
        <v>7</v>
      </c>
      <c r="L12" s="278">
        <v>6</v>
      </c>
      <c r="M12" s="278">
        <v>5</v>
      </c>
      <c r="N12" s="278">
        <v>6</v>
      </c>
      <c r="O12" s="278">
        <v>6</v>
      </c>
      <c r="P12" s="276">
        <f>AVERAGE(G12:O12)</f>
        <v>6.1111111111111107</v>
      </c>
      <c r="Q12" s="292"/>
    </row>
    <row r="13" spans="1:17" ht="21.6" customHeight="1" thickTop="1" thickBot="1" x14ac:dyDescent="0.25">
      <c r="A13" s="259" t="s">
        <v>1</v>
      </c>
      <c r="B13" s="281">
        <v>2</v>
      </c>
      <c r="C13" s="89" t="s">
        <v>44</v>
      </c>
      <c r="D13" s="96" t="s">
        <v>43</v>
      </c>
      <c r="E13" s="259" t="s">
        <v>1</v>
      </c>
      <c r="F13" s="281">
        <v>2</v>
      </c>
      <c r="G13" s="278">
        <v>7</v>
      </c>
      <c r="H13" s="278">
        <v>8</v>
      </c>
      <c r="I13" s="278">
        <v>7</v>
      </c>
      <c r="J13" s="278">
        <v>6</v>
      </c>
      <c r="K13" s="278">
        <v>6</v>
      </c>
      <c r="L13" s="278">
        <v>6</v>
      </c>
      <c r="M13" s="278">
        <v>5</v>
      </c>
      <c r="N13" s="278">
        <v>6</v>
      </c>
      <c r="O13" s="278">
        <v>6</v>
      </c>
      <c r="P13" s="276">
        <f>AVERAGE(G13:O13)</f>
        <v>6.333333333333333</v>
      </c>
      <c r="Q13" s="292"/>
    </row>
    <row r="14" spans="1:17" ht="21.6" customHeight="1" thickTop="1" thickBot="1" x14ac:dyDescent="0.25">
      <c r="A14" s="255" t="s">
        <v>1</v>
      </c>
      <c r="B14" s="280">
        <v>1</v>
      </c>
      <c r="C14" s="89" t="s">
        <v>42</v>
      </c>
      <c r="D14" s="96" t="s">
        <v>43</v>
      </c>
      <c r="E14" s="255" t="s">
        <v>1</v>
      </c>
      <c r="F14" s="280">
        <v>1</v>
      </c>
      <c r="G14" s="277">
        <v>7</v>
      </c>
      <c r="H14" s="277">
        <v>6</v>
      </c>
      <c r="I14" s="277">
        <v>7</v>
      </c>
      <c r="J14" s="277">
        <v>7</v>
      </c>
      <c r="K14" s="277">
        <v>8</v>
      </c>
      <c r="L14" s="277">
        <v>7</v>
      </c>
      <c r="M14" s="277">
        <v>6</v>
      </c>
      <c r="N14" s="277">
        <v>6</v>
      </c>
      <c r="O14" s="277">
        <v>6</v>
      </c>
      <c r="P14" s="276">
        <f>AVERAGE(G14:O14)</f>
        <v>6.666666666666667</v>
      </c>
      <c r="Q14" s="292"/>
    </row>
    <row r="15" spans="1:17" ht="21.6" customHeight="1" thickTop="1" thickBot="1" x14ac:dyDescent="0.25">
      <c r="A15" s="11" t="s">
        <v>2</v>
      </c>
      <c r="B15" s="14">
        <v>1</v>
      </c>
      <c r="C15" s="89" t="s">
        <v>46</v>
      </c>
      <c r="D15" s="93" t="s">
        <v>41</v>
      </c>
      <c r="E15" s="11" t="s">
        <v>2</v>
      </c>
      <c r="F15" s="14">
        <v>1</v>
      </c>
      <c r="G15" s="279">
        <v>6</v>
      </c>
      <c r="H15" s="279">
        <v>6</v>
      </c>
      <c r="I15" s="279">
        <v>7</v>
      </c>
      <c r="J15" s="279">
        <v>6</v>
      </c>
      <c r="K15" s="279">
        <v>5</v>
      </c>
      <c r="L15" s="279">
        <v>6</v>
      </c>
      <c r="M15" s="279">
        <v>7</v>
      </c>
      <c r="N15" s="279">
        <v>6</v>
      </c>
      <c r="O15" s="279">
        <v>6</v>
      </c>
      <c r="P15" s="276">
        <f>AVERAGE(G15:O15)</f>
        <v>6.1111111111111107</v>
      </c>
      <c r="Q15" s="292"/>
    </row>
    <row r="16" spans="1:17" ht="21.6" customHeight="1" thickTop="1" thickBot="1" x14ac:dyDescent="0.25">
      <c r="A16" s="259" t="s">
        <v>2</v>
      </c>
      <c r="B16" s="281">
        <v>2</v>
      </c>
      <c r="C16" s="89" t="s">
        <v>47</v>
      </c>
      <c r="D16" s="93" t="s">
        <v>41</v>
      </c>
      <c r="E16" s="259" t="s">
        <v>2</v>
      </c>
      <c r="F16" s="281">
        <v>2</v>
      </c>
      <c r="G16" s="278">
        <v>6</v>
      </c>
      <c r="H16" s="278">
        <v>6</v>
      </c>
      <c r="I16" s="278">
        <v>6</v>
      </c>
      <c r="J16" s="278">
        <v>7</v>
      </c>
      <c r="K16" s="278">
        <v>7</v>
      </c>
      <c r="L16" s="278">
        <v>6</v>
      </c>
      <c r="M16" s="278">
        <v>6</v>
      </c>
      <c r="N16" s="278">
        <v>6</v>
      </c>
      <c r="O16" s="278">
        <v>6</v>
      </c>
      <c r="P16" s="276">
        <f>AVERAGE(G16:O16)</f>
        <v>6.2222222222222223</v>
      </c>
      <c r="Q16" s="292"/>
    </row>
    <row r="17" spans="1:17" ht="21.6" customHeight="1" thickTop="1" thickBot="1" x14ac:dyDescent="0.25">
      <c r="A17" s="259" t="s">
        <v>2</v>
      </c>
      <c r="B17" s="281">
        <v>3</v>
      </c>
      <c r="C17" s="89" t="s">
        <v>48</v>
      </c>
      <c r="D17" s="93" t="s">
        <v>41</v>
      </c>
      <c r="E17" s="259" t="s">
        <v>2</v>
      </c>
      <c r="F17" s="281">
        <v>3</v>
      </c>
      <c r="G17" s="278">
        <v>7</v>
      </c>
      <c r="H17" s="278">
        <v>6</v>
      </c>
      <c r="I17" s="278">
        <v>7</v>
      </c>
      <c r="J17" s="278">
        <v>7</v>
      </c>
      <c r="K17" s="278">
        <v>7</v>
      </c>
      <c r="L17" s="278">
        <v>7</v>
      </c>
      <c r="M17" s="278">
        <v>8</v>
      </c>
      <c r="N17" s="278">
        <v>6</v>
      </c>
      <c r="O17" s="278">
        <v>7</v>
      </c>
      <c r="P17" s="276">
        <f>AVERAGE(G17:O17)</f>
        <v>6.8888888888888893</v>
      </c>
      <c r="Q17" s="292"/>
    </row>
    <row r="18" spans="1:17" ht="21.6" customHeight="1" thickTop="1" thickBot="1" x14ac:dyDescent="0.25">
      <c r="A18" s="255" t="s">
        <v>2</v>
      </c>
      <c r="B18" s="280">
        <v>4</v>
      </c>
      <c r="C18" s="89" t="s">
        <v>42</v>
      </c>
      <c r="D18" s="93" t="s">
        <v>41</v>
      </c>
      <c r="E18" s="255" t="s">
        <v>2</v>
      </c>
      <c r="F18" s="280">
        <v>4</v>
      </c>
      <c r="G18" s="277">
        <v>7</v>
      </c>
      <c r="H18" s="277">
        <v>8</v>
      </c>
      <c r="I18" s="277">
        <v>7</v>
      </c>
      <c r="J18" s="277">
        <v>7</v>
      </c>
      <c r="K18" s="277">
        <v>8</v>
      </c>
      <c r="L18" s="277">
        <v>7</v>
      </c>
      <c r="M18" s="277">
        <v>7</v>
      </c>
      <c r="N18" s="277">
        <v>6</v>
      </c>
      <c r="O18" s="277">
        <v>7</v>
      </c>
      <c r="P18" s="276">
        <f>AVERAGE(G18:O18)</f>
        <v>7.1111111111111107</v>
      </c>
      <c r="Q18" s="292"/>
    </row>
    <row r="19" spans="1:17" ht="21.6" customHeight="1" thickTop="1" thickBot="1" x14ac:dyDescent="0.25">
      <c r="A19" s="11" t="s">
        <v>3</v>
      </c>
      <c r="B19" s="14">
        <v>4</v>
      </c>
      <c r="C19" s="89" t="s">
        <v>42</v>
      </c>
      <c r="D19" s="96" t="s">
        <v>43</v>
      </c>
      <c r="E19" s="11" t="s">
        <v>3</v>
      </c>
      <c r="F19" s="14">
        <v>4</v>
      </c>
      <c r="G19" s="279">
        <v>6</v>
      </c>
      <c r="H19" s="279">
        <v>6</v>
      </c>
      <c r="I19" s="279">
        <v>7</v>
      </c>
      <c r="J19" s="279">
        <v>8</v>
      </c>
      <c r="K19" s="279">
        <v>7</v>
      </c>
      <c r="L19" s="279">
        <v>7</v>
      </c>
      <c r="M19" s="279">
        <v>6</v>
      </c>
      <c r="N19" s="279">
        <v>6</v>
      </c>
      <c r="O19" s="279">
        <v>6</v>
      </c>
      <c r="P19" s="276">
        <f>AVERAGE(G19:O19)</f>
        <v>6.5555555555555554</v>
      </c>
      <c r="Q19" s="292"/>
    </row>
    <row r="20" spans="1:17" ht="21.6" customHeight="1" thickTop="1" thickBot="1" x14ac:dyDescent="0.25">
      <c r="A20" s="259" t="s">
        <v>3</v>
      </c>
      <c r="B20" s="281">
        <v>3</v>
      </c>
      <c r="C20" s="89" t="s">
        <v>48</v>
      </c>
      <c r="D20" s="96" t="s">
        <v>43</v>
      </c>
      <c r="E20" s="259" t="s">
        <v>3</v>
      </c>
      <c r="F20" s="281">
        <v>3</v>
      </c>
      <c r="G20" s="278">
        <v>7</v>
      </c>
      <c r="H20" s="278">
        <v>8</v>
      </c>
      <c r="I20" s="278">
        <v>8</v>
      </c>
      <c r="J20" s="278">
        <v>7</v>
      </c>
      <c r="K20" s="278">
        <v>8</v>
      </c>
      <c r="L20" s="278">
        <v>7</v>
      </c>
      <c r="M20" s="278">
        <v>8</v>
      </c>
      <c r="N20" s="278">
        <v>8</v>
      </c>
      <c r="O20" s="278">
        <v>8</v>
      </c>
      <c r="P20" s="276">
        <f>AVERAGE(G20:O20)</f>
        <v>7.666666666666667</v>
      </c>
      <c r="Q20" s="292"/>
    </row>
    <row r="21" spans="1:17" ht="21.6" customHeight="1" thickTop="1" thickBot="1" x14ac:dyDescent="0.25">
      <c r="A21" s="259" t="s">
        <v>3</v>
      </c>
      <c r="B21" s="281">
        <v>2</v>
      </c>
      <c r="C21" s="89" t="s">
        <v>47</v>
      </c>
      <c r="D21" s="96" t="s">
        <v>43</v>
      </c>
      <c r="E21" s="259" t="s">
        <v>3</v>
      </c>
      <c r="F21" s="281">
        <v>2</v>
      </c>
      <c r="G21" s="278">
        <v>8</v>
      </c>
      <c r="H21" s="278">
        <v>7</v>
      </c>
      <c r="I21" s="278">
        <v>8</v>
      </c>
      <c r="J21" s="278">
        <v>7</v>
      </c>
      <c r="K21" s="278">
        <v>7</v>
      </c>
      <c r="L21" s="278">
        <v>6</v>
      </c>
      <c r="M21" s="278">
        <v>7</v>
      </c>
      <c r="N21" s="278">
        <v>7</v>
      </c>
      <c r="O21" s="278">
        <v>8</v>
      </c>
      <c r="P21" s="276">
        <f>AVERAGE(G21:O21)</f>
        <v>7.2222222222222223</v>
      </c>
      <c r="Q21" s="292"/>
    </row>
    <row r="22" spans="1:17" ht="21.6" customHeight="1" thickTop="1" thickBot="1" x14ac:dyDescent="0.25">
      <c r="A22" s="255" t="s">
        <v>3</v>
      </c>
      <c r="B22" s="280">
        <v>1</v>
      </c>
      <c r="C22" s="89" t="s">
        <v>46</v>
      </c>
      <c r="D22" s="96" t="s">
        <v>43</v>
      </c>
      <c r="E22" s="255" t="s">
        <v>3</v>
      </c>
      <c r="F22" s="280">
        <v>1</v>
      </c>
      <c r="G22" s="277">
        <v>7</v>
      </c>
      <c r="H22" s="277">
        <v>8</v>
      </c>
      <c r="I22" s="277">
        <v>7</v>
      </c>
      <c r="J22" s="277">
        <v>6</v>
      </c>
      <c r="K22" s="277">
        <v>7</v>
      </c>
      <c r="L22" s="277">
        <v>7</v>
      </c>
      <c r="M22" s="277">
        <v>6</v>
      </c>
      <c r="N22" s="277">
        <v>6</v>
      </c>
      <c r="O22" s="277">
        <v>5</v>
      </c>
      <c r="P22" s="276">
        <f>AVERAGE(G22:O22)</f>
        <v>6.5555555555555554</v>
      </c>
      <c r="Q22" s="292"/>
    </row>
    <row r="23" spans="1:17" ht="21.6" customHeight="1" thickTop="1" thickBot="1" x14ac:dyDescent="0.25">
      <c r="A23" s="11" t="s">
        <v>4</v>
      </c>
      <c r="B23" s="14">
        <v>1</v>
      </c>
      <c r="C23" s="89" t="s">
        <v>48</v>
      </c>
      <c r="D23" s="96" t="s">
        <v>43</v>
      </c>
      <c r="E23" s="11" t="s">
        <v>4</v>
      </c>
      <c r="F23" s="14">
        <v>1</v>
      </c>
      <c r="G23" s="279">
        <v>5</v>
      </c>
      <c r="H23" s="279">
        <v>6</v>
      </c>
      <c r="I23" s="279">
        <v>6</v>
      </c>
      <c r="J23" s="279">
        <v>6</v>
      </c>
      <c r="K23" s="279">
        <v>6</v>
      </c>
      <c r="L23" s="279">
        <v>7</v>
      </c>
      <c r="M23" s="279">
        <v>6</v>
      </c>
      <c r="N23" s="279">
        <v>7</v>
      </c>
      <c r="O23" s="279">
        <v>7</v>
      </c>
      <c r="P23" s="276">
        <f>AVERAGE(G23:O23)</f>
        <v>6.2222222222222223</v>
      </c>
      <c r="Q23" s="292"/>
    </row>
    <row r="24" spans="1:17" ht="21.6" customHeight="1" thickTop="1" thickBot="1" x14ac:dyDescent="0.25">
      <c r="A24" s="259" t="s">
        <v>4</v>
      </c>
      <c r="B24" s="281">
        <v>2</v>
      </c>
      <c r="C24" s="89" t="s">
        <v>45</v>
      </c>
      <c r="D24" s="96" t="s">
        <v>43</v>
      </c>
      <c r="E24" s="259" t="s">
        <v>4</v>
      </c>
      <c r="F24" s="281">
        <v>2</v>
      </c>
      <c r="G24" s="278">
        <v>6</v>
      </c>
      <c r="H24" s="278">
        <v>6</v>
      </c>
      <c r="I24" s="278">
        <v>7</v>
      </c>
      <c r="J24" s="278">
        <v>6</v>
      </c>
      <c r="K24" s="278">
        <v>7</v>
      </c>
      <c r="L24" s="278">
        <v>6</v>
      </c>
      <c r="M24" s="278">
        <v>6</v>
      </c>
      <c r="N24" s="278">
        <v>6</v>
      </c>
      <c r="O24" s="278">
        <v>7</v>
      </c>
      <c r="P24" s="276">
        <f>AVERAGE(G24:O24)</f>
        <v>6.333333333333333</v>
      </c>
      <c r="Q24" s="292"/>
    </row>
    <row r="25" spans="1:17" ht="21.6" customHeight="1" thickTop="1" thickBot="1" x14ac:dyDescent="0.25">
      <c r="A25" s="259" t="s">
        <v>4</v>
      </c>
      <c r="B25" s="281">
        <v>3</v>
      </c>
      <c r="C25" s="89" t="s">
        <v>44</v>
      </c>
      <c r="D25" s="96" t="s">
        <v>43</v>
      </c>
      <c r="E25" s="259" t="s">
        <v>4</v>
      </c>
      <c r="F25" s="281">
        <v>3</v>
      </c>
      <c r="G25" s="278">
        <v>7</v>
      </c>
      <c r="H25" s="278">
        <v>6</v>
      </c>
      <c r="I25" s="278">
        <v>6</v>
      </c>
      <c r="J25" s="278">
        <v>5</v>
      </c>
      <c r="K25" s="278">
        <v>6</v>
      </c>
      <c r="L25" s="278">
        <v>6</v>
      </c>
      <c r="M25" s="278">
        <v>7</v>
      </c>
      <c r="N25" s="278">
        <v>6</v>
      </c>
      <c r="O25" s="278">
        <v>7</v>
      </c>
      <c r="P25" s="276">
        <f>AVERAGE(G25:O25)</f>
        <v>6.2222222222222223</v>
      </c>
      <c r="Q25" s="292"/>
    </row>
    <row r="26" spans="1:17" ht="21.6" customHeight="1" thickTop="1" thickBot="1" x14ac:dyDescent="0.25">
      <c r="A26" s="255" t="s">
        <v>4</v>
      </c>
      <c r="B26" s="280">
        <v>4</v>
      </c>
      <c r="C26" s="89" t="s">
        <v>47</v>
      </c>
      <c r="D26" s="96" t="s">
        <v>43</v>
      </c>
      <c r="E26" s="255" t="s">
        <v>4</v>
      </c>
      <c r="F26" s="280">
        <v>4</v>
      </c>
      <c r="G26" s="277">
        <v>7</v>
      </c>
      <c r="H26" s="277">
        <v>7</v>
      </c>
      <c r="I26" s="277">
        <v>6</v>
      </c>
      <c r="J26" s="277">
        <v>6</v>
      </c>
      <c r="K26" s="277">
        <v>6</v>
      </c>
      <c r="L26" s="277">
        <v>7</v>
      </c>
      <c r="M26" s="277">
        <v>6</v>
      </c>
      <c r="N26" s="277">
        <v>6</v>
      </c>
      <c r="O26" s="277">
        <v>5</v>
      </c>
      <c r="P26" s="276">
        <f>AVERAGE(G26:O26)</f>
        <v>6.2222222222222223</v>
      </c>
      <c r="Q26" s="292"/>
    </row>
    <row r="27" spans="1:17" ht="21.6" customHeight="1" thickTop="1" thickBot="1" x14ac:dyDescent="0.25">
      <c r="A27" s="11" t="s">
        <v>5</v>
      </c>
      <c r="B27" s="14">
        <v>4</v>
      </c>
      <c r="C27" s="89" t="s">
        <v>47</v>
      </c>
      <c r="D27" s="93" t="s">
        <v>41</v>
      </c>
      <c r="E27" s="11" t="s">
        <v>5</v>
      </c>
      <c r="F27" s="14">
        <v>4</v>
      </c>
      <c r="G27" s="279">
        <v>6</v>
      </c>
      <c r="H27" s="279">
        <v>5</v>
      </c>
      <c r="I27" s="279">
        <v>6</v>
      </c>
      <c r="J27" s="279">
        <v>6</v>
      </c>
      <c r="K27" s="279">
        <v>7</v>
      </c>
      <c r="L27" s="279">
        <v>8</v>
      </c>
      <c r="M27" s="279">
        <v>6</v>
      </c>
      <c r="N27" s="279">
        <v>7</v>
      </c>
      <c r="O27" s="279">
        <v>7</v>
      </c>
      <c r="P27" s="276">
        <f>AVERAGE(G27:O27)</f>
        <v>6.4444444444444446</v>
      </c>
      <c r="Q27" s="292"/>
    </row>
    <row r="28" spans="1:17" ht="21.6" customHeight="1" thickTop="1" thickBot="1" x14ac:dyDescent="0.25">
      <c r="A28" s="259" t="s">
        <v>5</v>
      </c>
      <c r="B28" s="281">
        <v>3</v>
      </c>
      <c r="C28" s="89" t="s">
        <v>44</v>
      </c>
      <c r="D28" s="93" t="s">
        <v>41</v>
      </c>
      <c r="E28" s="259" t="s">
        <v>5</v>
      </c>
      <c r="F28" s="281">
        <v>3</v>
      </c>
      <c r="G28" s="278">
        <v>6</v>
      </c>
      <c r="H28" s="278">
        <v>8</v>
      </c>
      <c r="I28" s="278">
        <v>7</v>
      </c>
      <c r="J28" s="278">
        <v>7</v>
      </c>
      <c r="K28" s="278">
        <v>6</v>
      </c>
      <c r="L28" s="278">
        <v>7</v>
      </c>
      <c r="M28" s="278">
        <v>6</v>
      </c>
      <c r="N28" s="278">
        <v>6</v>
      </c>
      <c r="O28" s="278">
        <v>7</v>
      </c>
      <c r="P28" s="276">
        <f>AVERAGE(G28:O28)</f>
        <v>6.666666666666667</v>
      </c>
      <c r="Q28" s="292"/>
    </row>
    <row r="29" spans="1:17" ht="21.6" customHeight="1" thickTop="1" thickBot="1" x14ac:dyDescent="0.25">
      <c r="A29" s="259" t="s">
        <v>5</v>
      </c>
      <c r="B29" s="281">
        <v>2</v>
      </c>
      <c r="C29" s="89" t="s">
        <v>45</v>
      </c>
      <c r="D29" s="93" t="s">
        <v>41</v>
      </c>
      <c r="E29" s="259" t="s">
        <v>5</v>
      </c>
      <c r="F29" s="281">
        <v>2</v>
      </c>
      <c r="G29" s="278">
        <v>7</v>
      </c>
      <c r="H29" s="278">
        <v>6</v>
      </c>
      <c r="I29" s="278">
        <v>5</v>
      </c>
      <c r="J29" s="278">
        <v>7</v>
      </c>
      <c r="K29" s="278">
        <v>6</v>
      </c>
      <c r="L29" s="278">
        <v>5</v>
      </c>
      <c r="M29" s="278">
        <v>7</v>
      </c>
      <c r="N29" s="278">
        <v>6</v>
      </c>
      <c r="O29" s="278">
        <v>5</v>
      </c>
      <c r="P29" s="276">
        <f>AVERAGE(G29:O29)</f>
        <v>6</v>
      </c>
      <c r="Q29" s="292"/>
    </row>
    <row r="30" spans="1:17" ht="21.6" customHeight="1" thickTop="1" thickBot="1" x14ac:dyDescent="0.25">
      <c r="A30" s="255" t="s">
        <v>5</v>
      </c>
      <c r="B30" s="280">
        <v>1</v>
      </c>
      <c r="C30" s="89" t="s">
        <v>48</v>
      </c>
      <c r="D30" s="93" t="s">
        <v>41</v>
      </c>
      <c r="E30" s="255" t="s">
        <v>5</v>
      </c>
      <c r="F30" s="280">
        <v>1</v>
      </c>
      <c r="G30" s="277">
        <v>8</v>
      </c>
      <c r="H30" s="277">
        <v>8</v>
      </c>
      <c r="I30" s="277">
        <v>9</v>
      </c>
      <c r="J30" s="277">
        <v>8</v>
      </c>
      <c r="K30" s="277">
        <v>9</v>
      </c>
      <c r="L30" s="277">
        <v>7</v>
      </c>
      <c r="M30" s="277">
        <v>8</v>
      </c>
      <c r="N30" s="277">
        <v>7</v>
      </c>
      <c r="O30" s="277">
        <v>6</v>
      </c>
      <c r="P30" s="276">
        <f>AVERAGE(G30:O30)</f>
        <v>7.7777777777777777</v>
      </c>
      <c r="Q30" s="292"/>
    </row>
    <row r="31" spans="1:17" ht="21.6" customHeight="1" thickTop="1" thickBot="1" x14ac:dyDescent="0.25">
      <c r="A31" s="11" t="s">
        <v>34</v>
      </c>
      <c r="B31" s="262">
        <v>1</v>
      </c>
      <c r="C31" s="89" t="s">
        <v>47</v>
      </c>
      <c r="D31" s="96" t="s">
        <v>43</v>
      </c>
      <c r="E31" s="11" t="s">
        <v>34</v>
      </c>
      <c r="F31" s="262">
        <v>1</v>
      </c>
      <c r="G31" s="279">
        <v>3</v>
      </c>
      <c r="H31" s="279">
        <v>4</v>
      </c>
      <c r="I31" s="279">
        <v>5</v>
      </c>
      <c r="J31" s="279">
        <v>4</v>
      </c>
      <c r="K31" s="279">
        <v>5</v>
      </c>
      <c r="L31" s="279">
        <v>6</v>
      </c>
      <c r="M31" s="279">
        <v>5</v>
      </c>
      <c r="N31" s="279">
        <v>5</v>
      </c>
      <c r="O31" s="279">
        <v>5</v>
      </c>
      <c r="P31" s="276">
        <f>AVERAGE(G31:O31)</f>
        <v>4.666666666666667</v>
      </c>
      <c r="Q31" s="292"/>
    </row>
    <row r="32" spans="1:17" ht="21.6" customHeight="1" thickTop="1" thickBot="1" x14ac:dyDescent="0.25">
      <c r="A32" s="259" t="s">
        <v>34</v>
      </c>
      <c r="B32" s="258">
        <v>2</v>
      </c>
      <c r="C32" s="89" t="s">
        <v>46</v>
      </c>
      <c r="D32" s="96" t="s">
        <v>43</v>
      </c>
      <c r="E32" s="259" t="s">
        <v>34</v>
      </c>
      <c r="F32" s="258">
        <v>2</v>
      </c>
      <c r="G32" s="278">
        <v>6</v>
      </c>
      <c r="H32" s="278">
        <v>7</v>
      </c>
      <c r="I32" s="278">
        <v>8</v>
      </c>
      <c r="J32" s="278">
        <v>7</v>
      </c>
      <c r="K32" s="278">
        <v>6</v>
      </c>
      <c r="L32" s="278">
        <v>8</v>
      </c>
      <c r="M32" s="278">
        <v>7</v>
      </c>
      <c r="N32" s="278">
        <v>8</v>
      </c>
      <c r="O32" s="278">
        <v>8</v>
      </c>
      <c r="P32" s="276">
        <f>AVERAGE(G32:O32)</f>
        <v>7.2222222222222223</v>
      </c>
      <c r="Q32" s="292"/>
    </row>
    <row r="33" spans="1:17" ht="21.6" customHeight="1" thickTop="1" thickBot="1" x14ac:dyDescent="0.25">
      <c r="A33" s="259" t="s">
        <v>34</v>
      </c>
      <c r="B33" s="258">
        <v>3</v>
      </c>
      <c r="C33" s="89" t="s">
        <v>42</v>
      </c>
      <c r="D33" s="96" t="s">
        <v>43</v>
      </c>
      <c r="E33" s="259" t="s">
        <v>34</v>
      </c>
      <c r="F33" s="258">
        <v>3</v>
      </c>
      <c r="G33" s="278">
        <v>7</v>
      </c>
      <c r="H33" s="278">
        <v>6</v>
      </c>
      <c r="I33" s="278">
        <v>6</v>
      </c>
      <c r="J33" s="278">
        <v>7</v>
      </c>
      <c r="K33" s="278">
        <v>6</v>
      </c>
      <c r="L33" s="278">
        <v>6</v>
      </c>
      <c r="M33" s="278">
        <v>7</v>
      </c>
      <c r="N33" s="278">
        <v>7</v>
      </c>
      <c r="O33" s="278">
        <v>7</v>
      </c>
      <c r="P33" s="276">
        <f>AVERAGE(G33:O33)</f>
        <v>6.5555555555555554</v>
      </c>
      <c r="Q33" s="292"/>
    </row>
    <row r="34" spans="1:17" ht="21.6" customHeight="1" thickTop="1" thickBot="1" x14ac:dyDescent="0.25">
      <c r="A34" s="255" t="s">
        <v>34</v>
      </c>
      <c r="B34" s="254">
        <v>4</v>
      </c>
      <c r="C34" s="89" t="s">
        <v>48</v>
      </c>
      <c r="D34" s="96" t="s">
        <v>43</v>
      </c>
      <c r="E34" s="255" t="s">
        <v>34</v>
      </c>
      <c r="F34" s="254">
        <v>4</v>
      </c>
      <c r="G34" s="277">
        <v>8</v>
      </c>
      <c r="H34" s="277">
        <v>7</v>
      </c>
      <c r="I34" s="277">
        <v>8</v>
      </c>
      <c r="J34" s="277">
        <v>7</v>
      </c>
      <c r="K34" s="277">
        <v>6</v>
      </c>
      <c r="L34" s="277">
        <v>6</v>
      </c>
      <c r="M34" s="277">
        <v>5</v>
      </c>
      <c r="N34" s="277">
        <v>6</v>
      </c>
      <c r="O34" s="277">
        <v>5</v>
      </c>
      <c r="P34" s="276">
        <f>AVERAGE(G34:O34)</f>
        <v>6.4444444444444446</v>
      </c>
      <c r="Q34" s="292"/>
    </row>
    <row r="35" spans="1:17" ht="21.6" customHeight="1" thickTop="1" thickBot="1" x14ac:dyDescent="0.25">
      <c r="A35" s="11" t="s">
        <v>35</v>
      </c>
      <c r="B35" s="262">
        <v>4</v>
      </c>
      <c r="C35" s="89" t="s">
        <v>48</v>
      </c>
      <c r="D35" s="93" t="s">
        <v>41</v>
      </c>
      <c r="E35" s="11" t="s">
        <v>35</v>
      </c>
      <c r="F35" s="262">
        <v>4</v>
      </c>
      <c r="G35" s="279">
        <v>5</v>
      </c>
      <c r="H35" s="279">
        <v>5</v>
      </c>
      <c r="I35" s="279">
        <v>7</v>
      </c>
      <c r="J35" s="279">
        <v>6</v>
      </c>
      <c r="K35" s="279">
        <v>7</v>
      </c>
      <c r="L35" s="279">
        <v>8</v>
      </c>
      <c r="M35" s="279">
        <v>7</v>
      </c>
      <c r="N35" s="279">
        <v>8</v>
      </c>
      <c r="O35" s="279">
        <v>8</v>
      </c>
      <c r="P35" s="276">
        <f>AVERAGE(G35:O35)</f>
        <v>6.7777777777777777</v>
      </c>
      <c r="Q35" s="292"/>
    </row>
    <row r="36" spans="1:17" ht="21.6" customHeight="1" thickTop="1" thickBot="1" x14ac:dyDescent="0.25">
      <c r="A36" s="259" t="s">
        <v>35</v>
      </c>
      <c r="B36" s="258">
        <v>3</v>
      </c>
      <c r="C36" s="89" t="s">
        <v>42</v>
      </c>
      <c r="D36" s="93" t="s">
        <v>41</v>
      </c>
      <c r="E36" s="259" t="s">
        <v>35</v>
      </c>
      <c r="F36" s="258">
        <v>3</v>
      </c>
      <c r="G36" s="278">
        <v>8</v>
      </c>
      <c r="H36" s="278">
        <v>7</v>
      </c>
      <c r="I36" s="278">
        <v>9</v>
      </c>
      <c r="J36" s="278">
        <v>8</v>
      </c>
      <c r="K36" s="278">
        <v>7</v>
      </c>
      <c r="L36" s="278">
        <v>7</v>
      </c>
      <c r="M36" s="278">
        <v>8</v>
      </c>
      <c r="N36" s="278">
        <v>7</v>
      </c>
      <c r="O36" s="278">
        <v>7</v>
      </c>
      <c r="P36" s="276">
        <f>AVERAGE(G36:O36)</f>
        <v>7.5555555555555554</v>
      </c>
      <c r="Q36" s="292"/>
    </row>
    <row r="37" spans="1:17" ht="21.6" customHeight="1" thickTop="1" thickBot="1" x14ac:dyDescent="0.25">
      <c r="A37" s="259" t="s">
        <v>35</v>
      </c>
      <c r="B37" s="258">
        <v>2</v>
      </c>
      <c r="C37" s="89" t="s">
        <v>46</v>
      </c>
      <c r="D37" s="93" t="s">
        <v>41</v>
      </c>
      <c r="E37" s="259" t="s">
        <v>35</v>
      </c>
      <c r="F37" s="258">
        <v>2</v>
      </c>
      <c r="G37" s="278">
        <v>7</v>
      </c>
      <c r="H37" s="278">
        <v>7</v>
      </c>
      <c r="I37" s="278">
        <v>7</v>
      </c>
      <c r="J37" s="278">
        <v>6</v>
      </c>
      <c r="K37" s="278">
        <v>8</v>
      </c>
      <c r="L37" s="278">
        <v>7</v>
      </c>
      <c r="M37" s="278">
        <v>7</v>
      </c>
      <c r="N37" s="278">
        <v>6</v>
      </c>
      <c r="O37" s="278">
        <v>7</v>
      </c>
      <c r="P37" s="276">
        <f>AVERAGE(G37:O37)</f>
        <v>6.8888888888888893</v>
      </c>
      <c r="Q37" s="292"/>
    </row>
    <row r="38" spans="1:17" ht="21.6" customHeight="1" thickTop="1" thickBot="1" x14ac:dyDescent="0.25">
      <c r="A38" s="255" t="s">
        <v>35</v>
      </c>
      <c r="B38" s="254">
        <v>1</v>
      </c>
      <c r="C38" s="89" t="s">
        <v>47</v>
      </c>
      <c r="D38" s="93" t="s">
        <v>41</v>
      </c>
      <c r="E38" s="255" t="s">
        <v>35</v>
      </c>
      <c r="F38" s="254">
        <v>1</v>
      </c>
      <c r="G38" s="277">
        <v>5</v>
      </c>
      <c r="H38" s="277">
        <v>6</v>
      </c>
      <c r="I38" s="277">
        <v>7</v>
      </c>
      <c r="J38" s="277">
        <v>6</v>
      </c>
      <c r="K38" s="277">
        <v>6</v>
      </c>
      <c r="L38" s="277">
        <v>5</v>
      </c>
      <c r="M38" s="277">
        <v>6</v>
      </c>
      <c r="N38" s="277">
        <v>7</v>
      </c>
      <c r="O38" s="277">
        <v>7</v>
      </c>
      <c r="P38" s="276">
        <f>AVERAGE(G38:O38)</f>
        <v>6.1111111111111107</v>
      </c>
      <c r="Q38" s="292"/>
    </row>
    <row r="39" spans="1:17" ht="21.6" customHeight="1" thickTop="1" thickBot="1" x14ac:dyDescent="0.25">
      <c r="A39" s="11" t="s">
        <v>36</v>
      </c>
      <c r="B39" s="262">
        <v>1</v>
      </c>
      <c r="C39" s="89" t="s">
        <v>45</v>
      </c>
      <c r="D39" s="93" t="s">
        <v>41</v>
      </c>
      <c r="E39" s="11" t="s">
        <v>36</v>
      </c>
      <c r="F39" s="262">
        <v>1</v>
      </c>
      <c r="G39" s="279">
        <v>7</v>
      </c>
      <c r="H39" s="279">
        <v>6</v>
      </c>
      <c r="I39" s="279">
        <v>6</v>
      </c>
      <c r="J39" s="279">
        <v>7</v>
      </c>
      <c r="K39" s="279">
        <v>7</v>
      </c>
      <c r="L39" s="279">
        <v>6</v>
      </c>
      <c r="M39" s="279">
        <v>6</v>
      </c>
      <c r="N39" s="279">
        <v>7</v>
      </c>
      <c r="O39" s="279">
        <v>6</v>
      </c>
      <c r="P39" s="276">
        <f>AVERAGE(G39:O39)</f>
        <v>6.4444444444444446</v>
      </c>
      <c r="Q39" s="292"/>
    </row>
    <row r="40" spans="1:17" ht="21.6" customHeight="1" thickTop="1" thickBot="1" x14ac:dyDescent="0.25">
      <c r="A40" s="259" t="s">
        <v>36</v>
      </c>
      <c r="B40" s="258">
        <v>2</v>
      </c>
      <c r="C40" s="89" t="s">
        <v>42</v>
      </c>
      <c r="D40" s="93" t="s">
        <v>41</v>
      </c>
      <c r="E40" s="259" t="s">
        <v>36</v>
      </c>
      <c r="F40" s="258">
        <v>2</v>
      </c>
      <c r="G40" s="278">
        <v>8</v>
      </c>
      <c r="H40" s="278">
        <v>7</v>
      </c>
      <c r="I40" s="278">
        <v>6</v>
      </c>
      <c r="J40" s="278">
        <v>7</v>
      </c>
      <c r="K40" s="278">
        <v>7</v>
      </c>
      <c r="L40" s="278">
        <v>6</v>
      </c>
      <c r="M40" s="278">
        <v>7</v>
      </c>
      <c r="N40" s="278">
        <v>8</v>
      </c>
      <c r="O40" s="278">
        <v>6</v>
      </c>
      <c r="P40" s="276">
        <f>AVERAGE(G40:O40)</f>
        <v>6.8888888888888893</v>
      </c>
      <c r="Q40" s="292"/>
    </row>
    <row r="41" spans="1:17" ht="21.6" customHeight="1" thickTop="1" thickBot="1" x14ac:dyDescent="0.25">
      <c r="A41" s="259" t="s">
        <v>36</v>
      </c>
      <c r="B41" s="258">
        <v>3</v>
      </c>
      <c r="C41" s="89" t="s">
        <v>47</v>
      </c>
      <c r="D41" s="93" t="s">
        <v>41</v>
      </c>
      <c r="E41" s="259" t="s">
        <v>36</v>
      </c>
      <c r="F41" s="258">
        <v>3</v>
      </c>
      <c r="G41" s="278">
        <v>7</v>
      </c>
      <c r="H41" s="278">
        <v>6</v>
      </c>
      <c r="I41" s="278">
        <v>7</v>
      </c>
      <c r="J41" s="278">
        <v>6</v>
      </c>
      <c r="K41" s="278">
        <v>6</v>
      </c>
      <c r="L41" s="278">
        <v>7</v>
      </c>
      <c r="M41" s="278">
        <v>7</v>
      </c>
      <c r="N41" s="278">
        <v>8</v>
      </c>
      <c r="O41" s="278">
        <v>7</v>
      </c>
      <c r="P41" s="276">
        <f>AVERAGE(G41:O41)</f>
        <v>6.7777777777777777</v>
      </c>
      <c r="Q41" s="292"/>
    </row>
    <row r="42" spans="1:17" ht="21.6" customHeight="1" thickTop="1" thickBot="1" x14ac:dyDescent="0.25">
      <c r="A42" s="255" t="s">
        <v>36</v>
      </c>
      <c r="B42" s="254">
        <v>4</v>
      </c>
      <c r="C42" s="89" t="s">
        <v>44</v>
      </c>
      <c r="D42" s="93" t="s">
        <v>41</v>
      </c>
      <c r="E42" s="255" t="s">
        <v>36</v>
      </c>
      <c r="F42" s="254">
        <v>4</v>
      </c>
      <c r="G42" s="277">
        <v>7</v>
      </c>
      <c r="H42" s="277">
        <v>7</v>
      </c>
      <c r="I42" s="277">
        <v>6</v>
      </c>
      <c r="J42" s="277">
        <v>6</v>
      </c>
      <c r="K42" s="277">
        <v>6</v>
      </c>
      <c r="L42" s="277">
        <v>6</v>
      </c>
      <c r="M42" s="277">
        <v>5</v>
      </c>
      <c r="N42" s="277">
        <v>6</v>
      </c>
      <c r="O42" s="277">
        <v>5</v>
      </c>
      <c r="P42" s="276">
        <f>AVERAGE(G42:O42)</f>
        <v>6</v>
      </c>
      <c r="Q42" s="292"/>
    </row>
    <row r="43" spans="1:17" ht="21.6" customHeight="1" thickTop="1" thickBot="1" x14ac:dyDescent="0.25">
      <c r="A43" s="11" t="s">
        <v>37</v>
      </c>
      <c r="B43" s="262">
        <v>4</v>
      </c>
      <c r="C43" s="89" t="s">
        <v>44</v>
      </c>
      <c r="D43" s="96" t="s">
        <v>43</v>
      </c>
      <c r="E43" s="11" t="s">
        <v>37</v>
      </c>
      <c r="F43" s="262">
        <v>4</v>
      </c>
      <c r="G43" s="279">
        <v>5</v>
      </c>
      <c r="H43" s="279">
        <v>6</v>
      </c>
      <c r="I43" s="279">
        <v>6</v>
      </c>
      <c r="J43" s="279">
        <v>4</v>
      </c>
      <c r="K43" s="279">
        <v>5</v>
      </c>
      <c r="L43" s="279">
        <v>5</v>
      </c>
      <c r="M43" s="279">
        <v>6</v>
      </c>
      <c r="N43" s="279">
        <v>5</v>
      </c>
      <c r="O43" s="279">
        <v>5</v>
      </c>
      <c r="P43" s="276">
        <f>AVERAGE(G43:O43)</f>
        <v>5.2222222222222223</v>
      </c>
      <c r="Q43" s="292"/>
    </row>
    <row r="44" spans="1:17" ht="21.6" customHeight="1" thickTop="1" thickBot="1" x14ac:dyDescent="0.25">
      <c r="A44" s="259" t="s">
        <v>37</v>
      </c>
      <c r="B44" s="258">
        <v>3</v>
      </c>
      <c r="C44" s="89" t="s">
        <v>47</v>
      </c>
      <c r="D44" s="96" t="s">
        <v>43</v>
      </c>
      <c r="E44" s="259" t="s">
        <v>37</v>
      </c>
      <c r="F44" s="258">
        <v>3</v>
      </c>
      <c r="G44" s="278">
        <v>6</v>
      </c>
      <c r="H44" s="278">
        <v>5</v>
      </c>
      <c r="I44" s="278">
        <v>5</v>
      </c>
      <c r="J44" s="278">
        <v>6</v>
      </c>
      <c r="K44" s="278">
        <v>7</v>
      </c>
      <c r="L44" s="278">
        <v>7</v>
      </c>
      <c r="M44" s="278">
        <v>6</v>
      </c>
      <c r="N44" s="278">
        <v>5</v>
      </c>
      <c r="O44" s="278">
        <v>5</v>
      </c>
      <c r="P44" s="276">
        <f>AVERAGE(G44:O44)</f>
        <v>5.7777777777777777</v>
      </c>
      <c r="Q44" s="292"/>
    </row>
    <row r="45" spans="1:17" ht="21.6" customHeight="1" thickTop="1" thickBot="1" x14ac:dyDescent="0.25">
      <c r="A45" s="259" t="s">
        <v>37</v>
      </c>
      <c r="B45" s="258">
        <v>2</v>
      </c>
      <c r="C45" s="89" t="s">
        <v>42</v>
      </c>
      <c r="D45" s="96" t="s">
        <v>43</v>
      </c>
      <c r="E45" s="259" t="s">
        <v>37</v>
      </c>
      <c r="F45" s="258">
        <v>2</v>
      </c>
      <c r="G45" s="278">
        <v>5</v>
      </c>
      <c r="H45" s="278">
        <v>6</v>
      </c>
      <c r="I45" s="278">
        <v>6</v>
      </c>
      <c r="J45" s="278">
        <v>7</v>
      </c>
      <c r="K45" s="278">
        <v>6</v>
      </c>
      <c r="L45" s="278">
        <v>7</v>
      </c>
      <c r="M45" s="278">
        <v>6</v>
      </c>
      <c r="N45" s="278">
        <v>7</v>
      </c>
      <c r="O45" s="278">
        <v>7</v>
      </c>
      <c r="P45" s="276">
        <f>AVERAGE(G45:O45)</f>
        <v>6.333333333333333</v>
      </c>
      <c r="Q45" s="292"/>
    </row>
    <row r="46" spans="1:17" ht="21.6" customHeight="1" thickTop="1" thickBot="1" x14ac:dyDescent="0.25">
      <c r="A46" s="255" t="s">
        <v>37</v>
      </c>
      <c r="B46" s="254">
        <v>1</v>
      </c>
      <c r="C46" s="89" t="s">
        <v>45</v>
      </c>
      <c r="D46" s="96" t="s">
        <v>43</v>
      </c>
      <c r="E46" s="255" t="s">
        <v>37</v>
      </c>
      <c r="F46" s="254">
        <v>1</v>
      </c>
      <c r="G46" s="277">
        <v>7</v>
      </c>
      <c r="H46" s="277">
        <v>6</v>
      </c>
      <c r="I46" s="277">
        <v>6</v>
      </c>
      <c r="J46" s="277">
        <v>7</v>
      </c>
      <c r="K46" s="277">
        <v>6</v>
      </c>
      <c r="L46" s="277">
        <v>7</v>
      </c>
      <c r="M46" s="277">
        <v>6</v>
      </c>
      <c r="N46" s="277">
        <v>5</v>
      </c>
      <c r="O46" s="277">
        <v>5</v>
      </c>
      <c r="P46" s="276">
        <f>AVERAGE(G46:O46)</f>
        <v>6.1111111111111107</v>
      </c>
      <c r="Q46" s="292"/>
    </row>
    <row r="47" spans="1:17" ht="21.6" customHeight="1" thickTop="1" thickBot="1" x14ac:dyDescent="0.25">
      <c r="A47" s="11" t="s">
        <v>38</v>
      </c>
      <c r="B47" s="262">
        <v>1</v>
      </c>
      <c r="C47" s="89" t="s">
        <v>44</v>
      </c>
      <c r="D47" s="96" t="s">
        <v>43</v>
      </c>
      <c r="E47" s="11" t="s">
        <v>38</v>
      </c>
      <c r="F47" s="262">
        <v>1</v>
      </c>
      <c r="G47" s="279">
        <v>6</v>
      </c>
      <c r="H47" s="279">
        <v>7</v>
      </c>
      <c r="I47" s="279">
        <v>6</v>
      </c>
      <c r="J47" s="279">
        <v>8</v>
      </c>
      <c r="K47" s="279">
        <v>7</v>
      </c>
      <c r="L47" s="279">
        <v>6</v>
      </c>
      <c r="M47" s="279">
        <v>6</v>
      </c>
      <c r="N47" s="279">
        <v>7</v>
      </c>
      <c r="O47" s="279">
        <v>6</v>
      </c>
      <c r="P47" s="276">
        <f>AVERAGE(G47:O47)</f>
        <v>6.5555555555555554</v>
      </c>
      <c r="Q47" s="292"/>
    </row>
    <row r="48" spans="1:17" ht="21.6" customHeight="1" thickTop="1" thickBot="1" x14ac:dyDescent="0.25">
      <c r="A48" s="259" t="s">
        <v>38</v>
      </c>
      <c r="B48" s="258">
        <v>2</v>
      </c>
      <c r="C48" s="89" t="s">
        <v>48</v>
      </c>
      <c r="D48" s="96" t="s">
        <v>43</v>
      </c>
      <c r="E48" s="259" t="s">
        <v>38</v>
      </c>
      <c r="F48" s="258">
        <v>2</v>
      </c>
      <c r="G48" s="278">
        <v>7</v>
      </c>
      <c r="H48" s="278">
        <v>8</v>
      </c>
      <c r="I48" s="278">
        <v>6</v>
      </c>
      <c r="J48" s="278">
        <v>8</v>
      </c>
      <c r="K48" s="278">
        <v>7</v>
      </c>
      <c r="L48" s="278">
        <v>7</v>
      </c>
      <c r="M48" s="278">
        <v>6</v>
      </c>
      <c r="N48" s="278">
        <v>7</v>
      </c>
      <c r="O48" s="278">
        <v>7</v>
      </c>
      <c r="P48" s="276">
        <f>AVERAGE(G48:O48)</f>
        <v>7</v>
      </c>
      <c r="Q48" s="292"/>
    </row>
    <row r="49" spans="1:17" ht="21.6" customHeight="1" thickTop="1" thickBot="1" x14ac:dyDescent="0.25">
      <c r="A49" s="259" t="s">
        <v>38</v>
      </c>
      <c r="B49" s="258">
        <v>3</v>
      </c>
      <c r="C49" s="89" t="s">
        <v>46</v>
      </c>
      <c r="D49" s="96" t="s">
        <v>43</v>
      </c>
      <c r="E49" s="259" t="s">
        <v>38</v>
      </c>
      <c r="F49" s="258">
        <v>3</v>
      </c>
      <c r="G49" s="278">
        <v>7</v>
      </c>
      <c r="H49" s="278">
        <v>8</v>
      </c>
      <c r="I49" s="278">
        <v>9</v>
      </c>
      <c r="J49" s="278">
        <v>7</v>
      </c>
      <c r="K49" s="278">
        <v>6</v>
      </c>
      <c r="L49" s="278">
        <v>8</v>
      </c>
      <c r="M49" s="278">
        <v>6</v>
      </c>
      <c r="N49" s="278">
        <v>7</v>
      </c>
      <c r="O49" s="278">
        <v>7</v>
      </c>
      <c r="P49" s="276">
        <f>AVERAGE(G49:O49)</f>
        <v>7.2222222222222223</v>
      </c>
      <c r="Q49" s="292"/>
    </row>
    <row r="50" spans="1:17" ht="21.6" customHeight="1" thickTop="1" thickBot="1" x14ac:dyDescent="0.25">
      <c r="A50" s="255" t="s">
        <v>38</v>
      </c>
      <c r="B50" s="254">
        <v>4</v>
      </c>
      <c r="C50" s="89" t="s">
        <v>45</v>
      </c>
      <c r="D50" s="96" t="s">
        <v>43</v>
      </c>
      <c r="E50" s="255" t="s">
        <v>38</v>
      </c>
      <c r="F50" s="254">
        <v>4</v>
      </c>
      <c r="G50" s="277">
        <v>5</v>
      </c>
      <c r="H50" s="277">
        <v>5</v>
      </c>
      <c r="I50" s="277">
        <v>6</v>
      </c>
      <c r="J50" s="277">
        <v>6</v>
      </c>
      <c r="K50" s="277">
        <v>5</v>
      </c>
      <c r="L50" s="277">
        <v>6</v>
      </c>
      <c r="M50" s="277">
        <v>6</v>
      </c>
      <c r="N50" s="277">
        <v>4</v>
      </c>
      <c r="O50" s="277">
        <v>5</v>
      </c>
      <c r="P50" s="276">
        <f>AVERAGE(G50:O50)</f>
        <v>5.333333333333333</v>
      </c>
      <c r="Q50" s="292"/>
    </row>
    <row r="51" spans="1:17" ht="21.6" customHeight="1" thickTop="1" thickBot="1" x14ac:dyDescent="0.25">
      <c r="A51" s="11" t="s">
        <v>39</v>
      </c>
      <c r="B51" s="262">
        <v>4</v>
      </c>
      <c r="C51" s="89" t="s">
        <v>45</v>
      </c>
      <c r="D51" s="93" t="s">
        <v>41</v>
      </c>
      <c r="E51" s="11" t="s">
        <v>39</v>
      </c>
      <c r="F51" s="262">
        <v>4</v>
      </c>
      <c r="G51" s="279">
        <v>5</v>
      </c>
      <c r="H51" s="279">
        <v>7</v>
      </c>
      <c r="I51" s="279">
        <v>7</v>
      </c>
      <c r="J51" s="279">
        <v>6</v>
      </c>
      <c r="K51" s="279">
        <v>6</v>
      </c>
      <c r="L51" s="279">
        <v>7</v>
      </c>
      <c r="M51" s="279">
        <v>6</v>
      </c>
      <c r="N51" s="279">
        <v>7</v>
      </c>
      <c r="O51" s="279">
        <v>7</v>
      </c>
      <c r="P51" s="276">
        <f>AVERAGE(G51:O51)</f>
        <v>6.4444444444444446</v>
      </c>
      <c r="Q51" s="292"/>
    </row>
    <row r="52" spans="1:17" ht="21.6" customHeight="1" thickTop="1" thickBot="1" x14ac:dyDescent="0.25">
      <c r="A52" s="259" t="s">
        <v>39</v>
      </c>
      <c r="B52" s="258">
        <v>3</v>
      </c>
      <c r="C52" s="89" t="s">
        <v>46</v>
      </c>
      <c r="D52" s="93" t="s">
        <v>41</v>
      </c>
      <c r="E52" s="259" t="s">
        <v>39</v>
      </c>
      <c r="F52" s="258">
        <v>3</v>
      </c>
      <c r="G52" s="278">
        <v>8</v>
      </c>
      <c r="H52" s="278">
        <v>9</v>
      </c>
      <c r="I52" s="278">
        <v>7</v>
      </c>
      <c r="J52" s="278">
        <v>7</v>
      </c>
      <c r="K52" s="278">
        <v>8</v>
      </c>
      <c r="L52" s="278">
        <v>7</v>
      </c>
      <c r="M52" s="278">
        <v>7</v>
      </c>
      <c r="N52" s="278">
        <v>8</v>
      </c>
      <c r="O52" s="278">
        <v>8</v>
      </c>
      <c r="P52" s="276">
        <f>AVERAGE(G52:O52)</f>
        <v>7.666666666666667</v>
      </c>
      <c r="Q52" s="292"/>
    </row>
    <row r="53" spans="1:17" ht="21.6" customHeight="1" thickTop="1" thickBot="1" x14ac:dyDescent="0.25">
      <c r="A53" s="259" t="s">
        <v>39</v>
      </c>
      <c r="B53" s="258">
        <v>2</v>
      </c>
      <c r="C53" s="89" t="s">
        <v>48</v>
      </c>
      <c r="D53" s="93" t="s">
        <v>41</v>
      </c>
      <c r="E53" s="259" t="s">
        <v>39</v>
      </c>
      <c r="F53" s="258">
        <v>2</v>
      </c>
      <c r="G53" s="278">
        <v>7</v>
      </c>
      <c r="H53" s="278">
        <v>7</v>
      </c>
      <c r="I53" s="278">
        <v>7</v>
      </c>
      <c r="J53" s="278">
        <v>6</v>
      </c>
      <c r="K53" s="278">
        <v>7</v>
      </c>
      <c r="L53" s="278">
        <v>8</v>
      </c>
      <c r="M53" s="278">
        <v>8</v>
      </c>
      <c r="N53" s="278">
        <v>7</v>
      </c>
      <c r="O53" s="278">
        <v>8</v>
      </c>
      <c r="P53" s="276">
        <f>AVERAGE(G53:O53)</f>
        <v>7.2222222222222223</v>
      </c>
      <c r="Q53" s="292"/>
    </row>
    <row r="54" spans="1:17" ht="21.6" customHeight="1" thickTop="1" thickBot="1" x14ac:dyDescent="0.25">
      <c r="A54" s="255" t="s">
        <v>39</v>
      </c>
      <c r="B54" s="254">
        <v>1</v>
      </c>
      <c r="C54" s="89" t="s">
        <v>44</v>
      </c>
      <c r="D54" s="93" t="s">
        <v>41</v>
      </c>
      <c r="E54" s="255" t="s">
        <v>39</v>
      </c>
      <c r="F54" s="254">
        <v>1</v>
      </c>
      <c r="G54" s="277">
        <v>7</v>
      </c>
      <c r="H54" s="277">
        <v>6</v>
      </c>
      <c r="I54" s="277">
        <v>6</v>
      </c>
      <c r="J54" s="277">
        <v>7</v>
      </c>
      <c r="K54" s="277">
        <v>7</v>
      </c>
      <c r="L54" s="277">
        <v>5</v>
      </c>
      <c r="M54" s="277">
        <v>6</v>
      </c>
      <c r="N54" s="277">
        <v>5</v>
      </c>
      <c r="O54" s="277">
        <v>6</v>
      </c>
      <c r="P54" s="276">
        <f>AVERAGE(G54:O54)</f>
        <v>6.1111111111111107</v>
      </c>
      <c r="Q54" s="292"/>
    </row>
    <row r="55" spans="1:17" x14ac:dyDescent="0.2">
      <c r="C55" s="291"/>
      <c r="D55" s="291"/>
    </row>
    <row r="56" spans="1:17" x14ac:dyDescent="0.2">
      <c r="C56" s="291"/>
      <c r="D56" s="291"/>
    </row>
    <row r="57" spans="1:17" x14ac:dyDescent="0.2">
      <c r="C57" s="291"/>
      <c r="D57" s="291"/>
    </row>
    <row r="58" spans="1:17" x14ac:dyDescent="0.2">
      <c r="C58" s="291"/>
      <c r="D58" s="291"/>
    </row>
    <row r="59" spans="1:17" x14ac:dyDescent="0.2">
      <c r="C59" s="291"/>
      <c r="D59" s="291"/>
    </row>
    <row r="60" spans="1:17" x14ac:dyDescent="0.2">
      <c r="C60" s="291"/>
      <c r="D60" s="291"/>
    </row>
    <row r="61" spans="1:17" x14ac:dyDescent="0.2">
      <c r="C61" s="291"/>
      <c r="D61" s="291"/>
    </row>
    <row r="62" spans="1:17" x14ac:dyDescent="0.2">
      <c r="C62" s="291"/>
      <c r="D62" s="291"/>
    </row>
    <row r="63" spans="1:17" x14ac:dyDescent="0.2">
      <c r="C63" s="291"/>
      <c r="D63" s="291"/>
    </row>
    <row r="64" spans="1:17"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3">
    <mergeCell ref="C4:I4"/>
    <mergeCell ref="E6:F6"/>
    <mergeCell ref="A6:B6"/>
  </mergeCells>
  <conditionalFormatting sqref="C7:C150">
    <cfRule type="containsText" dxfId="41" priority="1" operator="containsText" text="AQC-N">
      <formula>NOT(ISERROR(SEARCH("AQC-N",C7)))</formula>
    </cfRule>
    <cfRule type="containsText" dxfId="40" priority="2" operator="containsText" text="AQC">
      <formula>NOT(ISERROR(SEARCH("AQC",C7)))</formula>
    </cfRule>
    <cfRule type="containsText" dxfId="39" priority="3" operator="containsText" text="FAO-N">
      <formula>NOT(ISERROR(SEARCH("FAO-N",C7)))</formula>
    </cfRule>
    <cfRule type="containsText" dxfId="38" priority="4" operator="containsText" text="CSM-N">
      <formula>NOT(ISERROR(SEARCH("CSM-N",C7)))</formula>
    </cfRule>
    <cfRule type="containsText" dxfId="37" priority="5" operator="containsText" text="CSM">
      <formula>NOT(ISERROR(SEARCH("CSM",C7)))</formula>
    </cfRule>
    <cfRule type="containsText" dxfId="36" priority="6" operator="containsText" text="FAO">
      <formula>NOT(ISERROR(SEARCH("FAO",C7)))</formula>
    </cfRule>
  </conditionalFormatting>
  <pageMargins left="0.45" right="0.45" top="0.5" bottom="0.5" header="0" footer="0"/>
  <pageSetup scale="93" fitToHeight="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7800-71A0-4B7B-995B-8B27A85FDD3C}">
  <dimension ref="A1:P150"/>
  <sheetViews>
    <sheetView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s>
  <sheetData>
    <row r="1" spans="1:16" ht="15.75" x14ac:dyDescent="0.25">
      <c r="B1" s="6">
        <v>2022</v>
      </c>
      <c r="C1" s="8" t="s">
        <v>24</v>
      </c>
      <c r="D1" s="2"/>
      <c r="E1" s="8" t="s">
        <v>6</v>
      </c>
      <c r="F1"/>
      <c r="G1" s="4" t="s">
        <v>8</v>
      </c>
      <c r="H1" s="289">
        <v>44767</v>
      </c>
      <c r="I1" s="288"/>
      <c r="J1" s="288"/>
      <c r="K1" s="288"/>
      <c r="L1" s="288"/>
    </row>
    <row r="2" spans="1:16" ht="6.6" customHeight="1" x14ac:dyDescent="0.25">
      <c r="B2" s="6"/>
      <c r="C2" s="7"/>
      <c r="D2" s="8"/>
      <c r="E2"/>
      <c r="F2"/>
      <c r="G2" s="4"/>
      <c r="H2" s="4"/>
    </row>
    <row r="3" spans="1:16" x14ac:dyDescent="0.2">
      <c r="C3" s="5" t="s">
        <v>357</v>
      </c>
      <c r="D3" s="2"/>
      <c r="E3"/>
      <c r="F3"/>
      <c r="G3" s="4" t="s">
        <v>13</v>
      </c>
      <c r="H3" s="4" t="s">
        <v>51</v>
      </c>
    </row>
    <row r="4" spans="1:16" ht="33" customHeight="1" x14ac:dyDescent="0.2">
      <c r="C4" s="273" t="s">
        <v>356</v>
      </c>
      <c r="D4" s="287"/>
      <c r="E4" s="287"/>
      <c r="F4" s="287"/>
      <c r="G4" s="287"/>
      <c r="H4" s="287"/>
      <c r="I4" s="287"/>
      <c r="J4" s="286"/>
      <c r="K4" s="286"/>
      <c r="L4" s="286"/>
      <c r="M4" s="285"/>
    </row>
    <row r="5" spans="1:16" ht="15" customHeight="1" x14ac:dyDescent="0.2">
      <c r="E5" s="5"/>
      <c r="G5" s="271"/>
      <c r="H5" s="271"/>
      <c r="I5" s="271"/>
      <c r="J5" s="271"/>
      <c r="K5" s="271"/>
      <c r="L5" s="271"/>
      <c r="M5" s="271"/>
      <c r="N5" s="271"/>
      <c r="O5" s="3"/>
    </row>
    <row r="6" spans="1:16"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6" ht="21.6" customHeight="1" thickTop="1" thickBot="1" x14ac:dyDescent="0.25">
      <c r="A7" s="11" t="s">
        <v>0</v>
      </c>
      <c r="B7" s="14">
        <v>1</v>
      </c>
      <c r="C7" s="89" t="s">
        <v>42</v>
      </c>
      <c r="D7" s="93" t="s">
        <v>41</v>
      </c>
      <c r="E7" s="11" t="s">
        <v>0</v>
      </c>
      <c r="F7" s="14">
        <v>1</v>
      </c>
      <c r="G7" s="279">
        <v>2</v>
      </c>
      <c r="H7" s="279">
        <v>2</v>
      </c>
      <c r="I7" s="279">
        <v>3</v>
      </c>
      <c r="J7" s="279">
        <v>3</v>
      </c>
      <c r="K7" s="279">
        <v>3</v>
      </c>
      <c r="L7" s="279">
        <v>3</v>
      </c>
      <c r="M7" s="279">
        <v>3</v>
      </c>
      <c r="N7" s="279">
        <v>3</v>
      </c>
      <c r="O7" s="279">
        <v>3</v>
      </c>
      <c r="P7" s="276">
        <f>AVERAGE(G7:O7)</f>
        <v>2.7777777777777777</v>
      </c>
    </row>
    <row r="8" spans="1:16" ht="21.6" customHeight="1" thickTop="1" thickBot="1" x14ac:dyDescent="0.25">
      <c r="A8" s="259" t="s">
        <v>0</v>
      </c>
      <c r="B8" s="281">
        <v>2</v>
      </c>
      <c r="C8" s="89" t="s">
        <v>44</v>
      </c>
      <c r="D8" s="93" t="s">
        <v>41</v>
      </c>
      <c r="E8" s="259" t="s">
        <v>0</v>
      </c>
      <c r="F8" s="281">
        <v>2</v>
      </c>
      <c r="G8" s="278">
        <v>3</v>
      </c>
      <c r="H8" s="278">
        <v>2</v>
      </c>
      <c r="I8" s="278">
        <v>3</v>
      </c>
      <c r="J8" s="278">
        <v>4</v>
      </c>
      <c r="K8" s="278">
        <v>3</v>
      </c>
      <c r="L8" s="278">
        <v>3</v>
      </c>
      <c r="M8" s="278">
        <v>2</v>
      </c>
      <c r="N8" s="278">
        <v>3</v>
      </c>
      <c r="O8" s="278">
        <v>3</v>
      </c>
      <c r="P8" s="276">
        <f>AVERAGE(G8:O8)</f>
        <v>2.8888888888888888</v>
      </c>
    </row>
    <row r="9" spans="1:16" ht="21.6" customHeight="1" thickTop="1" thickBot="1" x14ac:dyDescent="0.25">
      <c r="A9" s="259" t="s">
        <v>0</v>
      </c>
      <c r="B9" s="281">
        <v>3</v>
      </c>
      <c r="C9" s="89" t="s">
        <v>45</v>
      </c>
      <c r="D9" s="93" t="s">
        <v>41</v>
      </c>
      <c r="E9" s="259" t="s">
        <v>0</v>
      </c>
      <c r="F9" s="281">
        <v>3</v>
      </c>
      <c r="G9" s="278">
        <v>4</v>
      </c>
      <c r="H9" s="278">
        <v>4</v>
      </c>
      <c r="I9" s="278">
        <v>2</v>
      </c>
      <c r="J9" s="278">
        <v>3</v>
      </c>
      <c r="K9" s="278">
        <v>4</v>
      </c>
      <c r="L9" s="278">
        <v>3</v>
      </c>
      <c r="M9" s="278">
        <v>3</v>
      </c>
      <c r="N9" s="278">
        <v>4</v>
      </c>
      <c r="O9" s="278">
        <v>3</v>
      </c>
      <c r="P9" s="276">
        <f>AVERAGE(G9:O9)</f>
        <v>3.3333333333333335</v>
      </c>
    </row>
    <row r="10" spans="1:16" ht="21.6" customHeight="1" thickTop="1" thickBot="1" x14ac:dyDescent="0.25">
      <c r="A10" s="255" t="s">
        <v>0</v>
      </c>
      <c r="B10" s="280">
        <v>4</v>
      </c>
      <c r="C10" s="89" t="s">
        <v>46</v>
      </c>
      <c r="D10" s="93" t="s">
        <v>41</v>
      </c>
      <c r="E10" s="255" t="s">
        <v>0</v>
      </c>
      <c r="F10" s="280">
        <v>4</v>
      </c>
      <c r="G10" s="277">
        <v>2</v>
      </c>
      <c r="H10" s="277">
        <v>3</v>
      </c>
      <c r="I10" s="277">
        <v>3</v>
      </c>
      <c r="J10" s="277">
        <v>3</v>
      </c>
      <c r="K10" s="277">
        <v>4</v>
      </c>
      <c r="L10" s="277">
        <v>3</v>
      </c>
      <c r="M10" s="277">
        <v>5</v>
      </c>
      <c r="N10" s="277">
        <v>4</v>
      </c>
      <c r="O10" s="277">
        <v>5</v>
      </c>
      <c r="P10" s="276">
        <f>AVERAGE(G10:O10)</f>
        <v>3.5555555555555554</v>
      </c>
    </row>
    <row r="11" spans="1:16" ht="21.6" customHeight="1" thickTop="1" thickBot="1" x14ac:dyDescent="0.25">
      <c r="A11" s="11" t="s">
        <v>1</v>
      </c>
      <c r="B11" s="14">
        <v>4</v>
      </c>
      <c r="C11" s="89" t="s">
        <v>46</v>
      </c>
      <c r="D11" s="96" t="s">
        <v>43</v>
      </c>
      <c r="E11" s="11" t="s">
        <v>1</v>
      </c>
      <c r="F11" s="14">
        <v>4</v>
      </c>
      <c r="G11" s="279">
        <v>2</v>
      </c>
      <c r="H11" s="279">
        <v>3</v>
      </c>
      <c r="I11" s="279">
        <v>3</v>
      </c>
      <c r="J11" s="279">
        <v>3</v>
      </c>
      <c r="K11" s="279">
        <v>3</v>
      </c>
      <c r="L11" s="279">
        <v>4</v>
      </c>
      <c r="M11" s="279">
        <v>5</v>
      </c>
      <c r="N11" s="279">
        <v>4</v>
      </c>
      <c r="O11" s="279">
        <v>3</v>
      </c>
      <c r="P11" s="276">
        <f>AVERAGE(G11:O11)</f>
        <v>3.3333333333333335</v>
      </c>
    </row>
    <row r="12" spans="1:16" ht="21.6" customHeight="1" thickTop="1" thickBot="1" x14ac:dyDescent="0.25">
      <c r="A12" s="259" t="s">
        <v>1</v>
      </c>
      <c r="B12" s="281">
        <v>3</v>
      </c>
      <c r="C12" s="89" t="s">
        <v>45</v>
      </c>
      <c r="D12" s="96" t="s">
        <v>43</v>
      </c>
      <c r="E12" s="259" t="s">
        <v>1</v>
      </c>
      <c r="F12" s="281">
        <v>3</v>
      </c>
      <c r="G12" s="278">
        <v>2</v>
      </c>
      <c r="H12" s="278">
        <v>2</v>
      </c>
      <c r="I12" s="278">
        <v>2</v>
      </c>
      <c r="J12" s="278">
        <v>3</v>
      </c>
      <c r="K12" s="278">
        <v>3</v>
      </c>
      <c r="L12" s="278">
        <v>3</v>
      </c>
      <c r="M12" s="278">
        <v>3</v>
      </c>
      <c r="N12" s="278">
        <v>3</v>
      </c>
      <c r="O12" s="278">
        <v>3</v>
      </c>
      <c r="P12" s="276">
        <f>AVERAGE(G12:O12)</f>
        <v>2.6666666666666665</v>
      </c>
    </row>
    <row r="13" spans="1:16" ht="21.6" customHeight="1" thickTop="1" thickBot="1" x14ac:dyDescent="0.25">
      <c r="A13" s="259" t="s">
        <v>1</v>
      </c>
      <c r="B13" s="281">
        <v>2</v>
      </c>
      <c r="C13" s="89" t="s">
        <v>44</v>
      </c>
      <c r="D13" s="96" t="s">
        <v>43</v>
      </c>
      <c r="E13" s="259" t="s">
        <v>1</v>
      </c>
      <c r="F13" s="281">
        <v>2</v>
      </c>
      <c r="G13" s="278">
        <v>2</v>
      </c>
      <c r="H13" s="278">
        <v>2</v>
      </c>
      <c r="I13" s="278">
        <v>3</v>
      </c>
      <c r="J13" s="278">
        <v>3</v>
      </c>
      <c r="K13" s="278">
        <v>3</v>
      </c>
      <c r="L13" s="278">
        <v>2</v>
      </c>
      <c r="M13" s="278">
        <v>3</v>
      </c>
      <c r="N13" s="278">
        <v>2</v>
      </c>
      <c r="O13" s="278">
        <v>4</v>
      </c>
      <c r="P13" s="276">
        <f>AVERAGE(G13:O13)</f>
        <v>2.6666666666666665</v>
      </c>
    </row>
    <row r="14" spans="1:16" ht="21.6" customHeight="1" thickTop="1" thickBot="1" x14ac:dyDescent="0.25">
      <c r="A14" s="255" t="s">
        <v>1</v>
      </c>
      <c r="B14" s="280">
        <v>1</v>
      </c>
      <c r="C14" s="89" t="s">
        <v>42</v>
      </c>
      <c r="D14" s="96" t="s">
        <v>43</v>
      </c>
      <c r="E14" s="255" t="s">
        <v>1</v>
      </c>
      <c r="F14" s="280">
        <v>1</v>
      </c>
      <c r="G14" s="277">
        <v>3</v>
      </c>
      <c r="H14" s="277">
        <v>2</v>
      </c>
      <c r="I14" s="277">
        <v>3</v>
      </c>
      <c r="J14" s="277">
        <v>3</v>
      </c>
      <c r="K14" s="277">
        <v>4</v>
      </c>
      <c r="L14" s="277">
        <v>5</v>
      </c>
      <c r="M14" s="277">
        <v>5</v>
      </c>
      <c r="N14" s="277">
        <v>5</v>
      </c>
      <c r="O14" s="277">
        <v>4</v>
      </c>
      <c r="P14" s="276">
        <f>AVERAGE(G14:O14)</f>
        <v>3.7777777777777777</v>
      </c>
    </row>
    <row r="15" spans="1:16" ht="21.6" customHeight="1" thickTop="1" thickBot="1" x14ac:dyDescent="0.25">
      <c r="A15" s="11" t="s">
        <v>2</v>
      </c>
      <c r="B15" s="14">
        <v>1</v>
      </c>
      <c r="C15" s="89" t="s">
        <v>46</v>
      </c>
      <c r="D15" s="93" t="s">
        <v>41</v>
      </c>
      <c r="E15" s="11" t="s">
        <v>2</v>
      </c>
      <c r="F15" s="14">
        <v>1</v>
      </c>
      <c r="G15" s="279">
        <v>4</v>
      </c>
      <c r="H15" s="279">
        <v>3</v>
      </c>
      <c r="I15" s="279">
        <v>3</v>
      </c>
      <c r="J15" s="279">
        <v>3</v>
      </c>
      <c r="K15" s="279">
        <v>2</v>
      </c>
      <c r="L15" s="279">
        <v>3</v>
      </c>
      <c r="M15" s="279">
        <v>4</v>
      </c>
      <c r="N15" s="279">
        <v>5</v>
      </c>
      <c r="O15" s="279">
        <v>4</v>
      </c>
      <c r="P15" s="276">
        <f>AVERAGE(G15:O15)</f>
        <v>3.4444444444444446</v>
      </c>
    </row>
    <row r="16" spans="1:16" ht="21.6" customHeight="1" thickTop="1" thickBot="1" x14ac:dyDescent="0.25">
      <c r="A16" s="259" t="s">
        <v>2</v>
      </c>
      <c r="B16" s="281">
        <v>2</v>
      </c>
      <c r="C16" s="89" t="s">
        <v>47</v>
      </c>
      <c r="D16" s="93" t="s">
        <v>41</v>
      </c>
      <c r="E16" s="259" t="s">
        <v>2</v>
      </c>
      <c r="F16" s="281">
        <v>2</v>
      </c>
      <c r="G16" s="278">
        <v>2</v>
      </c>
      <c r="H16" s="278">
        <v>3</v>
      </c>
      <c r="I16" s="278">
        <v>2</v>
      </c>
      <c r="J16" s="278">
        <v>3</v>
      </c>
      <c r="K16" s="278">
        <v>3</v>
      </c>
      <c r="L16" s="278">
        <v>3</v>
      </c>
      <c r="M16" s="278">
        <v>3</v>
      </c>
      <c r="N16" s="278">
        <v>2</v>
      </c>
      <c r="O16" s="278">
        <v>3</v>
      </c>
      <c r="P16" s="276">
        <f>AVERAGE(G16:O16)</f>
        <v>2.6666666666666665</v>
      </c>
    </row>
    <row r="17" spans="1:16" ht="21.6" customHeight="1" thickTop="1" thickBot="1" x14ac:dyDescent="0.25">
      <c r="A17" s="259" t="s">
        <v>2</v>
      </c>
      <c r="B17" s="281">
        <v>3</v>
      </c>
      <c r="C17" s="89" t="s">
        <v>48</v>
      </c>
      <c r="D17" s="93" t="s">
        <v>41</v>
      </c>
      <c r="E17" s="259" t="s">
        <v>2</v>
      </c>
      <c r="F17" s="281">
        <v>3</v>
      </c>
      <c r="G17" s="278">
        <v>5</v>
      </c>
      <c r="H17" s="278">
        <v>6</v>
      </c>
      <c r="I17" s="278">
        <v>4</v>
      </c>
      <c r="J17" s="278">
        <v>4</v>
      </c>
      <c r="K17" s="278">
        <v>4</v>
      </c>
      <c r="L17" s="278">
        <v>3</v>
      </c>
      <c r="M17" s="278">
        <v>4</v>
      </c>
      <c r="N17" s="278">
        <v>2</v>
      </c>
      <c r="O17" s="278">
        <v>3</v>
      </c>
      <c r="P17" s="276">
        <f>AVERAGE(G17:O17)</f>
        <v>3.8888888888888888</v>
      </c>
    </row>
    <row r="18" spans="1:16" ht="21.6" customHeight="1" thickTop="1" thickBot="1" x14ac:dyDescent="0.25">
      <c r="A18" s="255" t="s">
        <v>2</v>
      </c>
      <c r="B18" s="280">
        <v>4</v>
      </c>
      <c r="C18" s="89" t="s">
        <v>42</v>
      </c>
      <c r="D18" s="93" t="s">
        <v>41</v>
      </c>
      <c r="E18" s="255" t="s">
        <v>2</v>
      </c>
      <c r="F18" s="280">
        <v>4</v>
      </c>
      <c r="G18" s="277">
        <v>4</v>
      </c>
      <c r="H18" s="277">
        <v>3</v>
      </c>
      <c r="I18" s="277">
        <v>4</v>
      </c>
      <c r="J18" s="277">
        <v>4</v>
      </c>
      <c r="K18" s="277">
        <v>4</v>
      </c>
      <c r="L18" s="277">
        <v>5</v>
      </c>
      <c r="M18" s="277">
        <v>4</v>
      </c>
      <c r="N18" s="277">
        <v>4</v>
      </c>
      <c r="O18" s="277">
        <v>4</v>
      </c>
      <c r="P18" s="276">
        <f>AVERAGE(G18:O18)</f>
        <v>4</v>
      </c>
    </row>
    <row r="19" spans="1:16" ht="21.6" customHeight="1" thickTop="1" thickBot="1" x14ac:dyDescent="0.25">
      <c r="A19" s="11" t="s">
        <v>3</v>
      </c>
      <c r="B19" s="14">
        <v>4</v>
      </c>
      <c r="C19" s="89" t="s">
        <v>42</v>
      </c>
      <c r="D19" s="96" t="s">
        <v>43</v>
      </c>
      <c r="E19" s="11" t="s">
        <v>3</v>
      </c>
      <c r="F19" s="14">
        <v>4</v>
      </c>
      <c r="G19" s="279">
        <v>2</v>
      </c>
      <c r="H19" s="279">
        <v>3</v>
      </c>
      <c r="I19" s="279">
        <v>2</v>
      </c>
      <c r="J19" s="279">
        <v>3</v>
      </c>
      <c r="K19" s="279">
        <v>4</v>
      </c>
      <c r="L19" s="279">
        <v>4</v>
      </c>
      <c r="M19" s="279">
        <v>5</v>
      </c>
      <c r="N19" s="279">
        <v>4</v>
      </c>
      <c r="O19" s="279">
        <v>5</v>
      </c>
      <c r="P19" s="276">
        <f>AVERAGE(G19:O19)</f>
        <v>3.5555555555555554</v>
      </c>
    </row>
    <row r="20" spans="1:16" ht="21.6" customHeight="1" thickTop="1" thickBot="1" x14ac:dyDescent="0.25">
      <c r="A20" s="259" t="s">
        <v>3</v>
      </c>
      <c r="B20" s="281">
        <v>3</v>
      </c>
      <c r="C20" s="89" t="s">
        <v>48</v>
      </c>
      <c r="D20" s="96" t="s">
        <v>43</v>
      </c>
      <c r="E20" s="259" t="s">
        <v>3</v>
      </c>
      <c r="F20" s="281">
        <v>3</v>
      </c>
      <c r="G20" s="278">
        <v>3</v>
      </c>
      <c r="H20" s="278">
        <v>3</v>
      </c>
      <c r="I20" s="278">
        <v>4</v>
      </c>
      <c r="J20" s="278">
        <v>4</v>
      </c>
      <c r="K20" s="278">
        <v>4</v>
      </c>
      <c r="L20" s="278">
        <v>5</v>
      </c>
      <c r="M20" s="278">
        <v>5</v>
      </c>
      <c r="N20" s="278">
        <v>5</v>
      </c>
      <c r="O20" s="278">
        <v>5</v>
      </c>
      <c r="P20" s="276">
        <f>AVERAGE(G20:O20)</f>
        <v>4.2222222222222223</v>
      </c>
    </row>
    <row r="21" spans="1:16" ht="21.6" customHeight="1" thickTop="1" thickBot="1" x14ac:dyDescent="0.25">
      <c r="A21" s="259" t="s">
        <v>3</v>
      </c>
      <c r="B21" s="281">
        <v>2</v>
      </c>
      <c r="C21" s="89" t="s">
        <v>47</v>
      </c>
      <c r="D21" s="96" t="s">
        <v>43</v>
      </c>
      <c r="E21" s="259" t="s">
        <v>3</v>
      </c>
      <c r="F21" s="281">
        <v>2</v>
      </c>
      <c r="G21" s="278">
        <v>2</v>
      </c>
      <c r="H21" s="278">
        <v>2</v>
      </c>
      <c r="I21" s="278">
        <v>3</v>
      </c>
      <c r="J21" s="278">
        <v>4</v>
      </c>
      <c r="K21" s="278">
        <v>4</v>
      </c>
      <c r="L21" s="278">
        <v>3</v>
      </c>
      <c r="M21" s="278">
        <v>2</v>
      </c>
      <c r="N21" s="278">
        <v>2</v>
      </c>
      <c r="O21" s="278">
        <v>3</v>
      </c>
      <c r="P21" s="276">
        <f>AVERAGE(G21:O21)</f>
        <v>2.7777777777777777</v>
      </c>
    </row>
    <row r="22" spans="1:16" ht="21.6" customHeight="1" thickTop="1" thickBot="1" x14ac:dyDescent="0.25">
      <c r="A22" s="255" t="s">
        <v>3</v>
      </c>
      <c r="B22" s="280">
        <v>1</v>
      </c>
      <c r="C22" s="89" t="s">
        <v>46</v>
      </c>
      <c r="D22" s="96" t="s">
        <v>43</v>
      </c>
      <c r="E22" s="255" t="s">
        <v>3</v>
      </c>
      <c r="F22" s="280">
        <v>1</v>
      </c>
      <c r="G22" s="277">
        <v>3</v>
      </c>
      <c r="H22" s="277">
        <v>2</v>
      </c>
      <c r="I22" s="277">
        <v>3</v>
      </c>
      <c r="J22" s="277">
        <v>4</v>
      </c>
      <c r="K22" s="277">
        <v>4</v>
      </c>
      <c r="L22" s="277">
        <v>3</v>
      </c>
      <c r="M22" s="277">
        <v>3</v>
      </c>
      <c r="N22" s="277">
        <v>4</v>
      </c>
      <c r="O22" s="277">
        <v>4</v>
      </c>
      <c r="P22" s="276">
        <f>AVERAGE(G22:O22)</f>
        <v>3.3333333333333335</v>
      </c>
    </row>
    <row r="23" spans="1:16" ht="21.6" customHeight="1" thickTop="1" thickBot="1" x14ac:dyDescent="0.25">
      <c r="A23" s="11" t="s">
        <v>4</v>
      </c>
      <c r="B23" s="14">
        <v>1</v>
      </c>
      <c r="C23" s="89" t="s">
        <v>48</v>
      </c>
      <c r="D23" s="96" t="s">
        <v>43</v>
      </c>
      <c r="E23" s="11" t="s">
        <v>4</v>
      </c>
      <c r="F23" s="14">
        <v>1</v>
      </c>
      <c r="G23" s="279">
        <v>3</v>
      </c>
      <c r="H23" s="279">
        <v>3</v>
      </c>
      <c r="I23" s="279">
        <v>4</v>
      </c>
      <c r="J23" s="279">
        <v>2</v>
      </c>
      <c r="K23" s="279">
        <v>3</v>
      </c>
      <c r="L23" s="279">
        <v>3</v>
      </c>
      <c r="M23" s="279">
        <v>4</v>
      </c>
      <c r="N23" s="279">
        <v>3</v>
      </c>
      <c r="O23" s="279">
        <v>3</v>
      </c>
      <c r="P23" s="276">
        <f>AVERAGE(G23:O23)</f>
        <v>3.1111111111111112</v>
      </c>
    </row>
    <row r="24" spans="1:16" ht="21.6" customHeight="1" thickTop="1" thickBot="1" x14ac:dyDescent="0.25">
      <c r="A24" s="259" t="s">
        <v>4</v>
      </c>
      <c r="B24" s="281">
        <v>2</v>
      </c>
      <c r="C24" s="89" t="s">
        <v>45</v>
      </c>
      <c r="D24" s="96" t="s">
        <v>43</v>
      </c>
      <c r="E24" s="259" t="s">
        <v>4</v>
      </c>
      <c r="F24" s="281">
        <v>2</v>
      </c>
      <c r="G24" s="278">
        <v>2</v>
      </c>
      <c r="H24" s="278">
        <v>4</v>
      </c>
      <c r="I24" s="278">
        <v>3</v>
      </c>
      <c r="J24" s="278">
        <v>2</v>
      </c>
      <c r="K24" s="278">
        <v>3</v>
      </c>
      <c r="L24" s="278">
        <v>3</v>
      </c>
      <c r="M24" s="278">
        <v>3</v>
      </c>
      <c r="N24" s="278">
        <v>2</v>
      </c>
      <c r="O24" s="278">
        <v>3</v>
      </c>
      <c r="P24" s="276">
        <f>AVERAGE(G24:O24)</f>
        <v>2.7777777777777777</v>
      </c>
    </row>
    <row r="25" spans="1:16" ht="21.6" customHeight="1" thickTop="1" thickBot="1" x14ac:dyDescent="0.25">
      <c r="A25" s="259" t="s">
        <v>4</v>
      </c>
      <c r="B25" s="281">
        <v>3</v>
      </c>
      <c r="C25" s="89" t="s">
        <v>44</v>
      </c>
      <c r="D25" s="96" t="s">
        <v>43</v>
      </c>
      <c r="E25" s="259" t="s">
        <v>4</v>
      </c>
      <c r="F25" s="281">
        <v>3</v>
      </c>
      <c r="G25" s="278">
        <v>3</v>
      </c>
      <c r="H25" s="278">
        <v>3</v>
      </c>
      <c r="I25" s="278">
        <v>2</v>
      </c>
      <c r="J25" s="278">
        <v>2</v>
      </c>
      <c r="K25" s="278">
        <v>3</v>
      </c>
      <c r="L25" s="278">
        <v>3</v>
      </c>
      <c r="M25" s="278">
        <v>2</v>
      </c>
      <c r="N25" s="278">
        <v>1</v>
      </c>
      <c r="O25" s="278">
        <v>2</v>
      </c>
      <c r="P25" s="276">
        <f>AVERAGE(G25:O25)</f>
        <v>2.3333333333333335</v>
      </c>
    </row>
    <row r="26" spans="1:16" ht="21.6" customHeight="1" thickTop="1" thickBot="1" x14ac:dyDescent="0.25">
      <c r="A26" s="255" t="s">
        <v>4</v>
      </c>
      <c r="B26" s="280">
        <v>4</v>
      </c>
      <c r="C26" s="89" t="s">
        <v>47</v>
      </c>
      <c r="D26" s="96" t="s">
        <v>43</v>
      </c>
      <c r="E26" s="255" t="s">
        <v>4</v>
      </c>
      <c r="F26" s="280">
        <v>4</v>
      </c>
      <c r="G26" s="277">
        <v>4</v>
      </c>
      <c r="H26" s="277">
        <v>3</v>
      </c>
      <c r="I26" s="277">
        <v>2</v>
      </c>
      <c r="J26" s="277">
        <v>2</v>
      </c>
      <c r="K26" s="277">
        <v>3</v>
      </c>
      <c r="L26" s="277">
        <v>2</v>
      </c>
      <c r="M26" s="277">
        <v>3</v>
      </c>
      <c r="N26" s="277">
        <v>3</v>
      </c>
      <c r="O26" s="277">
        <v>3</v>
      </c>
      <c r="P26" s="276">
        <f>AVERAGE(G26:O26)</f>
        <v>2.7777777777777777</v>
      </c>
    </row>
    <row r="27" spans="1:16" ht="21.6" customHeight="1" thickTop="1" thickBot="1" x14ac:dyDescent="0.25">
      <c r="A27" s="11" t="s">
        <v>5</v>
      </c>
      <c r="B27" s="14">
        <v>4</v>
      </c>
      <c r="C27" s="89" t="s">
        <v>47</v>
      </c>
      <c r="D27" s="93" t="s">
        <v>41</v>
      </c>
      <c r="E27" s="11" t="s">
        <v>5</v>
      </c>
      <c r="F27" s="14">
        <v>4</v>
      </c>
      <c r="G27" s="279">
        <v>2</v>
      </c>
      <c r="H27" s="279">
        <v>2</v>
      </c>
      <c r="I27" s="279">
        <v>4</v>
      </c>
      <c r="J27" s="279">
        <v>3</v>
      </c>
      <c r="K27" s="279">
        <v>3</v>
      </c>
      <c r="L27" s="279">
        <v>3</v>
      </c>
      <c r="M27" s="279">
        <v>2</v>
      </c>
      <c r="N27" s="279">
        <v>3</v>
      </c>
      <c r="O27" s="279">
        <v>4</v>
      </c>
      <c r="P27" s="276">
        <f>AVERAGE(G27:O27)</f>
        <v>2.8888888888888888</v>
      </c>
    </row>
    <row r="28" spans="1:16" ht="21.6" customHeight="1" thickTop="1" thickBot="1" x14ac:dyDescent="0.25">
      <c r="A28" s="259" t="s">
        <v>5</v>
      </c>
      <c r="B28" s="281">
        <v>3</v>
      </c>
      <c r="C28" s="89" t="s">
        <v>44</v>
      </c>
      <c r="D28" s="93" t="s">
        <v>41</v>
      </c>
      <c r="E28" s="259" t="s">
        <v>5</v>
      </c>
      <c r="F28" s="281">
        <v>3</v>
      </c>
      <c r="G28" s="278">
        <v>3</v>
      </c>
      <c r="H28" s="278">
        <v>2</v>
      </c>
      <c r="I28" s="278">
        <v>3</v>
      </c>
      <c r="J28" s="278">
        <v>3</v>
      </c>
      <c r="K28" s="278">
        <v>3</v>
      </c>
      <c r="L28" s="278">
        <v>3</v>
      </c>
      <c r="M28" s="278">
        <v>4</v>
      </c>
      <c r="N28" s="278">
        <v>3</v>
      </c>
      <c r="O28" s="278">
        <v>3</v>
      </c>
      <c r="P28" s="276">
        <f>AVERAGE(G28:O28)</f>
        <v>3</v>
      </c>
    </row>
    <row r="29" spans="1:16" ht="21.6" customHeight="1" thickTop="1" thickBot="1" x14ac:dyDescent="0.25">
      <c r="A29" s="259" t="s">
        <v>5</v>
      </c>
      <c r="B29" s="281">
        <v>2</v>
      </c>
      <c r="C29" s="89" t="s">
        <v>45</v>
      </c>
      <c r="D29" s="93" t="s">
        <v>41</v>
      </c>
      <c r="E29" s="259" t="s">
        <v>5</v>
      </c>
      <c r="F29" s="281">
        <v>2</v>
      </c>
      <c r="G29" s="278">
        <v>3</v>
      </c>
      <c r="H29" s="278">
        <v>2</v>
      </c>
      <c r="I29" s="278">
        <v>2</v>
      </c>
      <c r="J29" s="278">
        <v>2</v>
      </c>
      <c r="K29" s="278">
        <v>4</v>
      </c>
      <c r="L29" s="278">
        <v>4</v>
      </c>
      <c r="M29" s="278">
        <v>3</v>
      </c>
      <c r="N29" s="278">
        <v>2</v>
      </c>
      <c r="O29" s="278">
        <v>3</v>
      </c>
      <c r="P29" s="276">
        <f>AVERAGE(G29:O29)</f>
        <v>2.7777777777777777</v>
      </c>
    </row>
    <row r="30" spans="1:16" ht="21.6" customHeight="1" thickTop="1" thickBot="1" x14ac:dyDescent="0.25">
      <c r="A30" s="255" t="s">
        <v>5</v>
      </c>
      <c r="B30" s="280">
        <v>1</v>
      </c>
      <c r="C30" s="89" t="s">
        <v>48</v>
      </c>
      <c r="D30" s="93" t="s">
        <v>41</v>
      </c>
      <c r="E30" s="255" t="s">
        <v>5</v>
      </c>
      <c r="F30" s="280">
        <v>1</v>
      </c>
      <c r="G30" s="277">
        <v>3</v>
      </c>
      <c r="H30" s="277">
        <v>4</v>
      </c>
      <c r="I30" s="277">
        <v>4</v>
      </c>
      <c r="J30" s="277">
        <v>5</v>
      </c>
      <c r="K30" s="277">
        <v>4</v>
      </c>
      <c r="L30" s="277">
        <v>3</v>
      </c>
      <c r="M30" s="277">
        <v>5</v>
      </c>
      <c r="N30" s="277">
        <v>4</v>
      </c>
      <c r="O30" s="277">
        <v>4</v>
      </c>
      <c r="P30" s="276">
        <f>AVERAGE(G30:O30)</f>
        <v>4</v>
      </c>
    </row>
    <row r="31" spans="1:16" ht="21.6" customHeight="1" thickTop="1" thickBot="1" x14ac:dyDescent="0.25">
      <c r="A31" s="11" t="s">
        <v>34</v>
      </c>
      <c r="B31" s="262">
        <v>1</v>
      </c>
      <c r="C31" s="89" t="s">
        <v>47</v>
      </c>
      <c r="D31" s="96" t="s">
        <v>43</v>
      </c>
      <c r="E31" s="11" t="s">
        <v>34</v>
      </c>
      <c r="F31" s="262">
        <v>1</v>
      </c>
      <c r="G31" s="279">
        <v>1</v>
      </c>
      <c r="H31" s="279">
        <v>2</v>
      </c>
      <c r="I31" s="279">
        <v>1</v>
      </c>
      <c r="J31" s="279">
        <v>2</v>
      </c>
      <c r="K31" s="279">
        <v>2</v>
      </c>
      <c r="L31" s="279">
        <v>2</v>
      </c>
      <c r="M31" s="279">
        <v>2</v>
      </c>
      <c r="N31" s="279">
        <v>1</v>
      </c>
      <c r="O31" s="279">
        <v>2</v>
      </c>
      <c r="P31" s="276">
        <f>AVERAGE(G31:O31)</f>
        <v>1.6666666666666667</v>
      </c>
    </row>
    <row r="32" spans="1:16" ht="21.6" customHeight="1" thickTop="1" thickBot="1" x14ac:dyDescent="0.25">
      <c r="A32" s="259" t="s">
        <v>34</v>
      </c>
      <c r="B32" s="258">
        <v>2</v>
      </c>
      <c r="C32" s="89" t="s">
        <v>46</v>
      </c>
      <c r="D32" s="96" t="s">
        <v>43</v>
      </c>
      <c r="E32" s="259" t="s">
        <v>34</v>
      </c>
      <c r="F32" s="258">
        <v>2</v>
      </c>
      <c r="G32" s="278">
        <v>3</v>
      </c>
      <c r="H32" s="278">
        <v>4</v>
      </c>
      <c r="I32" s="278">
        <v>4</v>
      </c>
      <c r="J32" s="278">
        <v>4</v>
      </c>
      <c r="K32" s="278">
        <v>3</v>
      </c>
      <c r="L32" s="278">
        <v>3</v>
      </c>
      <c r="M32" s="278">
        <v>3</v>
      </c>
      <c r="N32" s="278">
        <v>4</v>
      </c>
      <c r="O32" s="278">
        <v>4</v>
      </c>
      <c r="P32" s="276">
        <f>AVERAGE(G32:O32)</f>
        <v>3.5555555555555554</v>
      </c>
    </row>
    <row r="33" spans="1:16" ht="21.6" customHeight="1" thickTop="1" thickBot="1" x14ac:dyDescent="0.25">
      <c r="A33" s="259" t="s">
        <v>34</v>
      </c>
      <c r="B33" s="258">
        <v>3</v>
      </c>
      <c r="C33" s="89" t="s">
        <v>42</v>
      </c>
      <c r="D33" s="96" t="s">
        <v>43</v>
      </c>
      <c r="E33" s="259" t="s">
        <v>34</v>
      </c>
      <c r="F33" s="258">
        <v>3</v>
      </c>
      <c r="G33" s="278">
        <v>3</v>
      </c>
      <c r="H33" s="278">
        <v>3</v>
      </c>
      <c r="I33" s="278">
        <v>4</v>
      </c>
      <c r="J33" s="278">
        <v>3</v>
      </c>
      <c r="K33" s="278">
        <v>4</v>
      </c>
      <c r="L33" s="278">
        <v>4</v>
      </c>
      <c r="M33" s="278">
        <v>3</v>
      </c>
      <c r="N33" s="278">
        <v>3</v>
      </c>
      <c r="O33" s="278">
        <v>2</v>
      </c>
      <c r="P33" s="276">
        <f>AVERAGE(G33:O33)</f>
        <v>3.2222222222222223</v>
      </c>
    </row>
    <row r="34" spans="1:16" ht="21.6" customHeight="1" thickTop="1" thickBot="1" x14ac:dyDescent="0.25">
      <c r="A34" s="255" t="s">
        <v>34</v>
      </c>
      <c r="B34" s="254">
        <v>4</v>
      </c>
      <c r="C34" s="89" t="s">
        <v>48</v>
      </c>
      <c r="D34" s="96" t="s">
        <v>43</v>
      </c>
      <c r="E34" s="255" t="s">
        <v>34</v>
      </c>
      <c r="F34" s="254">
        <v>4</v>
      </c>
      <c r="G34" s="277">
        <v>3</v>
      </c>
      <c r="H34" s="277">
        <v>3</v>
      </c>
      <c r="I34" s="277">
        <v>3</v>
      </c>
      <c r="J34" s="277">
        <v>3</v>
      </c>
      <c r="K34" s="277">
        <v>3</v>
      </c>
      <c r="L34" s="277">
        <v>4</v>
      </c>
      <c r="M34" s="277">
        <v>4</v>
      </c>
      <c r="N34" s="277">
        <v>3</v>
      </c>
      <c r="O34" s="277">
        <v>4</v>
      </c>
      <c r="P34" s="276">
        <f>AVERAGE(G34:O34)</f>
        <v>3.3333333333333335</v>
      </c>
    </row>
    <row r="35" spans="1:16" ht="21.6" customHeight="1" thickTop="1" thickBot="1" x14ac:dyDescent="0.25">
      <c r="A35" s="11" t="s">
        <v>35</v>
      </c>
      <c r="B35" s="262">
        <v>4</v>
      </c>
      <c r="C35" s="89" t="s">
        <v>48</v>
      </c>
      <c r="D35" s="93" t="s">
        <v>41</v>
      </c>
      <c r="E35" s="11" t="s">
        <v>35</v>
      </c>
      <c r="F35" s="262">
        <v>4</v>
      </c>
      <c r="G35" s="279">
        <v>3</v>
      </c>
      <c r="H35" s="279">
        <v>3</v>
      </c>
      <c r="I35" s="279">
        <v>4</v>
      </c>
      <c r="J35" s="279">
        <v>2</v>
      </c>
      <c r="K35" s="279">
        <v>3</v>
      </c>
      <c r="L35" s="279">
        <v>4</v>
      </c>
      <c r="M35" s="279">
        <v>4</v>
      </c>
      <c r="N35" s="279">
        <v>3</v>
      </c>
      <c r="O35" s="279">
        <v>4</v>
      </c>
      <c r="P35" s="276">
        <f>AVERAGE(G35:O35)</f>
        <v>3.3333333333333335</v>
      </c>
    </row>
    <row r="36" spans="1:16" ht="21.6" customHeight="1" thickTop="1" thickBot="1" x14ac:dyDescent="0.25">
      <c r="A36" s="259" t="s">
        <v>35</v>
      </c>
      <c r="B36" s="258">
        <v>3</v>
      </c>
      <c r="C36" s="89" t="s">
        <v>42</v>
      </c>
      <c r="D36" s="93" t="s">
        <v>41</v>
      </c>
      <c r="E36" s="259" t="s">
        <v>35</v>
      </c>
      <c r="F36" s="258">
        <v>3</v>
      </c>
      <c r="G36" s="278">
        <v>4</v>
      </c>
      <c r="H36" s="278">
        <v>4</v>
      </c>
      <c r="I36" s="278">
        <v>4</v>
      </c>
      <c r="J36" s="278">
        <v>4</v>
      </c>
      <c r="K36" s="278">
        <v>5</v>
      </c>
      <c r="L36" s="278">
        <v>4</v>
      </c>
      <c r="M36" s="278">
        <v>3</v>
      </c>
      <c r="N36" s="278">
        <v>3</v>
      </c>
      <c r="O36" s="278">
        <v>4</v>
      </c>
      <c r="P36" s="276">
        <f>AVERAGE(G36:O36)</f>
        <v>3.8888888888888888</v>
      </c>
    </row>
    <row r="37" spans="1:16" ht="21.6" customHeight="1" thickTop="1" thickBot="1" x14ac:dyDescent="0.25">
      <c r="A37" s="259" t="s">
        <v>35</v>
      </c>
      <c r="B37" s="258">
        <v>2</v>
      </c>
      <c r="C37" s="89" t="s">
        <v>46</v>
      </c>
      <c r="D37" s="93" t="s">
        <v>41</v>
      </c>
      <c r="E37" s="259" t="s">
        <v>35</v>
      </c>
      <c r="F37" s="258">
        <v>2</v>
      </c>
      <c r="G37" s="278">
        <v>4</v>
      </c>
      <c r="H37" s="278">
        <v>4</v>
      </c>
      <c r="I37" s="278">
        <v>2</v>
      </c>
      <c r="J37" s="278">
        <v>3</v>
      </c>
      <c r="K37" s="278">
        <v>4</v>
      </c>
      <c r="L37" s="278">
        <v>4</v>
      </c>
      <c r="M37" s="278">
        <v>2</v>
      </c>
      <c r="N37" s="278">
        <v>4</v>
      </c>
      <c r="O37" s="278">
        <v>4</v>
      </c>
      <c r="P37" s="276">
        <f>AVERAGE(G37:O37)</f>
        <v>3.4444444444444446</v>
      </c>
    </row>
    <row r="38" spans="1:16" ht="21.6" customHeight="1" thickTop="1" thickBot="1" x14ac:dyDescent="0.25">
      <c r="A38" s="255" t="s">
        <v>35</v>
      </c>
      <c r="B38" s="254">
        <v>1</v>
      </c>
      <c r="C38" s="89" t="s">
        <v>47</v>
      </c>
      <c r="D38" s="93" t="s">
        <v>41</v>
      </c>
      <c r="E38" s="255" t="s">
        <v>35</v>
      </c>
      <c r="F38" s="254">
        <v>1</v>
      </c>
      <c r="G38" s="277">
        <v>1</v>
      </c>
      <c r="H38" s="277">
        <v>2</v>
      </c>
      <c r="I38" s="277">
        <v>2</v>
      </c>
      <c r="J38" s="277">
        <v>2</v>
      </c>
      <c r="K38" s="277">
        <v>3</v>
      </c>
      <c r="L38" s="277">
        <v>3</v>
      </c>
      <c r="M38" s="277">
        <v>2</v>
      </c>
      <c r="N38" s="277">
        <v>3</v>
      </c>
      <c r="O38" s="277">
        <v>3</v>
      </c>
      <c r="P38" s="276">
        <f>AVERAGE(G38:O38)</f>
        <v>2.3333333333333335</v>
      </c>
    </row>
    <row r="39" spans="1:16" ht="21.6" customHeight="1" thickTop="1" thickBot="1" x14ac:dyDescent="0.25">
      <c r="A39" s="11" t="s">
        <v>36</v>
      </c>
      <c r="B39" s="262">
        <v>1</v>
      </c>
      <c r="C39" s="89" t="s">
        <v>45</v>
      </c>
      <c r="D39" s="93" t="s">
        <v>41</v>
      </c>
      <c r="E39" s="11" t="s">
        <v>36</v>
      </c>
      <c r="F39" s="262">
        <v>1</v>
      </c>
      <c r="G39" s="279">
        <v>2</v>
      </c>
      <c r="H39" s="279">
        <v>4</v>
      </c>
      <c r="I39" s="279">
        <v>3</v>
      </c>
      <c r="J39" s="279">
        <v>3</v>
      </c>
      <c r="K39" s="279">
        <v>4</v>
      </c>
      <c r="L39" s="279">
        <v>3</v>
      </c>
      <c r="M39" s="279">
        <v>4</v>
      </c>
      <c r="N39" s="279">
        <v>3</v>
      </c>
      <c r="O39" s="279">
        <v>3</v>
      </c>
      <c r="P39" s="276">
        <f>AVERAGE(G39:O39)</f>
        <v>3.2222222222222223</v>
      </c>
    </row>
    <row r="40" spans="1:16" ht="21.6" customHeight="1" thickTop="1" thickBot="1" x14ac:dyDescent="0.25">
      <c r="A40" s="259" t="s">
        <v>36</v>
      </c>
      <c r="B40" s="258">
        <v>2</v>
      </c>
      <c r="C40" s="89" t="s">
        <v>42</v>
      </c>
      <c r="D40" s="93" t="s">
        <v>41</v>
      </c>
      <c r="E40" s="259" t="s">
        <v>36</v>
      </c>
      <c r="F40" s="258">
        <v>2</v>
      </c>
      <c r="G40" s="278">
        <v>5</v>
      </c>
      <c r="H40" s="278">
        <v>5</v>
      </c>
      <c r="I40" s="278">
        <v>4</v>
      </c>
      <c r="J40" s="278">
        <v>4</v>
      </c>
      <c r="K40" s="278">
        <v>3</v>
      </c>
      <c r="L40" s="278">
        <v>4</v>
      </c>
      <c r="M40" s="278">
        <v>3</v>
      </c>
      <c r="N40" s="278">
        <v>4</v>
      </c>
      <c r="O40" s="278">
        <v>3</v>
      </c>
      <c r="P40" s="276">
        <f>AVERAGE(G40:O40)</f>
        <v>3.8888888888888888</v>
      </c>
    </row>
    <row r="41" spans="1:16" ht="21.6" customHeight="1" thickTop="1" thickBot="1" x14ac:dyDescent="0.25">
      <c r="A41" s="259" t="s">
        <v>36</v>
      </c>
      <c r="B41" s="258">
        <v>3</v>
      </c>
      <c r="C41" s="89" t="s">
        <v>47</v>
      </c>
      <c r="D41" s="93" t="s">
        <v>41</v>
      </c>
      <c r="E41" s="259" t="s">
        <v>36</v>
      </c>
      <c r="F41" s="258">
        <v>3</v>
      </c>
      <c r="G41" s="278">
        <v>5</v>
      </c>
      <c r="H41" s="278">
        <v>5</v>
      </c>
      <c r="I41" s="278">
        <v>3</v>
      </c>
      <c r="J41" s="278">
        <v>3</v>
      </c>
      <c r="K41" s="278">
        <v>2</v>
      </c>
      <c r="L41" s="278">
        <v>4</v>
      </c>
      <c r="M41" s="278">
        <v>4</v>
      </c>
      <c r="N41" s="278">
        <v>3</v>
      </c>
      <c r="O41" s="278">
        <v>3</v>
      </c>
      <c r="P41" s="276">
        <f>AVERAGE(G41:O41)</f>
        <v>3.5555555555555554</v>
      </c>
    </row>
    <row r="42" spans="1:16" ht="21.6" customHeight="1" thickTop="1" thickBot="1" x14ac:dyDescent="0.25">
      <c r="A42" s="255" t="s">
        <v>36</v>
      </c>
      <c r="B42" s="254">
        <v>4</v>
      </c>
      <c r="C42" s="89" t="s">
        <v>44</v>
      </c>
      <c r="D42" s="93" t="s">
        <v>41</v>
      </c>
      <c r="E42" s="255" t="s">
        <v>36</v>
      </c>
      <c r="F42" s="254">
        <v>4</v>
      </c>
      <c r="G42" s="277">
        <v>3</v>
      </c>
      <c r="H42" s="277">
        <v>4</v>
      </c>
      <c r="I42" s="277">
        <v>4</v>
      </c>
      <c r="J42" s="277">
        <v>3</v>
      </c>
      <c r="K42" s="277">
        <v>3</v>
      </c>
      <c r="L42" s="277">
        <v>2</v>
      </c>
      <c r="M42" s="277">
        <v>4</v>
      </c>
      <c r="N42" s="277">
        <v>4</v>
      </c>
      <c r="O42" s="277">
        <v>3</v>
      </c>
      <c r="P42" s="276">
        <f>AVERAGE(G42:O42)</f>
        <v>3.3333333333333335</v>
      </c>
    </row>
    <row r="43" spans="1:16" ht="21.6" customHeight="1" thickTop="1" thickBot="1" x14ac:dyDescent="0.25">
      <c r="A43" s="11" t="s">
        <v>37</v>
      </c>
      <c r="B43" s="262">
        <v>4</v>
      </c>
      <c r="C43" s="89" t="s">
        <v>44</v>
      </c>
      <c r="D43" s="96" t="s">
        <v>43</v>
      </c>
      <c r="E43" s="11" t="s">
        <v>37</v>
      </c>
      <c r="F43" s="262">
        <v>4</v>
      </c>
      <c r="G43" s="279">
        <v>3</v>
      </c>
      <c r="H43" s="279">
        <v>2</v>
      </c>
      <c r="I43" s="279">
        <v>2</v>
      </c>
      <c r="J43" s="279">
        <v>3</v>
      </c>
      <c r="K43" s="279">
        <v>2</v>
      </c>
      <c r="L43" s="279">
        <v>2</v>
      </c>
      <c r="M43" s="279">
        <v>2</v>
      </c>
      <c r="N43" s="279">
        <v>3</v>
      </c>
      <c r="O43" s="279">
        <v>3</v>
      </c>
      <c r="P43" s="276">
        <f>AVERAGE(G43:O43)</f>
        <v>2.4444444444444446</v>
      </c>
    </row>
    <row r="44" spans="1:16" ht="21.6" customHeight="1" thickTop="1" thickBot="1" x14ac:dyDescent="0.25">
      <c r="A44" s="259" t="s">
        <v>37</v>
      </c>
      <c r="B44" s="258">
        <v>3</v>
      </c>
      <c r="C44" s="89" t="s">
        <v>47</v>
      </c>
      <c r="D44" s="96" t="s">
        <v>43</v>
      </c>
      <c r="E44" s="259" t="s">
        <v>37</v>
      </c>
      <c r="F44" s="258">
        <v>3</v>
      </c>
      <c r="G44" s="278">
        <v>1</v>
      </c>
      <c r="H44" s="278">
        <v>2</v>
      </c>
      <c r="I44" s="278">
        <v>2</v>
      </c>
      <c r="J44" s="278">
        <v>3</v>
      </c>
      <c r="K44" s="278">
        <v>3</v>
      </c>
      <c r="L44" s="278">
        <v>2</v>
      </c>
      <c r="M44" s="278">
        <v>3</v>
      </c>
      <c r="N44" s="278">
        <v>3</v>
      </c>
      <c r="O44" s="278">
        <v>2</v>
      </c>
      <c r="P44" s="276">
        <f>AVERAGE(G44:O44)</f>
        <v>2.3333333333333335</v>
      </c>
    </row>
    <row r="45" spans="1:16" ht="21.6" customHeight="1" thickTop="1" thickBot="1" x14ac:dyDescent="0.25">
      <c r="A45" s="259" t="s">
        <v>37</v>
      </c>
      <c r="B45" s="258">
        <v>2</v>
      </c>
      <c r="C45" s="89" t="s">
        <v>42</v>
      </c>
      <c r="D45" s="96" t="s">
        <v>43</v>
      </c>
      <c r="E45" s="259" t="s">
        <v>37</v>
      </c>
      <c r="F45" s="258">
        <v>2</v>
      </c>
      <c r="G45" s="278">
        <v>3</v>
      </c>
      <c r="H45" s="278">
        <v>3</v>
      </c>
      <c r="I45" s="278">
        <v>3</v>
      </c>
      <c r="J45" s="278">
        <v>3</v>
      </c>
      <c r="K45" s="278">
        <v>3</v>
      </c>
      <c r="L45" s="278">
        <v>3</v>
      </c>
      <c r="M45" s="278">
        <v>3</v>
      </c>
      <c r="N45" s="278">
        <v>3</v>
      </c>
      <c r="O45" s="278">
        <v>3</v>
      </c>
      <c r="P45" s="276">
        <f>AVERAGE(G45:O45)</f>
        <v>3</v>
      </c>
    </row>
    <row r="46" spans="1:16" ht="21.6" customHeight="1" thickTop="1" thickBot="1" x14ac:dyDescent="0.25">
      <c r="A46" s="255" t="s">
        <v>37</v>
      </c>
      <c r="B46" s="254">
        <v>1</v>
      </c>
      <c r="C46" s="89" t="s">
        <v>45</v>
      </c>
      <c r="D46" s="96" t="s">
        <v>43</v>
      </c>
      <c r="E46" s="255" t="s">
        <v>37</v>
      </c>
      <c r="F46" s="254">
        <v>1</v>
      </c>
      <c r="G46" s="277">
        <v>2</v>
      </c>
      <c r="H46" s="277">
        <v>3</v>
      </c>
      <c r="I46" s="277">
        <v>3</v>
      </c>
      <c r="J46" s="277">
        <v>2</v>
      </c>
      <c r="K46" s="277">
        <v>3</v>
      </c>
      <c r="L46" s="277">
        <v>3</v>
      </c>
      <c r="M46" s="277">
        <v>3</v>
      </c>
      <c r="N46" s="277">
        <v>2</v>
      </c>
      <c r="O46" s="277">
        <v>3</v>
      </c>
      <c r="P46" s="276">
        <f>AVERAGE(G46:O46)</f>
        <v>2.6666666666666665</v>
      </c>
    </row>
    <row r="47" spans="1:16" ht="21.6" customHeight="1" thickTop="1" thickBot="1" x14ac:dyDescent="0.25">
      <c r="A47" s="11" t="s">
        <v>38</v>
      </c>
      <c r="B47" s="262">
        <v>1</v>
      </c>
      <c r="C47" s="89" t="s">
        <v>44</v>
      </c>
      <c r="D47" s="96" t="s">
        <v>43</v>
      </c>
      <c r="E47" s="11" t="s">
        <v>38</v>
      </c>
      <c r="F47" s="262">
        <v>1</v>
      </c>
      <c r="G47" s="279">
        <v>2</v>
      </c>
      <c r="H47" s="279">
        <v>3</v>
      </c>
      <c r="I47" s="279">
        <v>4</v>
      </c>
      <c r="J47" s="279">
        <v>2</v>
      </c>
      <c r="K47" s="279">
        <v>3</v>
      </c>
      <c r="L47" s="279">
        <v>3</v>
      </c>
      <c r="M47" s="279">
        <v>4</v>
      </c>
      <c r="N47" s="279">
        <v>3</v>
      </c>
      <c r="O47" s="279">
        <v>2</v>
      </c>
      <c r="P47" s="276">
        <f>AVERAGE(G47:O47)</f>
        <v>2.8888888888888888</v>
      </c>
    </row>
    <row r="48" spans="1:16" ht="21.6" customHeight="1" thickTop="1" thickBot="1" x14ac:dyDescent="0.25">
      <c r="A48" s="259" t="s">
        <v>38</v>
      </c>
      <c r="B48" s="258">
        <v>2</v>
      </c>
      <c r="C48" s="89" t="s">
        <v>48</v>
      </c>
      <c r="D48" s="96" t="s">
        <v>43</v>
      </c>
      <c r="E48" s="259" t="s">
        <v>38</v>
      </c>
      <c r="F48" s="258">
        <v>2</v>
      </c>
      <c r="G48" s="278">
        <v>3</v>
      </c>
      <c r="H48" s="278">
        <v>4</v>
      </c>
      <c r="I48" s="278">
        <v>3</v>
      </c>
      <c r="J48" s="278">
        <v>4</v>
      </c>
      <c r="K48" s="278">
        <v>4</v>
      </c>
      <c r="L48" s="278">
        <v>3</v>
      </c>
      <c r="M48" s="278">
        <v>2</v>
      </c>
      <c r="N48" s="278">
        <v>3</v>
      </c>
      <c r="O48" s="278">
        <v>4</v>
      </c>
      <c r="P48" s="276">
        <f>AVERAGE(G48:O48)</f>
        <v>3.3333333333333335</v>
      </c>
    </row>
    <row r="49" spans="1:16" ht="21.6" customHeight="1" thickTop="1" thickBot="1" x14ac:dyDescent="0.25">
      <c r="A49" s="259" t="s">
        <v>38</v>
      </c>
      <c r="B49" s="258">
        <v>3</v>
      </c>
      <c r="C49" s="89" t="s">
        <v>46</v>
      </c>
      <c r="D49" s="96" t="s">
        <v>43</v>
      </c>
      <c r="E49" s="259" t="s">
        <v>38</v>
      </c>
      <c r="F49" s="258">
        <v>3</v>
      </c>
      <c r="G49" s="278">
        <v>4</v>
      </c>
      <c r="H49" s="278">
        <v>4</v>
      </c>
      <c r="I49" s="278">
        <v>3</v>
      </c>
      <c r="J49" s="278">
        <v>3</v>
      </c>
      <c r="K49" s="278">
        <v>4</v>
      </c>
      <c r="L49" s="278">
        <v>4</v>
      </c>
      <c r="M49" s="278">
        <v>4</v>
      </c>
      <c r="N49" s="278">
        <v>3</v>
      </c>
      <c r="O49" s="278">
        <v>3</v>
      </c>
      <c r="P49" s="276">
        <f>AVERAGE(G49:O49)</f>
        <v>3.5555555555555554</v>
      </c>
    </row>
    <row r="50" spans="1:16" ht="21.6" customHeight="1" thickTop="1" thickBot="1" x14ac:dyDescent="0.25">
      <c r="A50" s="255" t="s">
        <v>38</v>
      </c>
      <c r="B50" s="254">
        <v>4</v>
      </c>
      <c r="C50" s="89" t="s">
        <v>45</v>
      </c>
      <c r="D50" s="96" t="s">
        <v>43</v>
      </c>
      <c r="E50" s="255" t="s">
        <v>38</v>
      </c>
      <c r="F50" s="254">
        <v>4</v>
      </c>
      <c r="G50" s="277">
        <v>2</v>
      </c>
      <c r="H50" s="277">
        <v>3</v>
      </c>
      <c r="I50" s="277">
        <v>2</v>
      </c>
      <c r="J50" s="277">
        <v>2</v>
      </c>
      <c r="K50" s="277">
        <v>2</v>
      </c>
      <c r="L50" s="277">
        <v>3</v>
      </c>
      <c r="M50" s="277">
        <v>2</v>
      </c>
      <c r="N50" s="277">
        <v>3</v>
      </c>
      <c r="O50" s="277">
        <v>2</v>
      </c>
      <c r="P50" s="276">
        <f>AVERAGE(G50:O50)</f>
        <v>2.3333333333333335</v>
      </c>
    </row>
    <row r="51" spans="1:16" ht="21.6" customHeight="1" thickTop="1" thickBot="1" x14ac:dyDescent="0.25">
      <c r="A51" s="11" t="s">
        <v>39</v>
      </c>
      <c r="B51" s="262">
        <v>4</v>
      </c>
      <c r="C51" s="89" t="s">
        <v>45</v>
      </c>
      <c r="D51" s="93" t="s">
        <v>41</v>
      </c>
      <c r="E51" s="11" t="s">
        <v>39</v>
      </c>
      <c r="F51" s="262">
        <v>4</v>
      </c>
      <c r="G51" s="279">
        <v>3</v>
      </c>
      <c r="H51" s="279">
        <v>3</v>
      </c>
      <c r="I51" s="279">
        <v>4</v>
      </c>
      <c r="J51" s="279">
        <v>3</v>
      </c>
      <c r="K51" s="279">
        <v>4</v>
      </c>
      <c r="L51" s="279">
        <v>4</v>
      </c>
      <c r="M51" s="279">
        <v>2</v>
      </c>
      <c r="N51" s="279">
        <v>3</v>
      </c>
      <c r="O51" s="279">
        <v>3</v>
      </c>
      <c r="P51" s="276">
        <f>AVERAGE(G51:O51)</f>
        <v>3.2222222222222223</v>
      </c>
    </row>
    <row r="52" spans="1:16" ht="21.6" customHeight="1" thickTop="1" thickBot="1" x14ac:dyDescent="0.25">
      <c r="A52" s="259" t="s">
        <v>39</v>
      </c>
      <c r="B52" s="258">
        <v>3</v>
      </c>
      <c r="C52" s="89" t="s">
        <v>46</v>
      </c>
      <c r="D52" s="93" t="s">
        <v>41</v>
      </c>
      <c r="E52" s="259" t="s">
        <v>39</v>
      </c>
      <c r="F52" s="258">
        <v>3</v>
      </c>
      <c r="G52" s="278">
        <v>4</v>
      </c>
      <c r="H52" s="278">
        <v>5</v>
      </c>
      <c r="I52" s="278">
        <v>5</v>
      </c>
      <c r="J52" s="278">
        <v>4</v>
      </c>
      <c r="K52" s="278">
        <v>4</v>
      </c>
      <c r="L52" s="278">
        <v>4</v>
      </c>
      <c r="M52" s="278">
        <v>4</v>
      </c>
      <c r="N52" s="278">
        <v>4</v>
      </c>
      <c r="O52" s="278">
        <v>4</v>
      </c>
      <c r="P52" s="276">
        <f>AVERAGE(G52:O52)</f>
        <v>4.2222222222222223</v>
      </c>
    </row>
    <row r="53" spans="1:16" ht="21.6" customHeight="1" thickTop="1" thickBot="1" x14ac:dyDescent="0.25">
      <c r="A53" s="259" t="s">
        <v>39</v>
      </c>
      <c r="B53" s="258">
        <v>2</v>
      </c>
      <c r="C53" s="89" t="s">
        <v>48</v>
      </c>
      <c r="D53" s="93" t="s">
        <v>41</v>
      </c>
      <c r="E53" s="259" t="s">
        <v>39</v>
      </c>
      <c r="F53" s="258">
        <v>2</v>
      </c>
      <c r="G53" s="278">
        <v>3</v>
      </c>
      <c r="H53" s="278">
        <v>4</v>
      </c>
      <c r="I53" s="278">
        <v>4</v>
      </c>
      <c r="J53" s="278">
        <v>4</v>
      </c>
      <c r="K53" s="278">
        <v>4</v>
      </c>
      <c r="L53" s="278">
        <v>4</v>
      </c>
      <c r="M53" s="278">
        <v>3</v>
      </c>
      <c r="N53" s="278">
        <v>4</v>
      </c>
      <c r="O53" s="278">
        <v>4</v>
      </c>
      <c r="P53" s="276">
        <f>AVERAGE(G53:O53)</f>
        <v>3.7777777777777777</v>
      </c>
    </row>
    <row r="54" spans="1:16" ht="21.6" customHeight="1" thickTop="1" thickBot="1" x14ac:dyDescent="0.25">
      <c r="A54" s="255" t="s">
        <v>39</v>
      </c>
      <c r="B54" s="254">
        <v>1</v>
      </c>
      <c r="C54" s="89" t="s">
        <v>44</v>
      </c>
      <c r="D54" s="93" t="s">
        <v>41</v>
      </c>
      <c r="E54" s="255" t="s">
        <v>39</v>
      </c>
      <c r="F54" s="254">
        <v>1</v>
      </c>
      <c r="G54" s="277">
        <v>3</v>
      </c>
      <c r="H54" s="277">
        <v>2</v>
      </c>
      <c r="I54" s="277">
        <v>2</v>
      </c>
      <c r="J54" s="277">
        <v>1</v>
      </c>
      <c r="K54" s="277">
        <v>2</v>
      </c>
      <c r="L54" s="277">
        <v>3</v>
      </c>
      <c r="M54" s="277">
        <v>4</v>
      </c>
      <c r="N54" s="277">
        <v>4</v>
      </c>
      <c r="O54" s="277">
        <v>4</v>
      </c>
      <c r="P54" s="276">
        <f>AVERAGE(G54:O54)</f>
        <v>2.7777777777777777</v>
      </c>
    </row>
    <row r="55" spans="1:16" x14ac:dyDescent="0.2">
      <c r="C55" s="291"/>
      <c r="D55" s="291"/>
    </row>
    <row r="56" spans="1:16" x14ac:dyDescent="0.2">
      <c r="C56" s="291"/>
      <c r="D56" s="291"/>
    </row>
    <row r="57" spans="1:16" x14ac:dyDescent="0.2">
      <c r="C57" s="291"/>
      <c r="D57" s="291"/>
    </row>
    <row r="58" spans="1:16" x14ac:dyDescent="0.2">
      <c r="C58" s="291"/>
      <c r="D58" s="291"/>
    </row>
    <row r="59" spans="1:16" x14ac:dyDescent="0.2">
      <c r="C59" s="291"/>
      <c r="D59" s="291"/>
    </row>
    <row r="60" spans="1:16" x14ac:dyDescent="0.2">
      <c r="C60" s="291"/>
      <c r="D60" s="291"/>
    </row>
    <row r="61" spans="1:16" x14ac:dyDescent="0.2">
      <c r="C61" s="291"/>
      <c r="D61" s="291"/>
    </row>
    <row r="62" spans="1:16" x14ac:dyDescent="0.2">
      <c r="C62" s="291"/>
      <c r="D62" s="291"/>
    </row>
    <row r="63" spans="1:16" x14ac:dyDescent="0.2">
      <c r="C63" s="291"/>
      <c r="D63" s="291"/>
    </row>
    <row r="64" spans="1:16"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3">
    <mergeCell ref="C4:I4"/>
    <mergeCell ref="E6:F6"/>
    <mergeCell ref="A6:B6"/>
  </mergeCells>
  <conditionalFormatting sqref="C7:C150">
    <cfRule type="containsText" dxfId="35" priority="1" operator="containsText" text="AQC-N">
      <formula>NOT(ISERROR(SEARCH("AQC-N",C7)))</formula>
    </cfRule>
    <cfRule type="containsText" dxfId="34" priority="2" operator="containsText" text="AQC">
      <formula>NOT(ISERROR(SEARCH("AQC",C7)))</formula>
    </cfRule>
    <cfRule type="containsText" dxfId="33" priority="3" operator="containsText" text="FAO-N">
      <formula>NOT(ISERROR(SEARCH("FAO-N",C7)))</formula>
    </cfRule>
    <cfRule type="containsText" dxfId="32" priority="4" operator="containsText" text="CSM-N">
      <formula>NOT(ISERROR(SEARCH("CSM-N",C7)))</formula>
    </cfRule>
    <cfRule type="containsText" dxfId="31" priority="5" operator="containsText" text="CSM">
      <formula>NOT(ISERROR(SEARCH("CSM",C7)))</formula>
    </cfRule>
    <cfRule type="containsText" dxfId="30" priority="6" operator="containsText" text="FAO">
      <formula>NOT(ISERROR(SEARCH("FAO",C7)))</formula>
    </cfRule>
  </conditionalFormatting>
  <pageMargins left="0.45" right="0.45" top="0.5" bottom="0.5" header="0" footer="0"/>
  <pageSetup scale="93" fitToHeight="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FD3F-7C13-4865-9A0B-548A36B9CE13}">
  <dimension ref="A1:Q150"/>
  <sheetViews>
    <sheetView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 min="17" max="17" width="9.140625" style="293"/>
  </cols>
  <sheetData>
    <row r="1" spans="1:16" ht="15.75" x14ac:dyDescent="0.25">
      <c r="B1" s="6">
        <v>2022</v>
      </c>
      <c r="C1" s="8" t="s">
        <v>24</v>
      </c>
      <c r="D1" s="2"/>
      <c r="E1" s="8" t="s">
        <v>6</v>
      </c>
      <c r="F1"/>
      <c r="G1" s="4" t="s">
        <v>8</v>
      </c>
      <c r="H1" s="289">
        <v>44781</v>
      </c>
      <c r="I1" s="288"/>
      <c r="J1" s="288"/>
      <c r="K1" s="288"/>
      <c r="L1" s="288"/>
    </row>
    <row r="2" spans="1:16" ht="6.6" customHeight="1" x14ac:dyDescent="0.25">
      <c r="B2" s="6"/>
      <c r="C2" s="7"/>
      <c r="D2" s="8"/>
      <c r="E2"/>
      <c r="F2"/>
      <c r="G2" s="4"/>
      <c r="H2" s="4"/>
    </row>
    <row r="3" spans="1:16" x14ac:dyDescent="0.2">
      <c r="C3" s="5" t="s">
        <v>357</v>
      </c>
      <c r="D3" s="2"/>
      <c r="E3"/>
      <c r="F3"/>
      <c r="G3" s="4" t="s">
        <v>13</v>
      </c>
      <c r="H3" s="4" t="s">
        <v>51</v>
      </c>
      <c r="I3" s="295"/>
    </row>
    <row r="4" spans="1:16" ht="33" customHeight="1" x14ac:dyDescent="0.2">
      <c r="C4" s="273" t="s">
        <v>356</v>
      </c>
      <c r="D4" s="287"/>
      <c r="E4" s="287"/>
      <c r="F4" s="287"/>
      <c r="G4" s="287"/>
      <c r="H4" s="287"/>
      <c r="I4" s="287"/>
      <c r="J4" s="286"/>
      <c r="K4" s="286"/>
      <c r="L4" s="286"/>
      <c r="M4" s="285"/>
    </row>
    <row r="5" spans="1:16" ht="15" customHeight="1" x14ac:dyDescent="0.2">
      <c r="E5" s="5"/>
      <c r="G5" s="271"/>
      <c r="H5" s="271"/>
      <c r="I5" s="271"/>
      <c r="J5" s="271"/>
      <c r="K5" s="271"/>
      <c r="L5" s="271"/>
      <c r="M5" s="271"/>
      <c r="N5" s="271"/>
      <c r="O5" s="3"/>
    </row>
    <row r="6" spans="1:16"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6" ht="21.6" customHeight="1" thickTop="1" thickBot="1" x14ac:dyDescent="0.25">
      <c r="A7" s="11" t="s">
        <v>0</v>
      </c>
      <c r="B7" s="14">
        <v>1</v>
      </c>
      <c r="C7" s="89" t="s">
        <v>42</v>
      </c>
      <c r="D7" s="93" t="s">
        <v>41</v>
      </c>
      <c r="E7" s="11" t="s">
        <v>0</v>
      </c>
      <c r="F7" s="14">
        <v>1</v>
      </c>
      <c r="G7" s="279">
        <v>2</v>
      </c>
      <c r="H7" s="279">
        <v>4</v>
      </c>
      <c r="I7" s="279">
        <v>5</v>
      </c>
      <c r="J7" s="279">
        <v>4</v>
      </c>
      <c r="K7" s="279">
        <v>4</v>
      </c>
      <c r="L7" s="279">
        <v>3</v>
      </c>
      <c r="M7" s="279">
        <v>4</v>
      </c>
      <c r="N7" s="279">
        <v>3</v>
      </c>
      <c r="O7" s="279">
        <v>3</v>
      </c>
      <c r="P7" s="276">
        <f>AVERAGE(G7:O7)</f>
        <v>3.5555555555555554</v>
      </c>
    </row>
    <row r="8" spans="1:16" ht="21.6" customHeight="1" thickTop="1" thickBot="1" x14ac:dyDescent="0.25">
      <c r="A8" s="259" t="s">
        <v>0</v>
      </c>
      <c r="B8" s="281">
        <v>2</v>
      </c>
      <c r="C8" s="89" t="s">
        <v>44</v>
      </c>
      <c r="D8" s="93" t="s">
        <v>41</v>
      </c>
      <c r="E8" s="259" t="s">
        <v>0</v>
      </c>
      <c r="F8" s="281">
        <v>2</v>
      </c>
      <c r="G8" s="278">
        <v>3</v>
      </c>
      <c r="H8" s="278">
        <v>2</v>
      </c>
      <c r="I8" s="278">
        <v>3</v>
      </c>
      <c r="J8" s="278">
        <v>4</v>
      </c>
      <c r="K8" s="278">
        <v>4</v>
      </c>
      <c r="L8" s="278">
        <v>4</v>
      </c>
      <c r="M8" s="278">
        <v>3</v>
      </c>
      <c r="N8" s="278">
        <v>4</v>
      </c>
      <c r="O8" s="278">
        <v>3</v>
      </c>
      <c r="P8" s="276">
        <f>AVERAGE(G8:O8)</f>
        <v>3.3333333333333335</v>
      </c>
    </row>
    <row r="9" spans="1:16" ht="21.6" customHeight="1" thickTop="1" thickBot="1" x14ac:dyDescent="0.25">
      <c r="A9" s="259" t="s">
        <v>0</v>
      </c>
      <c r="B9" s="281">
        <v>3</v>
      </c>
      <c r="C9" s="89" t="s">
        <v>45</v>
      </c>
      <c r="D9" s="93" t="s">
        <v>41</v>
      </c>
      <c r="E9" s="259" t="s">
        <v>0</v>
      </c>
      <c r="F9" s="281">
        <v>3</v>
      </c>
      <c r="G9" s="278">
        <v>4</v>
      </c>
      <c r="H9" s="278">
        <v>4</v>
      </c>
      <c r="I9" s="278">
        <v>3</v>
      </c>
      <c r="J9" s="278">
        <v>3</v>
      </c>
      <c r="K9" s="278">
        <v>3</v>
      </c>
      <c r="L9" s="278">
        <v>4</v>
      </c>
      <c r="M9" s="278">
        <v>3</v>
      </c>
      <c r="N9" s="278">
        <v>3</v>
      </c>
      <c r="O9" s="278">
        <v>3</v>
      </c>
      <c r="P9" s="276">
        <f>AVERAGE(G9:O9)</f>
        <v>3.3333333333333335</v>
      </c>
    </row>
    <row r="10" spans="1:16" ht="21.6" customHeight="1" thickTop="1" thickBot="1" x14ac:dyDescent="0.25">
      <c r="A10" s="255" t="s">
        <v>0</v>
      </c>
      <c r="B10" s="280">
        <v>4</v>
      </c>
      <c r="C10" s="89" t="s">
        <v>46</v>
      </c>
      <c r="D10" s="93" t="s">
        <v>41</v>
      </c>
      <c r="E10" s="255" t="s">
        <v>0</v>
      </c>
      <c r="F10" s="280">
        <v>4</v>
      </c>
      <c r="G10" s="277">
        <v>4</v>
      </c>
      <c r="H10" s="277">
        <v>3</v>
      </c>
      <c r="I10" s="277">
        <v>4</v>
      </c>
      <c r="J10" s="277">
        <v>4</v>
      </c>
      <c r="K10" s="277">
        <v>2</v>
      </c>
      <c r="L10" s="277">
        <v>3</v>
      </c>
      <c r="M10" s="277">
        <v>3</v>
      </c>
      <c r="N10" s="277">
        <v>4</v>
      </c>
      <c r="O10" s="277">
        <v>4</v>
      </c>
      <c r="P10" s="276">
        <f>AVERAGE(G10:O10)</f>
        <v>3.4444444444444446</v>
      </c>
    </row>
    <row r="11" spans="1:16" ht="21.6" customHeight="1" thickTop="1" thickBot="1" x14ac:dyDescent="0.25">
      <c r="A11" s="11" t="s">
        <v>1</v>
      </c>
      <c r="B11" s="14">
        <v>4</v>
      </c>
      <c r="C11" s="89" t="s">
        <v>46</v>
      </c>
      <c r="D11" s="96" t="s">
        <v>43</v>
      </c>
      <c r="E11" s="11" t="s">
        <v>1</v>
      </c>
      <c r="F11" s="14">
        <v>4</v>
      </c>
      <c r="G11" s="279">
        <v>5</v>
      </c>
      <c r="H11" s="279">
        <v>6</v>
      </c>
      <c r="I11" s="279">
        <v>5</v>
      </c>
      <c r="J11" s="279">
        <v>5</v>
      </c>
      <c r="K11" s="279">
        <v>4</v>
      </c>
      <c r="L11" s="279">
        <v>5</v>
      </c>
      <c r="M11" s="279">
        <v>5</v>
      </c>
      <c r="N11" s="279">
        <v>5</v>
      </c>
      <c r="O11" s="279">
        <v>4</v>
      </c>
      <c r="P11" s="276">
        <f>AVERAGE(G11:O11)</f>
        <v>4.8888888888888893</v>
      </c>
    </row>
    <row r="12" spans="1:16" ht="21.6" customHeight="1" thickTop="1" thickBot="1" x14ac:dyDescent="0.25">
      <c r="A12" s="259" t="s">
        <v>1</v>
      </c>
      <c r="B12" s="281">
        <v>3</v>
      </c>
      <c r="C12" s="89" t="s">
        <v>45</v>
      </c>
      <c r="D12" s="96" t="s">
        <v>43</v>
      </c>
      <c r="E12" s="259" t="s">
        <v>1</v>
      </c>
      <c r="F12" s="281">
        <v>3</v>
      </c>
      <c r="G12" s="278">
        <v>2</v>
      </c>
      <c r="H12" s="278">
        <v>3</v>
      </c>
      <c r="I12" s="278">
        <v>3</v>
      </c>
      <c r="J12" s="278">
        <v>4</v>
      </c>
      <c r="K12" s="278">
        <v>3</v>
      </c>
      <c r="L12" s="278">
        <v>3</v>
      </c>
      <c r="M12" s="278">
        <v>3</v>
      </c>
      <c r="N12" s="278">
        <v>3</v>
      </c>
      <c r="O12" s="278">
        <v>3</v>
      </c>
      <c r="P12" s="276">
        <f>AVERAGE(G12:O12)</f>
        <v>3</v>
      </c>
    </row>
    <row r="13" spans="1:16" ht="21.6" customHeight="1" thickTop="1" thickBot="1" x14ac:dyDescent="0.25">
      <c r="A13" s="259" t="s">
        <v>1</v>
      </c>
      <c r="B13" s="281">
        <v>2</v>
      </c>
      <c r="C13" s="89" t="s">
        <v>44</v>
      </c>
      <c r="D13" s="96" t="s">
        <v>43</v>
      </c>
      <c r="E13" s="259" t="s">
        <v>1</v>
      </c>
      <c r="F13" s="281">
        <v>2</v>
      </c>
      <c r="G13" s="278">
        <v>3</v>
      </c>
      <c r="H13" s="278">
        <v>3</v>
      </c>
      <c r="I13" s="278">
        <v>3</v>
      </c>
      <c r="J13" s="278">
        <v>4</v>
      </c>
      <c r="K13" s="278">
        <v>3</v>
      </c>
      <c r="L13" s="278">
        <v>3</v>
      </c>
      <c r="M13" s="278">
        <v>4</v>
      </c>
      <c r="N13" s="278">
        <v>3</v>
      </c>
      <c r="O13" s="278">
        <v>4</v>
      </c>
      <c r="P13" s="276">
        <f>AVERAGE(G13:O13)</f>
        <v>3.3333333333333335</v>
      </c>
    </row>
    <row r="14" spans="1:16" ht="21.6" customHeight="1" thickTop="1" thickBot="1" x14ac:dyDescent="0.25">
      <c r="A14" s="255" t="s">
        <v>1</v>
      </c>
      <c r="B14" s="280">
        <v>1</v>
      </c>
      <c r="C14" s="89" t="s">
        <v>42</v>
      </c>
      <c r="D14" s="96" t="s">
        <v>43</v>
      </c>
      <c r="E14" s="255" t="s">
        <v>1</v>
      </c>
      <c r="F14" s="280">
        <v>1</v>
      </c>
      <c r="G14" s="277">
        <v>3</v>
      </c>
      <c r="H14" s="277">
        <v>4</v>
      </c>
      <c r="I14" s="277">
        <v>4</v>
      </c>
      <c r="J14" s="277">
        <v>4</v>
      </c>
      <c r="K14" s="277">
        <v>4</v>
      </c>
      <c r="L14" s="277">
        <v>4</v>
      </c>
      <c r="M14" s="277">
        <v>3</v>
      </c>
      <c r="N14" s="277">
        <v>4</v>
      </c>
      <c r="O14" s="277">
        <v>3</v>
      </c>
      <c r="P14" s="276">
        <f>AVERAGE(G14:O14)</f>
        <v>3.6666666666666665</v>
      </c>
    </row>
    <row r="15" spans="1:16" ht="21.6" customHeight="1" thickTop="1" thickBot="1" x14ac:dyDescent="0.25">
      <c r="A15" s="11" t="s">
        <v>2</v>
      </c>
      <c r="B15" s="14">
        <v>1</v>
      </c>
      <c r="C15" s="89" t="s">
        <v>46</v>
      </c>
      <c r="D15" s="93" t="s">
        <v>41</v>
      </c>
      <c r="E15" s="11" t="s">
        <v>2</v>
      </c>
      <c r="F15" s="14">
        <v>1</v>
      </c>
      <c r="G15" s="279">
        <v>4</v>
      </c>
      <c r="H15" s="279">
        <v>3</v>
      </c>
      <c r="I15" s="279">
        <v>3</v>
      </c>
      <c r="J15" s="279">
        <v>4</v>
      </c>
      <c r="K15" s="279">
        <v>3</v>
      </c>
      <c r="L15" s="279">
        <v>3</v>
      </c>
      <c r="M15" s="279">
        <v>4</v>
      </c>
      <c r="N15" s="279">
        <v>5</v>
      </c>
      <c r="O15" s="279">
        <v>4</v>
      </c>
      <c r="P15" s="276">
        <f>AVERAGE(G15:O15)</f>
        <v>3.6666666666666665</v>
      </c>
    </row>
    <row r="16" spans="1:16" ht="21.6" customHeight="1" thickTop="1" thickBot="1" x14ac:dyDescent="0.25">
      <c r="A16" s="259" t="s">
        <v>2</v>
      </c>
      <c r="B16" s="281">
        <v>2</v>
      </c>
      <c r="C16" s="89" t="s">
        <v>47</v>
      </c>
      <c r="D16" s="93" t="s">
        <v>41</v>
      </c>
      <c r="E16" s="259" t="s">
        <v>2</v>
      </c>
      <c r="F16" s="281">
        <v>2</v>
      </c>
      <c r="G16" s="278">
        <v>4</v>
      </c>
      <c r="H16" s="278">
        <v>4</v>
      </c>
      <c r="I16" s="278">
        <v>3</v>
      </c>
      <c r="J16" s="278">
        <v>4</v>
      </c>
      <c r="K16" s="278">
        <v>3</v>
      </c>
      <c r="L16" s="278">
        <v>4</v>
      </c>
      <c r="M16" s="278">
        <v>4</v>
      </c>
      <c r="N16" s="278">
        <v>3</v>
      </c>
      <c r="O16" s="278">
        <v>4</v>
      </c>
      <c r="P16" s="276">
        <f>AVERAGE(G16:O16)</f>
        <v>3.6666666666666665</v>
      </c>
    </row>
    <row r="17" spans="1:17" ht="21.6" customHeight="1" thickTop="1" thickBot="1" x14ac:dyDescent="0.25">
      <c r="A17" s="259" t="s">
        <v>2</v>
      </c>
      <c r="B17" s="281">
        <v>3</v>
      </c>
      <c r="C17" s="89" t="s">
        <v>48</v>
      </c>
      <c r="D17" s="93" t="s">
        <v>41</v>
      </c>
      <c r="E17" s="259" t="s">
        <v>2</v>
      </c>
      <c r="F17" s="281">
        <v>3</v>
      </c>
      <c r="G17" s="278">
        <v>3</v>
      </c>
      <c r="H17" s="278">
        <v>5</v>
      </c>
      <c r="I17" s="278">
        <v>4</v>
      </c>
      <c r="J17" s="278">
        <v>3</v>
      </c>
      <c r="K17" s="278">
        <v>4</v>
      </c>
      <c r="L17" s="278">
        <v>4</v>
      </c>
      <c r="M17" s="278">
        <v>4</v>
      </c>
      <c r="N17" s="278">
        <v>3</v>
      </c>
      <c r="O17" s="278">
        <v>3</v>
      </c>
      <c r="P17" s="276">
        <f>AVERAGE(G17:O17)</f>
        <v>3.6666666666666665</v>
      </c>
    </row>
    <row r="18" spans="1:17" ht="21.6" customHeight="1" thickTop="1" thickBot="1" x14ac:dyDescent="0.25">
      <c r="A18" s="255" t="s">
        <v>2</v>
      </c>
      <c r="B18" s="280">
        <v>4</v>
      </c>
      <c r="C18" s="89" t="s">
        <v>42</v>
      </c>
      <c r="D18" s="93" t="s">
        <v>41</v>
      </c>
      <c r="E18" s="255" t="s">
        <v>2</v>
      </c>
      <c r="F18" s="280">
        <v>4</v>
      </c>
      <c r="G18" s="277">
        <v>6</v>
      </c>
      <c r="H18" s="277">
        <v>5</v>
      </c>
      <c r="I18" s="277">
        <v>5</v>
      </c>
      <c r="J18" s="277">
        <v>4</v>
      </c>
      <c r="K18" s="277">
        <v>5</v>
      </c>
      <c r="L18" s="277">
        <v>5</v>
      </c>
      <c r="M18" s="277">
        <v>4</v>
      </c>
      <c r="N18" s="277">
        <v>5</v>
      </c>
      <c r="O18" s="277">
        <v>5</v>
      </c>
      <c r="P18" s="276">
        <f>AVERAGE(G18:O18)</f>
        <v>4.8888888888888893</v>
      </c>
    </row>
    <row r="19" spans="1:17" ht="21.6" customHeight="1" thickTop="1" thickBot="1" x14ac:dyDescent="0.25">
      <c r="A19" s="11" t="s">
        <v>3</v>
      </c>
      <c r="B19" s="14">
        <v>4</v>
      </c>
      <c r="C19" s="89" t="s">
        <v>42</v>
      </c>
      <c r="D19" s="96" t="s">
        <v>43</v>
      </c>
      <c r="E19" s="11" t="s">
        <v>3</v>
      </c>
      <c r="F19" s="14">
        <v>4</v>
      </c>
      <c r="G19" s="279">
        <v>3</v>
      </c>
      <c r="H19" s="279">
        <v>4</v>
      </c>
      <c r="I19" s="279">
        <v>4</v>
      </c>
      <c r="J19" s="279">
        <v>4</v>
      </c>
      <c r="K19" s="279">
        <v>4</v>
      </c>
      <c r="L19" s="279">
        <v>3</v>
      </c>
      <c r="M19" s="279">
        <v>4</v>
      </c>
      <c r="N19" s="279">
        <v>5</v>
      </c>
      <c r="O19" s="279">
        <v>5</v>
      </c>
      <c r="P19" s="276">
        <f>AVERAGE(G19:O19)</f>
        <v>4</v>
      </c>
      <c r="Q19" s="294"/>
    </row>
    <row r="20" spans="1:17" ht="21.6" customHeight="1" thickTop="1" thickBot="1" x14ac:dyDescent="0.25">
      <c r="A20" s="259" t="s">
        <v>3</v>
      </c>
      <c r="B20" s="281">
        <v>3</v>
      </c>
      <c r="C20" s="89" t="s">
        <v>48</v>
      </c>
      <c r="D20" s="96" t="s">
        <v>43</v>
      </c>
      <c r="E20" s="259" t="s">
        <v>3</v>
      </c>
      <c r="F20" s="281">
        <v>3</v>
      </c>
      <c r="G20" s="278">
        <v>4</v>
      </c>
      <c r="H20" s="278">
        <v>3</v>
      </c>
      <c r="I20" s="278">
        <v>4</v>
      </c>
      <c r="J20" s="278">
        <v>3</v>
      </c>
      <c r="K20" s="278">
        <v>3</v>
      </c>
      <c r="L20" s="278">
        <v>4</v>
      </c>
      <c r="M20" s="278">
        <v>5</v>
      </c>
      <c r="N20" s="278">
        <v>5</v>
      </c>
      <c r="O20" s="278">
        <v>5</v>
      </c>
      <c r="P20" s="276">
        <f>AVERAGE(G20:O20)</f>
        <v>4</v>
      </c>
    </row>
    <row r="21" spans="1:17" ht="21.6" customHeight="1" thickTop="1" thickBot="1" x14ac:dyDescent="0.25">
      <c r="A21" s="259" t="s">
        <v>3</v>
      </c>
      <c r="B21" s="281">
        <v>2</v>
      </c>
      <c r="C21" s="89" t="s">
        <v>47</v>
      </c>
      <c r="D21" s="96" t="s">
        <v>43</v>
      </c>
      <c r="E21" s="259" t="s">
        <v>3</v>
      </c>
      <c r="F21" s="281">
        <v>2</v>
      </c>
      <c r="G21" s="278">
        <v>3</v>
      </c>
      <c r="H21" s="278">
        <v>3</v>
      </c>
      <c r="I21" s="278">
        <v>4</v>
      </c>
      <c r="J21" s="278">
        <v>3</v>
      </c>
      <c r="K21" s="278">
        <v>3</v>
      </c>
      <c r="L21" s="278">
        <v>3</v>
      </c>
      <c r="M21" s="278">
        <v>2</v>
      </c>
      <c r="N21" s="278">
        <v>2</v>
      </c>
      <c r="O21" s="278">
        <v>3</v>
      </c>
      <c r="P21" s="276">
        <f>AVERAGE(G21:O21)</f>
        <v>2.8888888888888888</v>
      </c>
    </row>
    <row r="22" spans="1:17" ht="21.6" customHeight="1" thickTop="1" thickBot="1" x14ac:dyDescent="0.25">
      <c r="A22" s="255" t="s">
        <v>3</v>
      </c>
      <c r="B22" s="280">
        <v>1</v>
      </c>
      <c r="C22" s="89" t="s">
        <v>46</v>
      </c>
      <c r="D22" s="96" t="s">
        <v>43</v>
      </c>
      <c r="E22" s="255" t="s">
        <v>3</v>
      </c>
      <c r="F22" s="280">
        <v>1</v>
      </c>
      <c r="G22" s="277">
        <v>4</v>
      </c>
      <c r="H22" s="277">
        <v>4</v>
      </c>
      <c r="I22" s="277">
        <v>5</v>
      </c>
      <c r="J22" s="277">
        <v>5</v>
      </c>
      <c r="K22" s="277">
        <v>4</v>
      </c>
      <c r="L22" s="277">
        <v>5</v>
      </c>
      <c r="M22" s="277">
        <v>5</v>
      </c>
      <c r="N22" s="277">
        <v>4</v>
      </c>
      <c r="O22" s="277">
        <v>4</v>
      </c>
      <c r="P22" s="276">
        <f>AVERAGE(G22:O22)</f>
        <v>4.4444444444444446</v>
      </c>
    </row>
    <row r="23" spans="1:17" ht="21.6" customHeight="1" thickTop="1" thickBot="1" x14ac:dyDescent="0.25">
      <c r="A23" s="11" t="s">
        <v>4</v>
      </c>
      <c r="B23" s="14">
        <v>1</v>
      </c>
      <c r="C23" s="89" t="s">
        <v>48</v>
      </c>
      <c r="D23" s="96" t="s">
        <v>43</v>
      </c>
      <c r="E23" s="11" t="s">
        <v>4</v>
      </c>
      <c r="F23" s="14">
        <v>1</v>
      </c>
      <c r="G23" s="279">
        <v>3</v>
      </c>
      <c r="H23" s="279">
        <v>4</v>
      </c>
      <c r="I23" s="279">
        <v>5</v>
      </c>
      <c r="J23" s="279">
        <v>4</v>
      </c>
      <c r="K23" s="279">
        <v>4</v>
      </c>
      <c r="L23" s="279">
        <v>4</v>
      </c>
      <c r="M23" s="279">
        <v>3</v>
      </c>
      <c r="N23" s="279">
        <v>4</v>
      </c>
      <c r="O23" s="279">
        <v>4</v>
      </c>
      <c r="P23" s="276">
        <f>AVERAGE(G23:O23)</f>
        <v>3.8888888888888888</v>
      </c>
      <c r="Q23" s="294"/>
    </row>
    <row r="24" spans="1:17" ht="21.6" customHeight="1" thickTop="1" thickBot="1" x14ac:dyDescent="0.25">
      <c r="A24" s="259" t="s">
        <v>4</v>
      </c>
      <c r="B24" s="281">
        <v>2</v>
      </c>
      <c r="C24" s="89" t="s">
        <v>45</v>
      </c>
      <c r="D24" s="96" t="s">
        <v>43</v>
      </c>
      <c r="E24" s="259" t="s">
        <v>4</v>
      </c>
      <c r="F24" s="281">
        <v>2</v>
      </c>
      <c r="G24" s="278">
        <v>3</v>
      </c>
      <c r="H24" s="278">
        <v>3</v>
      </c>
      <c r="I24" s="278">
        <v>3</v>
      </c>
      <c r="J24" s="278">
        <v>4</v>
      </c>
      <c r="K24" s="278">
        <v>3</v>
      </c>
      <c r="L24" s="278">
        <v>3</v>
      </c>
      <c r="M24" s="278">
        <v>3</v>
      </c>
      <c r="N24" s="278">
        <v>3</v>
      </c>
      <c r="O24" s="278">
        <v>3</v>
      </c>
      <c r="P24" s="276">
        <f>AVERAGE(G24:O24)</f>
        <v>3.1111111111111112</v>
      </c>
    </row>
    <row r="25" spans="1:17" ht="21.6" customHeight="1" thickTop="1" thickBot="1" x14ac:dyDescent="0.25">
      <c r="A25" s="259" t="s">
        <v>4</v>
      </c>
      <c r="B25" s="281">
        <v>3</v>
      </c>
      <c r="C25" s="89" t="s">
        <v>44</v>
      </c>
      <c r="D25" s="96" t="s">
        <v>43</v>
      </c>
      <c r="E25" s="259" t="s">
        <v>4</v>
      </c>
      <c r="F25" s="281">
        <v>3</v>
      </c>
      <c r="G25" s="278">
        <v>4</v>
      </c>
      <c r="H25" s="278">
        <v>3</v>
      </c>
      <c r="I25" s="278">
        <v>3</v>
      </c>
      <c r="J25" s="278">
        <v>3</v>
      </c>
      <c r="K25" s="278">
        <v>3</v>
      </c>
      <c r="L25" s="278">
        <v>5</v>
      </c>
      <c r="M25" s="278">
        <v>3</v>
      </c>
      <c r="N25" s="278">
        <v>4</v>
      </c>
      <c r="O25" s="278">
        <v>4</v>
      </c>
      <c r="P25" s="276">
        <f>AVERAGE(G25:O25)</f>
        <v>3.5555555555555554</v>
      </c>
    </row>
    <row r="26" spans="1:17" ht="21.6" customHeight="1" thickTop="1" thickBot="1" x14ac:dyDescent="0.25">
      <c r="A26" s="255" t="s">
        <v>4</v>
      </c>
      <c r="B26" s="280">
        <v>4</v>
      </c>
      <c r="C26" s="89" t="s">
        <v>47</v>
      </c>
      <c r="D26" s="96" t="s">
        <v>43</v>
      </c>
      <c r="E26" s="255" t="s">
        <v>4</v>
      </c>
      <c r="F26" s="280">
        <v>4</v>
      </c>
      <c r="G26" s="277">
        <v>4</v>
      </c>
      <c r="H26" s="277">
        <v>4</v>
      </c>
      <c r="I26" s="277">
        <v>3</v>
      </c>
      <c r="J26" s="277">
        <v>4</v>
      </c>
      <c r="K26" s="277">
        <v>5</v>
      </c>
      <c r="L26" s="277">
        <v>3</v>
      </c>
      <c r="M26" s="277">
        <v>2</v>
      </c>
      <c r="N26" s="277">
        <v>3</v>
      </c>
      <c r="O26" s="277">
        <v>3</v>
      </c>
      <c r="P26" s="276">
        <f>AVERAGE(G26:O26)</f>
        <v>3.4444444444444446</v>
      </c>
    </row>
    <row r="27" spans="1:17" ht="21.6" customHeight="1" thickTop="1" thickBot="1" x14ac:dyDescent="0.25">
      <c r="A27" s="11" t="s">
        <v>5</v>
      </c>
      <c r="B27" s="14">
        <v>4</v>
      </c>
      <c r="C27" s="89" t="s">
        <v>47</v>
      </c>
      <c r="D27" s="93" t="s">
        <v>41</v>
      </c>
      <c r="E27" s="11" t="s">
        <v>5</v>
      </c>
      <c r="F27" s="14">
        <v>4</v>
      </c>
      <c r="G27" s="279">
        <v>4</v>
      </c>
      <c r="H27" s="279">
        <v>4</v>
      </c>
      <c r="I27" s="279">
        <v>3</v>
      </c>
      <c r="J27" s="279">
        <v>3</v>
      </c>
      <c r="K27" s="279">
        <v>4</v>
      </c>
      <c r="L27" s="279">
        <v>5</v>
      </c>
      <c r="M27" s="279">
        <v>5</v>
      </c>
      <c r="N27" s="279">
        <v>5</v>
      </c>
      <c r="O27" s="279">
        <v>4</v>
      </c>
      <c r="P27" s="276">
        <f>AVERAGE(G27:O27)</f>
        <v>4.1111111111111107</v>
      </c>
      <c r="Q27" s="294"/>
    </row>
    <row r="28" spans="1:17" ht="21.6" customHeight="1" thickTop="1" thickBot="1" x14ac:dyDescent="0.25">
      <c r="A28" s="259" t="s">
        <v>5</v>
      </c>
      <c r="B28" s="281">
        <v>3</v>
      </c>
      <c r="C28" s="89" t="s">
        <v>44</v>
      </c>
      <c r="D28" s="93" t="s">
        <v>41</v>
      </c>
      <c r="E28" s="259" t="s">
        <v>5</v>
      </c>
      <c r="F28" s="281">
        <v>3</v>
      </c>
      <c r="G28" s="278">
        <v>4</v>
      </c>
      <c r="H28" s="278">
        <v>3</v>
      </c>
      <c r="I28" s="278">
        <v>3</v>
      </c>
      <c r="J28" s="278">
        <v>3</v>
      </c>
      <c r="K28" s="278">
        <v>3</v>
      </c>
      <c r="L28" s="278">
        <v>5</v>
      </c>
      <c r="M28" s="278">
        <v>4</v>
      </c>
      <c r="N28" s="278">
        <v>3</v>
      </c>
      <c r="O28" s="278">
        <v>4</v>
      </c>
      <c r="P28" s="276">
        <f>AVERAGE(G28:O28)</f>
        <v>3.5555555555555554</v>
      </c>
    </row>
    <row r="29" spans="1:17" ht="21.6" customHeight="1" thickTop="1" thickBot="1" x14ac:dyDescent="0.25">
      <c r="A29" s="259" t="s">
        <v>5</v>
      </c>
      <c r="B29" s="281">
        <v>2</v>
      </c>
      <c r="C29" s="89" t="s">
        <v>45</v>
      </c>
      <c r="D29" s="93" t="s">
        <v>41</v>
      </c>
      <c r="E29" s="259" t="s">
        <v>5</v>
      </c>
      <c r="F29" s="281">
        <v>2</v>
      </c>
      <c r="G29" s="278">
        <v>5</v>
      </c>
      <c r="H29" s="278">
        <v>3</v>
      </c>
      <c r="I29" s="278">
        <v>3</v>
      </c>
      <c r="J29" s="278">
        <v>3</v>
      </c>
      <c r="K29" s="278">
        <v>4</v>
      </c>
      <c r="L29" s="278">
        <v>3</v>
      </c>
      <c r="M29" s="278">
        <v>3</v>
      </c>
      <c r="N29" s="278">
        <v>4</v>
      </c>
      <c r="O29" s="278">
        <v>4</v>
      </c>
      <c r="P29" s="276">
        <f>AVERAGE(G29:O29)</f>
        <v>3.5555555555555554</v>
      </c>
    </row>
    <row r="30" spans="1:17" ht="21.6" customHeight="1" thickTop="1" thickBot="1" x14ac:dyDescent="0.25">
      <c r="A30" s="255" t="s">
        <v>5</v>
      </c>
      <c r="B30" s="280">
        <v>1</v>
      </c>
      <c r="C30" s="89" t="s">
        <v>48</v>
      </c>
      <c r="D30" s="93" t="s">
        <v>41</v>
      </c>
      <c r="E30" s="255" t="s">
        <v>5</v>
      </c>
      <c r="F30" s="280">
        <v>1</v>
      </c>
      <c r="G30" s="277">
        <v>3</v>
      </c>
      <c r="H30" s="277">
        <v>4</v>
      </c>
      <c r="I30" s="277">
        <v>4</v>
      </c>
      <c r="J30" s="277">
        <v>4</v>
      </c>
      <c r="K30" s="277">
        <v>5</v>
      </c>
      <c r="L30" s="277">
        <v>5</v>
      </c>
      <c r="M30" s="277">
        <v>5</v>
      </c>
      <c r="N30" s="277">
        <v>3</v>
      </c>
      <c r="O30" s="277">
        <v>4</v>
      </c>
      <c r="P30" s="276">
        <f>AVERAGE(G30:O30)</f>
        <v>4.1111111111111107</v>
      </c>
    </row>
    <row r="31" spans="1:17" ht="21.6" customHeight="1" thickTop="1" thickBot="1" x14ac:dyDescent="0.25">
      <c r="A31" s="11" t="s">
        <v>34</v>
      </c>
      <c r="B31" s="262">
        <v>1</v>
      </c>
      <c r="C31" s="89" t="s">
        <v>47</v>
      </c>
      <c r="D31" s="96" t="s">
        <v>43</v>
      </c>
      <c r="E31" s="11" t="s">
        <v>34</v>
      </c>
      <c r="F31" s="262">
        <v>1</v>
      </c>
      <c r="G31" s="279">
        <v>4</v>
      </c>
      <c r="H31" s="279">
        <v>4</v>
      </c>
      <c r="I31" s="279">
        <v>3</v>
      </c>
      <c r="J31" s="279">
        <v>3</v>
      </c>
      <c r="K31" s="279">
        <v>3</v>
      </c>
      <c r="L31" s="279">
        <v>3</v>
      </c>
      <c r="M31" s="279">
        <v>3</v>
      </c>
      <c r="N31" s="279">
        <v>3</v>
      </c>
      <c r="O31" s="279">
        <v>4</v>
      </c>
      <c r="P31" s="276">
        <f>AVERAGE(G31:O31)</f>
        <v>3.3333333333333335</v>
      </c>
      <c r="Q31" s="294"/>
    </row>
    <row r="32" spans="1:17" ht="21.6" customHeight="1" thickTop="1" thickBot="1" x14ac:dyDescent="0.25">
      <c r="A32" s="259" t="s">
        <v>34</v>
      </c>
      <c r="B32" s="258">
        <v>2</v>
      </c>
      <c r="C32" s="89" t="s">
        <v>46</v>
      </c>
      <c r="D32" s="96" t="s">
        <v>43</v>
      </c>
      <c r="E32" s="259" t="s">
        <v>34</v>
      </c>
      <c r="F32" s="258">
        <v>2</v>
      </c>
      <c r="G32" s="278">
        <v>5</v>
      </c>
      <c r="H32" s="278">
        <v>4</v>
      </c>
      <c r="I32" s="278">
        <v>4</v>
      </c>
      <c r="J32" s="278">
        <v>6</v>
      </c>
      <c r="K32" s="278">
        <v>4</v>
      </c>
      <c r="L32" s="278">
        <v>5</v>
      </c>
      <c r="M32" s="278">
        <v>3</v>
      </c>
      <c r="N32" s="278">
        <v>5</v>
      </c>
      <c r="O32" s="278">
        <v>4</v>
      </c>
      <c r="P32" s="276">
        <f>AVERAGE(G32:O32)</f>
        <v>4.4444444444444446</v>
      </c>
    </row>
    <row r="33" spans="1:17" ht="21.6" customHeight="1" thickTop="1" thickBot="1" x14ac:dyDescent="0.25">
      <c r="A33" s="259" t="s">
        <v>34</v>
      </c>
      <c r="B33" s="258">
        <v>3</v>
      </c>
      <c r="C33" s="89" t="s">
        <v>42</v>
      </c>
      <c r="D33" s="96" t="s">
        <v>43</v>
      </c>
      <c r="E33" s="259" t="s">
        <v>34</v>
      </c>
      <c r="F33" s="258">
        <v>3</v>
      </c>
      <c r="G33" s="278">
        <v>5</v>
      </c>
      <c r="H33" s="278">
        <v>5</v>
      </c>
      <c r="I33" s="278">
        <v>4</v>
      </c>
      <c r="J33" s="278">
        <v>5</v>
      </c>
      <c r="K33" s="278">
        <v>4</v>
      </c>
      <c r="L33" s="278">
        <v>4</v>
      </c>
      <c r="M33" s="278">
        <v>5</v>
      </c>
      <c r="N33" s="278">
        <v>4</v>
      </c>
      <c r="O33" s="278">
        <v>4</v>
      </c>
      <c r="P33" s="276">
        <f>AVERAGE(G33:O33)</f>
        <v>4.4444444444444446</v>
      </c>
    </row>
    <row r="34" spans="1:17" ht="21.6" customHeight="1" thickTop="1" thickBot="1" x14ac:dyDescent="0.25">
      <c r="A34" s="255" t="s">
        <v>34</v>
      </c>
      <c r="B34" s="254">
        <v>4</v>
      </c>
      <c r="C34" s="89" t="s">
        <v>48</v>
      </c>
      <c r="D34" s="96" t="s">
        <v>43</v>
      </c>
      <c r="E34" s="255" t="s">
        <v>34</v>
      </c>
      <c r="F34" s="254">
        <v>4</v>
      </c>
      <c r="G34" s="277">
        <v>4</v>
      </c>
      <c r="H34" s="277">
        <v>4</v>
      </c>
      <c r="I34" s="277">
        <v>5</v>
      </c>
      <c r="J34" s="277">
        <v>4</v>
      </c>
      <c r="K34" s="277">
        <v>3</v>
      </c>
      <c r="L34" s="277">
        <v>4</v>
      </c>
      <c r="M34" s="277">
        <v>5</v>
      </c>
      <c r="N34" s="277">
        <v>4</v>
      </c>
      <c r="O34" s="277">
        <v>3</v>
      </c>
      <c r="P34" s="276">
        <f>AVERAGE(G34:O34)</f>
        <v>4</v>
      </c>
    </row>
    <row r="35" spans="1:17" ht="21.6" customHeight="1" thickTop="1" thickBot="1" x14ac:dyDescent="0.25">
      <c r="A35" s="11" t="s">
        <v>35</v>
      </c>
      <c r="B35" s="262">
        <v>4</v>
      </c>
      <c r="C35" s="89" t="s">
        <v>48</v>
      </c>
      <c r="D35" s="93" t="s">
        <v>41</v>
      </c>
      <c r="E35" s="11" t="s">
        <v>35</v>
      </c>
      <c r="F35" s="262">
        <v>4</v>
      </c>
      <c r="G35" s="279">
        <v>4</v>
      </c>
      <c r="H35" s="279">
        <v>3</v>
      </c>
      <c r="I35" s="279">
        <v>4</v>
      </c>
      <c r="J35" s="279">
        <v>4</v>
      </c>
      <c r="K35" s="279">
        <v>4</v>
      </c>
      <c r="L35" s="279">
        <v>5</v>
      </c>
      <c r="M35" s="279">
        <v>3</v>
      </c>
      <c r="N35" s="279">
        <v>3</v>
      </c>
      <c r="O35" s="279">
        <v>4</v>
      </c>
      <c r="P35" s="276">
        <f>AVERAGE(G35:O35)</f>
        <v>3.7777777777777777</v>
      </c>
    </row>
    <row r="36" spans="1:17" ht="21.6" customHeight="1" thickTop="1" thickBot="1" x14ac:dyDescent="0.25">
      <c r="A36" s="259" t="s">
        <v>35</v>
      </c>
      <c r="B36" s="258">
        <v>3</v>
      </c>
      <c r="C36" s="89" t="s">
        <v>42</v>
      </c>
      <c r="D36" s="93" t="s">
        <v>41</v>
      </c>
      <c r="E36" s="259" t="s">
        <v>35</v>
      </c>
      <c r="F36" s="258">
        <v>3</v>
      </c>
      <c r="G36" s="278">
        <v>5</v>
      </c>
      <c r="H36" s="278">
        <v>5</v>
      </c>
      <c r="I36" s="278">
        <v>4</v>
      </c>
      <c r="J36" s="278">
        <v>4</v>
      </c>
      <c r="K36" s="278">
        <v>3</v>
      </c>
      <c r="L36" s="278">
        <v>4</v>
      </c>
      <c r="M36" s="278">
        <v>4</v>
      </c>
      <c r="N36" s="278">
        <v>4</v>
      </c>
      <c r="O36" s="278">
        <v>4</v>
      </c>
      <c r="P36" s="276">
        <f>AVERAGE(G36:O36)</f>
        <v>4.1111111111111107</v>
      </c>
    </row>
    <row r="37" spans="1:17" ht="21.6" customHeight="1" thickTop="1" thickBot="1" x14ac:dyDescent="0.25">
      <c r="A37" s="259" t="s">
        <v>35</v>
      </c>
      <c r="B37" s="258">
        <v>2</v>
      </c>
      <c r="C37" s="89" t="s">
        <v>46</v>
      </c>
      <c r="D37" s="93" t="s">
        <v>41</v>
      </c>
      <c r="E37" s="259" t="s">
        <v>35</v>
      </c>
      <c r="F37" s="258">
        <v>2</v>
      </c>
      <c r="G37" s="278">
        <v>4</v>
      </c>
      <c r="H37" s="278">
        <v>3</v>
      </c>
      <c r="I37" s="278">
        <v>3</v>
      </c>
      <c r="J37" s="278">
        <v>2</v>
      </c>
      <c r="K37" s="278">
        <v>4</v>
      </c>
      <c r="L37" s="278">
        <v>4</v>
      </c>
      <c r="M37" s="278">
        <v>5</v>
      </c>
      <c r="N37" s="278">
        <v>4</v>
      </c>
      <c r="O37" s="278">
        <v>4</v>
      </c>
      <c r="P37" s="276">
        <f>AVERAGE(G37:O37)</f>
        <v>3.6666666666666665</v>
      </c>
    </row>
    <row r="38" spans="1:17" ht="21.6" customHeight="1" thickTop="1" thickBot="1" x14ac:dyDescent="0.25">
      <c r="A38" s="255" t="s">
        <v>35</v>
      </c>
      <c r="B38" s="254">
        <v>1</v>
      </c>
      <c r="C38" s="89" t="s">
        <v>47</v>
      </c>
      <c r="D38" s="93" t="s">
        <v>41</v>
      </c>
      <c r="E38" s="255" t="s">
        <v>35</v>
      </c>
      <c r="F38" s="254">
        <v>1</v>
      </c>
      <c r="G38" s="277">
        <v>5</v>
      </c>
      <c r="H38" s="277">
        <v>3</v>
      </c>
      <c r="I38" s="277">
        <v>4</v>
      </c>
      <c r="J38" s="277">
        <v>4</v>
      </c>
      <c r="K38" s="277">
        <v>3</v>
      </c>
      <c r="L38" s="277">
        <v>5</v>
      </c>
      <c r="M38" s="277">
        <v>4</v>
      </c>
      <c r="N38" s="277">
        <v>3</v>
      </c>
      <c r="O38" s="277">
        <v>3</v>
      </c>
      <c r="P38" s="276">
        <f>AVERAGE(G38:O38)</f>
        <v>3.7777777777777777</v>
      </c>
    </row>
    <row r="39" spans="1:17" ht="21.6" customHeight="1" thickTop="1" thickBot="1" x14ac:dyDescent="0.25">
      <c r="A39" s="11" t="s">
        <v>36</v>
      </c>
      <c r="B39" s="262">
        <v>1</v>
      </c>
      <c r="C39" s="89" t="s">
        <v>45</v>
      </c>
      <c r="D39" s="93" t="s">
        <v>41</v>
      </c>
      <c r="E39" s="11" t="s">
        <v>36</v>
      </c>
      <c r="F39" s="262">
        <v>1</v>
      </c>
      <c r="G39" s="279">
        <v>4</v>
      </c>
      <c r="H39" s="279">
        <v>4</v>
      </c>
      <c r="I39" s="279">
        <v>3</v>
      </c>
      <c r="J39" s="279">
        <v>3</v>
      </c>
      <c r="K39" s="279">
        <v>3</v>
      </c>
      <c r="L39" s="279">
        <v>4</v>
      </c>
      <c r="M39" s="279">
        <v>4</v>
      </c>
      <c r="N39" s="279">
        <v>3</v>
      </c>
      <c r="O39" s="279">
        <v>4</v>
      </c>
      <c r="P39" s="276">
        <f>AVERAGE(G39:O39)</f>
        <v>3.5555555555555554</v>
      </c>
      <c r="Q39" s="294"/>
    </row>
    <row r="40" spans="1:17" ht="21.6" customHeight="1" thickTop="1" thickBot="1" x14ac:dyDescent="0.25">
      <c r="A40" s="259" t="s">
        <v>36</v>
      </c>
      <c r="B40" s="258">
        <v>2</v>
      </c>
      <c r="C40" s="89" t="s">
        <v>42</v>
      </c>
      <c r="D40" s="93" t="s">
        <v>41</v>
      </c>
      <c r="E40" s="259" t="s">
        <v>36</v>
      </c>
      <c r="F40" s="258">
        <v>2</v>
      </c>
      <c r="G40" s="278">
        <v>5</v>
      </c>
      <c r="H40" s="278">
        <v>4</v>
      </c>
      <c r="I40" s="278">
        <v>4</v>
      </c>
      <c r="J40" s="278">
        <v>5</v>
      </c>
      <c r="K40" s="278">
        <v>4</v>
      </c>
      <c r="L40" s="278">
        <v>4</v>
      </c>
      <c r="M40" s="278">
        <v>4</v>
      </c>
      <c r="N40" s="278">
        <v>5</v>
      </c>
      <c r="O40" s="278">
        <v>5</v>
      </c>
      <c r="P40" s="276">
        <f>AVERAGE(G40:O40)</f>
        <v>4.4444444444444446</v>
      </c>
    </row>
    <row r="41" spans="1:17" ht="21.6" customHeight="1" thickTop="1" thickBot="1" x14ac:dyDescent="0.25">
      <c r="A41" s="259" t="s">
        <v>36</v>
      </c>
      <c r="B41" s="258">
        <v>3</v>
      </c>
      <c r="C41" s="89" t="s">
        <v>47</v>
      </c>
      <c r="D41" s="93" t="s">
        <v>41</v>
      </c>
      <c r="E41" s="259" t="s">
        <v>36</v>
      </c>
      <c r="F41" s="258">
        <v>3</v>
      </c>
      <c r="G41" s="278">
        <v>4</v>
      </c>
      <c r="H41" s="278">
        <v>4</v>
      </c>
      <c r="I41" s="278">
        <v>5</v>
      </c>
      <c r="J41" s="278">
        <v>3</v>
      </c>
      <c r="K41" s="278">
        <v>3</v>
      </c>
      <c r="L41" s="278">
        <v>3</v>
      </c>
      <c r="M41" s="278">
        <v>5</v>
      </c>
      <c r="N41" s="278">
        <v>4</v>
      </c>
      <c r="O41" s="278">
        <v>3</v>
      </c>
      <c r="P41" s="276">
        <f>AVERAGE(G41:O41)</f>
        <v>3.7777777777777777</v>
      </c>
    </row>
    <row r="42" spans="1:17" ht="21.6" customHeight="1" thickTop="1" thickBot="1" x14ac:dyDescent="0.25">
      <c r="A42" s="255" t="s">
        <v>36</v>
      </c>
      <c r="B42" s="254">
        <v>4</v>
      </c>
      <c r="C42" s="89" t="s">
        <v>44</v>
      </c>
      <c r="D42" s="93" t="s">
        <v>41</v>
      </c>
      <c r="E42" s="255" t="s">
        <v>36</v>
      </c>
      <c r="F42" s="254">
        <v>4</v>
      </c>
      <c r="G42" s="277">
        <v>4</v>
      </c>
      <c r="H42" s="277">
        <v>3</v>
      </c>
      <c r="I42" s="277">
        <v>3</v>
      </c>
      <c r="J42" s="277">
        <v>4</v>
      </c>
      <c r="K42" s="277">
        <v>3</v>
      </c>
      <c r="L42" s="277">
        <v>3</v>
      </c>
      <c r="M42" s="277">
        <v>4</v>
      </c>
      <c r="N42" s="277">
        <v>3</v>
      </c>
      <c r="O42" s="277">
        <v>3</v>
      </c>
      <c r="P42" s="276">
        <f>AVERAGE(G42:O42)</f>
        <v>3.3333333333333335</v>
      </c>
    </row>
    <row r="43" spans="1:17" ht="21.6" customHeight="1" thickTop="1" thickBot="1" x14ac:dyDescent="0.25">
      <c r="A43" s="11" t="s">
        <v>37</v>
      </c>
      <c r="B43" s="262">
        <v>4</v>
      </c>
      <c r="C43" s="89" t="s">
        <v>44</v>
      </c>
      <c r="D43" s="96" t="s">
        <v>43</v>
      </c>
      <c r="E43" s="11" t="s">
        <v>37</v>
      </c>
      <c r="F43" s="262">
        <v>4</v>
      </c>
      <c r="G43" s="279">
        <v>2</v>
      </c>
      <c r="H43" s="279">
        <v>2</v>
      </c>
      <c r="I43" s="279">
        <v>3</v>
      </c>
      <c r="J43" s="279">
        <v>3</v>
      </c>
      <c r="K43" s="279">
        <v>2</v>
      </c>
      <c r="L43" s="279">
        <v>2</v>
      </c>
      <c r="M43" s="279">
        <v>2</v>
      </c>
      <c r="N43" s="279">
        <v>3</v>
      </c>
      <c r="O43" s="279">
        <v>3</v>
      </c>
      <c r="P43" s="276">
        <f>AVERAGE(G43:O43)</f>
        <v>2.4444444444444446</v>
      </c>
    </row>
    <row r="44" spans="1:17" ht="21.6" customHeight="1" thickTop="1" thickBot="1" x14ac:dyDescent="0.25">
      <c r="A44" s="259" t="s">
        <v>37</v>
      </c>
      <c r="B44" s="258">
        <v>3</v>
      </c>
      <c r="C44" s="89" t="s">
        <v>47</v>
      </c>
      <c r="D44" s="96" t="s">
        <v>43</v>
      </c>
      <c r="E44" s="259" t="s">
        <v>37</v>
      </c>
      <c r="F44" s="258">
        <v>3</v>
      </c>
      <c r="G44" s="278">
        <v>2</v>
      </c>
      <c r="H44" s="278">
        <v>2</v>
      </c>
      <c r="I44" s="278">
        <v>3</v>
      </c>
      <c r="J44" s="278">
        <v>3</v>
      </c>
      <c r="K44" s="278">
        <v>3</v>
      </c>
      <c r="L44" s="278">
        <v>3</v>
      </c>
      <c r="M44" s="278">
        <v>2</v>
      </c>
      <c r="N44" s="278">
        <v>3</v>
      </c>
      <c r="O44" s="278">
        <v>3</v>
      </c>
      <c r="P44" s="276">
        <f>AVERAGE(G44:O44)</f>
        <v>2.6666666666666665</v>
      </c>
    </row>
    <row r="45" spans="1:17" ht="21.6" customHeight="1" thickTop="1" thickBot="1" x14ac:dyDescent="0.25">
      <c r="A45" s="259" t="s">
        <v>37</v>
      </c>
      <c r="B45" s="258">
        <v>2</v>
      </c>
      <c r="C45" s="89" t="s">
        <v>42</v>
      </c>
      <c r="D45" s="96" t="s">
        <v>43</v>
      </c>
      <c r="E45" s="259" t="s">
        <v>37</v>
      </c>
      <c r="F45" s="258">
        <v>2</v>
      </c>
      <c r="G45" s="278">
        <v>3</v>
      </c>
      <c r="H45" s="278">
        <v>4</v>
      </c>
      <c r="I45" s="278">
        <v>3</v>
      </c>
      <c r="J45" s="278">
        <v>3</v>
      </c>
      <c r="K45" s="278">
        <v>4</v>
      </c>
      <c r="L45" s="278">
        <v>3</v>
      </c>
      <c r="M45" s="278">
        <v>4</v>
      </c>
      <c r="N45" s="278">
        <v>3</v>
      </c>
      <c r="O45" s="278">
        <v>4</v>
      </c>
      <c r="P45" s="276">
        <f>AVERAGE(G45:O45)</f>
        <v>3.4444444444444446</v>
      </c>
    </row>
    <row r="46" spans="1:17" ht="21.6" customHeight="1" thickTop="1" thickBot="1" x14ac:dyDescent="0.25">
      <c r="A46" s="255" t="s">
        <v>37</v>
      </c>
      <c r="B46" s="254">
        <v>1</v>
      </c>
      <c r="C46" s="89" t="s">
        <v>45</v>
      </c>
      <c r="D46" s="96" t="s">
        <v>43</v>
      </c>
      <c r="E46" s="255" t="s">
        <v>37</v>
      </c>
      <c r="F46" s="254">
        <v>1</v>
      </c>
      <c r="G46" s="277">
        <v>4</v>
      </c>
      <c r="H46" s="277">
        <v>3</v>
      </c>
      <c r="I46" s="277">
        <v>2</v>
      </c>
      <c r="J46" s="277">
        <v>3</v>
      </c>
      <c r="K46" s="277">
        <v>3</v>
      </c>
      <c r="L46" s="277">
        <v>4</v>
      </c>
      <c r="M46" s="277">
        <v>3</v>
      </c>
      <c r="N46" s="277">
        <v>3</v>
      </c>
      <c r="O46" s="277">
        <v>4</v>
      </c>
      <c r="P46" s="276">
        <f>AVERAGE(G46:O46)</f>
        <v>3.2222222222222223</v>
      </c>
    </row>
    <row r="47" spans="1:17" ht="21.6" customHeight="1" thickTop="1" thickBot="1" x14ac:dyDescent="0.25">
      <c r="A47" s="11" t="s">
        <v>38</v>
      </c>
      <c r="B47" s="262">
        <v>1</v>
      </c>
      <c r="C47" s="89" t="s">
        <v>44</v>
      </c>
      <c r="D47" s="96" t="s">
        <v>43</v>
      </c>
      <c r="E47" s="11" t="s">
        <v>38</v>
      </c>
      <c r="F47" s="262">
        <v>1</v>
      </c>
      <c r="G47" s="279">
        <v>3</v>
      </c>
      <c r="H47" s="279">
        <v>3</v>
      </c>
      <c r="I47" s="279">
        <v>4</v>
      </c>
      <c r="J47" s="279">
        <v>3</v>
      </c>
      <c r="K47" s="279">
        <v>3</v>
      </c>
      <c r="L47" s="279">
        <v>3</v>
      </c>
      <c r="M47" s="279">
        <v>3</v>
      </c>
      <c r="N47" s="279">
        <v>3</v>
      </c>
      <c r="O47" s="279">
        <v>3</v>
      </c>
      <c r="P47" s="276">
        <f>AVERAGE(G47:O47)</f>
        <v>3.1111111111111112</v>
      </c>
    </row>
    <row r="48" spans="1:17" ht="21.6" customHeight="1" thickTop="1" thickBot="1" x14ac:dyDescent="0.25">
      <c r="A48" s="259" t="s">
        <v>38</v>
      </c>
      <c r="B48" s="258">
        <v>2</v>
      </c>
      <c r="C48" s="89" t="s">
        <v>48</v>
      </c>
      <c r="D48" s="96" t="s">
        <v>43</v>
      </c>
      <c r="E48" s="259" t="s">
        <v>38</v>
      </c>
      <c r="F48" s="258">
        <v>2</v>
      </c>
      <c r="G48" s="278">
        <v>4</v>
      </c>
      <c r="H48" s="278">
        <v>4</v>
      </c>
      <c r="I48" s="278">
        <v>4</v>
      </c>
      <c r="J48" s="278">
        <v>5</v>
      </c>
      <c r="K48" s="278">
        <v>4</v>
      </c>
      <c r="L48" s="278">
        <v>4</v>
      </c>
      <c r="M48" s="278">
        <v>3</v>
      </c>
      <c r="N48" s="278">
        <v>4</v>
      </c>
      <c r="O48" s="278">
        <v>4</v>
      </c>
      <c r="P48" s="276">
        <f>AVERAGE(G48:O48)</f>
        <v>4</v>
      </c>
    </row>
    <row r="49" spans="1:17" ht="21.6" customHeight="1" thickTop="1" thickBot="1" x14ac:dyDescent="0.25">
      <c r="A49" s="259" t="s">
        <v>38</v>
      </c>
      <c r="B49" s="258">
        <v>3</v>
      </c>
      <c r="C49" s="89" t="s">
        <v>46</v>
      </c>
      <c r="D49" s="96" t="s">
        <v>43</v>
      </c>
      <c r="E49" s="259" t="s">
        <v>38</v>
      </c>
      <c r="F49" s="258">
        <v>3</v>
      </c>
      <c r="G49" s="278">
        <v>3</v>
      </c>
      <c r="H49" s="278">
        <v>3</v>
      </c>
      <c r="I49" s="278">
        <v>4</v>
      </c>
      <c r="J49" s="278">
        <v>4</v>
      </c>
      <c r="K49" s="278">
        <v>4</v>
      </c>
      <c r="L49" s="278">
        <v>4</v>
      </c>
      <c r="M49" s="278">
        <v>5</v>
      </c>
      <c r="N49" s="278">
        <v>4</v>
      </c>
      <c r="O49" s="278">
        <v>2</v>
      </c>
      <c r="P49" s="276">
        <f>AVERAGE(G49:O49)</f>
        <v>3.6666666666666665</v>
      </c>
    </row>
    <row r="50" spans="1:17" ht="21.6" customHeight="1" thickTop="1" thickBot="1" x14ac:dyDescent="0.25">
      <c r="A50" s="255" t="s">
        <v>38</v>
      </c>
      <c r="B50" s="254">
        <v>4</v>
      </c>
      <c r="C50" s="89" t="s">
        <v>45</v>
      </c>
      <c r="D50" s="96" t="s">
        <v>43</v>
      </c>
      <c r="E50" s="255" t="s">
        <v>38</v>
      </c>
      <c r="F50" s="254">
        <v>4</v>
      </c>
      <c r="G50" s="277">
        <v>3</v>
      </c>
      <c r="H50" s="277">
        <v>3</v>
      </c>
      <c r="I50" s="277">
        <v>3</v>
      </c>
      <c r="J50" s="277">
        <v>3</v>
      </c>
      <c r="K50" s="277">
        <v>3</v>
      </c>
      <c r="L50" s="277">
        <v>3</v>
      </c>
      <c r="M50" s="277">
        <v>3</v>
      </c>
      <c r="N50" s="277">
        <v>3</v>
      </c>
      <c r="O50" s="277">
        <v>2</v>
      </c>
      <c r="P50" s="276">
        <f>AVERAGE(G50:O50)</f>
        <v>2.8888888888888888</v>
      </c>
    </row>
    <row r="51" spans="1:17" ht="21.6" customHeight="1" thickTop="1" thickBot="1" x14ac:dyDescent="0.25">
      <c r="A51" s="11" t="s">
        <v>39</v>
      </c>
      <c r="B51" s="262">
        <v>4</v>
      </c>
      <c r="C51" s="89" t="s">
        <v>45</v>
      </c>
      <c r="D51" s="93" t="s">
        <v>41</v>
      </c>
      <c r="E51" s="11" t="s">
        <v>39</v>
      </c>
      <c r="F51" s="262">
        <v>4</v>
      </c>
      <c r="G51" s="279">
        <v>4</v>
      </c>
      <c r="H51" s="279">
        <v>4</v>
      </c>
      <c r="I51" s="279">
        <v>4</v>
      </c>
      <c r="J51" s="279">
        <v>3</v>
      </c>
      <c r="K51" s="279">
        <v>4</v>
      </c>
      <c r="L51" s="279">
        <v>3</v>
      </c>
      <c r="M51" s="279">
        <v>3</v>
      </c>
      <c r="N51" s="279">
        <v>3</v>
      </c>
      <c r="O51" s="279">
        <v>4</v>
      </c>
      <c r="P51" s="276">
        <f>AVERAGE(G51:O51)</f>
        <v>3.5555555555555554</v>
      </c>
      <c r="Q51" s="294"/>
    </row>
    <row r="52" spans="1:17" ht="21.6" customHeight="1" thickTop="1" thickBot="1" x14ac:dyDescent="0.25">
      <c r="A52" s="259" t="s">
        <v>39</v>
      </c>
      <c r="B52" s="258">
        <v>3</v>
      </c>
      <c r="C52" s="89" t="s">
        <v>46</v>
      </c>
      <c r="D52" s="93" t="s">
        <v>41</v>
      </c>
      <c r="E52" s="259" t="s">
        <v>39</v>
      </c>
      <c r="F52" s="258">
        <v>3</v>
      </c>
      <c r="G52" s="278">
        <v>4</v>
      </c>
      <c r="H52" s="278">
        <v>4</v>
      </c>
      <c r="I52" s="278">
        <v>5</v>
      </c>
      <c r="J52" s="278">
        <v>4</v>
      </c>
      <c r="K52" s="278">
        <v>5</v>
      </c>
      <c r="L52" s="278">
        <v>4</v>
      </c>
      <c r="M52" s="278">
        <v>5</v>
      </c>
      <c r="N52" s="278">
        <v>4</v>
      </c>
      <c r="O52" s="278">
        <v>4</v>
      </c>
      <c r="P52" s="276">
        <f>AVERAGE(G52:O52)</f>
        <v>4.333333333333333</v>
      </c>
    </row>
    <row r="53" spans="1:17" ht="21.6" customHeight="1" thickTop="1" thickBot="1" x14ac:dyDescent="0.25">
      <c r="A53" s="259" t="s">
        <v>39</v>
      </c>
      <c r="B53" s="258">
        <v>2</v>
      </c>
      <c r="C53" s="89" t="s">
        <v>48</v>
      </c>
      <c r="D53" s="93" t="s">
        <v>41</v>
      </c>
      <c r="E53" s="259" t="s">
        <v>39</v>
      </c>
      <c r="F53" s="258">
        <v>2</v>
      </c>
      <c r="G53" s="278">
        <v>4</v>
      </c>
      <c r="H53" s="278">
        <v>4</v>
      </c>
      <c r="I53" s="278">
        <v>5</v>
      </c>
      <c r="J53" s="278">
        <v>4</v>
      </c>
      <c r="K53" s="278">
        <v>4</v>
      </c>
      <c r="L53" s="278">
        <v>4</v>
      </c>
      <c r="M53" s="278">
        <v>4</v>
      </c>
      <c r="N53" s="278">
        <v>2</v>
      </c>
      <c r="O53" s="278">
        <v>3</v>
      </c>
      <c r="P53" s="276">
        <f>AVERAGE(G53:O53)</f>
        <v>3.7777777777777777</v>
      </c>
    </row>
    <row r="54" spans="1:17" ht="21.6" customHeight="1" thickTop="1" thickBot="1" x14ac:dyDescent="0.25">
      <c r="A54" s="255" t="s">
        <v>39</v>
      </c>
      <c r="B54" s="254">
        <v>1</v>
      </c>
      <c r="C54" s="89" t="s">
        <v>44</v>
      </c>
      <c r="D54" s="93" t="s">
        <v>41</v>
      </c>
      <c r="E54" s="255" t="s">
        <v>39</v>
      </c>
      <c r="F54" s="254">
        <v>1</v>
      </c>
      <c r="G54" s="277">
        <v>2</v>
      </c>
      <c r="H54" s="277">
        <v>4</v>
      </c>
      <c r="I54" s="277">
        <v>4</v>
      </c>
      <c r="J54" s="277">
        <v>3</v>
      </c>
      <c r="K54" s="277">
        <v>2</v>
      </c>
      <c r="L54" s="277">
        <v>4</v>
      </c>
      <c r="M54" s="277">
        <v>4</v>
      </c>
      <c r="N54" s="277">
        <v>4</v>
      </c>
      <c r="O54" s="277">
        <v>4</v>
      </c>
      <c r="P54" s="276">
        <f>AVERAGE(G54:O54)</f>
        <v>3.4444444444444446</v>
      </c>
    </row>
    <row r="55" spans="1:17" x14ac:dyDescent="0.2">
      <c r="C55" s="291"/>
      <c r="D55" s="291"/>
    </row>
    <row r="56" spans="1:17" x14ac:dyDescent="0.2">
      <c r="C56" s="291"/>
      <c r="D56" s="291"/>
    </row>
    <row r="57" spans="1:17" x14ac:dyDescent="0.2">
      <c r="C57" s="291"/>
      <c r="D57" s="291"/>
    </row>
    <row r="58" spans="1:17" x14ac:dyDescent="0.2">
      <c r="C58" s="291"/>
      <c r="D58" s="291"/>
    </row>
    <row r="59" spans="1:17" x14ac:dyDescent="0.2">
      <c r="C59" s="291"/>
      <c r="D59" s="291"/>
    </row>
    <row r="60" spans="1:17" x14ac:dyDescent="0.2">
      <c r="C60" s="291"/>
      <c r="D60" s="291"/>
    </row>
    <row r="61" spans="1:17" x14ac:dyDescent="0.2">
      <c r="C61" s="291"/>
      <c r="D61" s="291"/>
    </row>
    <row r="62" spans="1:17" x14ac:dyDescent="0.2">
      <c r="C62" s="291"/>
      <c r="D62" s="291"/>
    </row>
    <row r="63" spans="1:17" x14ac:dyDescent="0.2">
      <c r="C63" s="291"/>
      <c r="D63" s="291"/>
    </row>
    <row r="64" spans="1:17"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3">
    <mergeCell ref="C4:I4"/>
    <mergeCell ref="E6:F6"/>
    <mergeCell ref="A6:B6"/>
  </mergeCells>
  <conditionalFormatting sqref="C7:C150">
    <cfRule type="containsText" dxfId="29" priority="1" operator="containsText" text="AQC-N">
      <formula>NOT(ISERROR(SEARCH("AQC-N",C7)))</formula>
    </cfRule>
    <cfRule type="containsText" dxfId="28" priority="2" operator="containsText" text="AQC">
      <formula>NOT(ISERROR(SEARCH("AQC",C7)))</formula>
    </cfRule>
    <cfRule type="containsText" dxfId="27" priority="3" operator="containsText" text="FAO-N">
      <formula>NOT(ISERROR(SEARCH("FAO-N",C7)))</formula>
    </cfRule>
    <cfRule type="containsText" dxfId="26" priority="4" operator="containsText" text="CSM-N">
      <formula>NOT(ISERROR(SEARCH("CSM-N",C7)))</formula>
    </cfRule>
    <cfRule type="containsText" dxfId="25" priority="5" operator="containsText" text="CSM">
      <formula>NOT(ISERROR(SEARCH("CSM",C7)))</formula>
    </cfRule>
    <cfRule type="containsText" dxfId="24" priority="6" operator="containsText" text="FAO">
      <formula>NOT(ISERROR(SEARCH("FAO",C7)))</formula>
    </cfRule>
  </conditionalFormatting>
  <pageMargins left="0.45" right="0.45" top="0.5" bottom="0.5" header="0" footer="0"/>
  <pageSetup scale="93" fitToHeight="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0BA2-0E30-451C-AD66-48D879C71C83}">
  <dimension ref="A1:Q150"/>
  <sheetViews>
    <sheetView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 min="17" max="17" width="9.140625" style="296"/>
  </cols>
  <sheetData>
    <row r="1" spans="1:17" ht="15.75" x14ac:dyDescent="0.25">
      <c r="B1" s="6">
        <v>2022</v>
      </c>
      <c r="C1" s="8" t="s">
        <v>24</v>
      </c>
      <c r="D1" s="2"/>
      <c r="E1" s="8" t="s">
        <v>6</v>
      </c>
      <c r="F1"/>
      <c r="G1" s="4" t="s">
        <v>8</v>
      </c>
      <c r="H1" s="289">
        <v>44788</v>
      </c>
      <c r="I1" s="288"/>
      <c r="J1" s="288"/>
      <c r="K1" s="288"/>
      <c r="L1" s="288"/>
    </row>
    <row r="2" spans="1:17" ht="6.6" customHeight="1" x14ac:dyDescent="0.25">
      <c r="B2" s="6"/>
      <c r="C2" s="7"/>
      <c r="D2" s="8"/>
      <c r="E2"/>
      <c r="F2"/>
      <c r="G2" s="4"/>
      <c r="H2" s="4"/>
    </row>
    <row r="3" spans="1:17" x14ac:dyDescent="0.2">
      <c r="C3" s="5" t="s">
        <v>357</v>
      </c>
      <c r="D3" s="2"/>
      <c r="E3"/>
      <c r="F3"/>
      <c r="G3" s="4" t="s">
        <v>13</v>
      </c>
      <c r="H3" s="4" t="s">
        <v>51</v>
      </c>
    </row>
    <row r="4" spans="1:17" ht="33" customHeight="1" x14ac:dyDescent="0.2">
      <c r="C4" s="273" t="s">
        <v>356</v>
      </c>
      <c r="D4" s="287"/>
      <c r="E4" s="287"/>
      <c r="F4" s="287"/>
      <c r="G4" s="287"/>
      <c r="H4" s="287"/>
      <c r="I4" s="287"/>
      <c r="J4" s="286"/>
      <c r="K4" s="286"/>
      <c r="L4" s="286"/>
      <c r="M4" s="285"/>
    </row>
    <row r="5" spans="1:17" ht="15" customHeight="1" x14ac:dyDescent="0.2">
      <c r="E5" s="5"/>
      <c r="G5" s="271"/>
      <c r="H5" s="271"/>
      <c r="I5" s="271"/>
      <c r="J5" s="271"/>
      <c r="K5" s="271"/>
      <c r="L5" s="271"/>
      <c r="M5" s="271"/>
      <c r="N5" s="271"/>
      <c r="O5" s="3"/>
    </row>
    <row r="6" spans="1:17"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7" ht="21.6" customHeight="1" thickTop="1" thickBot="1" x14ac:dyDescent="0.25">
      <c r="A7" s="11" t="s">
        <v>0</v>
      </c>
      <c r="B7" s="14">
        <v>1</v>
      </c>
      <c r="C7" s="89" t="s">
        <v>42</v>
      </c>
      <c r="D7" s="93" t="s">
        <v>41</v>
      </c>
      <c r="E7" s="11" t="s">
        <v>0</v>
      </c>
      <c r="F7" s="14">
        <v>1</v>
      </c>
      <c r="G7" s="279">
        <v>2</v>
      </c>
      <c r="H7" s="279">
        <v>3</v>
      </c>
      <c r="I7" s="279">
        <v>3</v>
      </c>
      <c r="J7" s="279">
        <v>3</v>
      </c>
      <c r="K7" s="279">
        <v>3</v>
      </c>
      <c r="L7" s="279">
        <v>3</v>
      </c>
      <c r="M7" s="279">
        <v>3</v>
      </c>
      <c r="N7" s="279">
        <v>4</v>
      </c>
      <c r="O7" s="279">
        <v>3</v>
      </c>
      <c r="P7" s="276">
        <f>AVERAGE(G7:O7)</f>
        <v>3</v>
      </c>
      <c r="Q7" s="297"/>
    </row>
    <row r="8" spans="1:17" ht="21.6" customHeight="1" thickTop="1" thickBot="1" x14ac:dyDescent="0.25">
      <c r="A8" s="259" t="s">
        <v>0</v>
      </c>
      <c r="B8" s="281">
        <v>2</v>
      </c>
      <c r="C8" s="89" t="s">
        <v>44</v>
      </c>
      <c r="D8" s="93" t="s">
        <v>41</v>
      </c>
      <c r="E8" s="259" t="s">
        <v>0</v>
      </c>
      <c r="F8" s="281">
        <v>2</v>
      </c>
      <c r="G8" s="278">
        <v>1</v>
      </c>
      <c r="H8" s="278">
        <v>2</v>
      </c>
      <c r="I8" s="278">
        <v>1</v>
      </c>
      <c r="J8" s="278">
        <v>2</v>
      </c>
      <c r="K8" s="278">
        <v>1</v>
      </c>
      <c r="L8" s="278">
        <v>2</v>
      </c>
      <c r="M8" s="278">
        <v>1</v>
      </c>
      <c r="N8" s="278">
        <v>2</v>
      </c>
      <c r="O8" s="278">
        <v>1</v>
      </c>
      <c r="P8" s="276">
        <f>AVERAGE(G8:O8)</f>
        <v>1.4444444444444444</v>
      </c>
      <c r="Q8" s="297"/>
    </row>
    <row r="9" spans="1:17" ht="21.6" customHeight="1" thickTop="1" thickBot="1" x14ac:dyDescent="0.25">
      <c r="A9" s="259" t="s">
        <v>0</v>
      </c>
      <c r="B9" s="281">
        <v>3</v>
      </c>
      <c r="C9" s="89" t="s">
        <v>45</v>
      </c>
      <c r="D9" s="93" t="s">
        <v>41</v>
      </c>
      <c r="E9" s="259" t="s">
        <v>0</v>
      </c>
      <c r="F9" s="281">
        <v>3</v>
      </c>
      <c r="G9" s="278">
        <v>2</v>
      </c>
      <c r="H9" s="278">
        <v>2</v>
      </c>
      <c r="I9" s="278">
        <v>1</v>
      </c>
      <c r="J9" s="278">
        <v>1</v>
      </c>
      <c r="K9" s="278">
        <v>1</v>
      </c>
      <c r="L9" s="278">
        <v>1</v>
      </c>
      <c r="M9" s="278">
        <v>2</v>
      </c>
      <c r="N9" s="278">
        <v>2</v>
      </c>
      <c r="O9" s="278">
        <v>1</v>
      </c>
      <c r="P9" s="276">
        <f>AVERAGE(G9:O9)</f>
        <v>1.4444444444444444</v>
      </c>
      <c r="Q9" s="297"/>
    </row>
    <row r="10" spans="1:17" ht="21.6" customHeight="1" thickTop="1" thickBot="1" x14ac:dyDescent="0.25">
      <c r="A10" s="255" t="s">
        <v>0</v>
      </c>
      <c r="B10" s="280">
        <v>4</v>
      </c>
      <c r="C10" s="89" t="s">
        <v>46</v>
      </c>
      <c r="D10" s="93" t="s">
        <v>41</v>
      </c>
      <c r="E10" s="255" t="s">
        <v>0</v>
      </c>
      <c r="F10" s="280">
        <v>4</v>
      </c>
      <c r="G10" s="277">
        <v>4</v>
      </c>
      <c r="H10" s="277">
        <v>2</v>
      </c>
      <c r="I10" s="277">
        <v>3</v>
      </c>
      <c r="J10" s="277">
        <v>2</v>
      </c>
      <c r="K10" s="277">
        <v>3</v>
      </c>
      <c r="L10" s="277">
        <v>4</v>
      </c>
      <c r="M10" s="277">
        <v>4</v>
      </c>
      <c r="N10" s="277">
        <v>3</v>
      </c>
      <c r="O10" s="277">
        <v>2</v>
      </c>
      <c r="P10" s="276">
        <f>AVERAGE(G10:O10)</f>
        <v>3</v>
      </c>
      <c r="Q10" s="297"/>
    </row>
    <row r="11" spans="1:17" ht="21.6" customHeight="1" thickTop="1" thickBot="1" x14ac:dyDescent="0.25">
      <c r="A11" s="11" t="s">
        <v>1</v>
      </c>
      <c r="B11" s="14">
        <v>4</v>
      </c>
      <c r="C11" s="89" t="s">
        <v>46</v>
      </c>
      <c r="D11" s="96" t="s">
        <v>43</v>
      </c>
      <c r="E11" s="11" t="s">
        <v>1</v>
      </c>
      <c r="F11" s="14">
        <v>4</v>
      </c>
      <c r="G11" s="279">
        <v>3</v>
      </c>
      <c r="H11" s="279">
        <v>3</v>
      </c>
      <c r="I11" s="279">
        <v>4</v>
      </c>
      <c r="J11" s="279">
        <v>4</v>
      </c>
      <c r="K11" s="279">
        <v>5</v>
      </c>
      <c r="L11" s="279">
        <v>4</v>
      </c>
      <c r="M11" s="279">
        <v>5</v>
      </c>
      <c r="N11" s="279">
        <v>3</v>
      </c>
      <c r="O11" s="279">
        <v>4</v>
      </c>
      <c r="P11" s="276">
        <f>AVERAGE(G11:O11)</f>
        <v>3.8888888888888888</v>
      </c>
      <c r="Q11" s="297"/>
    </row>
    <row r="12" spans="1:17" ht="21.6" customHeight="1" thickTop="1" thickBot="1" x14ac:dyDescent="0.25">
      <c r="A12" s="259" t="s">
        <v>1</v>
      </c>
      <c r="B12" s="281">
        <v>3</v>
      </c>
      <c r="C12" s="89" t="s">
        <v>45</v>
      </c>
      <c r="D12" s="96" t="s">
        <v>43</v>
      </c>
      <c r="E12" s="259" t="s">
        <v>1</v>
      </c>
      <c r="F12" s="281">
        <v>3</v>
      </c>
      <c r="G12" s="278">
        <v>2</v>
      </c>
      <c r="H12" s="278">
        <v>2</v>
      </c>
      <c r="I12" s="278">
        <v>2</v>
      </c>
      <c r="J12" s="278">
        <v>3</v>
      </c>
      <c r="K12" s="278">
        <v>1</v>
      </c>
      <c r="L12" s="278">
        <v>1</v>
      </c>
      <c r="M12" s="278">
        <v>2</v>
      </c>
      <c r="N12" s="278">
        <v>1</v>
      </c>
      <c r="O12" s="278">
        <v>2</v>
      </c>
      <c r="P12" s="276">
        <f>AVERAGE(G12:O12)</f>
        <v>1.7777777777777777</v>
      </c>
      <c r="Q12" s="297"/>
    </row>
    <row r="13" spans="1:17" ht="21.6" customHeight="1" thickTop="1" thickBot="1" x14ac:dyDescent="0.25">
      <c r="A13" s="259" t="s">
        <v>1</v>
      </c>
      <c r="B13" s="281">
        <v>2</v>
      </c>
      <c r="C13" s="89" t="s">
        <v>44</v>
      </c>
      <c r="D13" s="96" t="s">
        <v>43</v>
      </c>
      <c r="E13" s="259" t="s">
        <v>1</v>
      </c>
      <c r="F13" s="281">
        <v>2</v>
      </c>
      <c r="G13" s="278">
        <v>2</v>
      </c>
      <c r="H13" s="278">
        <v>1</v>
      </c>
      <c r="I13" s="278">
        <v>3</v>
      </c>
      <c r="J13" s="278">
        <v>1</v>
      </c>
      <c r="K13" s="278">
        <v>2</v>
      </c>
      <c r="L13" s="278">
        <v>1</v>
      </c>
      <c r="M13" s="278">
        <v>1</v>
      </c>
      <c r="N13" s="278">
        <v>2</v>
      </c>
      <c r="O13" s="278">
        <v>3</v>
      </c>
      <c r="P13" s="276">
        <f>AVERAGE(G13:O13)</f>
        <v>1.7777777777777777</v>
      </c>
      <c r="Q13" s="297"/>
    </row>
    <row r="14" spans="1:17" ht="21.6" customHeight="1" thickTop="1" thickBot="1" x14ac:dyDescent="0.25">
      <c r="A14" s="255" t="s">
        <v>1</v>
      </c>
      <c r="B14" s="280">
        <v>1</v>
      </c>
      <c r="C14" s="89" t="s">
        <v>42</v>
      </c>
      <c r="D14" s="96" t="s">
        <v>43</v>
      </c>
      <c r="E14" s="255" t="s">
        <v>1</v>
      </c>
      <c r="F14" s="280">
        <v>1</v>
      </c>
      <c r="G14" s="277">
        <v>4</v>
      </c>
      <c r="H14" s="277">
        <v>3</v>
      </c>
      <c r="I14" s="277">
        <v>3</v>
      </c>
      <c r="J14" s="277">
        <v>2</v>
      </c>
      <c r="K14" s="277">
        <v>4</v>
      </c>
      <c r="L14" s="277">
        <v>4</v>
      </c>
      <c r="M14" s="277">
        <v>4</v>
      </c>
      <c r="N14" s="277">
        <v>3</v>
      </c>
      <c r="O14" s="277">
        <v>4</v>
      </c>
      <c r="P14" s="276">
        <f>AVERAGE(G14:O14)</f>
        <v>3.4444444444444446</v>
      </c>
      <c r="Q14" s="297"/>
    </row>
    <row r="15" spans="1:17" ht="21.6" customHeight="1" thickTop="1" thickBot="1" x14ac:dyDescent="0.25">
      <c r="A15" s="11" t="s">
        <v>2</v>
      </c>
      <c r="B15" s="14">
        <v>1</v>
      </c>
      <c r="C15" s="89" t="s">
        <v>46</v>
      </c>
      <c r="D15" s="93" t="s">
        <v>41</v>
      </c>
      <c r="E15" s="11" t="s">
        <v>2</v>
      </c>
      <c r="F15" s="14">
        <v>1</v>
      </c>
      <c r="G15" s="279">
        <v>2</v>
      </c>
      <c r="H15" s="279">
        <v>3</v>
      </c>
      <c r="I15" s="279">
        <v>3</v>
      </c>
      <c r="J15" s="279">
        <v>4</v>
      </c>
      <c r="K15" s="279">
        <v>4</v>
      </c>
      <c r="L15" s="279">
        <v>3</v>
      </c>
      <c r="M15" s="279">
        <v>3</v>
      </c>
      <c r="N15" s="279">
        <v>3</v>
      </c>
      <c r="O15" s="279">
        <v>3</v>
      </c>
      <c r="P15" s="276">
        <f>AVERAGE(G15:O15)</f>
        <v>3.1111111111111112</v>
      </c>
      <c r="Q15" s="297"/>
    </row>
    <row r="16" spans="1:17" ht="21.6" customHeight="1" thickTop="1" thickBot="1" x14ac:dyDescent="0.25">
      <c r="A16" s="259" t="s">
        <v>2</v>
      </c>
      <c r="B16" s="281">
        <v>2</v>
      </c>
      <c r="C16" s="89" t="s">
        <v>47</v>
      </c>
      <c r="D16" s="93" t="s">
        <v>41</v>
      </c>
      <c r="E16" s="259" t="s">
        <v>2</v>
      </c>
      <c r="F16" s="281">
        <v>2</v>
      </c>
      <c r="G16" s="278">
        <v>4</v>
      </c>
      <c r="H16" s="278">
        <v>4</v>
      </c>
      <c r="I16" s="278">
        <v>3</v>
      </c>
      <c r="J16" s="278">
        <v>4</v>
      </c>
      <c r="K16" s="278">
        <v>4</v>
      </c>
      <c r="L16" s="278">
        <v>3</v>
      </c>
      <c r="M16" s="278">
        <v>3</v>
      </c>
      <c r="N16" s="278">
        <v>3</v>
      </c>
      <c r="O16" s="278">
        <v>3</v>
      </c>
      <c r="P16" s="276">
        <f>AVERAGE(G16:O16)</f>
        <v>3.4444444444444446</v>
      </c>
      <c r="Q16" s="297"/>
    </row>
    <row r="17" spans="1:17" ht="21.6" customHeight="1" thickTop="1" thickBot="1" x14ac:dyDescent="0.25">
      <c r="A17" s="259" t="s">
        <v>2</v>
      </c>
      <c r="B17" s="281">
        <v>3</v>
      </c>
      <c r="C17" s="89" t="s">
        <v>48</v>
      </c>
      <c r="D17" s="93" t="s">
        <v>41</v>
      </c>
      <c r="E17" s="259" t="s">
        <v>2</v>
      </c>
      <c r="F17" s="281">
        <v>3</v>
      </c>
      <c r="G17" s="278">
        <v>2</v>
      </c>
      <c r="H17" s="278">
        <v>3</v>
      </c>
      <c r="I17" s="278">
        <v>4</v>
      </c>
      <c r="J17" s="278">
        <v>3</v>
      </c>
      <c r="K17" s="278">
        <v>4</v>
      </c>
      <c r="L17" s="278">
        <v>3</v>
      </c>
      <c r="M17" s="278">
        <v>3</v>
      </c>
      <c r="N17" s="278">
        <v>3</v>
      </c>
      <c r="O17" s="278">
        <v>3</v>
      </c>
      <c r="P17" s="276">
        <f>AVERAGE(G17:O17)</f>
        <v>3.1111111111111112</v>
      </c>
      <c r="Q17" s="297"/>
    </row>
    <row r="18" spans="1:17" ht="21.6" customHeight="1" thickTop="1" thickBot="1" x14ac:dyDescent="0.25">
      <c r="A18" s="255" t="s">
        <v>2</v>
      </c>
      <c r="B18" s="280">
        <v>4</v>
      </c>
      <c r="C18" s="89" t="s">
        <v>42</v>
      </c>
      <c r="D18" s="93" t="s">
        <v>41</v>
      </c>
      <c r="E18" s="255" t="s">
        <v>2</v>
      </c>
      <c r="F18" s="280">
        <v>4</v>
      </c>
      <c r="G18" s="277">
        <v>5</v>
      </c>
      <c r="H18" s="277">
        <v>6</v>
      </c>
      <c r="I18" s="277">
        <v>4</v>
      </c>
      <c r="J18" s="277">
        <v>5</v>
      </c>
      <c r="K18" s="277">
        <v>5</v>
      </c>
      <c r="L18" s="277">
        <v>4</v>
      </c>
      <c r="M18" s="277">
        <v>4</v>
      </c>
      <c r="N18" s="277">
        <v>4</v>
      </c>
      <c r="O18" s="277">
        <v>4</v>
      </c>
      <c r="P18" s="276">
        <f>AVERAGE(G18:O18)</f>
        <v>4.5555555555555554</v>
      </c>
      <c r="Q18" s="297"/>
    </row>
    <row r="19" spans="1:17" ht="21.6" customHeight="1" thickTop="1" thickBot="1" x14ac:dyDescent="0.25">
      <c r="A19" s="11" t="s">
        <v>3</v>
      </c>
      <c r="B19" s="14">
        <v>4</v>
      </c>
      <c r="C19" s="89" t="s">
        <v>42</v>
      </c>
      <c r="D19" s="96" t="s">
        <v>43</v>
      </c>
      <c r="E19" s="11" t="s">
        <v>3</v>
      </c>
      <c r="F19" s="14">
        <v>4</v>
      </c>
      <c r="G19" s="279">
        <v>4</v>
      </c>
      <c r="H19" s="279">
        <v>3</v>
      </c>
      <c r="I19" s="279">
        <v>3</v>
      </c>
      <c r="J19" s="279">
        <v>3</v>
      </c>
      <c r="K19" s="279">
        <v>3</v>
      </c>
      <c r="L19" s="279">
        <v>2</v>
      </c>
      <c r="M19" s="279">
        <v>3</v>
      </c>
      <c r="N19" s="279">
        <v>3</v>
      </c>
      <c r="O19" s="279">
        <v>3</v>
      </c>
      <c r="P19" s="276">
        <f>AVERAGE(G19:O19)</f>
        <v>3</v>
      </c>
      <c r="Q19" s="297"/>
    </row>
    <row r="20" spans="1:17" ht="21.6" customHeight="1" thickTop="1" thickBot="1" x14ac:dyDescent="0.25">
      <c r="A20" s="259" t="s">
        <v>3</v>
      </c>
      <c r="B20" s="281">
        <v>3</v>
      </c>
      <c r="C20" s="89" t="s">
        <v>48</v>
      </c>
      <c r="D20" s="96" t="s">
        <v>43</v>
      </c>
      <c r="E20" s="259" t="s">
        <v>3</v>
      </c>
      <c r="F20" s="281">
        <v>3</v>
      </c>
      <c r="G20" s="278">
        <v>2</v>
      </c>
      <c r="H20" s="278">
        <v>3</v>
      </c>
      <c r="I20" s="278">
        <v>3</v>
      </c>
      <c r="J20" s="278">
        <v>2</v>
      </c>
      <c r="K20" s="278">
        <v>2</v>
      </c>
      <c r="L20" s="278">
        <v>2</v>
      </c>
      <c r="M20" s="278">
        <v>3</v>
      </c>
      <c r="N20" s="278">
        <v>2</v>
      </c>
      <c r="O20" s="278">
        <v>2</v>
      </c>
      <c r="P20" s="276">
        <f>AVERAGE(G20:O20)</f>
        <v>2.3333333333333335</v>
      </c>
      <c r="Q20" s="297"/>
    </row>
    <row r="21" spans="1:17" ht="21.6" customHeight="1" thickTop="1" thickBot="1" x14ac:dyDescent="0.25">
      <c r="A21" s="259" t="s">
        <v>3</v>
      </c>
      <c r="B21" s="281">
        <v>2</v>
      </c>
      <c r="C21" s="89" t="s">
        <v>47</v>
      </c>
      <c r="D21" s="96" t="s">
        <v>43</v>
      </c>
      <c r="E21" s="259" t="s">
        <v>3</v>
      </c>
      <c r="F21" s="281">
        <v>2</v>
      </c>
      <c r="G21" s="278">
        <v>3</v>
      </c>
      <c r="H21" s="278">
        <v>3</v>
      </c>
      <c r="I21" s="278">
        <v>3</v>
      </c>
      <c r="J21" s="278">
        <v>3</v>
      </c>
      <c r="K21" s="278">
        <v>2</v>
      </c>
      <c r="L21" s="278">
        <v>2</v>
      </c>
      <c r="M21" s="278">
        <v>2</v>
      </c>
      <c r="N21" s="278">
        <v>3</v>
      </c>
      <c r="O21" s="278">
        <v>3</v>
      </c>
      <c r="P21" s="276">
        <f>AVERAGE(G21:O21)</f>
        <v>2.6666666666666665</v>
      </c>
      <c r="Q21" s="297"/>
    </row>
    <row r="22" spans="1:17" ht="21.6" customHeight="1" thickTop="1" thickBot="1" x14ac:dyDescent="0.25">
      <c r="A22" s="255" t="s">
        <v>3</v>
      </c>
      <c r="B22" s="280">
        <v>1</v>
      </c>
      <c r="C22" s="89" t="s">
        <v>46</v>
      </c>
      <c r="D22" s="96" t="s">
        <v>43</v>
      </c>
      <c r="E22" s="255" t="s">
        <v>3</v>
      </c>
      <c r="F22" s="280">
        <v>1</v>
      </c>
      <c r="G22" s="277">
        <v>5</v>
      </c>
      <c r="H22" s="277">
        <v>4</v>
      </c>
      <c r="I22" s="277">
        <v>4</v>
      </c>
      <c r="J22" s="277">
        <v>5</v>
      </c>
      <c r="K22" s="277">
        <v>4</v>
      </c>
      <c r="L22" s="277">
        <v>3</v>
      </c>
      <c r="M22" s="277">
        <v>4</v>
      </c>
      <c r="N22" s="277">
        <v>4</v>
      </c>
      <c r="O22" s="277">
        <v>4</v>
      </c>
      <c r="P22" s="276">
        <f>AVERAGE(G22:O22)</f>
        <v>4.1111111111111107</v>
      </c>
      <c r="Q22" s="297"/>
    </row>
    <row r="23" spans="1:17" ht="21.6" customHeight="1" thickTop="1" thickBot="1" x14ac:dyDescent="0.25">
      <c r="A23" s="11" t="s">
        <v>4</v>
      </c>
      <c r="B23" s="14">
        <v>1</v>
      </c>
      <c r="C23" s="89" t="s">
        <v>48</v>
      </c>
      <c r="D23" s="96" t="s">
        <v>43</v>
      </c>
      <c r="E23" s="11" t="s">
        <v>4</v>
      </c>
      <c r="F23" s="14">
        <v>1</v>
      </c>
      <c r="G23" s="279">
        <v>3</v>
      </c>
      <c r="H23" s="279">
        <v>5</v>
      </c>
      <c r="I23" s="279">
        <v>5</v>
      </c>
      <c r="J23" s="279">
        <v>4</v>
      </c>
      <c r="K23" s="279">
        <v>4</v>
      </c>
      <c r="L23" s="279">
        <v>5</v>
      </c>
      <c r="M23" s="279">
        <v>4</v>
      </c>
      <c r="N23" s="279">
        <v>5</v>
      </c>
      <c r="O23" s="279">
        <v>5</v>
      </c>
      <c r="P23" s="276">
        <f>AVERAGE(G23:O23)</f>
        <v>4.4444444444444446</v>
      </c>
      <c r="Q23" s="297"/>
    </row>
    <row r="24" spans="1:17" ht="21.6" customHeight="1" thickTop="1" thickBot="1" x14ac:dyDescent="0.25">
      <c r="A24" s="259" t="s">
        <v>4</v>
      </c>
      <c r="B24" s="281">
        <v>2</v>
      </c>
      <c r="C24" s="89" t="s">
        <v>45</v>
      </c>
      <c r="D24" s="96" t="s">
        <v>43</v>
      </c>
      <c r="E24" s="259" t="s">
        <v>4</v>
      </c>
      <c r="F24" s="281">
        <v>2</v>
      </c>
      <c r="G24" s="278">
        <v>3</v>
      </c>
      <c r="H24" s="278">
        <v>2</v>
      </c>
      <c r="I24" s="278">
        <v>3</v>
      </c>
      <c r="J24" s="278">
        <v>3</v>
      </c>
      <c r="K24" s="278">
        <v>2</v>
      </c>
      <c r="L24" s="278">
        <v>2</v>
      </c>
      <c r="M24" s="278">
        <v>3</v>
      </c>
      <c r="N24" s="278">
        <v>2</v>
      </c>
      <c r="O24" s="278">
        <v>2</v>
      </c>
      <c r="P24" s="276">
        <f>AVERAGE(G24:O24)</f>
        <v>2.4444444444444446</v>
      </c>
      <c r="Q24" s="297"/>
    </row>
    <row r="25" spans="1:17" ht="21.6" customHeight="1" thickTop="1" thickBot="1" x14ac:dyDescent="0.25">
      <c r="A25" s="259" t="s">
        <v>4</v>
      </c>
      <c r="B25" s="281">
        <v>3</v>
      </c>
      <c r="C25" s="89" t="s">
        <v>44</v>
      </c>
      <c r="D25" s="96" t="s">
        <v>43</v>
      </c>
      <c r="E25" s="259" t="s">
        <v>4</v>
      </c>
      <c r="F25" s="281">
        <v>3</v>
      </c>
      <c r="G25" s="278">
        <v>2</v>
      </c>
      <c r="H25" s="278">
        <v>3</v>
      </c>
      <c r="I25" s="278">
        <v>3</v>
      </c>
      <c r="J25" s="278">
        <v>3</v>
      </c>
      <c r="K25" s="278">
        <v>2</v>
      </c>
      <c r="L25" s="278">
        <v>3</v>
      </c>
      <c r="M25" s="278">
        <v>2</v>
      </c>
      <c r="N25" s="278">
        <v>2</v>
      </c>
      <c r="O25" s="278">
        <v>3</v>
      </c>
      <c r="P25" s="276">
        <f>AVERAGE(G25:O25)</f>
        <v>2.5555555555555554</v>
      </c>
      <c r="Q25" s="297"/>
    </row>
    <row r="26" spans="1:17" ht="21.6" customHeight="1" thickTop="1" thickBot="1" x14ac:dyDescent="0.25">
      <c r="A26" s="255" t="s">
        <v>4</v>
      </c>
      <c r="B26" s="280">
        <v>4</v>
      </c>
      <c r="C26" s="89" t="s">
        <v>47</v>
      </c>
      <c r="D26" s="96" t="s">
        <v>43</v>
      </c>
      <c r="E26" s="255" t="s">
        <v>4</v>
      </c>
      <c r="F26" s="280">
        <v>4</v>
      </c>
      <c r="G26" s="277">
        <v>4</v>
      </c>
      <c r="H26" s="277">
        <v>3</v>
      </c>
      <c r="I26" s="277">
        <v>3</v>
      </c>
      <c r="J26" s="277">
        <v>5</v>
      </c>
      <c r="K26" s="277">
        <v>3</v>
      </c>
      <c r="L26" s="277">
        <v>4</v>
      </c>
      <c r="M26" s="277">
        <v>3</v>
      </c>
      <c r="N26" s="277">
        <v>3</v>
      </c>
      <c r="O26" s="277">
        <v>2</v>
      </c>
      <c r="P26" s="276">
        <f>AVERAGE(G26:O26)</f>
        <v>3.3333333333333335</v>
      </c>
      <c r="Q26" s="297"/>
    </row>
    <row r="27" spans="1:17" ht="21.6" customHeight="1" thickTop="1" thickBot="1" x14ac:dyDescent="0.25">
      <c r="A27" s="11" t="s">
        <v>5</v>
      </c>
      <c r="B27" s="14">
        <v>4</v>
      </c>
      <c r="C27" s="89" t="s">
        <v>47</v>
      </c>
      <c r="D27" s="93" t="s">
        <v>41</v>
      </c>
      <c r="E27" s="11" t="s">
        <v>5</v>
      </c>
      <c r="F27" s="14">
        <v>4</v>
      </c>
      <c r="G27" s="279">
        <v>2</v>
      </c>
      <c r="H27" s="279">
        <v>2</v>
      </c>
      <c r="I27" s="279">
        <v>2</v>
      </c>
      <c r="J27" s="279">
        <v>3</v>
      </c>
      <c r="K27" s="279">
        <v>4</v>
      </c>
      <c r="L27" s="279">
        <v>4</v>
      </c>
      <c r="M27" s="279">
        <v>4</v>
      </c>
      <c r="N27" s="279">
        <v>3</v>
      </c>
      <c r="O27" s="279">
        <v>3</v>
      </c>
      <c r="P27" s="276">
        <f>AVERAGE(G27:O27)</f>
        <v>3</v>
      </c>
      <c r="Q27" s="297"/>
    </row>
    <row r="28" spans="1:17" ht="21.6" customHeight="1" thickTop="1" thickBot="1" x14ac:dyDescent="0.25">
      <c r="A28" s="259" t="s">
        <v>5</v>
      </c>
      <c r="B28" s="281">
        <v>3</v>
      </c>
      <c r="C28" s="89" t="s">
        <v>44</v>
      </c>
      <c r="D28" s="93" t="s">
        <v>41</v>
      </c>
      <c r="E28" s="259" t="s">
        <v>5</v>
      </c>
      <c r="F28" s="281">
        <v>3</v>
      </c>
      <c r="G28" s="278">
        <v>3</v>
      </c>
      <c r="H28" s="278">
        <v>1</v>
      </c>
      <c r="I28" s="278">
        <v>2</v>
      </c>
      <c r="J28" s="278">
        <v>2</v>
      </c>
      <c r="K28" s="278">
        <v>2</v>
      </c>
      <c r="L28" s="278">
        <v>1</v>
      </c>
      <c r="M28" s="278">
        <v>1</v>
      </c>
      <c r="N28" s="278">
        <v>3</v>
      </c>
      <c r="O28" s="278">
        <v>1</v>
      </c>
      <c r="P28" s="276">
        <f>AVERAGE(G28:O28)</f>
        <v>1.7777777777777777</v>
      </c>
      <c r="Q28" s="297"/>
    </row>
    <row r="29" spans="1:17" ht="21.6" customHeight="1" thickTop="1" thickBot="1" x14ac:dyDescent="0.25">
      <c r="A29" s="259" t="s">
        <v>5</v>
      </c>
      <c r="B29" s="281">
        <v>2</v>
      </c>
      <c r="C29" s="89" t="s">
        <v>45</v>
      </c>
      <c r="D29" s="93" t="s">
        <v>41</v>
      </c>
      <c r="E29" s="259" t="s">
        <v>5</v>
      </c>
      <c r="F29" s="281">
        <v>2</v>
      </c>
      <c r="G29" s="278">
        <v>1</v>
      </c>
      <c r="H29" s="278">
        <v>1</v>
      </c>
      <c r="I29" s="278">
        <v>2</v>
      </c>
      <c r="J29" s="278">
        <v>1</v>
      </c>
      <c r="K29" s="278">
        <v>3</v>
      </c>
      <c r="L29" s="278">
        <v>2</v>
      </c>
      <c r="M29" s="278">
        <v>2</v>
      </c>
      <c r="N29" s="278">
        <v>2</v>
      </c>
      <c r="O29" s="278">
        <v>3</v>
      </c>
      <c r="P29" s="276">
        <f>AVERAGE(G29:O29)</f>
        <v>1.8888888888888888</v>
      </c>
      <c r="Q29" s="297"/>
    </row>
    <row r="30" spans="1:17" ht="21.6" customHeight="1" thickTop="1" thickBot="1" x14ac:dyDescent="0.25">
      <c r="A30" s="255" t="s">
        <v>5</v>
      </c>
      <c r="B30" s="280">
        <v>1</v>
      </c>
      <c r="C30" s="89" t="s">
        <v>48</v>
      </c>
      <c r="D30" s="93" t="s">
        <v>41</v>
      </c>
      <c r="E30" s="255" t="s">
        <v>5</v>
      </c>
      <c r="F30" s="280">
        <v>1</v>
      </c>
      <c r="G30" s="277">
        <v>3</v>
      </c>
      <c r="H30" s="277">
        <v>3</v>
      </c>
      <c r="I30" s="277">
        <v>2</v>
      </c>
      <c r="J30" s="277">
        <v>2</v>
      </c>
      <c r="K30" s="277">
        <v>3</v>
      </c>
      <c r="L30" s="277">
        <v>2</v>
      </c>
      <c r="M30" s="277">
        <v>3</v>
      </c>
      <c r="N30" s="277">
        <v>3</v>
      </c>
      <c r="O30" s="277">
        <v>3</v>
      </c>
      <c r="P30" s="276">
        <f>AVERAGE(G30:O30)</f>
        <v>2.6666666666666665</v>
      </c>
      <c r="Q30" s="297"/>
    </row>
    <row r="31" spans="1:17" ht="21.6" customHeight="1" thickTop="1" thickBot="1" x14ac:dyDescent="0.25">
      <c r="A31" s="11" t="s">
        <v>34</v>
      </c>
      <c r="B31" s="262">
        <v>1</v>
      </c>
      <c r="C31" s="89" t="s">
        <v>47</v>
      </c>
      <c r="D31" s="96" t="s">
        <v>43</v>
      </c>
      <c r="E31" s="11" t="s">
        <v>34</v>
      </c>
      <c r="F31" s="262">
        <v>1</v>
      </c>
      <c r="G31" s="279">
        <v>3</v>
      </c>
      <c r="H31" s="279">
        <v>3</v>
      </c>
      <c r="I31" s="279">
        <v>3</v>
      </c>
      <c r="J31" s="279">
        <v>3</v>
      </c>
      <c r="K31" s="279">
        <v>2</v>
      </c>
      <c r="L31" s="279">
        <v>3</v>
      </c>
      <c r="M31" s="279">
        <v>3</v>
      </c>
      <c r="N31" s="279">
        <v>4</v>
      </c>
      <c r="O31" s="279">
        <v>3</v>
      </c>
      <c r="P31" s="276">
        <f>AVERAGE(G31:O31)</f>
        <v>3</v>
      </c>
      <c r="Q31" s="297"/>
    </row>
    <row r="32" spans="1:17" ht="21.6" customHeight="1" thickTop="1" thickBot="1" x14ac:dyDescent="0.25">
      <c r="A32" s="259" t="s">
        <v>34</v>
      </c>
      <c r="B32" s="258">
        <v>2</v>
      </c>
      <c r="C32" s="89" t="s">
        <v>46</v>
      </c>
      <c r="D32" s="96" t="s">
        <v>43</v>
      </c>
      <c r="E32" s="259" t="s">
        <v>34</v>
      </c>
      <c r="F32" s="258">
        <v>2</v>
      </c>
      <c r="G32" s="278">
        <v>3</v>
      </c>
      <c r="H32" s="278">
        <v>4</v>
      </c>
      <c r="I32" s="278">
        <v>4</v>
      </c>
      <c r="J32" s="278">
        <v>3</v>
      </c>
      <c r="K32" s="278">
        <v>5</v>
      </c>
      <c r="L32" s="278">
        <v>5</v>
      </c>
      <c r="M32" s="278">
        <v>5</v>
      </c>
      <c r="N32" s="278">
        <v>4</v>
      </c>
      <c r="O32" s="278">
        <v>5</v>
      </c>
      <c r="P32" s="276">
        <f>AVERAGE(G32:O32)</f>
        <v>4.2222222222222223</v>
      </c>
      <c r="Q32" s="297"/>
    </row>
    <row r="33" spans="1:17" ht="21.6" customHeight="1" thickTop="1" thickBot="1" x14ac:dyDescent="0.25">
      <c r="A33" s="259" t="s">
        <v>34</v>
      </c>
      <c r="B33" s="258">
        <v>3</v>
      </c>
      <c r="C33" s="89" t="s">
        <v>42</v>
      </c>
      <c r="D33" s="96" t="s">
        <v>43</v>
      </c>
      <c r="E33" s="259" t="s">
        <v>34</v>
      </c>
      <c r="F33" s="258">
        <v>3</v>
      </c>
      <c r="G33" s="278">
        <v>4</v>
      </c>
      <c r="H33" s="278">
        <v>3</v>
      </c>
      <c r="I33" s="278">
        <v>3</v>
      </c>
      <c r="J33" s="278">
        <v>4</v>
      </c>
      <c r="K33" s="278">
        <v>3</v>
      </c>
      <c r="L33" s="278">
        <v>3</v>
      </c>
      <c r="M33" s="278">
        <v>4</v>
      </c>
      <c r="N33" s="278">
        <v>3</v>
      </c>
      <c r="O33" s="278">
        <v>3</v>
      </c>
      <c r="P33" s="276">
        <f>AVERAGE(G33:O33)</f>
        <v>3.3333333333333335</v>
      </c>
      <c r="Q33" s="297"/>
    </row>
    <row r="34" spans="1:17" ht="21.6" customHeight="1" thickTop="1" thickBot="1" x14ac:dyDescent="0.25">
      <c r="A34" s="255" t="s">
        <v>34</v>
      </c>
      <c r="B34" s="254">
        <v>4</v>
      </c>
      <c r="C34" s="89" t="s">
        <v>48</v>
      </c>
      <c r="D34" s="96" t="s">
        <v>43</v>
      </c>
      <c r="E34" s="255" t="s">
        <v>34</v>
      </c>
      <c r="F34" s="254">
        <v>4</v>
      </c>
      <c r="G34" s="277">
        <v>4</v>
      </c>
      <c r="H34" s="277">
        <v>3</v>
      </c>
      <c r="I34" s="277">
        <v>2</v>
      </c>
      <c r="J34" s="277">
        <v>3</v>
      </c>
      <c r="K34" s="277">
        <v>3</v>
      </c>
      <c r="L34" s="277">
        <v>2</v>
      </c>
      <c r="M34" s="277">
        <v>2</v>
      </c>
      <c r="N34" s="277">
        <v>2</v>
      </c>
      <c r="O34" s="277">
        <v>2</v>
      </c>
      <c r="P34" s="276">
        <f>AVERAGE(G34:O34)</f>
        <v>2.5555555555555554</v>
      </c>
      <c r="Q34" s="297"/>
    </row>
    <row r="35" spans="1:17" ht="21.6" customHeight="1" thickTop="1" thickBot="1" x14ac:dyDescent="0.25">
      <c r="A35" s="11" t="s">
        <v>35</v>
      </c>
      <c r="B35" s="262">
        <v>4</v>
      </c>
      <c r="C35" s="89" t="s">
        <v>48</v>
      </c>
      <c r="D35" s="93" t="s">
        <v>41</v>
      </c>
      <c r="E35" s="11" t="s">
        <v>35</v>
      </c>
      <c r="F35" s="262">
        <v>4</v>
      </c>
      <c r="G35" s="279">
        <v>2</v>
      </c>
      <c r="H35" s="279">
        <v>3</v>
      </c>
      <c r="I35" s="279">
        <v>3</v>
      </c>
      <c r="J35" s="279">
        <v>3</v>
      </c>
      <c r="K35" s="279">
        <v>4</v>
      </c>
      <c r="L35" s="279">
        <v>5</v>
      </c>
      <c r="M35" s="279">
        <v>4</v>
      </c>
      <c r="N35" s="279">
        <v>3</v>
      </c>
      <c r="O35" s="279">
        <v>4</v>
      </c>
      <c r="P35" s="276">
        <f>AVERAGE(G35:O35)</f>
        <v>3.4444444444444446</v>
      </c>
      <c r="Q35" s="297"/>
    </row>
    <row r="36" spans="1:17" ht="21.6" customHeight="1" thickTop="1" thickBot="1" x14ac:dyDescent="0.25">
      <c r="A36" s="259" t="s">
        <v>35</v>
      </c>
      <c r="B36" s="258">
        <v>3</v>
      </c>
      <c r="C36" s="89" t="s">
        <v>42</v>
      </c>
      <c r="D36" s="93" t="s">
        <v>41</v>
      </c>
      <c r="E36" s="259" t="s">
        <v>35</v>
      </c>
      <c r="F36" s="258">
        <v>3</v>
      </c>
      <c r="G36" s="278">
        <v>4</v>
      </c>
      <c r="H36" s="278">
        <v>4</v>
      </c>
      <c r="I36" s="278">
        <v>5</v>
      </c>
      <c r="J36" s="278">
        <v>4</v>
      </c>
      <c r="K36" s="278">
        <v>4</v>
      </c>
      <c r="L36" s="278">
        <v>3</v>
      </c>
      <c r="M36" s="278">
        <v>4</v>
      </c>
      <c r="N36" s="278">
        <v>3</v>
      </c>
      <c r="O36" s="278">
        <v>4</v>
      </c>
      <c r="P36" s="276">
        <f>AVERAGE(G36:O36)</f>
        <v>3.8888888888888888</v>
      </c>
      <c r="Q36" s="297"/>
    </row>
    <row r="37" spans="1:17" ht="21.6" customHeight="1" thickTop="1" thickBot="1" x14ac:dyDescent="0.25">
      <c r="A37" s="259" t="s">
        <v>35</v>
      </c>
      <c r="B37" s="258">
        <v>2</v>
      </c>
      <c r="C37" s="89" t="s">
        <v>46</v>
      </c>
      <c r="D37" s="93" t="s">
        <v>41</v>
      </c>
      <c r="E37" s="259" t="s">
        <v>35</v>
      </c>
      <c r="F37" s="258">
        <v>2</v>
      </c>
      <c r="G37" s="278">
        <v>3</v>
      </c>
      <c r="H37" s="278">
        <v>3</v>
      </c>
      <c r="I37" s="278">
        <v>3</v>
      </c>
      <c r="J37" s="278">
        <v>2</v>
      </c>
      <c r="K37" s="278">
        <v>3</v>
      </c>
      <c r="L37" s="278">
        <v>4</v>
      </c>
      <c r="M37" s="278">
        <v>3</v>
      </c>
      <c r="N37" s="278">
        <v>2</v>
      </c>
      <c r="O37" s="278">
        <v>2</v>
      </c>
      <c r="P37" s="276">
        <f>AVERAGE(G37:O37)</f>
        <v>2.7777777777777777</v>
      </c>
      <c r="Q37" s="297"/>
    </row>
    <row r="38" spans="1:17" ht="21.6" customHeight="1" thickTop="1" thickBot="1" x14ac:dyDescent="0.25">
      <c r="A38" s="255" t="s">
        <v>35</v>
      </c>
      <c r="B38" s="254">
        <v>1</v>
      </c>
      <c r="C38" s="89" t="s">
        <v>47</v>
      </c>
      <c r="D38" s="93" t="s">
        <v>41</v>
      </c>
      <c r="E38" s="255" t="s">
        <v>35</v>
      </c>
      <c r="F38" s="254">
        <v>1</v>
      </c>
      <c r="G38" s="277">
        <v>3</v>
      </c>
      <c r="H38" s="277">
        <v>4</v>
      </c>
      <c r="I38" s="277">
        <v>4</v>
      </c>
      <c r="J38" s="277">
        <v>4</v>
      </c>
      <c r="K38" s="277">
        <v>4</v>
      </c>
      <c r="L38" s="277">
        <v>3</v>
      </c>
      <c r="M38" s="277">
        <v>3</v>
      </c>
      <c r="N38" s="277">
        <v>3</v>
      </c>
      <c r="O38" s="277">
        <v>2</v>
      </c>
      <c r="P38" s="276">
        <f>AVERAGE(G38:O38)</f>
        <v>3.3333333333333335</v>
      </c>
      <c r="Q38" s="297"/>
    </row>
    <row r="39" spans="1:17" ht="21.6" customHeight="1" thickTop="1" thickBot="1" x14ac:dyDescent="0.25">
      <c r="A39" s="11" t="s">
        <v>36</v>
      </c>
      <c r="B39" s="262">
        <v>1</v>
      </c>
      <c r="C39" s="89" t="s">
        <v>45</v>
      </c>
      <c r="D39" s="93" t="s">
        <v>41</v>
      </c>
      <c r="E39" s="11" t="s">
        <v>36</v>
      </c>
      <c r="F39" s="262">
        <v>1</v>
      </c>
      <c r="G39" s="279">
        <v>1</v>
      </c>
      <c r="H39" s="279">
        <v>0</v>
      </c>
      <c r="I39" s="279">
        <v>2</v>
      </c>
      <c r="J39" s="279">
        <v>2</v>
      </c>
      <c r="K39" s="279">
        <v>1</v>
      </c>
      <c r="L39" s="279">
        <v>3</v>
      </c>
      <c r="M39" s="279">
        <v>2</v>
      </c>
      <c r="N39" s="279">
        <v>2</v>
      </c>
      <c r="O39" s="279">
        <v>2</v>
      </c>
      <c r="P39" s="276">
        <f>AVERAGE(G39:O39)</f>
        <v>1.6666666666666667</v>
      </c>
      <c r="Q39" s="297"/>
    </row>
    <row r="40" spans="1:17" ht="21.6" customHeight="1" thickTop="1" thickBot="1" x14ac:dyDescent="0.25">
      <c r="A40" s="259" t="s">
        <v>36</v>
      </c>
      <c r="B40" s="258">
        <v>2</v>
      </c>
      <c r="C40" s="89" t="s">
        <v>42</v>
      </c>
      <c r="D40" s="93" t="s">
        <v>41</v>
      </c>
      <c r="E40" s="259" t="s">
        <v>36</v>
      </c>
      <c r="F40" s="258">
        <v>2</v>
      </c>
      <c r="G40" s="278">
        <v>4</v>
      </c>
      <c r="H40" s="278">
        <v>4</v>
      </c>
      <c r="I40" s="278">
        <v>5</v>
      </c>
      <c r="J40" s="278">
        <v>6</v>
      </c>
      <c r="K40" s="278">
        <v>3</v>
      </c>
      <c r="L40" s="278">
        <v>4</v>
      </c>
      <c r="M40" s="278">
        <v>5</v>
      </c>
      <c r="N40" s="278">
        <v>4</v>
      </c>
      <c r="O40" s="278">
        <v>5</v>
      </c>
      <c r="P40" s="276">
        <f>AVERAGE(G40:O40)</f>
        <v>4.4444444444444446</v>
      </c>
      <c r="Q40" s="297"/>
    </row>
    <row r="41" spans="1:17" ht="21.6" customHeight="1" thickTop="1" thickBot="1" x14ac:dyDescent="0.25">
      <c r="A41" s="259" t="s">
        <v>36</v>
      </c>
      <c r="B41" s="258">
        <v>3</v>
      </c>
      <c r="C41" s="89" t="s">
        <v>47</v>
      </c>
      <c r="D41" s="93" t="s">
        <v>41</v>
      </c>
      <c r="E41" s="259" t="s">
        <v>36</v>
      </c>
      <c r="F41" s="258">
        <v>3</v>
      </c>
      <c r="G41" s="278">
        <v>4</v>
      </c>
      <c r="H41" s="278">
        <v>3</v>
      </c>
      <c r="I41" s="278">
        <v>3</v>
      </c>
      <c r="J41" s="278">
        <v>2</v>
      </c>
      <c r="K41" s="278">
        <v>4</v>
      </c>
      <c r="L41" s="278">
        <v>3</v>
      </c>
      <c r="M41" s="278">
        <v>4</v>
      </c>
      <c r="N41" s="278">
        <v>4</v>
      </c>
      <c r="O41" s="278">
        <v>4</v>
      </c>
      <c r="P41" s="276">
        <f>AVERAGE(G41:O41)</f>
        <v>3.4444444444444446</v>
      </c>
      <c r="Q41" s="297"/>
    </row>
    <row r="42" spans="1:17" ht="21.6" customHeight="1" thickTop="1" thickBot="1" x14ac:dyDescent="0.25">
      <c r="A42" s="255" t="s">
        <v>36</v>
      </c>
      <c r="B42" s="254">
        <v>4</v>
      </c>
      <c r="C42" s="89" t="s">
        <v>44</v>
      </c>
      <c r="D42" s="93" t="s">
        <v>41</v>
      </c>
      <c r="E42" s="255" t="s">
        <v>36</v>
      </c>
      <c r="F42" s="254">
        <v>4</v>
      </c>
      <c r="G42" s="277">
        <v>3</v>
      </c>
      <c r="H42" s="277">
        <v>2</v>
      </c>
      <c r="I42" s="277">
        <v>1</v>
      </c>
      <c r="J42" s="277">
        <v>2</v>
      </c>
      <c r="K42" s="277">
        <v>1</v>
      </c>
      <c r="L42" s="277">
        <v>1</v>
      </c>
      <c r="M42" s="277">
        <v>1</v>
      </c>
      <c r="N42" s="277">
        <v>0</v>
      </c>
      <c r="O42" s="277">
        <v>1</v>
      </c>
      <c r="P42" s="276">
        <f>AVERAGE(G42:O42)</f>
        <v>1.3333333333333333</v>
      </c>
      <c r="Q42" s="297"/>
    </row>
    <row r="43" spans="1:17" ht="21.6" customHeight="1" thickTop="1" thickBot="1" x14ac:dyDescent="0.25">
      <c r="A43" s="11" t="s">
        <v>37</v>
      </c>
      <c r="B43" s="262">
        <v>4</v>
      </c>
      <c r="C43" s="89" t="s">
        <v>44</v>
      </c>
      <c r="D43" s="96" t="s">
        <v>43</v>
      </c>
      <c r="E43" s="11" t="s">
        <v>37</v>
      </c>
      <c r="F43" s="262">
        <v>4</v>
      </c>
      <c r="G43" s="279">
        <v>1</v>
      </c>
      <c r="H43" s="279">
        <v>2</v>
      </c>
      <c r="I43" s="279">
        <v>2</v>
      </c>
      <c r="J43" s="279">
        <v>1</v>
      </c>
      <c r="K43" s="279">
        <v>2</v>
      </c>
      <c r="L43" s="279">
        <v>2</v>
      </c>
      <c r="M43" s="279">
        <v>1</v>
      </c>
      <c r="N43" s="279">
        <v>2</v>
      </c>
      <c r="O43" s="279">
        <v>2</v>
      </c>
      <c r="P43" s="276">
        <f>AVERAGE(G43:O43)</f>
        <v>1.6666666666666667</v>
      </c>
      <c r="Q43" s="297"/>
    </row>
    <row r="44" spans="1:17" ht="21.6" customHeight="1" thickTop="1" thickBot="1" x14ac:dyDescent="0.25">
      <c r="A44" s="259" t="s">
        <v>37</v>
      </c>
      <c r="B44" s="258">
        <v>3</v>
      </c>
      <c r="C44" s="89" t="s">
        <v>47</v>
      </c>
      <c r="D44" s="96" t="s">
        <v>43</v>
      </c>
      <c r="E44" s="259" t="s">
        <v>37</v>
      </c>
      <c r="F44" s="258">
        <v>3</v>
      </c>
      <c r="G44" s="278">
        <v>3</v>
      </c>
      <c r="H44" s="278">
        <v>3</v>
      </c>
      <c r="I44" s="278">
        <v>3</v>
      </c>
      <c r="J44" s="278">
        <v>4</v>
      </c>
      <c r="K44" s="278">
        <v>4</v>
      </c>
      <c r="L44" s="278">
        <v>3</v>
      </c>
      <c r="M44" s="278">
        <v>4</v>
      </c>
      <c r="N44" s="278">
        <v>3</v>
      </c>
      <c r="O44" s="278">
        <v>3</v>
      </c>
      <c r="P44" s="276">
        <f>AVERAGE(G44:O44)</f>
        <v>3.3333333333333335</v>
      </c>
      <c r="Q44" s="297"/>
    </row>
    <row r="45" spans="1:17" ht="21.6" customHeight="1" thickTop="1" thickBot="1" x14ac:dyDescent="0.25">
      <c r="A45" s="259" t="s">
        <v>37</v>
      </c>
      <c r="B45" s="258">
        <v>2</v>
      </c>
      <c r="C45" s="89" t="s">
        <v>42</v>
      </c>
      <c r="D45" s="96" t="s">
        <v>43</v>
      </c>
      <c r="E45" s="259" t="s">
        <v>37</v>
      </c>
      <c r="F45" s="258">
        <v>2</v>
      </c>
      <c r="G45" s="278">
        <v>4</v>
      </c>
      <c r="H45" s="278">
        <v>4</v>
      </c>
      <c r="I45" s="278">
        <v>3</v>
      </c>
      <c r="J45" s="278">
        <v>5</v>
      </c>
      <c r="K45" s="278">
        <v>4</v>
      </c>
      <c r="L45" s="278">
        <v>4</v>
      </c>
      <c r="M45" s="278">
        <v>5</v>
      </c>
      <c r="N45" s="278">
        <v>4</v>
      </c>
      <c r="O45" s="278">
        <v>5</v>
      </c>
      <c r="P45" s="276">
        <f>AVERAGE(G45:O45)</f>
        <v>4.2222222222222223</v>
      </c>
      <c r="Q45" s="297"/>
    </row>
    <row r="46" spans="1:17" ht="21.6" customHeight="1" thickTop="1" thickBot="1" x14ac:dyDescent="0.25">
      <c r="A46" s="255" t="s">
        <v>37</v>
      </c>
      <c r="B46" s="254">
        <v>1</v>
      </c>
      <c r="C46" s="89" t="s">
        <v>45</v>
      </c>
      <c r="D46" s="96" t="s">
        <v>43</v>
      </c>
      <c r="E46" s="255" t="s">
        <v>37</v>
      </c>
      <c r="F46" s="254">
        <v>1</v>
      </c>
      <c r="G46" s="277">
        <v>3</v>
      </c>
      <c r="H46" s="277">
        <v>2</v>
      </c>
      <c r="I46" s="277">
        <v>2</v>
      </c>
      <c r="J46" s="277">
        <v>1</v>
      </c>
      <c r="K46" s="277">
        <v>2</v>
      </c>
      <c r="L46" s="277">
        <v>3</v>
      </c>
      <c r="M46" s="277">
        <v>2</v>
      </c>
      <c r="N46" s="277">
        <v>2</v>
      </c>
      <c r="O46" s="277">
        <v>3</v>
      </c>
      <c r="P46" s="276">
        <f>AVERAGE(G46:O46)</f>
        <v>2.2222222222222223</v>
      </c>
      <c r="Q46" s="297"/>
    </row>
    <row r="47" spans="1:17" ht="21.6" customHeight="1" thickTop="1" thickBot="1" x14ac:dyDescent="0.25">
      <c r="A47" s="11" t="s">
        <v>38</v>
      </c>
      <c r="B47" s="262">
        <v>1</v>
      </c>
      <c r="C47" s="89" t="s">
        <v>44</v>
      </c>
      <c r="D47" s="96" t="s">
        <v>43</v>
      </c>
      <c r="E47" s="11" t="s">
        <v>38</v>
      </c>
      <c r="F47" s="262">
        <v>1</v>
      </c>
      <c r="G47" s="279">
        <v>2</v>
      </c>
      <c r="H47" s="279">
        <v>3</v>
      </c>
      <c r="I47" s="279">
        <v>2</v>
      </c>
      <c r="J47" s="279">
        <v>1</v>
      </c>
      <c r="K47" s="279">
        <v>2</v>
      </c>
      <c r="L47" s="279">
        <v>3</v>
      </c>
      <c r="M47" s="279">
        <v>3</v>
      </c>
      <c r="N47" s="279">
        <v>2</v>
      </c>
      <c r="O47" s="279">
        <v>2</v>
      </c>
      <c r="P47" s="276">
        <f>AVERAGE(G47:O47)</f>
        <v>2.2222222222222223</v>
      </c>
      <c r="Q47" s="297"/>
    </row>
    <row r="48" spans="1:17" ht="21.6" customHeight="1" thickTop="1" thickBot="1" x14ac:dyDescent="0.25">
      <c r="A48" s="259" t="s">
        <v>38</v>
      </c>
      <c r="B48" s="258">
        <v>2</v>
      </c>
      <c r="C48" s="89" t="s">
        <v>48</v>
      </c>
      <c r="D48" s="96" t="s">
        <v>43</v>
      </c>
      <c r="E48" s="259" t="s">
        <v>38</v>
      </c>
      <c r="F48" s="258">
        <v>2</v>
      </c>
      <c r="G48" s="278">
        <v>2</v>
      </c>
      <c r="H48" s="278">
        <v>3</v>
      </c>
      <c r="I48" s="278">
        <v>3</v>
      </c>
      <c r="J48" s="278">
        <v>2</v>
      </c>
      <c r="K48" s="278">
        <v>3</v>
      </c>
      <c r="L48" s="278">
        <v>2</v>
      </c>
      <c r="M48" s="278">
        <v>4</v>
      </c>
      <c r="N48" s="278">
        <v>3</v>
      </c>
      <c r="O48" s="278">
        <v>3</v>
      </c>
      <c r="P48" s="276">
        <f>AVERAGE(G48:O48)</f>
        <v>2.7777777777777777</v>
      </c>
      <c r="Q48" s="297"/>
    </row>
    <row r="49" spans="1:17" ht="21.6" customHeight="1" thickTop="1" thickBot="1" x14ac:dyDescent="0.25">
      <c r="A49" s="259" t="s">
        <v>38</v>
      </c>
      <c r="B49" s="258">
        <v>3</v>
      </c>
      <c r="C49" s="89" t="s">
        <v>46</v>
      </c>
      <c r="D49" s="96" t="s">
        <v>43</v>
      </c>
      <c r="E49" s="259" t="s">
        <v>38</v>
      </c>
      <c r="F49" s="258">
        <v>3</v>
      </c>
      <c r="G49" s="278">
        <v>4</v>
      </c>
      <c r="H49" s="278">
        <v>3</v>
      </c>
      <c r="I49" s="278">
        <v>4</v>
      </c>
      <c r="J49" s="278">
        <v>5</v>
      </c>
      <c r="K49" s="278">
        <v>3</v>
      </c>
      <c r="L49" s="278">
        <v>3</v>
      </c>
      <c r="M49" s="278">
        <v>5</v>
      </c>
      <c r="N49" s="278">
        <v>3</v>
      </c>
      <c r="O49" s="278">
        <v>3</v>
      </c>
      <c r="P49" s="276">
        <f>AVERAGE(G49:O49)</f>
        <v>3.6666666666666665</v>
      </c>
      <c r="Q49" s="297"/>
    </row>
    <row r="50" spans="1:17" ht="21.6" customHeight="1" thickTop="1" thickBot="1" x14ac:dyDescent="0.25">
      <c r="A50" s="255" t="s">
        <v>38</v>
      </c>
      <c r="B50" s="254">
        <v>4</v>
      </c>
      <c r="C50" s="89" t="s">
        <v>45</v>
      </c>
      <c r="D50" s="96" t="s">
        <v>43</v>
      </c>
      <c r="E50" s="255" t="s">
        <v>38</v>
      </c>
      <c r="F50" s="254">
        <v>4</v>
      </c>
      <c r="G50" s="277">
        <v>2</v>
      </c>
      <c r="H50" s="277">
        <v>2</v>
      </c>
      <c r="I50" s="277">
        <v>3</v>
      </c>
      <c r="J50" s="277">
        <v>3</v>
      </c>
      <c r="K50" s="277">
        <v>3</v>
      </c>
      <c r="L50" s="277">
        <v>1</v>
      </c>
      <c r="M50" s="277">
        <v>2</v>
      </c>
      <c r="N50" s="277">
        <v>2</v>
      </c>
      <c r="O50" s="277">
        <v>2</v>
      </c>
      <c r="P50" s="276">
        <f>AVERAGE(G50:O50)</f>
        <v>2.2222222222222223</v>
      </c>
      <c r="Q50" s="297"/>
    </row>
    <row r="51" spans="1:17" ht="21.6" customHeight="1" thickTop="1" thickBot="1" x14ac:dyDescent="0.25">
      <c r="A51" s="11" t="s">
        <v>39</v>
      </c>
      <c r="B51" s="262">
        <v>4</v>
      </c>
      <c r="C51" s="89" t="s">
        <v>45</v>
      </c>
      <c r="D51" s="93" t="s">
        <v>41</v>
      </c>
      <c r="E51" s="11" t="s">
        <v>39</v>
      </c>
      <c r="F51" s="262">
        <v>4</v>
      </c>
      <c r="G51" s="279">
        <v>1</v>
      </c>
      <c r="H51" s="279">
        <v>1</v>
      </c>
      <c r="I51" s="279">
        <v>2</v>
      </c>
      <c r="J51" s="279">
        <v>2</v>
      </c>
      <c r="K51" s="279">
        <v>3</v>
      </c>
      <c r="L51" s="279">
        <v>2</v>
      </c>
      <c r="M51" s="279">
        <v>3</v>
      </c>
      <c r="N51" s="279">
        <v>2</v>
      </c>
      <c r="O51" s="279">
        <v>2</v>
      </c>
      <c r="P51" s="276">
        <f>AVERAGE(G51:O51)</f>
        <v>2</v>
      </c>
      <c r="Q51" s="297"/>
    </row>
    <row r="52" spans="1:17" ht="21.6" customHeight="1" thickTop="1" thickBot="1" x14ac:dyDescent="0.25">
      <c r="A52" s="259" t="s">
        <v>39</v>
      </c>
      <c r="B52" s="258">
        <v>3</v>
      </c>
      <c r="C52" s="89" t="s">
        <v>46</v>
      </c>
      <c r="D52" s="93" t="s">
        <v>41</v>
      </c>
      <c r="E52" s="259" t="s">
        <v>39</v>
      </c>
      <c r="F52" s="258">
        <v>3</v>
      </c>
      <c r="G52" s="278">
        <v>3</v>
      </c>
      <c r="H52" s="278">
        <v>4</v>
      </c>
      <c r="I52" s="278">
        <v>3</v>
      </c>
      <c r="J52" s="278">
        <v>4</v>
      </c>
      <c r="K52" s="278">
        <v>4</v>
      </c>
      <c r="L52" s="278">
        <v>3</v>
      </c>
      <c r="M52" s="278">
        <v>4</v>
      </c>
      <c r="N52" s="278">
        <v>4</v>
      </c>
      <c r="O52" s="278">
        <v>4</v>
      </c>
      <c r="P52" s="276">
        <f>AVERAGE(G52:O52)</f>
        <v>3.6666666666666665</v>
      </c>
      <c r="Q52" s="297"/>
    </row>
    <row r="53" spans="1:17" ht="21.6" customHeight="1" thickTop="1" thickBot="1" x14ac:dyDescent="0.25">
      <c r="A53" s="259" t="s">
        <v>39</v>
      </c>
      <c r="B53" s="258">
        <v>2</v>
      </c>
      <c r="C53" s="89" t="s">
        <v>48</v>
      </c>
      <c r="D53" s="93" t="s">
        <v>41</v>
      </c>
      <c r="E53" s="259" t="s">
        <v>39</v>
      </c>
      <c r="F53" s="258">
        <v>2</v>
      </c>
      <c r="G53" s="278">
        <v>3</v>
      </c>
      <c r="H53" s="278">
        <v>2</v>
      </c>
      <c r="I53" s="278">
        <v>3</v>
      </c>
      <c r="J53" s="278">
        <v>3</v>
      </c>
      <c r="K53" s="278">
        <v>2</v>
      </c>
      <c r="L53" s="278">
        <v>3</v>
      </c>
      <c r="M53" s="278">
        <v>2</v>
      </c>
      <c r="N53" s="278">
        <v>2</v>
      </c>
      <c r="O53" s="278">
        <v>3</v>
      </c>
      <c r="P53" s="276">
        <f>AVERAGE(G53:O53)</f>
        <v>2.5555555555555554</v>
      </c>
      <c r="Q53" s="297"/>
    </row>
    <row r="54" spans="1:17" ht="21.6" customHeight="1" thickTop="1" thickBot="1" x14ac:dyDescent="0.25">
      <c r="A54" s="255" t="s">
        <v>39</v>
      </c>
      <c r="B54" s="254">
        <v>1</v>
      </c>
      <c r="C54" s="89" t="s">
        <v>44</v>
      </c>
      <c r="D54" s="93" t="s">
        <v>41</v>
      </c>
      <c r="E54" s="255" t="s">
        <v>39</v>
      </c>
      <c r="F54" s="254">
        <v>1</v>
      </c>
      <c r="G54" s="277">
        <v>2</v>
      </c>
      <c r="H54" s="277">
        <v>3</v>
      </c>
      <c r="I54" s="277">
        <v>2</v>
      </c>
      <c r="J54" s="277">
        <v>3</v>
      </c>
      <c r="K54" s="277">
        <v>3</v>
      </c>
      <c r="L54" s="277">
        <v>3</v>
      </c>
      <c r="M54" s="277">
        <v>2</v>
      </c>
      <c r="N54" s="277">
        <v>2</v>
      </c>
      <c r="O54" s="277">
        <v>2</v>
      </c>
      <c r="P54" s="276">
        <f>AVERAGE(G54:O54)</f>
        <v>2.4444444444444446</v>
      </c>
      <c r="Q54" s="297"/>
    </row>
    <row r="55" spans="1:17" x14ac:dyDescent="0.2">
      <c r="C55" s="291"/>
      <c r="D55" s="291"/>
    </row>
    <row r="56" spans="1:17" x14ac:dyDescent="0.2">
      <c r="C56" s="291"/>
      <c r="D56" s="291"/>
    </row>
    <row r="57" spans="1:17" x14ac:dyDescent="0.2">
      <c r="C57" s="291"/>
      <c r="D57" s="291"/>
    </row>
    <row r="58" spans="1:17" x14ac:dyDescent="0.2">
      <c r="C58" s="291"/>
      <c r="D58" s="291"/>
    </row>
    <row r="59" spans="1:17" x14ac:dyDescent="0.2">
      <c r="C59" s="291"/>
      <c r="D59" s="291"/>
    </row>
    <row r="60" spans="1:17" x14ac:dyDescent="0.2">
      <c r="C60" s="291"/>
      <c r="D60" s="291"/>
    </row>
    <row r="61" spans="1:17" x14ac:dyDescent="0.2">
      <c r="C61" s="291"/>
      <c r="D61" s="291"/>
    </row>
    <row r="62" spans="1:17" x14ac:dyDescent="0.2">
      <c r="C62" s="291"/>
      <c r="D62" s="291"/>
    </row>
    <row r="63" spans="1:17" x14ac:dyDescent="0.2">
      <c r="C63" s="291"/>
      <c r="D63" s="291"/>
    </row>
    <row r="64" spans="1:17"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3">
    <mergeCell ref="C4:I4"/>
    <mergeCell ref="E6:F6"/>
    <mergeCell ref="A6:B6"/>
  </mergeCells>
  <conditionalFormatting sqref="C7:C150">
    <cfRule type="containsText" dxfId="23" priority="1" operator="containsText" text="AQC-N">
      <formula>NOT(ISERROR(SEARCH("AQC-N",C7)))</formula>
    </cfRule>
    <cfRule type="containsText" dxfId="22" priority="2" operator="containsText" text="AQC">
      <formula>NOT(ISERROR(SEARCH("AQC",C7)))</formula>
    </cfRule>
    <cfRule type="containsText" dxfId="21" priority="3" operator="containsText" text="FAO-N">
      <formula>NOT(ISERROR(SEARCH("FAO-N",C7)))</formula>
    </cfRule>
    <cfRule type="containsText" dxfId="20" priority="4" operator="containsText" text="CSM-N">
      <formula>NOT(ISERROR(SEARCH("CSM-N",C7)))</formula>
    </cfRule>
    <cfRule type="containsText" dxfId="19" priority="5" operator="containsText" text="CSM">
      <formula>NOT(ISERROR(SEARCH("CSM",C7)))</formula>
    </cfRule>
    <cfRule type="containsText" dxfId="18" priority="6" operator="containsText" text="FAO">
      <formula>NOT(ISERROR(SEARCH("FAO",C7)))</formula>
    </cfRule>
  </conditionalFormatting>
  <pageMargins left="0.45" right="0.45" top="0.5" bottom="0.5" header="0" footer="0"/>
  <pageSetup scale="93"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5F40-33D6-4B2C-886B-1D276D7CF503}">
  <dimension ref="A1:Q54"/>
  <sheetViews>
    <sheetView workbookViewId="0">
      <selection activeCell="P7" sqref="P7:P54"/>
    </sheetView>
  </sheetViews>
  <sheetFormatPr defaultRowHeight="12.75" x14ac:dyDescent="0.2"/>
  <cols>
    <col min="1" max="2" width="5.7109375" customWidth="1"/>
    <col min="4" max="4" width="7.28515625" customWidth="1"/>
    <col min="5" max="5" width="4.7109375" customWidth="1"/>
    <col min="6" max="6" width="2.7109375" customWidth="1"/>
    <col min="7" max="15" width="12.7109375" customWidth="1"/>
    <col min="17" max="17" width="9.140625" style="296"/>
  </cols>
  <sheetData>
    <row r="1" spans="1:17" ht="15.75" x14ac:dyDescent="0.25">
      <c r="B1" s="6">
        <v>2022</v>
      </c>
      <c r="C1" s="8" t="s">
        <v>24</v>
      </c>
      <c r="D1" s="2"/>
      <c r="E1" s="8" t="s">
        <v>6</v>
      </c>
      <c r="G1" s="4" t="s">
        <v>8</v>
      </c>
      <c r="H1" s="289" t="s">
        <v>358</v>
      </c>
      <c r="I1" s="288"/>
      <c r="J1" s="288"/>
      <c r="K1" s="288"/>
      <c r="L1" s="288"/>
    </row>
    <row r="2" spans="1:17" ht="6.6" customHeight="1" x14ac:dyDescent="0.25">
      <c r="B2" s="6"/>
      <c r="C2" s="7"/>
      <c r="D2" s="8"/>
      <c r="G2" s="4"/>
      <c r="H2" s="4"/>
    </row>
    <row r="3" spans="1:17" x14ac:dyDescent="0.2">
      <c r="C3" s="5" t="s">
        <v>357</v>
      </c>
      <c r="D3" s="2"/>
      <c r="G3" s="4" t="s">
        <v>13</v>
      </c>
      <c r="H3" s="4" t="s">
        <v>51</v>
      </c>
    </row>
    <row r="4" spans="1:17" ht="33" customHeight="1" x14ac:dyDescent="0.2">
      <c r="C4" s="273" t="s">
        <v>356</v>
      </c>
      <c r="D4" s="287"/>
      <c r="E4" s="287"/>
      <c r="F4" s="287"/>
      <c r="G4" s="287"/>
      <c r="H4" s="287"/>
      <c r="I4" s="287"/>
      <c r="J4" s="286"/>
      <c r="K4" s="286"/>
      <c r="L4" s="286"/>
      <c r="M4" s="285"/>
    </row>
    <row r="5" spans="1:17" ht="15" customHeight="1" x14ac:dyDescent="0.2">
      <c r="E5" s="5"/>
      <c r="F5" s="2"/>
      <c r="G5" s="271"/>
      <c r="H5" s="271"/>
      <c r="I5" s="271"/>
      <c r="J5" s="271"/>
      <c r="K5" s="271"/>
      <c r="L5" s="271"/>
      <c r="M5" s="271"/>
      <c r="N5" s="271"/>
      <c r="O5" s="3"/>
    </row>
    <row r="6" spans="1:17" ht="21"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7" ht="21" customHeight="1" thickTop="1" thickBot="1" x14ac:dyDescent="0.25">
      <c r="A7" s="11" t="s">
        <v>0</v>
      </c>
      <c r="B7" s="14">
        <v>1</v>
      </c>
      <c r="C7" s="89" t="s">
        <v>42</v>
      </c>
      <c r="D7" s="93" t="s">
        <v>41</v>
      </c>
      <c r="E7" s="11" t="s">
        <v>0</v>
      </c>
      <c r="F7" s="14">
        <v>1</v>
      </c>
      <c r="G7" s="279">
        <v>2</v>
      </c>
      <c r="H7" s="279">
        <v>3</v>
      </c>
      <c r="I7" s="279">
        <v>2</v>
      </c>
      <c r="J7" s="279">
        <v>3</v>
      </c>
      <c r="K7" s="279">
        <v>4</v>
      </c>
      <c r="L7" s="279">
        <v>3</v>
      </c>
      <c r="M7" s="279">
        <v>3</v>
      </c>
      <c r="N7" s="279">
        <v>3</v>
      </c>
      <c r="O7" s="279">
        <v>3</v>
      </c>
      <c r="P7" s="276">
        <f>AVERAGE(G7:O7)</f>
        <v>2.8888888888888888</v>
      </c>
      <c r="Q7" s="298"/>
    </row>
    <row r="8" spans="1:17" ht="21" customHeight="1" thickTop="1" thickBot="1" x14ac:dyDescent="0.25">
      <c r="A8" s="259" t="s">
        <v>0</v>
      </c>
      <c r="B8" s="281">
        <v>2</v>
      </c>
      <c r="C8" s="89" t="s">
        <v>44</v>
      </c>
      <c r="D8" s="93" t="s">
        <v>41</v>
      </c>
      <c r="E8" s="259" t="s">
        <v>0</v>
      </c>
      <c r="F8" s="281">
        <v>2</v>
      </c>
      <c r="G8" s="278">
        <v>2</v>
      </c>
      <c r="H8" s="278">
        <v>1</v>
      </c>
      <c r="I8" s="278">
        <v>2</v>
      </c>
      <c r="J8" s="278">
        <v>1</v>
      </c>
      <c r="K8" s="278">
        <v>0</v>
      </c>
      <c r="L8" s="278">
        <v>1</v>
      </c>
      <c r="M8" s="278">
        <v>1</v>
      </c>
      <c r="N8" s="278">
        <v>1</v>
      </c>
      <c r="O8" s="278">
        <v>1</v>
      </c>
      <c r="P8" s="276">
        <f>AVERAGE(G8:O8)</f>
        <v>1.1111111111111112</v>
      </c>
      <c r="Q8" s="298"/>
    </row>
    <row r="9" spans="1:17" ht="21" customHeight="1" thickTop="1" thickBot="1" x14ac:dyDescent="0.25">
      <c r="A9" s="259" t="s">
        <v>0</v>
      </c>
      <c r="B9" s="281">
        <v>3</v>
      </c>
      <c r="C9" s="89" t="s">
        <v>45</v>
      </c>
      <c r="D9" s="93" t="s">
        <v>41</v>
      </c>
      <c r="E9" s="259" t="s">
        <v>0</v>
      </c>
      <c r="F9" s="281">
        <v>3</v>
      </c>
      <c r="G9" s="278">
        <v>0</v>
      </c>
      <c r="H9" s="278">
        <v>1</v>
      </c>
      <c r="I9" s="278">
        <v>1</v>
      </c>
      <c r="J9" s="278">
        <v>2</v>
      </c>
      <c r="K9" s="278">
        <v>1</v>
      </c>
      <c r="L9" s="278">
        <v>1</v>
      </c>
      <c r="M9" s="278">
        <v>2</v>
      </c>
      <c r="N9" s="278">
        <v>0</v>
      </c>
      <c r="O9" s="278">
        <v>1</v>
      </c>
      <c r="P9" s="276">
        <f>AVERAGE(G9:O9)</f>
        <v>1</v>
      </c>
      <c r="Q9" s="298"/>
    </row>
    <row r="10" spans="1:17" ht="21" customHeight="1" thickTop="1" thickBot="1" x14ac:dyDescent="0.25">
      <c r="A10" s="255" t="s">
        <v>0</v>
      </c>
      <c r="B10" s="280">
        <v>4</v>
      </c>
      <c r="C10" s="89" t="s">
        <v>46</v>
      </c>
      <c r="D10" s="93" t="s">
        <v>41</v>
      </c>
      <c r="E10" s="255" t="s">
        <v>0</v>
      </c>
      <c r="F10" s="280">
        <v>4</v>
      </c>
      <c r="G10" s="277">
        <v>3</v>
      </c>
      <c r="H10" s="277">
        <v>2</v>
      </c>
      <c r="I10" s="277">
        <v>3</v>
      </c>
      <c r="J10" s="277">
        <v>3</v>
      </c>
      <c r="K10" s="277">
        <v>4</v>
      </c>
      <c r="L10" s="277">
        <v>3</v>
      </c>
      <c r="M10" s="277">
        <v>4</v>
      </c>
      <c r="N10" s="277">
        <v>3</v>
      </c>
      <c r="O10" s="277">
        <v>2</v>
      </c>
      <c r="P10" s="276">
        <f>AVERAGE(G10:O10)</f>
        <v>3</v>
      </c>
      <c r="Q10" s="298"/>
    </row>
    <row r="11" spans="1:17" ht="21" customHeight="1" thickTop="1" thickBot="1" x14ac:dyDescent="0.25">
      <c r="A11" s="11" t="s">
        <v>1</v>
      </c>
      <c r="B11" s="14">
        <v>4</v>
      </c>
      <c r="C11" s="89" t="s">
        <v>46</v>
      </c>
      <c r="D11" s="96" t="s">
        <v>43</v>
      </c>
      <c r="E11" s="11" t="s">
        <v>1</v>
      </c>
      <c r="F11" s="14">
        <v>4</v>
      </c>
      <c r="G11" s="279">
        <v>4</v>
      </c>
      <c r="H11" s="279">
        <v>3</v>
      </c>
      <c r="I11" s="279">
        <v>5</v>
      </c>
      <c r="J11" s="279">
        <v>4</v>
      </c>
      <c r="K11" s="279">
        <v>3</v>
      </c>
      <c r="L11" s="279">
        <v>3</v>
      </c>
      <c r="M11" s="279">
        <v>4</v>
      </c>
      <c r="N11" s="279">
        <v>4</v>
      </c>
      <c r="O11" s="279">
        <v>3</v>
      </c>
      <c r="P11" s="276">
        <f>AVERAGE(G11:O11)</f>
        <v>3.6666666666666665</v>
      </c>
      <c r="Q11" s="298"/>
    </row>
    <row r="12" spans="1:17" ht="21" customHeight="1" thickTop="1" thickBot="1" x14ac:dyDescent="0.25">
      <c r="A12" s="259" t="s">
        <v>1</v>
      </c>
      <c r="B12" s="281">
        <v>3</v>
      </c>
      <c r="C12" s="89" t="s">
        <v>45</v>
      </c>
      <c r="D12" s="96" t="s">
        <v>43</v>
      </c>
      <c r="E12" s="259" t="s">
        <v>1</v>
      </c>
      <c r="F12" s="281">
        <v>3</v>
      </c>
      <c r="G12" s="278">
        <v>2</v>
      </c>
      <c r="H12" s="278">
        <v>1</v>
      </c>
      <c r="I12" s="278">
        <v>1</v>
      </c>
      <c r="J12" s="278">
        <v>1</v>
      </c>
      <c r="K12" s="278">
        <v>2</v>
      </c>
      <c r="L12" s="278">
        <v>3</v>
      </c>
      <c r="M12" s="278">
        <v>1</v>
      </c>
      <c r="N12" s="278">
        <v>2</v>
      </c>
      <c r="O12" s="278">
        <v>2</v>
      </c>
      <c r="P12" s="276">
        <f>AVERAGE(G12:O12)</f>
        <v>1.6666666666666667</v>
      </c>
      <c r="Q12" s="298"/>
    </row>
    <row r="13" spans="1:17" ht="21" customHeight="1" thickTop="1" thickBot="1" x14ac:dyDescent="0.25">
      <c r="A13" s="259" t="s">
        <v>1</v>
      </c>
      <c r="B13" s="281">
        <v>2</v>
      </c>
      <c r="C13" s="89" t="s">
        <v>44</v>
      </c>
      <c r="D13" s="96" t="s">
        <v>43</v>
      </c>
      <c r="E13" s="259" t="s">
        <v>1</v>
      </c>
      <c r="F13" s="281">
        <v>2</v>
      </c>
      <c r="G13" s="278">
        <v>2</v>
      </c>
      <c r="H13" s="278">
        <v>0</v>
      </c>
      <c r="I13" s="278">
        <v>1</v>
      </c>
      <c r="J13" s="278">
        <v>1</v>
      </c>
      <c r="K13" s="278">
        <v>1</v>
      </c>
      <c r="L13" s="278">
        <v>2</v>
      </c>
      <c r="M13" s="278">
        <v>2</v>
      </c>
      <c r="N13" s="278">
        <v>1</v>
      </c>
      <c r="O13" s="278">
        <v>2</v>
      </c>
      <c r="P13" s="276">
        <f>AVERAGE(G13:O13)</f>
        <v>1.3333333333333333</v>
      </c>
      <c r="Q13" s="298"/>
    </row>
    <row r="14" spans="1:17" ht="21" customHeight="1" thickTop="1" thickBot="1" x14ac:dyDescent="0.25">
      <c r="A14" s="255" t="s">
        <v>1</v>
      </c>
      <c r="B14" s="280">
        <v>1</v>
      </c>
      <c r="C14" s="89" t="s">
        <v>42</v>
      </c>
      <c r="D14" s="96" t="s">
        <v>43</v>
      </c>
      <c r="E14" s="255" t="s">
        <v>1</v>
      </c>
      <c r="F14" s="280">
        <v>1</v>
      </c>
      <c r="G14" s="277">
        <v>3</v>
      </c>
      <c r="H14" s="277">
        <v>4</v>
      </c>
      <c r="I14" s="277">
        <v>4</v>
      </c>
      <c r="J14" s="277">
        <v>3</v>
      </c>
      <c r="K14" s="277">
        <v>4</v>
      </c>
      <c r="L14" s="277">
        <v>5</v>
      </c>
      <c r="M14" s="277">
        <v>3</v>
      </c>
      <c r="N14" s="277">
        <v>3</v>
      </c>
      <c r="O14" s="277">
        <v>3</v>
      </c>
      <c r="P14" s="276">
        <f>AVERAGE(G14:O14)</f>
        <v>3.5555555555555554</v>
      </c>
      <c r="Q14" s="298"/>
    </row>
    <row r="15" spans="1:17" ht="21" customHeight="1" thickTop="1" thickBot="1" x14ac:dyDescent="0.25">
      <c r="A15" s="11" t="s">
        <v>2</v>
      </c>
      <c r="B15" s="14">
        <v>1</v>
      </c>
      <c r="C15" s="89" t="s">
        <v>46</v>
      </c>
      <c r="D15" s="93" t="s">
        <v>41</v>
      </c>
      <c r="E15" s="11" t="s">
        <v>2</v>
      </c>
      <c r="F15" s="14">
        <v>1</v>
      </c>
      <c r="G15" s="279">
        <v>3</v>
      </c>
      <c r="H15" s="279">
        <v>2</v>
      </c>
      <c r="I15" s="279">
        <v>2</v>
      </c>
      <c r="J15" s="279">
        <v>3</v>
      </c>
      <c r="K15" s="279">
        <v>4</v>
      </c>
      <c r="L15" s="279">
        <v>3</v>
      </c>
      <c r="M15" s="279">
        <v>5</v>
      </c>
      <c r="N15" s="279">
        <v>4</v>
      </c>
      <c r="O15" s="279">
        <v>3</v>
      </c>
      <c r="P15" s="276">
        <f>AVERAGE(G15:O15)</f>
        <v>3.2222222222222223</v>
      </c>
      <c r="Q15" s="298"/>
    </row>
    <row r="16" spans="1:17" ht="21" customHeight="1" thickTop="1" thickBot="1" x14ac:dyDescent="0.25">
      <c r="A16" s="259" t="s">
        <v>2</v>
      </c>
      <c r="B16" s="281">
        <v>2</v>
      </c>
      <c r="C16" s="89" t="s">
        <v>47</v>
      </c>
      <c r="D16" s="93" t="s">
        <v>41</v>
      </c>
      <c r="E16" s="259" t="s">
        <v>2</v>
      </c>
      <c r="F16" s="281">
        <v>2</v>
      </c>
      <c r="G16" s="278">
        <v>4</v>
      </c>
      <c r="H16" s="278">
        <v>3</v>
      </c>
      <c r="I16" s="278">
        <v>4</v>
      </c>
      <c r="J16" s="278">
        <v>3</v>
      </c>
      <c r="K16" s="278">
        <v>2</v>
      </c>
      <c r="L16" s="278">
        <v>3</v>
      </c>
      <c r="M16" s="278">
        <v>3</v>
      </c>
      <c r="N16" s="278">
        <v>4</v>
      </c>
      <c r="O16" s="278">
        <v>3</v>
      </c>
      <c r="P16" s="276">
        <f>AVERAGE(G16:O16)</f>
        <v>3.2222222222222223</v>
      </c>
      <c r="Q16" s="298"/>
    </row>
    <row r="17" spans="1:17" ht="21" customHeight="1" thickTop="1" thickBot="1" x14ac:dyDescent="0.25">
      <c r="A17" s="259" t="s">
        <v>2</v>
      </c>
      <c r="B17" s="281">
        <v>3</v>
      </c>
      <c r="C17" s="89" t="s">
        <v>48</v>
      </c>
      <c r="D17" s="93" t="s">
        <v>41</v>
      </c>
      <c r="E17" s="259" t="s">
        <v>2</v>
      </c>
      <c r="F17" s="281">
        <v>3</v>
      </c>
      <c r="G17" s="278">
        <v>3</v>
      </c>
      <c r="H17" s="278">
        <v>2</v>
      </c>
      <c r="I17" s="278">
        <v>3</v>
      </c>
      <c r="J17" s="278">
        <v>4</v>
      </c>
      <c r="K17" s="278">
        <v>3</v>
      </c>
      <c r="L17" s="278">
        <v>4</v>
      </c>
      <c r="M17" s="278">
        <v>4</v>
      </c>
      <c r="N17" s="278">
        <v>3</v>
      </c>
      <c r="O17" s="278">
        <v>3</v>
      </c>
      <c r="P17" s="276">
        <f>AVERAGE(G17:O17)</f>
        <v>3.2222222222222223</v>
      </c>
      <c r="Q17" s="298"/>
    </row>
    <row r="18" spans="1:17" ht="21" customHeight="1" thickTop="1" thickBot="1" x14ac:dyDescent="0.25">
      <c r="A18" s="255" t="s">
        <v>2</v>
      </c>
      <c r="B18" s="280">
        <v>4</v>
      </c>
      <c r="C18" s="89" t="s">
        <v>42</v>
      </c>
      <c r="D18" s="93" t="s">
        <v>41</v>
      </c>
      <c r="E18" s="255" t="s">
        <v>2</v>
      </c>
      <c r="F18" s="280">
        <v>4</v>
      </c>
      <c r="G18" s="277">
        <v>5</v>
      </c>
      <c r="H18" s="277">
        <v>4</v>
      </c>
      <c r="I18" s="277">
        <v>4</v>
      </c>
      <c r="J18" s="277">
        <v>5</v>
      </c>
      <c r="K18" s="277">
        <v>4</v>
      </c>
      <c r="L18" s="277">
        <v>5</v>
      </c>
      <c r="M18" s="277">
        <v>5</v>
      </c>
      <c r="N18" s="277">
        <v>4</v>
      </c>
      <c r="O18" s="277">
        <v>3</v>
      </c>
      <c r="P18" s="276">
        <f>AVERAGE(G18:O18)</f>
        <v>4.333333333333333</v>
      </c>
      <c r="Q18" s="298"/>
    </row>
    <row r="19" spans="1:17" ht="21" customHeight="1" thickTop="1" thickBot="1" x14ac:dyDescent="0.25">
      <c r="A19" s="11" t="s">
        <v>3</v>
      </c>
      <c r="B19" s="14">
        <v>4</v>
      </c>
      <c r="C19" s="89" t="s">
        <v>42</v>
      </c>
      <c r="D19" s="96" t="s">
        <v>43</v>
      </c>
      <c r="E19" s="11" t="s">
        <v>3</v>
      </c>
      <c r="F19" s="14">
        <v>4</v>
      </c>
      <c r="G19" s="279">
        <v>3</v>
      </c>
      <c r="H19" s="279">
        <v>2</v>
      </c>
      <c r="I19" s="279">
        <v>4</v>
      </c>
      <c r="J19" s="279">
        <v>3</v>
      </c>
      <c r="K19" s="279">
        <v>4</v>
      </c>
      <c r="L19" s="279">
        <v>4</v>
      </c>
      <c r="M19" s="279">
        <v>3</v>
      </c>
      <c r="N19" s="279">
        <v>3</v>
      </c>
      <c r="O19" s="279">
        <v>4</v>
      </c>
      <c r="P19" s="276">
        <f>AVERAGE(G19:O19)</f>
        <v>3.3333333333333335</v>
      </c>
      <c r="Q19" s="298"/>
    </row>
    <row r="20" spans="1:17" ht="21" customHeight="1" thickTop="1" thickBot="1" x14ac:dyDescent="0.25">
      <c r="A20" s="259" t="s">
        <v>3</v>
      </c>
      <c r="B20" s="281">
        <v>3</v>
      </c>
      <c r="C20" s="89" t="s">
        <v>48</v>
      </c>
      <c r="D20" s="96" t="s">
        <v>43</v>
      </c>
      <c r="E20" s="259" t="s">
        <v>3</v>
      </c>
      <c r="F20" s="281">
        <v>3</v>
      </c>
      <c r="G20" s="278">
        <v>3</v>
      </c>
      <c r="H20" s="278">
        <v>2</v>
      </c>
      <c r="I20" s="278">
        <v>2</v>
      </c>
      <c r="J20" s="278">
        <v>2</v>
      </c>
      <c r="K20" s="278">
        <v>1</v>
      </c>
      <c r="L20" s="278">
        <v>2</v>
      </c>
      <c r="M20" s="278">
        <v>1</v>
      </c>
      <c r="N20" s="278">
        <v>1</v>
      </c>
      <c r="O20" s="278">
        <v>1</v>
      </c>
      <c r="P20" s="276">
        <f>AVERAGE(G20:O20)</f>
        <v>1.6666666666666667</v>
      </c>
      <c r="Q20" s="298"/>
    </row>
    <row r="21" spans="1:17" ht="21" customHeight="1" thickTop="1" thickBot="1" x14ac:dyDescent="0.25">
      <c r="A21" s="259" t="s">
        <v>3</v>
      </c>
      <c r="B21" s="281">
        <v>2</v>
      </c>
      <c r="C21" s="89" t="s">
        <v>47</v>
      </c>
      <c r="D21" s="96" t="s">
        <v>43</v>
      </c>
      <c r="E21" s="259" t="s">
        <v>3</v>
      </c>
      <c r="F21" s="281">
        <v>2</v>
      </c>
      <c r="G21" s="278">
        <v>2</v>
      </c>
      <c r="H21" s="278">
        <v>1</v>
      </c>
      <c r="I21" s="278">
        <v>3</v>
      </c>
      <c r="J21" s="278">
        <v>2</v>
      </c>
      <c r="K21" s="278">
        <v>2</v>
      </c>
      <c r="L21" s="278">
        <v>3</v>
      </c>
      <c r="M21" s="278">
        <v>3</v>
      </c>
      <c r="N21" s="278">
        <v>2</v>
      </c>
      <c r="O21" s="278">
        <v>1</v>
      </c>
      <c r="P21" s="276">
        <f>AVERAGE(G21:O21)</f>
        <v>2.1111111111111112</v>
      </c>
      <c r="Q21" s="298"/>
    </row>
    <row r="22" spans="1:17" ht="21" customHeight="1" thickTop="1" thickBot="1" x14ac:dyDescent="0.25">
      <c r="A22" s="255" t="s">
        <v>3</v>
      </c>
      <c r="B22" s="280">
        <v>1</v>
      </c>
      <c r="C22" s="89" t="s">
        <v>46</v>
      </c>
      <c r="D22" s="96" t="s">
        <v>43</v>
      </c>
      <c r="E22" s="255" t="s">
        <v>3</v>
      </c>
      <c r="F22" s="280">
        <v>1</v>
      </c>
      <c r="G22" s="277">
        <v>2</v>
      </c>
      <c r="H22" s="277">
        <v>3</v>
      </c>
      <c r="I22" s="277">
        <v>3</v>
      </c>
      <c r="J22" s="277">
        <v>3</v>
      </c>
      <c r="K22" s="277">
        <v>4</v>
      </c>
      <c r="L22" s="277">
        <v>5</v>
      </c>
      <c r="M22" s="277">
        <v>3</v>
      </c>
      <c r="N22" s="277">
        <v>4</v>
      </c>
      <c r="O22" s="277">
        <v>3</v>
      </c>
      <c r="P22" s="276">
        <f>AVERAGE(G22:O22)</f>
        <v>3.3333333333333335</v>
      </c>
      <c r="Q22" s="298"/>
    </row>
    <row r="23" spans="1:17" ht="21" customHeight="1" thickTop="1" thickBot="1" x14ac:dyDescent="0.25">
      <c r="A23" s="11" t="s">
        <v>4</v>
      </c>
      <c r="B23" s="14">
        <v>1</v>
      </c>
      <c r="C23" s="89" t="s">
        <v>48</v>
      </c>
      <c r="D23" s="96" t="s">
        <v>43</v>
      </c>
      <c r="E23" s="11" t="s">
        <v>4</v>
      </c>
      <c r="F23" s="14">
        <v>1</v>
      </c>
      <c r="G23" s="279">
        <v>4</v>
      </c>
      <c r="H23" s="279">
        <v>5</v>
      </c>
      <c r="I23" s="279">
        <v>5</v>
      </c>
      <c r="J23" s="279">
        <v>4</v>
      </c>
      <c r="K23" s="279">
        <v>3</v>
      </c>
      <c r="L23" s="279">
        <v>5</v>
      </c>
      <c r="M23" s="279">
        <v>5</v>
      </c>
      <c r="N23" s="279">
        <v>5</v>
      </c>
      <c r="O23" s="279">
        <v>6</v>
      </c>
      <c r="P23" s="276">
        <f>AVERAGE(G23:O23)</f>
        <v>4.666666666666667</v>
      </c>
      <c r="Q23" s="298"/>
    </row>
    <row r="24" spans="1:17" ht="21" customHeight="1" thickTop="1" thickBot="1" x14ac:dyDescent="0.25">
      <c r="A24" s="259" t="s">
        <v>4</v>
      </c>
      <c r="B24" s="281">
        <v>2</v>
      </c>
      <c r="C24" s="89" t="s">
        <v>45</v>
      </c>
      <c r="D24" s="96" t="s">
        <v>43</v>
      </c>
      <c r="E24" s="259" t="s">
        <v>4</v>
      </c>
      <c r="F24" s="281">
        <v>2</v>
      </c>
      <c r="G24" s="278">
        <v>5</v>
      </c>
      <c r="H24" s="278">
        <v>3</v>
      </c>
      <c r="I24" s="278">
        <v>3</v>
      </c>
      <c r="J24" s="278">
        <v>2</v>
      </c>
      <c r="K24" s="278">
        <v>3</v>
      </c>
      <c r="L24" s="278">
        <v>2</v>
      </c>
      <c r="M24" s="278">
        <v>2</v>
      </c>
      <c r="N24" s="278">
        <v>2</v>
      </c>
      <c r="O24" s="278">
        <v>2</v>
      </c>
      <c r="P24" s="276">
        <f>AVERAGE(G24:O24)</f>
        <v>2.6666666666666665</v>
      </c>
      <c r="Q24" s="298"/>
    </row>
    <row r="25" spans="1:17" ht="21" customHeight="1" thickTop="1" thickBot="1" x14ac:dyDescent="0.25">
      <c r="A25" s="259" t="s">
        <v>4</v>
      </c>
      <c r="B25" s="281">
        <v>3</v>
      </c>
      <c r="C25" s="89" t="s">
        <v>44</v>
      </c>
      <c r="D25" s="96" t="s">
        <v>43</v>
      </c>
      <c r="E25" s="259" t="s">
        <v>4</v>
      </c>
      <c r="F25" s="281">
        <v>3</v>
      </c>
      <c r="G25" s="278">
        <v>2</v>
      </c>
      <c r="H25" s="278">
        <v>2</v>
      </c>
      <c r="I25" s="278">
        <v>2</v>
      </c>
      <c r="J25" s="278">
        <v>4</v>
      </c>
      <c r="K25" s="278">
        <v>3</v>
      </c>
      <c r="L25" s="278">
        <v>3</v>
      </c>
      <c r="M25" s="278">
        <v>3</v>
      </c>
      <c r="N25" s="278">
        <v>3</v>
      </c>
      <c r="O25" s="278">
        <v>2</v>
      </c>
      <c r="P25" s="276">
        <f>AVERAGE(G25:O25)</f>
        <v>2.6666666666666665</v>
      </c>
      <c r="Q25" s="298"/>
    </row>
    <row r="26" spans="1:17" ht="21" customHeight="1" thickTop="1" thickBot="1" x14ac:dyDescent="0.25">
      <c r="A26" s="255" t="s">
        <v>4</v>
      </c>
      <c r="B26" s="280">
        <v>4</v>
      </c>
      <c r="C26" s="89" t="s">
        <v>47</v>
      </c>
      <c r="D26" s="96" t="s">
        <v>43</v>
      </c>
      <c r="E26" s="255" t="s">
        <v>4</v>
      </c>
      <c r="F26" s="280">
        <v>4</v>
      </c>
      <c r="G26" s="277">
        <v>3</v>
      </c>
      <c r="H26" s="277">
        <v>2</v>
      </c>
      <c r="I26" s="277">
        <v>4</v>
      </c>
      <c r="J26" s="277">
        <v>4</v>
      </c>
      <c r="K26" s="277">
        <v>3</v>
      </c>
      <c r="L26" s="277">
        <v>4</v>
      </c>
      <c r="M26" s="277">
        <v>3</v>
      </c>
      <c r="N26" s="277">
        <v>3</v>
      </c>
      <c r="O26" s="277">
        <v>2</v>
      </c>
      <c r="P26" s="276">
        <f>AVERAGE(G26:O26)</f>
        <v>3.1111111111111112</v>
      </c>
      <c r="Q26" s="298"/>
    </row>
    <row r="27" spans="1:17" ht="21" customHeight="1" thickTop="1" thickBot="1" x14ac:dyDescent="0.25">
      <c r="A27" s="11" t="s">
        <v>5</v>
      </c>
      <c r="B27" s="14">
        <v>4</v>
      </c>
      <c r="C27" s="89" t="s">
        <v>47</v>
      </c>
      <c r="D27" s="93" t="s">
        <v>41</v>
      </c>
      <c r="E27" s="11" t="s">
        <v>5</v>
      </c>
      <c r="F27" s="14">
        <v>4</v>
      </c>
      <c r="G27" s="279">
        <v>3</v>
      </c>
      <c r="H27" s="279">
        <v>2</v>
      </c>
      <c r="I27" s="279">
        <v>3</v>
      </c>
      <c r="J27" s="279">
        <v>3</v>
      </c>
      <c r="K27" s="279">
        <v>3</v>
      </c>
      <c r="L27" s="279">
        <v>2</v>
      </c>
      <c r="M27" s="279">
        <v>2</v>
      </c>
      <c r="N27" s="279">
        <v>2</v>
      </c>
      <c r="O27" s="279">
        <v>2</v>
      </c>
      <c r="P27" s="276">
        <f>AVERAGE(G27:O27)</f>
        <v>2.4444444444444446</v>
      </c>
      <c r="Q27" s="298"/>
    </row>
    <row r="28" spans="1:17" ht="21" customHeight="1" thickTop="1" thickBot="1" x14ac:dyDescent="0.25">
      <c r="A28" s="259" t="s">
        <v>5</v>
      </c>
      <c r="B28" s="281">
        <v>3</v>
      </c>
      <c r="C28" s="89" t="s">
        <v>44</v>
      </c>
      <c r="D28" s="93" t="s">
        <v>41</v>
      </c>
      <c r="E28" s="259" t="s">
        <v>5</v>
      </c>
      <c r="F28" s="281">
        <v>3</v>
      </c>
      <c r="G28" s="278">
        <v>1</v>
      </c>
      <c r="H28" s="278">
        <v>0</v>
      </c>
      <c r="I28" s="278">
        <v>1</v>
      </c>
      <c r="J28" s="278">
        <v>1</v>
      </c>
      <c r="K28" s="278">
        <v>2</v>
      </c>
      <c r="L28" s="278">
        <v>2</v>
      </c>
      <c r="M28" s="278">
        <v>1</v>
      </c>
      <c r="N28" s="278">
        <v>1</v>
      </c>
      <c r="O28" s="278">
        <v>2</v>
      </c>
      <c r="P28" s="276">
        <f>AVERAGE(G28:O28)</f>
        <v>1.2222222222222223</v>
      </c>
      <c r="Q28" s="298"/>
    </row>
    <row r="29" spans="1:17" ht="21" customHeight="1" thickTop="1" thickBot="1" x14ac:dyDescent="0.25">
      <c r="A29" s="259" t="s">
        <v>5</v>
      </c>
      <c r="B29" s="281">
        <v>2</v>
      </c>
      <c r="C29" s="89" t="s">
        <v>45</v>
      </c>
      <c r="D29" s="93" t="s">
        <v>41</v>
      </c>
      <c r="E29" s="259" t="s">
        <v>5</v>
      </c>
      <c r="F29" s="281">
        <v>2</v>
      </c>
      <c r="G29" s="278">
        <v>2</v>
      </c>
      <c r="H29" s="278">
        <v>2</v>
      </c>
      <c r="I29" s="278">
        <v>2</v>
      </c>
      <c r="J29" s="278">
        <v>3</v>
      </c>
      <c r="K29" s="278">
        <v>2</v>
      </c>
      <c r="L29" s="278">
        <v>2</v>
      </c>
      <c r="M29" s="278">
        <v>1</v>
      </c>
      <c r="N29" s="278">
        <v>2</v>
      </c>
      <c r="O29" s="278">
        <v>2</v>
      </c>
      <c r="P29" s="276">
        <f>AVERAGE(G29:O29)</f>
        <v>2</v>
      </c>
      <c r="Q29" s="298"/>
    </row>
    <row r="30" spans="1:17" ht="21" customHeight="1" thickTop="1" thickBot="1" x14ac:dyDescent="0.25">
      <c r="A30" s="255" t="s">
        <v>5</v>
      </c>
      <c r="B30" s="280">
        <v>1</v>
      </c>
      <c r="C30" s="89" t="s">
        <v>48</v>
      </c>
      <c r="D30" s="93" t="s">
        <v>41</v>
      </c>
      <c r="E30" s="255" t="s">
        <v>5</v>
      </c>
      <c r="F30" s="280">
        <v>1</v>
      </c>
      <c r="G30" s="277">
        <v>3</v>
      </c>
      <c r="H30" s="277">
        <v>3</v>
      </c>
      <c r="I30" s="277">
        <v>2</v>
      </c>
      <c r="J30" s="277">
        <v>2</v>
      </c>
      <c r="K30" s="277">
        <v>3</v>
      </c>
      <c r="L30" s="277">
        <v>3</v>
      </c>
      <c r="M30" s="277">
        <v>2</v>
      </c>
      <c r="N30" s="277">
        <v>2</v>
      </c>
      <c r="O30" s="277">
        <v>2</v>
      </c>
      <c r="P30" s="276">
        <f>AVERAGE(G30:O30)</f>
        <v>2.4444444444444446</v>
      </c>
      <c r="Q30" s="298"/>
    </row>
    <row r="31" spans="1:17" ht="21" customHeight="1" thickTop="1" thickBot="1" x14ac:dyDescent="0.25">
      <c r="A31" s="11" t="s">
        <v>34</v>
      </c>
      <c r="B31" s="262">
        <v>1</v>
      </c>
      <c r="C31" s="89" t="s">
        <v>47</v>
      </c>
      <c r="D31" s="96" t="s">
        <v>43</v>
      </c>
      <c r="E31" s="11" t="s">
        <v>34</v>
      </c>
      <c r="F31" s="262">
        <v>1</v>
      </c>
      <c r="G31" s="279">
        <v>3</v>
      </c>
      <c r="H31" s="279">
        <v>3</v>
      </c>
      <c r="I31" s="279">
        <v>3</v>
      </c>
      <c r="J31" s="279">
        <v>4</v>
      </c>
      <c r="K31" s="279">
        <v>3</v>
      </c>
      <c r="L31" s="279">
        <v>2</v>
      </c>
      <c r="M31" s="279">
        <v>2</v>
      </c>
      <c r="N31" s="279">
        <v>3</v>
      </c>
      <c r="O31" s="279">
        <v>2</v>
      </c>
      <c r="P31" s="276">
        <f>AVERAGE(G31:O31)</f>
        <v>2.7777777777777777</v>
      </c>
      <c r="Q31" s="298"/>
    </row>
    <row r="32" spans="1:17" ht="21" customHeight="1" thickTop="1" thickBot="1" x14ac:dyDescent="0.25">
      <c r="A32" s="259" t="s">
        <v>34</v>
      </c>
      <c r="B32" s="258">
        <v>2</v>
      </c>
      <c r="C32" s="89" t="s">
        <v>46</v>
      </c>
      <c r="D32" s="96" t="s">
        <v>43</v>
      </c>
      <c r="E32" s="259" t="s">
        <v>34</v>
      </c>
      <c r="F32" s="258">
        <v>2</v>
      </c>
      <c r="G32" s="278">
        <v>5</v>
      </c>
      <c r="H32" s="278">
        <v>3</v>
      </c>
      <c r="I32" s="278">
        <v>3</v>
      </c>
      <c r="J32" s="278">
        <v>3</v>
      </c>
      <c r="K32" s="278">
        <v>5</v>
      </c>
      <c r="L32" s="278">
        <v>4</v>
      </c>
      <c r="M32" s="278">
        <v>4</v>
      </c>
      <c r="N32" s="278">
        <v>5</v>
      </c>
      <c r="O32" s="278">
        <v>4</v>
      </c>
      <c r="P32" s="276">
        <f>AVERAGE(G32:O32)</f>
        <v>4</v>
      </c>
      <c r="Q32" s="298"/>
    </row>
    <row r="33" spans="1:17" ht="21" customHeight="1" thickTop="1" thickBot="1" x14ac:dyDescent="0.25">
      <c r="A33" s="259" t="s">
        <v>34</v>
      </c>
      <c r="B33" s="258">
        <v>3</v>
      </c>
      <c r="C33" s="89" t="s">
        <v>42</v>
      </c>
      <c r="D33" s="96" t="s">
        <v>43</v>
      </c>
      <c r="E33" s="259" t="s">
        <v>34</v>
      </c>
      <c r="F33" s="258">
        <v>3</v>
      </c>
      <c r="G33" s="278">
        <v>4</v>
      </c>
      <c r="H33" s="278">
        <v>2</v>
      </c>
      <c r="I33" s="278">
        <v>2</v>
      </c>
      <c r="J33" s="278">
        <v>3</v>
      </c>
      <c r="K33" s="278">
        <v>3</v>
      </c>
      <c r="L33" s="278">
        <v>4</v>
      </c>
      <c r="M33" s="278">
        <v>4</v>
      </c>
      <c r="N33" s="278">
        <v>3</v>
      </c>
      <c r="O33" s="278">
        <v>4</v>
      </c>
      <c r="P33" s="276">
        <f>AVERAGE(G33:O33)</f>
        <v>3.2222222222222223</v>
      </c>
      <c r="Q33" s="298"/>
    </row>
    <row r="34" spans="1:17" ht="21" customHeight="1" thickTop="1" thickBot="1" x14ac:dyDescent="0.25">
      <c r="A34" s="255" t="s">
        <v>34</v>
      </c>
      <c r="B34" s="254">
        <v>4</v>
      </c>
      <c r="C34" s="89" t="s">
        <v>48</v>
      </c>
      <c r="D34" s="96" t="s">
        <v>43</v>
      </c>
      <c r="E34" s="255" t="s">
        <v>34</v>
      </c>
      <c r="F34" s="254">
        <v>4</v>
      </c>
      <c r="G34" s="277">
        <v>3</v>
      </c>
      <c r="H34" s="277">
        <v>1</v>
      </c>
      <c r="I34" s="277">
        <v>2</v>
      </c>
      <c r="J34" s="277">
        <v>3</v>
      </c>
      <c r="K34" s="277">
        <v>3</v>
      </c>
      <c r="L34" s="277">
        <v>2</v>
      </c>
      <c r="M34" s="277">
        <v>3</v>
      </c>
      <c r="N34" s="277">
        <v>2</v>
      </c>
      <c r="O34" s="277">
        <v>2</v>
      </c>
      <c r="P34" s="276">
        <f>AVERAGE(G34:O34)</f>
        <v>2.3333333333333335</v>
      </c>
      <c r="Q34" s="298"/>
    </row>
    <row r="35" spans="1:17" ht="21" customHeight="1" thickTop="1" thickBot="1" x14ac:dyDescent="0.25">
      <c r="A35" s="11" t="s">
        <v>35</v>
      </c>
      <c r="B35" s="262">
        <v>4</v>
      </c>
      <c r="C35" s="89" t="s">
        <v>48</v>
      </c>
      <c r="D35" s="93" t="s">
        <v>41</v>
      </c>
      <c r="E35" s="11" t="s">
        <v>35</v>
      </c>
      <c r="F35" s="262">
        <v>4</v>
      </c>
      <c r="G35" s="279">
        <v>2</v>
      </c>
      <c r="H35" s="279">
        <v>1</v>
      </c>
      <c r="I35" s="279">
        <v>2</v>
      </c>
      <c r="J35" s="279">
        <v>2</v>
      </c>
      <c r="K35" s="279">
        <v>3</v>
      </c>
      <c r="L35" s="279">
        <v>4</v>
      </c>
      <c r="M35" s="279">
        <v>3</v>
      </c>
      <c r="N35" s="279">
        <v>4</v>
      </c>
      <c r="O35" s="279">
        <v>3</v>
      </c>
      <c r="P35" s="276">
        <f>AVERAGE(G35:O35)</f>
        <v>2.6666666666666665</v>
      </c>
      <c r="Q35" s="298"/>
    </row>
    <row r="36" spans="1:17" ht="21" customHeight="1" thickTop="1" thickBot="1" x14ac:dyDescent="0.25">
      <c r="A36" s="259" t="s">
        <v>35</v>
      </c>
      <c r="B36" s="258">
        <v>3</v>
      </c>
      <c r="C36" s="89" t="s">
        <v>42</v>
      </c>
      <c r="D36" s="93" t="s">
        <v>41</v>
      </c>
      <c r="E36" s="259" t="s">
        <v>35</v>
      </c>
      <c r="F36" s="258">
        <v>3</v>
      </c>
      <c r="G36" s="278">
        <v>4</v>
      </c>
      <c r="H36" s="278">
        <v>4</v>
      </c>
      <c r="I36" s="278">
        <v>3</v>
      </c>
      <c r="J36" s="278">
        <v>3</v>
      </c>
      <c r="K36" s="278">
        <v>5</v>
      </c>
      <c r="L36" s="278">
        <v>4</v>
      </c>
      <c r="M36" s="278">
        <v>3</v>
      </c>
      <c r="N36" s="278">
        <v>4</v>
      </c>
      <c r="O36" s="278">
        <v>5</v>
      </c>
      <c r="P36" s="276">
        <f>AVERAGE(G36:O36)</f>
        <v>3.8888888888888888</v>
      </c>
      <c r="Q36" s="298"/>
    </row>
    <row r="37" spans="1:17" ht="21" customHeight="1" thickTop="1" thickBot="1" x14ac:dyDescent="0.25">
      <c r="A37" s="259" t="s">
        <v>35</v>
      </c>
      <c r="B37" s="258">
        <v>2</v>
      </c>
      <c r="C37" s="89" t="s">
        <v>46</v>
      </c>
      <c r="D37" s="93" t="s">
        <v>41</v>
      </c>
      <c r="E37" s="259" t="s">
        <v>35</v>
      </c>
      <c r="F37" s="258">
        <v>2</v>
      </c>
      <c r="G37" s="278">
        <v>3</v>
      </c>
      <c r="H37" s="278">
        <v>3</v>
      </c>
      <c r="I37" s="278">
        <v>4</v>
      </c>
      <c r="J37" s="278">
        <v>3</v>
      </c>
      <c r="K37" s="278">
        <v>2</v>
      </c>
      <c r="L37" s="278">
        <v>2</v>
      </c>
      <c r="M37" s="278">
        <v>3</v>
      </c>
      <c r="N37" s="278">
        <v>3</v>
      </c>
      <c r="O37" s="278">
        <v>3</v>
      </c>
      <c r="P37" s="276">
        <f>AVERAGE(G37:O37)</f>
        <v>2.8888888888888888</v>
      </c>
      <c r="Q37" s="298"/>
    </row>
    <row r="38" spans="1:17" ht="21" customHeight="1" thickTop="1" thickBot="1" x14ac:dyDescent="0.25">
      <c r="A38" s="255" t="s">
        <v>35</v>
      </c>
      <c r="B38" s="254">
        <v>1</v>
      </c>
      <c r="C38" s="89" t="s">
        <v>47</v>
      </c>
      <c r="D38" s="93" t="s">
        <v>41</v>
      </c>
      <c r="E38" s="255" t="s">
        <v>35</v>
      </c>
      <c r="F38" s="254">
        <v>1</v>
      </c>
      <c r="G38" s="277">
        <v>3</v>
      </c>
      <c r="H38" s="277">
        <v>4</v>
      </c>
      <c r="I38" s="277">
        <v>3</v>
      </c>
      <c r="J38" s="277">
        <v>3</v>
      </c>
      <c r="K38" s="277">
        <v>3</v>
      </c>
      <c r="L38" s="277">
        <v>2</v>
      </c>
      <c r="M38" s="277">
        <v>2</v>
      </c>
      <c r="N38" s="277">
        <v>3</v>
      </c>
      <c r="O38" s="277">
        <v>3</v>
      </c>
      <c r="P38" s="276">
        <f>AVERAGE(G38:O38)</f>
        <v>2.8888888888888888</v>
      </c>
      <c r="Q38" s="298"/>
    </row>
    <row r="39" spans="1:17" ht="21" customHeight="1" thickTop="1" thickBot="1" x14ac:dyDescent="0.25">
      <c r="A39" s="11" t="s">
        <v>36</v>
      </c>
      <c r="B39" s="262">
        <v>1</v>
      </c>
      <c r="C39" s="89" t="s">
        <v>45</v>
      </c>
      <c r="D39" s="93" t="s">
        <v>41</v>
      </c>
      <c r="E39" s="11" t="s">
        <v>36</v>
      </c>
      <c r="F39" s="262">
        <v>1</v>
      </c>
      <c r="G39" s="279">
        <v>1</v>
      </c>
      <c r="H39" s="279">
        <v>2</v>
      </c>
      <c r="I39" s="279">
        <v>2</v>
      </c>
      <c r="J39" s="279">
        <v>1</v>
      </c>
      <c r="K39" s="279">
        <v>1</v>
      </c>
      <c r="L39" s="279">
        <v>2</v>
      </c>
      <c r="M39" s="279">
        <v>1</v>
      </c>
      <c r="N39" s="279">
        <v>2</v>
      </c>
      <c r="O39" s="279">
        <v>2</v>
      </c>
      <c r="P39" s="276">
        <f>AVERAGE(G39:O39)</f>
        <v>1.5555555555555556</v>
      </c>
      <c r="Q39" s="298"/>
    </row>
    <row r="40" spans="1:17" ht="21" customHeight="1" thickTop="1" thickBot="1" x14ac:dyDescent="0.25">
      <c r="A40" s="259" t="s">
        <v>36</v>
      </c>
      <c r="B40" s="258">
        <v>2</v>
      </c>
      <c r="C40" s="89" t="s">
        <v>42</v>
      </c>
      <c r="D40" s="93" t="s">
        <v>41</v>
      </c>
      <c r="E40" s="259" t="s">
        <v>36</v>
      </c>
      <c r="F40" s="258">
        <v>2</v>
      </c>
      <c r="G40" s="278">
        <v>3</v>
      </c>
      <c r="H40" s="278">
        <v>5</v>
      </c>
      <c r="I40" s="278">
        <v>6</v>
      </c>
      <c r="J40" s="278">
        <v>5</v>
      </c>
      <c r="K40" s="278">
        <v>4</v>
      </c>
      <c r="L40" s="278">
        <v>5</v>
      </c>
      <c r="M40" s="278">
        <v>4</v>
      </c>
      <c r="N40" s="278">
        <v>3</v>
      </c>
      <c r="O40" s="278">
        <v>4</v>
      </c>
      <c r="P40" s="276">
        <f>AVERAGE(G40:O40)</f>
        <v>4.333333333333333</v>
      </c>
      <c r="Q40" s="298"/>
    </row>
    <row r="41" spans="1:17" ht="21" customHeight="1" thickTop="1" thickBot="1" x14ac:dyDescent="0.25">
      <c r="A41" s="259" t="s">
        <v>36</v>
      </c>
      <c r="B41" s="258">
        <v>3</v>
      </c>
      <c r="C41" s="89" t="s">
        <v>47</v>
      </c>
      <c r="D41" s="93" t="s">
        <v>41</v>
      </c>
      <c r="E41" s="259" t="s">
        <v>36</v>
      </c>
      <c r="F41" s="258">
        <v>3</v>
      </c>
      <c r="G41" s="278">
        <v>2</v>
      </c>
      <c r="H41" s="278">
        <v>3</v>
      </c>
      <c r="I41" s="278">
        <v>3</v>
      </c>
      <c r="J41" s="278">
        <v>3</v>
      </c>
      <c r="K41" s="278">
        <v>4</v>
      </c>
      <c r="L41" s="278">
        <v>4</v>
      </c>
      <c r="M41" s="278">
        <v>4</v>
      </c>
      <c r="N41" s="278">
        <v>3</v>
      </c>
      <c r="O41" s="278">
        <v>4</v>
      </c>
      <c r="P41" s="276">
        <f>AVERAGE(G41:O41)</f>
        <v>3.3333333333333335</v>
      </c>
      <c r="Q41" s="298"/>
    </row>
    <row r="42" spans="1:17" ht="21" customHeight="1" thickTop="1" thickBot="1" x14ac:dyDescent="0.25">
      <c r="A42" s="255" t="s">
        <v>36</v>
      </c>
      <c r="B42" s="254">
        <v>4</v>
      </c>
      <c r="C42" s="89" t="s">
        <v>44</v>
      </c>
      <c r="D42" s="93" t="s">
        <v>41</v>
      </c>
      <c r="E42" s="255" t="s">
        <v>36</v>
      </c>
      <c r="F42" s="254">
        <v>4</v>
      </c>
      <c r="G42" s="277">
        <v>2</v>
      </c>
      <c r="H42" s="277">
        <v>3</v>
      </c>
      <c r="I42" s="277">
        <v>1</v>
      </c>
      <c r="J42" s="277">
        <v>1</v>
      </c>
      <c r="K42" s="277">
        <v>2</v>
      </c>
      <c r="L42" s="277">
        <v>1</v>
      </c>
      <c r="M42" s="277">
        <v>0</v>
      </c>
      <c r="N42" s="277">
        <v>1</v>
      </c>
      <c r="O42" s="277">
        <v>0</v>
      </c>
      <c r="P42" s="276">
        <f>AVERAGE(G42:O42)</f>
        <v>1.2222222222222223</v>
      </c>
      <c r="Q42" s="298"/>
    </row>
    <row r="43" spans="1:17" ht="21" customHeight="1" thickTop="1" thickBot="1" x14ac:dyDescent="0.25">
      <c r="A43" s="11" t="s">
        <v>37</v>
      </c>
      <c r="B43" s="262">
        <v>4</v>
      </c>
      <c r="C43" s="89" t="s">
        <v>44</v>
      </c>
      <c r="D43" s="96" t="s">
        <v>43</v>
      </c>
      <c r="E43" s="11" t="s">
        <v>37</v>
      </c>
      <c r="F43" s="262">
        <v>4</v>
      </c>
      <c r="G43" s="279">
        <v>1</v>
      </c>
      <c r="H43" s="279">
        <v>1</v>
      </c>
      <c r="I43" s="279">
        <v>2</v>
      </c>
      <c r="J43" s="279">
        <v>2</v>
      </c>
      <c r="K43" s="279">
        <v>1</v>
      </c>
      <c r="L43" s="279">
        <v>1</v>
      </c>
      <c r="M43" s="279">
        <v>2</v>
      </c>
      <c r="N43" s="279">
        <v>0</v>
      </c>
      <c r="O43" s="279">
        <v>2</v>
      </c>
      <c r="P43" s="276">
        <f>AVERAGE(G43:O43)</f>
        <v>1.3333333333333333</v>
      </c>
      <c r="Q43" s="298"/>
    </row>
    <row r="44" spans="1:17" ht="21" customHeight="1" thickTop="1" thickBot="1" x14ac:dyDescent="0.25">
      <c r="A44" s="259" t="s">
        <v>37</v>
      </c>
      <c r="B44" s="258">
        <v>3</v>
      </c>
      <c r="C44" s="89" t="s">
        <v>47</v>
      </c>
      <c r="D44" s="96" t="s">
        <v>43</v>
      </c>
      <c r="E44" s="259" t="s">
        <v>37</v>
      </c>
      <c r="F44" s="258">
        <v>3</v>
      </c>
      <c r="G44" s="278">
        <v>3</v>
      </c>
      <c r="H44" s="278">
        <v>3</v>
      </c>
      <c r="I44" s="278">
        <v>4</v>
      </c>
      <c r="J44" s="278">
        <v>2</v>
      </c>
      <c r="K44" s="278">
        <v>2</v>
      </c>
      <c r="L44" s="278">
        <v>3</v>
      </c>
      <c r="M44" s="278">
        <v>4</v>
      </c>
      <c r="N44" s="278">
        <v>4</v>
      </c>
      <c r="O44" s="278">
        <v>3</v>
      </c>
      <c r="P44" s="276">
        <f>AVERAGE(G44:O44)</f>
        <v>3.1111111111111112</v>
      </c>
      <c r="Q44" s="298"/>
    </row>
    <row r="45" spans="1:17" ht="21" customHeight="1" thickTop="1" thickBot="1" x14ac:dyDescent="0.25">
      <c r="A45" s="259" t="s">
        <v>37</v>
      </c>
      <c r="B45" s="258">
        <v>2</v>
      </c>
      <c r="C45" s="89" t="s">
        <v>42</v>
      </c>
      <c r="D45" s="96" t="s">
        <v>43</v>
      </c>
      <c r="E45" s="259" t="s">
        <v>37</v>
      </c>
      <c r="F45" s="258">
        <v>2</v>
      </c>
      <c r="G45" s="278">
        <v>5</v>
      </c>
      <c r="H45" s="278">
        <v>3</v>
      </c>
      <c r="I45" s="278">
        <v>3</v>
      </c>
      <c r="J45" s="278">
        <v>4</v>
      </c>
      <c r="K45" s="278">
        <v>4</v>
      </c>
      <c r="L45" s="278">
        <v>4</v>
      </c>
      <c r="M45" s="278">
        <v>5</v>
      </c>
      <c r="N45" s="278">
        <v>4</v>
      </c>
      <c r="O45" s="278">
        <v>4</v>
      </c>
      <c r="P45" s="276">
        <f>AVERAGE(G45:O45)</f>
        <v>4</v>
      </c>
      <c r="Q45" s="298"/>
    </row>
    <row r="46" spans="1:17" ht="21" customHeight="1" thickTop="1" thickBot="1" x14ac:dyDescent="0.25">
      <c r="A46" s="255" t="s">
        <v>37</v>
      </c>
      <c r="B46" s="254">
        <v>1</v>
      </c>
      <c r="C46" s="89" t="s">
        <v>45</v>
      </c>
      <c r="D46" s="96" t="s">
        <v>43</v>
      </c>
      <c r="E46" s="255" t="s">
        <v>37</v>
      </c>
      <c r="F46" s="254">
        <v>1</v>
      </c>
      <c r="G46" s="277">
        <v>2</v>
      </c>
      <c r="H46" s="277">
        <v>2</v>
      </c>
      <c r="I46" s="277">
        <v>2</v>
      </c>
      <c r="J46" s="277">
        <v>1</v>
      </c>
      <c r="K46" s="277">
        <v>1</v>
      </c>
      <c r="L46" s="277">
        <v>2</v>
      </c>
      <c r="M46" s="277">
        <v>1</v>
      </c>
      <c r="N46" s="277">
        <v>1</v>
      </c>
      <c r="O46" s="277">
        <v>3</v>
      </c>
      <c r="P46" s="276">
        <f>AVERAGE(G46:O46)</f>
        <v>1.6666666666666667</v>
      </c>
      <c r="Q46" s="298"/>
    </row>
    <row r="47" spans="1:17" ht="21" customHeight="1" thickTop="1" thickBot="1" x14ac:dyDescent="0.25">
      <c r="A47" s="11" t="s">
        <v>38</v>
      </c>
      <c r="B47" s="262">
        <v>1</v>
      </c>
      <c r="C47" s="89" t="s">
        <v>44</v>
      </c>
      <c r="D47" s="96" t="s">
        <v>43</v>
      </c>
      <c r="E47" s="11" t="s">
        <v>38</v>
      </c>
      <c r="F47" s="262">
        <v>1</v>
      </c>
      <c r="G47" s="279">
        <v>2</v>
      </c>
      <c r="H47" s="279">
        <v>1</v>
      </c>
      <c r="I47" s="279">
        <v>3</v>
      </c>
      <c r="J47" s="279">
        <v>2</v>
      </c>
      <c r="K47" s="279">
        <v>3</v>
      </c>
      <c r="L47" s="279">
        <v>2</v>
      </c>
      <c r="M47" s="279">
        <v>1</v>
      </c>
      <c r="N47" s="279">
        <v>2</v>
      </c>
      <c r="O47" s="279">
        <v>2</v>
      </c>
      <c r="P47" s="276">
        <f>AVERAGE(G47:O47)</f>
        <v>2</v>
      </c>
      <c r="Q47" s="298"/>
    </row>
    <row r="48" spans="1:17" ht="21" customHeight="1" thickTop="1" thickBot="1" x14ac:dyDescent="0.25">
      <c r="A48" s="259" t="s">
        <v>38</v>
      </c>
      <c r="B48" s="258">
        <v>2</v>
      </c>
      <c r="C48" s="89" t="s">
        <v>48</v>
      </c>
      <c r="D48" s="96" t="s">
        <v>43</v>
      </c>
      <c r="E48" s="259" t="s">
        <v>38</v>
      </c>
      <c r="F48" s="258">
        <v>2</v>
      </c>
      <c r="G48" s="278">
        <v>3</v>
      </c>
      <c r="H48" s="278">
        <v>2</v>
      </c>
      <c r="I48" s="278">
        <v>3</v>
      </c>
      <c r="J48" s="278">
        <v>3</v>
      </c>
      <c r="K48" s="278">
        <v>4</v>
      </c>
      <c r="L48" s="278">
        <v>3</v>
      </c>
      <c r="M48" s="278">
        <v>4</v>
      </c>
      <c r="N48" s="278">
        <v>3</v>
      </c>
      <c r="O48" s="278">
        <v>2</v>
      </c>
      <c r="P48" s="276">
        <f>AVERAGE(G48:O48)</f>
        <v>3</v>
      </c>
      <c r="Q48" s="298"/>
    </row>
    <row r="49" spans="1:17" ht="21" customHeight="1" thickTop="1" thickBot="1" x14ac:dyDescent="0.25">
      <c r="A49" s="259" t="s">
        <v>38</v>
      </c>
      <c r="B49" s="258">
        <v>3</v>
      </c>
      <c r="C49" s="89" t="s">
        <v>46</v>
      </c>
      <c r="D49" s="96" t="s">
        <v>43</v>
      </c>
      <c r="E49" s="259" t="s">
        <v>38</v>
      </c>
      <c r="F49" s="258">
        <v>3</v>
      </c>
      <c r="G49" s="278">
        <v>4</v>
      </c>
      <c r="H49" s="278">
        <v>3</v>
      </c>
      <c r="I49" s="278">
        <v>3</v>
      </c>
      <c r="J49" s="278">
        <v>5</v>
      </c>
      <c r="K49" s="278">
        <v>4</v>
      </c>
      <c r="L49" s="278">
        <v>4</v>
      </c>
      <c r="M49" s="278">
        <v>2</v>
      </c>
      <c r="N49" s="278">
        <v>3</v>
      </c>
      <c r="O49" s="278">
        <v>3</v>
      </c>
      <c r="P49" s="276">
        <f>AVERAGE(G49:O49)</f>
        <v>3.4444444444444446</v>
      </c>
      <c r="Q49" s="298"/>
    </row>
    <row r="50" spans="1:17" ht="21" customHeight="1" thickTop="1" thickBot="1" x14ac:dyDescent="0.25">
      <c r="A50" s="255" t="s">
        <v>38</v>
      </c>
      <c r="B50" s="254">
        <v>4</v>
      </c>
      <c r="C50" s="89" t="s">
        <v>45</v>
      </c>
      <c r="D50" s="96" t="s">
        <v>43</v>
      </c>
      <c r="E50" s="255" t="s">
        <v>38</v>
      </c>
      <c r="F50" s="254">
        <v>4</v>
      </c>
      <c r="G50" s="277">
        <v>2</v>
      </c>
      <c r="H50" s="277">
        <v>3</v>
      </c>
      <c r="I50" s="277">
        <v>2</v>
      </c>
      <c r="J50" s="277">
        <v>1</v>
      </c>
      <c r="K50" s="277">
        <v>1</v>
      </c>
      <c r="L50" s="277">
        <v>2</v>
      </c>
      <c r="M50" s="277">
        <v>2</v>
      </c>
      <c r="N50" s="277">
        <v>1</v>
      </c>
      <c r="O50" s="277">
        <v>1</v>
      </c>
      <c r="P50" s="276">
        <f>AVERAGE(G50:O50)</f>
        <v>1.6666666666666667</v>
      </c>
      <c r="Q50" s="298"/>
    </row>
    <row r="51" spans="1:17" ht="21" customHeight="1" thickTop="1" thickBot="1" x14ac:dyDescent="0.25">
      <c r="A51" s="11" t="s">
        <v>39</v>
      </c>
      <c r="B51" s="262">
        <v>4</v>
      </c>
      <c r="C51" s="89" t="s">
        <v>45</v>
      </c>
      <c r="D51" s="93" t="s">
        <v>41</v>
      </c>
      <c r="E51" s="11" t="s">
        <v>39</v>
      </c>
      <c r="F51" s="262">
        <v>4</v>
      </c>
      <c r="G51" s="279">
        <v>1</v>
      </c>
      <c r="H51" s="279">
        <v>1</v>
      </c>
      <c r="I51" s="279">
        <v>1</v>
      </c>
      <c r="J51" s="279">
        <v>1</v>
      </c>
      <c r="K51" s="279">
        <v>2</v>
      </c>
      <c r="L51" s="279">
        <v>3</v>
      </c>
      <c r="M51" s="279">
        <v>2</v>
      </c>
      <c r="N51" s="279">
        <v>1</v>
      </c>
      <c r="O51" s="279">
        <v>2</v>
      </c>
      <c r="P51" s="276">
        <f>AVERAGE(G51:O51)</f>
        <v>1.5555555555555556</v>
      </c>
      <c r="Q51" s="298"/>
    </row>
    <row r="52" spans="1:17" ht="21" customHeight="1" thickTop="1" thickBot="1" x14ac:dyDescent="0.25">
      <c r="A52" s="259" t="s">
        <v>39</v>
      </c>
      <c r="B52" s="258">
        <v>3</v>
      </c>
      <c r="C52" s="89" t="s">
        <v>46</v>
      </c>
      <c r="D52" s="93" t="s">
        <v>41</v>
      </c>
      <c r="E52" s="259" t="s">
        <v>39</v>
      </c>
      <c r="F52" s="258">
        <v>3</v>
      </c>
      <c r="G52" s="278">
        <v>3</v>
      </c>
      <c r="H52" s="278">
        <v>3</v>
      </c>
      <c r="I52" s="278">
        <v>4</v>
      </c>
      <c r="J52" s="278">
        <v>3</v>
      </c>
      <c r="K52" s="278">
        <v>2</v>
      </c>
      <c r="L52" s="278">
        <v>3</v>
      </c>
      <c r="M52" s="278">
        <v>4</v>
      </c>
      <c r="N52" s="278">
        <v>3</v>
      </c>
      <c r="O52" s="278">
        <v>4</v>
      </c>
      <c r="P52" s="276">
        <f>AVERAGE(G52:O52)</f>
        <v>3.2222222222222223</v>
      </c>
      <c r="Q52" s="298"/>
    </row>
    <row r="53" spans="1:17" ht="21" customHeight="1" thickTop="1" thickBot="1" x14ac:dyDescent="0.25">
      <c r="A53" s="259" t="s">
        <v>39</v>
      </c>
      <c r="B53" s="258">
        <v>2</v>
      </c>
      <c r="C53" s="89" t="s">
        <v>48</v>
      </c>
      <c r="D53" s="93" t="s">
        <v>41</v>
      </c>
      <c r="E53" s="259" t="s">
        <v>39</v>
      </c>
      <c r="F53" s="258">
        <v>2</v>
      </c>
      <c r="G53" s="278">
        <v>2</v>
      </c>
      <c r="H53" s="278">
        <v>2</v>
      </c>
      <c r="I53" s="278">
        <v>3</v>
      </c>
      <c r="J53" s="278">
        <v>2</v>
      </c>
      <c r="K53" s="278">
        <v>1</v>
      </c>
      <c r="L53" s="278">
        <v>2</v>
      </c>
      <c r="M53" s="278">
        <v>3</v>
      </c>
      <c r="N53" s="278">
        <v>2</v>
      </c>
      <c r="O53" s="278">
        <v>3</v>
      </c>
      <c r="P53" s="276">
        <f>AVERAGE(G53:O53)</f>
        <v>2.2222222222222223</v>
      </c>
      <c r="Q53" s="298"/>
    </row>
    <row r="54" spans="1:17" ht="21" customHeight="1" thickTop="1" thickBot="1" x14ac:dyDescent="0.25">
      <c r="A54" s="255" t="s">
        <v>39</v>
      </c>
      <c r="B54" s="254">
        <v>1</v>
      </c>
      <c r="C54" s="89" t="s">
        <v>44</v>
      </c>
      <c r="D54" s="93" t="s">
        <v>41</v>
      </c>
      <c r="E54" s="255" t="s">
        <v>39</v>
      </c>
      <c r="F54" s="254">
        <v>1</v>
      </c>
      <c r="G54" s="277">
        <v>3</v>
      </c>
      <c r="H54" s="277">
        <v>4</v>
      </c>
      <c r="I54" s="277">
        <v>3</v>
      </c>
      <c r="J54" s="277">
        <v>2</v>
      </c>
      <c r="K54" s="277">
        <v>1</v>
      </c>
      <c r="L54" s="277">
        <v>1</v>
      </c>
      <c r="M54" s="277">
        <v>2</v>
      </c>
      <c r="N54" s="277">
        <v>1</v>
      </c>
      <c r="O54" s="277">
        <v>1</v>
      </c>
      <c r="P54" s="276">
        <f>AVERAGE(G54:O54)</f>
        <v>2</v>
      </c>
      <c r="Q54" s="298"/>
    </row>
  </sheetData>
  <mergeCells count="3">
    <mergeCell ref="C4:I4"/>
    <mergeCell ref="E6:F6"/>
    <mergeCell ref="A6:B6"/>
  </mergeCells>
  <conditionalFormatting sqref="C7:C54">
    <cfRule type="containsText" dxfId="17" priority="1" operator="containsText" text="AQC-N">
      <formula>NOT(ISERROR(SEARCH("AQC-N",C7)))</formula>
    </cfRule>
    <cfRule type="containsText" dxfId="16" priority="2" operator="containsText" text="AQC">
      <formula>NOT(ISERROR(SEARCH("AQC",C7)))</formula>
    </cfRule>
    <cfRule type="containsText" dxfId="15" priority="3" operator="containsText" text="FAO-N">
      <formula>NOT(ISERROR(SEARCH("FAO-N",C7)))</formula>
    </cfRule>
    <cfRule type="containsText" dxfId="14" priority="4" operator="containsText" text="CSM-N">
      <formula>NOT(ISERROR(SEARCH("CSM-N",C7)))</formula>
    </cfRule>
    <cfRule type="containsText" dxfId="13" priority="5" operator="containsText" text="CSM">
      <formula>NOT(ISERROR(SEARCH("CSM",C7)))</formula>
    </cfRule>
    <cfRule type="containsText" dxfId="12" priority="6" operator="containsText" text="FAO">
      <formula>NOT(ISERROR(SEARCH("FAO",C7)))</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FC6ED-6BF1-45DD-A20A-8454C00144D2}">
  <dimension ref="A1:Q150"/>
  <sheetViews>
    <sheetView topLeftCell="B27"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 min="17" max="17" width="9.140625" style="296"/>
  </cols>
  <sheetData>
    <row r="1" spans="1:16" ht="15.75" x14ac:dyDescent="0.25">
      <c r="B1" s="6">
        <v>2022</v>
      </c>
      <c r="C1" s="8" t="s">
        <v>24</v>
      </c>
      <c r="D1" s="2"/>
      <c r="E1" s="8" t="s">
        <v>6</v>
      </c>
      <c r="F1"/>
      <c r="G1" s="4" t="s">
        <v>8</v>
      </c>
      <c r="H1" s="289">
        <v>44802</v>
      </c>
      <c r="I1" s="288"/>
      <c r="J1" s="288"/>
      <c r="K1" s="288"/>
      <c r="L1" s="288"/>
    </row>
    <row r="2" spans="1:16" ht="6.6" customHeight="1" x14ac:dyDescent="0.25">
      <c r="B2" s="6"/>
      <c r="C2" s="7"/>
      <c r="D2" s="8"/>
      <c r="E2"/>
      <c r="F2"/>
      <c r="G2" s="4"/>
      <c r="H2" s="4"/>
    </row>
    <row r="3" spans="1:16" x14ac:dyDescent="0.2">
      <c r="C3" s="5" t="s">
        <v>357</v>
      </c>
      <c r="D3" s="2"/>
      <c r="E3"/>
      <c r="F3"/>
      <c r="G3" s="4" t="s">
        <v>13</v>
      </c>
      <c r="H3" s="4" t="s">
        <v>51</v>
      </c>
    </row>
    <row r="4" spans="1:16" ht="33" customHeight="1" x14ac:dyDescent="0.2">
      <c r="C4" s="273" t="s">
        <v>356</v>
      </c>
      <c r="D4" s="287"/>
      <c r="E4" s="287"/>
      <c r="F4" s="287"/>
      <c r="G4" s="287"/>
      <c r="H4" s="287"/>
      <c r="I4" s="287"/>
      <c r="J4" s="286"/>
      <c r="K4" s="286"/>
      <c r="L4" s="286"/>
      <c r="M4" s="285"/>
    </row>
    <row r="5" spans="1:16" ht="15" customHeight="1" x14ac:dyDescent="0.2">
      <c r="E5" s="5"/>
      <c r="G5" s="271"/>
      <c r="H5" s="271"/>
      <c r="I5" s="271"/>
      <c r="J5" s="271"/>
      <c r="K5" s="271"/>
      <c r="L5" s="271"/>
      <c r="M5" s="271"/>
      <c r="N5" s="271"/>
      <c r="O5" s="3"/>
    </row>
    <row r="6" spans="1:16"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6" ht="21.6" customHeight="1" thickTop="1" thickBot="1" x14ac:dyDescent="0.25">
      <c r="A7" s="11" t="s">
        <v>0</v>
      </c>
      <c r="B7" s="14">
        <v>1</v>
      </c>
      <c r="C7" s="89" t="s">
        <v>42</v>
      </c>
      <c r="D7" s="93" t="s">
        <v>41</v>
      </c>
      <c r="E7" s="11" t="s">
        <v>0</v>
      </c>
      <c r="F7" s="14">
        <v>1</v>
      </c>
      <c r="G7" s="279">
        <v>2</v>
      </c>
      <c r="H7" s="279">
        <v>1</v>
      </c>
      <c r="I7" s="279">
        <v>4</v>
      </c>
      <c r="J7" s="279">
        <v>4</v>
      </c>
      <c r="K7" s="279">
        <v>4</v>
      </c>
      <c r="L7" s="279">
        <v>4</v>
      </c>
      <c r="M7" s="279">
        <v>3</v>
      </c>
      <c r="N7" s="279">
        <v>4</v>
      </c>
      <c r="O7" s="279">
        <v>2</v>
      </c>
      <c r="P7" s="276">
        <f>AVERAGE(G7:O7)</f>
        <v>3.1111111111111112</v>
      </c>
    </row>
    <row r="8" spans="1:16" ht="21.6" customHeight="1" thickTop="1" thickBot="1" x14ac:dyDescent="0.25">
      <c r="A8" s="259" t="s">
        <v>0</v>
      </c>
      <c r="B8" s="281">
        <v>2</v>
      </c>
      <c r="C8" s="89" t="s">
        <v>44</v>
      </c>
      <c r="D8" s="93" t="s">
        <v>41</v>
      </c>
      <c r="E8" s="259" t="s">
        <v>0</v>
      </c>
      <c r="F8" s="281">
        <v>2</v>
      </c>
      <c r="G8" s="278">
        <v>1</v>
      </c>
      <c r="H8" s="278">
        <v>1</v>
      </c>
      <c r="I8" s="278">
        <v>2</v>
      </c>
      <c r="J8" s="278">
        <v>1</v>
      </c>
      <c r="K8" s="278">
        <v>0</v>
      </c>
      <c r="L8" s="278">
        <v>0</v>
      </c>
      <c r="M8" s="278">
        <v>1</v>
      </c>
      <c r="N8" s="278">
        <v>1</v>
      </c>
      <c r="O8" s="278">
        <v>1</v>
      </c>
      <c r="P8" s="276">
        <f>AVERAGE(G8:O8)</f>
        <v>0.88888888888888884</v>
      </c>
    </row>
    <row r="9" spans="1:16" ht="21.6" customHeight="1" thickTop="1" thickBot="1" x14ac:dyDescent="0.25">
      <c r="A9" s="259" t="s">
        <v>0</v>
      </c>
      <c r="B9" s="281">
        <v>3</v>
      </c>
      <c r="C9" s="89" t="s">
        <v>45</v>
      </c>
      <c r="D9" s="93" t="s">
        <v>41</v>
      </c>
      <c r="E9" s="259" t="s">
        <v>0</v>
      </c>
      <c r="F9" s="281">
        <v>3</v>
      </c>
      <c r="G9" s="278">
        <v>1</v>
      </c>
      <c r="H9" s="278">
        <v>1</v>
      </c>
      <c r="I9" s="278">
        <v>0</v>
      </c>
      <c r="J9" s="278">
        <v>1</v>
      </c>
      <c r="K9" s="278">
        <v>0</v>
      </c>
      <c r="L9" s="278">
        <v>0</v>
      </c>
      <c r="M9" s="278">
        <v>1</v>
      </c>
      <c r="N9" s="278">
        <v>0</v>
      </c>
      <c r="O9" s="278">
        <v>1</v>
      </c>
      <c r="P9" s="276">
        <f>AVERAGE(G9:O9)</f>
        <v>0.55555555555555558</v>
      </c>
    </row>
    <row r="10" spans="1:16" ht="21.6" customHeight="1" thickTop="1" thickBot="1" x14ac:dyDescent="0.25">
      <c r="A10" s="255" t="s">
        <v>0</v>
      </c>
      <c r="B10" s="280">
        <v>4</v>
      </c>
      <c r="C10" s="89" t="s">
        <v>46</v>
      </c>
      <c r="D10" s="93" t="s">
        <v>41</v>
      </c>
      <c r="E10" s="255" t="s">
        <v>0</v>
      </c>
      <c r="F10" s="280">
        <v>4</v>
      </c>
      <c r="G10" s="277">
        <v>2</v>
      </c>
      <c r="H10" s="277">
        <v>2</v>
      </c>
      <c r="I10" s="277">
        <v>3</v>
      </c>
      <c r="J10" s="277">
        <v>3</v>
      </c>
      <c r="K10" s="277">
        <v>2</v>
      </c>
      <c r="L10" s="277">
        <v>3</v>
      </c>
      <c r="M10" s="277">
        <v>3</v>
      </c>
      <c r="N10" s="277">
        <v>3</v>
      </c>
      <c r="O10" s="277">
        <v>3</v>
      </c>
      <c r="P10" s="276">
        <f>AVERAGE(G10:O10)</f>
        <v>2.6666666666666665</v>
      </c>
    </row>
    <row r="11" spans="1:16" ht="21.6" customHeight="1" thickTop="1" thickBot="1" x14ac:dyDescent="0.25">
      <c r="A11" s="11" t="s">
        <v>1</v>
      </c>
      <c r="B11" s="14">
        <v>4</v>
      </c>
      <c r="C11" s="89" t="s">
        <v>46</v>
      </c>
      <c r="D11" s="96" t="s">
        <v>43</v>
      </c>
      <c r="E11" s="11" t="s">
        <v>1</v>
      </c>
      <c r="F11" s="14">
        <v>4</v>
      </c>
      <c r="G11" s="279">
        <v>3</v>
      </c>
      <c r="H11" s="279">
        <v>3</v>
      </c>
      <c r="I11" s="279">
        <v>2</v>
      </c>
      <c r="J11" s="279">
        <v>3</v>
      </c>
      <c r="K11" s="279">
        <v>4</v>
      </c>
      <c r="L11" s="279">
        <v>3</v>
      </c>
      <c r="M11" s="279">
        <v>3</v>
      </c>
      <c r="N11" s="279">
        <v>3</v>
      </c>
      <c r="O11" s="279">
        <v>3</v>
      </c>
      <c r="P11" s="276">
        <f>AVERAGE(G11:O11)</f>
        <v>3</v>
      </c>
    </row>
    <row r="12" spans="1:16" ht="21.6" customHeight="1" thickTop="1" thickBot="1" x14ac:dyDescent="0.25">
      <c r="A12" s="259" t="s">
        <v>1</v>
      </c>
      <c r="B12" s="281">
        <v>3</v>
      </c>
      <c r="C12" s="89" t="s">
        <v>45</v>
      </c>
      <c r="D12" s="96" t="s">
        <v>43</v>
      </c>
      <c r="E12" s="259" t="s">
        <v>1</v>
      </c>
      <c r="F12" s="281">
        <v>3</v>
      </c>
      <c r="G12" s="278">
        <v>1</v>
      </c>
      <c r="H12" s="278">
        <v>1</v>
      </c>
      <c r="I12" s="278">
        <v>1</v>
      </c>
      <c r="J12" s="278">
        <v>1</v>
      </c>
      <c r="K12" s="278">
        <v>1</v>
      </c>
      <c r="L12" s="278">
        <v>1</v>
      </c>
      <c r="M12" s="278">
        <v>1</v>
      </c>
      <c r="N12" s="278">
        <v>1</v>
      </c>
      <c r="O12" s="278">
        <v>2</v>
      </c>
      <c r="P12" s="276">
        <f>AVERAGE(G12:O12)</f>
        <v>1.1111111111111112</v>
      </c>
    </row>
    <row r="13" spans="1:16" ht="21.6" customHeight="1" thickTop="1" thickBot="1" x14ac:dyDescent="0.25">
      <c r="A13" s="259" t="s">
        <v>1</v>
      </c>
      <c r="B13" s="281">
        <v>2</v>
      </c>
      <c r="C13" s="89" t="s">
        <v>44</v>
      </c>
      <c r="D13" s="96" t="s">
        <v>43</v>
      </c>
      <c r="E13" s="259" t="s">
        <v>1</v>
      </c>
      <c r="F13" s="281">
        <v>2</v>
      </c>
      <c r="G13" s="278">
        <v>0</v>
      </c>
      <c r="H13" s="278">
        <v>0</v>
      </c>
      <c r="I13" s="278">
        <v>0</v>
      </c>
      <c r="J13" s="278">
        <v>1</v>
      </c>
      <c r="K13" s="278">
        <v>0</v>
      </c>
      <c r="L13" s="278">
        <v>0</v>
      </c>
      <c r="M13" s="278">
        <v>1</v>
      </c>
      <c r="N13" s="278">
        <v>1</v>
      </c>
      <c r="O13" s="278">
        <v>3</v>
      </c>
      <c r="P13" s="276">
        <f>AVERAGE(G13:O13)</f>
        <v>0.66666666666666663</v>
      </c>
    </row>
    <row r="14" spans="1:16" ht="21.6" customHeight="1" thickTop="1" thickBot="1" x14ac:dyDescent="0.25">
      <c r="A14" s="255" t="s">
        <v>1</v>
      </c>
      <c r="B14" s="280">
        <v>1</v>
      </c>
      <c r="C14" s="89" t="s">
        <v>42</v>
      </c>
      <c r="D14" s="96" t="s">
        <v>43</v>
      </c>
      <c r="E14" s="255" t="s">
        <v>1</v>
      </c>
      <c r="F14" s="280">
        <v>1</v>
      </c>
      <c r="G14" s="277">
        <v>2</v>
      </c>
      <c r="H14" s="277">
        <v>3</v>
      </c>
      <c r="I14" s="277">
        <v>3</v>
      </c>
      <c r="J14" s="277">
        <v>4</v>
      </c>
      <c r="K14" s="277">
        <v>3</v>
      </c>
      <c r="L14" s="277">
        <v>3</v>
      </c>
      <c r="M14" s="277">
        <v>3</v>
      </c>
      <c r="N14" s="277">
        <v>3</v>
      </c>
      <c r="O14" s="277">
        <v>3</v>
      </c>
      <c r="P14" s="276">
        <f>AVERAGE(G14:O14)</f>
        <v>3</v>
      </c>
    </row>
    <row r="15" spans="1:16" ht="21.6" customHeight="1" thickTop="1" thickBot="1" x14ac:dyDescent="0.25">
      <c r="A15" s="11" t="s">
        <v>2</v>
      </c>
      <c r="B15" s="14">
        <v>1</v>
      </c>
      <c r="C15" s="89" t="s">
        <v>46</v>
      </c>
      <c r="D15" s="93" t="s">
        <v>41</v>
      </c>
      <c r="E15" s="11" t="s">
        <v>2</v>
      </c>
      <c r="F15" s="14">
        <v>1</v>
      </c>
      <c r="G15" s="279">
        <v>3</v>
      </c>
      <c r="H15" s="279">
        <v>3</v>
      </c>
      <c r="I15" s="279">
        <v>2</v>
      </c>
      <c r="J15" s="279">
        <v>2</v>
      </c>
      <c r="K15" s="279">
        <v>2</v>
      </c>
      <c r="L15" s="279">
        <v>2</v>
      </c>
      <c r="M15" s="279">
        <v>1</v>
      </c>
      <c r="N15" s="279">
        <v>2</v>
      </c>
      <c r="O15" s="279">
        <v>3</v>
      </c>
      <c r="P15" s="276">
        <f>AVERAGE(G15:O15)</f>
        <v>2.2222222222222223</v>
      </c>
    </row>
    <row r="16" spans="1:16" ht="21.6" customHeight="1" thickTop="1" thickBot="1" x14ac:dyDescent="0.25">
      <c r="A16" s="259" t="s">
        <v>2</v>
      </c>
      <c r="B16" s="281">
        <v>2</v>
      </c>
      <c r="C16" s="89" t="s">
        <v>47</v>
      </c>
      <c r="D16" s="93" t="s">
        <v>41</v>
      </c>
      <c r="E16" s="259" t="s">
        <v>2</v>
      </c>
      <c r="F16" s="281">
        <v>2</v>
      </c>
      <c r="G16" s="278">
        <v>3</v>
      </c>
      <c r="H16" s="278">
        <v>3</v>
      </c>
      <c r="I16" s="278">
        <v>2</v>
      </c>
      <c r="J16" s="278">
        <v>2</v>
      </c>
      <c r="K16" s="278">
        <v>3</v>
      </c>
      <c r="L16" s="278">
        <v>3</v>
      </c>
      <c r="M16" s="278">
        <v>3</v>
      </c>
      <c r="N16" s="278">
        <v>2</v>
      </c>
      <c r="O16" s="278">
        <v>3</v>
      </c>
      <c r="P16" s="276">
        <f>AVERAGE(G16:O16)</f>
        <v>2.6666666666666665</v>
      </c>
    </row>
    <row r="17" spans="1:17" ht="21.6" customHeight="1" thickTop="1" thickBot="1" x14ac:dyDescent="0.25">
      <c r="A17" s="259" t="s">
        <v>2</v>
      </c>
      <c r="B17" s="281">
        <v>3</v>
      </c>
      <c r="C17" s="89" t="s">
        <v>48</v>
      </c>
      <c r="D17" s="93" t="s">
        <v>41</v>
      </c>
      <c r="E17" s="259" t="s">
        <v>2</v>
      </c>
      <c r="F17" s="281">
        <v>3</v>
      </c>
      <c r="G17" s="278">
        <v>3</v>
      </c>
      <c r="H17" s="278">
        <v>3</v>
      </c>
      <c r="I17" s="278">
        <v>2</v>
      </c>
      <c r="J17" s="278">
        <v>3</v>
      </c>
      <c r="K17" s="278">
        <v>3</v>
      </c>
      <c r="L17" s="278">
        <v>2</v>
      </c>
      <c r="M17" s="278">
        <v>2</v>
      </c>
      <c r="N17" s="278">
        <v>3</v>
      </c>
      <c r="O17" s="278">
        <v>2</v>
      </c>
      <c r="P17" s="276">
        <f>AVERAGE(G17:O17)</f>
        <v>2.5555555555555554</v>
      </c>
    </row>
    <row r="18" spans="1:17" ht="21.6" customHeight="1" thickTop="1" thickBot="1" x14ac:dyDescent="0.25">
      <c r="A18" s="255" t="s">
        <v>2</v>
      </c>
      <c r="B18" s="280">
        <v>4</v>
      </c>
      <c r="C18" s="89" t="s">
        <v>42</v>
      </c>
      <c r="D18" s="93" t="s">
        <v>41</v>
      </c>
      <c r="E18" s="255" t="s">
        <v>2</v>
      </c>
      <c r="F18" s="280">
        <v>4</v>
      </c>
      <c r="G18" s="277">
        <v>4</v>
      </c>
      <c r="H18" s="277">
        <v>3</v>
      </c>
      <c r="I18" s="277">
        <v>4</v>
      </c>
      <c r="J18" s="277">
        <v>3</v>
      </c>
      <c r="K18" s="277">
        <v>4</v>
      </c>
      <c r="L18" s="277">
        <v>4</v>
      </c>
      <c r="M18" s="277">
        <v>4</v>
      </c>
      <c r="N18" s="277">
        <v>3</v>
      </c>
      <c r="O18" s="277">
        <v>3</v>
      </c>
      <c r="P18" s="276">
        <f>AVERAGE(G18:O18)</f>
        <v>3.5555555555555554</v>
      </c>
    </row>
    <row r="19" spans="1:17" ht="21.6" customHeight="1" thickTop="1" thickBot="1" x14ac:dyDescent="0.25">
      <c r="A19" s="11" t="s">
        <v>3</v>
      </c>
      <c r="B19" s="14">
        <v>4</v>
      </c>
      <c r="C19" s="89" t="s">
        <v>42</v>
      </c>
      <c r="D19" s="96" t="s">
        <v>43</v>
      </c>
      <c r="E19" s="11" t="s">
        <v>3</v>
      </c>
      <c r="F19" s="14">
        <v>4</v>
      </c>
      <c r="G19" s="279">
        <v>2</v>
      </c>
      <c r="H19" s="279">
        <v>3</v>
      </c>
      <c r="I19" s="279">
        <v>4</v>
      </c>
      <c r="J19" s="279">
        <v>2</v>
      </c>
      <c r="K19" s="279">
        <v>3</v>
      </c>
      <c r="L19" s="279">
        <v>3</v>
      </c>
      <c r="M19" s="279">
        <v>4</v>
      </c>
      <c r="N19" s="279">
        <v>3</v>
      </c>
      <c r="O19" s="279">
        <v>3</v>
      </c>
      <c r="P19" s="276">
        <f>AVERAGE(G19:O19)</f>
        <v>3</v>
      </c>
    </row>
    <row r="20" spans="1:17" ht="21.6" customHeight="1" thickTop="1" thickBot="1" x14ac:dyDescent="0.25">
      <c r="A20" s="259" t="s">
        <v>3</v>
      </c>
      <c r="B20" s="281">
        <v>3</v>
      </c>
      <c r="C20" s="89" t="s">
        <v>48</v>
      </c>
      <c r="D20" s="96" t="s">
        <v>43</v>
      </c>
      <c r="E20" s="259" t="s">
        <v>3</v>
      </c>
      <c r="F20" s="281">
        <v>3</v>
      </c>
      <c r="G20" s="278">
        <v>1</v>
      </c>
      <c r="H20" s="278">
        <v>1</v>
      </c>
      <c r="I20" s="278">
        <v>2</v>
      </c>
      <c r="J20" s="278">
        <v>2</v>
      </c>
      <c r="K20" s="278">
        <v>1</v>
      </c>
      <c r="L20" s="278">
        <v>1</v>
      </c>
      <c r="M20" s="278">
        <v>2</v>
      </c>
      <c r="N20" s="278">
        <v>1</v>
      </c>
      <c r="O20" s="278">
        <v>1</v>
      </c>
      <c r="P20" s="276">
        <f>AVERAGE(G20:O20)</f>
        <v>1.3333333333333333</v>
      </c>
    </row>
    <row r="21" spans="1:17" ht="21.6" customHeight="1" thickTop="1" thickBot="1" x14ac:dyDescent="0.25">
      <c r="A21" s="259" t="s">
        <v>3</v>
      </c>
      <c r="B21" s="281">
        <v>2</v>
      </c>
      <c r="C21" s="89" t="s">
        <v>47</v>
      </c>
      <c r="D21" s="96" t="s">
        <v>43</v>
      </c>
      <c r="E21" s="259" t="s">
        <v>3</v>
      </c>
      <c r="F21" s="281">
        <v>2</v>
      </c>
      <c r="G21" s="278">
        <v>2</v>
      </c>
      <c r="H21" s="278">
        <v>2</v>
      </c>
      <c r="I21" s="278">
        <v>3</v>
      </c>
      <c r="J21" s="278">
        <v>2</v>
      </c>
      <c r="K21" s="278">
        <v>2</v>
      </c>
      <c r="L21" s="278">
        <v>2</v>
      </c>
      <c r="M21" s="278">
        <v>1</v>
      </c>
      <c r="N21" s="278">
        <v>2</v>
      </c>
      <c r="O21" s="278">
        <v>2</v>
      </c>
      <c r="P21" s="276">
        <f>AVERAGE(G21:O21)</f>
        <v>2</v>
      </c>
    </row>
    <row r="22" spans="1:17" ht="21.6" customHeight="1" thickTop="1" thickBot="1" x14ac:dyDescent="0.25">
      <c r="A22" s="255" t="s">
        <v>3</v>
      </c>
      <c r="B22" s="280">
        <v>1</v>
      </c>
      <c r="C22" s="89" t="s">
        <v>46</v>
      </c>
      <c r="D22" s="96" t="s">
        <v>43</v>
      </c>
      <c r="E22" s="255" t="s">
        <v>3</v>
      </c>
      <c r="F22" s="280">
        <v>1</v>
      </c>
      <c r="G22" s="277">
        <v>3</v>
      </c>
      <c r="H22" s="277">
        <v>3</v>
      </c>
      <c r="I22" s="277">
        <v>3</v>
      </c>
      <c r="J22" s="277">
        <v>3</v>
      </c>
      <c r="K22" s="277">
        <v>3</v>
      </c>
      <c r="L22" s="277">
        <v>3</v>
      </c>
      <c r="M22" s="277">
        <v>3</v>
      </c>
      <c r="N22" s="277">
        <v>3</v>
      </c>
      <c r="O22" s="277">
        <v>2</v>
      </c>
      <c r="P22" s="276">
        <f>AVERAGE(G22:O22)</f>
        <v>2.8888888888888888</v>
      </c>
    </row>
    <row r="23" spans="1:17" ht="21.6" customHeight="1" thickTop="1" thickBot="1" x14ac:dyDescent="0.25">
      <c r="A23" s="11" t="s">
        <v>4</v>
      </c>
      <c r="B23" s="14">
        <v>1</v>
      </c>
      <c r="C23" s="89" t="s">
        <v>48</v>
      </c>
      <c r="D23" s="96" t="s">
        <v>43</v>
      </c>
      <c r="E23" s="11" t="s">
        <v>4</v>
      </c>
      <c r="F23" s="14">
        <v>1</v>
      </c>
      <c r="G23" s="279">
        <v>3</v>
      </c>
      <c r="H23" s="279">
        <v>4</v>
      </c>
      <c r="I23" s="279">
        <v>4</v>
      </c>
      <c r="J23" s="279">
        <v>5</v>
      </c>
      <c r="K23" s="279">
        <v>4</v>
      </c>
      <c r="L23" s="279">
        <v>5</v>
      </c>
      <c r="M23" s="279">
        <v>5</v>
      </c>
      <c r="N23" s="279">
        <v>5</v>
      </c>
      <c r="O23" s="279">
        <v>4</v>
      </c>
      <c r="P23" s="276">
        <f>AVERAGE(G23:O23)</f>
        <v>4.333333333333333</v>
      </c>
      <c r="Q23" s="298"/>
    </row>
    <row r="24" spans="1:17" ht="21.6" customHeight="1" thickTop="1" thickBot="1" x14ac:dyDescent="0.25">
      <c r="A24" s="259" t="s">
        <v>4</v>
      </c>
      <c r="B24" s="281">
        <v>2</v>
      </c>
      <c r="C24" s="89" t="s">
        <v>45</v>
      </c>
      <c r="D24" s="96" t="s">
        <v>43</v>
      </c>
      <c r="E24" s="259" t="s">
        <v>4</v>
      </c>
      <c r="F24" s="281">
        <v>2</v>
      </c>
      <c r="G24" s="278">
        <v>2</v>
      </c>
      <c r="H24" s="278">
        <v>3</v>
      </c>
      <c r="I24" s="278">
        <v>2</v>
      </c>
      <c r="J24" s="278">
        <v>3</v>
      </c>
      <c r="K24" s="278">
        <v>1</v>
      </c>
      <c r="L24" s="278">
        <v>3</v>
      </c>
      <c r="M24" s="278">
        <v>1</v>
      </c>
      <c r="N24" s="278">
        <v>2</v>
      </c>
      <c r="O24" s="278">
        <v>2</v>
      </c>
      <c r="P24" s="276">
        <f>AVERAGE(G24:O24)</f>
        <v>2.1111111111111112</v>
      </c>
      <c r="Q24" s="298"/>
    </row>
    <row r="25" spans="1:17" ht="21.6" customHeight="1" thickTop="1" thickBot="1" x14ac:dyDescent="0.25">
      <c r="A25" s="259" t="s">
        <v>4</v>
      </c>
      <c r="B25" s="281">
        <v>3</v>
      </c>
      <c r="C25" s="89" t="s">
        <v>44</v>
      </c>
      <c r="D25" s="96" t="s">
        <v>43</v>
      </c>
      <c r="E25" s="259" t="s">
        <v>4</v>
      </c>
      <c r="F25" s="281">
        <v>3</v>
      </c>
      <c r="G25" s="278">
        <v>4</v>
      </c>
      <c r="H25" s="278">
        <v>3</v>
      </c>
      <c r="I25" s="278">
        <v>1</v>
      </c>
      <c r="J25" s="278">
        <v>2</v>
      </c>
      <c r="K25" s="278">
        <v>2</v>
      </c>
      <c r="L25" s="278">
        <v>1</v>
      </c>
      <c r="M25" s="278">
        <v>2</v>
      </c>
      <c r="N25" s="278">
        <v>3</v>
      </c>
      <c r="O25" s="278">
        <v>3</v>
      </c>
      <c r="P25" s="276">
        <f>AVERAGE(G25:O25)</f>
        <v>2.3333333333333335</v>
      </c>
      <c r="Q25" s="298"/>
    </row>
    <row r="26" spans="1:17" ht="21.6" customHeight="1" thickTop="1" thickBot="1" x14ac:dyDescent="0.25">
      <c r="A26" s="255" t="s">
        <v>4</v>
      </c>
      <c r="B26" s="280">
        <v>4</v>
      </c>
      <c r="C26" s="89" t="s">
        <v>47</v>
      </c>
      <c r="D26" s="96" t="s">
        <v>43</v>
      </c>
      <c r="E26" s="255" t="s">
        <v>4</v>
      </c>
      <c r="F26" s="280">
        <v>4</v>
      </c>
      <c r="G26" s="277">
        <v>3</v>
      </c>
      <c r="H26" s="277">
        <v>4</v>
      </c>
      <c r="I26" s="277">
        <v>4</v>
      </c>
      <c r="J26" s="277">
        <v>3</v>
      </c>
      <c r="K26" s="277">
        <v>3</v>
      </c>
      <c r="L26" s="277">
        <v>3</v>
      </c>
      <c r="M26" s="277">
        <v>3</v>
      </c>
      <c r="N26" s="277">
        <v>2</v>
      </c>
      <c r="O26" s="277">
        <v>2</v>
      </c>
      <c r="P26" s="276">
        <f>AVERAGE(G26:O26)</f>
        <v>3</v>
      </c>
      <c r="Q26" s="298"/>
    </row>
    <row r="27" spans="1:17" ht="21.6" customHeight="1" thickTop="1" thickBot="1" x14ac:dyDescent="0.25">
      <c r="A27" s="11" t="s">
        <v>5</v>
      </c>
      <c r="B27" s="14">
        <v>4</v>
      </c>
      <c r="C27" s="89" t="s">
        <v>47</v>
      </c>
      <c r="D27" s="93" t="s">
        <v>41</v>
      </c>
      <c r="E27" s="11" t="s">
        <v>5</v>
      </c>
      <c r="F27" s="14">
        <v>4</v>
      </c>
      <c r="G27" s="279">
        <v>3</v>
      </c>
      <c r="H27" s="279">
        <v>2</v>
      </c>
      <c r="I27" s="279">
        <v>3</v>
      </c>
      <c r="J27" s="279">
        <v>4</v>
      </c>
      <c r="K27" s="279">
        <v>2</v>
      </c>
      <c r="L27" s="279">
        <v>2</v>
      </c>
      <c r="M27" s="279">
        <v>3</v>
      </c>
      <c r="N27" s="279">
        <v>2</v>
      </c>
      <c r="O27" s="279">
        <v>2</v>
      </c>
      <c r="P27" s="276">
        <f>AVERAGE(G27:O27)</f>
        <v>2.5555555555555554</v>
      </c>
      <c r="Q27" s="298"/>
    </row>
    <row r="28" spans="1:17" ht="21.6" customHeight="1" thickTop="1" thickBot="1" x14ac:dyDescent="0.25">
      <c r="A28" s="259" t="s">
        <v>5</v>
      </c>
      <c r="B28" s="281">
        <v>3</v>
      </c>
      <c r="C28" s="89" t="s">
        <v>44</v>
      </c>
      <c r="D28" s="93" t="s">
        <v>41</v>
      </c>
      <c r="E28" s="259" t="s">
        <v>5</v>
      </c>
      <c r="F28" s="281">
        <v>3</v>
      </c>
      <c r="G28" s="278">
        <v>1</v>
      </c>
      <c r="H28" s="278">
        <v>2</v>
      </c>
      <c r="I28" s="278">
        <v>1</v>
      </c>
      <c r="J28" s="278">
        <v>0</v>
      </c>
      <c r="K28" s="278">
        <v>0</v>
      </c>
      <c r="L28" s="278">
        <v>1</v>
      </c>
      <c r="M28" s="278">
        <v>2</v>
      </c>
      <c r="N28" s="278">
        <v>2</v>
      </c>
      <c r="O28" s="278">
        <v>2</v>
      </c>
      <c r="P28" s="276">
        <f>AVERAGE(G28:O28)</f>
        <v>1.2222222222222223</v>
      </c>
      <c r="Q28" s="298"/>
    </row>
    <row r="29" spans="1:17" ht="21.6" customHeight="1" thickTop="1" thickBot="1" x14ac:dyDescent="0.25">
      <c r="A29" s="259" t="s">
        <v>5</v>
      </c>
      <c r="B29" s="281">
        <v>2</v>
      </c>
      <c r="C29" s="89" t="s">
        <v>45</v>
      </c>
      <c r="D29" s="93" t="s">
        <v>41</v>
      </c>
      <c r="E29" s="259" t="s">
        <v>5</v>
      </c>
      <c r="F29" s="281">
        <v>2</v>
      </c>
      <c r="G29" s="278">
        <v>2</v>
      </c>
      <c r="H29" s="278">
        <v>1</v>
      </c>
      <c r="I29" s="278">
        <v>1</v>
      </c>
      <c r="J29" s="278">
        <v>2</v>
      </c>
      <c r="K29" s="278">
        <v>1</v>
      </c>
      <c r="L29" s="278">
        <v>2</v>
      </c>
      <c r="M29" s="278">
        <v>1</v>
      </c>
      <c r="N29" s="278">
        <v>2</v>
      </c>
      <c r="O29" s="278">
        <v>1</v>
      </c>
      <c r="P29" s="276">
        <f>AVERAGE(G29:O29)</f>
        <v>1.4444444444444444</v>
      </c>
      <c r="Q29" s="298"/>
    </row>
    <row r="30" spans="1:17" ht="21.6" customHeight="1" thickTop="1" thickBot="1" x14ac:dyDescent="0.25">
      <c r="A30" s="255" t="s">
        <v>5</v>
      </c>
      <c r="B30" s="280">
        <v>1</v>
      </c>
      <c r="C30" s="89" t="s">
        <v>48</v>
      </c>
      <c r="D30" s="93" t="s">
        <v>41</v>
      </c>
      <c r="E30" s="255" t="s">
        <v>5</v>
      </c>
      <c r="F30" s="280">
        <v>1</v>
      </c>
      <c r="G30" s="277">
        <v>2</v>
      </c>
      <c r="H30" s="277">
        <v>3</v>
      </c>
      <c r="I30" s="277">
        <v>1</v>
      </c>
      <c r="J30" s="277">
        <v>1</v>
      </c>
      <c r="K30" s="277">
        <v>2</v>
      </c>
      <c r="L30" s="277">
        <v>2</v>
      </c>
      <c r="M30" s="277">
        <v>3</v>
      </c>
      <c r="N30" s="277">
        <v>2</v>
      </c>
      <c r="O30" s="277">
        <v>1</v>
      </c>
      <c r="P30" s="276">
        <f>AVERAGE(G30:O30)</f>
        <v>1.8888888888888888</v>
      </c>
      <c r="Q30" s="298"/>
    </row>
    <row r="31" spans="1:17" ht="21.6" customHeight="1" thickTop="1" thickBot="1" x14ac:dyDescent="0.25">
      <c r="A31" s="11" t="s">
        <v>34</v>
      </c>
      <c r="B31" s="262">
        <v>1</v>
      </c>
      <c r="C31" s="89" t="s">
        <v>47</v>
      </c>
      <c r="D31" s="96" t="s">
        <v>43</v>
      </c>
      <c r="E31" s="11" t="s">
        <v>34</v>
      </c>
      <c r="F31" s="262">
        <v>1</v>
      </c>
      <c r="G31" s="279">
        <v>2</v>
      </c>
      <c r="H31" s="279">
        <v>2</v>
      </c>
      <c r="I31" s="279">
        <v>2</v>
      </c>
      <c r="J31" s="279">
        <v>2</v>
      </c>
      <c r="K31" s="279">
        <v>3</v>
      </c>
      <c r="L31" s="279">
        <v>2</v>
      </c>
      <c r="M31" s="279">
        <v>2</v>
      </c>
      <c r="N31" s="279">
        <v>3</v>
      </c>
      <c r="O31" s="279">
        <v>3</v>
      </c>
      <c r="P31" s="276">
        <f>AVERAGE(G31:O31)</f>
        <v>2.3333333333333335</v>
      </c>
      <c r="Q31" s="298"/>
    </row>
    <row r="32" spans="1:17" ht="21.6" customHeight="1" thickTop="1" thickBot="1" x14ac:dyDescent="0.25">
      <c r="A32" s="259" t="s">
        <v>34</v>
      </c>
      <c r="B32" s="258">
        <v>2</v>
      </c>
      <c r="C32" s="89" t="s">
        <v>46</v>
      </c>
      <c r="D32" s="96" t="s">
        <v>43</v>
      </c>
      <c r="E32" s="259" t="s">
        <v>34</v>
      </c>
      <c r="F32" s="258">
        <v>2</v>
      </c>
      <c r="G32" s="278">
        <v>3</v>
      </c>
      <c r="H32" s="278">
        <v>3</v>
      </c>
      <c r="I32" s="278">
        <v>2</v>
      </c>
      <c r="J32" s="278">
        <v>3</v>
      </c>
      <c r="K32" s="278">
        <v>3</v>
      </c>
      <c r="L32" s="278">
        <v>3</v>
      </c>
      <c r="M32" s="278">
        <v>4</v>
      </c>
      <c r="N32" s="278">
        <v>4</v>
      </c>
      <c r="O32" s="278">
        <v>4</v>
      </c>
      <c r="P32" s="276">
        <f>AVERAGE(G32:O32)</f>
        <v>3.2222222222222223</v>
      </c>
      <c r="Q32" s="298"/>
    </row>
    <row r="33" spans="1:17" ht="21.6" customHeight="1" thickTop="1" thickBot="1" x14ac:dyDescent="0.25">
      <c r="A33" s="259" t="s">
        <v>34</v>
      </c>
      <c r="B33" s="258">
        <v>3</v>
      </c>
      <c r="C33" s="89" t="s">
        <v>42</v>
      </c>
      <c r="D33" s="96" t="s">
        <v>43</v>
      </c>
      <c r="E33" s="259" t="s">
        <v>34</v>
      </c>
      <c r="F33" s="258">
        <v>3</v>
      </c>
      <c r="G33" s="278">
        <v>3</v>
      </c>
      <c r="H33" s="278">
        <v>3</v>
      </c>
      <c r="I33" s="278">
        <v>3</v>
      </c>
      <c r="J33" s="278">
        <v>2</v>
      </c>
      <c r="K33" s="278">
        <v>2</v>
      </c>
      <c r="L33" s="278">
        <v>2</v>
      </c>
      <c r="M33" s="278">
        <v>2</v>
      </c>
      <c r="N33" s="278">
        <v>3</v>
      </c>
      <c r="O33" s="278">
        <v>2</v>
      </c>
      <c r="P33" s="276">
        <f>AVERAGE(G33:O33)</f>
        <v>2.4444444444444446</v>
      </c>
      <c r="Q33" s="298"/>
    </row>
    <row r="34" spans="1:17" ht="21.6" customHeight="1" thickTop="1" thickBot="1" x14ac:dyDescent="0.25">
      <c r="A34" s="255" t="s">
        <v>34</v>
      </c>
      <c r="B34" s="254">
        <v>4</v>
      </c>
      <c r="C34" s="89" t="s">
        <v>48</v>
      </c>
      <c r="D34" s="96" t="s">
        <v>43</v>
      </c>
      <c r="E34" s="255" t="s">
        <v>34</v>
      </c>
      <c r="F34" s="254">
        <v>4</v>
      </c>
      <c r="G34" s="277">
        <v>2</v>
      </c>
      <c r="H34" s="277">
        <v>2</v>
      </c>
      <c r="I34" s="277">
        <v>1</v>
      </c>
      <c r="J34" s="277">
        <v>2</v>
      </c>
      <c r="K34" s="277">
        <v>2</v>
      </c>
      <c r="L34" s="277">
        <v>2</v>
      </c>
      <c r="M34" s="277">
        <v>1</v>
      </c>
      <c r="N34" s="277">
        <v>0</v>
      </c>
      <c r="O34" s="277">
        <v>1</v>
      </c>
      <c r="P34" s="276">
        <f>AVERAGE(G34:O34)</f>
        <v>1.4444444444444444</v>
      </c>
      <c r="Q34" s="298"/>
    </row>
    <row r="35" spans="1:17" ht="21.6" customHeight="1" thickTop="1" thickBot="1" x14ac:dyDescent="0.25">
      <c r="A35" s="11" t="s">
        <v>35</v>
      </c>
      <c r="B35" s="262">
        <v>4</v>
      </c>
      <c r="C35" s="89" t="s">
        <v>48</v>
      </c>
      <c r="D35" s="93" t="s">
        <v>41</v>
      </c>
      <c r="E35" s="11" t="s">
        <v>35</v>
      </c>
      <c r="F35" s="262">
        <v>4</v>
      </c>
      <c r="G35" s="279">
        <v>2</v>
      </c>
      <c r="H35" s="279">
        <v>3</v>
      </c>
      <c r="I35" s="279">
        <v>4</v>
      </c>
      <c r="J35" s="279">
        <v>4</v>
      </c>
      <c r="K35" s="279">
        <v>3</v>
      </c>
      <c r="L35" s="279">
        <v>3</v>
      </c>
      <c r="M35" s="279">
        <v>2</v>
      </c>
      <c r="N35" s="279">
        <v>3</v>
      </c>
      <c r="O35" s="279">
        <v>3</v>
      </c>
      <c r="P35" s="276">
        <f>AVERAGE(G35:O35)</f>
        <v>3</v>
      </c>
      <c r="Q35" s="298"/>
    </row>
    <row r="36" spans="1:17" ht="21.6" customHeight="1" thickTop="1" thickBot="1" x14ac:dyDescent="0.25">
      <c r="A36" s="259" t="s">
        <v>35</v>
      </c>
      <c r="B36" s="258">
        <v>3</v>
      </c>
      <c r="C36" s="89" t="s">
        <v>42</v>
      </c>
      <c r="D36" s="93" t="s">
        <v>41</v>
      </c>
      <c r="E36" s="259" t="s">
        <v>35</v>
      </c>
      <c r="F36" s="258">
        <v>3</v>
      </c>
      <c r="G36" s="278">
        <v>4</v>
      </c>
      <c r="H36" s="278">
        <v>3</v>
      </c>
      <c r="I36" s="278">
        <v>3</v>
      </c>
      <c r="J36" s="278">
        <v>3</v>
      </c>
      <c r="K36" s="278">
        <v>3</v>
      </c>
      <c r="L36" s="278">
        <v>3</v>
      </c>
      <c r="M36" s="278">
        <v>4</v>
      </c>
      <c r="N36" s="278">
        <v>4</v>
      </c>
      <c r="O36" s="278">
        <v>4</v>
      </c>
      <c r="P36" s="276">
        <f>AVERAGE(G36:O36)</f>
        <v>3.4444444444444446</v>
      </c>
      <c r="Q36" s="298"/>
    </row>
    <row r="37" spans="1:17" ht="21.6" customHeight="1" thickTop="1" thickBot="1" x14ac:dyDescent="0.25">
      <c r="A37" s="259" t="s">
        <v>35</v>
      </c>
      <c r="B37" s="258">
        <v>2</v>
      </c>
      <c r="C37" s="89" t="s">
        <v>46</v>
      </c>
      <c r="D37" s="93" t="s">
        <v>41</v>
      </c>
      <c r="E37" s="259" t="s">
        <v>35</v>
      </c>
      <c r="F37" s="258">
        <v>2</v>
      </c>
      <c r="G37" s="278">
        <v>3</v>
      </c>
      <c r="H37" s="278">
        <v>2</v>
      </c>
      <c r="I37" s="278">
        <v>2</v>
      </c>
      <c r="J37" s="278">
        <v>2</v>
      </c>
      <c r="K37" s="278">
        <v>2</v>
      </c>
      <c r="L37" s="278">
        <v>3</v>
      </c>
      <c r="M37" s="278">
        <v>2</v>
      </c>
      <c r="N37" s="278">
        <v>2</v>
      </c>
      <c r="O37" s="278">
        <v>2</v>
      </c>
      <c r="P37" s="276">
        <f>AVERAGE(G37:O37)</f>
        <v>2.2222222222222223</v>
      </c>
      <c r="Q37" s="298"/>
    </row>
    <row r="38" spans="1:17" ht="21.6" customHeight="1" thickTop="1" thickBot="1" x14ac:dyDescent="0.25">
      <c r="A38" s="255" t="s">
        <v>35</v>
      </c>
      <c r="B38" s="254">
        <v>1</v>
      </c>
      <c r="C38" s="89" t="s">
        <v>47</v>
      </c>
      <c r="D38" s="93" t="s">
        <v>41</v>
      </c>
      <c r="E38" s="255" t="s">
        <v>35</v>
      </c>
      <c r="F38" s="254">
        <v>1</v>
      </c>
      <c r="G38" s="277">
        <v>3</v>
      </c>
      <c r="H38" s="277">
        <v>3</v>
      </c>
      <c r="I38" s="277">
        <v>3</v>
      </c>
      <c r="J38" s="277">
        <v>4</v>
      </c>
      <c r="K38" s="277">
        <v>2</v>
      </c>
      <c r="L38" s="277">
        <v>3</v>
      </c>
      <c r="M38" s="277">
        <v>3</v>
      </c>
      <c r="N38" s="277">
        <v>4</v>
      </c>
      <c r="O38" s="277">
        <v>3</v>
      </c>
      <c r="P38" s="276">
        <f>AVERAGE(G38:O38)</f>
        <v>3.1111111111111112</v>
      </c>
      <c r="Q38" s="298"/>
    </row>
    <row r="39" spans="1:17" ht="21.6" customHeight="1" thickTop="1" thickBot="1" x14ac:dyDescent="0.25">
      <c r="A39" s="11" t="s">
        <v>36</v>
      </c>
      <c r="B39" s="262">
        <v>1</v>
      </c>
      <c r="C39" s="89" t="s">
        <v>45</v>
      </c>
      <c r="D39" s="93" t="s">
        <v>41</v>
      </c>
      <c r="E39" s="11" t="s">
        <v>36</v>
      </c>
      <c r="F39" s="262">
        <v>1</v>
      </c>
      <c r="G39" s="279">
        <v>1</v>
      </c>
      <c r="H39" s="279">
        <v>1</v>
      </c>
      <c r="I39" s="279">
        <v>1</v>
      </c>
      <c r="J39" s="279">
        <v>1</v>
      </c>
      <c r="K39" s="279">
        <v>1</v>
      </c>
      <c r="L39" s="279">
        <v>0</v>
      </c>
      <c r="M39" s="279">
        <v>1</v>
      </c>
      <c r="N39" s="279">
        <v>1</v>
      </c>
      <c r="O39" s="279">
        <v>1</v>
      </c>
      <c r="P39" s="276">
        <f>AVERAGE(G39:O39)</f>
        <v>0.88888888888888884</v>
      </c>
      <c r="Q39" s="298"/>
    </row>
    <row r="40" spans="1:17" ht="21.6" customHeight="1" thickTop="1" thickBot="1" x14ac:dyDescent="0.25">
      <c r="A40" s="259" t="s">
        <v>36</v>
      </c>
      <c r="B40" s="258">
        <v>2</v>
      </c>
      <c r="C40" s="89" t="s">
        <v>42</v>
      </c>
      <c r="D40" s="93" t="s">
        <v>41</v>
      </c>
      <c r="E40" s="259" t="s">
        <v>36</v>
      </c>
      <c r="F40" s="258">
        <v>2</v>
      </c>
      <c r="G40" s="278">
        <v>2</v>
      </c>
      <c r="H40" s="278">
        <v>4</v>
      </c>
      <c r="I40" s="278">
        <v>3</v>
      </c>
      <c r="J40" s="278">
        <v>3</v>
      </c>
      <c r="K40" s="278">
        <v>4</v>
      </c>
      <c r="L40" s="278">
        <v>5</v>
      </c>
      <c r="M40" s="278">
        <v>4</v>
      </c>
      <c r="N40" s="278">
        <v>4</v>
      </c>
      <c r="O40" s="278">
        <v>3</v>
      </c>
      <c r="P40" s="276">
        <f>AVERAGE(G40:O40)</f>
        <v>3.5555555555555554</v>
      </c>
      <c r="Q40" s="298"/>
    </row>
    <row r="41" spans="1:17" ht="21.6" customHeight="1" thickTop="1" thickBot="1" x14ac:dyDescent="0.25">
      <c r="A41" s="259" t="s">
        <v>36</v>
      </c>
      <c r="B41" s="258">
        <v>3</v>
      </c>
      <c r="C41" s="89" t="s">
        <v>47</v>
      </c>
      <c r="D41" s="93" t="s">
        <v>41</v>
      </c>
      <c r="E41" s="259" t="s">
        <v>36</v>
      </c>
      <c r="F41" s="258">
        <v>3</v>
      </c>
      <c r="G41" s="278">
        <v>2</v>
      </c>
      <c r="H41" s="278">
        <v>3</v>
      </c>
      <c r="I41" s="278">
        <v>2</v>
      </c>
      <c r="J41" s="278">
        <v>3</v>
      </c>
      <c r="K41" s="278">
        <v>4</v>
      </c>
      <c r="L41" s="278">
        <v>3</v>
      </c>
      <c r="M41" s="278">
        <v>2</v>
      </c>
      <c r="N41" s="278">
        <v>3</v>
      </c>
      <c r="O41" s="278">
        <v>3</v>
      </c>
      <c r="P41" s="276">
        <f>AVERAGE(G41:O41)</f>
        <v>2.7777777777777777</v>
      </c>
      <c r="Q41" s="298"/>
    </row>
    <row r="42" spans="1:17" ht="21.6" customHeight="1" thickTop="1" thickBot="1" x14ac:dyDescent="0.25">
      <c r="A42" s="255" t="s">
        <v>36</v>
      </c>
      <c r="B42" s="254">
        <v>4</v>
      </c>
      <c r="C42" s="89" t="s">
        <v>44</v>
      </c>
      <c r="D42" s="93" t="s">
        <v>41</v>
      </c>
      <c r="E42" s="255" t="s">
        <v>36</v>
      </c>
      <c r="F42" s="254">
        <v>4</v>
      </c>
      <c r="G42" s="277">
        <v>2</v>
      </c>
      <c r="H42" s="277">
        <v>1</v>
      </c>
      <c r="I42" s="277">
        <v>1</v>
      </c>
      <c r="J42" s="277">
        <v>1</v>
      </c>
      <c r="K42" s="277">
        <v>1</v>
      </c>
      <c r="L42" s="277">
        <v>0</v>
      </c>
      <c r="M42" s="277">
        <v>1</v>
      </c>
      <c r="N42" s="277">
        <v>0</v>
      </c>
      <c r="O42" s="277">
        <v>0</v>
      </c>
      <c r="P42" s="276">
        <f>AVERAGE(G42:O42)</f>
        <v>0.77777777777777779</v>
      </c>
      <c r="Q42" s="298"/>
    </row>
    <row r="43" spans="1:17" ht="21.6" customHeight="1" thickTop="1" thickBot="1" x14ac:dyDescent="0.25">
      <c r="A43" s="11" t="s">
        <v>37</v>
      </c>
      <c r="B43" s="262">
        <v>4</v>
      </c>
      <c r="C43" s="89" t="s">
        <v>44</v>
      </c>
      <c r="D43" s="96" t="s">
        <v>43</v>
      </c>
      <c r="E43" s="11" t="s">
        <v>37</v>
      </c>
      <c r="F43" s="262">
        <v>4</v>
      </c>
      <c r="G43" s="279">
        <v>0</v>
      </c>
      <c r="H43" s="279">
        <v>1</v>
      </c>
      <c r="I43" s="279">
        <v>0</v>
      </c>
      <c r="J43" s="279">
        <v>0</v>
      </c>
      <c r="K43" s="279">
        <v>1</v>
      </c>
      <c r="L43" s="279">
        <v>1</v>
      </c>
      <c r="M43" s="279">
        <v>0</v>
      </c>
      <c r="N43" s="279">
        <v>1</v>
      </c>
      <c r="O43" s="279">
        <v>1</v>
      </c>
      <c r="P43" s="276">
        <f>AVERAGE(G43:O43)</f>
        <v>0.55555555555555558</v>
      </c>
      <c r="Q43" s="298"/>
    </row>
    <row r="44" spans="1:17" ht="21.6" customHeight="1" thickTop="1" thickBot="1" x14ac:dyDescent="0.25">
      <c r="A44" s="259" t="s">
        <v>37</v>
      </c>
      <c r="B44" s="258">
        <v>3</v>
      </c>
      <c r="C44" s="89" t="s">
        <v>47</v>
      </c>
      <c r="D44" s="96" t="s">
        <v>43</v>
      </c>
      <c r="E44" s="259" t="s">
        <v>37</v>
      </c>
      <c r="F44" s="258">
        <v>3</v>
      </c>
      <c r="G44" s="278">
        <v>2</v>
      </c>
      <c r="H44" s="278">
        <v>1</v>
      </c>
      <c r="I44" s="278">
        <v>1</v>
      </c>
      <c r="J44" s="278">
        <v>3</v>
      </c>
      <c r="K44" s="278">
        <v>3</v>
      </c>
      <c r="L44" s="278">
        <v>2</v>
      </c>
      <c r="M44" s="278">
        <v>2</v>
      </c>
      <c r="N44" s="278">
        <v>3</v>
      </c>
      <c r="O44" s="278">
        <v>3</v>
      </c>
      <c r="P44" s="276">
        <f>AVERAGE(G44:O44)</f>
        <v>2.2222222222222223</v>
      </c>
      <c r="Q44" s="298"/>
    </row>
    <row r="45" spans="1:17" ht="21.6" customHeight="1" thickTop="1" thickBot="1" x14ac:dyDescent="0.25">
      <c r="A45" s="259" t="s">
        <v>37</v>
      </c>
      <c r="B45" s="258">
        <v>2</v>
      </c>
      <c r="C45" s="89" t="s">
        <v>42</v>
      </c>
      <c r="D45" s="96" t="s">
        <v>43</v>
      </c>
      <c r="E45" s="259" t="s">
        <v>37</v>
      </c>
      <c r="F45" s="258">
        <v>2</v>
      </c>
      <c r="G45" s="278">
        <v>4</v>
      </c>
      <c r="H45" s="278">
        <v>2</v>
      </c>
      <c r="I45" s="278">
        <v>4</v>
      </c>
      <c r="J45" s="278">
        <v>3</v>
      </c>
      <c r="K45" s="278">
        <v>3</v>
      </c>
      <c r="L45" s="278">
        <v>3</v>
      </c>
      <c r="M45" s="278">
        <v>4</v>
      </c>
      <c r="N45" s="278">
        <v>3</v>
      </c>
      <c r="O45" s="278">
        <v>4</v>
      </c>
      <c r="P45" s="276">
        <f>AVERAGE(G45:O45)</f>
        <v>3.3333333333333335</v>
      </c>
      <c r="Q45" s="298"/>
    </row>
    <row r="46" spans="1:17" ht="21.6" customHeight="1" thickTop="1" thickBot="1" x14ac:dyDescent="0.25">
      <c r="A46" s="255" t="s">
        <v>37</v>
      </c>
      <c r="B46" s="254">
        <v>1</v>
      </c>
      <c r="C46" s="89" t="s">
        <v>45</v>
      </c>
      <c r="D46" s="96" t="s">
        <v>43</v>
      </c>
      <c r="E46" s="255" t="s">
        <v>37</v>
      </c>
      <c r="F46" s="254">
        <v>1</v>
      </c>
      <c r="G46" s="277">
        <v>3</v>
      </c>
      <c r="H46" s="277">
        <v>1</v>
      </c>
      <c r="I46" s="277">
        <v>2</v>
      </c>
      <c r="J46" s="277">
        <v>0</v>
      </c>
      <c r="K46" s="277">
        <v>1</v>
      </c>
      <c r="L46" s="277">
        <v>0</v>
      </c>
      <c r="M46" s="277">
        <v>1</v>
      </c>
      <c r="N46" s="277">
        <v>1</v>
      </c>
      <c r="O46" s="277">
        <v>0</v>
      </c>
      <c r="P46" s="276">
        <f>AVERAGE(G46:O46)</f>
        <v>1</v>
      </c>
      <c r="Q46" s="298"/>
    </row>
    <row r="47" spans="1:17" ht="21.6" customHeight="1" thickTop="1" thickBot="1" x14ac:dyDescent="0.25">
      <c r="A47" s="11" t="s">
        <v>38</v>
      </c>
      <c r="B47" s="262">
        <v>1</v>
      </c>
      <c r="C47" s="89" t="s">
        <v>44</v>
      </c>
      <c r="D47" s="96" t="s">
        <v>43</v>
      </c>
      <c r="E47" s="11" t="s">
        <v>38</v>
      </c>
      <c r="F47" s="262">
        <v>1</v>
      </c>
      <c r="G47" s="279">
        <v>2</v>
      </c>
      <c r="H47" s="279">
        <v>1</v>
      </c>
      <c r="I47" s="279">
        <v>0</v>
      </c>
      <c r="J47" s="279">
        <v>1</v>
      </c>
      <c r="K47" s="279">
        <v>1</v>
      </c>
      <c r="L47" s="279">
        <v>1</v>
      </c>
      <c r="M47" s="279">
        <v>2</v>
      </c>
      <c r="N47" s="279">
        <v>1</v>
      </c>
      <c r="O47" s="279">
        <v>1</v>
      </c>
      <c r="P47" s="276">
        <f>AVERAGE(G47:O47)</f>
        <v>1.1111111111111112</v>
      </c>
      <c r="Q47" s="298"/>
    </row>
    <row r="48" spans="1:17" ht="21.6" customHeight="1" thickTop="1" thickBot="1" x14ac:dyDescent="0.25">
      <c r="A48" s="259" t="s">
        <v>38</v>
      </c>
      <c r="B48" s="258">
        <v>2</v>
      </c>
      <c r="C48" s="89" t="s">
        <v>48</v>
      </c>
      <c r="D48" s="96" t="s">
        <v>43</v>
      </c>
      <c r="E48" s="259" t="s">
        <v>38</v>
      </c>
      <c r="F48" s="258">
        <v>2</v>
      </c>
      <c r="G48" s="278">
        <v>2</v>
      </c>
      <c r="H48" s="278">
        <v>1</v>
      </c>
      <c r="I48" s="278">
        <v>3</v>
      </c>
      <c r="J48" s="278">
        <v>3</v>
      </c>
      <c r="K48" s="278">
        <v>3</v>
      </c>
      <c r="L48" s="278">
        <v>4</v>
      </c>
      <c r="M48" s="278">
        <v>3</v>
      </c>
      <c r="N48" s="278">
        <v>3</v>
      </c>
      <c r="O48" s="278">
        <v>1</v>
      </c>
      <c r="P48" s="276">
        <f>AVERAGE(G48:O48)</f>
        <v>2.5555555555555554</v>
      </c>
      <c r="Q48" s="298"/>
    </row>
    <row r="49" spans="1:17" ht="21.6" customHeight="1" thickTop="1" thickBot="1" x14ac:dyDescent="0.25">
      <c r="A49" s="259" t="s">
        <v>38</v>
      </c>
      <c r="B49" s="258">
        <v>3</v>
      </c>
      <c r="C49" s="89" t="s">
        <v>46</v>
      </c>
      <c r="D49" s="96" t="s">
        <v>43</v>
      </c>
      <c r="E49" s="259" t="s">
        <v>38</v>
      </c>
      <c r="F49" s="258">
        <v>3</v>
      </c>
      <c r="G49" s="278">
        <v>2</v>
      </c>
      <c r="H49" s="278">
        <v>4</v>
      </c>
      <c r="I49" s="278">
        <v>3</v>
      </c>
      <c r="J49" s="278">
        <v>2</v>
      </c>
      <c r="K49" s="278">
        <v>2</v>
      </c>
      <c r="L49" s="278">
        <v>2</v>
      </c>
      <c r="M49" s="278">
        <v>4</v>
      </c>
      <c r="N49" s="278">
        <v>3</v>
      </c>
      <c r="O49" s="278">
        <v>3</v>
      </c>
      <c r="P49" s="276">
        <f>AVERAGE(G49:O49)</f>
        <v>2.7777777777777777</v>
      </c>
      <c r="Q49" s="298"/>
    </row>
    <row r="50" spans="1:17" ht="21.6" customHeight="1" thickTop="1" thickBot="1" x14ac:dyDescent="0.25">
      <c r="A50" s="255" t="s">
        <v>38</v>
      </c>
      <c r="B50" s="254">
        <v>4</v>
      </c>
      <c r="C50" s="89" t="s">
        <v>45</v>
      </c>
      <c r="D50" s="96" t="s">
        <v>43</v>
      </c>
      <c r="E50" s="255" t="s">
        <v>38</v>
      </c>
      <c r="F50" s="254">
        <v>4</v>
      </c>
      <c r="G50" s="277">
        <v>1</v>
      </c>
      <c r="H50" s="277">
        <v>1</v>
      </c>
      <c r="I50" s="277">
        <v>1</v>
      </c>
      <c r="J50" s="277">
        <v>2</v>
      </c>
      <c r="K50" s="277">
        <v>1</v>
      </c>
      <c r="L50" s="277">
        <v>2</v>
      </c>
      <c r="M50" s="277">
        <v>0</v>
      </c>
      <c r="N50" s="277">
        <v>1</v>
      </c>
      <c r="O50" s="277">
        <v>0</v>
      </c>
      <c r="P50" s="276">
        <f>AVERAGE(G50:O50)</f>
        <v>1</v>
      </c>
      <c r="Q50" s="298"/>
    </row>
    <row r="51" spans="1:17" ht="21.6" customHeight="1" thickTop="1" thickBot="1" x14ac:dyDescent="0.25">
      <c r="A51" s="11" t="s">
        <v>39</v>
      </c>
      <c r="B51" s="262">
        <v>4</v>
      </c>
      <c r="C51" s="89" t="s">
        <v>45</v>
      </c>
      <c r="D51" s="93" t="s">
        <v>41</v>
      </c>
      <c r="E51" s="11" t="s">
        <v>39</v>
      </c>
      <c r="F51" s="262">
        <v>4</v>
      </c>
      <c r="G51" s="279">
        <v>1</v>
      </c>
      <c r="H51" s="279">
        <v>0</v>
      </c>
      <c r="I51" s="279">
        <v>0</v>
      </c>
      <c r="J51" s="279">
        <v>1</v>
      </c>
      <c r="K51" s="279">
        <v>1</v>
      </c>
      <c r="L51" s="279">
        <v>1</v>
      </c>
      <c r="M51" s="279">
        <v>2</v>
      </c>
      <c r="N51" s="279">
        <v>1</v>
      </c>
      <c r="O51" s="279">
        <v>1</v>
      </c>
      <c r="P51" s="276">
        <f>AVERAGE(G51:O51)</f>
        <v>0.88888888888888884</v>
      </c>
      <c r="Q51" s="298"/>
    </row>
    <row r="52" spans="1:17" ht="21.6" customHeight="1" thickTop="1" thickBot="1" x14ac:dyDescent="0.25">
      <c r="A52" s="259" t="s">
        <v>39</v>
      </c>
      <c r="B52" s="258">
        <v>3</v>
      </c>
      <c r="C52" s="89" t="s">
        <v>46</v>
      </c>
      <c r="D52" s="93" t="s">
        <v>41</v>
      </c>
      <c r="E52" s="259" t="s">
        <v>39</v>
      </c>
      <c r="F52" s="258">
        <v>3</v>
      </c>
      <c r="G52" s="278">
        <v>3</v>
      </c>
      <c r="H52" s="278">
        <v>2</v>
      </c>
      <c r="I52" s="278">
        <v>2</v>
      </c>
      <c r="J52" s="278">
        <v>3</v>
      </c>
      <c r="K52" s="278">
        <v>2</v>
      </c>
      <c r="L52" s="278">
        <v>1</v>
      </c>
      <c r="M52" s="278">
        <v>3</v>
      </c>
      <c r="N52" s="278">
        <v>3</v>
      </c>
      <c r="O52" s="278">
        <v>2</v>
      </c>
      <c r="P52" s="276">
        <f>AVERAGE(G52:O52)</f>
        <v>2.3333333333333335</v>
      </c>
      <c r="Q52" s="298"/>
    </row>
    <row r="53" spans="1:17" ht="21.6" customHeight="1" thickTop="1" thickBot="1" x14ac:dyDescent="0.25">
      <c r="A53" s="259" t="s">
        <v>39</v>
      </c>
      <c r="B53" s="258">
        <v>2</v>
      </c>
      <c r="C53" s="89" t="s">
        <v>48</v>
      </c>
      <c r="D53" s="93" t="s">
        <v>41</v>
      </c>
      <c r="E53" s="259" t="s">
        <v>39</v>
      </c>
      <c r="F53" s="258">
        <v>2</v>
      </c>
      <c r="G53" s="278">
        <v>2</v>
      </c>
      <c r="H53" s="278">
        <v>2</v>
      </c>
      <c r="I53" s="278">
        <v>1</v>
      </c>
      <c r="J53" s="278">
        <v>1</v>
      </c>
      <c r="K53" s="278">
        <v>2</v>
      </c>
      <c r="L53" s="278">
        <v>1</v>
      </c>
      <c r="M53" s="278">
        <v>2</v>
      </c>
      <c r="N53" s="278">
        <v>1</v>
      </c>
      <c r="O53" s="278">
        <v>1</v>
      </c>
      <c r="P53" s="276">
        <f>AVERAGE(G53:O53)</f>
        <v>1.4444444444444444</v>
      </c>
      <c r="Q53" s="298"/>
    </row>
    <row r="54" spans="1:17" ht="21.6" customHeight="1" thickTop="1" thickBot="1" x14ac:dyDescent="0.25">
      <c r="A54" s="255" t="s">
        <v>39</v>
      </c>
      <c r="B54" s="254">
        <v>1</v>
      </c>
      <c r="C54" s="89" t="s">
        <v>44</v>
      </c>
      <c r="D54" s="93" t="s">
        <v>41</v>
      </c>
      <c r="E54" s="255" t="s">
        <v>39</v>
      </c>
      <c r="F54" s="254">
        <v>1</v>
      </c>
      <c r="G54" s="277">
        <v>2</v>
      </c>
      <c r="H54" s="277">
        <v>1</v>
      </c>
      <c r="I54" s="277">
        <v>1</v>
      </c>
      <c r="J54" s="277">
        <v>1</v>
      </c>
      <c r="K54" s="277">
        <v>1</v>
      </c>
      <c r="L54" s="277">
        <v>1</v>
      </c>
      <c r="M54" s="277">
        <v>0</v>
      </c>
      <c r="N54" s="277">
        <v>1</v>
      </c>
      <c r="O54" s="277">
        <v>0</v>
      </c>
      <c r="P54" s="276">
        <f>AVERAGE(G54:O54)</f>
        <v>0.88888888888888884</v>
      </c>
      <c r="Q54" s="298"/>
    </row>
    <row r="55" spans="1:17" x14ac:dyDescent="0.2">
      <c r="C55" s="291"/>
      <c r="D55" s="291"/>
    </row>
    <row r="56" spans="1:17" x14ac:dyDescent="0.2">
      <c r="C56" s="291"/>
      <c r="D56" s="291"/>
    </row>
    <row r="57" spans="1:17" x14ac:dyDescent="0.2">
      <c r="C57" s="291"/>
      <c r="D57" s="291"/>
    </row>
    <row r="58" spans="1:17" x14ac:dyDescent="0.2">
      <c r="C58" s="291"/>
      <c r="D58" s="291"/>
    </row>
    <row r="59" spans="1:17" x14ac:dyDescent="0.2">
      <c r="C59" s="291"/>
      <c r="D59" s="291"/>
    </row>
    <row r="60" spans="1:17" x14ac:dyDescent="0.2">
      <c r="C60" s="291"/>
      <c r="D60" s="291"/>
    </row>
    <row r="61" spans="1:17" x14ac:dyDescent="0.2">
      <c r="C61" s="291"/>
      <c r="D61" s="291"/>
    </row>
    <row r="62" spans="1:17" x14ac:dyDescent="0.2">
      <c r="C62" s="291"/>
      <c r="D62" s="291"/>
    </row>
    <row r="63" spans="1:17" x14ac:dyDescent="0.2">
      <c r="C63" s="291"/>
      <c r="D63" s="291"/>
    </row>
    <row r="64" spans="1:17"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3">
    <mergeCell ref="C4:I4"/>
    <mergeCell ref="E6:F6"/>
    <mergeCell ref="A6:B6"/>
  </mergeCells>
  <conditionalFormatting sqref="C7:C150">
    <cfRule type="containsText" dxfId="11" priority="1" operator="containsText" text="AQC-N">
      <formula>NOT(ISERROR(SEARCH("AQC-N",C7)))</formula>
    </cfRule>
    <cfRule type="containsText" dxfId="10" priority="2" operator="containsText" text="AQC">
      <formula>NOT(ISERROR(SEARCH("AQC",C7)))</formula>
    </cfRule>
    <cfRule type="containsText" dxfId="9" priority="3" operator="containsText" text="FAO-N">
      <formula>NOT(ISERROR(SEARCH("FAO-N",C7)))</formula>
    </cfRule>
    <cfRule type="containsText" dxfId="8" priority="4" operator="containsText" text="CSM-N">
      <formula>NOT(ISERROR(SEARCH("CSM-N",C7)))</formula>
    </cfRule>
    <cfRule type="containsText" dxfId="7" priority="5" operator="containsText" text="CSM">
      <formula>NOT(ISERROR(SEARCH("CSM",C7)))</formula>
    </cfRule>
    <cfRule type="containsText" dxfId="6" priority="6" operator="containsText" text="FAO">
      <formula>NOT(ISERROR(SEARCH("FAO",C7)))</formula>
    </cfRule>
  </conditionalFormatting>
  <pageMargins left="0.45" right="0.45" top="0.5" bottom="0.5" header="0" footer="0"/>
  <pageSetup scale="93" fitToHeight="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54A1-D756-4AB5-85D2-651FE6B7799B}">
  <dimension ref="A1:Q150"/>
  <sheetViews>
    <sheetView topLeftCell="D24" zoomScaleNormal="100" zoomScaleSheetLayoutView="100" workbookViewId="0">
      <selection activeCell="P7" sqref="P7:P54"/>
    </sheetView>
  </sheetViews>
  <sheetFormatPr defaultRowHeight="12.75" x14ac:dyDescent="0.2"/>
  <cols>
    <col min="1" max="2" width="5.7109375" customWidth="1"/>
    <col min="4" max="4" width="7.28515625" customWidth="1"/>
    <col min="5" max="5" width="4.7109375" style="1" customWidth="1"/>
    <col min="6" max="6" width="2.7109375" style="2" customWidth="1"/>
    <col min="7" max="15" width="12.7109375" customWidth="1"/>
    <col min="17" max="17" width="9.140625" style="296"/>
  </cols>
  <sheetData>
    <row r="1" spans="1:17" ht="15.75" x14ac:dyDescent="0.25">
      <c r="B1" s="6">
        <v>2022</v>
      </c>
      <c r="C1" s="8" t="s">
        <v>24</v>
      </c>
      <c r="D1" s="2"/>
      <c r="E1" s="8" t="s">
        <v>6</v>
      </c>
      <c r="F1"/>
      <c r="G1" s="4" t="s">
        <v>8</v>
      </c>
      <c r="H1" s="289">
        <v>44812</v>
      </c>
      <c r="I1" s="288"/>
      <c r="J1" s="288"/>
      <c r="K1" s="288"/>
      <c r="L1" s="288"/>
    </row>
    <row r="2" spans="1:17" ht="6.6" customHeight="1" x14ac:dyDescent="0.25">
      <c r="B2" s="6"/>
      <c r="C2" s="7"/>
      <c r="D2" s="8"/>
      <c r="E2"/>
      <c r="F2"/>
      <c r="G2" s="4"/>
      <c r="H2" s="4"/>
    </row>
    <row r="3" spans="1:17" x14ac:dyDescent="0.2">
      <c r="C3" s="5" t="s">
        <v>357</v>
      </c>
      <c r="D3" s="2"/>
      <c r="E3"/>
      <c r="F3"/>
      <c r="G3" s="4" t="s">
        <v>13</v>
      </c>
      <c r="H3" s="4" t="s">
        <v>51</v>
      </c>
    </row>
    <row r="4" spans="1:17" ht="33" customHeight="1" x14ac:dyDescent="0.2">
      <c r="C4" s="273" t="s">
        <v>356</v>
      </c>
      <c r="D4" s="287"/>
      <c r="E4" s="287"/>
      <c r="F4" s="287"/>
      <c r="G4" s="287"/>
      <c r="H4" s="287"/>
      <c r="I4" s="287"/>
      <c r="J4" s="286"/>
      <c r="K4" s="287" t="s">
        <v>359</v>
      </c>
      <c r="L4" s="287"/>
      <c r="M4" s="287"/>
    </row>
    <row r="5" spans="1:17" ht="15" customHeight="1" x14ac:dyDescent="0.2">
      <c r="E5" s="5"/>
      <c r="G5" s="271"/>
      <c r="H5" s="271"/>
      <c r="I5" s="271"/>
      <c r="J5" s="271"/>
      <c r="K5" s="271"/>
      <c r="L5" s="271"/>
      <c r="M5" s="271"/>
      <c r="N5" s="271"/>
      <c r="O5" s="3"/>
    </row>
    <row r="6" spans="1:17" ht="21.6" customHeight="1" thickBot="1" x14ac:dyDescent="0.25">
      <c r="A6" s="117" t="s">
        <v>7</v>
      </c>
      <c r="B6" s="117"/>
      <c r="C6" s="92" t="s">
        <v>23</v>
      </c>
      <c r="D6" s="92" t="s">
        <v>40</v>
      </c>
      <c r="E6" s="117" t="s">
        <v>7</v>
      </c>
      <c r="F6" s="117"/>
      <c r="G6" s="283" t="s">
        <v>29</v>
      </c>
      <c r="H6" s="283" t="s">
        <v>29</v>
      </c>
      <c r="I6" s="283" t="s">
        <v>29</v>
      </c>
      <c r="J6" s="283" t="s">
        <v>29</v>
      </c>
      <c r="K6" s="283" t="s">
        <v>29</v>
      </c>
      <c r="L6" s="283" t="s">
        <v>29</v>
      </c>
      <c r="M6" s="283" t="s">
        <v>29</v>
      </c>
      <c r="N6" s="283" t="s">
        <v>29</v>
      </c>
      <c r="O6" s="283" t="s">
        <v>29</v>
      </c>
      <c r="P6" s="282" t="s">
        <v>355</v>
      </c>
    </row>
    <row r="7" spans="1:17" ht="21.6" customHeight="1" thickTop="1" thickBot="1" x14ac:dyDescent="0.25">
      <c r="A7" s="11" t="s">
        <v>0</v>
      </c>
      <c r="B7" s="14">
        <v>1</v>
      </c>
      <c r="C7" s="89" t="s">
        <v>42</v>
      </c>
      <c r="D7" s="93" t="s">
        <v>41</v>
      </c>
      <c r="E7" s="11" t="s">
        <v>0</v>
      </c>
      <c r="F7" s="14">
        <v>1</v>
      </c>
      <c r="G7" s="279">
        <v>0</v>
      </c>
      <c r="H7" s="279">
        <v>0</v>
      </c>
      <c r="I7" s="279">
        <v>1</v>
      </c>
      <c r="J7" s="279">
        <v>1</v>
      </c>
      <c r="K7" s="279">
        <v>1</v>
      </c>
      <c r="L7" s="279">
        <v>1</v>
      </c>
      <c r="M7" s="279">
        <v>1</v>
      </c>
      <c r="N7" s="279">
        <v>0</v>
      </c>
      <c r="O7" s="279">
        <v>1</v>
      </c>
      <c r="P7" s="276">
        <f>AVERAGE(G7:O7)</f>
        <v>0.66666666666666663</v>
      </c>
      <c r="Q7" s="297"/>
    </row>
    <row r="8" spans="1:17" ht="21.6" customHeight="1" thickTop="1" thickBot="1" x14ac:dyDescent="0.25">
      <c r="A8" s="259" t="s">
        <v>0</v>
      </c>
      <c r="B8" s="281">
        <v>2</v>
      </c>
      <c r="C8" s="89" t="s">
        <v>44</v>
      </c>
      <c r="D8" s="93" t="s">
        <v>41</v>
      </c>
      <c r="E8" s="259" t="s">
        <v>0</v>
      </c>
      <c r="F8" s="281">
        <v>2</v>
      </c>
      <c r="G8" s="278">
        <v>0</v>
      </c>
      <c r="H8" s="278">
        <v>0</v>
      </c>
      <c r="I8" s="278">
        <v>0</v>
      </c>
      <c r="J8" s="278">
        <v>0</v>
      </c>
      <c r="K8" s="278">
        <v>0</v>
      </c>
      <c r="L8" s="278">
        <v>1</v>
      </c>
      <c r="M8" s="278">
        <v>0</v>
      </c>
      <c r="N8" s="278">
        <v>0</v>
      </c>
      <c r="O8" s="278">
        <v>0</v>
      </c>
      <c r="P8" s="276">
        <f>AVERAGE(G8:O8)</f>
        <v>0.1111111111111111</v>
      </c>
      <c r="Q8" s="297"/>
    </row>
    <row r="9" spans="1:17" ht="21.6" customHeight="1" thickTop="1" thickBot="1" x14ac:dyDescent="0.25">
      <c r="A9" s="259" t="s">
        <v>0</v>
      </c>
      <c r="B9" s="281">
        <v>3</v>
      </c>
      <c r="C9" s="89" t="s">
        <v>45</v>
      </c>
      <c r="D9" s="93" t="s">
        <v>41</v>
      </c>
      <c r="E9" s="259" t="s">
        <v>0</v>
      </c>
      <c r="F9" s="281">
        <v>3</v>
      </c>
      <c r="G9" s="278">
        <v>0</v>
      </c>
      <c r="H9" s="300" t="s">
        <v>58</v>
      </c>
      <c r="I9" s="300" t="s">
        <v>58</v>
      </c>
      <c r="J9" s="300" t="s">
        <v>58</v>
      </c>
      <c r="K9" s="300" t="s">
        <v>58</v>
      </c>
      <c r="L9" s="300" t="s">
        <v>58</v>
      </c>
      <c r="M9" s="300" t="s">
        <v>58</v>
      </c>
      <c r="N9" s="300" t="s">
        <v>58</v>
      </c>
      <c r="O9" s="300" t="s">
        <v>58</v>
      </c>
      <c r="P9" s="276">
        <f>AVERAGE(G9:O9)</f>
        <v>0</v>
      </c>
      <c r="Q9" s="297"/>
    </row>
    <row r="10" spans="1:17" ht="21.6" customHeight="1" thickTop="1" thickBot="1" x14ac:dyDescent="0.25">
      <c r="A10" s="255" t="s">
        <v>0</v>
      </c>
      <c r="B10" s="280">
        <v>4</v>
      </c>
      <c r="C10" s="89" t="s">
        <v>46</v>
      </c>
      <c r="D10" s="93" t="s">
        <v>41</v>
      </c>
      <c r="E10" s="255" t="s">
        <v>0</v>
      </c>
      <c r="F10" s="280">
        <v>4</v>
      </c>
      <c r="G10" s="277">
        <v>1</v>
      </c>
      <c r="H10" s="277">
        <v>2</v>
      </c>
      <c r="I10" s="277">
        <v>1</v>
      </c>
      <c r="J10" s="277">
        <v>0</v>
      </c>
      <c r="K10" s="277">
        <v>1</v>
      </c>
      <c r="L10" s="277">
        <v>2</v>
      </c>
      <c r="M10" s="277">
        <v>1</v>
      </c>
      <c r="N10" s="277">
        <v>2</v>
      </c>
      <c r="O10" s="277">
        <v>2</v>
      </c>
      <c r="P10" s="276">
        <f>AVERAGE(G10:O10)</f>
        <v>1.3333333333333333</v>
      </c>
      <c r="Q10" s="297"/>
    </row>
    <row r="11" spans="1:17" ht="21.6" customHeight="1" thickTop="1" thickBot="1" x14ac:dyDescent="0.25">
      <c r="A11" s="11" t="s">
        <v>1</v>
      </c>
      <c r="B11" s="14">
        <v>4</v>
      </c>
      <c r="C11" s="89" t="s">
        <v>46</v>
      </c>
      <c r="D11" s="96" t="s">
        <v>43</v>
      </c>
      <c r="E11" s="11" t="s">
        <v>1</v>
      </c>
      <c r="F11" s="14">
        <v>4</v>
      </c>
      <c r="G11" s="279">
        <v>1</v>
      </c>
      <c r="H11" s="279">
        <v>1</v>
      </c>
      <c r="I11" s="279">
        <v>1</v>
      </c>
      <c r="J11" s="279">
        <v>0</v>
      </c>
      <c r="K11" s="279">
        <v>1</v>
      </c>
      <c r="L11" s="279">
        <v>0</v>
      </c>
      <c r="M11" s="279">
        <v>1</v>
      </c>
      <c r="N11" s="279">
        <v>1</v>
      </c>
      <c r="O11" s="279">
        <v>1</v>
      </c>
      <c r="P11" s="276">
        <f>AVERAGE(G11:O11)</f>
        <v>0.77777777777777779</v>
      </c>
      <c r="Q11" s="297"/>
    </row>
    <row r="12" spans="1:17" ht="21.6" customHeight="1" thickTop="1" thickBot="1" x14ac:dyDescent="0.25">
      <c r="A12" s="259" t="s">
        <v>1</v>
      </c>
      <c r="B12" s="281">
        <v>3</v>
      </c>
      <c r="C12" s="89" t="s">
        <v>45</v>
      </c>
      <c r="D12" s="96" t="s">
        <v>43</v>
      </c>
      <c r="E12" s="259" t="s">
        <v>1</v>
      </c>
      <c r="F12" s="281">
        <v>3</v>
      </c>
      <c r="G12" s="278">
        <v>0</v>
      </c>
      <c r="H12" s="278">
        <v>0</v>
      </c>
      <c r="I12" s="278">
        <v>1</v>
      </c>
      <c r="J12" s="278">
        <v>1</v>
      </c>
      <c r="K12" s="278">
        <v>0</v>
      </c>
      <c r="L12" s="300" t="s">
        <v>58</v>
      </c>
      <c r="M12" s="300" t="s">
        <v>58</v>
      </c>
      <c r="N12" s="300" t="s">
        <v>58</v>
      </c>
      <c r="O12" s="300" t="s">
        <v>58</v>
      </c>
      <c r="P12" s="276">
        <f>AVERAGE(G12:O12)</f>
        <v>0.4</v>
      </c>
      <c r="Q12" s="297"/>
    </row>
    <row r="13" spans="1:17" ht="21.6" customHeight="1" thickTop="1" thickBot="1" x14ac:dyDescent="0.25">
      <c r="A13" s="259" t="s">
        <v>1</v>
      </c>
      <c r="B13" s="281">
        <v>2</v>
      </c>
      <c r="C13" s="89" t="s">
        <v>44</v>
      </c>
      <c r="D13" s="96" t="s">
        <v>43</v>
      </c>
      <c r="E13" s="259" t="s">
        <v>1</v>
      </c>
      <c r="F13" s="281">
        <v>2</v>
      </c>
      <c r="G13" s="278">
        <v>0</v>
      </c>
      <c r="H13" s="278">
        <v>0</v>
      </c>
      <c r="I13" s="278">
        <v>1</v>
      </c>
      <c r="J13" s="278">
        <v>1</v>
      </c>
      <c r="K13" s="278">
        <v>1</v>
      </c>
      <c r="L13" s="278">
        <v>1</v>
      </c>
      <c r="M13" s="278">
        <v>1</v>
      </c>
      <c r="N13" s="278">
        <v>1</v>
      </c>
      <c r="O13" s="278">
        <v>1</v>
      </c>
      <c r="P13" s="276">
        <f>AVERAGE(G13:O13)</f>
        <v>0.77777777777777779</v>
      </c>
      <c r="Q13" s="297"/>
    </row>
    <row r="14" spans="1:17" ht="21.6" customHeight="1" thickTop="1" thickBot="1" x14ac:dyDescent="0.25">
      <c r="A14" s="255" t="s">
        <v>1</v>
      </c>
      <c r="B14" s="280">
        <v>1</v>
      </c>
      <c r="C14" s="89" t="s">
        <v>42</v>
      </c>
      <c r="D14" s="96" t="s">
        <v>43</v>
      </c>
      <c r="E14" s="255" t="s">
        <v>1</v>
      </c>
      <c r="F14" s="280">
        <v>1</v>
      </c>
      <c r="G14" s="277">
        <v>1</v>
      </c>
      <c r="H14" s="277">
        <v>1</v>
      </c>
      <c r="I14" s="277">
        <v>1</v>
      </c>
      <c r="J14" s="277">
        <v>1</v>
      </c>
      <c r="K14" s="277">
        <v>2</v>
      </c>
      <c r="L14" s="277">
        <v>2</v>
      </c>
      <c r="M14" s="277">
        <v>1</v>
      </c>
      <c r="N14" s="277">
        <v>1</v>
      </c>
      <c r="O14" s="277">
        <v>2</v>
      </c>
      <c r="P14" s="276">
        <f>AVERAGE(G14:O14)</f>
        <v>1.3333333333333333</v>
      </c>
      <c r="Q14" s="297"/>
    </row>
    <row r="15" spans="1:17" ht="21.6" customHeight="1" thickTop="1" thickBot="1" x14ac:dyDescent="0.25">
      <c r="A15" s="11" t="s">
        <v>2</v>
      </c>
      <c r="B15" s="14">
        <v>1</v>
      </c>
      <c r="C15" s="89" t="s">
        <v>46</v>
      </c>
      <c r="D15" s="93" t="s">
        <v>41</v>
      </c>
      <c r="E15" s="11" t="s">
        <v>2</v>
      </c>
      <c r="F15" s="14">
        <v>1</v>
      </c>
      <c r="G15" s="279">
        <v>1</v>
      </c>
      <c r="H15" s="279">
        <v>1</v>
      </c>
      <c r="I15" s="279">
        <v>2</v>
      </c>
      <c r="J15" s="279">
        <v>1</v>
      </c>
      <c r="K15" s="279">
        <v>1</v>
      </c>
      <c r="L15" s="279">
        <v>2</v>
      </c>
      <c r="M15" s="279">
        <v>2</v>
      </c>
      <c r="N15" s="279">
        <v>2</v>
      </c>
      <c r="O15" s="279">
        <v>2</v>
      </c>
      <c r="P15" s="276">
        <f>AVERAGE(G15:O15)</f>
        <v>1.5555555555555556</v>
      </c>
      <c r="Q15" s="297"/>
    </row>
    <row r="16" spans="1:17" ht="21.6" customHeight="1" thickTop="1" thickBot="1" x14ac:dyDescent="0.25">
      <c r="A16" s="259" t="s">
        <v>2</v>
      </c>
      <c r="B16" s="281">
        <v>2</v>
      </c>
      <c r="C16" s="89" t="s">
        <v>47</v>
      </c>
      <c r="D16" s="93" t="s">
        <v>41</v>
      </c>
      <c r="E16" s="259" t="s">
        <v>2</v>
      </c>
      <c r="F16" s="281">
        <v>2</v>
      </c>
      <c r="G16" s="278">
        <v>2</v>
      </c>
      <c r="H16" s="278">
        <v>1</v>
      </c>
      <c r="I16" s="278">
        <v>1</v>
      </c>
      <c r="J16" s="278">
        <v>2</v>
      </c>
      <c r="K16" s="278">
        <v>1</v>
      </c>
      <c r="L16" s="278">
        <v>2</v>
      </c>
      <c r="M16" s="278">
        <v>2</v>
      </c>
      <c r="N16" s="278">
        <v>1</v>
      </c>
      <c r="O16" s="278">
        <v>1</v>
      </c>
      <c r="P16" s="276">
        <f>AVERAGE(G16:O16)</f>
        <v>1.4444444444444444</v>
      </c>
      <c r="Q16" s="297"/>
    </row>
    <row r="17" spans="1:17" ht="21.6" customHeight="1" thickTop="1" thickBot="1" x14ac:dyDescent="0.25">
      <c r="A17" s="259" t="s">
        <v>2</v>
      </c>
      <c r="B17" s="281">
        <v>3</v>
      </c>
      <c r="C17" s="89" t="s">
        <v>48</v>
      </c>
      <c r="D17" s="93" t="s">
        <v>41</v>
      </c>
      <c r="E17" s="259" t="s">
        <v>2</v>
      </c>
      <c r="F17" s="281">
        <v>3</v>
      </c>
      <c r="G17" s="278">
        <v>1</v>
      </c>
      <c r="H17" s="278">
        <v>1</v>
      </c>
      <c r="I17" s="278">
        <v>0</v>
      </c>
      <c r="J17" s="278">
        <v>0</v>
      </c>
      <c r="K17" s="278">
        <v>1</v>
      </c>
      <c r="L17" s="278">
        <v>1</v>
      </c>
      <c r="M17" s="278">
        <v>1</v>
      </c>
      <c r="N17" s="278">
        <v>0</v>
      </c>
      <c r="O17" s="278">
        <v>0</v>
      </c>
      <c r="P17" s="276">
        <f>AVERAGE(G17:O17)</f>
        <v>0.55555555555555558</v>
      </c>
      <c r="Q17" s="297"/>
    </row>
    <row r="18" spans="1:17" ht="21.6" customHeight="1" thickTop="1" thickBot="1" x14ac:dyDescent="0.25">
      <c r="A18" s="255" t="s">
        <v>2</v>
      </c>
      <c r="B18" s="280">
        <v>4</v>
      </c>
      <c r="C18" s="89" t="s">
        <v>42</v>
      </c>
      <c r="D18" s="93" t="s">
        <v>41</v>
      </c>
      <c r="E18" s="255" t="s">
        <v>2</v>
      </c>
      <c r="F18" s="280">
        <v>4</v>
      </c>
      <c r="G18" s="277">
        <v>2</v>
      </c>
      <c r="H18" s="277">
        <v>1</v>
      </c>
      <c r="I18" s="277">
        <v>2</v>
      </c>
      <c r="J18" s="277">
        <v>1</v>
      </c>
      <c r="K18" s="277">
        <v>1</v>
      </c>
      <c r="L18" s="277">
        <v>2</v>
      </c>
      <c r="M18" s="277">
        <v>2</v>
      </c>
      <c r="N18" s="277">
        <v>2</v>
      </c>
      <c r="O18" s="277">
        <v>1</v>
      </c>
      <c r="P18" s="276">
        <f>AVERAGE(G18:O18)</f>
        <v>1.5555555555555556</v>
      </c>
      <c r="Q18" s="297"/>
    </row>
    <row r="19" spans="1:17" ht="21.6" customHeight="1" thickTop="1" thickBot="1" x14ac:dyDescent="0.25">
      <c r="A19" s="11" t="s">
        <v>3</v>
      </c>
      <c r="B19" s="14">
        <v>4</v>
      </c>
      <c r="C19" s="89" t="s">
        <v>42</v>
      </c>
      <c r="D19" s="96" t="s">
        <v>43</v>
      </c>
      <c r="E19" s="11" t="s">
        <v>3</v>
      </c>
      <c r="F19" s="14">
        <v>4</v>
      </c>
      <c r="G19" s="279">
        <v>1</v>
      </c>
      <c r="H19" s="279">
        <v>2</v>
      </c>
      <c r="I19" s="279">
        <v>2</v>
      </c>
      <c r="J19" s="279">
        <v>2</v>
      </c>
      <c r="K19" s="279">
        <v>2</v>
      </c>
      <c r="L19" s="279">
        <v>2</v>
      </c>
      <c r="M19" s="279">
        <v>1</v>
      </c>
      <c r="N19" s="279">
        <v>2</v>
      </c>
      <c r="O19" s="279">
        <v>1</v>
      </c>
      <c r="P19" s="276">
        <f>AVERAGE(G19:O19)</f>
        <v>1.6666666666666667</v>
      </c>
      <c r="Q19" s="297"/>
    </row>
    <row r="20" spans="1:17" ht="21.6" customHeight="1" thickTop="1" thickBot="1" x14ac:dyDescent="0.25">
      <c r="A20" s="259" t="s">
        <v>3</v>
      </c>
      <c r="B20" s="281">
        <v>3</v>
      </c>
      <c r="C20" s="89" t="s">
        <v>48</v>
      </c>
      <c r="D20" s="96" t="s">
        <v>43</v>
      </c>
      <c r="E20" s="259" t="s">
        <v>3</v>
      </c>
      <c r="F20" s="281">
        <v>3</v>
      </c>
      <c r="G20" s="278">
        <v>0</v>
      </c>
      <c r="H20" s="278">
        <v>0</v>
      </c>
      <c r="I20" s="278">
        <v>1</v>
      </c>
      <c r="J20" s="278">
        <v>1</v>
      </c>
      <c r="K20" s="278">
        <v>1</v>
      </c>
      <c r="L20" s="278">
        <v>0</v>
      </c>
      <c r="M20" s="278">
        <v>1</v>
      </c>
      <c r="N20" s="278">
        <v>1</v>
      </c>
      <c r="O20" s="278">
        <v>1</v>
      </c>
      <c r="P20" s="276">
        <f>AVERAGE(G20:O20)</f>
        <v>0.66666666666666663</v>
      </c>
      <c r="Q20" s="297"/>
    </row>
    <row r="21" spans="1:17" ht="21.6" customHeight="1" thickTop="1" thickBot="1" x14ac:dyDescent="0.25">
      <c r="A21" s="259" t="s">
        <v>3</v>
      </c>
      <c r="B21" s="281">
        <v>2</v>
      </c>
      <c r="C21" s="89" t="s">
        <v>47</v>
      </c>
      <c r="D21" s="96" t="s">
        <v>43</v>
      </c>
      <c r="E21" s="259" t="s">
        <v>3</v>
      </c>
      <c r="F21" s="281">
        <v>2</v>
      </c>
      <c r="G21" s="278">
        <v>0</v>
      </c>
      <c r="H21" s="278">
        <v>0</v>
      </c>
      <c r="I21" s="278">
        <v>1</v>
      </c>
      <c r="J21" s="278">
        <v>0</v>
      </c>
      <c r="K21" s="278">
        <v>1</v>
      </c>
      <c r="L21" s="278">
        <v>1</v>
      </c>
      <c r="M21" s="278">
        <v>1</v>
      </c>
      <c r="N21" s="278">
        <v>0</v>
      </c>
      <c r="O21" s="278">
        <v>1</v>
      </c>
      <c r="P21" s="276">
        <f>AVERAGE(G21:O21)</f>
        <v>0.55555555555555558</v>
      </c>
      <c r="Q21" s="297"/>
    </row>
    <row r="22" spans="1:17" ht="21.6" customHeight="1" thickTop="1" thickBot="1" x14ac:dyDescent="0.25">
      <c r="A22" s="255" t="s">
        <v>3</v>
      </c>
      <c r="B22" s="280">
        <v>1</v>
      </c>
      <c r="C22" s="89" t="s">
        <v>46</v>
      </c>
      <c r="D22" s="96" t="s">
        <v>43</v>
      </c>
      <c r="E22" s="255" t="s">
        <v>3</v>
      </c>
      <c r="F22" s="280">
        <v>1</v>
      </c>
      <c r="G22" s="277">
        <v>1</v>
      </c>
      <c r="H22" s="277">
        <v>1</v>
      </c>
      <c r="I22" s="277">
        <v>1</v>
      </c>
      <c r="J22" s="277">
        <v>2</v>
      </c>
      <c r="K22" s="277">
        <v>1</v>
      </c>
      <c r="L22" s="277">
        <v>1</v>
      </c>
      <c r="M22" s="277">
        <v>2</v>
      </c>
      <c r="N22" s="277">
        <v>1</v>
      </c>
      <c r="O22" s="277">
        <v>1</v>
      </c>
      <c r="P22" s="276">
        <f>AVERAGE(G22:O22)</f>
        <v>1.2222222222222223</v>
      </c>
      <c r="Q22" s="297"/>
    </row>
    <row r="23" spans="1:17" ht="21.6" customHeight="1" thickTop="1" thickBot="1" x14ac:dyDescent="0.25">
      <c r="A23" s="11" t="s">
        <v>4</v>
      </c>
      <c r="B23" s="14">
        <v>1</v>
      </c>
      <c r="C23" s="89" t="s">
        <v>48</v>
      </c>
      <c r="D23" s="96" t="s">
        <v>43</v>
      </c>
      <c r="E23" s="11" t="s">
        <v>4</v>
      </c>
      <c r="F23" s="14">
        <v>1</v>
      </c>
      <c r="G23" s="279">
        <v>2</v>
      </c>
      <c r="H23" s="279">
        <v>1</v>
      </c>
      <c r="I23" s="279">
        <v>2</v>
      </c>
      <c r="J23" s="279">
        <v>2</v>
      </c>
      <c r="K23" s="279">
        <v>2</v>
      </c>
      <c r="L23" s="279">
        <v>3</v>
      </c>
      <c r="M23" s="279">
        <v>2</v>
      </c>
      <c r="N23" s="279">
        <v>1</v>
      </c>
      <c r="O23" s="279">
        <v>2</v>
      </c>
      <c r="P23" s="276">
        <f>AVERAGE(G23:O23)</f>
        <v>1.8888888888888888</v>
      </c>
      <c r="Q23" s="298"/>
    </row>
    <row r="24" spans="1:17" ht="21.6" customHeight="1" thickTop="1" thickBot="1" x14ac:dyDescent="0.25">
      <c r="A24" s="259" t="s">
        <v>4</v>
      </c>
      <c r="B24" s="281">
        <v>2</v>
      </c>
      <c r="C24" s="89" t="s">
        <v>45</v>
      </c>
      <c r="D24" s="96" t="s">
        <v>43</v>
      </c>
      <c r="E24" s="259" t="s">
        <v>4</v>
      </c>
      <c r="F24" s="281">
        <v>2</v>
      </c>
      <c r="G24" s="278">
        <v>1</v>
      </c>
      <c r="H24" s="278">
        <v>0</v>
      </c>
      <c r="I24" s="278">
        <v>0</v>
      </c>
      <c r="J24" s="278">
        <v>1</v>
      </c>
      <c r="K24" s="278">
        <v>2</v>
      </c>
      <c r="L24" s="278">
        <v>1</v>
      </c>
      <c r="M24" s="278">
        <v>1</v>
      </c>
      <c r="N24" s="278">
        <v>1</v>
      </c>
      <c r="O24" s="278">
        <v>1</v>
      </c>
      <c r="P24" s="276">
        <f>AVERAGE(G24:O24)</f>
        <v>0.88888888888888884</v>
      </c>
      <c r="Q24" s="298"/>
    </row>
    <row r="25" spans="1:17" ht="21.6" customHeight="1" thickTop="1" thickBot="1" x14ac:dyDescent="0.25">
      <c r="A25" s="259" t="s">
        <v>4</v>
      </c>
      <c r="B25" s="281">
        <v>3</v>
      </c>
      <c r="C25" s="89" t="s">
        <v>44</v>
      </c>
      <c r="D25" s="96" t="s">
        <v>43</v>
      </c>
      <c r="E25" s="259" t="s">
        <v>4</v>
      </c>
      <c r="F25" s="281">
        <v>3</v>
      </c>
      <c r="G25" s="278">
        <v>2</v>
      </c>
      <c r="H25" s="278">
        <v>1</v>
      </c>
      <c r="I25" s="278">
        <v>1</v>
      </c>
      <c r="J25" s="278">
        <v>1</v>
      </c>
      <c r="K25" s="278">
        <v>1</v>
      </c>
      <c r="L25" s="278">
        <v>0</v>
      </c>
      <c r="M25" s="278">
        <v>1</v>
      </c>
      <c r="N25" s="278">
        <v>0</v>
      </c>
      <c r="O25" s="278">
        <v>1</v>
      </c>
      <c r="P25" s="276">
        <f>AVERAGE(G25:O25)</f>
        <v>0.88888888888888884</v>
      </c>
      <c r="Q25" s="298"/>
    </row>
    <row r="26" spans="1:17" ht="21.6" customHeight="1" thickTop="1" thickBot="1" x14ac:dyDescent="0.25">
      <c r="A26" s="255" t="s">
        <v>4</v>
      </c>
      <c r="B26" s="280">
        <v>4</v>
      </c>
      <c r="C26" s="89" t="s">
        <v>47</v>
      </c>
      <c r="D26" s="96" t="s">
        <v>43</v>
      </c>
      <c r="E26" s="255" t="s">
        <v>4</v>
      </c>
      <c r="F26" s="280">
        <v>4</v>
      </c>
      <c r="G26" s="277">
        <v>2</v>
      </c>
      <c r="H26" s="277">
        <v>1</v>
      </c>
      <c r="I26" s="277">
        <v>2</v>
      </c>
      <c r="J26" s="277">
        <v>3</v>
      </c>
      <c r="K26" s="277">
        <v>2</v>
      </c>
      <c r="L26" s="277">
        <v>2</v>
      </c>
      <c r="M26" s="277">
        <v>1</v>
      </c>
      <c r="N26" s="277">
        <v>2</v>
      </c>
      <c r="O26" s="277">
        <v>0</v>
      </c>
      <c r="P26" s="276">
        <f>AVERAGE(G26:O26)</f>
        <v>1.6666666666666667</v>
      </c>
      <c r="Q26" s="298"/>
    </row>
    <row r="27" spans="1:17" ht="21.6" customHeight="1" thickTop="1" thickBot="1" x14ac:dyDescent="0.25">
      <c r="A27" s="11" t="s">
        <v>5</v>
      </c>
      <c r="B27" s="14">
        <v>4</v>
      </c>
      <c r="C27" s="89" t="s">
        <v>47</v>
      </c>
      <c r="D27" s="93" t="s">
        <v>41</v>
      </c>
      <c r="E27" s="11" t="s">
        <v>5</v>
      </c>
      <c r="F27" s="14">
        <v>4</v>
      </c>
      <c r="G27" s="279">
        <v>1</v>
      </c>
      <c r="H27" s="279">
        <v>0</v>
      </c>
      <c r="I27" s="279">
        <v>0</v>
      </c>
      <c r="J27" s="279">
        <v>0</v>
      </c>
      <c r="K27" s="279">
        <v>2</v>
      </c>
      <c r="L27" s="279">
        <v>2</v>
      </c>
      <c r="M27" s="279">
        <v>0</v>
      </c>
      <c r="N27" s="301" t="s">
        <v>58</v>
      </c>
      <c r="O27" s="301" t="s">
        <v>58</v>
      </c>
      <c r="P27" s="276">
        <f>AVERAGE(G27:O27)</f>
        <v>0.7142857142857143</v>
      </c>
      <c r="Q27" s="298"/>
    </row>
    <row r="28" spans="1:17" ht="21.6" customHeight="1" thickTop="1" thickBot="1" x14ac:dyDescent="0.25">
      <c r="A28" s="259" t="s">
        <v>5</v>
      </c>
      <c r="B28" s="281">
        <v>3</v>
      </c>
      <c r="C28" s="89" t="s">
        <v>44</v>
      </c>
      <c r="D28" s="93" t="s">
        <v>41</v>
      </c>
      <c r="E28" s="259" t="s">
        <v>5</v>
      </c>
      <c r="F28" s="281">
        <v>3</v>
      </c>
      <c r="G28" s="278">
        <v>0</v>
      </c>
      <c r="H28" s="278">
        <v>0</v>
      </c>
      <c r="I28" s="278">
        <v>1</v>
      </c>
      <c r="J28" s="278">
        <v>1</v>
      </c>
      <c r="K28" s="278">
        <v>0</v>
      </c>
      <c r="L28" s="278">
        <v>0</v>
      </c>
      <c r="M28" s="300" t="s">
        <v>58</v>
      </c>
      <c r="N28" s="300" t="s">
        <v>58</v>
      </c>
      <c r="O28" s="300" t="s">
        <v>58</v>
      </c>
      <c r="P28" s="276">
        <f>AVERAGE(G28:O28)</f>
        <v>0.33333333333333331</v>
      </c>
      <c r="Q28" s="298"/>
    </row>
    <row r="29" spans="1:17" ht="21.6" customHeight="1" thickTop="1" thickBot="1" x14ac:dyDescent="0.25">
      <c r="A29" s="259" t="s">
        <v>5</v>
      </c>
      <c r="B29" s="281">
        <v>2</v>
      </c>
      <c r="C29" s="89" t="s">
        <v>45</v>
      </c>
      <c r="D29" s="93" t="s">
        <v>41</v>
      </c>
      <c r="E29" s="259" t="s">
        <v>5</v>
      </c>
      <c r="F29" s="281">
        <v>2</v>
      </c>
      <c r="G29" s="278">
        <v>0</v>
      </c>
      <c r="H29" s="278">
        <v>1</v>
      </c>
      <c r="I29" s="278">
        <v>1</v>
      </c>
      <c r="J29" s="278">
        <v>0</v>
      </c>
      <c r="K29" s="278">
        <v>1</v>
      </c>
      <c r="L29" s="300" t="s">
        <v>58</v>
      </c>
      <c r="M29" s="300" t="s">
        <v>58</v>
      </c>
      <c r="N29" s="300" t="s">
        <v>58</v>
      </c>
      <c r="O29" s="300" t="s">
        <v>58</v>
      </c>
      <c r="P29" s="276">
        <f>AVERAGE(G29:O29)</f>
        <v>0.6</v>
      </c>
      <c r="Q29" s="298"/>
    </row>
    <row r="30" spans="1:17" ht="21.6" customHeight="1" thickTop="1" thickBot="1" x14ac:dyDescent="0.25">
      <c r="A30" s="255" t="s">
        <v>5</v>
      </c>
      <c r="B30" s="280">
        <v>1</v>
      </c>
      <c r="C30" s="89" t="s">
        <v>48</v>
      </c>
      <c r="D30" s="93" t="s">
        <v>41</v>
      </c>
      <c r="E30" s="255" t="s">
        <v>5</v>
      </c>
      <c r="F30" s="280">
        <v>1</v>
      </c>
      <c r="G30" s="277">
        <v>1</v>
      </c>
      <c r="H30" s="277">
        <v>2</v>
      </c>
      <c r="I30" s="277">
        <v>0</v>
      </c>
      <c r="J30" s="277">
        <v>1</v>
      </c>
      <c r="K30" s="277">
        <v>1</v>
      </c>
      <c r="L30" s="277">
        <v>0</v>
      </c>
      <c r="M30" s="277">
        <v>1</v>
      </c>
      <c r="N30" s="277">
        <v>1</v>
      </c>
      <c r="O30" s="277">
        <v>1</v>
      </c>
      <c r="P30" s="276">
        <f>AVERAGE(G30:O30)</f>
        <v>0.88888888888888884</v>
      </c>
      <c r="Q30" s="298"/>
    </row>
    <row r="31" spans="1:17" ht="21.6" customHeight="1" thickTop="1" thickBot="1" x14ac:dyDescent="0.25">
      <c r="A31" s="11" t="s">
        <v>34</v>
      </c>
      <c r="B31" s="262">
        <v>1</v>
      </c>
      <c r="C31" s="89" t="s">
        <v>47</v>
      </c>
      <c r="D31" s="96" t="s">
        <v>43</v>
      </c>
      <c r="E31" s="11" t="s">
        <v>34</v>
      </c>
      <c r="F31" s="262">
        <v>1</v>
      </c>
      <c r="G31" s="279">
        <v>0</v>
      </c>
      <c r="H31" s="279">
        <v>1</v>
      </c>
      <c r="I31" s="279">
        <v>1</v>
      </c>
      <c r="J31" s="279">
        <v>1</v>
      </c>
      <c r="K31" s="279">
        <v>1</v>
      </c>
      <c r="L31" s="279">
        <v>1</v>
      </c>
      <c r="M31" s="279">
        <v>1</v>
      </c>
      <c r="N31" s="279">
        <v>0</v>
      </c>
      <c r="O31" s="301" t="s">
        <v>58</v>
      </c>
      <c r="P31" s="276">
        <f>AVERAGE(G31:O31)</f>
        <v>0.75</v>
      </c>
      <c r="Q31" s="298"/>
    </row>
    <row r="32" spans="1:17" ht="21.6" customHeight="1" thickTop="1" thickBot="1" x14ac:dyDescent="0.25">
      <c r="A32" s="259" t="s">
        <v>34</v>
      </c>
      <c r="B32" s="258">
        <v>2</v>
      </c>
      <c r="C32" s="89" t="s">
        <v>46</v>
      </c>
      <c r="D32" s="96" t="s">
        <v>43</v>
      </c>
      <c r="E32" s="259" t="s">
        <v>34</v>
      </c>
      <c r="F32" s="258">
        <v>2</v>
      </c>
      <c r="G32" s="278">
        <v>1</v>
      </c>
      <c r="H32" s="278">
        <v>2</v>
      </c>
      <c r="I32" s="278">
        <v>2</v>
      </c>
      <c r="J32" s="278">
        <v>1</v>
      </c>
      <c r="K32" s="278">
        <v>2</v>
      </c>
      <c r="L32" s="278">
        <v>1</v>
      </c>
      <c r="M32" s="278">
        <v>0</v>
      </c>
      <c r="N32" s="278">
        <v>2</v>
      </c>
      <c r="O32" s="278">
        <v>2</v>
      </c>
      <c r="P32" s="276">
        <f>AVERAGE(G32:O32)</f>
        <v>1.4444444444444444</v>
      </c>
      <c r="Q32" s="298"/>
    </row>
    <row r="33" spans="1:17" ht="21.6" customHeight="1" thickTop="1" thickBot="1" x14ac:dyDescent="0.25">
      <c r="A33" s="259" t="s">
        <v>34</v>
      </c>
      <c r="B33" s="258">
        <v>3</v>
      </c>
      <c r="C33" s="89" t="s">
        <v>42</v>
      </c>
      <c r="D33" s="96" t="s">
        <v>43</v>
      </c>
      <c r="E33" s="259" t="s">
        <v>34</v>
      </c>
      <c r="F33" s="258">
        <v>3</v>
      </c>
      <c r="G33" s="278">
        <v>2</v>
      </c>
      <c r="H33" s="278">
        <v>2</v>
      </c>
      <c r="I33" s="278">
        <v>1</v>
      </c>
      <c r="J33" s="278">
        <v>1</v>
      </c>
      <c r="K33" s="278">
        <v>1</v>
      </c>
      <c r="L33" s="278">
        <v>2</v>
      </c>
      <c r="M33" s="278">
        <v>1</v>
      </c>
      <c r="N33" s="278">
        <v>1</v>
      </c>
      <c r="O33" s="278">
        <v>1</v>
      </c>
      <c r="P33" s="276">
        <f>AVERAGE(G33:O33)</f>
        <v>1.3333333333333333</v>
      </c>
      <c r="Q33" s="298"/>
    </row>
    <row r="34" spans="1:17" ht="21.6" customHeight="1" thickTop="1" thickBot="1" x14ac:dyDescent="0.25">
      <c r="A34" s="255" t="s">
        <v>34</v>
      </c>
      <c r="B34" s="254">
        <v>4</v>
      </c>
      <c r="C34" s="89" t="s">
        <v>48</v>
      </c>
      <c r="D34" s="96" t="s">
        <v>43</v>
      </c>
      <c r="E34" s="255" t="s">
        <v>34</v>
      </c>
      <c r="F34" s="254">
        <v>4</v>
      </c>
      <c r="G34" s="277">
        <v>1</v>
      </c>
      <c r="H34" s="277">
        <v>0</v>
      </c>
      <c r="I34" s="277">
        <v>2</v>
      </c>
      <c r="J34" s="277">
        <v>1</v>
      </c>
      <c r="K34" s="277">
        <v>1</v>
      </c>
      <c r="L34" s="277">
        <v>1</v>
      </c>
      <c r="M34" s="277">
        <v>0</v>
      </c>
      <c r="N34" s="277">
        <v>1</v>
      </c>
      <c r="O34" s="277">
        <v>0</v>
      </c>
      <c r="P34" s="276">
        <f>AVERAGE(G34:O34)</f>
        <v>0.77777777777777779</v>
      </c>
      <c r="Q34" s="298"/>
    </row>
    <row r="35" spans="1:17" ht="21.6" customHeight="1" thickTop="1" thickBot="1" x14ac:dyDescent="0.25">
      <c r="A35" s="11" t="s">
        <v>35</v>
      </c>
      <c r="B35" s="262">
        <v>4</v>
      </c>
      <c r="C35" s="89" t="s">
        <v>48</v>
      </c>
      <c r="D35" s="93" t="s">
        <v>41</v>
      </c>
      <c r="E35" s="11" t="s">
        <v>35</v>
      </c>
      <c r="F35" s="262">
        <v>4</v>
      </c>
      <c r="G35" s="279">
        <v>1</v>
      </c>
      <c r="H35" s="279">
        <v>0</v>
      </c>
      <c r="I35" s="279">
        <v>1</v>
      </c>
      <c r="J35" s="279">
        <v>1</v>
      </c>
      <c r="K35" s="279">
        <v>1</v>
      </c>
      <c r="L35" s="279">
        <v>0</v>
      </c>
      <c r="M35" s="279">
        <v>1</v>
      </c>
      <c r="N35" s="301" t="s">
        <v>58</v>
      </c>
      <c r="O35" s="301" t="s">
        <v>58</v>
      </c>
      <c r="P35" s="276">
        <f>AVERAGE(G35:O35)</f>
        <v>0.7142857142857143</v>
      </c>
      <c r="Q35" s="298"/>
    </row>
    <row r="36" spans="1:17" ht="21.6" customHeight="1" thickTop="1" thickBot="1" x14ac:dyDescent="0.25">
      <c r="A36" s="259" t="s">
        <v>35</v>
      </c>
      <c r="B36" s="258">
        <v>3</v>
      </c>
      <c r="C36" s="89" t="s">
        <v>42</v>
      </c>
      <c r="D36" s="93" t="s">
        <v>41</v>
      </c>
      <c r="E36" s="259" t="s">
        <v>35</v>
      </c>
      <c r="F36" s="258">
        <v>3</v>
      </c>
      <c r="G36" s="278">
        <v>2</v>
      </c>
      <c r="H36" s="278">
        <v>1</v>
      </c>
      <c r="I36" s="278">
        <v>2</v>
      </c>
      <c r="J36" s="278">
        <v>1</v>
      </c>
      <c r="K36" s="278">
        <v>1</v>
      </c>
      <c r="L36" s="278">
        <v>1</v>
      </c>
      <c r="M36" s="278">
        <v>2</v>
      </c>
      <c r="N36" s="278">
        <v>1</v>
      </c>
      <c r="O36" s="278">
        <v>1</v>
      </c>
      <c r="P36" s="276">
        <f>AVERAGE(G36:O36)</f>
        <v>1.3333333333333333</v>
      </c>
      <c r="Q36" s="298"/>
    </row>
    <row r="37" spans="1:17" ht="21.6" customHeight="1" thickTop="1" thickBot="1" x14ac:dyDescent="0.25">
      <c r="A37" s="259" t="s">
        <v>35</v>
      </c>
      <c r="B37" s="258">
        <v>2</v>
      </c>
      <c r="C37" s="89" t="s">
        <v>46</v>
      </c>
      <c r="D37" s="93" t="s">
        <v>41</v>
      </c>
      <c r="E37" s="259" t="s">
        <v>35</v>
      </c>
      <c r="F37" s="258">
        <v>2</v>
      </c>
      <c r="G37" s="278">
        <v>1</v>
      </c>
      <c r="H37" s="278">
        <v>1</v>
      </c>
      <c r="I37" s="278">
        <v>0</v>
      </c>
      <c r="J37" s="278">
        <v>0</v>
      </c>
      <c r="K37" s="278">
        <v>1</v>
      </c>
      <c r="L37" s="278">
        <v>0</v>
      </c>
      <c r="M37" s="300" t="s">
        <v>58</v>
      </c>
      <c r="N37" s="300" t="s">
        <v>58</v>
      </c>
      <c r="O37" s="300" t="s">
        <v>58</v>
      </c>
      <c r="P37" s="276">
        <f>AVERAGE(G37:O37)</f>
        <v>0.5</v>
      </c>
      <c r="Q37" s="298"/>
    </row>
    <row r="38" spans="1:17" ht="21.6" customHeight="1" thickTop="1" thickBot="1" x14ac:dyDescent="0.25">
      <c r="A38" s="255" t="s">
        <v>35</v>
      </c>
      <c r="B38" s="254">
        <v>1</v>
      </c>
      <c r="C38" s="89" t="s">
        <v>47</v>
      </c>
      <c r="D38" s="93" t="s">
        <v>41</v>
      </c>
      <c r="E38" s="255" t="s">
        <v>35</v>
      </c>
      <c r="F38" s="254">
        <v>1</v>
      </c>
      <c r="G38" s="277">
        <v>2</v>
      </c>
      <c r="H38" s="277">
        <v>1</v>
      </c>
      <c r="I38" s="277">
        <v>1</v>
      </c>
      <c r="J38" s="277">
        <v>1</v>
      </c>
      <c r="K38" s="277">
        <v>1</v>
      </c>
      <c r="L38" s="277">
        <v>2</v>
      </c>
      <c r="M38" s="277">
        <v>1</v>
      </c>
      <c r="N38" s="277">
        <v>0</v>
      </c>
      <c r="O38" s="277">
        <v>1</v>
      </c>
      <c r="P38" s="276">
        <f>AVERAGE(G38:O38)</f>
        <v>1.1111111111111112</v>
      </c>
      <c r="Q38" s="298"/>
    </row>
    <row r="39" spans="1:17" ht="21.6" customHeight="1" thickTop="1" thickBot="1" x14ac:dyDescent="0.25">
      <c r="A39" s="11" t="s">
        <v>36</v>
      </c>
      <c r="B39" s="262">
        <v>1</v>
      </c>
      <c r="C39" s="89" t="s">
        <v>45</v>
      </c>
      <c r="D39" s="93" t="s">
        <v>41</v>
      </c>
      <c r="E39" s="11" t="s">
        <v>36</v>
      </c>
      <c r="F39" s="262">
        <v>1</v>
      </c>
      <c r="G39" s="279">
        <v>1</v>
      </c>
      <c r="H39" s="279">
        <v>0</v>
      </c>
      <c r="I39" s="279">
        <v>0</v>
      </c>
      <c r="J39" s="279">
        <v>1</v>
      </c>
      <c r="K39" s="279">
        <v>1</v>
      </c>
      <c r="L39" s="301" t="s">
        <v>58</v>
      </c>
      <c r="M39" s="301" t="s">
        <v>58</v>
      </c>
      <c r="N39" s="301" t="s">
        <v>58</v>
      </c>
      <c r="O39" s="301" t="s">
        <v>58</v>
      </c>
      <c r="P39" s="276">
        <f>AVERAGE(G39:O39)</f>
        <v>0.6</v>
      </c>
      <c r="Q39" s="298"/>
    </row>
    <row r="40" spans="1:17" ht="21.6" customHeight="1" thickTop="1" thickBot="1" x14ac:dyDescent="0.25">
      <c r="A40" s="259" t="s">
        <v>36</v>
      </c>
      <c r="B40" s="258">
        <v>2</v>
      </c>
      <c r="C40" s="89" t="s">
        <v>42</v>
      </c>
      <c r="D40" s="93" t="s">
        <v>41</v>
      </c>
      <c r="E40" s="259" t="s">
        <v>36</v>
      </c>
      <c r="F40" s="258">
        <v>2</v>
      </c>
      <c r="G40" s="278">
        <v>2</v>
      </c>
      <c r="H40" s="278">
        <v>2</v>
      </c>
      <c r="I40" s="278">
        <v>1</v>
      </c>
      <c r="J40" s="278">
        <v>1</v>
      </c>
      <c r="K40" s="278">
        <v>1</v>
      </c>
      <c r="L40" s="278">
        <v>0</v>
      </c>
      <c r="M40" s="278">
        <v>1</v>
      </c>
      <c r="N40" s="278">
        <v>1</v>
      </c>
      <c r="O40" s="278">
        <v>1</v>
      </c>
      <c r="P40" s="276">
        <f>AVERAGE(G40:O40)</f>
        <v>1.1111111111111112</v>
      </c>
      <c r="Q40" s="298"/>
    </row>
    <row r="41" spans="1:17" ht="21.6" customHeight="1" thickTop="1" thickBot="1" x14ac:dyDescent="0.25">
      <c r="A41" s="259" t="s">
        <v>36</v>
      </c>
      <c r="B41" s="258">
        <v>3</v>
      </c>
      <c r="C41" s="89" t="s">
        <v>47</v>
      </c>
      <c r="D41" s="93" t="s">
        <v>41</v>
      </c>
      <c r="E41" s="259" t="s">
        <v>36</v>
      </c>
      <c r="F41" s="258">
        <v>3</v>
      </c>
      <c r="G41" s="278">
        <v>1</v>
      </c>
      <c r="H41" s="278">
        <v>0</v>
      </c>
      <c r="I41" s="278">
        <v>1</v>
      </c>
      <c r="J41" s="278">
        <v>0</v>
      </c>
      <c r="K41" s="278">
        <v>1</v>
      </c>
      <c r="L41" s="278">
        <v>1</v>
      </c>
      <c r="M41" s="278">
        <v>1</v>
      </c>
      <c r="N41" s="300" t="s">
        <v>58</v>
      </c>
      <c r="O41" s="300" t="s">
        <v>58</v>
      </c>
      <c r="P41" s="276">
        <f>AVERAGE(G41:O41)</f>
        <v>0.7142857142857143</v>
      </c>
      <c r="Q41" s="298"/>
    </row>
    <row r="42" spans="1:17" ht="21.6" customHeight="1" thickTop="1" thickBot="1" x14ac:dyDescent="0.25">
      <c r="A42" s="255" t="s">
        <v>36</v>
      </c>
      <c r="B42" s="254">
        <v>4</v>
      </c>
      <c r="C42" s="89" t="s">
        <v>44</v>
      </c>
      <c r="D42" s="93" t="s">
        <v>41</v>
      </c>
      <c r="E42" s="255" t="s">
        <v>36</v>
      </c>
      <c r="F42" s="254">
        <v>4</v>
      </c>
      <c r="G42" s="277">
        <v>1</v>
      </c>
      <c r="H42" s="277">
        <v>1</v>
      </c>
      <c r="I42" s="277">
        <v>0</v>
      </c>
      <c r="J42" s="277">
        <v>0</v>
      </c>
      <c r="K42" s="277">
        <v>1</v>
      </c>
      <c r="L42" s="277">
        <v>1</v>
      </c>
      <c r="M42" s="277">
        <v>0</v>
      </c>
      <c r="N42" s="299" t="s">
        <v>58</v>
      </c>
      <c r="O42" s="299" t="s">
        <v>58</v>
      </c>
      <c r="P42" s="276">
        <f>AVERAGE(G42:O42)</f>
        <v>0.5714285714285714</v>
      </c>
      <c r="Q42" s="298"/>
    </row>
    <row r="43" spans="1:17" ht="21.6" customHeight="1" thickTop="1" thickBot="1" x14ac:dyDescent="0.25">
      <c r="A43" s="11" t="s">
        <v>37</v>
      </c>
      <c r="B43" s="262">
        <v>4</v>
      </c>
      <c r="C43" s="89" t="s">
        <v>44</v>
      </c>
      <c r="D43" s="96" t="s">
        <v>43</v>
      </c>
      <c r="E43" s="11" t="s">
        <v>37</v>
      </c>
      <c r="F43" s="262">
        <v>4</v>
      </c>
      <c r="G43" s="279">
        <v>0</v>
      </c>
      <c r="H43" s="279">
        <v>0</v>
      </c>
      <c r="I43" s="279">
        <v>0</v>
      </c>
      <c r="J43" s="279">
        <v>1</v>
      </c>
      <c r="K43" s="279">
        <v>1</v>
      </c>
      <c r="L43" s="279">
        <v>0</v>
      </c>
      <c r="M43" s="301" t="s">
        <v>58</v>
      </c>
      <c r="N43" s="301" t="s">
        <v>58</v>
      </c>
      <c r="O43" s="301" t="s">
        <v>58</v>
      </c>
      <c r="P43" s="276">
        <f>AVERAGE(G43:O43)</f>
        <v>0.33333333333333331</v>
      </c>
      <c r="Q43" s="298"/>
    </row>
    <row r="44" spans="1:17" ht="21.6" customHeight="1" thickTop="1" thickBot="1" x14ac:dyDescent="0.25">
      <c r="A44" s="259" t="s">
        <v>37</v>
      </c>
      <c r="B44" s="258">
        <v>3</v>
      </c>
      <c r="C44" s="89" t="s">
        <v>47</v>
      </c>
      <c r="D44" s="96" t="s">
        <v>43</v>
      </c>
      <c r="E44" s="259" t="s">
        <v>37</v>
      </c>
      <c r="F44" s="258">
        <v>3</v>
      </c>
      <c r="G44" s="278">
        <v>1</v>
      </c>
      <c r="H44" s="278">
        <v>0</v>
      </c>
      <c r="I44" s="278">
        <v>1</v>
      </c>
      <c r="J44" s="278">
        <v>1</v>
      </c>
      <c r="K44" s="278">
        <v>0</v>
      </c>
      <c r="L44" s="278">
        <v>1</v>
      </c>
      <c r="M44" s="278">
        <v>0</v>
      </c>
      <c r="N44" s="278">
        <v>0</v>
      </c>
      <c r="O44" s="300" t="s">
        <v>58</v>
      </c>
      <c r="P44" s="276">
        <f>AVERAGE(G44:O44)</f>
        <v>0.5</v>
      </c>
      <c r="Q44" s="298"/>
    </row>
    <row r="45" spans="1:17" ht="21.6" customHeight="1" thickTop="1" thickBot="1" x14ac:dyDescent="0.25">
      <c r="A45" s="259" t="s">
        <v>37</v>
      </c>
      <c r="B45" s="258">
        <v>2</v>
      </c>
      <c r="C45" s="89" t="s">
        <v>42</v>
      </c>
      <c r="D45" s="96" t="s">
        <v>43</v>
      </c>
      <c r="E45" s="259" t="s">
        <v>37</v>
      </c>
      <c r="F45" s="258">
        <v>2</v>
      </c>
      <c r="G45" s="278">
        <v>1</v>
      </c>
      <c r="H45" s="278">
        <v>2</v>
      </c>
      <c r="I45" s="278">
        <v>0</v>
      </c>
      <c r="J45" s="278">
        <v>1</v>
      </c>
      <c r="K45" s="278">
        <v>1</v>
      </c>
      <c r="L45" s="278">
        <v>2</v>
      </c>
      <c r="M45" s="278">
        <v>1</v>
      </c>
      <c r="N45" s="278">
        <v>1</v>
      </c>
      <c r="O45" s="278">
        <v>1</v>
      </c>
      <c r="P45" s="276">
        <f>AVERAGE(G45:O45)</f>
        <v>1.1111111111111112</v>
      </c>
      <c r="Q45" s="298"/>
    </row>
    <row r="46" spans="1:17" ht="21.6" customHeight="1" thickTop="1" thickBot="1" x14ac:dyDescent="0.25">
      <c r="A46" s="255" t="s">
        <v>37</v>
      </c>
      <c r="B46" s="254">
        <v>1</v>
      </c>
      <c r="C46" s="89" t="s">
        <v>45</v>
      </c>
      <c r="D46" s="96" t="s">
        <v>43</v>
      </c>
      <c r="E46" s="255" t="s">
        <v>37</v>
      </c>
      <c r="F46" s="254">
        <v>1</v>
      </c>
      <c r="G46" s="277">
        <v>1</v>
      </c>
      <c r="H46" s="277">
        <v>1</v>
      </c>
      <c r="I46" s="277">
        <v>1</v>
      </c>
      <c r="J46" s="277">
        <v>0</v>
      </c>
      <c r="K46" s="277">
        <v>0</v>
      </c>
      <c r="L46" s="299" t="s">
        <v>58</v>
      </c>
      <c r="M46" s="299" t="s">
        <v>58</v>
      </c>
      <c r="N46" s="299" t="s">
        <v>58</v>
      </c>
      <c r="O46" s="299" t="s">
        <v>58</v>
      </c>
      <c r="P46" s="276">
        <f>AVERAGE(G46:O46)</f>
        <v>0.6</v>
      </c>
      <c r="Q46" s="298"/>
    </row>
    <row r="47" spans="1:17" ht="21.6" customHeight="1" thickTop="1" thickBot="1" x14ac:dyDescent="0.25">
      <c r="A47" s="11" t="s">
        <v>38</v>
      </c>
      <c r="B47" s="262">
        <v>1</v>
      </c>
      <c r="C47" s="89" t="s">
        <v>44</v>
      </c>
      <c r="D47" s="96" t="s">
        <v>43</v>
      </c>
      <c r="E47" s="11" t="s">
        <v>38</v>
      </c>
      <c r="F47" s="262">
        <v>1</v>
      </c>
      <c r="G47" s="279">
        <v>0</v>
      </c>
      <c r="H47" s="279">
        <v>0</v>
      </c>
      <c r="I47" s="279">
        <v>0</v>
      </c>
      <c r="J47" s="279">
        <v>0</v>
      </c>
      <c r="K47" s="279">
        <v>1</v>
      </c>
      <c r="L47" s="279">
        <v>1</v>
      </c>
      <c r="M47" s="301" t="s">
        <v>58</v>
      </c>
      <c r="N47" s="301" t="s">
        <v>58</v>
      </c>
      <c r="O47" s="301" t="s">
        <v>58</v>
      </c>
      <c r="P47" s="276">
        <f>AVERAGE(G47:O47)</f>
        <v>0.33333333333333331</v>
      </c>
      <c r="Q47" s="298"/>
    </row>
    <row r="48" spans="1:17" ht="21.6" customHeight="1" thickTop="1" thickBot="1" x14ac:dyDescent="0.25">
      <c r="A48" s="259" t="s">
        <v>38</v>
      </c>
      <c r="B48" s="258">
        <v>2</v>
      </c>
      <c r="C48" s="89" t="s">
        <v>48</v>
      </c>
      <c r="D48" s="96" t="s">
        <v>43</v>
      </c>
      <c r="E48" s="259" t="s">
        <v>38</v>
      </c>
      <c r="F48" s="258">
        <v>2</v>
      </c>
      <c r="G48" s="278">
        <v>1</v>
      </c>
      <c r="H48" s="278">
        <v>1</v>
      </c>
      <c r="I48" s="278">
        <v>1</v>
      </c>
      <c r="J48" s="278">
        <v>1</v>
      </c>
      <c r="K48" s="278">
        <v>1</v>
      </c>
      <c r="L48" s="278">
        <v>1</v>
      </c>
      <c r="M48" s="278">
        <v>0</v>
      </c>
      <c r="N48" s="278">
        <v>1</v>
      </c>
      <c r="O48" s="278">
        <v>1</v>
      </c>
      <c r="P48" s="276">
        <f>AVERAGE(G48:O48)</f>
        <v>0.88888888888888884</v>
      </c>
      <c r="Q48" s="298"/>
    </row>
    <row r="49" spans="1:17" ht="21.6" customHeight="1" thickTop="1" thickBot="1" x14ac:dyDescent="0.25">
      <c r="A49" s="259" t="s">
        <v>38</v>
      </c>
      <c r="B49" s="258">
        <v>3</v>
      </c>
      <c r="C49" s="89" t="s">
        <v>46</v>
      </c>
      <c r="D49" s="96" t="s">
        <v>43</v>
      </c>
      <c r="E49" s="259" t="s">
        <v>38</v>
      </c>
      <c r="F49" s="258">
        <v>3</v>
      </c>
      <c r="G49" s="278">
        <v>1</v>
      </c>
      <c r="H49" s="278">
        <v>1</v>
      </c>
      <c r="I49" s="278">
        <v>1</v>
      </c>
      <c r="J49" s="278">
        <v>2</v>
      </c>
      <c r="K49" s="278">
        <v>1</v>
      </c>
      <c r="L49" s="278">
        <v>1</v>
      </c>
      <c r="M49" s="278">
        <v>1</v>
      </c>
      <c r="N49" s="278">
        <v>1</v>
      </c>
      <c r="O49" s="278">
        <v>1</v>
      </c>
      <c r="P49" s="276">
        <f>AVERAGE(G49:O49)</f>
        <v>1.1111111111111112</v>
      </c>
      <c r="Q49" s="298"/>
    </row>
    <row r="50" spans="1:17" ht="21.6" customHeight="1" thickTop="1" thickBot="1" x14ac:dyDescent="0.25">
      <c r="A50" s="255" t="s">
        <v>38</v>
      </c>
      <c r="B50" s="254">
        <v>4</v>
      </c>
      <c r="C50" s="89" t="s">
        <v>45</v>
      </c>
      <c r="D50" s="96" t="s">
        <v>43</v>
      </c>
      <c r="E50" s="255" t="s">
        <v>38</v>
      </c>
      <c r="F50" s="254">
        <v>4</v>
      </c>
      <c r="G50" s="277">
        <v>1</v>
      </c>
      <c r="H50" s="277">
        <v>0</v>
      </c>
      <c r="I50" s="277">
        <v>0</v>
      </c>
      <c r="J50" s="277">
        <v>1</v>
      </c>
      <c r="K50" s="277">
        <v>1</v>
      </c>
      <c r="L50" s="277">
        <v>0</v>
      </c>
      <c r="M50" s="277">
        <v>0</v>
      </c>
      <c r="N50" s="277">
        <v>1</v>
      </c>
      <c r="O50" s="299" t="s">
        <v>58</v>
      </c>
      <c r="P50" s="276">
        <f>AVERAGE(G50:O50)</f>
        <v>0.5</v>
      </c>
      <c r="Q50" s="298"/>
    </row>
    <row r="51" spans="1:17" ht="21.6" customHeight="1" thickTop="1" thickBot="1" x14ac:dyDescent="0.25">
      <c r="A51" s="11" t="s">
        <v>39</v>
      </c>
      <c r="B51" s="262">
        <v>4</v>
      </c>
      <c r="C51" s="89" t="s">
        <v>45</v>
      </c>
      <c r="D51" s="93" t="s">
        <v>41</v>
      </c>
      <c r="E51" s="11" t="s">
        <v>39</v>
      </c>
      <c r="F51" s="262">
        <v>4</v>
      </c>
      <c r="G51" s="279">
        <v>0</v>
      </c>
      <c r="H51" s="279">
        <v>1</v>
      </c>
      <c r="I51" s="279">
        <v>0</v>
      </c>
      <c r="J51" s="279">
        <v>1</v>
      </c>
      <c r="K51" s="279">
        <v>1</v>
      </c>
      <c r="L51" s="301" t="s">
        <v>58</v>
      </c>
      <c r="M51" s="301" t="s">
        <v>58</v>
      </c>
      <c r="N51" s="301" t="s">
        <v>58</v>
      </c>
      <c r="O51" s="301" t="s">
        <v>58</v>
      </c>
      <c r="P51" s="276">
        <f>AVERAGE(G51:O51)</f>
        <v>0.6</v>
      </c>
      <c r="Q51" s="298"/>
    </row>
    <row r="52" spans="1:17" ht="21.6" customHeight="1" thickTop="1" thickBot="1" x14ac:dyDescent="0.25">
      <c r="A52" s="259" t="s">
        <v>39</v>
      </c>
      <c r="B52" s="258">
        <v>3</v>
      </c>
      <c r="C52" s="89" t="s">
        <v>46</v>
      </c>
      <c r="D52" s="93" t="s">
        <v>41</v>
      </c>
      <c r="E52" s="259" t="s">
        <v>39</v>
      </c>
      <c r="F52" s="258">
        <v>3</v>
      </c>
      <c r="G52" s="278">
        <v>1</v>
      </c>
      <c r="H52" s="278">
        <v>1</v>
      </c>
      <c r="I52" s="278">
        <v>2</v>
      </c>
      <c r="J52" s="278">
        <v>1</v>
      </c>
      <c r="K52" s="278">
        <v>1</v>
      </c>
      <c r="L52" s="278">
        <v>0</v>
      </c>
      <c r="M52" s="278">
        <v>1</v>
      </c>
      <c r="N52" s="278">
        <v>1</v>
      </c>
      <c r="O52" s="278">
        <v>1</v>
      </c>
      <c r="P52" s="276">
        <f>AVERAGE(G52:O52)</f>
        <v>1</v>
      </c>
      <c r="Q52" s="298"/>
    </row>
    <row r="53" spans="1:17" ht="21.6" customHeight="1" thickTop="1" thickBot="1" x14ac:dyDescent="0.25">
      <c r="A53" s="259" t="s">
        <v>39</v>
      </c>
      <c r="B53" s="258">
        <v>2</v>
      </c>
      <c r="C53" s="89" t="s">
        <v>48</v>
      </c>
      <c r="D53" s="93" t="s">
        <v>41</v>
      </c>
      <c r="E53" s="259" t="s">
        <v>39</v>
      </c>
      <c r="F53" s="258">
        <v>2</v>
      </c>
      <c r="G53" s="278">
        <v>1</v>
      </c>
      <c r="H53" s="278">
        <v>1</v>
      </c>
      <c r="I53" s="278">
        <v>0</v>
      </c>
      <c r="J53" s="278">
        <v>1</v>
      </c>
      <c r="K53" s="278">
        <v>0</v>
      </c>
      <c r="L53" s="278">
        <v>2</v>
      </c>
      <c r="M53" s="278">
        <v>0</v>
      </c>
      <c r="N53" s="278">
        <v>1</v>
      </c>
      <c r="O53" s="300" t="s">
        <v>58</v>
      </c>
      <c r="P53" s="276">
        <f>AVERAGE(G53:O53)</f>
        <v>0.75</v>
      </c>
      <c r="Q53" s="298"/>
    </row>
    <row r="54" spans="1:17" ht="21.6" customHeight="1" thickTop="1" thickBot="1" x14ac:dyDescent="0.25">
      <c r="A54" s="255" t="s">
        <v>39</v>
      </c>
      <c r="B54" s="254">
        <v>1</v>
      </c>
      <c r="C54" s="89" t="s">
        <v>44</v>
      </c>
      <c r="D54" s="93" t="s">
        <v>41</v>
      </c>
      <c r="E54" s="255" t="s">
        <v>39</v>
      </c>
      <c r="F54" s="254">
        <v>1</v>
      </c>
      <c r="G54" s="277">
        <v>1</v>
      </c>
      <c r="H54" s="277">
        <v>0</v>
      </c>
      <c r="I54" s="277">
        <v>0</v>
      </c>
      <c r="J54" s="277">
        <v>0</v>
      </c>
      <c r="K54" s="277">
        <v>1</v>
      </c>
      <c r="L54" s="299" t="s">
        <v>58</v>
      </c>
      <c r="M54" s="299" t="s">
        <v>58</v>
      </c>
      <c r="N54" s="299" t="s">
        <v>58</v>
      </c>
      <c r="O54" s="299" t="s">
        <v>58</v>
      </c>
      <c r="P54" s="276">
        <f>AVERAGE(G54:O54)</f>
        <v>0.4</v>
      </c>
      <c r="Q54" s="298"/>
    </row>
    <row r="55" spans="1:17" x14ac:dyDescent="0.2">
      <c r="C55" s="291"/>
      <c r="D55" s="291"/>
    </row>
    <row r="56" spans="1:17" x14ac:dyDescent="0.2">
      <c r="C56" s="291"/>
      <c r="D56" s="291"/>
    </row>
    <row r="57" spans="1:17" x14ac:dyDescent="0.2">
      <c r="C57" s="291"/>
      <c r="D57" s="291"/>
    </row>
    <row r="58" spans="1:17" x14ac:dyDescent="0.2">
      <c r="C58" s="291"/>
      <c r="D58" s="291"/>
    </row>
    <row r="59" spans="1:17" x14ac:dyDescent="0.2">
      <c r="C59" s="291"/>
      <c r="D59" s="291"/>
    </row>
    <row r="60" spans="1:17" x14ac:dyDescent="0.2">
      <c r="C60" s="291"/>
      <c r="D60" s="291"/>
    </row>
    <row r="61" spans="1:17" x14ac:dyDescent="0.2">
      <c r="C61" s="291"/>
      <c r="D61" s="291"/>
    </row>
    <row r="62" spans="1:17" x14ac:dyDescent="0.2">
      <c r="C62" s="291"/>
      <c r="D62" s="291"/>
    </row>
    <row r="63" spans="1:17" x14ac:dyDescent="0.2">
      <c r="C63" s="291"/>
      <c r="D63" s="291"/>
    </row>
    <row r="64" spans="1:17" x14ac:dyDescent="0.2">
      <c r="C64" s="291"/>
      <c r="D64" s="291"/>
    </row>
    <row r="65" spans="3:4" x14ac:dyDescent="0.2">
      <c r="C65" s="291"/>
      <c r="D65" s="291"/>
    </row>
    <row r="66" spans="3:4" x14ac:dyDescent="0.2">
      <c r="C66" s="291"/>
      <c r="D66" s="291"/>
    </row>
    <row r="67" spans="3:4" x14ac:dyDescent="0.2">
      <c r="C67" s="291"/>
      <c r="D67" s="291"/>
    </row>
    <row r="68" spans="3:4" x14ac:dyDescent="0.2">
      <c r="C68" s="291"/>
      <c r="D68" s="291"/>
    </row>
    <row r="69" spans="3:4" x14ac:dyDescent="0.2">
      <c r="C69" s="291"/>
      <c r="D69" s="291"/>
    </row>
    <row r="70" spans="3:4" x14ac:dyDescent="0.2">
      <c r="C70" s="291"/>
      <c r="D70" s="291"/>
    </row>
    <row r="71" spans="3:4" x14ac:dyDescent="0.2">
      <c r="C71" s="291"/>
      <c r="D71" s="291"/>
    </row>
    <row r="72" spans="3:4" x14ac:dyDescent="0.2">
      <c r="C72" s="291"/>
      <c r="D72" s="291"/>
    </row>
    <row r="73" spans="3:4" x14ac:dyDescent="0.2">
      <c r="C73" s="291"/>
      <c r="D73" s="291"/>
    </row>
    <row r="74" spans="3:4" x14ac:dyDescent="0.2">
      <c r="C74" s="291"/>
      <c r="D74" s="291"/>
    </row>
    <row r="75" spans="3:4" x14ac:dyDescent="0.2">
      <c r="C75" s="291"/>
      <c r="D75" s="291"/>
    </row>
    <row r="76" spans="3:4" x14ac:dyDescent="0.2">
      <c r="C76" s="291"/>
      <c r="D76" s="291"/>
    </row>
    <row r="77" spans="3:4" x14ac:dyDescent="0.2">
      <c r="C77" s="291"/>
      <c r="D77" s="291"/>
    </row>
    <row r="78" spans="3:4" x14ac:dyDescent="0.2">
      <c r="C78" s="291"/>
      <c r="D78" s="291"/>
    </row>
    <row r="79" spans="3:4" x14ac:dyDescent="0.2">
      <c r="C79" s="291"/>
      <c r="D79" s="291"/>
    </row>
    <row r="80" spans="3:4" x14ac:dyDescent="0.2">
      <c r="C80" s="291"/>
      <c r="D80" s="291"/>
    </row>
    <row r="81" spans="3:4" x14ac:dyDescent="0.2">
      <c r="C81" s="291"/>
      <c r="D81" s="291"/>
    </row>
    <row r="82" spans="3:4" x14ac:dyDescent="0.2">
      <c r="C82" s="291"/>
      <c r="D82" s="291"/>
    </row>
    <row r="83" spans="3:4" x14ac:dyDescent="0.2">
      <c r="C83" s="291"/>
      <c r="D83" s="291"/>
    </row>
    <row r="84" spans="3:4" x14ac:dyDescent="0.2">
      <c r="C84" s="291"/>
      <c r="D84" s="291"/>
    </row>
    <row r="85" spans="3:4" x14ac:dyDescent="0.2">
      <c r="C85" s="291"/>
      <c r="D85" s="291"/>
    </row>
    <row r="86" spans="3:4" x14ac:dyDescent="0.2">
      <c r="C86" s="291"/>
      <c r="D86" s="291"/>
    </row>
    <row r="87" spans="3:4" x14ac:dyDescent="0.2">
      <c r="C87" s="291"/>
      <c r="D87" s="291"/>
    </row>
    <row r="88" spans="3:4" x14ac:dyDescent="0.2">
      <c r="C88" s="291"/>
      <c r="D88" s="291"/>
    </row>
    <row r="89" spans="3:4" x14ac:dyDescent="0.2">
      <c r="C89" s="291"/>
      <c r="D89" s="291"/>
    </row>
    <row r="90" spans="3:4" x14ac:dyDescent="0.2">
      <c r="C90" s="291"/>
      <c r="D90" s="291"/>
    </row>
    <row r="91" spans="3:4" x14ac:dyDescent="0.2">
      <c r="C91" s="291"/>
      <c r="D91" s="291"/>
    </row>
    <row r="92" spans="3:4" x14ac:dyDescent="0.2">
      <c r="C92" s="291"/>
      <c r="D92" s="291"/>
    </row>
    <row r="93" spans="3:4" x14ac:dyDescent="0.2">
      <c r="C93" s="291"/>
      <c r="D93" s="291"/>
    </row>
    <row r="94" spans="3:4" x14ac:dyDescent="0.2">
      <c r="C94" s="291"/>
      <c r="D94" s="291"/>
    </row>
    <row r="95" spans="3:4" x14ac:dyDescent="0.2">
      <c r="C95" s="291"/>
      <c r="D95" s="291"/>
    </row>
    <row r="96" spans="3:4" x14ac:dyDescent="0.2">
      <c r="C96" s="291"/>
      <c r="D96" s="291"/>
    </row>
    <row r="97" spans="3:4" x14ac:dyDescent="0.2">
      <c r="C97" s="291"/>
      <c r="D97" s="291"/>
    </row>
    <row r="98" spans="3:4" x14ac:dyDescent="0.2">
      <c r="C98" s="291"/>
      <c r="D98" s="291"/>
    </row>
    <row r="99" spans="3:4" x14ac:dyDescent="0.2">
      <c r="C99" s="291"/>
      <c r="D99" s="291"/>
    </row>
    <row r="100" spans="3:4" x14ac:dyDescent="0.2">
      <c r="C100" s="291"/>
      <c r="D100" s="291"/>
    </row>
    <row r="101" spans="3:4" x14ac:dyDescent="0.2">
      <c r="C101" s="291"/>
      <c r="D101" s="291"/>
    </row>
    <row r="102" spans="3:4" x14ac:dyDescent="0.2">
      <c r="C102" s="291"/>
      <c r="D102" s="291"/>
    </row>
    <row r="103" spans="3:4" x14ac:dyDescent="0.2">
      <c r="C103" s="291"/>
      <c r="D103" s="291"/>
    </row>
    <row r="104" spans="3:4" x14ac:dyDescent="0.2">
      <c r="C104" s="291"/>
      <c r="D104" s="291"/>
    </row>
    <row r="105" spans="3:4" x14ac:dyDescent="0.2">
      <c r="C105" s="291"/>
      <c r="D105" s="291"/>
    </row>
    <row r="106" spans="3:4" x14ac:dyDescent="0.2">
      <c r="C106" s="291"/>
      <c r="D106" s="291"/>
    </row>
    <row r="107" spans="3:4" x14ac:dyDescent="0.2">
      <c r="C107" s="291"/>
      <c r="D107" s="291"/>
    </row>
    <row r="108" spans="3:4" x14ac:dyDescent="0.2">
      <c r="C108" s="291"/>
      <c r="D108" s="291"/>
    </row>
    <row r="109" spans="3:4" x14ac:dyDescent="0.2">
      <c r="C109" s="291"/>
      <c r="D109" s="291"/>
    </row>
    <row r="110" spans="3:4" x14ac:dyDescent="0.2">
      <c r="C110" s="291"/>
      <c r="D110" s="291"/>
    </row>
    <row r="111" spans="3:4" x14ac:dyDescent="0.2">
      <c r="C111" s="291"/>
      <c r="D111" s="291"/>
    </row>
    <row r="112" spans="3:4" x14ac:dyDescent="0.2">
      <c r="C112" s="291"/>
      <c r="D112" s="291"/>
    </row>
    <row r="113" spans="3:4" x14ac:dyDescent="0.2">
      <c r="C113" s="291"/>
      <c r="D113" s="291"/>
    </row>
    <row r="114" spans="3:4" x14ac:dyDescent="0.2">
      <c r="C114" s="291"/>
      <c r="D114" s="291"/>
    </row>
    <row r="115" spans="3:4" x14ac:dyDescent="0.2">
      <c r="C115" s="291"/>
      <c r="D115" s="291"/>
    </row>
    <row r="116" spans="3:4" x14ac:dyDescent="0.2">
      <c r="C116" s="291"/>
      <c r="D116" s="291"/>
    </row>
    <row r="117" spans="3:4" x14ac:dyDescent="0.2">
      <c r="C117" s="291"/>
      <c r="D117" s="291"/>
    </row>
    <row r="118" spans="3:4" x14ac:dyDescent="0.2">
      <c r="C118" s="291"/>
      <c r="D118" s="291"/>
    </row>
    <row r="119" spans="3:4" x14ac:dyDescent="0.2">
      <c r="C119" s="291"/>
      <c r="D119" s="291"/>
    </row>
    <row r="120" spans="3:4" x14ac:dyDescent="0.2">
      <c r="C120" s="291"/>
      <c r="D120" s="291"/>
    </row>
    <row r="121" spans="3:4" x14ac:dyDescent="0.2">
      <c r="C121" s="291"/>
      <c r="D121" s="291"/>
    </row>
    <row r="122" spans="3:4" x14ac:dyDescent="0.2">
      <c r="C122" s="291"/>
      <c r="D122" s="291"/>
    </row>
    <row r="123" spans="3:4" x14ac:dyDescent="0.2">
      <c r="C123" s="291"/>
      <c r="D123" s="291"/>
    </row>
    <row r="124" spans="3:4" x14ac:dyDescent="0.2">
      <c r="C124" s="291"/>
      <c r="D124" s="291"/>
    </row>
    <row r="125" spans="3:4" x14ac:dyDescent="0.2">
      <c r="C125" s="291"/>
      <c r="D125" s="291"/>
    </row>
    <row r="126" spans="3:4" x14ac:dyDescent="0.2">
      <c r="C126" s="291"/>
      <c r="D126" s="291"/>
    </row>
    <row r="127" spans="3:4" x14ac:dyDescent="0.2">
      <c r="C127" s="291"/>
      <c r="D127" s="291"/>
    </row>
    <row r="128" spans="3:4" x14ac:dyDescent="0.2">
      <c r="C128" s="291"/>
      <c r="D128" s="291"/>
    </row>
    <row r="129" spans="3:4" x14ac:dyDescent="0.2">
      <c r="C129" s="291"/>
      <c r="D129" s="291"/>
    </row>
    <row r="130" spans="3:4" x14ac:dyDescent="0.2">
      <c r="C130" s="291"/>
      <c r="D130" s="291"/>
    </row>
    <row r="131" spans="3:4" x14ac:dyDescent="0.2">
      <c r="C131" s="291"/>
      <c r="D131" s="291"/>
    </row>
    <row r="132" spans="3:4" x14ac:dyDescent="0.2">
      <c r="C132" s="291"/>
      <c r="D132" s="291"/>
    </row>
    <row r="133" spans="3:4" x14ac:dyDescent="0.2">
      <c r="C133" s="291"/>
      <c r="D133" s="291"/>
    </row>
    <row r="134" spans="3:4" x14ac:dyDescent="0.2">
      <c r="C134" s="291"/>
      <c r="D134" s="291"/>
    </row>
    <row r="135" spans="3:4" x14ac:dyDescent="0.2">
      <c r="C135" s="291"/>
      <c r="D135" s="291"/>
    </row>
    <row r="136" spans="3:4" x14ac:dyDescent="0.2">
      <c r="C136" s="291"/>
      <c r="D136" s="291"/>
    </row>
    <row r="137" spans="3:4" x14ac:dyDescent="0.2">
      <c r="C137" s="291"/>
      <c r="D137" s="291"/>
    </row>
    <row r="138" spans="3:4" x14ac:dyDescent="0.2">
      <c r="C138" s="291"/>
      <c r="D138" s="291"/>
    </row>
    <row r="139" spans="3:4" x14ac:dyDescent="0.2">
      <c r="C139" s="291"/>
      <c r="D139" s="291"/>
    </row>
    <row r="140" spans="3:4" x14ac:dyDescent="0.2">
      <c r="C140" s="291"/>
      <c r="D140" s="291"/>
    </row>
    <row r="141" spans="3:4" x14ac:dyDescent="0.2">
      <c r="C141" s="291"/>
      <c r="D141" s="291"/>
    </row>
    <row r="142" spans="3:4" x14ac:dyDescent="0.2">
      <c r="C142" s="291"/>
      <c r="D142" s="291"/>
    </row>
    <row r="143" spans="3:4" x14ac:dyDescent="0.2">
      <c r="C143" s="291"/>
      <c r="D143" s="291"/>
    </row>
    <row r="144" spans="3:4" x14ac:dyDescent="0.2">
      <c r="C144" s="291"/>
      <c r="D144" s="291"/>
    </row>
    <row r="145" spans="3:4" x14ac:dyDescent="0.2">
      <c r="C145" s="291"/>
      <c r="D145" s="291"/>
    </row>
    <row r="146" spans="3:4" x14ac:dyDescent="0.2">
      <c r="C146" s="291"/>
      <c r="D146" s="291"/>
    </row>
    <row r="147" spans="3:4" x14ac:dyDescent="0.2">
      <c r="C147" s="291"/>
      <c r="D147" s="291"/>
    </row>
    <row r="148" spans="3:4" x14ac:dyDescent="0.2">
      <c r="C148" s="291"/>
      <c r="D148" s="291"/>
    </row>
    <row r="149" spans="3:4" x14ac:dyDescent="0.2">
      <c r="C149" s="291"/>
      <c r="D149" s="291"/>
    </row>
    <row r="150" spans="3:4" x14ac:dyDescent="0.2">
      <c r="C150" s="291"/>
      <c r="D150" s="291"/>
    </row>
  </sheetData>
  <mergeCells count="4">
    <mergeCell ref="C4:I4"/>
    <mergeCell ref="E6:F6"/>
    <mergeCell ref="K4:M4"/>
    <mergeCell ref="A6:B6"/>
  </mergeCells>
  <conditionalFormatting sqref="C7:C150">
    <cfRule type="containsText" dxfId="5" priority="1" operator="containsText" text="AQC-N">
      <formula>NOT(ISERROR(SEARCH("AQC-N",C7)))</formula>
    </cfRule>
    <cfRule type="containsText" dxfId="4" priority="2" operator="containsText" text="AQC">
      <formula>NOT(ISERROR(SEARCH("AQC",C7)))</formula>
    </cfRule>
    <cfRule type="containsText" dxfId="3" priority="3" operator="containsText" text="FAO-N">
      <formula>NOT(ISERROR(SEARCH("FAO-N",C7)))</formula>
    </cfRule>
    <cfRule type="containsText" dxfId="2" priority="4" operator="containsText" text="CSM-N">
      <formula>NOT(ISERROR(SEARCH("CSM-N",C7)))</formula>
    </cfRule>
    <cfRule type="containsText" dxfId="1" priority="5" operator="containsText" text="CSM">
      <formula>NOT(ISERROR(SEARCH("CSM",C7)))</formula>
    </cfRule>
    <cfRule type="containsText" dxfId="0" priority="6" operator="containsText" text="FAO">
      <formula>NOT(ISERROR(SEARCH("FAO",C7)))</formula>
    </cfRule>
  </conditionalFormatting>
  <pageMargins left="0.45" right="0.45" top="0.5" bottom="0.5" header="0" footer="0"/>
  <pageSetup scale="93"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23</vt:i4>
      </vt:variant>
    </vt:vector>
  </HeadingPairs>
  <TitlesOfParts>
    <vt:vector size="44" baseType="lpstr">
      <vt:lpstr>Height</vt:lpstr>
      <vt:lpstr>Width</vt:lpstr>
      <vt:lpstr>Density</vt:lpstr>
      <vt:lpstr>Develop</vt:lpstr>
      <vt:lpstr>PlotDevelop</vt:lpstr>
      <vt:lpstr>Ordering</vt:lpstr>
      <vt:lpstr>Blank Data Sheet</vt:lpstr>
      <vt:lpstr>Height Summary</vt:lpstr>
      <vt:lpstr>Cover Summary</vt:lpstr>
      <vt:lpstr>Averages</vt:lpstr>
      <vt:lpstr>Emergence</vt:lpstr>
      <vt:lpstr>Counts1</vt:lpstr>
      <vt:lpstr>Counts2</vt:lpstr>
      <vt:lpstr>NAWFd186</vt:lpstr>
      <vt:lpstr>NAWFd192</vt:lpstr>
      <vt:lpstr>NAWFd206</vt:lpstr>
      <vt:lpstr>NAWFd220</vt:lpstr>
      <vt:lpstr>NAWFd227</vt:lpstr>
      <vt:lpstr>NAWFd234-235</vt:lpstr>
      <vt:lpstr>NAWFd241</vt:lpstr>
      <vt:lpstr>NAWFd251</vt:lpstr>
      <vt:lpstr>'Blank Data Sheet'!Print_Area</vt:lpstr>
      <vt:lpstr>Counts1!Print_Area</vt:lpstr>
      <vt:lpstr>'Cover Summary'!Print_Area</vt:lpstr>
      <vt:lpstr>'Height Summary'!Print_Area</vt:lpstr>
      <vt:lpstr>NAWFd186!Print_Area</vt:lpstr>
      <vt:lpstr>NAWFd192!Print_Area</vt:lpstr>
      <vt:lpstr>NAWFd206!Print_Area</vt:lpstr>
      <vt:lpstr>NAWFd220!Print_Area</vt:lpstr>
      <vt:lpstr>NAWFd227!Print_Area</vt:lpstr>
      <vt:lpstr>NAWFd241!Print_Area</vt:lpstr>
      <vt:lpstr>NAWFd251!Print_Area</vt:lpstr>
      <vt:lpstr>'Blank Data Sheet'!Print_Titles</vt:lpstr>
      <vt:lpstr>Counts1!Print_Titles</vt:lpstr>
      <vt:lpstr>'Cover Summary'!Print_Titles</vt:lpstr>
      <vt:lpstr>Emergence!Print_Titles</vt:lpstr>
      <vt:lpstr>'Height Summary'!Print_Titles</vt:lpstr>
      <vt:lpstr>NAWFd186!Print_Titles</vt:lpstr>
      <vt:lpstr>NAWFd192!Print_Titles</vt:lpstr>
      <vt:lpstr>NAWFd206!Print_Titles</vt:lpstr>
      <vt:lpstr>NAWFd220!Print_Titles</vt:lpstr>
      <vt:lpstr>NAWFd227!Print_Titles</vt:lpstr>
      <vt:lpstr>NAWFd241!Print_Titles</vt:lpstr>
      <vt:lpstr>NAWFd251!Print_Titles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Maneely, Suzette</dc:creator>
  <cp:lastModifiedBy>Reviewer</cp:lastModifiedBy>
  <cp:lastPrinted>2021-05-24T22:05:56Z</cp:lastPrinted>
  <dcterms:created xsi:type="dcterms:W3CDTF">2016-05-31T16:53:28Z</dcterms:created>
  <dcterms:modified xsi:type="dcterms:W3CDTF">2025-04-01T21:41:29Z</dcterms:modified>
</cp:coreProperties>
</file>