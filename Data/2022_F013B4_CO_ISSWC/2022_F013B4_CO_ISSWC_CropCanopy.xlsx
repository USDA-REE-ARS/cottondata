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2_F013B4_CO_ISSWC\"/>
    </mc:Choice>
  </mc:AlternateContent>
  <xr:revisionPtr revIDLastSave="0" documentId="13_ncr:1_{AA2F62FF-D58E-408C-BF5E-4A5CB1329927}" xr6:coauthVersionLast="47" xr6:coauthVersionMax="47" xr10:uidLastSave="{00000000-0000-0000-0000-000000000000}"/>
  <bookViews>
    <workbookView xWindow="-1665" yWindow="-27285" windowWidth="17820" windowHeight="26805" xr2:uid="{00000000-000D-0000-FFFF-FFFF00000000}"/>
  </bookViews>
  <sheets>
    <sheet name="Height" sheetId="9" r:id="rId1"/>
    <sheet name="Width" sheetId="10" r:id="rId2"/>
    <sheet name="Ordering" sheetId="11" r:id="rId3"/>
    <sheet name="Blank Data Sheet" sheetId="1" r:id="rId4"/>
    <sheet name="Height Summary" sheetId="5" r:id="rId5"/>
    <sheet name="Cover Summary" sheetId="7" r:id="rId6"/>
    <sheet name="Averages" sheetId="8" r:id="rId7"/>
  </sheets>
  <definedNames>
    <definedName name="_xlnm.Print_Area" localSheetId="3">'Blank Data Sheet'!$A$1:$J$152</definedName>
    <definedName name="_xlnm.Print_Area" localSheetId="5">'Cover Summary'!$A$1:$K$60</definedName>
    <definedName name="_xlnm.Print_Area" localSheetId="4">'Height Summary'!$A$1:$R$60</definedName>
    <definedName name="_xlnm.Print_Titles" localSheetId="3">'Blank Data Sheet'!$8:$8</definedName>
    <definedName name="_xlnm.Print_Titles" localSheetId="5">'Cover Summary'!$12:$12</definedName>
    <definedName name="_xlnm.Print_Titles" localSheetId="4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" i="11" l="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AF34" i="8"/>
  <c r="AF32" i="8"/>
  <c r="AF30" i="8"/>
  <c r="AF28" i="8"/>
  <c r="AF26" i="8"/>
  <c r="AF24" i="8"/>
  <c r="AF23" i="8"/>
  <c r="AF22" i="8"/>
  <c r="Q34" i="8"/>
  <c r="P34" i="8"/>
  <c r="O34" i="8"/>
  <c r="Q32" i="8"/>
  <c r="P32" i="8"/>
  <c r="O32" i="8"/>
  <c r="Q30" i="8"/>
  <c r="P30" i="8"/>
  <c r="O30" i="8"/>
  <c r="Q28" i="8"/>
  <c r="P28" i="8"/>
  <c r="O28" i="8"/>
  <c r="Q26" i="8"/>
  <c r="P26" i="8"/>
  <c r="O26" i="8"/>
  <c r="Q24" i="8"/>
  <c r="P24" i="8"/>
  <c r="O24" i="8"/>
  <c r="Q23" i="8"/>
  <c r="P23" i="8"/>
  <c r="O23" i="8"/>
  <c r="Q22" i="8"/>
  <c r="P22" i="8"/>
  <c r="O22" i="8"/>
  <c r="Q17" i="8"/>
  <c r="P17" i="8"/>
  <c r="O17" i="8"/>
  <c r="Q15" i="8"/>
  <c r="P15" i="8"/>
  <c r="O15" i="8"/>
  <c r="Q13" i="8"/>
  <c r="P13" i="8"/>
  <c r="O13" i="8"/>
  <c r="Q11" i="8"/>
  <c r="P11" i="8"/>
  <c r="O11" i="8"/>
  <c r="Q9" i="8"/>
  <c r="P9" i="8"/>
  <c r="O9" i="8"/>
  <c r="Q7" i="8"/>
  <c r="P7" i="8"/>
  <c r="O7" i="8"/>
  <c r="Q6" i="8"/>
  <c r="P6" i="8"/>
  <c r="O6" i="8"/>
  <c r="Q5" i="8"/>
  <c r="P5" i="8"/>
  <c r="O5" i="8"/>
  <c r="AC15" i="8"/>
  <c r="AC7" i="8"/>
  <c r="AC13" i="8"/>
  <c r="AC11" i="8"/>
  <c r="AC17" i="8"/>
  <c r="M9" i="7"/>
  <c r="L22" i="8" s="1"/>
  <c r="M10" i="7"/>
  <c r="AA23" i="8" s="1"/>
  <c r="M8" i="7"/>
  <c r="M11" i="7"/>
  <c r="AE34" i="8"/>
  <c r="AD34" i="8"/>
  <c r="AC34" i="8"/>
  <c r="AB34" i="8"/>
  <c r="AA34" i="8"/>
  <c r="Z34" i="8"/>
  <c r="Y34" i="8"/>
  <c r="X34" i="8"/>
  <c r="W34" i="8"/>
  <c r="AE32" i="8"/>
  <c r="AD32" i="8"/>
  <c r="AC32" i="8"/>
  <c r="AB32" i="8"/>
  <c r="AA32" i="8"/>
  <c r="Z32" i="8"/>
  <c r="Y32" i="8"/>
  <c r="X32" i="8"/>
  <c r="W32" i="8"/>
  <c r="AE30" i="8"/>
  <c r="AD30" i="8"/>
  <c r="AC30" i="8"/>
  <c r="AB30" i="8"/>
  <c r="AA30" i="8"/>
  <c r="Z30" i="8"/>
  <c r="Y30" i="8"/>
  <c r="X30" i="8"/>
  <c r="W30" i="8"/>
  <c r="AE28" i="8"/>
  <c r="AD28" i="8"/>
  <c r="AC28" i="8"/>
  <c r="AB28" i="8"/>
  <c r="AA28" i="8"/>
  <c r="Z28" i="8"/>
  <c r="Y28" i="8"/>
  <c r="X28" i="8"/>
  <c r="W28" i="8"/>
  <c r="AE26" i="8"/>
  <c r="AD26" i="8"/>
  <c r="AC26" i="8"/>
  <c r="AB26" i="8"/>
  <c r="AA26" i="8"/>
  <c r="Z26" i="8"/>
  <c r="Y26" i="8"/>
  <c r="X26" i="8"/>
  <c r="W26" i="8"/>
  <c r="AE24" i="8"/>
  <c r="AD24" i="8"/>
  <c r="AC24" i="8"/>
  <c r="AB24" i="8"/>
  <c r="AA24" i="8"/>
  <c r="Z24" i="8"/>
  <c r="Y24" i="8"/>
  <c r="X24" i="8"/>
  <c r="W24" i="8"/>
  <c r="AA22" i="8"/>
  <c r="V34" i="8"/>
  <c r="V32" i="8"/>
  <c r="V30" i="8"/>
  <c r="V28" i="8"/>
  <c r="V26" i="8"/>
  <c r="V24" i="8"/>
  <c r="U34" i="8"/>
  <c r="U32" i="8"/>
  <c r="U30" i="8"/>
  <c r="U28" i="8"/>
  <c r="U26" i="8"/>
  <c r="U24" i="8"/>
  <c r="N34" i="8"/>
  <c r="M34" i="8"/>
  <c r="L34" i="8"/>
  <c r="K34" i="8"/>
  <c r="J34" i="8"/>
  <c r="I34" i="8"/>
  <c r="H34" i="8"/>
  <c r="G34" i="8"/>
  <c r="N32" i="8"/>
  <c r="M32" i="8"/>
  <c r="L32" i="8"/>
  <c r="K32" i="8"/>
  <c r="J32" i="8"/>
  <c r="I32" i="8"/>
  <c r="H32" i="8"/>
  <c r="G32" i="8"/>
  <c r="N30" i="8"/>
  <c r="M30" i="8"/>
  <c r="L30" i="8"/>
  <c r="K30" i="8"/>
  <c r="J30" i="8"/>
  <c r="I30" i="8"/>
  <c r="H30" i="8"/>
  <c r="G30" i="8"/>
  <c r="N28" i="8"/>
  <c r="M28" i="8"/>
  <c r="L28" i="8"/>
  <c r="K28" i="8"/>
  <c r="J28" i="8"/>
  <c r="I28" i="8"/>
  <c r="H28" i="8"/>
  <c r="G28" i="8"/>
  <c r="N26" i="8"/>
  <c r="M26" i="8"/>
  <c r="L26" i="8"/>
  <c r="K26" i="8"/>
  <c r="J26" i="8"/>
  <c r="I26" i="8"/>
  <c r="H26" i="8"/>
  <c r="G26" i="8"/>
  <c r="N24" i="8"/>
  <c r="M24" i="8"/>
  <c r="L24" i="8"/>
  <c r="K24" i="8"/>
  <c r="J24" i="8"/>
  <c r="I24" i="8"/>
  <c r="H24" i="8"/>
  <c r="G24" i="8"/>
  <c r="F34" i="8"/>
  <c r="F32" i="8"/>
  <c r="F30" i="8"/>
  <c r="F28" i="8"/>
  <c r="F26" i="8"/>
  <c r="F24" i="8"/>
  <c r="AF17" i="8"/>
  <c r="AE17" i="8"/>
  <c r="AD17" i="8"/>
  <c r="AB17" i="8"/>
  <c r="AA17" i="8"/>
  <c r="Z17" i="8"/>
  <c r="Y17" i="8"/>
  <c r="X17" i="8"/>
  <c r="W17" i="8"/>
  <c r="V17" i="8"/>
  <c r="AF15" i="8"/>
  <c r="AE15" i="8"/>
  <c r="AD15" i="8"/>
  <c r="AB15" i="8"/>
  <c r="AA15" i="8"/>
  <c r="Z15" i="8"/>
  <c r="Y15" i="8"/>
  <c r="X15" i="8"/>
  <c r="W15" i="8"/>
  <c r="V15" i="8"/>
  <c r="AF13" i="8"/>
  <c r="AE13" i="8"/>
  <c r="AD13" i="8"/>
  <c r="AB13" i="8"/>
  <c r="AA13" i="8"/>
  <c r="Z13" i="8"/>
  <c r="Y13" i="8"/>
  <c r="X13" i="8"/>
  <c r="W13" i="8"/>
  <c r="V13" i="8"/>
  <c r="AF11" i="8"/>
  <c r="AE11" i="8"/>
  <c r="AD11" i="8"/>
  <c r="AB11" i="8"/>
  <c r="AA11" i="8"/>
  <c r="Z11" i="8"/>
  <c r="Y11" i="8"/>
  <c r="X11" i="8"/>
  <c r="W11" i="8"/>
  <c r="V11" i="8"/>
  <c r="AF9" i="8"/>
  <c r="AE9" i="8"/>
  <c r="AD9" i="8"/>
  <c r="AC9" i="8"/>
  <c r="AB9" i="8"/>
  <c r="AA9" i="8"/>
  <c r="Z9" i="8"/>
  <c r="Y9" i="8"/>
  <c r="X9" i="8"/>
  <c r="W9" i="8"/>
  <c r="V9" i="8"/>
  <c r="AF7" i="8"/>
  <c r="AE7" i="8"/>
  <c r="AD7" i="8"/>
  <c r="AB7" i="8"/>
  <c r="AA7" i="8"/>
  <c r="Z7" i="8"/>
  <c r="Y7" i="8"/>
  <c r="X7" i="8"/>
  <c r="W7" i="8"/>
  <c r="V7" i="8"/>
  <c r="AF6" i="8"/>
  <c r="AE6" i="8"/>
  <c r="AD6" i="8"/>
  <c r="AC6" i="8"/>
  <c r="AB6" i="8"/>
  <c r="AA6" i="8"/>
  <c r="Z6" i="8"/>
  <c r="Y6" i="8"/>
  <c r="X6" i="8"/>
  <c r="W6" i="8"/>
  <c r="V6" i="8"/>
  <c r="AF5" i="8"/>
  <c r="AE5" i="8"/>
  <c r="AD5" i="8"/>
  <c r="AC5" i="8"/>
  <c r="AB5" i="8"/>
  <c r="AA5" i="8"/>
  <c r="Z5" i="8"/>
  <c r="Y5" i="8"/>
  <c r="X5" i="8"/>
  <c r="W5" i="8"/>
  <c r="V5" i="8"/>
  <c r="U17" i="8"/>
  <c r="U15" i="8"/>
  <c r="U13" i="8"/>
  <c r="U11" i="8"/>
  <c r="U9" i="8"/>
  <c r="U7" i="8"/>
  <c r="U6" i="8"/>
  <c r="U5" i="8"/>
  <c r="N17" i="8"/>
  <c r="M17" i="8"/>
  <c r="L17" i="8"/>
  <c r="K17" i="8"/>
  <c r="J17" i="8"/>
  <c r="I17" i="8"/>
  <c r="H17" i="8"/>
  <c r="G17" i="8"/>
  <c r="N15" i="8"/>
  <c r="M15" i="8"/>
  <c r="L15" i="8"/>
  <c r="K15" i="8"/>
  <c r="J15" i="8"/>
  <c r="I15" i="8"/>
  <c r="H15" i="8"/>
  <c r="G15" i="8"/>
  <c r="N13" i="8"/>
  <c r="M13" i="8"/>
  <c r="L13" i="8"/>
  <c r="K13" i="8"/>
  <c r="J13" i="8"/>
  <c r="I13" i="8"/>
  <c r="H13" i="8"/>
  <c r="G13" i="8"/>
  <c r="N11" i="8"/>
  <c r="M11" i="8"/>
  <c r="L11" i="8"/>
  <c r="K11" i="8"/>
  <c r="J11" i="8"/>
  <c r="I11" i="8"/>
  <c r="H11" i="8"/>
  <c r="G11" i="8"/>
  <c r="N9" i="8"/>
  <c r="M9" i="8"/>
  <c r="L9" i="8"/>
  <c r="K9" i="8"/>
  <c r="J9" i="8"/>
  <c r="I9" i="8"/>
  <c r="H9" i="8"/>
  <c r="G9" i="8"/>
  <c r="N7" i="8"/>
  <c r="M7" i="8"/>
  <c r="L7" i="8"/>
  <c r="K7" i="8"/>
  <c r="J7" i="8"/>
  <c r="I7" i="8"/>
  <c r="H7" i="8"/>
  <c r="G7" i="8"/>
  <c r="N6" i="8"/>
  <c r="M6" i="8"/>
  <c r="L6" i="8"/>
  <c r="K6" i="8"/>
  <c r="J6" i="8"/>
  <c r="I6" i="8"/>
  <c r="H6" i="8"/>
  <c r="G6" i="8"/>
  <c r="N5" i="8"/>
  <c r="M5" i="8"/>
  <c r="L5" i="8"/>
  <c r="K5" i="8"/>
  <c r="J5" i="8"/>
  <c r="I5" i="8"/>
  <c r="H5" i="8"/>
  <c r="G5" i="8"/>
  <c r="F6" i="8"/>
  <c r="F17" i="8"/>
  <c r="F15" i="8"/>
  <c r="F13" i="8"/>
  <c r="F11" i="8"/>
  <c r="F9" i="8"/>
  <c r="L23" i="8" l="1"/>
  <c r="F7" i="8"/>
  <c r="F5" i="8"/>
  <c r="C46" i="8" l="1"/>
  <c r="R11" i="7" l="1"/>
  <c r="R10" i="7"/>
  <c r="R9" i="7"/>
  <c r="R8" i="7"/>
  <c r="Q11" i="7"/>
  <c r="Q10" i="7"/>
  <c r="AE23" i="8" s="1"/>
  <c r="Q9" i="7"/>
  <c r="AE22" i="8" s="1"/>
  <c r="Q8" i="7"/>
  <c r="P11" i="7"/>
  <c r="P10" i="7"/>
  <c r="AD23" i="8" s="1"/>
  <c r="P9" i="7"/>
  <c r="AD22" i="8" s="1"/>
  <c r="P8" i="7"/>
  <c r="O11" i="7"/>
  <c r="O10" i="7"/>
  <c r="O9" i="7"/>
  <c r="O8" i="7"/>
  <c r="N11" i="7"/>
  <c r="N10" i="7"/>
  <c r="N9" i="7"/>
  <c r="N8" i="7"/>
  <c r="L11" i="7"/>
  <c r="L10" i="7"/>
  <c r="L9" i="7"/>
  <c r="L8" i="7"/>
  <c r="K11" i="7"/>
  <c r="K10" i="7"/>
  <c r="K9" i="7"/>
  <c r="K8" i="7"/>
  <c r="J11" i="7"/>
  <c r="J10" i="7"/>
  <c r="J9" i="7"/>
  <c r="J8" i="7"/>
  <c r="I11" i="7"/>
  <c r="I10" i="7"/>
  <c r="I9" i="7"/>
  <c r="I8" i="7"/>
  <c r="H11" i="7"/>
  <c r="H10" i="7"/>
  <c r="H9" i="7"/>
  <c r="H8" i="7"/>
  <c r="G11" i="7"/>
  <c r="G10" i="7"/>
  <c r="G9" i="7"/>
  <c r="G8" i="7"/>
  <c r="G22" i="8" l="1"/>
  <c r="V22" i="8"/>
  <c r="F23" i="8"/>
  <c r="U23" i="8"/>
  <c r="V23" i="8"/>
  <c r="G23" i="8"/>
  <c r="X23" i="8"/>
  <c r="I23" i="8"/>
  <c r="J23" i="8"/>
  <c r="Y23" i="8"/>
  <c r="F22" i="8"/>
  <c r="U22" i="8"/>
  <c r="I22" i="8"/>
  <c r="X22" i="8"/>
  <c r="Y22" i="8"/>
  <c r="J22" i="8"/>
  <c r="AC23" i="8"/>
  <c r="N23" i="8"/>
  <c r="M23" i="8"/>
  <c r="AB23" i="8"/>
  <c r="H23" i="8"/>
  <c r="W23" i="8"/>
  <c r="W22" i="8"/>
  <c r="H22" i="8"/>
  <c r="AB22" i="8"/>
  <c r="M22" i="8"/>
  <c r="N22" i="8"/>
  <c r="AC22" i="8"/>
  <c r="K23" i="8"/>
  <c r="Z23" i="8"/>
  <c r="Z22" i="8"/>
  <c r="K22" i="8"/>
</calcChain>
</file>

<file path=xl/sharedStrings.xml><?xml version="1.0" encoding="utf-8"?>
<sst xmlns="http://schemas.openxmlformats.org/spreadsheetml/2006/main" count="2007" uniqueCount="228">
  <si>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</si>
  <si>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</si>
  <si>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</si>
  <si>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</si>
  <si>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</si>
  <si>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</si>
  <si>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</si>
  <si>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</si>
  <si>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</si>
  <si>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</si>
  <si>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</si>
  <si>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</si>
  <si>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</si>
  <si>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</si>
  <si>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</si>
  <si>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</si>
  <si>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</si>
  <si>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</si>
  <si>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</si>
  <si>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</si>
  <si>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</si>
  <si>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</si>
  <si>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</si>
  <si>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</si>
  <si>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</si>
  <si>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</si>
  <si>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</si>
  <si>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</si>
  <si>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</si>
  <si>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</si>
  <si>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</si>
  <si>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</si>
  <si>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>Canopy Height &amp; LAI flags may not be exactly at the GPS points - I adjusted depending on skips in rows. SMM</t>
  </si>
  <si>
    <t>Mid</t>
  </si>
  <si>
    <t>07-</t>
  </si>
  <si>
    <t>08-</t>
  </si>
  <si>
    <t>09-</t>
  </si>
  <si>
    <t>10-</t>
  </si>
  <si>
    <t>11-</t>
  </si>
  <si>
    <t>12-</t>
  </si>
  <si>
    <t>Var</t>
  </si>
  <si>
    <t>NG4936</t>
  </si>
  <si>
    <t>FAO</t>
  </si>
  <si>
    <t>NG3195</t>
  </si>
  <si>
    <t>FAO-N</t>
  </si>
  <si>
    <t>AQC-N</t>
  </si>
  <si>
    <t>CSM</t>
  </si>
  <si>
    <t>CSM-N</t>
  </si>
  <si>
    <t>AQC</t>
  </si>
  <si>
    <t xml:space="preserve">Canopy Heights in row 5. Three measurements per plot. </t>
  </si>
  <si>
    <t>At both the Canopy Measurement points and the LAI (?) measurement flags.</t>
  </si>
  <si>
    <t>SMM</t>
  </si>
  <si>
    <t>1400-1515h</t>
  </si>
  <si>
    <t>1030-1145</t>
  </si>
  <si>
    <t>1015-1245</t>
  </si>
  <si>
    <t>1300-1715</t>
  </si>
  <si>
    <t>2022 - Averages by treatments</t>
  </si>
  <si>
    <t>1015-1315</t>
  </si>
  <si>
    <t>--</t>
  </si>
  <si>
    <t>1200-1415</t>
  </si>
  <si>
    <t>0940-1045</t>
  </si>
  <si>
    <t>1030-1345</t>
  </si>
  <si>
    <t>0945-1230</t>
  </si>
  <si>
    <t>45????????????</t>
  </si>
  <si>
    <t>22-23 Aug 2022</t>
  </si>
  <si>
    <t>234-235</t>
  </si>
  <si>
    <t>1000-13:15</t>
  </si>
  <si>
    <t>Width (cm)</t>
  </si>
  <si>
    <t>p12-4S</t>
  </si>
  <si>
    <t>p12-4M</t>
  </si>
  <si>
    <t>p12-4N</t>
  </si>
  <si>
    <t>p12-3S</t>
  </si>
  <si>
    <t>p12-3M</t>
  </si>
  <si>
    <t>p12-3N</t>
  </si>
  <si>
    <t>p12-2S</t>
  </si>
  <si>
    <t>p12-2M</t>
  </si>
  <si>
    <t>p12-2N</t>
  </si>
  <si>
    <t>p12-1S</t>
  </si>
  <si>
    <t>p12-1M</t>
  </si>
  <si>
    <t>p12-1N</t>
  </si>
  <si>
    <t>p11-4S</t>
  </si>
  <si>
    <t>p11-4M</t>
  </si>
  <si>
    <t>p11-4N</t>
  </si>
  <si>
    <t>p11-3S</t>
  </si>
  <si>
    <t>p11-3M</t>
  </si>
  <si>
    <t>p11-3N</t>
  </si>
  <si>
    <t>p11-2S</t>
  </si>
  <si>
    <t>p11-2M</t>
  </si>
  <si>
    <t>p11-2N</t>
  </si>
  <si>
    <t>p11-1S</t>
  </si>
  <si>
    <t>p11-1M</t>
  </si>
  <si>
    <t>p11-1N</t>
  </si>
  <si>
    <t>p10-4S</t>
  </si>
  <si>
    <t>p10-4M</t>
  </si>
  <si>
    <t>p10-4N</t>
  </si>
  <si>
    <t>p10-3S</t>
  </si>
  <si>
    <t>p10-3M</t>
  </si>
  <si>
    <t>p10-3N</t>
  </si>
  <si>
    <t>p10-2S</t>
  </si>
  <si>
    <t>p10-2M</t>
  </si>
  <si>
    <t>p10-2N</t>
  </si>
  <si>
    <t>p10-1S</t>
  </si>
  <si>
    <t>p10-1M</t>
  </si>
  <si>
    <t>p10-1N</t>
  </si>
  <si>
    <t>p09-4S</t>
  </si>
  <si>
    <t>p09-4M</t>
  </si>
  <si>
    <t>p09-4N</t>
  </si>
  <si>
    <t>p09-3S</t>
  </si>
  <si>
    <t>p09-3M</t>
  </si>
  <si>
    <t>p09-3N</t>
  </si>
  <si>
    <t>p09-2S</t>
  </si>
  <si>
    <t>p09-2M</t>
  </si>
  <si>
    <t>p09-2N</t>
  </si>
  <si>
    <t>p09-1S</t>
  </si>
  <si>
    <t>p09-1M</t>
  </si>
  <si>
    <t>p09-1N</t>
  </si>
  <si>
    <t>p08-4S</t>
  </si>
  <si>
    <t>p08-4M</t>
  </si>
  <si>
    <t>p08-4N</t>
  </si>
  <si>
    <t>p08-3S</t>
  </si>
  <si>
    <t>p08-3M</t>
  </si>
  <si>
    <t>p08-3N</t>
  </si>
  <si>
    <t>p08-2S</t>
  </si>
  <si>
    <t>p08-2M</t>
  </si>
  <si>
    <t>p08-2N</t>
  </si>
  <si>
    <t>p08-1S</t>
  </si>
  <si>
    <t>p08-1M</t>
  </si>
  <si>
    <t>p08-1N</t>
  </si>
  <si>
    <t>p07-4S</t>
  </si>
  <si>
    <t>p07-4M</t>
  </si>
  <si>
    <t>p07-4N</t>
  </si>
  <si>
    <t>p07-3S</t>
  </si>
  <si>
    <t>p07-3M</t>
  </si>
  <si>
    <t>p07-3N</t>
  </si>
  <si>
    <t>p07-2S</t>
  </si>
  <si>
    <t>p07-2M</t>
  </si>
  <si>
    <t>p07-2N</t>
  </si>
  <si>
    <t>p07-1S</t>
  </si>
  <si>
    <t>p07-1M</t>
  </si>
  <si>
    <t>p07-1N</t>
  </si>
  <si>
    <t>p06-4S</t>
  </si>
  <si>
    <t>p06-4M</t>
  </si>
  <si>
    <t>p06-4N</t>
  </si>
  <si>
    <t>p06-3S</t>
  </si>
  <si>
    <t>p06-3M</t>
  </si>
  <si>
    <t>p06-3N</t>
  </si>
  <si>
    <t>p06-2S</t>
  </si>
  <si>
    <t>p06-2M</t>
  </si>
  <si>
    <t>p06-2N</t>
  </si>
  <si>
    <t>p06-1S</t>
  </si>
  <si>
    <t>p06-1M</t>
  </si>
  <si>
    <t>p06-1N</t>
  </si>
  <si>
    <t>p05-4S</t>
  </si>
  <si>
    <t>p05-4M</t>
  </si>
  <si>
    <t>p05-4N</t>
  </si>
  <si>
    <t>p05-3S</t>
  </si>
  <si>
    <t>p05-3M</t>
  </si>
  <si>
    <t>p05-3N</t>
  </si>
  <si>
    <t>p05-2S</t>
  </si>
  <si>
    <t>p05-2M</t>
  </si>
  <si>
    <t>p05-2N</t>
  </si>
  <si>
    <t>p05-1S</t>
  </si>
  <si>
    <t>p05-1M</t>
  </si>
  <si>
    <t>p05-1N</t>
  </si>
  <si>
    <t>p04-4S</t>
  </si>
  <si>
    <t>p04-4M</t>
  </si>
  <si>
    <t>p04-4N</t>
  </si>
  <si>
    <t>p04-3S</t>
  </si>
  <si>
    <t>p04-3M</t>
  </si>
  <si>
    <t>p04-3N</t>
  </si>
  <si>
    <t>p04-2S</t>
  </si>
  <si>
    <t>p04-2M</t>
  </si>
  <si>
    <t>p04-2N</t>
  </si>
  <si>
    <t>p04-1S</t>
  </si>
  <si>
    <t>p04-1M</t>
  </si>
  <si>
    <t>p04-1N</t>
  </si>
  <si>
    <t>p03-4S</t>
  </si>
  <si>
    <t>p03-4M</t>
  </si>
  <si>
    <t>p03-4N</t>
  </si>
  <si>
    <t>p03-3S</t>
  </si>
  <si>
    <t>p03-3M</t>
  </si>
  <si>
    <t>p03-3N</t>
  </si>
  <si>
    <t>p03-2S</t>
  </si>
  <si>
    <t>p03-2M</t>
  </si>
  <si>
    <t>p03-2N</t>
  </si>
  <si>
    <t>p03-1S</t>
  </si>
  <si>
    <t>p03-1M</t>
  </si>
  <si>
    <t>p03-1N</t>
  </si>
  <si>
    <t>p02-4S</t>
  </si>
  <si>
    <t>p02-4M</t>
  </si>
  <si>
    <t>p02-4N</t>
  </si>
  <si>
    <t>p02-3S</t>
  </si>
  <si>
    <t>p02-3M</t>
  </si>
  <si>
    <t>p02-3N</t>
  </si>
  <si>
    <t>p02-2S</t>
  </si>
  <si>
    <t>p02-2M</t>
  </si>
  <si>
    <t>p02-2N</t>
  </si>
  <si>
    <t>p02-1S</t>
  </si>
  <si>
    <t>p02-1M</t>
  </si>
  <si>
    <t>p02-1N</t>
  </si>
  <si>
    <t>p01-4S</t>
  </si>
  <si>
    <t>p01-4M</t>
  </si>
  <si>
    <t>p01-4N</t>
  </si>
  <si>
    <t>p01-3S</t>
  </si>
  <si>
    <t>p01-3M</t>
  </si>
  <si>
    <t>p01-3N</t>
  </si>
  <si>
    <t>p01-2S</t>
  </si>
  <si>
    <t>p01-2M</t>
  </si>
  <si>
    <t>p01-2N</t>
  </si>
  <si>
    <t>p01-1S</t>
  </si>
  <si>
    <t>p01-1M</t>
  </si>
  <si>
    <t>p01-1N</t>
  </si>
  <si>
    <t>DOY251</t>
  </si>
  <si>
    <t>DOY241</t>
  </si>
  <si>
    <t>DOY234</t>
  </si>
  <si>
    <t>DOY227</t>
  </si>
  <si>
    <t>DOY220</t>
  </si>
  <si>
    <t>DOY206</t>
  </si>
  <si>
    <t>DOY192</t>
  </si>
  <si>
    <t>DOY186</t>
  </si>
  <si>
    <t>DOY178</t>
  </si>
  <si>
    <t>DOY164</t>
  </si>
  <si>
    <t>DOY157</t>
  </si>
  <si>
    <t>DOY152</t>
  </si>
  <si>
    <t>N</t>
  </si>
  <si>
    <t>M</t>
  </si>
  <si>
    <t>S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</si>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</sst>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.0"/>
    <numFmt numFmtId="166" formatCode="[$-409]d\-mmm\-yy;@"/>
  </numFmts>
  <fonts count="24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b/>
      <sz val="8"/>
      <color rgb="FFFF0000"/>
      <name val="Calibri"/>
      <family val="2"/>
    </font>
    <font>
      <b/>
      <sz val="10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16"/>
      <color theme="1"/>
      <name val="Calibri"/>
      <family val="2"/>
    </font>
    <font>
      <sz val="7"/>
      <color theme="1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9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11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7" fillId="0" borderId="2" xfId="0" applyFont="1" applyBorder="1" applyAlignment="1">
      <alignment horizontal="left" vertical="center"/>
    </xf>
    <xf numFmtId="164" fontId="4" fillId="0" borderId="6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6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13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164" fontId="4" fillId="0" borderId="16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0" fillId="0" borderId="16" xfId="0" applyBorder="1"/>
    <xf numFmtId="0" fontId="0" fillId="0" borderId="6" xfId="0" applyBorder="1"/>
    <xf numFmtId="0" fontId="5" fillId="0" borderId="0" xfId="0" applyFont="1" applyAlignment="1">
      <alignment horizontal="left" vertical="top"/>
    </xf>
    <xf numFmtId="164" fontId="17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center" vertical="center"/>
    </xf>
    <xf numFmtId="164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9" fillId="0" borderId="14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 vertical="center"/>
    </xf>
    <xf numFmtId="0" fontId="17" fillId="0" borderId="6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164" fontId="7" fillId="2" borderId="12" xfId="0" applyNumberFormat="1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164" fontId="7" fillId="3" borderId="20" xfId="0" applyNumberFormat="1" applyFont="1" applyFill="1" applyBorder="1" applyAlignment="1">
      <alignment horizontal="center" vertical="center"/>
    </xf>
    <xf numFmtId="164" fontId="7" fillId="3" borderId="13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20" fillId="0" borderId="0" xfId="0" applyFont="1"/>
    <xf numFmtId="0" fontId="21" fillId="0" borderId="0" xfId="0" applyFont="1"/>
    <xf numFmtId="0" fontId="20" fillId="4" borderId="0" xfId="0" applyFont="1" applyFill="1" applyAlignment="1">
      <alignment horizontal="right" vertical="center"/>
    </xf>
    <xf numFmtId="0" fontId="20" fillId="5" borderId="0" xfId="0" applyFont="1" applyFill="1" applyAlignment="1">
      <alignment horizontal="right" vertical="center"/>
    </xf>
    <xf numFmtId="0" fontId="22" fillId="4" borderId="0" xfId="0" applyFont="1" applyFill="1"/>
    <xf numFmtId="164" fontId="23" fillId="0" borderId="0" xfId="0" applyNumberFormat="1" applyFont="1" applyAlignment="1">
      <alignment horizontal="center" vertical="center"/>
    </xf>
    <xf numFmtId="0" fontId="22" fillId="5" borderId="0" xfId="0" applyFont="1" applyFill="1"/>
    <xf numFmtId="0" fontId="22" fillId="0" borderId="0" xfId="0" applyFont="1"/>
    <xf numFmtId="166" fontId="4" fillId="0" borderId="0" xfId="0" applyNumberFormat="1" applyFont="1" applyAlignment="1">
      <alignment horizontal="center"/>
    </xf>
    <xf numFmtId="0" fontId="0" fillId="0" borderId="5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3" fillId="0" borderId="0" xfId="1"/>
    <xf numFmtId="0" fontId="2" fillId="0" borderId="0" xfId="2"/>
    <xf numFmtId="0" fontId="1" fillId="0" borderId="0" xfId="1" applyFont="1"/>
    <xf numFmtId="0" fontId="16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/>
    </xf>
  </cellXfs>
  <cellStyles count="3">
    <cellStyle name="Normal" xfId="0" builtinId="0"/>
    <cellStyle name="Normal 2" xfId="1" xr:uid="{D27DC1C1-3C4B-42B0-A939-7B39690B926E}"/>
    <cellStyle name="Normal 3" xfId="2" xr:uid="{F6E97810-6783-4424-95C9-D34F21682A98}"/>
  </cellStyles>
  <dxfs count="30"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darkGray">
          <f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 patternType="solid">
          <fgColor rgb="FF0070C0"/>
          <bgColor rgb="FF0070C0"/>
        </patternFill>
      </fill>
    </dxf>
    <dxf>
      <fill>
        <patternFill>
          <bgColor theme="4" tint="0.59996337778862885"/>
        </patternFill>
      </fill>
    </dxf>
    <dxf>
      <font>
        <color theme="0" tint="-4.9989318521683403E-2"/>
      </font>
      <fill>
        <patternFill>
          <bgColor rgb="FFFF0000"/>
        </patternFill>
      </fill>
    </dxf>
    <dxf>
      <fill>
        <patternFill patternType="darkGray">
          <f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 patternType="solid">
          <fgColor rgb="FF0070C0"/>
          <bgColor rgb="FF0070C0"/>
        </patternFill>
      </fill>
    </dxf>
    <dxf>
      <fill>
        <patternFill>
          <bgColor theme="4" tint="0.59996337778862885"/>
        </patternFill>
      </fill>
    </dxf>
    <dxf>
      <font>
        <color theme="0" tint="-4.9989318521683403E-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1E0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6E1D9-F443-4502-B1BD-CBEE0A80BA62}">
  <dimension ref="A1:M145"/>
  <sheetViews>
    <sheetView tabSelected="1" workbookViewId="0"/>
  </sheetViews>
  <sheetFormatPr defaultRowHeight="15" x14ac:dyDescent="0.25"/>
  <cols>
    <col min="1" max="16384" width="9.140625" style="112"/>
  </cols>
  <sheetData>
    <row r="1" spans="1:13" x14ac:dyDescent="0.25">
      <c r="A1" s="114" t="s">
        <v>227</v>
      </c>
      <c r="B1" s="112" t="s">
        <v>223</v>
      </c>
      <c r="C1" s="112" t="s">
        <v>222</v>
      </c>
      <c r="D1" s="112" t="s">
        <v>221</v>
      </c>
      <c r="E1" s="112" t="s">
        <v>220</v>
      </c>
      <c r="F1" s="112" t="s">
        <v>219</v>
      </c>
      <c r="G1" s="112" t="s">
        <v>218</v>
      </c>
      <c r="H1" s="112" t="s">
        <v>217</v>
      </c>
      <c r="I1" s="112" t="s">
        <v>216</v>
      </c>
      <c r="J1" s="112" t="s">
        <v>215</v>
      </c>
      <c r="K1" s="112" t="s">
        <v>214</v>
      </c>
      <c r="L1" s="112" t="s">
        <v>213</v>
      </c>
      <c r="M1" s="112" t="s">
        <v>212</v>
      </c>
    </row>
    <row r="2" spans="1:13" x14ac:dyDescent="0.25">
      <c r="A2" s="112" t="s">
        <v>211</v>
      </c>
      <c r="B2" s="112">
        <v>7</v>
      </c>
      <c r="C2" s="112">
        <v>13</v>
      </c>
      <c r="D2" s="112">
        <v>23</v>
      </c>
      <c r="E2" s="112">
        <v>43</v>
      </c>
      <c r="F2" s="112">
        <v>58</v>
      </c>
      <c r="G2" s="112">
        <v>70</v>
      </c>
      <c r="H2" s="112">
        <v>85</v>
      </c>
      <c r="I2" s="112">
        <v>83</v>
      </c>
      <c r="J2" s="112">
        <v>84</v>
      </c>
      <c r="K2" s="112">
        <v>85</v>
      </c>
      <c r="L2" s="112">
        <v>82</v>
      </c>
      <c r="M2" s="112">
        <v>87</v>
      </c>
    </row>
    <row r="3" spans="1:13" x14ac:dyDescent="0.25">
      <c r="A3" s="112" t="s">
        <v>210</v>
      </c>
      <c r="B3" s="112">
        <v>7</v>
      </c>
      <c r="C3" s="112">
        <v>13</v>
      </c>
      <c r="D3" s="112">
        <v>21</v>
      </c>
      <c r="E3" s="112">
        <v>44</v>
      </c>
      <c r="F3" s="112">
        <v>68</v>
      </c>
      <c r="G3" s="112">
        <v>76</v>
      </c>
      <c r="H3" s="112">
        <v>81</v>
      </c>
      <c r="I3" s="112">
        <v>102</v>
      </c>
      <c r="J3" s="112">
        <v>106</v>
      </c>
      <c r="K3" s="112">
        <v>110</v>
      </c>
      <c r="L3" s="112">
        <v>112</v>
      </c>
      <c r="M3" s="112">
        <v>113</v>
      </c>
    </row>
    <row r="4" spans="1:13" x14ac:dyDescent="0.25">
      <c r="A4" s="112" t="s">
        <v>209</v>
      </c>
      <c r="B4" s="112">
        <v>5</v>
      </c>
      <c r="C4" s="112">
        <v>11</v>
      </c>
      <c r="D4" s="112">
        <v>23</v>
      </c>
      <c r="E4" s="112">
        <v>46</v>
      </c>
      <c r="F4" s="112">
        <v>61</v>
      </c>
      <c r="G4" s="112">
        <v>70</v>
      </c>
      <c r="H4" s="112">
        <v>85</v>
      </c>
      <c r="I4" s="112">
        <v>102</v>
      </c>
      <c r="J4" s="112">
        <v>108</v>
      </c>
      <c r="K4" s="112">
        <v>113</v>
      </c>
      <c r="L4" s="112">
        <v>115</v>
      </c>
      <c r="M4" s="112">
        <v>122</v>
      </c>
    </row>
    <row r="5" spans="1:13" x14ac:dyDescent="0.25">
      <c r="A5" s="112" t="s">
        <v>208</v>
      </c>
      <c r="B5" s="112">
        <v>6</v>
      </c>
      <c r="C5" s="112">
        <v>13</v>
      </c>
      <c r="D5" s="112">
        <v>20</v>
      </c>
      <c r="E5" s="112">
        <v>40</v>
      </c>
      <c r="F5" s="112">
        <v>52</v>
      </c>
      <c r="G5" s="112">
        <v>53</v>
      </c>
      <c r="H5" s="112">
        <v>58</v>
      </c>
      <c r="I5" s="112">
        <v>74</v>
      </c>
      <c r="J5" s="112">
        <v>78</v>
      </c>
      <c r="K5" s="112">
        <v>80</v>
      </c>
      <c r="L5" s="112">
        <v>81</v>
      </c>
      <c r="M5" s="112">
        <v>74</v>
      </c>
    </row>
    <row r="6" spans="1:13" x14ac:dyDescent="0.25">
      <c r="A6" s="112" t="s">
        <v>207</v>
      </c>
      <c r="B6" s="112">
        <v>5</v>
      </c>
      <c r="C6" s="112">
        <v>11</v>
      </c>
      <c r="D6" s="112">
        <v>17</v>
      </c>
      <c r="E6" s="112">
        <v>37</v>
      </c>
      <c r="F6" s="112">
        <v>63</v>
      </c>
      <c r="G6" s="112">
        <v>69</v>
      </c>
      <c r="H6" s="112">
        <v>84</v>
      </c>
      <c r="I6" s="112">
        <v>103</v>
      </c>
      <c r="J6" s="112">
        <v>104</v>
      </c>
      <c r="K6" s="112">
        <v>106</v>
      </c>
      <c r="L6" s="112">
        <v>102</v>
      </c>
      <c r="M6" s="112">
        <v>108</v>
      </c>
    </row>
    <row r="7" spans="1:13" x14ac:dyDescent="0.25">
      <c r="A7" s="112" t="s">
        <v>206</v>
      </c>
      <c r="B7" s="112">
        <v>6</v>
      </c>
      <c r="C7" s="112">
        <v>11</v>
      </c>
      <c r="D7" s="112">
        <v>16</v>
      </c>
      <c r="E7" s="112">
        <v>35</v>
      </c>
      <c r="F7" s="112">
        <v>56</v>
      </c>
      <c r="G7" s="112">
        <v>56</v>
      </c>
      <c r="H7" s="112">
        <v>59</v>
      </c>
      <c r="I7" s="112">
        <v>76</v>
      </c>
      <c r="J7" s="112">
        <v>75</v>
      </c>
      <c r="K7" s="112">
        <v>76</v>
      </c>
      <c r="L7" s="112">
        <v>75</v>
      </c>
      <c r="M7" s="112">
        <v>77</v>
      </c>
    </row>
    <row r="8" spans="1:13" x14ac:dyDescent="0.25">
      <c r="A8" s="112" t="s">
        <v>205</v>
      </c>
      <c r="B8" s="112">
        <v>6</v>
      </c>
      <c r="C8" s="112">
        <v>10</v>
      </c>
      <c r="D8" s="112">
        <v>14</v>
      </c>
      <c r="E8" s="112">
        <v>37</v>
      </c>
      <c r="F8" s="112">
        <v>53</v>
      </c>
      <c r="G8" s="112">
        <v>62</v>
      </c>
      <c r="H8" s="112">
        <v>77</v>
      </c>
      <c r="I8" s="112">
        <v>94</v>
      </c>
      <c r="J8" s="112">
        <v>93</v>
      </c>
      <c r="K8" s="112">
        <v>94</v>
      </c>
      <c r="L8" s="112">
        <v>93</v>
      </c>
      <c r="M8" s="112">
        <v>87</v>
      </c>
    </row>
    <row r="9" spans="1:13" x14ac:dyDescent="0.25">
      <c r="A9" s="112" t="s">
        <v>204</v>
      </c>
      <c r="B9" s="112">
        <v>6</v>
      </c>
      <c r="C9" s="112">
        <v>11</v>
      </c>
      <c r="D9" s="112">
        <v>16</v>
      </c>
      <c r="E9" s="112">
        <v>38</v>
      </c>
      <c r="F9" s="112">
        <v>60</v>
      </c>
      <c r="G9" s="112">
        <v>65</v>
      </c>
      <c r="H9" s="112">
        <v>79</v>
      </c>
      <c r="I9" s="112">
        <v>95</v>
      </c>
      <c r="J9" s="112">
        <v>97</v>
      </c>
      <c r="K9" s="112">
        <v>97</v>
      </c>
      <c r="L9" s="112">
        <v>96</v>
      </c>
      <c r="M9" s="112">
        <v>95</v>
      </c>
    </row>
    <row r="10" spans="1:13" x14ac:dyDescent="0.25">
      <c r="A10" s="112" t="s">
        <v>203</v>
      </c>
      <c r="B10" s="112">
        <v>5</v>
      </c>
      <c r="C10" s="112">
        <v>9</v>
      </c>
      <c r="D10" s="112">
        <v>16</v>
      </c>
      <c r="E10" s="112">
        <v>35</v>
      </c>
      <c r="F10" s="112">
        <v>46</v>
      </c>
      <c r="G10" s="112">
        <v>49</v>
      </c>
      <c r="H10" s="112">
        <v>59</v>
      </c>
      <c r="I10" s="112">
        <v>62</v>
      </c>
      <c r="J10" s="112">
        <v>65</v>
      </c>
      <c r="K10" s="112">
        <v>67</v>
      </c>
      <c r="L10" s="112">
        <v>68</v>
      </c>
      <c r="M10" s="112">
        <v>53</v>
      </c>
    </row>
    <row r="11" spans="1:13" x14ac:dyDescent="0.25">
      <c r="A11" s="112" t="s">
        <v>202</v>
      </c>
      <c r="B11" s="112">
        <v>5</v>
      </c>
      <c r="C11" s="112">
        <v>9</v>
      </c>
      <c r="D11" s="112">
        <v>10</v>
      </c>
      <c r="E11" s="112">
        <v>24</v>
      </c>
      <c r="F11" s="112">
        <v>32</v>
      </c>
      <c r="G11" s="112">
        <v>37</v>
      </c>
      <c r="H11" s="112">
        <v>44</v>
      </c>
      <c r="I11" s="112">
        <v>57</v>
      </c>
      <c r="J11" s="112">
        <v>66</v>
      </c>
      <c r="K11" s="112">
        <v>69</v>
      </c>
      <c r="L11" s="112">
        <v>70</v>
      </c>
      <c r="M11" s="112">
        <v>72</v>
      </c>
    </row>
    <row r="12" spans="1:13" x14ac:dyDescent="0.25">
      <c r="A12" s="112" t="s">
        <v>201</v>
      </c>
      <c r="B12" s="112">
        <v>7</v>
      </c>
      <c r="C12" s="112">
        <v>10</v>
      </c>
      <c r="D12" s="112">
        <v>14</v>
      </c>
      <c r="E12" s="112">
        <v>38</v>
      </c>
      <c r="F12" s="112">
        <v>51</v>
      </c>
      <c r="G12" s="112">
        <v>60</v>
      </c>
      <c r="H12" s="112">
        <v>81</v>
      </c>
      <c r="I12" s="112">
        <v>103</v>
      </c>
      <c r="J12" s="112">
        <v>108</v>
      </c>
      <c r="K12" s="112">
        <v>113</v>
      </c>
      <c r="L12" s="112">
        <v>116</v>
      </c>
      <c r="M12" s="112">
        <v>117</v>
      </c>
    </row>
    <row r="13" spans="1:13" x14ac:dyDescent="0.25">
      <c r="A13" s="112" t="s">
        <v>200</v>
      </c>
      <c r="B13" s="112">
        <v>6</v>
      </c>
      <c r="C13" s="112">
        <v>9</v>
      </c>
      <c r="D13" s="112">
        <v>11</v>
      </c>
      <c r="E13" s="112">
        <v>31</v>
      </c>
      <c r="F13" s="112">
        <v>47</v>
      </c>
      <c r="G13" s="112">
        <v>55</v>
      </c>
      <c r="H13" s="112">
        <v>72</v>
      </c>
      <c r="I13" s="112">
        <v>83</v>
      </c>
      <c r="J13" s="112">
        <v>87</v>
      </c>
      <c r="K13" s="112">
        <v>88</v>
      </c>
      <c r="L13" s="112">
        <v>89</v>
      </c>
      <c r="M13" s="112">
        <v>88</v>
      </c>
    </row>
    <row r="14" spans="1:13" x14ac:dyDescent="0.25">
      <c r="A14" s="112" t="s">
        <v>199</v>
      </c>
      <c r="B14" s="112">
        <v>15</v>
      </c>
      <c r="C14" s="112">
        <v>22</v>
      </c>
      <c r="D14" s="112">
        <v>33</v>
      </c>
      <c r="E14" s="112">
        <v>65</v>
      </c>
      <c r="F14" s="112">
        <v>84</v>
      </c>
      <c r="G14" s="112">
        <v>89</v>
      </c>
      <c r="H14" s="112">
        <v>99</v>
      </c>
      <c r="I14" s="112">
        <v>116</v>
      </c>
      <c r="J14" s="112">
        <v>118</v>
      </c>
      <c r="K14" s="112">
        <v>120</v>
      </c>
      <c r="L14" s="112">
        <v>121</v>
      </c>
      <c r="M14" s="112">
        <v>120</v>
      </c>
    </row>
    <row r="15" spans="1:13" x14ac:dyDescent="0.25">
      <c r="A15" s="112" t="s">
        <v>198</v>
      </c>
      <c r="B15" s="112">
        <v>11</v>
      </c>
      <c r="C15" s="112">
        <v>18</v>
      </c>
      <c r="D15" s="112">
        <v>30</v>
      </c>
      <c r="E15" s="112">
        <v>59</v>
      </c>
      <c r="F15" s="112">
        <v>78</v>
      </c>
      <c r="G15" s="112">
        <v>83</v>
      </c>
      <c r="H15" s="112">
        <v>97</v>
      </c>
      <c r="I15" s="112">
        <v>114</v>
      </c>
      <c r="J15" s="112">
        <v>119</v>
      </c>
      <c r="K15" s="112">
        <v>122</v>
      </c>
      <c r="L15" s="112">
        <v>124</v>
      </c>
      <c r="M15" s="112">
        <v>128</v>
      </c>
    </row>
    <row r="16" spans="1:13" x14ac:dyDescent="0.25">
      <c r="A16" s="112" t="s">
        <v>197</v>
      </c>
      <c r="B16" s="112">
        <v>14</v>
      </c>
      <c r="C16" s="112">
        <v>20</v>
      </c>
      <c r="D16" s="112">
        <v>23</v>
      </c>
      <c r="E16" s="112">
        <v>63</v>
      </c>
      <c r="F16" s="112">
        <v>71</v>
      </c>
      <c r="G16" s="112">
        <v>80</v>
      </c>
      <c r="H16" s="112">
        <v>93</v>
      </c>
      <c r="I16" s="112">
        <v>105</v>
      </c>
      <c r="J16" s="112">
        <v>110</v>
      </c>
      <c r="K16" s="112">
        <v>113</v>
      </c>
      <c r="L16" s="112">
        <v>116</v>
      </c>
      <c r="M16" s="112">
        <v>115</v>
      </c>
    </row>
    <row r="17" spans="1:13" x14ac:dyDescent="0.25">
      <c r="A17" s="112" t="s">
        <v>196</v>
      </c>
      <c r="B17" s="112">
        <v>13</v>
      </c>
      <c r="C17" s="112">
        <v>19</v>
      </c>
      <c r="D17" s="112">
        <v>28</v>
      </c>
      <c r="E17" s="112">
        <v>68</v>
      </c>
      <c r="F17" s="112">
        <v>82</v>
      </c>
      <c r="G17" s="112">
        <v>83</v>
      </c>
      <c r="H17" s="112">
        <v>91</v>
      </c>
      <c r="I17" s="112">
        <v>111</v>
      </c>
      <c r="J17" s="112">
        <v>114</v>
      </c>
      <c r="K17" s="112">
        <v>116</v>
      </c>
      <c r="L17" s="112">
        <v>117</v>
      </c>
      <c r="M17" s="112">
        <v>113</v>
      </c>
    </row>
    <row r="18" spans="1:13" x14ac:dyDescent="0.25">
      <c r="A18" s="112" t="s">
        <v>195</v>
      </c>
      <c r="B18" s="112">
        <v>11</v>
      </c>
      <c r="C18" s="112">
        <v>16</v>
      </c>
      <c r="D18" s="112">
        <v>22</v>
      </c>
      <c r="E18" s="112">
        <v>52</v>
      </c>
      <c r="F18" s="112">
        <v>71</v>
      </c>
      <c r="G18" s="112">
        <v>73</v>
      </c>
      <c r="H18" s="112">
        <v>80</v>
      </c>
      <c r="I18" s="112">
        <v>100</v>
      </c>
      <c r="J18" s="112">
        <v>103</v>
      </c>
      <c r="K18" s="112">
        <v>105</v>
      </c>
      <c r="L18" s="112">
        <v>105</v>
      </c>
      <c r="M18" s="112">
        <v>106</v>
      </c>
    </row>
    <row r="19" spans="1:13" x14ac:dyDescent="0.25">
      <c r="A19" s="112" t="s">
        <v>194</v>
      </c>
      <c r="B19" s="112">
        <v>10</v>
      </c>
      <c r="C19" s="112">
        <v>15</v>
      </c>
      <c r="D19" s="112">
        <v>24</v>
      </c>
      <c r="E19" s="112">
        <v>58</v>
      </c>
      <c r="F19" s="112">
        <v>74</v>
      </c>
      <c r="G19" s="112">
        <v>73</v>
      </c>
      <c r="H19" s="112">
        <v>77</v>
      </c>
      <c r="I19" s="112">
        <v>90</v>
      </c>
      <c r="J19" s="112">
        <v>94</v>
      </c>
      <c r="K19" s="112">
        <v>93</v>
      </c>
      <c r="L19" s="112">
        <v>93</v>
      </c>
      <c r="M19" s="112">
        <v>91</v>
      </c>
    </row>
    <row r="20" spans="1:13" x14ac:dyDescent="0.25">
      <c r="A20" s="112" t="s">
        <v>193</v>
      </c>
      <c r="B20" s="112">
        <v>12</v>
      </c>
      <c r="C20" s="112">
        <v>17</v>
      </c>
      <c r="D20" s="112">
        <v>26</v>
      </c>
      <c r="E20" s="112">
        <v>52</v>
      </c>
      <c r="F20" s="112">
        <v>69</v>
      </c>
      <c r="G20" s="112">
        <v>71</v>
      </c>
      <c r="H20" s="112">
        <v>79</v>
      </c>
      <c r="I20" s="112">
        <v>91</v>
      </c>
      <c r="J20" s="112">
        <v>93</v>
      </c>
      <c r="K20" s="112">
        <v>95</v>
      </c>
      <c r="L20" s="112">
        <v>94</v>
      </c>
      <c r="M20" s="112">
        <v>92</v>
      </c>
    </row>
    <row r="21" spans="1:13" x14ac:dyDescent="0.25">
      <c r="A21" s="112" t="s">
        <v>192</v>
      </c>
      <c r="B21" s="112">
        <v>10</v>
      </c>
      <c r="C21" s="112">
        <v>15</v>
      </c>
      <c r="D21" s="112">
        <v>23</v>
      </c>
      <c r="E21" s="112">
        <v>58</v>
      </c>
      <c r="F21" s="112">
        <v>73</v>
      </c>
      <c r="G21" s="112">
        <v>77</v>
      </c>
      <c r="H21" s="112">
        <v>89</v>
      </c>
      <c r="I21" s="112">
        <v>103</v>
      </c>
      <c r="J21" s="112">
        <v>106</v>
      </c>
      <c r="K21" s="112">
        <v>107</v>
      </c>
      <c r="L21" s="112">
        <v>110</v>
      </c>
      <c r="M21" s="112">
        <v>108</v>
      </c>
    </row>
    <row r="22" spans="1:13" x14ac:dyDescent="0.25">
      <c r="A22" s="112" t="s">
        <v>191</v>
      </c>
      <c r="B22" s="112">
        <v>11</v>
      </c>
      <c r="C22" s="112">
        <v>16</v>
      </c>
      <c r="D22" s="112">
        <v>22</v>
      </c>
      <c r="E22" s="112">
        <v>56</v>
      </c>
      <c r="F22" s="112">
        <v>72</v>
      </c>
      <c r="G22" s="112">
        <v>75</v>
      </c>
      <c r="H22" s="112">
        <v>77</v>
      </c>
      <c r="I22" s="112">
        <v>87</v>
      </c>
      <c r="J22" s="112">
        <v>89</v>
      </c>
      <c r="K22" s="112">
        <v>90</v>
      </c>
      <c r="L22" s="112">
        <v>86</v>
      </c>
      <c r="M22" s="112">
        <v>86</v>
      </c>
    </row>
    <row r="23" spans="1:13" x14ac:dyDescent="0.25">
      <c r="A23" s="112" t="s">
        <v>190</v>
      </c>
      <c r="B23" s="112">
        <v>10</v>
      </c>
      <c r="C23" s="112">
        <v>15</v>
      </c>
      <c r="D23" s="112">
        <v>23</v>
      </c>
      <c r="E23" s="112">
        <v>57</v>
      </c>
      <c r="F23" s="112">
        <v>72</v>
      </c>
      <c r="G23" s="112">
        <v>79</v>
      </c>
      <c r="H23" s="112">
        <v>89</v>
      </c>
      <c r="I23" s="112">
        <v>96</v>
      </c>
      <c r="J23" s="112">
        <v>100</v>
      </c>
      <c r="K23" s="112">
        <v>106</v>
      </c>
      <c r="L23" s="112">
        <v>108</v>
      </c>
      <c r="M23" s="112">
        <v>105</v>
      </c>
    </row>
    <row r="24" spans="1:13" x14ac:dyDescent="0.25">
      <c r="A24" s="112" t="s">
        <v>189</v>
      </c>
      <c r="B24" s="112">
        <v>12</v>
      </c>
      <c r="C24" s="112">
        <v>16</v>
      </c>
      <c r="D24" s="112">
        <v>23</v>
      </c>
      <c r="E24" s="112">
        <v>59</v>
      </c>
      <c r="F24" s="112">
        <v>67</v>
      </c>
      <c r="G24" s="112">
        <v>70</v>
      </c>
      <c r="H24" s="112">
        <v>80</v>
      </c>
      <c r="I24" s="112">
        <v>93</v>
      </c>
      <c r="J24" s="112">
        <v>99</v>
      </c>
      <c r="K24" s="112">
        <v>101</v>
      </c>
      <c r="L24" s="112">
        <v>102</v>
      </c>
      <c r="M24" s="112">
        <v>101</v>
      </c>
    </row>
    <row r="25" spans="1:13" x14ac:dyDescent="0.25">
      <c r="A25" s="112" t="s">
        <v>188</v>
      </c>
      <c r="B25" s="112">
        <v>10</v>
      </c>
      <c r="C25" s="112">
        <v>15</v>
      </c>
      <c r="D25" s="112">
        <v>23</v>
      </c>
      <c r="E25" s="112">
        <v>39</v>
      </c>
      <c r="F25" s="112">
        <v>50</v>
      </c>
      <c r="G25" s="112">
        <v>56</v>
      </c>
      <c r="H25" s="112">
        <v>66</v>
      </c>
      <c r="I25" s="112">
        <v>79</v>
      </c>
      <c r="J25" s="112">
        <v>86</v>
      </c>
      <c r="K25" s="112">
        <v>95</v>
      </c>
      <c r="L25" s="112">
        <v>97</v>
      </c>
      <c r="M25" s="112">
        <v>94</v>
      </c>
    </row>
    <row r="26" spans="1:13" x14ac:dyDescent="0.25">
      <c r="A26" s="112" t="s">
        <v>187</v>
      </c>
      <c r="B26" s="112">
        <v>8</v>
      </c>
      <c r="C26" s="112">
        <v>13</v>
      </c>
      <c r="D26" s="112">
        <v>26</v>
      </c>
      <c r="E26" s="112">
        <v>57</v>
      </c>
      <c r="F26" s="112">
        <v>75</v>
      </c>
      <c r="G26" s="112">
        <v>87</v>
      </c>
      <c r="H26" s="112">
        <v>102</v>
      </c>
      <c r="I26" s="112">
        <v>115</v>
      </c>
      <c r="J26" s="112">
        <v>118</v>
      </c>
      <c r="K26" s="112">
        <v>121</v>
      </c>
      <c r="L26" s="112">
        <v>123</v>
      </c>
      <c r="M26" s="112">
        <v>122</v>
      </c>
    </row>
    <row r="27" spans="1:13" x14ac:dyDescent="0.25">
      <c r="A27" s="112" t="s">
        <v>186</v>
      </c>
      <c r="B27" s="112">
        <v>8</v>
      </c>
      <c r="C27" s="112">
        <v>12</v>
      </c>
      <c r="D27" s="112">
        <v>19</v>
      </c>
      <c r="E27" s="112">
        <v>35</v>
      </c>
      <c r="F27" s="112">
        <v>53</v>
      </c>
      <c r="G27" s="112">
        <v>57</v>
      </c>
      <c r="H27" s="112">
        <v>70</v>
      </c>
      <c r="I27" s="112">
        <v>81</v>
      </c>
      <c r="J27" s="112">
        <v>86</v>
      </c>
      <c r="K27" s="112">
        <v>90</v>
      </c>
      <c r="L27" s="112">
        <v>93</v>
      </c>
      <c r="M27" s="112">
        <v>92</v>
      </c>
    </row>
    <row r="28" spans="1:13" x14ac:dyDescent="0.25">
      <c r="A28" s="112" t="s">
        <v>185</v>
      </c>
      <c r="B28" s="112">
        <v>7</v>
      </c>
      <c r="C28" s="112">
        <v>11</v>
      </c>
      <c r="D28" s="112">
        <v>21</v>
      </c>
      <c r="E28" s="112">
        <v>51</v>
      </c>
      <c r="F28" s="112">
        <v>73</v>
      </c>
      <c r="G28" s="112">
        <v>83</v>
      </c>
      <c r="H28" s="112">
        <v>97</v>
      </c>
      <c r="I28" s="112">
        <v>121</v>
      </c>
      <c r="J28" s="112">
        <v>123</v>
      </c>
      <c r="K28" s="112">
        <v>125</v>
      </c>
      <c r="L28" s="112">
        <v>126</v>
      </c>
      <c r="M28" s="112">
        <v>131</v>
      </c>
    </row>
    <row r="29" spans="1:13" x14ac:dyDescent="0.25">
      <c r="A29" s="112" t="s">
        <v>184</v>
      </c>
      <c r="B29" s="112">
        <v>11</v>
      </c>
      <c r="C29" s="112">
        <v>15</v>
      </c>
      <c r="D29" s="112">
        <v>20</v>
      </c>
      <c r="E29" s="112">
        <v>45</v>
      </c>
      <c r="F29" s="112">
        <v>63</v>
      </c>
      <c r="G29" s="112">
        <v>65</v>
      </c>
      <c r="H29" s="112">
        <v>71</v>
      </c>
      <c r="I29" s="112">
        <v>84</v>
      </c>
      <c r="J29" s="112">
        <v>90</v>
      </c>
      <c r="K29" s="112">
        <v>94</v>
      </c>
      <c r="L29" s="112">
        <v>99</v>
      </c>
      <c r="M29" s="112">
        <v>104</v>
      </c>
    </row>
    <row r="30" spans="1:13" x14ac:dyDescent="0.25">
      <c r="A30" s="112" t="s">
        <v>183</v>
      </c>
      <c r="B30" s="112">
        <v>7</v>
      </c>
      <c r="C30" s="112">
        <v>11</v>
      </c>
      <c r="D30" s="112">
        <v>17</v>
      </c>
      <c r="E30" s="112">
        <v>41</v>
      </c>
      <c r="F30" s="112">
        <v>62</v>
      </c>
      <c r="G30" s="112">
        <v>69</v>
      </c>
      <c r="H30" s="112">
        <v>79</v>
      </c>
      <c r="I30" s="112">
        <v>98</v>
      </c>
      <c r="J30" s="112">
        <v>99</v>
      </c>
      <c r="K30" s="112">
        <v>100</v>
      </c>
      <c r="L30" s="112">
        <v>103</v>
      </c>
      <c r="M30" s="112">
        <v>105</v>
      </c>
    </row>
    <row r="31" spans="1:13" x14ac:dyDescent="0.25">
      <c r="A31" s="112" t="s">
        <v>182</v>
      </c>
      <c r="B31" s="112">
        <v>9</v>
      </c>
      <c r="C31" s="112">
        <v>13</v>
      </c>
      <c r="D31" s="112">
        <v>22</v>
      </c>
      <c r="E31" s="112">
        <v>55</v>
      </c>
      <c r="F31" s="112">
        <v>78</v>
      </c>
      <c r="G31" s="112">
        <v>82</v>
      </c>
      <c r="H31" s="112">
        <v>93</v>
      </c>
      <c r="I31" s="112">
        <v>96</v>
      </c>
      <c r="J31" s="112">
        <v>100</v>
      </c>
      <c r="K31" s="112">
        <v>113</v>
      </c>
      <c r="L31" s="112">
        <v>112</v>
      </c>
      <c r="M31" s="112">
        <v>115</v>
      </c>
    </row>
    <row r="32" spans="1:13" x14ac:dyDescent="0.25">
      <c r="A32" s="112" t="s">
        <v>181</v>
      </c>
      <c r="B32" s="112">
        <v>10</v>
      </c>
      <c r="C32" s="112">
        <v>15</v>
      </c>
      <c r="D32" s="112">
        <v>24</v>
      </c>
      <c r="E32" s="112">
        <v>52</v>
      </c>
      <c r="F32" s="112">
        <v>73</v>
      </c>
      <c r="G32" s="112">
        <v>75</v>
      </c>
      <c r="H32" s="112">
        <v>84</v>
      </c>
      <c r="I32" s="112">
        <v>101</v>
      </c>
      <c r="J32" s="112">
        <v>104</v>
      </c>
      <c r="K32" s="112">
        <v>108</v>
      </c>
      <c r="L32" s="112">
        <v>109</v>
      </c>
      <c r="M32" s="112">
        <v>111</v>
      </c>
    </row>
    <row r="33" spans="1:13" x14ac:dyDescent="0.25">
      <c r="A33" s="112" t="s">
        <v>180</v>
      </c>
      <c r="B33" s="112">
        <v>9</v>
      </c>
      <c r="C33" s="112">
        <v>14</v>
      </c>
      <c r="D33" s="112">
        <v>20</v>
      </c>
      <c r="E33" s="112">
        <v>45</v>
      </c>
      <c r="F33" s="112">
        <v>70</v>
      </c>
      <c r="G33" s="112">
        <v>76</v>
      </c>
      <c r="H33" s="112">
        <v>92</v>
      </c>
      <c r="I33" s="112">
        <v>108</v>
      </c>
      <c r="J33" s="112">
        <v>109</v>
      </c>
      <c r="K33" s="112">
        <v>107</v>
      </c>
      <c r="L33" s="112">
        <v>108</v>
      </c>
      <c r="M33" s="112">
        <v>104</v>
      </c>
    </row>
    <row r="34" spans="1:13" x14ac:dyDescent="0.25">
      <c r="A34" s="112" t="s">
        <v>179</v>
      </c>
      <c r="B34" s="112">
        <v>7</v>
      </c>
      <c r="C34" s="112">
        <v>13</v>
      </c>
      <c r="D34" s="112">
        <v>18</v>
      </c>
      <c r="E34" s="112">
        <v>31</v>
      </c>
      <c r="F34" s="112">
        <v>50</v>
      </c>
      <c r="G34" s="112">
        <v>51</v>
      </c>
      <c r="H34" s="112">
        <v>54</v>
      </c>
      <c r="I34" s="112">
        <v>64</v>
      </c>
      <c r="J34" s="112">
        <v>69</v>
      </c>
      <c r="K34" s="112">
        <v>71</v>
      </c>
      <c r="L34" s="112">
        <v>76</v>
      </c>
      <c r="M34" s="112">
        <v>79</v>
      </c>
    </row>
    <row r="35" spans="1:13" x14ac:dyDescent="0.25">
      <c r="A35" s="112" t="s">
        <v>178</v>
      </c>
      <c r="B35" s="112">
        <v>7</v>
      </c>
      <c r="C35" s="112">
        <v>11</v>
      </c>
      <c r="D35" s="112">
        <v>17</v>
      </c>
      <c r="E35" s="112">
        <v>45</v>
      </c>
      <c r="F35" s="112">
        <v>62</v>
      </c>
      <c r="G35" s="112">
        <v>70</v>
      </c>
      <c r="H35" s="112">
        <v>91</v>
      </c>
      <c r="I35" s="112">
        <v>96</v>
      </c>
      <c r="J35" s="112">
        <v>101</v>
      </c>
      <c r="K35" s="112">
        <v>106</v>
      </c>
      <c r="L35" s="112">
        <v>108</v>
      </c>
      <c r="M35" s="112">
        <v>109</v>
      </c>
    </row>
    <row r="36" spans="1:13" x14ac:dyDescent="0.25">
      <c r="A36" s="112" t="s">
        <v>177</v>
      </c>
      <c r="B36" s="112">
        <v>11</v>
      </c>
      <c r="C36" s="112">
        <v>15</v>
      </c>
      <c r="D36" s="112">
        <v>19</v>
      </c>
      <c r="E36" s="112">
        <v>41</v>
      </c>
      <c r="F36" s="112">
        <v>63</v>
      </c>
      <c r="G36" s="112">
        <v>69</v>
      </c>
      <c r="H36" s="112">
        <v>85</v>
      </c>
      <c r="I36" s="112">
        <v>97</v>
      </c>
      <c r="J36" s="112">
        <v>100</v>
      </c>
      <c r="K36" s="112">
        <v>103</v>
      </c>
      <c r="L36" s="112">
        <v>105</v>
      </c>
      <c r="M36" s="112">
        <v>110</v>
      </c>
    </row>
    <row r="37" spans="1:13" x14ac:dyDescent="0.25">
      <c r="A37" s="112" t="s">
        <v>176</v>
      </c>
      <c r="B37" s="112">
        <v>8</v>
      </c>
      <c r="C37" s="112">
        <v>13</v>
      </c>
      <c r="D37" s="112">
        <v>19</v>
      </c>
      <c r="E37" s="112">
        <v>46</v>
      </c>
      <c r="F37" s="112">
        <v>67</v>
      </c>
      <c r="G37" s="112">
        <v>76</v>
      </c>
      <c r="H37" s="112">
        <v>90</v>
      </c>
      <c r="I37" s="112">
        <v>98</v>
      </c>
      <c r="J37" s="112">
        <v>102</v>
      </c>
      <c r="K37" s="112">
        <v>107</v>
      </c>
      <c r="L37" s="112">
        <v>109</v>
      </c>
      <c r="M37" s="112">
        <v>106</v>
      </c>
    </row>
    <row r="38" spans="1:13" x14ac:dyDescent="0.25">
      <c r="A38" s="112" t="s">
        <v>175</v>
      </c>
      <c r="B38" s="112">
        <v>15</v>
      </c>
      <c r="C38" s="112">
        <v>19</v>
      </c>
      <c r="D38" s="112">
        <v>34</v>
      </c>
      <c r="E38" s="112">
        <v>63</v>
      </c>
      <c r="F38" s="112">
        <v>89</v>
      </c>
      <c r="G38" s="112">
        <v>92</v>
      </c>
      <c r="H38" s="112">
        <v>108</v>
      </c>
      <c r="I38" s="112">
        <v>113</v>
      </c>
      <c r="J38" s="112">
        <v>117</v>
      </c>
      <c r="K38" s="112">
        <v>123</v>
      </c>
      <c r="L38" s="112">
        <v>127</v>
      </c>
      <c r="M38" s="112">
        <v>122</v>
      </c>
    </row>
    <row r="39" spans="1:13" x14ac:dyDescent="0.25">
      <c r="A39" s="112" t="s">
        <v>174</v>
      </c>
      <c r="B39" s="112">
        <v>16</v>
      </c>
      <c r="C39" s="112">
        <v>21</v>
      </c>
      <c r="D39" s="112">
        <v>30</v>
      </c>
      <c r="E39" s="112">
        <v>64</v>
      </c>
      <c r="F39" s="112">
        <v>87</v>
      </c>
      <c r="G39" s="112">
        <v>92</v>
      </c>
      <c r="H39" s="112">
        <v>106</v>
      </c>
      <c r="I39" s="112">
        <v>111</v>
      </c>
      <c r="J39" s="112">
        <v>115</v>
      </c>
      <c r="K39" s="112">
        <v>120</v>
      </c>
      <c r="L39" s="112">
        <v>125</v>
      </c>
      <c r="M39" s="112">
        <v>123</v>
      </c>
    </row>
    <row r="40" spans="1:13" x14ac:dyDescent="0.25">
      <c r="A40" s="112" t="s">
        <v>173</v>
      </c>
      <c r="B40" s="112">
        <v>17</v>
      </c>
      <c r="C40" s="112">
        <v>24</v>
      </c>
      <c r="D40" s="112">
        <v>37</v>
      </c>
      <c r="E40" s="112">
        <v>68</v>
      </c>
      <c r="F40" s="112">
        <v>89</v>
      </c>
      <c r="G40" s="112">
        <v>95</v>
      </c>
      <c r="H40" s="112">
        <v>111</v>
      </c>
      <c r="I40" s="112">
        <v>119</v>
      </c>
      <c r="J40" s="112">
        <v>125</v>
      </c>
      <c r="K40" s="112">
        <v>129</v>
      </c>
      <c r="L40" s="112">
        <v>131</v>
      </c>
      <c r="M40" s="112">
        <v>131</v>
      </c>
    </row>
    <row r="41" spans="1:13" x14ac:dyDescent="0.25">
      <c r="A41" s="112" t="s">
        <v>172</v>
      </c>
      <c r="B41" s="112">
        <v>9</v>
      </c>
      <c r="C41" s="112">
        <v>17</v>
      </c>
      <c r="D41" s="112">
        <v>27</v>
      </c>
      <c r="E41" s="112">
        <v>57</v>
      </c>
      <c r="F41" s="112">
        <v>83</v>
      </c>
      <c r="G41" s="112">
        <v>85</v>
      </c>
      <c r="H41" s="112">
        <v>87</v>
      </c>
      <c r="I41" s="112">
        <v>91</v>
      </c>
      <c r="J41" s="112">
        <v>99</v>
      </c>
      <c r="K41" s="112">
        <v>108</v>
      </c>
      <c r="L41" s="112">
        <v>114</v>
      </c>
      <c r="M41" s="112">
        <v>110</v>
      </c>
    </row>
    <row r="42" spans="1:13" x14ac:dyDescent="0.25">
      <c r="A42" s="112" t="s">
        <v>171</v>
      </c>
      <c r="B42" s="112">
        <v>12</v>
      </c>
      <c r="C42" s="112">
        <v>21</v>
      </c>
      <c r="D42" s="112">
        <v>32</v>
      </c>
      <c r="E42" s="112">
        <v>68</v>
      </c>
      <c r="F42" s="112">
        <v>97</v>
      </c>
      <c r="G42" s="112">
        <v>100</v>
      </c>
      <c r="H42" s="112">
        <v>104</v>
      </c>
      <c r="I42" s="112">
        <v>107</v>
      </c>
      <c r="J42" s="112">
        <v>110</v>
      </c>
      <c r="K42" s="112">
        <v>114</v>
      </c>
      <c r="L42" s="112">
        <v>113</v>
      </c>
      <c r="M42" s="112">
        <v>115</v>
      </c>
    </row>
    <row r="43" spans="1:13" x14ac:dyDescent="0.25">
      <c r="A43" s="112" t="s">
        <v>170</v>
      </c>
      <c r="B43" s="112">
        <v>15</v>
      </c>
      <c r="C43" s="112">
        <v>23</v>
      </c>
      <c r="D43" s="112">
        <v>32</v>
      </c>
      <c r="E43" s="112">
        <v>62</v>
      </c>
      <c r="F43" s="112">
        <v>77</v>
      </c>
      <c r="G43" s="112">
        <v>79</v>
      </c>
      <c r="H43" s="112">
        <v>82</v>
      </c>
      <c r="I43" s="112">
        <v>89</v>
      </c>
      <c r="J43" s="112">
        <v>91</v>
      </c>
      <c r="K43" s="112">
        <v>94</v>
      </c>
      <c r="L43" s="112">
        <v>94</v>
      </c>
      <c r="M43" s="112">
        <v>91</v>
      </c>
    </row>
    <row r="44" spans="1:13" x14ac:dyDescent="0.25">
      <c r="A44" s="112" t="s">
        <v>169</v>
      </c>
      <c r="B44" s="112">
        <v>16</v>
      </c>
      <c r="C44" s="112">
        <v>23</v>
      </c>
      <c r="D44" s="112">
        <v>32</v>
      </c>
      <c r="E44" s="112">
        <v>70</v>
      </c>
      <c r="F44" s="112">
        <v>85</v>
      </c>
      <c r="G44" s="112">
        <v>92</v>
      </c>
      <c r="H44" s="112">
        <v>102</v>
      </c>
      <c r="I44" s="112">
        <v>113</v>
      </c>
      <c r="J44" s="112">
        <v>116</v>
      </c>
      <c r="K44" s="112">
        <v>117</v>
      </c>
      <c r="L44" s="112">
        <v>118</v>
      </c>
      <c r="M44" s="112">
        <v>110</v>
      </c>
    </row>
    <row r="45" spans="1:13" x14ac:dyDescent="0.25">
      <c r="A45" s="112" t="s">
        <v>168</v>
      </c>
      <c r="B45" s="112">
        <v>9</v>
      </c>
      <c r="C45" s="112">
        <v>14</v>
      </c>
      <c r="D45" s="112">
        <v>22</v>
      </c>
      <c r="E45" s="112">
        <v>46</v>
      </c>
      <c r="F45" s="112">
        <v>75</v>
      </c>
      <c r="G45" s="112">
        <v>80</v>
      </c>
      <c r="H45" s="112">
        <v>94</v>
      </c>
      <c r="I45" s="112">
        <v>100</v>
      </c>
      <c r="J45" s="112">
        <v>104</v>
      </c>
      <c r="K45" s="112">
        <v>109</v>
      </c>
      <c r="L45" s="112">
        <v>115</v>
      </c>
      <c r="M45" s="112">
        <v>110</v>
      </c>
    </row>
    <row r="46" spans="1:13" x14ac:dyDescent="0.25">
      <c r="A46" s="112" t="s">
        <v>167</v>
      </c>
      <c r="B46" s="112">
        <v>13</v>
      </c>
      <c r="C46" s="112">
        <v>19</v>
      </c>
      <c r="D46" s="112">
        <v>28</v>
      </c>
      <c r="E46" s="112">
        <v>63</v>
      </c>
      <c r="F46" s="112">
        <v>81</v>
      </c>
      <c r="G46" s="112">
        <v>89</v>
      </c>
      <c r="H46" s="112">
        <v>109</v>
      </c>
      <c r="I46" s="112">
        <v>117</v>
      </c>
      <c r="J46" s="112">
        <v>119</v>
      </c>
      <c r="K46" s="112">
        <v>118</v>
      </c>
      <c r="L46" s="112">
        <v>121</v>
      </c>
      <c r="M46" s="112">
        <v>112</v>
      </c>
    </row>
    <row r="47" spans="1:13" x14ac:dyDescent="0.25">
      <c r="A47" s="112" t="s">
        <v>166</v>
      </c>
      <c r="B47" s="112">
        <v>9</v>
      </c>
      <c r="C47" s="112">
        <v>14</v>
      </c>
      <c r="D47" s="112">
        <v>25</v>
      </c>
      <c r="E47" s="112">
        <v>53</v>
      </c>
      <c r="F47" s="112">
        <v>78</v>
      </c>
      <c r="G47" s="112">
        <v>88</v>
      </c>
      <c r="H47" s="112">
        <v>108</v>
      </c>
      <c r="I47" s="112">
        <v>116</v>
      </c>
      <c r="J47" s="112">
        <v>120</v>
      </c>
      <c r="K47" s="112">
        <v>123</v>
      </c>
      <c r="L47" s="112">
        <v>128</v>
      </c>
      <c r="M47" s="112">
        <v>125</v>
      </c>
    </row>
    <row r="48" spans="1:13" x14ac:dyDescent="0.25">
      <c r="A48" s="112" t="s">
        <v>165</v>
      </c>
      <c r="B48" s="112">
        <v>14</v>
      </c>
      <c r="C48" s="112">
        <v>19</v>
      </c>
      <c r="D48" s="112">
        <v>25</v>
      </c>
      <c r="E48" s="112">
        <v>59</v>
      </c>
      <c r="F48" s="112">
        <v>73</v>
      </c>
      <c r="G48" s="112">
        <v>76</v>
      </c>
      <c r="H48" s="112">
        <v>85</v>
      </c>
      <c r="I48" s="112">
        <v>98</v>
      </c>
      <c r="J48" s="112">
        <v>103</v>
      </c>
      <c r="K48" s="112">
        <v>109</v>
      </c>
      <c r="L48" s="112">
        <v>113</v>
      </c>
      <c r="M48" s="112">
        <v>112</v>
      </c>
    </row>
    <row r="49" spans="1:13" x14ac:dyDescent="0.25">
      <c r="A49" s="112" t="s">
        <v>164</v>
      </c>
      <c r="B49" s="112">
        <v>13</v>
      </c>
      <c r="C49" s="112">
        <v>17</v>
      </c>
      <c r="D49" s="112">
        <v>25</v>
      </c>
      <c r="E49" s="112">
        <v>55</v>
      </c>
      <c r="F49" s="112">
        <v>75</v>
      </c>
      <c r="G49" s="112">
        <v>78</v>
      </c>
      <c r="H49" s="112">
        <v>87</v>
      </c>
      <c r="I49" s="112">
        <v>98</v>
      </c>
      <c r="J49" s="112">
        <v>101</v>
      </c>
      <c r="K49" s="112">
        <v>103</v>
      </c>
      <c r="L49" s="112">
        <v>102</v>
      </c>
      <c r="M49" s="112">
        <v>107</v>
      </c>
    </row>
    <row r="50" spans="1:13" x14ac:dyDescent="0.25">
      <c r="A50" s="112" t="s">
        <v>163</v>
      </c>
      <c r="B50" s="112">
        <v>14</v>
      </c>
      <c r="C50" s="112">
        <v>21</v>
      </c>
      <c r="D50" s="112">
        <v>32</v>
      </c>
      <c r="E50" s="112">
        <v>67</v>
      </c>
      <c r="F50" s="112">
        <v>84</v>
      </c>
      <c r="G50" s="112">
        <v>93</v>
      </c>
      <c r="H50" s="112">
        <v>108</v>
      </c>
      <c r="I50" s="112">
        <v>114</v>
      </c>
      <c r="J50" s="112">
        <v>117</v>
      </c>
      <c r="K50" s="112">
        <v>122</v>
      </c>
      <c r="L50" s="112">
        <v>121</v>
      </c>
      <c r="M50" s="112">
        <v>122</v>
      </c>
    </row>
    <row r="51" spans="1:13" x14ac:dyDescent="0.25">
      <c r="A51" s="112" t="s">
        <v>162</v>
      </c>
      <c r="B51" s="112">
        <v>16</v>
      </c>
      <c r="C51" s="112">
        <v>24</v>
      </c>
      <c r="D51" s="112">
        <v>32</v>
      </c>
      <c r="E51" s="112">
        <v>66</v>
      </c>
      <c r="F51" s="112">
        <v>84</v>
      </c>
      <c r="G51" s="112">
        <v>94</v>
      </c>
      <c r="H51" s="112">
        <v>103</v>
      </c>
      <c r="I51" s="112">
        <v>108</v>
      </c>
      <c r="J51" s="112">
        <v>111</v>
      </c>
      <c r="K51" s="112">
        <v>116</v>
      </c>
      <c r="L51" s="112">
        <v>118</v>
      </c>
      <c r="M51" s="112">
        <v>118</v>
      </c>
    </row>
    <row r="52" spans="1:13" x14ac:dyDescent="0.25">
      <c r="A52" s="112" t="s">
        <v>161</v>
      </c>
      <c r="B52" s="112">
        <v>15</v>
      </c>
      <c r="C52" s="112">
        <v>22</v>
      </c>
      <c r="D52" s="112">
        <v>33</v>
      </c>
      <c r="E52" s="112">
        <v>60</v>
      </c>
      <c r="F52" s="112">
        <v>79</v>
      </c>
      <c r="G52" s="112">
        <v>82</v>
      </c>
      <c r="H52" s="112">
        <v>88</v>
      </c>
      <c r="I52" s="112">
        <v>92</v>
      </c>
      <c r="J52" s="112">
        <v>94</v>
      </c>
      <c r="K52" s="112">
        <v>97</v>
      </c>
      <c r="L52" s="112">
        <v>98</v>
      </c>
      <c r="M52" s="112">
        <v>99</v>
      </c>
    </row>
    <row r="53" spans="1:13" x14ac:dyDescent="0.25">
      <c r="A53" s="112" t="s">
        <v>160</v>
      </c>
      <c r="B53" s="112">
        <v>15</v>
      </c>
      <c r="C53" s="112">
        <v>21</v>
      </c>
      <c r="D53" s="112">
        <v>27</v>
      </c>
      <c r="E53" s="112">
        <v>50</v>
      </c>
      <c r="F53" s="112">
        <v>71</v>
      </c>
      <c r="G53" s="112">
        <v>78</v>
      </c>
      <c r="H53" s="112">
        <v>88</v>
      </c>
      <c r="I53" s="112">
        <v>91</v>
      </c>
      <c r="J53" s="112">
        <v>93</v>
      </c>
      <c r="K53" s="112">
        <v>94</v>
      </c>
      <c r="L53" s="112">
        <v>93</v>
      </c>
      <c r="M53" s="112">
        <v>94</v>
      </c>
    </row>
    <row r="54" spans="1:13" x14ac:dyDescent="0.25">
      <c r="A54" s="112" t="s">
        <v>159</v>
      </c>
      <c r="B54" s="112">
        <v>13</v>
      </c>
      <c r="C54" s="112">
        <v>19</v>
      </c>
      <c r="D54" s="112">
        <v>27</v>
      </c>
      <c r="E54" s="112">
        <v>54</v>
      </c>
      <c r="F54" s="112">
        <v>75</v>
      </c>
      <c r="G54" s="112">
        <v>76</v>
      </c>
      <c r="H54" s="112">
        <v>80</v>
      </c>
      <c r="I54" s="112">
        <v>82</v>
      </c>
      <c r="J54" s="112">
        <v>82</v>
      </c>
      <c r="K54" s="112">
        <v>84</v>
      </c>
      <c r="L54" s="112">
        <v>83</v>
      </c>
      <c r="M54" s="112">
        <v>84</v>
      </c>
    </row>
    <row r="55" spans="1:13" x14ac:dyDescent="0.25">
      <c r="A55" s="112" t="s">
        <v>158</v>
      </c>
      <c r="B55" s="112">
        <v>11</v>
      </c>
      <c r="C55" s="112">
        <v>18</v>
      </c>
      <c r="D55" s="112">
        <v>26</v>
      </c>
      <c r="E55" s="112">
        <v>55</v>
      </c>
      <c r="F55" s="112">
        <v>77</v>
      </c>
      <c r="G55" s="112">
        <v>78</v>
      </c>
      <c r="H55" s="112">
        <v>83</v>
      </c>
      <c r="I55" s="112">
        <v>87</v>
      </c>
      <c r="J55" s="112">
        <v>91</v>
      </c>
      <c r="K55" s="112">
        <v>93</v>
      </c>
      <c r="L55" s="112">
        <v>93</v>
      </c>
      <c r="M55" s="112">
        <v>92</v>
      </c>
    </row>
    <row r="56" spans="1:13" x14ac:dyDescent="0.25">
      <c r="A56" s="112" t="s">
        <v>157</v>
      </c>
      <c r="B56" s="112">
        <v>9</v>
      </c>
      <c r="C56" s="112">
        <v>15</v>
      </c>
      <c r="D56" s="112">
        <v>22</v>
      </c>
      <c r="E56" s="112">
        <v>52</v>
      </c>
      <c r="F56" s="112">
        <v>73</v>
      </c>
      <c r="G56" s="112">
        <v>76</v>
      </c>
      <c r="H56" s="112">
        <v>86</v>
      </c>
      <c r="I56" s="112">
        <v>95</v>
      </c>
      <c r="J56" s="112">
        <v>98</v>
      </c>
      <c r="K56" s="112">
        <v>101</v>
      </c>
      <c r="L56" s="112">
        <v>100</v>
      </c>
      <c r="M56" s="112">
        <v>98</v>
      </c>
    </row>
    <row r="57" spans="1:13" x14ac:dyDescent="0.25">
      <c r="A57" s="112" t="s">
        <v>156</v>
      </c>
      <c r="B57" s="112">
        <v>12</v>
      </c>
      <c r="C57" s="112">
        <v>19</v>
      </c>
      <c r="D57" s="112">
        <v>27</v>
      </c>
      <c r="E57" s="112">
        <v>56</v>
      </c>
      <c r="F57" s="112">
        <v>77</v>
      </c>
      <c r="G57" s="112">
        <v>78</v>
      </c>
      <c r="H57" s="112">
        <v>76</v>
      </c>
      <c r="I57" s="112">
        <v>79</v>
      </c>
      <c r="J57" s="112">
        <v>81</v>
      </c>
      <c r="K57" s="112">
        <v>82</v>
      </c>
      <c r="L57" s="112">
        <v>83</v>
      </c>
      <c r="M57" s="112">
        <v>83</v>
      </c>
    </row>
    <row r="58" spans="1:13" x14ac:dyDescent="0.25">
      <c r="A58" s="112" t="s">
        <v>155</v>
      </c>
      <c r="B58" s="112">
        <v>10</v>
      </c>
      <c r="C58" s="112">
        <v>18</v>
      </c>
      <c r="D58" s="112">
        <v>30</v>
      </c>
      <c r="E58" s="112">
        <v>59</v>
      </c>
      <c r="F58" s="112">
        <v>79</v>
      </c>
      <c r="G58" s="112">
        <v>78</v>
      </c>
      <c r="H58" s="112">
        <v>79</v>
      </c>
      <c r="I58" s="112">
        <v>81</v>
      </c>
      <c r="J58" s="112">
        <v>84</v>
      </c>
      <c r="K58" s="112">
        <v>86</v>
      </c>
      <c r="L58" s="112">
        <v>85</v>
      </c>
      <c r="M58" s="112">
        <v>86</v>
      </c>
    </row>
    <row r="59" spans="1:13" x14ac:dyDescent="0.25">
      <c r="A59" s="112" t="s">
        <v>154</v>
      </c>
      <c r="B59" s="112">
        <v>14</v>
      </c>
      <c r="C59" s="112">
        <v>21</v>
      </c>
      <c r="D59" s="112">
        <v>29</v>
      </c>
      <c r="E59" s="112">
        <v>60</v>
      </c>
      <c r="F59" s="112">
        <v>79</v>
      </c>
      <c r="G59" s="112">
        <v>84</v>
      </c>
      <c r="H59" s="112">
        <v>87</v>
      </c>
      <c r="I59" s="112">
        <v>94</v>
      </c>
      <c r="J59" s="112">
        <v>99</v>
      </c>
      <c r="K59" s="112">
        <v>103</v>
      </c>
      <c r="L59" s="112">
        <v>105</v>
      </c>
      <c r="M59" s="112">
        <v>101</v>
      </c>
    </row>
    <row r="60" spans="1:13" x14ac:dyDescent="0.25">
      <c r="A60" s="112" t="s">
        <v>153</v>
      </c>
      <c r="B60" s="112">
        <v>11</v>
      </c>
      <c r="C60" s="112">
        <v>19</v>
      </c>
      <c r="D60" s="112">
        <v>24</v>
      </c>
      <c r="E60" s="112">
        <v>46</v>
      </c>
      <c r="F60" s="112">
        <v>69</v>
      </c>
      <c r="G60" s="112">
        <v>75</v>
      </c>
      <c r="H60" s="112">
        <v>83</v>
      </c>
      <c r="I60" s="112">
        <v>90</v>
      </c>
      <c r="J60" s="112">
        <v>96</v>
      </c>
      <c r="K60" s="112">
        <v>101</v>
      </c>
      <c r="L60" s="112">
        <v>102</v>
      </c>
      <c r="M60" s="112">
        <v>102</v>
      </c>
    </row>
    <row r="61" spans="1:13" x14ac:dyDescent="0.25">
      <c r="A61" s="112" t="s">
        <v>152</v>
      </c>
      <c r="B61" s="112">
        <v>13</v>
      </c>
      <c r="C61" s="112">
        <v>21</v>
      </c>
      <c r="D61" s="112">
        <v>26</v>
      </c>
      <c r="E61" s="112">
        <v>61</v>
      </c>
      <c r="F61" s="112">
        <v>82</v>
      </c>
      <c r="G61" s="112">
        <v>86</v>
      </c>
      <c r="H61" s="112">
        <v>96</v>
      </c>
      <c r="I61" s="112">
        <v>103</v>
      </c>
      <c r="J61" s="112">
        <v>108</v>
      </c>
      <c r="K61" s="112">
        <v>110</v>
      </c>
      <c r="L61" s="112">
        <v>109</v>
      </c>
      <c r="M61" s="112">
        <v>106</v>
      </c>
    </row>
    <row r="62" spans="1:13" x14ac:dyDescent="0.25">
      <c r="A62" s="112" t="s">
        <v>151</v>
      </c>
      <c r="B62" s="112">
        <v>12</v>
      </c>
      <c r="C62" s="112">
        <v>17</v>
      </c>
      <c r="D62" s="112">
        <v>23</v>
      </c>
      <c r="E62" s="112">
        <v>53</v>
      </c>
      <c r="F62" s="112">
        <v>69</v>
      </c>
      <c r="G62" s="112">
        <v>76</v>
      </c>
      <c r="H62" s="112">
        <v>98</v>
      </c>
      <c r="I62" s="112">
        <v>110</v>
      </c>
      <c r="J62" s="112">
        <v>115</v>
      </c>
      <c r="K62" s="112">
        <v>115</v>
      </c>
      <c r="L62" s="112">
        <v>116</v>
      </c>
      <c r="M62" s="112">
        <v>114</v>
      </c>
    </row>
    <row r="63" spans="1:13" x14ac:dyDescent="0.25">
      <c r="A63" s="112" t="s">
        <v>150</v>
      </c>
      <c r="B63" s="112">
        <v>9</v>
      </c>
      <c r="C63" s="112">
        <v>15</v>
      </c>
      <c r="D63" s="112">
        <v>19</v>
      </c>
      <c r="E63" s="112">
        <v>43</v>
      </c>
      <c r="F63" s="112">
        <v>63</v>
      </c>
      <c r="G63" s="112">
        <v>76</v>
      </c>
      <c r="H63" s="112">
        <v>97</v>
      </c>
      <c r="I63" s="112">
        <v>109</v>
      </c>
      <c r="J63" s="112">
        <v>115</v>
      </c>
      <c r="K63" s="112">
        <v>117</v>
      </c>
      <c r="L63" s="112">
        <v>108</v>
      </c>
      <c r="M63" s="112">
        <v>110</v>
      </c>
    </row>
    <row r="64" spans="1:13" x14ac:dyDescent="0.25">
      <c r="A64" s="112" t="s">
        <v>149</v>
      </c>
      <c r="B64" s="112">
        <v>7</v>
      </c>
      <c r="C64" s="112">
        <v>12</v>
      </c>
      <c r="D64" s="112">
        <v>21</v>
      </c>
      <c r="E64" s="112">
        <v>34</v>
      </c>
      <c r="F64" s="112">
        <v>55</v>
      </c>
      <c r="G64" s="112">
        <v>65</v>
      </c>
      <c r="H64" s="112">
        <v>79</v>
      </c>
      <c r="I64" s="112">
        <v>88</v>
      </c>
      <c r="J64" s="112">
        <v>93</v>
      </c>
      <c r="K64" s="112">
        <v>97</v>
      </c>
      <c r="L64" s="112">
        <v>101</v>
      </c>
      <c r="M64" s="112">
        <v>104</v>
      </c>
    </row>
    <row r="65" spans="1:13" x14ac:dyDescent="0.25">
      <c r="A65" s="112" t="s">
        <v>148</v>
      </c>
      <c r="B65" s="112">
        <v>6</v>
      </c>
      <c r="C65" s="112">
        <v>12</v>
      </c>
      <c r="D65" s="112">
        <v>21</v>
      </c>
      <c r="E65" s="112">
        <v>44</v>
      </c>
      <c r="F65" s="112">
        <v>61</v>
      </c>
      <c r="G65" s="112">
        <v>74</v>
      </c>
      <c r="H65" s="112">
        <v>94</v>
      </c>
      <c r="I65" s="112">
        <v>105</v>
      </c>
      <c r="J65" s="112">
        <v>108</v>
      </c>
      <c r="K65" s="112">
        <v>110</v>
      </c>
      <c r="L65" s="112">
        <v>108</v>
      </c>
      <c r="M65" s="112">
        <v>104</v>
      </c>
    </row>
    <row r="66" spans="1:13" x14ac:dyDescent="0.25">
      <c r="A66" s="112" t="s">
        <v>147</v>
      </c>
      <c r="B66" s="112">
        <v>6</v>
      </c>
      <c r="C66" s="112">
        <v>11</v>
      </c>
      <c r="D66" s="112">
        <v>16</v>
      </c>
      <c r="E66" s="112">
        <v>37</v>
      </c>
      <c r="F66" s="112">
        <v>53</v>
      </c>
      <c r="G66" s="112">
        <v>63</v>
      </c>
      <c r="H66" s="112">
        <v>85</v>
      </c>
      <c r="I66" s="112">
        <v>91</v>
      </c>
      <c r="J66" s="112">
        <v>95</v>
      </c>
      <c r="K66" s="112">
        <v>102</v>
      </c>
      <c r="L66" s="112">
        <v>101</v>
      </c>
      <c r="M66" s="112">
        <v>97</v>
      </c>
    </row>
    <row r="67" spans="1:13" x14ac:dyDescent="0.25">
      <c r="A67" s="112" t="s">
        <v>146</v>
      </c>
      <c r="B67" s="112">
        <v>4</v>
      </c>
      <c r="C67" s="112">
        <v>9</v>
      </c>
      <c r="D67" s="112">
        <v>16</v>
      </c>
      <c r="E67" s="112">
        <v>39</v>
      </c>
      <c r="F67" s="112">
        <v>58</v>
      </c>
      <c r="G67" s="112">
        <v>60</v>
      </c>
      <c r="H67" s="112">
        <v>89</v>
      </c>
      <c r="I67" s="112">
        <v>97</v>
      </c>
      <c r="J67" s="112">
        <v>104</v>
      </c>
      <c r="K67" s="112">
        <v>107</v>
      </c>
      <c r="L67" s="112">
        <v>105</v>
      </c>
      <c r="M67" s="112">
        <v>103</v>
      </c>
    </row>
    <row r="68" spans="1:13" x14ac:dyDescent="0.25">
      <c r="A68" s="112" t="s">
        <v>145</v>
      </c>
      <c r="B68" s="112">
        <v>6</v>
      </c>
      <c r="C68" s="112">
        <v>13</v>
      </c>
      <c r="D68" s="112">
        <v>17</v>
      </c>
      <c r="E68" s="112">
        <v>45</v>
      </c>
      <c r="F68" s="112">
        <v>58</v>
      </c>
      <c r="G68" s="112">
        <v>66</v>
      </c>
      <c r="H68" s="112">
        <v>81</v>
      </c>
      <c r="I68" s="112">
        <v>88</v>
      </c>
      <c r="J68" s="112">
        <v>93</v>
      </c>
      <c r="K68" s="112">
        <v>97</v>
      </c>
      <c r="L68" s="112">
        <v>101</v>
      </c>
      <c r="M68" s="112">
        <v>99</v>
      </c>
    </row>
    <row r="69" spans="1:13" x14ac:dyDescent="0.25">
      <c r="A69" s="112" t="s">
        <v>144</v>
      </c>
      <c r="B69" s="112">
        <v>6</v>
      </c>
      <c r="C69" s="112">
        <v>13</v>
      </c>
      <c r="D69" s="112">
        <v>20</v>
      </c>
      <c r="E69" s="112">
        <v>47</v>
      </c>
      <c r="F69" s="112">
        <v>62</v>
      </c>
      <c r="G69" s="112">
        <v>72</v>
      </c>
      <c r="H69" s="112">
        <v>88</v>
      </c>
      <c r="I69" s="112">
        <v>93</v>
      </c>
      <c r="J69" s="112">
        <v>97</v>
      </c>
      <c r="K69" s="112">
        <v>101</v>
      </c>
      <c r="L69" s="112">
        <v>104</v>
      </c>
      <c r="M69" s="112">
        <v>102</v>
      </c>
    </row>
    <row r="70" spans="1:13" x14ac:dyDescent="0.25">
      <c r="A70" s="112" t="s">
        <v>143</v>
      </c>
      <c r="B70" s="112">
        <v>5</v>
      </c>
      <c r="C70" s="112">
        <v>11</v>
      </c>
      <c r="D70" s="112">
        <v>17</v>
      </c>
      <c r="E70" s="112">
        <v>44</v>
      </c>
      <c r="F70" s="112">
        <v>57</v>
      </c>
      <c r="G70" s="112">
        <v>62</v>
      </c>
      <c r="H70" s="112">
        <v>71</v>
      </c>
      <c r="I70" s="112">
        <v>78</v>
      </c>
      <c r="J70" s="112">
        <v>83</v>
      </c>
      <c r="K70" s="112">
        <v>86</v>
      </c>
      <c r="L70" s="112">
        <v>88</v>
      </c>
      <c r="M70" s="112">
        <v>89</v>
      </c>
    </row>
    <row r="71" spans="1:13" x14ac:dyDescent="0.25">
      <c r="A71" s="112" t="s">
        <v>142</v>
      </c>
      <c r="B71" s="112">
        <v>7</v>
      </c>
      <c r="C71" s="112">
        <v>13</v>
      </c>
      <c r="D71" s="112">
        <v>19</v>
      </c>
      <c r="E71" s="112">
        <v>54</v>
      </c>
      <c r="F71" s="112">
        <v>72</v>
      </c>
      <c r="G71" s="112">
        <v>79</v>
      </c>
      <c r="H71" s="112">
        <v>91</v>
      </c>
      <c r="I71" s="112">
        <v>102</v>
      </c>
      <c r="J71" s="112">
        <v>108</v>
      </c>
      <c r="K71" s="112">
        <v>110</v>
      </c>
      <c r="L71" s="112">
        <v>112</v>
      </c>
      <c r="M71" s="112">
        <v>115</v>
      </c>
    </row>
    <row r="72" spans="1:13" x14ac:dyDescent="0.25">
      <c r="A72" s="112" t="s">
        <v>141</v>
      </c>
      <c r="B72" s="112">
        <v>6</v>
      </c>
      <c r="C72" s="112">
        <v>10</v>
      </c>
      <c r="D72" s="112">
        <v>19</v>
      </c>
      <c r="E72" s="112">
        <v>44</v>
      </c>
      <c r="F72" s="112">
        <v>67</v>
      </c>
      <c r="G72" s="112">
        <v>71</v>
      </c>
      <c r="H72" s="112">
        <v>77</v>
      </c>
      <c r="I72" s="112">
        <v>90</v>
      </c>
      <c r="J72" s="112">
        <v>95</v>
      </c>
      <c r="K72" s="112">
        <v>99</v>
      </c>
      <c r="L72" s="112">
        <v>101</v>
      </c>
      <c r="M72" s="112">
        <v>104</v>
      </c>
    </row>
    <row r="73" spans="1:13" x14ac:dyDescent="0.25">
      <c r="A73" s="112" t="s">
        <v>140</v>
      </c>
      <c r="B73" s="112">
        <v>5</v>
      </c>
      <c r="C73" s="112">
        <v>9</v>
      </c>
      <c r="D73" s="112">
        <v>19</v>
      </c>
      <c r="E73" s="112">
        <v>41</v>
      </c>
      <c r="F73" s="112">
        <v>64</v>
      </c>
      <c r="G73" s="112">
        <v>65</v>
      </c>
      <c r="H73" s="112">
        <v>69</v>
      </c>
      <c r="I73" s="112">
        <v>78</v>
      </c>
      <c r="J73" s="112">
        <v>83</v>
      </c>
      <c r="K73" s="112">
        <v>88</v>
      </c>
      <c r="L73" s="112">
        <v>93</v>
      </c>
      <c r="M73" s="112">
        <v>95</v>
      </c>
    </row>
    <row r="74" spans="1:13" x14ac:dyDescent="0.25">
      <c r="A74" s="112" t="s">
        <v>139</v>
      </c>
      <c r="B74" s="112">
        <v>11</v>
      </c>
      <c r="C74" s="112">
        <v>16</v>
      </c>
      <c r="D74" s="112">
        <v>30</v>
      </c>
      <c r="E74" s="112">
        <v>61</v>
      </c>
      <c r="F74" s="112">
        <v>79</v>
      </c>
      <c r="G74" s="112">
        <v>81</v>
      </c>
      <c r="H74" s="112">
        <v>88</v>
      </c>
      <c r="I74" s="112">
        <v>96</v>
      </c>
      <c r="J74" s="112">
        <v>101</v>
      </c>
      <c r="K74" s="112">
        <v>104</v>
      </c>
      <c r="L74" s="112">
        <v>106</v>
      </c>
      <c r="M74" s="112">
        <v>105</v>
      </c>
    </row>
    <row r="75" spans="1:13" x14ac:dyDescent="0.25">
      <c r="A75" s="112" t="s">
        <v>138</v>
      </c>
      <c r="B75" s="112">
        <v>14</v>
      </c>
      <c r="C75" s="112">
        <v>20</v>
      </c>
      <c r="D75" s="112">
        <v>26</v>
      </c>
      <c r="E75" s="112">
        <v>56</v>
      </c>
      <c r="F75" s="112">
        <v>77</v>
      </c>
      <c r="G75" s="112">
        <v>78</v>
      </c>
      <c r="H75" s="112">
        <v>82</v>
      </c>
      <c r="I75" s="112">
        <v>88</v>
      </c>
      <c r="J75" s="112">
        <v>92</v>
      </c>
      <c r="K75" s="112">
        <v>94</v>
      </c>
      <c r="L75" s="112">
        <v>94</v>
      </c>
      <c r="M75" s="112">
        <v>95</v>
      </c>
    </row>
    <row r="76" spans="1:13" x14ac:dyDescent="0.25">
      <c r="A76" s="112" t="s">
        <v>137</v>
      </c>
      <c r="B76" s="112">
        <v>16</v>
      </c>
      <c r="C76" s="112">
        <v>21</v>
      </c>
      <c r="D76" s="112">
        <v>31</v>
      </c>
      <c r="E76" s="112">
        <v>55</v>
      </c>
      <c r="F76" s="112">
        <v>74</v>
      </c>
      <c r="G76" s="112">
        <v>74</v>
      </c>
      <c r="H76" s="112">
        <v>74</v>
      </c>
      <c r="I76" s="112">
        <v>78</v>
      </c>
      <c r="J76" s="112">
        <v>81</v>
      </c>
      <c r="K76" s="112">
        <v>84</v>
      </c>
      <c r="L76" s="112">
        <v>85</v>
      </c>
      <c r="M76" s="112">
        <v>85</v>
      </c>
    </row>
    <row r="77" spans="1:13" x14ac:dyDescent="0.25">
      <c r="A77" s="112" t="s">
        <v>136</v>
      </c>
      <c r="B77" s="112">
        <v>11</v>
      </c>
      <c r="C77" s="112">
        <v>16</v>
      </c>
      <c r="D77" s="112">
        <v>21</v>
      </c>
      <c r="E77" s="112">
        <v>39</v>
      </c>
      <c r="F77" s="112">
        <v>61</v>
      </c>
      <c r="G77" s="112">
        <v>62</v>
      </c>
      <c r="H77" s="112">
        <v>62</v>
      </c>
      <c r="I77" s="112">
        <v>69</v>
      </c>
      <c r="J77" s="112">
        <v>73</v>
      </c>
      <c r="K77" s="112">
        <v>77</v>
      </c>
      <c r="L77" s="112">
        <v>80</v>
      </c>
      <c r="M77" s="112">
        <v>81</v>
      </c>
    </row>
    <row r="78" spans="1:13" x14ac:dyDescent="0.25">
      <c r="A78" s="112" t="s">
        <v>135</v>
      </c>
      <c r="B78" s="112">
        <v>14</v>
      </c>
      <c r="C78" s="112">
        <v>21</v>
      </c>
      <c r="D78" s="112">
        <v>28</v>
      </c>
      <c r="E78" s="112">
        <v>58</v>
      </c>
      <c r="F78" s="112">
        <v>82</v>
      </c>
      <c r="G78" s="112">
        <v>85</v>
      </c>
      <c r="H78" s="112">
        <v>94</v>
      </c>
      <c r="I78" s="112">
        <v>104</v>
      </c>
      <c r="J78" s="112">
        <v>111</v>
      </c>
      <c r="K78" s="112">
        <v>116</v>
      </c>
      <c r="L78" s="112">
        <v>118</v>
      </c>
      <c r="M78" s="112">
        <v>111</v>
      </c>
    </row>
    <row r="79" spans="1:13" x14ac:dyDescent="0.25">
      <c r="A79" s="112" t="s">
        <v>134</v>
      </c>
      <c r="B79" s="112">
        <v>10</v>
      </c>
      <c r="C79" s="112">
        <v>16</v>
      </c>
      <c r="D79" s="112">
        <v>23</v>
      </c>
      <c r="E79" s="112">
        <v>55</v>
      </c>
      <c r="F79" s="112">
        <v>80</v>
      </c>
      <c r="G79" s="112">
        <v>81</v>
      </c>
      <c r="H79" s="112">
        <v>85</v>
      </c>
      <c r="I79" s="112">
        <v>96</v>
      </c>
      <c r="J79" s="112">
        <v>102</v>
      </c>
      <c r="K79" s="112">
        <v>108</v>
      </c>
      <c r="L79" s="112">
        <v>110</v>
      </c>
      <c r="M79" s="112">
        <v>112</v>
      </c>
    </row>
    <row r="80" spans="1:13" x14ac:dyDescent="0.25">
      <c r="A80" s="112" t="s">
        <v>133</v>
      </c>
      <c r="B80" s="112">
        <v>8</v>
      </c>
      <c r="C80" s="112">
        <v>14</v>
      </c>
      <c r="D80" s="112">
        <v>16</v>
      </c>
      <c r="E80" s="112">
        <v>42</v>
      </c>
      <c r="F80" s="112">
        <v>46</v>
      </c>
      <c r="G80" s="112">
        <v>58</v>
      </c>
      <c r="H80" s="112">
        <v>77</v>
      </c>
      <c r="I80" s="112">
        <v>89</v>
      </c>
      <c r="J80" s="112">
        <v>93</v>
      </c>
      <c r="K80" s="112">
        <v>97</v>
      </c>
      <c r="L80" s="112">
        <v>98</v>
      </c>
      <c r="M80" s="112">
        <v>98</v>
      </c>
    </row>
    <row r="81" spans="1:13" x14ac:dyDescent="0.25">
      <c r="A81" s="112" t="s">
        <v>132</v>
      </c>
      <c r="B81" s="112">
        <v>13</v>
      </c>
      <c r="C81" s="112">
        <v>21</v>
      </c>
      <c r="D81" s="112">
        <v>31</v>
      </c>
      <c r="E81" s="112">
        <v>63</v>
      </c>
      <c r="F81" s="112">
        <v>76</v>
      </c>
      <c r="G81" s="112">
        <v>81</v>
      </c>
      <c r="H81" s="112">
        <v>88</v>
      </c>
      <c r="I81" s="112">
        <v>103</v>
      </c>
      <c r="J81" s="112">
        <v>108</v>
      </c>
      <c r="K81" s="112">
        <v>113</v>
      </c>
      <c r="L81" s="112">
        <v>115</v>
      </c>
      <c r="M81" s="112">
        <v>116</v>
      </c>
    </row>
    <row r="82" spans="1:13" x14ac:dyDescent="0.25">
      <c r="A82" s="112" t="s">
        <v>131</v>
      </c>
      <c r="B82" s="112">
        <v>11</v>
      </c>
      <c r="C82" s="112">
        <v>17</v>
      </c>
      <c r="D82" s="112">
        <v>26</v>
      </c>
      <c r="E82" s="112">
        <v>45</v>
      </c>
      <c r="F82" s="112">
        <v>48</v>
      </c>
      <c r="G82" s="112">
        <v>58</v>
      </c>
      <c r="H82" s="112">
        <v>74</v>
      </c>
      <c r="I82" s="112">
        <v>86</v>
      </c>
      <c r="J82" s="112">
        <v>90</v>
      </c>
      <c r="K82" s="112">
        <v>94</v>
      </c>
      <c r="L82" s="112">
        <v>95</v>
      </c>
      <c r="M82" s="112">
        <v>95</v>
      </c>
    </row>
    <row r="83" spans="1:13" x14ac:dyDescent="0.25">
      <c r="A83" s="112" t="s">
        <v>130</v>
      </c>
      <c r="B83" s="112">
        <v>12</v>
      </c>
      <c r="C83" s="112">
        <v>18</v>
      </c>
      <c r="D83" s="112">
        <v>23</v>
      </c>
      <c r="E83" s="112">
        <v>53</v>
      </c>
      <c r="F83" s="112">
        <v>71</v>
      </c>
      <c r="G83" s="112">
        <v>80</v>
      </c>
      <c r="H83" s="112">
        <v>95</v>
      </c>
      <c r="I83" s="112">
        <v>102</v>
      </c>
      <c r="J83" s="112">
        <v>104</v>
      </c>
      <c r="K83" s="112">
        <v>107</v>
      </c>
      <c r="L83" s="112">
        <v>107</v>
      </c>
      <c r="M83" s="112">
        <v>102</v>
      </c>
    </row>
    <row r="84" spans="1:13" x14ac:dyDescent="0.25">
      <c r="A84" s="112" t="s">
        <v>129</v>
      </c>
      <c r="B84" s="112">
        <v>10</v>
      </c>
      <c r="C84" s="112">
        <v>15</v>
      </c>
      <c r="D84" s="112">
        <v>22</v>
      </c>
      <c r="E84" s="112">
        <v>44</v>
      </c>
      <c r="F84" s="112">
        <v>64</v>
      </c>
      <c r="G84" s="112">
        <v>71</v>
      </c>
      <c r="H84" s="112">
        <v>82</v>
      </c>
      <c r="I84" s="112">
        <v>88</v>
      </c>
      <c r="J84" s="112">
        <v>91</v>
      </c>
      <c r="K84" s="112">
        <v>95</v>
      </c>
      <c r="L84" s="112">
        <v>97</v>
      </c>
      <c r="M84" s="112">
        <v>97</v>
      </c>
    </row>
    <row r="85" spans="1:13" x14ac:dyDescent="0.25">
      <c r="A85" s="112" t="s">
        <v>128</v>
      </c>
      <c r="B85" s="112">
        <v>11</v>
      </c>
      <c r="C85" s="112">
        <v>17</v>
      </c>
      <c r="D85" s="112">
        <v>25</v>
      </c>
      <c r="E85" s="112">
        <v>57</v>
      </c>
      <c r="F85" s="112">
        <v>68</v>
      </c>
      <c r="G85" s="112">
        <v>73</v>
      </c>
      <c r="H85" s="112">
        <v>86</v>
      </c>
      <c r="I85" s="112">
        <v>91</v>
      </c>
      <c r="J85" s="112">
        <v>95</v>
      </c>
      <c r="K85" s="112">
        <v>98</v>
      </c>
      <c r="L85" s="112">
        <v>97</v>
      </c>
      <c r="M85" s="112">
        <v>98</v>
      </c>
    </row>
    <row r="86" spans="1:13" x14ac:dyDescent="0.25">
      <c r="A86" s="112" t="s">
        <v>127</v>
      </c>
      <c r="B86" s="112">
        <v>9</v>
      </c>
      <c r="C86" s="112">
        <v>14</v>
      </c>
      <c r="D86" s="112">
        <v>19</v>
      </c>
      <c r="E86" s="112">
        <v>46</v>
      </c>
      <c r="F86" s="112">
        <v>64</v>
      </c>
      <c r="G86" s="112">
        <v>74</v>
      </c>
      <c r="H86" s="112">
        <v>93</v>
      </c>
      <c r="I86" s="112">
        <v>103</v>
      </c>
      <c r="J86" s="112">
        <v>108</v>
      </c>
      <c r="K86" s="112">
        <v>110</v>
      </c>
      <c r="L86" s="112">
        <v>112</v>
      </c>
      <c r="M86" s="112">
        <v>110</v>
      </c>
    </row>
    <row r="87" spans="1:13" x14ac:dyDescent="0.25">
      <c r="A87" s="112" t="s">
        <v>126</v>
      </c>
      <c r="B87" s="112">
        <v>7</v>
      </c>
      <c r="C87" s="112">
        <v>13</v>
      </c>
      <c r="D87" s="112">
        <v>17</v>
      </c>
      <c r="E87" s="112">
        <v>48</v>
      </c>
      <c r="F87" s="112">
        <v>67</v>
      </c>
      <c r="G87" s="112">
        <v>76</v>
      </c>
      <c r="H87" s="112">
        <v>82</v>
      </c>
      <c r="I87" s="112">
        <v>95</v>
      </c>
      <c r="J87" s="112">
        <v>101</v>
      </c>
      <c r="K87" s="112">
        <v>105</v>
      </c>
      <c r="L87" s="112">
        <v>107</v>
      </c>
      <c r="M87" s="112">
        <v>106</v>
      </c>
    </row>
    <row r="88" spans="1:13" x14ac:dyDescent="0.25">
      <c r="A88" s="112" t="s">
        <v>125</v>
      </c>
      <c r="B88" s="112">
        <v>6</v>
      </c>
      <c r="C88" s="112">
        <v>11</v>
      </c>
      <c r="D88" s="112">
        <v>15</v>
      </c>
      <c r="E88" s="112">
        <v>35</v>
      </c>
      <c r="F88" s="112">
        <v>58</v>
      </c>
      <c r="G88" s="112">
        <v>64</v>
      </c>
      <c r="H88" s="112">
        <v>71</v>
      </c>
      <c r="I88" s="112">
        <v>77</v>
      </c>
      <c r="J88" s="112">
        <v>82</v>
      </c>
      <c r="K88" s="112">
        <v>85</v>
      </c>
      <c r="L88" s="112">
        <v>86</v>
      </c>
      <c r="M88" s="112">
        <v>86</v>
      </c>
    </row>
    <row r="89" spans="1:13" x14ac:dyDescent="0.25">
      <c r="A89" s="112" t="s">
        <v>124</v>
      </c>
      <c r="B89" s="112">
        <v>6</v>
      </c>
      <c r="C89" s="112">
        <v>12</v>
      </c>
      <c r="D89" s="112">
        <v>17</v>
      </c>
      <c r="E89" s="112">
        <v>38</v>
      </c>
      <c r="F89" s="112">
        <v>60</v>
      </c>
      <c r="G89" s="112">
        <v>71</v>
      </c>
      <c r="H89" s="112">
        <v>88</v>
      </c>
      <c r="I89" s="112">
        <v>95</v>
      </c>
      <c r="J89" s="112">
        <v>98</v>
      </c>
      <c r="K89" s="112">
        <v>100</v>
      </c>
      <c r="L89" s="112">
        <v>103</v>
      </c>
      <c r="M89" s="112">
        <v>95</v>
      </c>
    </row>
    <row r="90" spans="1:13" x14ac:dyDescent="0.25">
      <c r="A90" s="112" t="s">
        <v>123</v>
      </c>
      <c r="B90" s="112">
        <v>5</v>
      </c>
      <c r="C90" s="112">
        <v>11</v>
      </c>
      <c r="D90" s="112">
        <v>17</v>
      </c>
      <c r="E90" s="112">
        <v>48</v>
      </c>
      <c r="F90" s="112">
        <v>73</v>
      </c>
      <c r="G90" s="112">
        <v>79</v>
      </c>
      <c r="H90" s="112">
        <v>82</v>
      </c>
      <c r="I90" s="112">
        <v>87</v>
      </c>
      <c r="J90" s="112">
        <v>92</v>
      </c>
      <c r="K90" s="112">
        <v>96</v>
      </c>
      <c r="L90" s="112">
        <v>98</v>
      </c>
      <c r="M90" s="112">
        <v>99</v>
      </c>
    </row>
    <row r="91" spans="1:13" x14ac:dyDescent="0.25">
      <c r="A91" s="112" t="s">
        <v>122</v>
      </c>
      <c r="B91" s="112">
        <v>7</v>
      </c>
      <c r="C91" s="112">
        <v>13</v>
      </c>
      <c r="D91" s="112">
        <v>18</v>
      </c>
      <c r="E91" s="112">
        <v>45</v>
      </c>
      <c r="F91" s="112">
        <v>68</v>
      </c>
      <c r="G91" s="112">
        <v>77</v>
      </c>
      <c r="H91" s="112">
        <v>85</v>
      </c>
      <c r="I91" s="112">
        <v>90</v>
      </c>
      <c r="J91" s="112">
        <v>95</v>
      </c>
      <c r="K91" s="112">
        <v>100</v>
      </c>
      <c r="L91" s="112">
        <v>103</v>
      </c>
      <c r="M91" s="112">
        <v>103</v>
      </c>
    </row>
    <row r="92" spans="1:13" x14ac:dyDescent="0.25">
      <c r="A92" s="112" t="s">
        <v>121</v>
      </c>
      <c r="B92" s="112">
        <v>6</v>
      </c>
      <c r="C92" s="112">
        <v>11</v>
      </c>
      <c r="D92" s="112">
        <v>19</v>
      </c>
      <c r="E92" s="112">
        <v>41</v>
      </c>
      <c r="F92" s="112">
        <v>59</v>
      </c>
      <c r="G92" s="112">
        <v>66</v>
      </c>
      <c r="H92" s="112">
        <v>81</v>
      </c>
      <c r="I92" s="112">
        <v>93</v>
      </c>
      <c r="J92" s="112">
        <v>96</v>
      </c>
      <c r="K92" s="112">
        <v>100</v>
      </c>
      <c r="L92" s="112">
        <v>104</v>
      </c>
      <c r="M92" s="112">
        <v>106</v>
      </c>
    </row>
    <row r="93" spans="1:13" x14ac:dyDescent="0.25">
      <c r="A93" s="112" t="s">
        <v>120</v>
      </c>
      <c r="B93" s="112">
        <v>9</v>
      </c>
      <c r="C93" s="112">
        <v>15</v>
      </c>
      <c r="D93" s="112">
        <v>19</v>
      </c>
      <c r="E93" s="112">
        <v>44</v>
      </c>
      <c r="F93" s="112">
        <v>61</v>
      </c>
      <c r="G93" s="112">
        <v>67</v>
      </c>
      <c r="H93" s="112">
        <v>78</v>
      </c>
      <c r="I93" s="112">
        <v>88</v>
      </c>
      <c r="J93" s="112">
        <v>91</v>
      </c>
      <c r="K93" s="112">
        <v>94</v>
      </c>
      <c r="L93" s="112">
        <v>97</v>
      </c>
      <c r="M93" s="112">
        <v>99</v>
      </c>
    </row>
    <row r="94" spans="1:13" x14ac:dyDescent="0.25">
      <c r="A94" s="112" t="s">
        <v>119</v>
      </c>
      <c r="B94" s="112">
        <v>7</v>
      </c>
      <c r="C94" s="112">
        <v>12</v>
      </c>
      <c r="D94" s="112">
        <v>19</v>
      </c>
      <c r="E94" s="112">
        <v>39</v>
      </c>
      <c r="F94" s="112">
        <v>59</v>
      </c>
      <c r="G94" s="112">
        <v>65</v>
      </c>
      <c r="H94" s="112">
        <v>81</v>
      </c>
      <c r="I94" s="112">
        <v>93</v>
      </c>
      <c r="J94" s="112">
        <v>97</v>
      </c>
      <c r="K94" s="112">
        <v>101</v>
      </c>
      <c r="L94" s="112">
        <v>104</v>
      </c>
      <c r="M94" s="112">
        <v>105</v>
      </c>
    </row>
    <row r="95" spans="1:13" x14ac:dyDescent="0.25">
      <c r="A95" s="112" t="s">
        <v>118</v>
      </c>
      <c r="B95" s="112">
        <v>6</v>
      </c>
      <c r="C95" s="112">
        <v>11</v>
      </c>
      <c r="D95" s="112">
        <v>16</v>
      </c>
      <c r="E95" s="112">
        <v>37</v>
      </c>
      <c r="F95" s="112">
        <v>59</v>
      </c>
      <c r="G95" s="112">
        <v>64</v>
      </c>
      <c r="H95" s="112">
        <v>77</v>
      </c>
      <c r="I95" s="112">
        <v>88</v>
      </c>
      <c r="J95" s="112">
        <v>90</v>
      </c>
      <c r="K95" s="112">
        <v>92</v>
      </c>
      <c r="L95" s="112">
        <v>93</v>
      </c>
      <c r="M95" s="112">
        <v>93</v>
      </c>
    </row>
    <row r="96" spans="1:13" x14ac:dyDescent="0.25">
      <c r="A96" s="112" t="s">
        <v>117</v>
      </c>
      <c r="B96" s="112">
        <v>6</v>
      </c>
      <c r="C96" s="112">
        <v>11</v>
      </c>
      <c r="D96" s="112">
        <v>13</v>
      </c>
      <c r="E96" s="112">
        <v>29</v>
      </c>
      <c r="F96" s="112">
        <v>53</v>
      </c>
      <c r="G96" s="112">
        <v>56</v>
      </c>
      <c r="H96" s="112">
        <v>66</v>
      </c>
      <c r="I96" s="112">
        <v>73</v>
      </c>
      <c r="J96" s="112">
        <v>76</v>
      </c>
      <c r="K96" s="112">
        <v>78</v>
      </c>
      <c r="L96" s="112">
        <v>79</v>
      </c>
      <c r="M96" s="112">
        <v>79</v>
      </c>
    </row>
    <row r="97" spans="1:13" x14ac:dyDescent="0.25">
      <c r="A97" s="112" t="s">
        <v>116</v>
      </c>
      <c r="B97" s="112">
        <v>8</v>
      </c>
      <c r="C97" s="112">
        <v>13</v>
      </c>
      <c r="D97" s="112">
        <v>15</v>
      </c>
      <c r="E97" s="112">
        <v>40</v>
      </c>
      <c r="F97" s="112">
        <v>60</v>
      </c>
      <c r="G97" s="112">
        <v>65</v>
      </c>
      <c r="H97" s="112">
        <v>79</v>
      </c>
      <c r="I97" s="112">
        <v>89</v>
      </c>
      <c r="J97" s="112">
        <v>91</v>
      </c>
      <c r="K97" s="112">
        <v>93</v>
      </c>
      <c r="L97" s="112">
        <v>95</v>
      </c>
      <c r="M97" s="112">
        <v>97</v>
      </c>
    </row>
    <row r="98" spans="1:13" x14ac:dyDescent="0.25">
      <c r="A98" s="112" t="s">
        <v>115</v>
      </c>
      <c r="B98" s="112">
        <v>4</v>
      </c>
      <c r="C98" s="112">
        <v>10</v>
      </c>
      <c r="D98" s="112">
        <v>14</v>
      </c>
      <c r="E98" s="112">
        <v>35</v>
      </c>
      <c r="F98" s="112">
        <v>63</v>
      </c>
      <c r="G98" s="112">
        <v>64</v>
      </c>
      <c r="H98" s="112">
        <v>74</v>
      </c>
      <c r="I98" s="112">
        <v>82</v>
      </c>
      <c r="J98" s="112">
        <v>86</v>
      </c>
      <c r="K98" s="112">
        <v>87</v>
      </c>
      <c r="L98" s="112">
        <v>89</v>
      </c>
      <c r="M98" s="112">
        <v>90</v>
      </c>
    </row>
    <row r="99" spans="1:13" x14ac:dyDescent="0.25">
      <c r="A99" s="112" t="s">
        <v>114</v>
      </c>
      <c r="B99" s="112">
        <v>5</v>
      </c>
      <c r="C99" s="112">
        <v>11</v>
      </c>
      <c r="D99" s="112">
        <v>20</v>
      </c>
      <c r="E99" s="112">
        <v>46</v>
      </c>
      <c r="F99" s="112">
        <v>58</v>
      </c>
      <c r="G99" s="112">
        <v>65</v>
      </c>
      <c r="H99" s="112">
        <v>76</v>
      </c>
      <c r="I99" s="112">
        <v>83</v>
      </c>
      <c r="J99" s="112">
        <v>87</v>
      </c>
      <c r="K99" s="112">
        <v>89</v>
      </c>
      <c r="L99" s="112">
        <v>91</v>
      </c>
      <c r="M99" s="112">
        <v>91</v>
      </c>
    </row>
    <row r="100" spans="1:13" x14ac:dyDescent="0.25">
      <c r="A100" s="112" t="s">
        <v>113</v>
      </c>
      <c r="B100" s="112">
        <v>3</v>
      </c>
      <c r="C100" s="112">
        <v>8</v>
      </c>
      <c r="D100" s="112">
        <v>13</v>
      </c>
      <c r="E100" s="112">
        <v>34</v>
      </c>
      <c r="F100" s="112">
        <v>57</v>
      </c>
      <c r="G100" s="112">
        <v>67</v>
      </c>
      <c r="H100" s="112">
        <v>80</v>
      </c>
      <c r="I100" s="112">
        <v>86</v>
      </c>
      <c r="J100" s="112">
        <v>90</v>
      </c>
      <c r="K100" s="112">
        <v>94</v>
      </c>
      <c r="L100" s="112">
        <v>95</v>
      </c>
      <c r="M100" s="112">
        <v>85</v>
      </c>
    </row>
    <row r="101" spans="1:13" x14ac:dyDescent="0.25">
      <c r="A101" s="112" t="s">
        <v>112</v>
      </c>
      <c r="B101" s="112">
        <v>4</v>
      </c>
      <c r="C101" s="112">
        <v>10</v>
      </c>
      <c r="D101" s="112">
        <v>16</v>
      </c>
      <c r="E101" s="112">
        <v>29</v>
      </c>
      <c r="F101" s="112">
        <v>47</v>
      </c>
      <c r="G101" s="112">
        <v>60</v>
      </c>
      <c r="H101" s="112">
        <v>80</v>
      </c>
      <c r="I101" s="112">
        <v>89</v>
      </c>
      <c r="J101" s="112">
        <v>93</v>
      </c>
      <c r="K101" s="112">
        <v>95</v>
      </c>
      <c r="L101" s="112">
        <v>96</v>
      </c>
      <c r="M101" s="112">
        <v>96</v>
      </c>
    </row>
    <row r="102" spans="1:13" x14ac:dyDescent="0.25">
      <c r="A102" s="112" t="s">
        <v>111</v>
      </c>
      <c r="B102" s="112">
        <v>6</v>
      </c>
      <c r="C102" s="112">
        <v>13</v>
      </c>
      <c r="D102" s="112">
        <v>18</v>
      </c>
      <c r="E102" s="112">
        <v>41</v>
      </c>
      <c r="F102" s="112">
        <v>59</v>
      </c>
      <c r="G102" s="112">
        <v>69</v>
      </c>
      <c r="H102" s="112">
        <v>86</v>
      </c>
      <c r="I102" s="112">
        <v>92</v>
      </c>
      <c r="J102" s="112">
        <v>97</v>
      </c>
      <c r="K102" s="112">
        <v>100</v>
      </c>
      <c r="L102" s="112">
        <v>104</v>
      </c>
      <c r="M102" s="112">
        <v>103</v>
      </c>
    </row>
    <row r="103" spans="1:13" x14ac:dyDescent="0.25">
      <c r="A103" s="112" t="s">
        <v>110</v>
      </c>
      <c r="B103" s="112">
        <v>4</v>
      </c>
      <c r="C103" s="112">
        <v>10</v>
      </c>
      <c r="D103" s="112">
        <v>15</v>
      </c>
      <c r="E103" s="112">
        <v>34</v>
      </c>
      <c r="F103" s="112">
        <v>48</v>
      </c>
      <c r="G103" s="112">
        <v>58</v>
      </c>
      <c r="H103" s="112">
        <v>83</v>
      </c>
      <c r="I103" s="112">
        <v>94</v>
      </c>
      <c r="J103" s="112">
        <v>99</v>
      </c>
      <c r="K103" s="112">
        <v>102</v>
      </c>
      <c r="L103" s="112">
        <v>105</v>
      </c>
      <c r="M103" s="112">
        <v>106</v>
      </c>
    </row>
    <row r="104" spans="1:13" x14ac:dyDescent="0.25">
      <c r="A104" s="112" t="s">
        <v>109</v>
      </c>
      <c r="B104" s="112">
        <v>8</v>
      </c>
      <c r="C104" s="112">
        <v>13</v>
      </c>
      <c r="D104" s="112">
        <v>19</v>
      </c>
      <c r="E104" s="112">
        <v>48</v>
      </c>
      <c r="F104" s="112">
        <v>62</v>
      </c>
      <c r="G104" s="112">
        <v>75</v>
      </c>
      <c r="H104" s="112">
        <v>86</v>
      </c>
      <c r="I104" s="112">
        <v>99</v>
      </c>
      <c r="J104" s="112">
        <v>101</v>
      </c>
      <c r="K104" s="112">
        <v>106</v>
      </c>
      <c r="L104" s="112">
        <v>108</v>
      </c>
      <c r="M104" s="112">
        <v>109</v>
      </c>
    </row>
    <row r="105" spans="1:13" x14ac:dyDescent="0.25">
      <c r="A105" s="112" t="s">
        <v>108</v>
      </c>
      <c r="B105" s="112">
        <v>7</v>
      </c>
      <c r="C105" s="112">
        <v>10</v>
      </c>
      <c r="D105" s="112">
        <v>14</v>
      </c>
      <c r="E105" s="112">
        <v>30</v>
      </c>
      <c r="F105" s="112">
        <v>47</v>
      </c>
      <c r="G105" s="112">
        <v>50</v>
      </c>
      <c r="H105" s="112">
        <v>56</v>
      </c>
      <c r="I105" s="112">
        <v>60</v>
      </c>
      <c r="J105" s="112">
        <v>65</v>
      </c>
      <c r="K105" s="112">
        <v>69</v>
      </c>
      <c r="L105" s="112">
        <v>72</v>
      </c>
      <c r="M105" s="112">
        <v>72</v>
      </c>
    </row>
    <row r="106" spans="1:13" x14ac:dyDescent="0.25">
      <c r="A106" s="112" t="s">
        <v>107</v>
      </c>
      <c r="B106" s="112">
        <v>6</v>
      </c>
      <c r="C106" s="112">
        <v>9</v>
      </c>
      <c r="D106" s="112">
        <v>14</v>
      </c>
      <c r="E106" s="112">
        <v>33</v>
      </c>
      <c r="F106" s="112">
        <v>48</v>
      </c>
      <c r="G106" s="112">
        <v>50</v>
      </c>
      <c r="H106" s="112">
        <v>56</v>
      </c>
      <c r="I106" s="112">
        <v>60</v>
      </c>
      <c r="J106" s="112">
        <v>64</v>
      </c>
      <c r="K106" s="112">
        <v>68</v>
      </c>
      <c r="L106" s="112">
        <v>70</v>
      </c>
      <c r="M106" s="112">
        <v>71</v>
      </c>
    </row>
    <row r="107" spans="1:13" x14ac:dyDescent="0.25">
      <c r="A107" s="112" t="s">
        <v>106</v>
      </c>
      <c r="B107" s="112">
        <v>6</v>
      </c>
      <c r="C107" s="112">
        <v>10</v>
      </c>
      <c r="D107" s="112">
        <v>15</v>
      </c>
      <c r="E107" s="112">
        <v>37</v>
      </c>
      <c r="F107" s="112">
        <v>64</v>
      </c>
      <c r="G107" s="112">
        <v>69</v>
      </c>
      <c r="H107" s="112">
        <v>83</v>
      </c>
      <c r="I107" s="112">
        <v>89</v>
      </c>
      <c r="J107" s="112">
        <v>91</v>
      </c>
      <c r="K107" s="112">
        <v>93</v>
      </c>
      <c r="L107" s="112">
        <v>93</v>
      </c>
      <c r="M107" s="112">
        <v>92</v>
      </c>
    </row>
    <row r="108" spans="1:13" x14ac:dyDescent="0.25">
      <c r="A108" s="112" t="s">
        <v>105</v>
      </c>
      <c r="B108" s="112">
        <v>6</v>
      </c>
      <c r="C108" s="112">
        <v>9</v>
      </c>
      <c r="D108" s="112">
        <v>15</v>
      </c>
      <c r="E108" s="112">
        <v>34</v>
      </c>
      <c r="F108" s="112">
        <v>54</v>
      </c>
      <c r="G108" s="112">
        <v>60</v>
      </c>
      <c r="H108" s="112">
        <v>74</v>
      </c>
      <c r="I108" s="112">
        <v>81</v>
      </c>
      <c r="J108" s="112">
        <v>83</v>
      </c>
      <c r="K108" s="112">
        <v>84</v>
      </c>
      <c r="L108" s="112">
        <v>84</v>
      </c>
      <c r="M108" s="112">
        <v>85</v>
      </c>
    </row>
    <row r="109" spans="1:13" x14ac:dyDescent="0.25">
      <c r="A109" s="112" t="s">
        <v>104</v>
      </c>
      <c r="B109" s="112">
        <v>8</v>
      </c>
      <c r="C109" s="112">
        <v>13</v>
      </c>
      <c r="D109" s="112">
        <v>17</v>
      </c>
      <c r="E109" s="112">
        <v>39</v>
      </c>
      <c r="F109" s="112">
        <v>54</v>
      </c>
      <c r="G109" s="112">
        <v>64</v>
      </c>
      <c r="H109" s="112">
        <v>88</v>
      </c>
      <c r="I109" s="112">
        <v>95</v>
      </c>
      <c r="J109" s="112">
        <v>98</v>
      </c>
      <c r="K109" s="112">
        <v>101</v>
      </c>
      <c r="L109" s="112">
        <v>102</v>
      </c>
      <c r="M109" s="112">
        <v>93</v>
      </c>
    </row>
    <row r="110" spans="1:13" x14ac:dyDescent="0.25">
      <c r="A110" s="112" t="s">
        <v>103</v>
      </c>
      <c r="B110" s="112">
        <v>16</v>
      </c>
      <c r="C110" s="112">
        <v>22</v>
      </c>
      <c r="D110" s="112">
        <v>30</v>
      </c>
      <c r="E110" s="112">
        <v>62</v>
      </c>
      <c r="F110" s="112">
        <v>78</v>
      </c>
      <c r="G110" s="112">
        <v>73</v>
      </c>
      <c r="H110" s="112">
        <v>91</v>
      </c>
      <c r="I110" s="112">
        <v>101</v>
      </c>
      <c r="J110" s="112">
        <v>106</v>
      </c>
      <c r="K110" s="112">
        <v>109</v>
      </c>
      <c r="L110" s="112">
        <v>110</v>
      </c>
      <c r="M110" s="112">
        <v>110</v>
      </c>
    </row>
    <row r="111" spans="1:13" x14ac:dyDescent="0.25">
      <c r="A111" s="112" t="s">
        <v>102</v>
      </c>
      <c r="B111" s="112">
        <v>15</v>
      </c>
      <c r="C111" s="112">
        <v>23</v>
      </c>
      <c r="D111" s="112">
        <v>32</v>
      </c>
      <c r="E111" s="112">
        <v>69</v>
      </c>
      <c r="F111" s="112">
        <v>92</v>
      </c>
      <c r="G111" s="112">
        <v>96</v>
      </c>
      <c r="H111" s="112">
        <v>103</v>
      </c>
      <c r="I111" s="112">
        <v>112</v>
      </c>
      <c r="J111" s="112">
        <v>115</v>
      </c>
      <c r="K111" s="112">
        <v>117</v>
      </c>
      <c r="L111" s="112">
        <v>116</v>
      </c>
      <c r="M111" s="112">
        <v>98</v>
      </c>
    </row>
    <row r="112" spans="1:13" x14ac:dyDescent="0.25">
      <c r="A112" s="112" t="s">
        <v>101</v>
      </c>
      <c r="B112" s="112">
        <v>11</v>
      </c>
      <c r="C112" s="112">
        <v>16</v>
      </c>
      <c r="D112" s="112">
        <v>20</v>
      </c>
      <c r="E112" s="112">
        <v>50</v>
      </c>
      <c r="F112" s="112">
        <v>70</v>
      </c>
      <c r="G112" s="112">
        <v>73</v>
      </c>
      <c r="H112" s="112">
        <v>75</v>
      </c>
      <c r="I112" s="112">
        <v>81</v>
      </c>
      <c r="J112" s="112">
        <v>83</v>
      </c>
      <c r="K112" s="112">
        <v>85</v>
      </c>
      <c r="L112" s="112">
        <v>85</v>
      </c>
      <c r="M112" s="112">
        <v>85</v>
      </c>
    </row>
    <row r="113" spans="1:13" x14ac:dyDescent="0.25">
      <c r="A113" s="112" t="s">
        <v>100</v>
      </c>
      <c r="B113" s="112">
        <v>15</v>
      </c>
      <c r="C113" s="112">
        <v>24</v>
      </c>
      <c r="D113" s="112">
        <v>28</v>
      </c>
      <c r="E113" s="112">
        <v>57</v>
      </c>
      <c r="F113" s="112">
        <v>77</v>
      </c>
      <c r="G113" s="112">
        <v>84</v>
      </c>
      <c r="H113" s="112">
        <v>96</v>
      </c>
      <c r="I113" s="112">
        <v>103</v>
      </c>
      <c r="J113" s="112">
        <v>107</v>
      </c>
      <c r="K113" s="112">
        <v>114</v>
      </c>
      <c r="L113" s="112">
        <v>117</v>
      </c>
      <c r="M113" s="112">
        <v>117</v>
      </c>
    </row>
    <row r="114" spans="1:13" x14ac:dyDescent="0.25">
      <c r="A114" s="112" t="s">
        <v>99</v>
      </c>
      <c r="B114" s="112">
        <v>14</v>
      </c>
      <c r="C114" s="112">
        <v>21</v>
      </c>
      <c r="D114" s="112">
        <v>29</v>
      </c>
      <c r="E114" s="112">
        <v>64</v>
      </c>
      <c r="F114" s="112">
        <v>86</v>
      </c>
      <c r="G114" s="112">
        <v>90</v>
      </c>
      <c r="H114" s="112">
        <v>100</v>
      </c>
      <c r="I114" s="112">
        <v>109</v>
      </c>
      <c r="J114" s="112">
        <v>114</v>
      </c>
      <c r="K114" s="112">
        <v>117</v>
      </c>
      <c r="L114" s="112">
        <v>118</v>
      </c>
      <c r="M114" s="112">
        <v>116</v>
      </c>
    </row>
    <row r="115" spans="1:13" x14ac:dyDescent="0.25">
      <c r="A115" s="112" t="s">
        <v>98</v>
      </c>
      <c r="B115" s="112">
        <v>13</v>
      </c>
      <c r="C115" s="112">
        <v>19</v>
      </c>
      <c r="D115" s="112">
        <v>25</v>
      </c>
      <c r="E115" s="112">
        <v>50</v>
      </c>
      <c r="F115" s="112">
        <v>70</v>
      </c>
      <c r="G115" s="112">
        <v>73</v>
      </c>
      <c r="H115" s="112">
        <v>83</v>
      </c>
      <c r="I115" s="112">
        <v>94</v>
      </c>
      <c r="J115" s="112">
        <v>100</v>
      </c>
      <c r="K115" s="112">
        <v>104</v>
      </c>
      <c r="L115" s="112">
        <v>106</v>
      </c>
      <c r="M115" s="112">
        <v>108</v>
      </c>
    </row>
    <row r="116" spans="1:13" x14ac:dyDescent="0.25">
      <c r="A116" s="112" t="s">
        <v>97</v>
      </c>
      <c r="B116" s="112">
        <v>12</v>
      </c>
      <c r="C116" s="112">
        <v>18</v>
      </c>
      <c r="D116" s="112">
        <v>24</v>
      </c>
      <c r="E116" s="112">
        <v>61</v>
      </c>
      <c r="F116" s="112">
        <v>84</v>
      </c>
      <c r="G116" s="112">
        <v>90</v>
      </c>
      <c r="H116" s="112">
        <v>100</v>
      </c>
      <c r="I116" s="112">
        <v>104</v>
      </c>
      <c r="J116" s="112">
        <v>108</v>
      </c>
      <c r="K116" s="112">
        <v>110</v>
      </c>
      <c r="L116" s="112">
        <v>111</v>
      </c>
      <c r="M116" s="112">
        <v>108</v>
      </c>
    </row>
    <row r="117" spans="1:13" x14ac:dyDescent="0.25">
      <c r="A117" s="112" t="s">
        <v>96</v>
      </c>
      <c r="B117" s="112">
        <v>11</v>
      </c>
      <c r="C117" s="112">
        <v>18</v>
      </c>
      <c r="D117" s="112">
        <v>26</v>
      </c>
      <c r="E117" s="112">
        <v>61</v>
      </c>
      <c r="F117" s="112">
        <v>81</v>
      </c>
      <c r="G117" s="112">
        <v>84</v>
      </c>
      <c r="H117" s="112">
        <v>87</v>
      </c>
      <c r="I117" s="112">
        <v>95</v>
      </c>
      <c r="J117" s="112">
        <v>99</v>
      </c>
      <c r="K117" s="112">
        <v>103</v>
      </c>
      <c r="L117" s="112">
        <v>105</v>
      </c>
      <c r="M117" s="112">
        <v>105</v>
      </c>
    </row>
    <row r="118" spans="1:13" x14ac:dyDescent="0.25">
      <c r="A118" s="112" t="s">
        <v>95</v>
      </c>
      <c r="B118" s="112">
        <v>11</v>
      </c>
      <c r="C118" s="112">
        <v>17</v>
      </c>
      <c r="D118" s="112">
        <v>27</v>
      </c>
      <c r="E118" s="112">
        <v>54</v>
      </c>
      <c r="F118" s="112">
        <v>67</v>
      </c>
      <c r="G118" s="112">
        <v>68</v>
      </c>
      <c r="H118" s="112">
        <v>71</v>
      </c>
      <c r="I118" s="112">
        <v>79</v>
      </c>
      <c r="J118" s="112">
        <v>83</v>
      </c>
      <c r="K118" s="112">
        <v>86</v>
      </c>
      <c r="L118" s="112">
        <v>88</v>
      </c>
      <c r="M118" s="112">
        <v>89</v>
      </c>
    </row>
    <row r="119" spans="1:13" x14ac:dyDescent="0.25">
      <c r="A119" s="112" t="s">
        <v>94</v>
      </c>
      <c r="B119" s="112">
        <v>10</v>
      </c>
      <c r="C119" s="112">
        <v>14</v>
      </c>
      <c r="D119" s="112">
        <v>20</v>
      </c>
      <c r="E119" s="112">
        <v>53</v>
      </c>
      <c r="F119" s="112">
        <v>79</v>
      </c>
      <c r="G119" s="112">
        <v>84</v>
      </c>
      <c r="H119" s="112">
        <v>98</v>
      </c>
      <c r="I119" s="112">
        <v>104</v>
      </c>
      <c r="J119" s="112">
        <v>109</v>
      </c>
      <c r="K119" s="112">
        <v>114</v>
      </c>
      <c r="L119" s="112">
        <v>116</v>
      </c>
      <c r="M119" s="112">
        <v>101</v>
      </c>
    </row>
    <row r="120" spans="1:13" x14ac:dyDescent="0.25">
      <c r="A120" s="112" t="s">
        <v>93</v>
      </c>
      <c r="B120" s="112">
        <v>10</v>
      </c>
      <c r="C120" s="112">
        <v>13</v>
      </c>
      <c r="D120" s="112">
        <v>21</v>
      </c>
      <c r="E120" s="112">
        <v>40</v>
      </c>
      <c r="F120" s="112">
        <v>64</v>
      </c>
      <c r="G120" s="112">
        <v>67</v>
      </c>
      <c r="H120" s="112">
        <v>70</v>
      </c>
      <c r="I120" s="112">
        <v>82</v>
      </c>
      <c r="J120" s="112">
        <v>86</v>
      </c>
      <c r="K120" s="112">
        <v>88</v>
      </c>
      <c r="L120" s="112">
        <v>88</v>
      </c>
      <c r="M120" s="112">
        <v>89</v>
      </c>
    </row>
    <row r="121" spans="1:13" x14ac:dyDescent="0.25">
      <c r="A121" s="112" t="s">
        <v>92</v>
      </c>
      <c r="B121" s="112">
        <v>11</v>
      </c>
      <c r="C121" s="112">
        <v>16</v>
      </c>
      <c r="D121" s="112">
        <v>21</v>
      </c>
      <c r="E121" s="112">
        <v>49</v>
      </c>
      <c r="F121" s="112">
        <v>65</v>
      </c>
      <c r="G121" s="112">
        <v>68</v>
      </c>
      <c r="H121" s="112">
        <v>72</v>
      </c>
      <c r="I121" s="112">
        <v>83</v>
      </c>
      <c r="J121" s="112">
        <v>87</v>
      </c>
      <c r="K121" s="112">
        <v>88</v>
      </c>
      <c r="L121" s="112">
        <v>89</v>
      </c>
      <c r="M121" s="112">
        <v>90</v>
      </c>
    </row>
    <row r="122" spans="1:13" x14ac:dyDescent="0.25">
      <c r="A122" s="112" t="s">
        <v>91</v>
      </c>
      <c r="B122" s="112">
        <v>15</v>
      </c>
      <c r="C122" s="112">
        <v>23</v>
      </c>
      <c r="D122" s="112">
        <v>33</v>
      </c>
      <c r="E122" s="112">
        <v>59</v>
      </c>
      <c r="F122" s="112">
        <v>79</v>
      </c>
      <c r="G122" s="112">
        <v>80</v>
      </c>
      <c r="H122" s="112">
        <v>83</v>
      </c>
      <c r="I122" s="112">
        <v>101</v>
      </c>
      <c r="J122" s="112">
        <v>104</v>
      </c>
      <c r="K122" s="112">
        <v>106</v>
      </c>
      <c r="L122" s="112">
        <v>107</v>
      </c>
      <c r="M122" s="112">
        <v>105</v>
      </c>
    </row>
    <row r="123" spans="1:13" x14ac:dyDescent="0.25">
      <c r="A123" s="112" t="s">
        <v>90</v>
      </c>
      <c r="B123" s="112">
        <v>15</v>
      </c>
      <c r="C123" s="112">
        <v>23</v>
      </c>
      <c r="D123" s="112">
        <v>34</v>
      </c>
      <c r="E123" s="112">
        <v>67</v>
      </c>
      <c r="F123" s="112">
        <v>85</v>
      </c>
      <c r="G123" s="112">
        <v>87</v>
      </c>
      <c r="H123" s="112">
        <v>90</v>
      </c>
      <c r="I123" s="112">
        <v>97</v>
      </c>
      <c r="J123" s="112">
        <v>101</v>
      </c>
      <c r="K123" s="112">
        <v>103</v>
      </c>
      <c r="L123" s="112">
        <v>103</v>
      </c>
      <c r="M123" s="112">
        <v>103</v>
      </c>
    </row>
    <row r="124" spans="1:13" x14ac:dyDescent="0.25">
      <c r="A124" s="112" t="s">
        <v>89</v>
      </c>
      <c r="B124" s="112">
        <v>14</v>
      </c>
      <c r="C124" s="112">
        <v>24</v>
      </c>
      <c r="D124" s="112">
        <v>30</v>
      </c>
      <c r="E124" s="112">
        <v>62</v>
      </c>
      <c r="F124" s="112">
        <v>77</v>
      </c>
      <c r="G124" s="112">
        <v>79</v>
      </c>
      <c r="H124" s="112">
        <v>79</v>
      </c>
      <c r="I124" s="112">
        <v>87</v>
      </c>
      <c r="J124" s="112">
        <v>92</v>
      </c>
      <c r="K124" s="112">
        <v>96</v>
      </c>
      <c r="L124" s="112">
        <v>98</v>
      </c>
      <c r="M124" s="112">
        <v>99</v>
      </c>
    </row>
    <row r="125" spans="1:13" x14ac:dyDescent="0.25">
      <c r="A125" s="112" t="s">
        <v>88</v>
      </c>
      <c r="B125" s="112">
        <v>11</v>
      </c>
      <c r="C125" s="112">
        <v>18</v>
      </c>
      <c r="D125" s="112">
        <v>31</v>
      </c>
      <c r="E125" s="112">
        <v>62</v>
      </c>
      <c r="F125" s="112">
        <v>82</v>
      </c>
      <c r="G125" s="112">
        <v>88</v>
      </c>
      <c r="H125" s="112">
        <v>95</v>
      </c>
      <c r="I125" s="112">
        <v>97</v>
      </c>
      <c r="J125" s="112">
        <v>100</v>
      </c>
      <c r="K125" s="112">
        <v>102</v>
      </c>
      <c r="L125" s="112">
        <v>105</v>
      </c>
      <c r="M125" s="112">
        <v>107</v>
      </c>
    </row>
    <row r="126" spans="1:13" x14ac:dyDescent="0.25">
      <c r="A126" s="112" t="s">
        <v>87</v>
      </c>
      <c r="B126" s="112">
        <v>12</v>
      </c>
      <c r="C126" s="112">
        <v>19</v>
      </c>
      <c r="D126" s="112">
        <v>28</v>
      </c>
      <c r="E126" s="112">
        <v>64</v>
      </c>
      <c r="F126" s="112">
        <v>83</v>
      </c>
      <c r="G126" s="112">
        <v>91</v>
      </c>
      <c r="H126" s="112">
        <v>105</v>
      </c>
      <c r="I126" s="112">
        <v>109</v>
      </c>
      <c r="J126" s="112">
        <v>113</v>
      </c>
      <c r="K126" s="112">
        <v>115</v>
      </c>
      <c r="L126" s="112">
        <v>116</v>
      </c>
      <c r="M126" s="112">
        <v>108</v>
      </c>
    </row>
    <row r="127" spans="1:13" x14ac:dyDescent="0.25">
      <c r="A127" s="112" t="s">
        <v>86</v>
      </c>
      <c r="B127" s="112">
        <v>15</v>
      </c>
      <c r="C127" s="112">
        <v>23</v>
      </c>
      <c r="D127" s="112">
        <v>34</v>
      </c>
      <c r="E127" s="112">
        <v>73</v>
      </c>
      <c r="F127" s="112">
        <v>90</v>
      </c>
      <c r="G127" s="112">
        <v>95</v>
      </c>
      <c r="H127" s="112">
        <v>103</v>
      </c>
      <c r="I127" s="112">
        <v>106</v>
      </c>
      <c r="J127" s="112">
        <v>109</v>
      </c>
      <c r="K127" s="112">
        <v>111</v>
      </c>
      <c r="L127" s="112">
        <v>111</v>
      </c>
      <c r="M127" s="112">
        <v>109</v>
      </c>
    </row>
    <row r="128" spans="1:13" x14ac:dyDescent="0.25">
      <c r="A128" s="112" t="s">
        <v>85</v>
      </c>
      <c r="B128" s="112">
        <v>14</v>
      </c>
      <c r="C128" s="112">
        <v>20</v>
      </c>
      <c r="D128" s="112">
        <v>28</v>
      </c>
      <c r="E128" s="112">
        <v>64</v>
      </c>
      <c r="F128" s="112">
        <v>85</v>
      </c>
      <c r="G128" s="112">
        <v>91</v>
      </c>
      <c r="H128" s="112">
        <v>98</v>
      </c>
      <c r="I128" s="112">
        <v>101</v>
      </c>
      <c r="J128" s="112">
        <v>105</v>
      </c>
      <c r="K128" s="112">
        <v>109</v>
      </c>
      <c r="L128" s="112">
        <v>112</v>
      </c>
      <c r="M128" s="112">
        <v>112</v>
      </c>
    </row>
    <row r="129" spans="1:13" x14ac:dyDescent="0.25">
      <c r="A129" s="112" t="s">
        <v>84</v>
      </c>
      <c r="B129" s="112">
        <v>13</v>
      </c>
      <c r="C129" s="112">
        <v>20</v>
      </c>
      <c r="D129" s="112">
        <v>29</v>
      </c>
      <c r="E129" s="112">
        <v>65</v>
      </c>
      <c r="F129" s="112">
        <v>76</v>
      </c>
      <c r="G129" s="112">
        <v>86</v>
      </c>
      <c r="H129" s="112">
        <v>98</v>
      </c>
      <c r="I129" s="112">
        <v>105</v>
      </c>
      <c r="J129" s="112">
        <v>110</v>
      </c>
      <c r="K129" s="112">
        <v>115</v>
      </c>
      <c r="L129" s="112">
        <v>118</v>
      </c>
      <c r="M129" s="112">
        <v>111</v>
      </c>
    </row>
    <row r="130" spans="1:13" x14ac:dyDescent="0.25">
      <c r="A130" s="112" t="s">
        <v>83</v>
      </c>
      <c r="B130" s="112">
        <v>13</v>
      </c>
      <c r="C130" s="112">
        <v>20</v>
      </c>
      <c r="D130" s="112">
        <v>26</v>
      </c>
      <c r="E130" s="112">
        <v>53</v>
      </c>
      <c r="F130" s="112">
        <v>63</v>
      </c>
      <c r="G130" s="112">
        <v>69</v>
      </c>
      <c r="H130" s="112">
        <v>78</v>
      </c>
      <c r="I130" s="112">
        <v>85</v>
      </c>
      <c r="J130" s="112">
        <v>91</v>
      </c>
      <c r="K130" s="112">
        <v>94</v>
      </c>
      <c r="L130" s="112">
        <v>97</v>
      </c>
      <c r="M130" s="112">
        <v>99</v>
      </c>
    </row>
    <row r="131" spans="1:13" x14ac:dyDescent="0.25">
      <c r="A131" s="112" t="s">
        <v>82</v>
      </c>
      <c r="B131" s="112">
        <v>13</v>
      </c>
      <c r="C131" s="112">
        <v>21</v>
      </c>
      <c r="D131" s="112">
        <v>24</v>
      </c>
      <c r="E131" s="112">
        <v>59</v>
      </c>
      <c r="F131" s="112">
        <v>71</v>
      </c>
      <c r="G131" s="112">
        <v>75</v>
      </c>
      <c r="H131" s="112">
        <v>79</v>
      </c>
      <c r="I131" s="112">
        <v>88</v>
      </c>
      <c r="J131" s="112">
        <v>91</v>
      </c>
      <c r="K131" s="112">
        <v>93</v>
      </c>
      <c r="L131" s="112">
        <v>93</v>
      </c>
      <c r="M131" s="112">
        <v>91</v>
      </c>
    </row>
    <row r="132" spans="1:13" x14ac:dyDescent="0.25">
      <c r="A132" s="112" t="s">
        <v>81</v>
      </c>
      <c r="B132" s="112">
        <v>11</v>
      </c>
      <c r="C132" s="112">
        <v>19</v>
      </c>
      <c r="D132" s="112">
        <v>24</v>
      </c>
      <c r="E132" s="112">
        <v>54</v>
      </c>
      <c r="F132" s="112">
        <v>68</v>
      </c>
      <c r="G132" s="112">
        <v>71</v>
      </c>
      <c r="H132" s="112">
        <v>74</v>
      </c>
      <c r="I132" s="112">
        <v>81</v>
      </c>
      <c r="J132" s="112">
        <v>85</v>
      </c>
      <c r="K132" s="112">
        <v>87</v>
      </c>
      <c r="L132" s="112">
        <v>88</v>
      </c>
      <c r="M132" s="112">
        <v>88</v>
      </c>
    </row>
    <row r="133" spans="1:13" x14ac:dyDescent="0.25">
      <c r="A133" s="112" t="s">
        <v>80</v>
      </c>
      <c r="B133" s="112">
        <v>9</v>
      </c>
      <c r="C133" s="112">
        <v>18</v>
      </c>
      <c r="D133" s="112">
        <v>22</v>
      </c>
      <c r="E133" s="112">
        <v>45</v>
      </c>
      <c r="F133" s="112">
        <v>55</v>
      </c>
      <c r="G133" s="112">
        <v>57</v>
      </c>
      <c r="H133" s="112">
        <v>59</v>
      </c>
      <c r="I133" s="112">
        <v>64</v>
      </c>
      <c r="J133" s="112">
        <v>67</v>
      </c>
      <c r="K133" s="112">
        <v>70</v>
      </c>
      <c r="L133" s="112">
        <v>71</v>
      </c>
      <c r="M133" s="112">
        <v>72</v>
      </c>
    </row>
    <row r="134" spans="1:13" x14ac:dyDescent="0.25">
      <c r="A134" s="112" t="s">
        <v>79</v>
      </c>
      <c r="B134" s="112">
        <v>5</v>
      </c>
      <c r="C134" s="112">
        <v>12</v>
      </c>
      <c r="D134" s="112">
        <v>20</v>
      </c>
      <c r="E134" s="112">
        <v>46</v>
      </c>
      <c r="F134" s="112">
        <v>70</v>
      </c>
      <c r="G134" s="112">
        <v>78</v>
      </c>
      <c r="H134" s="112">
        <v>92</v>
      </c>
      <c r="I134" s="112">
        <v>98</v>
      </c>
      <c r="J134" s="112">
        <v>101</v>
      </c>
      <c r="K134" s="112">
        <v>104</v>
      </c>
      <c r="L134" s="112">
        <v>105</v>
      </c>
      <c r="M134" s="112">
        <v>100</v>
      </c>
    </row>
    <row r="135" spans="1:13" x14ac:dyDescent="0.25">
      <c r="A135" s="112" t="s">
        <v>78</v>
      </c>
      <c r="B135" s="112">
        <v>8</v>
      </c>
      <c r="C135" s="112">
        <v>13</v>
      </c>
      <c r="D135" s="112">
        <v>18</v>
      </c>
      <c r="E135" s="112">
        <v>44</v>
      </c>
      <c r="F135" s="112">
        <v>65</v>
      </c>
      <c r="G135" s="112">
        <v>69</v>
      </c>
      <c r="H135" s="112">
        <v>77</v>
      </c>
      <c r="I135" s="112">
        <v>83</v>
      </c>
      <c r="J135" s="112">
        <v>85</v>
      </c>
      <c r="K135" s="112">
        <v>86</v>
      </c>
      <c r="L135" s="112">
        <v>86</v>
      </c>
      <c r="M135" s="112">
        <v>87</v>
      </c>
    </row>
    <row r="136" spans="1:13" x14ac:dyDescent="0.25">
      <c r="A136" s="112" t="s">
        <v>77</v>
      </c>
      <c r="B136" s="112">
        <v>6</v>
      </c>
      <c r="C136" s="112">
        <v>12</v>
      </c>
      <c r="D136" s="112">
        <v>17</v>
      </c>
      <c r="E136" s="112">
        <v>47</v>
      </c>
      <c r="F136" s="112">
        <v>60</v>
      </c>
      <c r="G136" s="112">
        <v>62</v>
      </c>
      <c r="H136" s="112">
        <v>68</v>
      </c>
      <c r="I136" s="112">
        <v>76</v>
      </c>
      <c r="J136" s="112">
        <v>80</v>
      </c>
      <c r="K136" s="112">
        <v>82</v>
      </c>
      <c r="L136" s="112">
        <v>85</v>
      </c>
      <c r="M136" s="112">
        <v>86</v>
      </c>
    </row>
    <row r="137" spans="1:13" x14ac:dyDescent="0.25">
      <c r="A137" s="112" t="s">
        <v>76</v>
      </c>
      <c r="B137" s="112">
        <v>5</v>
      </c>
      <c r="C137" s="112">
        <v>10</v>
      </c>
      <c r="D137" s="112">
        <v>18</v>
      </c>
      <c r="E137" s="112">
        <v>45</v>
      </c>
      <c r="F137" s="112">
        <v>68</v>
      </c>
      <c r="G137" s="112">
        <v>76</v>
      </c>
      <c r="H137" s="112">
        <v>91</v>
      </c>
      <c r="I137" s="112">
        <v>102</v>
      </c>
      <c r="J137" s="112">
        <v>106</v>
      </c>
      <c r="K137" s="112">
        <v>108</v>
      </c>
      <c r="L137" s="112">
        <v>109</v>
      </c>
      <c r="M137" s="112">
        <v>105</v>
      </c>
    </row>
    <row r="138" spans="1:13" x14ac:dyDescent="0.25">
      <c r="A138" s="112" t="s">
        <v>75</v>
      </c>
      <c r="B138" s="112">
        <v>5</v>
      </c>
      <c r="C138" s="112">
        <v>10</v>
      </c>
      <c r="D138" s="112">
        <v>19</v>
      </c>
      <c r="E138" s="112">
        <v>46</v>
      </c>
      <c r="F138" s="112">
        <v>73</v>
      </c>
      <c r="G138" s="112">
        <v>81</v>
      </c>
      <c r="H138" s="112">
        <v>90</v>
      </c>
      <c r="I138" s="112">
        <v>100</v>
      </c>
      <c r="J138" s="112">
        <v>103</v>
      </c>
      <c r="K138" s="112">
        <v>105</v>
      </c>
      <c r="L138" s="112">
        <v>107</v>
      </c>
      <c r="M138" s="112">
        <v>107</v>
      </c>
    </row>
    <row r="139" spans="1:13" x14ac:dyDescent="0.25">
      <c r="A139" s="112" t="s">
        <v>74</v>
      </c>
      <c r="B139" s="112">
        <v>6</v>
      </c>
      <c r="C139" s="112">
        <v>11</v>
      </c>
      <c r="D139" s="112">
        <v>20</v>
      </c>
      <c r="E139" s="112">
        <v>44</v>
      </c>
      <c r="F139" s="112">
        <v>58</v>
      </c>
      <c r="G139" s="112">
        <v>61</v>
      </c>
      <c r="H139" s="112">
        <v>63</v>
      </c>
      <c r="I139" s="112">
        <v>72</v>
      </c>
      <c r="J139" s="112">
        <v>77</v>
      </c>
      <c r="K139" s="112">
        <v>81</v>
      </c>
      <c r="L139" s="112">
        <v>83</v>
      </c>
      <c r="M139" s="112">
        <v>84</v>
      </c>
    </row>
    <row r="140" spans="1:13" x14ac:dyDescent="0.25">
      <c r="A140" s="112" t="s">
        <v>73</v>
      </c>
      <c r="B140" s="112">
        <v>5</v>
      </c>
      <c r="C140" s="112">
        <v>9</v>
      </c>
      <c r="D140" s="112">
        <v>15</v>
      </c>
      <c r="E140" s="112">
        <v>39</v>
      </c>
      <c r="F140" s="112">
        <v>56</v>
      </c>
      <c r="G140" s="112">
        <v>69</v>
      </c>
      <c r="H140" s="112">
        <v>84</v>
      </c>
      <c r="I140" s="112">
        <v>97</v>
      </c>
      <c r="J140" s="112">
        <v>102</v>
      </c>
      <c r="K140" s="112">
        <v>104</v>
      </c>
      <c r="L140" s="112">
        <v>105</v>
      </c>
      <c r="M140" s="112">
        <v>105</v>
      </c>
    </row>
    <row r="141" spans="1:13" x14ac:dyDescent="0.25">
      <c r="A141" s="112" t="s">
        <v>72</v>
      </c>
      <c r="B141" s="112">
        <v>5</v>
      </c>
      <c r="C141" s="112">
        <v>10</v>
      </c>
      <c r="D141" s="112">
        <v>14</v>
      </c>
      <c r="E141" s="112">
        <v>28</v>
      </c>
      <c r="F141" s="112">
        <v>48</v>
      </c>
      <c r="G141" s="112">
        <v>60</v>
      </c>
      <c r="H141" s="112">
        <v>76</v>
      </c>
      <c r="I141" s="112">
        <v>90</v>
      </c>
      <c r="J141" s="112">
        <v>96</v>
      </c>
      <c r="K141" s="112">
        <v>99</v>
      </c>
      <c r="L141" s="112">
        <v>101</v>
      </c>
      <c r="M141" s="112">
        <v>100</v>
      </c>
    </row>
    <row r="142" spans="1:13" x14ac:dyDescent="0.25">
      <c r="A142" s="112" t="s">
        <v>71</v>
      </c>
      <c r="B142" s="112">
        <v>4</v>
      </c>
      <c r="C142" s="112">
        <v>8</v>
      </c>
      <c r="D142" s="112">
        <v>12</v>
      </c>
      <c r="E142" s="112">
        <v>31</v>
      </c>
      <c r="F142" s="112">
        <v>50</v>
      </c>
      <c r="G142" s="112">
        <v>59</v>
      </c>
      <c r="H142" s="112">
        <v>73</v>
      </c>
      <c r="I142" s="112">
        <v>83</v>
      </c>
      <c r="J142" s="112">
        <v>87</v>
      </c>
      <c r="K142" s="112">
        <v>89</v>
      </c>
      <c r="L142" s="112">
        <v>90</v>
      </c>
      <c r="M142" s="112">
        <v>90</v>
      </c>
    </row>
    <row r="143" spans="1:13" x14ac:dyDescent="0.25">
      <c r="A143" s="112" t="s">
        <v>70</v>
      </c>
      <c r="B143" s="112">
        <v>5</v>
      </c>
      <c r="C143" s="112">
        <v>9</v>
      </c>
      <c r="D143" s="112">
        <v>14</v>
      </c>
      <c r="E143" s="112">
        <v>38</v>
      </c>
      <c r="F143" s="112">
        <v>60</v>
      </c>
      <c r="G143" s="112">
        <v>68</v>
      </c>
      <c r="H143" s="112">
        <v>79</v>
      </c>
      <c r="I143" s="112">
        <v>85</v>
      </c>
      <c r="J143" s="112">
        <v>87</v>
      </c>
      <c r="K143" s="112">
        <v>89</v>
      </c>
      <c r="L143" s="112">
        <v>90</v>
      </c>
      <c r="M143" s="112">
        <v>86</v>
      </c>
    </row>
    <row r="144" spans="1:13" x14ac:dyDescent="0.25">
      <c r="A144" s="112" t="s">
        <v>69</v>
      </c>
      <c r="B144" s="112">
        <v>5</v>
      </c>
      <c r="C144" s="112">
        <v>9</v>
      </c>
      <c r="D144" s="112">
        <v>12</v>
      </c>
      <c r="E144" s="112">
        <v>35</v>
      </c>
      <c r="F144" s="112">
        <v>51</v>
      </c>
      <c r="G144" s="112">
        <v>56</v>
      </c>
      <c r="H144" s="112">
        <v>67</v>
      </c>
      <c r="I144" s="112">
        <v>74</v>
      </c>
      <c r="J144" s="112">
        <v>77</v>
      </c>
      <c r="K144" s="112">
        <v>80</v>
      </c>
      <c r="L144" s="112">
        <v>82</v>
      </c>
      <c r="M144" s="112">
        <v>83</v>
      </c>
    </row>
    <row r="145" spans="1:13" x14ac:dyDescent="0.25">
      <c r="A145" s="112" t="s">
        <v>68</v>
      </c>
      <c r="B145" s="112">
        <v>6</v>
      </c>
      <c r="C145" s="112">
        <v>10</v>
      </c>
      <c r="D145" s="112">
        <v>15</v>
      </c>
      <c r="E145" s="112">
        <v>37</v>
      </c>
      <c r="F145" s="112">
        <v>52</v>
      </c>
      <c r="G145" s="112">
        <v>56</v>
      </c>
      <c r="H145" s="112">
        <v>65</v>
      </c>
      <c r="I145" s="112">
        <v>72</v>
      </c>
      <c r="J145" s="112">
        <v>75</v>
      </c>
      <c r="K145" s="112">
        <v>78</v>
      </c>
      <c r="L145" s="112">
        <v>80</v>
      </c>
      <c r="M145" s="112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F19-1BFB-4C82-8563-AEA1C030C77C}">
  <dimension ref="A1:M145"/>
  <sheetViews>
    <sheetView workbookViewId="0"/>
  </sheetViews>
  <sheetFormatPr defaultRowHeight="15" x14ac:dyDescent="0.25"/>
  <cols>
    <col min="1" max="16384" width="9.140625" style="112"/>
  </cols>
  <sheetData>
    <row r="1" spans="1:13" x14ac:dyDescent="0.25">
      <c r="A1" s="114" t="s">
        <v>227</v>
      </c>
      <c r="B1" s="112" t="s">
        <v>223</v>
      </c>
      <c r="C1" s="112" t="s">
        <v>222</v>
      </c>
      <c r="D1" s="112" t="s">
        <v>221</v>
      </c>
      <c r="E1" s="112" t="s">
        <v>220</v>
      </c>
      <c r="F1" s="112" t="s">
        <v>219</v>
      </c>
      <c r="G1" s="112" t="s">
        <v>218</v>
      </c>
      <c r="H1" s="112" t="s">
        <v>217</v>
      </c>
      <c r="I1" s="112" t="s">
        <v>216</v>
      </c>
      <c r="J1" s="112" t="s">
        <v>215</v>
      </c>
      <c r="K1" s="112" t="s">
        <v>214</v>
      </c>
      <c r="L1" s="112" t="s">
        <v>213</v>
      </c>
      <c r="M1" s="112" t="s">
        <v>212</v>
      </c>
    </row>
    <row r="2" spans="1:13" x14ac:dyDescent="0.25">
      <c r="A2" s="112" t="s">
        <v>211</v>
      </c>
      <c r="B2" s="112">
        <v>8</v>
      </c>
      <c r="C2" s="112">
        <v>14</v>
      </c>
      <c r="D2" s="112">
        <v>24</v>
      </c>
      <c r="E2" s="112">
        <v>42</v>
      </c>
      <c r="F2" s="112">
        <v>51</v>
      </c>
      <c r="G2" s="112">
        <v>65</v>
      </c>
      <c r="H2" s="112">
        <v>81</v>
      </c>
      <c r="I2" s="112">
        <v>83</v>
      </c>
      <c r="J2" s="112">
        <v>83</v>
      </c>
      <c r="K2" s="112">
        <v>84</v>
      </c>
      <c r="L2" s="112">
        <v>84</v>
      </c>
      <c r="M2" s="112">
        <v>84</v>
      </c>
    </row>
    <row r="3" spans="1:13" x14ac:dyDescent="0.25">
      <c r="A3" s="112" t="s">
        <v>210</v>
      </c>
      <c r="B3" s="112">
        <v>7</v>
      </c>
      <c r="C3" s="112">
        <v>15</v>
      </c>
      <c r="D3" s="112">
        <v>23</v>
      </c>
      <c r="E3" s="112">
        <v>41</v>
      </c>
      <c r="F3" s="112">
        <v>53</v>
      </c>
      <c r="G3" s="112">
        <v>61</v>
      </c>
      <c r="H3" s="112">
        <v>67</v>
      </c>
      <c r="I3" s="112">
        <v>91</v>
      </c>
      <c r="J3" s="112">
        <v>95</v>
      </c>
      <c r="K3" s="112">
        <v>98</v>
      </c>
      <c r="L3" s="112">
        <v>100</v>
      </c>
      <c r="M3" s="112">
        <v>102</v>
      </c>
    </row>
    <row r="4" spans="1:13" x14ac:dyDescent="0.25">
      <c r="A4" s="112" t="s">
        <v>209</v>
      </c>
      <c r="B4" s="112">
        <v>6</v>
      </c>
      <c r="C4" s="112">
        <v>13</v>
      </c>
      <c r="D4" s="112">
        <v>23</v>
      </c>
      <c r="E4" s="112">
        <v>45</v>
      </c>
      <c r="F4" s="112">
        <v>58</v>
      </c>
      <c r="G4" s="112">
        <v>67</v>
      </c>
      <c r="H4" s="112">
        <v>74</v>
      </c>
      <c r="I4" s="112">
        <v>102</v>
      </c>
      <c r="J4" s="112">
        <v>102</v>
      </c>
      <c r="K4" s="112">
        <v>102</v>
      </c>
      <c r="L4" s="112">
        <v>102</v>
      </c>
      <c r="M4" s="112">
        <v>102</v>
      </c>
    </row>
    <row r="5" spans="1:13" x14ac:dyDescent="0.25">
      <c r="A5" s="112" t="s">
        <v>208</v>
      </c>
      <c r="B5" s="112">
        <v>7</v>
      </c>
      <c r="C5" s="112">
        <v>13</v>
      </c>
      <c r="D5" s="112">
        <v>21</v>
      </c>
      <c r="E5" s="112">
        <v>38</v>
      </c>
      <c r="F5" s="112">
        <v>49</v>
      </c>
      <c r="G5" s="112">
        <v>53</v>
      </c>
      <c r="H5" s="112">
        <v>56</v>
      </c>
      <c r="I5" s="112">
        <v>72</v>
      </c>
      <c r="J5" s="112">
        <v>76</v>
      </c>
      <c r="K5" s="112">
        <v>80</v>
      </c>
      <c r="L5" s="112">
        <v>83</v>
      </c>
      <c r="M5" s="112">
        <v>90</v>
      </c>
    </row>
    <row r="6" spans="1:13" x14ac:dyDescent="0.25">
      <c r="A6" s="112" t="s">
        <v>207</v>
      </c>
      <c r="B6" s="112">
        <v>6</v>
      </c>
      <c r="C6" s="112">
        <v>13</v>
      </c>
      <c r="D6" s="112">
        <v>18</v>
      </c>
      <c r="E6" s="112">
        <v>37</v>
      </c>
      <c r="F6" s="112">
        <v>60</v>
      </c>
      <c r="G6" s="112">
        <v>69</v>
      </c>
      <c r="H6" s="112">
        <v>75</v>
      </c>
      <c r="I6" s="112">
        <v>102</v>
      </c>
      <c r="J6" s="112">
        <v>102</v>
      </c>
      <c r="K6" s="112">
        <v>102</v>
      </c>
      <c r="L6" s="112">
        <v>102</v>
      </c>
      <c r="M6" s="112">
        <v>102</v>
      </c>
    </row>
    <row r="7" spans="1:13" x14ac:dyDescent="0.25">
      <c r="A7" s="112" t="s">
        <v>206</v>
      </c>
      <c r="B7" s="112">
        <v>8</v>
      </c>
      <c r="C7" s="112">
        <v>12</v>
      </c>
      <c r="D7" s="112">
        <v>18</v>
      </c>
      <c r="E7" s="112">
        <v>34</v>
      </c>
      <c r="F7" s="112">
        <v>51</v>
      </c>
      <c r="G7" s="112">
        <v>58</v>
      </c>
      <c r="H7" s="112">
        <v>61</v>
      </c>
      <c r="I7" s="112">
        <v>66</v>
      </c>
      <c r="J7" s="112">
        <v>73</v>
      </c>
      <c r="K7" s="112">
        <v>81</v>
      </c>
      <c r="L7" s="112">
        <v>85</v>
      </c>
      <c r="M7" s="112">
        <v>89</v>
      </c>
    </row>
    <row r="8" spans="1:13" x14ac:dyDescent="0.25">
      <c r="A8" s="112" t="s">
        <v>205</v>
      </c>
      <c r="B8" s="112">
        <v>7</v>
      </c>
      <c r="C8" s="112">
        <v>12</v>
      </c>
      <c r="D8" s="112">
        <v>15</v>
      </c>
      <c r="E8" s="112">
        <v>40</v>
      </c>
      <c r="F8" s="112">
        <v>49</v>
      </c>
      <c r="G8" s="112">
        <v>60</v>
      </c>
      <c r="H8" s="112">
        <v>68</v>
      </c>
      <c r="I8" s="112">
        <v>83</v>
      </c>
      <c r="J8" s="112">
        <v>93</v>
      </c>
      <c r="K8" s="112">
        <v>98</v>
      </c>
      <c r="L8" s="112">
        <v>100</v>
      </c>
      <c r="M8" s="112">
        <v>100</v>
      </c>
    </row>
    <row r="9" spans="1:13" x14ac:dyDescent="0.25">
      <c r="A9" s="112" t="s">
        <v>204</v>
      </c>
      <c r="B9" s="112">
        <v>8</v>
      </c>
      <c r="C9" s="112">
        <v>12</v>
      </c>
      <c r="D9" s="112">
        <v>16</v>
      </c>
      <c r="E9" s="112">
        <v>37</v>
      </c>
      <c r="F9" s="112">
        <v>53</v>
      </c>
      <c r="G9" s="112">
        <v>68</v>
      </c>
      <c r="H9" s="112">
        <v>77</v>
      </c>
      <c r="I9" s="112">
        <v>91</v>
      </c>
      <c r="J9" s="112">
        <v>91</v>
      </c>
      <c r="K9" s="112">
        <v>90</v>
      </c>
      <c r="L9" s="112">
        <v>91</v>
      </c>
      <c r="M9" s="112">
        <v>99</v>
      </c>
    </row>
    <row r="10" spans="1:13" x14ac:dyDescent="0.25">
      <c r="A10" s="112" t="s">
        <v>203</v>
      </c>
      <c r="B10" s="112">
        <v>5</v>
      </c>
      <c r="C10" s="112">
        <v>11</v>
      </c>
      <c r="D10" s="112">
        <v>17</v>
      </c>
      <c r="E10" s="112">
        <v>36</v>
      </c>
      <c r="F10" s="112">
        <v>43</v>
      </c>
      <c r="G10" s="112">
        <v>46</v>
      </c>
      <c r="H10" s="112">
        <v>50</v>
      </c>
      <c r="I10" s="112">
        <v>54</v>
      </c>
      <c r="J10" s="112">
        <v>56</v>
      </c>
      <c r="K10" s="112">
        <v>57</v>
      </c>
      <c r="L10" s="112">
        <v>58</v>
      </c>
      <c r="M10" s="112">
        <v>50</v>
      </c>
    </row>
    <row r="11" spans="1:13" x14ac:dyDescent="0.25">
      <c r="A11" s="112" t="s">
        <v>202</v>
      </c>
      <c r="B11" s="112">
        <v>6</v>
      </c>
      <c r="C11" s="112">
        <v>11</v>
      </c>
      <c r="D11" s="112">
        <v>11</v>
      </c>
      <c r="E11" s="112">
        <v>25</v>
      </c>
      <c r="F11" s="112">
        <v>31</v>
      </c>
      <c r="G11" s="112">
        <v>34</v>
      </c>
      <c r="H11" s="112">
        <v>38</v>
      </c>
      <c r="I11" s="112">
        <v>45</v>
      </c>
      <c r="J11" s="112">
        <v>49</v>
      </c>
      <c r="K11" s="112">
        <v>52</v>
      </c>
      <c r="L11" s="112">
        <v>54</v>
      </c>
      <c r="M11" s="112">
        <v>102</v>
      </c>
    </row>
    <row r="12" spans="1:13" x14ac:dyDescent="0.25">
      <c r="A12" s="112" t="s">
        <v>201</v>
      </c>
      <c r="B12" s="112">
        <v>8</v>
      </c>
      <c r="C12" s="112">
        <v>11</v>
      </c>
      <c r="D12" s="112">
        <v>16</v>
      </c>
      <c r="E12" s="112">
        <v>40</v>
      </c>
      <c r="F12" s="112">
        <v>47</v>
      </c>
      <c r="G12" s="112">
        <v>64</v>
      </c>
      <c r="H12" s="112">
        <v>77</v>
      </c>
      <c r="I12" s="112">
        <v>94</v>
      </c>
      <c r="J12" s="112">
        <v>101</v>
      </c>
      <c r="K12" s="112">
        <v>102</v>
      </c>
      <c r="L12" s="112">
        <v>102</v>
      </c>
      <c r="M12" s="112">
        <v>102</v>
      </c>
    </row>
    <row r="13" spans="1:13" x14ac:dyDescent="0.25">
      <c r="A13" s="112" t="s">
        <v>200</v>
      </c>
      <c r="B13" s="112">
        <v>7</v>
      </c>
      <c r="C13" s="112">
        <v>10</v>
      </c>
      <c r="D13" s="112">
        <v>13</v>
      </c>
      <c r="E13" s="112">
        <v>32</v>
      </c>
      <c r="F13" s="112">
        <v>42</v>
      </c>
      <c r="G13" s="112">
        <v>54</v>
      </c>
      <c r="H13" s="112">
        <v>62</v>
      </c>
      <c r="I13" s="112">
        <v>80</v>
      </c>
      <c r="J13" s="112">
        <v>86</v>
      </c>
      <c r="K13" s="112">
        <v>88</v>
      </c>
      <c r="L13" s="112">
        <v>92</v>
      </c>
      <c r="M13" s="112">
        <v>102</v>
      </c>
    </row>
    <row r="14" spans="1:13" x14ac:dyDescent="0.25">
      <c r="A14" s="112" t="s">
        <v>199</v>
      </c>
      <c r="B14" s="112">
        <v>15</v>
      </c>
      <c r="C14" s="112">
        <v>21</v>
      </c>
      <c r="D14" s="112">
        <v>31</v>
      </c>
      <c r="E14" s="112">
        <v>60</v>
      </c>
      <c r="F14" s="112">
        <v>77</v>
      </c>
      <c r="G14" s="112">
        <v>88</v>
      </c>
      <c r="H14" s="112">
        <v>95</v>
      </c>
      <c r="I14" s="112">
        <v>102</v>
      </c>
      <c r="J14" s="112">
        <v>102</v>
      </c>
      <c r="K14" s="112">
        <v>102</v>
      </c>
      <c r="L14" s="112">
        <v>102</v>
      </c>
      <c r="M14" s="112">
        <v>102</v>
      </c>
    </row>
    <row r="15" spans="1:13" x14ac:dyDescent="0.25">
      <c r="A15" s="112" t="s">
        <v>198</v>
      </c>
      <c r="B15" s="112">
        <v>13</v>
      </c>
      <c r="C15" s="112">
        <v>20</v>
      </c>
      <c r="D15" s="112">
        <v>28</v>
      </c>
      <c r="E15" s="112">
        <v>58</v>
      </c>
      <c r="F15" s="112">
        <v>67</v>
      </c>
      <c r="G15" s="112">
        <v>83</v>
      </c>
      <c r="H15" s="112">
        <v>92</v>
      </c>
      <c r="I15" s="112">
        <v>102</v>
      </c>
      <c r="J15" s="112">
        <v>102</v>
      </c>
      <c r="K15" s="112">
        <v>102</v>
      </c>
      <c r="L15" s="112">
        <v>102</v>
      </c>
      <c r="M15" s="112">
        <v>102</v>
      </c>
    </row>
    <row r="16" spans="1:13" x14ac:dyDescent="0.25">
      <c r="A16" s="112" t="s">
        <v>197</v>
      </c>
      <c r="B16" s="112">
        <v>16</v>
      </c>
      <c r="C16" s="112">
        <v>23</v>
      </c>
      <c r="D16" s="112">
        <v>23</v>
      </c>
      <c r="E16" s="112">
        <v>57</v>
      </c>
      <c r="F16" s="112">
        <v>68</v>
      </c>
      <c r="G16" s="112">
        <v>81</v>
      </c>
      <c r="H16" s="112">
        <v>88</v>
      </c>
      <c r="I16" s="112">
        <v>98</v>
      </c>
      <c r="J16" s="112">
        <v>102</v>
      </c>
      <c r="K16" s="112">
        <v>102</v>
      </c>
      <c r="L16" s="112">
        <v>102</v>
      </c>
      <c r="M16" s="112">
        <v>102</v>
      </c>
    </row>
    <row r="17" spans="1:13" x14ac:dyDescent="0.25">
      <c r="A17" s="112" t="s">
        <v>196</v>
      </c>
      <c r="B17" s="112">
        <v>13</v>
      </c>
      <c r="C17" s="112">
        <v>20</v>
      </c>
      <c r="D17" s="112">
        <v>27</v>
      </c>
      <c r="E17" s="112">
        <v>61</v>
      </c>
      <c r="F17" s="112">
        <v>75</v>
      </c>
      <c r="G17" s="112">
        <v>87</v>
      </c>
      <c r="H17" s="112">
        <v>93</v>
      </c>
      <c r="I17" s="112">
        <v>102</v>
      </c>
      <c r="J17" s="112">
        <v>102</v>
      </c>
      <c r="K17" s="112">
        <v>102</v>
      </c>
      <c r="L17" s="112">
        <v>102</v>
      </c>
      <c r="M17" s="112">
        <v>102</v>
      </c>
    </row>
    <row r="18" spans="1:13" x14ac:dyDescent="0.25">
      <c r="A18" s="112" t="s">
        <v>195</v>
      </c>
      <c r="B18" s="112">
        <v>12</v>
      </c>
      <c r="C18" s="112">
        <v>16</v>
      </c>
      <c r="D18" s="112">
        <v>21</v>
      </c>
      <c r="E18" s="112">
        <v>48</v>
      </c>
      <c r="F18" s="112">
        <v>58</v>
      </c>
      <c r="G18" s="112">
        <v>64</v>
      </c>
      <c r="H18" s="112">
        <v>68</v>
      </c>
      <c r="I18" s="112">
        <v>91</v>
      </c>
      <c r="J18" s="112">
        <v>102</v>
      </c>
      <c r="K18" s="112">
        <v>102</v>
      </c>
      <c r="L18" s="112">
        <v>102</v>
      </c>
      <c r="M18" s="112">
        <v>102</v>
      </c>
    </row>
    <row r="19" spans="1:13" x14ac:dyDescent="0.25">
      <c r="A19" s="112" t="s">
        <v>194</v>
      </c>
      <c r="B19" s="112">
        <v>11</v>
      </c>
      <c r="C19" s="112">
        <v>16</v>
      </c>
      <c r="D19" s="112">
        <v>24</v>
      </c>
      <c r="E19" s="112">
        <v>52</v>
      </c>
      <c r="F19" s="112">
        <v>62</v>
      </c>
      <c r="G19" s="112">
        <v>59</v>
      </c>
      <c r="H19" s="112">
        <v>59</v>
      </c>
      <c r="I19" s="112">
        <v>78</v>
      </c>
      <c r="J19" s="112">
        <v>80</v>
      </c>
      <c r="K19" s="112">
        <v>82</v>
      </c>
      <c r="L19" s="112">
        <v>83</v>
      </c>
      <c r="M19" s="112">
        <v>82</v>
      </c>
    </row>
    <row r="20" spans="1:13" x14ac:dyDescent="0.25">
      <c r="A20" s="112" t="s">
        <v>193</v>
      </c>
      <c r="B20" s="112">
        <v>15</v>
      </c>
      <c r="C20" s="112">
        <v>20</v>
      </c>
      <c r="D20" s="112">
        <v>26</v>
      </c>
      <c r="E20" s="112">
        <v>49</v>
      </c>
      <c r="F20" s="112">
        <v>57</v>
      </c>
      <c r="G20" s="112">
        <v>71</v>
      </c>
      <c r="H20" s="112">
        <v>80</v>
      </c>
      <c r="I20" s="112">
        <v>79</v>
      </c>
      <c r="J20" s="112">
        <v>82</v>
      </c>
      <c r="K20" s="112">
        <v>84</v>
      </c>
      <c r="L20" s="112">
        <v>87</v>
      </c>
      <c r="M20" s="112">
        <v>88</v>
      </c>
    </row>
    <row r="21" spans="1:13" x14ac:dyDescent="0.25">
      <c r="A21" s="112" t="s">
        <v>192</v>
      </c>
      <c r="B21" s="112">
        <v>11</v>
      </c>
      <c r="C21" s="112">
        <v>16</v>
      </c>
      <c r="D21" s="112">
        <v>24</v>
      </c>
      <c r="E21" s="112">
        <v>54</v>
      </c>
      <c r="F21" s="112">
        <v>66</v>
      </c>
      <c r="G21" s="112">
        <v>77</v>
      </c>
      <c r="H21" s="112">
        <v>84</v>
      </c>
      <c r="I21" s="112">
        <v>96</v>
      </c>
      <c r="J21" s="112">
        <v>102</v>
      </c>
      <c r="K21" s="112">
        <v>102</v>
      </c>
      <c r="L21" s="112">
        <v>102</v>
      </c>
      <c r="M21" s="112">
        <v>102</v>
      </c>
    </row>
    <row r="22" spans="1:13" x14ac:dyDescent="0.25">
      <c r="A22" s="112" t="s">
        <v>191</v>
      </c>
      <c r="B22" s="112">
        <v>13</v>
      </c>
      <c r="C22" s="112">
        <v>19</v>
      </c>
      <c r="D22" s="112">
        <v>23</v>
      </c>
      <c r="E22" s="112">
        <v>51</v>
      </c>
      <c r="F22" s="112">
        <v>62</v>
      </c>
      <c r="G22" s="112">
        <v>67</v>
      </c>
      <c r="H22" s="112">
        <v>72</v>
      </c>
      <c r="I22" s="112">
        <v>84</v>
      </c>
      <c r="J22" s="112">
        <v>88</v>
      </c>
      <c r="K22" s="112">
        <v>91</v>
      </c>
      <c r="L22" s="112">
        <v>95</v>
      </c>
      <c r="M22" s="112">
        <v>102</v>
      </c>
    </row>
    <row r="23" spans="1:13" x14ac:dyDescent="0.25">
      <c r="A23" s="112" t="s">
        <v>190</v>
      </c>
      <c r="B23" s="112">
        <v>10</v>
      </c>
      <c r="C23" s="112">
        <v>15</v>
      </c>
      <c r="D23" s="112">
        <v>23</v>
      </c>
      <c r="E23" s="112">
        <v>54</v>
      </c>
      <c r="F23" s="112">
        <v>61</v>
      </c>
      <c r="G23" s="112">
        <v>68</v>
      </c>
      <c r="H23" s="112">
        <v>72</v>
      </c>
      <c r="I23" s="112">
        <v>95</v>
      </c>
      <c r="J23" s="112">
        <v>102</v>
      </c>
      <c r="K23" s="112">
        <v>102</v>
      </c>
      <c r="L23" s="112">
        <v>102</v>
      </c>
      <c r="M23" s="112">
        <v>102</v>
      </c>
    </row>
    <row r="24" spans="1:13" x14ac:dyDescent="0.25">
      <c r="A24" s="112" t="s">
        <v>189</v>
      </c>
      <c r="B24" s="112">
        <v>14</v>
      </c>
      <c r="C24" s="112">
        <v>17</v>
      </c>
      <c r="D24" s="112">
        <v>22</v>
      </c>
      <c r="E24" s="112">
        <v>54</v>
      </c>
      <c r="F24" s="112">
        <v>57</v>
      </c>
      <c r="G24" s="112">
        <v>65</v>
      </c>
      <c r="H24" s="112">
        <v>69</v>
      </c>
      <c r="I24" s="112">
        <v>86</v>
      </c>
      <c r="J24" s="112">
        <v>92</v>
      </c>
      <c r="K24" s="112">
        <v>97</v>
      </c>
      <c r="L24" s="112">
        <v>101</v>
      </c>
      <c r="M24" s="112">
        <v>102</v>
      </c>
    </row>
    <row r="25" spans="1:13" x14ac:dyDescent="0.25">
      <c r="A25" s="112" t="s">
        <v>188</v>
      </c>
      <c r="B25" s="112">
        <v>11</v>
      </c>
      <c r="C25" s="112">
        <v>17</v>
      </c>
      <c r="D25" s="112">
        <v>21</v>
      </c>
      <c r="E25" s="112">
        <v>38</v>
      </c>
      <c r="F25" s="112">
        <v>42</v>
      </c>
      <c r="G25" s="112">
        <v>47</v>
      </c>
      <c r="H25" s="112">
        <v>51</v>
      </c>
      <c r="I25" s="112">
        <v>67</v>
      </c>
      <c r="J25" s="112">
        <v>79</v>
      </c>
      <c r="K25" s="112">
        <v>90</v>
      </c>
      <c r="L25" s="112">
        <v>102</v>
      </c>
      <c r="M25" s="112">
        <v>102</v>
      </c>
    </row>
    <row r="26" spans="1:13" x14ac:dyDescent="0.25">
      <c r="A26" s="112" t="s">
        <v>187</v>
      </c>
      <c r="B26" s="112">
        <v>9</v>
      </c>
      <c r="C26" s="112">
        <v>15</v>
      </c>
      <c r="D26" s="112">
        <v>26</v>
      </c>
      <c r="E26" s="112">
        <v>57</v>
      </c>
      <c r="F26" s="112">
        <v>73</v>
      </c>
      <c r="G26" s="112">
        <v>87</v>
      </c>
      <c r="H26" s="112">
        <v>98</v>
      </c>
      <c r="I26" s="112">
        <v>102</v>
      </c>
      <c r="J26" s="112">
        <v>102</v>
      </c>
      <c r="K26" s="112">
        <v>102</v>
      </c>
      <c r="L26" s="112">
        <v>102</v>
      </c>
      <c r="M26" s="112">
        <v>102</v>
      </c>
    </row>
    <row r="27" spans="1:13" x14ac:dyDescent="0.25">
      <c r="A27" s="112" t="s">
        <v>186</v>
      </c>
      <c r="B27" s="112">
        <v>9</v>
      </c>
      <c r="C27" s="112">
        <v>14</v>
      </c>
      <c r="D27" s="112">
        <v>16</v>
      </c>
      <c r="E27" s="112">
        <v>34</v>
      </c>
      <c r="F27" s="112">
        <v>48</v>
      </c>
      <c r="G27" s="112">
        <v>61</v>
      </c>
      <c r="H27" s="112">
        <v>72</v>
      </c>
      <c r="I27" s="112">
        <v>80</v>
      </c>
      <c r="J27" s="112">
        <v>86</v>
      </c>
      <c r="K27" s="112">
        <v>94</v>
      </c>
      <c r="L27" s="112">
        <v>100</v>
      </c>
      <c r="M27" s="112">
        <v>98</v>
      </c>
    </row>
    <row r="28" spans="1:13" x14ac:dyDescent="0.25">
      <c r="A28" s="112" t="s">
        <v>185</v>
      </c>
      <c r="B28" s="112">
        <v>8</v>
      </c>
      <c r="C28" s="112">
        <v>12</v>
      </c>
      <c r="D28" s="112">
        <v>22</v>
      </c>
      <c r="E28" s="112">
        <v>48</v>
      </c>
      <c r="F28" s="112">
        <v>65</v>
      </c>
      <c r="G28" s="112">
        <v>78</v>
      </c>
      <c r="H28" s="112">
        <v>91</v>
      </c>
      <c r="I28" s="112">
        <v>102</v>
      </c>
      <c r="J28" s="112">
        <v>102</v>
      </c>
      <c r="K28" s="112">
        <v>102</v>
      </c>
      <c r="L28" s="112">
        <v>102</v>
      </c>
      <c r="M28" s="112">
        <v>102</v>
      </c>
    </row>
    <row r="29" spans="1:13" x14ac:dyDescent="0.25">
      <c r="A29" s="112" t="s">
        <v>184</v>
      </c>
      <c r="B29" s="112">
        <v>12</v>
      </c>
      <c r="C29" s="112">
        <v>15</v>
      </c>
      <c r="D29" s="112">
        <v>21</v>
      </c>
      <c r="E29" s="112">
        <v>41</v>
      </c>
      <c r="F29" s="112">
        <v>53</v>
      </c>
      <c r="G29" s="112">
        <v>61</v>
      </c>
      <c r="H29" s="112">
        <v>67</v>
      </c>
      <c r="I29" s="112">
        <v>71</v>
      </c>
      <c r="J29" s="112">
        <v>82</v>
      </c>
      <c r="K29" s="112">
        <v>91</v>
      </c>
      <c r="L29" s="112">
        <v>102</v>
      </c>
      <c r="M29" s="112">
        <v>102</v>
      </c>
    </row>
    <row r="30" spans="1:13" x14ac:dyDescent="0.25">
      <c r="A30" s="112" t="s">
        <v>183</v>
      </c>
      <c r="B30" s="112">
        <v>8</v>
      </c>
      <c r="C30" s="112">
        <v>13</v>
      </c>
      <c r="D30" s="112">
        <v>17</v>
      </c>
      <c r="E30" s="112">
        <v>36</v>
      </c>
      <c r="F30" s="112">
        <v>55</v>
      </c>
      <c r="G30" s="112">
        <v>65</v>
      </c>
      <c r="H30" s="112">
        <v>70</v>
      </c>
      <c r="I30" s="112">
        <v>82</v>
      </c>
      <c r="J30" s="112">
        <v>90</v>
      </c>
      <c r="K30" s="112">
        <v>94</v>
      </c>
      <c r="L30" s="112">
        <v>97</v>
      </c>
      <c r="M30" s="112">
        <v>102</v>
      </c>
    </row>
    <row r="31" spans="1:13" x14ac:dyDescent="0.25">
      <c r="A31" s="112" t="s">
        <v>182</v>
      </c>
      <c r="B31" s="112">
        <v>10</v>
      </c>
      <c r="C31" s="112">
        <v>15</v>
      </c>
      <c r="D31" s="112">
        <v>24</v>
      </c>
      <c r="E31" s="112">
        <v>53</v>
      </c>
      <c r="F31" s="112">
        <v>72</v>
      </c>
      <c r="G31" s="112">
        <v>77</v>
      </c>
      <c r="H31" s="112">
        <v>80</v>
      </c>
      <c r="I31" s="112">
        <v>96</v>
      </c>
      <c r="J31" s="112">
        <v>102</v>
      </c>
      <c r="K31" s="112">
        <v>102</v>
      </c>
      <c r="L31" s="112">
        <v>102</v>
      </c>
      <c r="M31" s="112">
        <v>102</v>
      </c>
    </row>
    <row r="32" spans="1:13" x14ac:dyDescent="0.25">
      <c r="A32" s="112" t="s">
        <v>181</v>
      </c>
      <c r="B32" s="112">
        <v>12</v>
      </c>
      <c r="C32" s="112">
        <v>19</v>
      </c>
      <c r="D32" s="112">
        <v>26</v>
      </c>
      <c r="E32" s="112">
        <v>48</v>
      </c>
      <c r="F32" s="112">
        <v>67</v>
      </c>
      <c r="G32" s="112">
        <v>74</v>
      </c>
      <c r="H32" s="112">
        <v>79</v>
      </c>
      <c r="I32" s="112">
        <v>93</v>
      </c>
      <c r="J32" s="112">
        <v>102</v>
      </c>
      <c r="K32" s="112">
        <v>102</v>
      </c>
      <c r="L32" s="112">
        <v>102</v>
      </c>
      <c r="M32" s="112">
        <v>102</v>
      </c>
    </row>
    <row r="33" spans="1:13" x14ac:dyDescent="0.25">
      <c r="A33" s="112" t="s">
        <v>180</v>
      </c>
      <c r="B33" s="112">
        <v>10</v>
      </c>
      <c r="C33" s="112">
        <v>17</v>
      </c>
      <c r="D33" s="112">
        <v>21</v>
      </c>
      <c r="E33" s="112">
        <v>44</v>
      </c>
      <c r="F33" s="112">
        <v>64</v>
      </c>
      <c r="G33" s="112">
        <v>77</v>
      </c>
      <c r="H33" s="112">
        <v>85</v>
      </c>
      <c r="I33" s="112">
        <v>95</v>
      </c>
      <c r="J33" s="112">
        <v>102</v>
      </c>
      <c r="K33" s="112">
        <v>102</v>
      </c>
      <c r="L33" s="112">
        <v>102</v>
      </c>
      <c r="M33" s="112">
        <v>100</v>
      </c>
    </row>
    <row r="34" spans="1:13" x14ac:dyDescent="0.25">
      <c r="A34" s="112" t="s">
        <v>179</v>
      </c>
      <c r="B34" s="112">
        <v>7</v>
      </c>
      <c r="C34" s="112">
        <v>15</v>
      </c>
      <c r="D34" s="112">
        <v>18</v>
      </c>
      <c r="E34" s="112">
        <v>28</v>
      </c>
      <c r="F34" s="112">
        <v>43</v>
      </c>
      <c r="G34" s="112">
        <v>41</v>
      </c>
      <c r="H34" s="112">
        <v>42</v>
      </c>
      <c r="I34" s="112">
        <v>50</v>
      </c>
      <c r="J34" s="112">
        <v>57</v>
      </c>
      <c r="K34" s="112">
        <v>66</v>
      </c>
      <c r="L34" s="112">
        <v>72</v>
      </c>
      <c r="M34" s="112">
        <v>68</v>
      </c>
    </row>
    <row r="35" spans="1:13" x14ac:dyDescent="0.25">
      <c r="A35" s="112" t="s">
        <v>178</v>
      </c>
      <c r="B35" s="112">
        <v>8</v>
      </c>
      <c r="C35" s="112">
        <v>13</v>
      </c>
      <c r="D35" s="112">
        <v>18</v>
      </c>
      <c r="E35" s="112">
        <v>42</v>
      </c>
      <c r="F35" s="112">
        <v>57</v>
      </c>
      <c r="G35" s="112">
        <v>70</v>
      </c>
      <c r="H35" s="112">
        <v>78</v>
      </c>
      <c r="I35" s="112">
        <v>93</v>
      </c>
      <c r="J35" s="112">
        <v>99</v>
      </c>
      <c r="K35" s="112">
        <v>102</v>
      </c>
      <c r="L35" s="112">
        <v>102</v>
      </c>
      <c r="M35" s="112">
        <v>102</v>
      </c>
    </row>
    <row r="36" spans="1:13" x14ac:dyDescent="0.25">
      <c r="A36" s="112" t="s">
        <v>177</v>
      </c>
      <c r="B36" s="112">
        <v>12</v>
      </c>
      <c r="C36" s="112">
        <v>15</v>
      </c>
      <c r="D36" s="112">
        <v>21</v>
      </c>
      <c r="E36" s="112">
        <v>36</v>
      </c>
      <c r="F36" s="112">
        <v>55</v>
      </c>
      <c r="G36" s="112">
        <v>67</v>
      </c>
      <c r="H36" s="112">
        <v>74</v>
      </c>
      <c r="I36" s="112">
        <v>90</v>
      </c>
      <c r="J36" s="112">
        <v>96</v>
      </c>
      <c r="K36" s="112">
        <v>99</v>
      </c>
      <c r="L36" s="112">
        <v>101</v>
      </c>
      <c r="M36" s="112">
        <v>102</v>
      </c>
    </row>
    <row r="37" spans="1:13" x14ac:dyDescent="0.25">
      <c r="A37" s="112" t="s">
        <v>176</v>
      </c>
      <c r="B37" s="112">
        <v>10</v>
      </c>
      <c r="C37" s="112">
        <v>15</v>
      </c>
      <c r="D37" s="112">
        <v>19</v>
      </c>
      <c r="E37" s="112">
        <v>41</v>
      </c>
      <c r="F37" s="112">
        <v>59</v>
      </c>
      <c r="G37" s="112">
        <v>66</v>
      </c>
      <c r="H37" s="112">
        <v>74</v>
      </c>
      <c r="I37" s="112">
        <v>92</v>
      </c>
      <c r="J37" s="112">
        <v>98</v>
      </c>
      <c r="K37" s="112">
        <v>102</v>
      </c>
      <c r="L37" s="112">
        <v>102</v>
      </c>
      <c r="M37" s="112">
        <v>102</v>
      </c>
    </row>
    <row r="38" spans="1:13" x14ac:dyDescent="0.25">
      <c r="A38" s="112" t="s">
        <v>175</v>
      </c>
      <c r="B38" s="112">
        <v>15</v>
      </c>
      <c r="C38" s="112">
        <v>18</v>
      </c>
      <c r="D38" s="112">
        <v>33</v>
      </c>
      <c r="E38" s="112">
        <v>59</v>
      </c>
      <c r="F38" s="112">
        <v>73</v>
      </c>
      <c r="G38" s="112">
        <v>88</v>
      </c>
      <c r="H38" s="112">
        <v>102</v>
      </c>
      <c r="I38" s="112">
        <v>102</v>
      </c>
      <c r="J38" s="112">
        <v>102</v>
      </c>
      <c r="K38" s="112">
        <v>102</v>
      </c>
      <c r="L38" s="112">
        <v>102</v>
      </c>
      <c r="M38" s="112">
        <v>102</v>
      </c>
    </row>
    <row r="39" spans="1:13" x14ac:dyDescent="0.25">
      <c r="A39" s="112" t="s">
        <v>174</v>
      </c>
      <c r="B39" s="112">
        <v>17</v>
      </c>
      <c r="C39" s="112">
        <v>21</v>
      </c>
      <c r="D39" s="112">
        <v>28</v>
      </c>
      <c r="E39" s="112">
        <v>59</v>
      </c>
      <c r="F39" s="112">
        <v>78</v>
      </c>
      <c r="G39" s="112">
        <v>91</v>
      </c>
      <c r="H39" s="112">
        <v>102</v>
      </c>
      <c r="I39" s="112">
        <v>102</v>
      </c>
      <c r="J39" s="112">
        <v>102</v>
      </c>
      <c r="K39" s="112">
        <v>102</v>
      </c>
      <c r="L39" s="112">
        <v>102</v>
      </c>
      <c r="M39" s="112">
        <v>102</v>
      </c>
    </row>
    <row r="40" spans="1:13" x14ac:dyDescent="0.25">
      <c r="A40" s="112" t="s">
        <v>173</v>
      </c>
      <c r="B40" s="112">
        <v>18</v>
      </c>
      <c r="C40" s="112">
        <v>24</v>
      </c>
      <c r="D40" s="112">
        <v>34</v>
      </c>
      <c r="E40" s="112">
        <v>66</v>
      </c>
      <c r="F40" s="112">
        <v>78</v>
      </c>
      <c r="G40" s="112">
        <v>92</v>
      </c>
      <c r="H40" s="112">
        <v>102</v>
      </c>
      <c r="I40" s="112">
        <v>102</v>
      </c>
      <c r="J40" s="112">
        <v>102</v>
      </c>
      <c r="K40" s="112">
        <v>102</v>
      </c>
      <c r="L40" s="112">
        <v>102</v>
      </c>
      <c r="M40" s="112">
        <v>102</v>
      </c>
    </row>
    <row r="41" spans="1:13" x14ac:dyDescent="0.25">
      <c r="A41" s="112" t="s">
        <v>172</v>
      </c>
      <c r="B41" s="112">
        <v>10</v>
      </c>
      <c r="C41" s="112">
        <v>19</v>
      </c>
      <c r="D41" s="112">
        <v>26</v>
      </c>
      <c r="E41" s="112">
        <v>49</v>
      </c>
      <c r="F41" s="112">
        <v>65</v>
      </c>
      <c r="G41" s="112">
        <v>69</v>
      </c>
      <c r="H41" s="112">
        <v>70</v>
      </c>
      <c r="I41" s="112">
        <v>78</v>
      </c>
      <c r="J41" s="112">
        <v>86</v>
      </c>
      <c r="K41" s="112">
        <v>94</v>
      </c>
      <c r="L41" s="112">
        <v>102</v>
      </c>
      <c r="M41" s="112">
        <v>102</v>
      </c>
    </row>
    <row r="42" spans="1:13" x14ac:dyDescent="0.25">
      <c r="A42" s="112" t="s">
        <v>171</v>
      </c>
      <c r="B42" s="112">
        <v>12</v>
      </c>
      <c r="C42" s="112">
        <v>21</v>
      </c>
      <c r="D42" s="112">
        <v>31</v>
      </c>
      <c r="E42" s="112">
        <v>62</v>
      </c>
      <c r="F42" s="112">
        <v>75</v>
      </c>
      <c r="G42" s="112">
        <v>89</v>
      </c>
      <c r="H42" s="112">
        <v>98</v>
      </c>
      <c r="I42" s="112">
        <v>102</v>
      </c>
      <c r="J42" s="112">
        <v>102</v>
      </c>
      <c r="K42" s="112">
        <v>102</v>
      </c>
      <c r="L42" s="112">
        <v>102</v>
      </c>
      <c r="M42" s="112">
        <v>102</v>
      </c>
    </row>
    <row r="43" spans="1:13" x14ac:dyDescent="0.25">
      <c r="A43" s="112" t="s">
        <v>170</v>
      </c>
      <c r="B43" s="112">
        <v>16</v>
      </c>
      <c r="C43" s="112">
        <v>25</v>
      </c>
      <c r="D43" s="112">
        <v>30</v>
      </c>
      <c r="E43" s="112">
        <v>55</v>
      </c>
      <c r="F43" s="112">
        <v>66</v>
      </c>
      <c r="G43" s="112">
        <v>69</v>
      </c>
      <c r="H43" s="112">
        <v>71</v>
      </c>
      <c r="I43" s="112">
        <v>78</v>
      </c>
      <c r="J43" s="112">
        <v>85</v>
      </c>
      <c r="K43" s="112">
        <v>92</v>
      </c>
      <c r="L43" s="112">
        <v>100</v>
      </c>
      <c r="M43" s="112">
        <v>102</v>
      </c>
    </row>
    <row r="44" spans="1:13" x14ac:dyDescent="0.25">
      <c r="A44" s="112" t="s">
        <v>169</v>
      </c>
      <c r="B44" s="112">
        <v>18</v>
      </c>
      <c r="C44" s="112">
        <v>26</v>
      </c>
      <c r="D44" s="112">
        <v>30</v>
      </c>
      <c r="E44" s="112">
        <v>62</v>
      </c>
      <c r="F44" s="112">
        <v>78</v>
      </c>
      <c r="G44" s="112">
        <v>89</v>
      </c>
      <c r="H44" s="112">
        <v>97</v>
      </c>
      <c r="I44" s="112">
        <v>102</v>
      </c>
      <c r="J44" s="112">
        <v>102</v>
      </c>
      <c r="K44" s="112">
        <v>102</v>
      </c>
      <c r="L44" s="112">
        <v>102</v>
      </c>
      <c r="M44" s="112">
        <v>102</v>
      </c>
    </row>
    <row r="45" spans="1:13" x14ac:dyDescent="0.25">
      <c r="A45" s="112" t="s">
        <v>168</v>
      </c>
      <c r="B45" s="112">
        <v>9</v>
      </c>
      <c r="C45" s="112">
        <v>14</v>
      </c>
      <c r="D45" s="112">
        <v>22</v>
      </c>
      <c r="E45" s="112">
        <v>43</v>
      </c>
      <c r="F45" s="112">
        <v>60</v>
      </c>
      <c r="G45" s="112">
        <v>77</v>
      </c>
      <c r="H45" s="112">
        <v>89</v>
      </c>
      <c r="I45" s="112">
        <v>100</v>
      </c>
      <c r="J45" s="112">
        <v>102</v>
      </c>
      <c r="K45" s="112">
        <v>102</v>
      </c>
      <c r="L45" s="112">
        <v>102</v>
      </c>
      <c r="M45" s="112">
        <v>102</v>
      </c>
    </row>
    <row r="46" spans="1:13" x14ac:dyDescent="0.25">
      <c r="A46" s="112" t="s">
        <v>167</v>
      </c>
      <c r="B46" s="112">
        <v>15</v>
      </c>
      <c r="C46" s="112">
        <v>21</v>
      </c>
      <c r="D46" s="112">
        <v>28</v>
      </c>
      <c r="E46" s="112">
        <v>58</v>
      </c>
      <c r="F46" s="112">
        <v>73</v>
      </c>
      <c r="G46" s="112">
        <v>91</v>
      </c>
      <c r="H46" s="112">
        <v>102</v>
      </c>
      <c r="I46" s="112">
        <v>102</v>
      </c>
      <c r="J46" s="112">
        <v>102</v>
      </c>
      <c r="K46" s="112">
        <v>102</v>
      </c>
      <c r="L46" s="112">
        <v>102</v>
      </c>
      <c r="M46" s="112">
        <v>102</v>
      </c>
    </row>
    <row r="47" spans="1:13" x14ac:dyDescent="0.25">
      <c r="A47" s="112" t="s">
        <v>166</v>
      </c>
      <c r="B47" s="112">
        <v>10</v>
      </c>
      <c r="C47" s="112">
        <v>15</v>
      </c>
      <c r="D47" s="112">
        <v>24</v>
      </c>
      <c r="E47" s="112">
        <v>48</v>
      </c>
      <c r="F47" s="112">
        <v>70</v>
      </c>
      <c r="G47" s="112">
        <v>86</v>
      </c>
      <c r="H47" s="112">
        <v>102</v>
      </c>
      <c r="I47" s="112">
        <v>102</v>
      </c>
      <c r="J47" s="112">
        <v>102</v>
      </c>
      <c r="K47" s="112">
        <v>102</v>
      </c>
      <c r="L47" s="112">
        <v>102</v>
      </c>
      <c r="M47" s="112">
        <v>102</v>
      </c>
    </row>
    <row r="48" spans="1:13" x14ac:dyDescent="0.25">
      <c r="A48" s="112" t="s">
        <v>165</v>
      </c>
      <c r="B48" s="112">
        <v>15</v>
      </c>
      <c r="C48" s="112">
        <v>19</v>
      </c>
      <c r="D48" s="112">
        <v>25</v>
      </c>
      <c r="E48" s="112">
        <v>52</v>
      </c>
      <c r="F48" s="112">
        <v>55</v>
      </c>
      <c r="G48" s="112">
        <v>67</v>
      </c>
      <c r="H48" s="112">
        <v>77</v>
      </c>
      <c r="I48" s="112">
        <v>102</v>
      </c>
      <c r="J48" s="112">
        <v>102</v>
      </c>
      <c r="K48" s="112">
        <v>102</v>
      </c>
      <c r="L48" s="112">
        <v>102</v>
      </c>
      <c r="M48" s="112">
        <v>102</v>
      </c>
    </row>
    <row r="49" spans="1:13" x14ac:dyDescent="0.25">
      <c r="A49" s="112" t="s">
        <v>164</v>
      </c>
      <c r="B49" s="112">
        <v>14</v>
      </c>
      <c r="C49" s="112">
        <v>18</v>
      </c>
      <c r="D49" s="112">
        <v>26</v>
      </c>
      <c r="E49" s="112">
        <v>48</v>
      </c>
      <c r="F49" s="112">
        <v>62</v>
      </c>
      <c r="G49" s="112">
        <v>69</v>
      </c>
      <c r="H49" s="112">
        <v>73</v>
      </c>
      <c r="I49" s="112">
        <v>88</v>
      </c>
      <c r="J49" s="112">
        <v>96</v>
      </c>
      <c r="K49" s="112">
        <v>102</v>
      </c>
      <c r="L49" s="112">
        <v>102</v>
      </c>
      <c r="M49" s="112">
        <v>102</v>
      </c>
    </row>
    <row r="50" spans="1:13" x14ac:dyDescent="0.25">
      <c r="A50" s="112" t="s">
        <v>163</v>
      </c>
      <c r="B50" s="112">
        <v>15</v>
      </c>
      <c r="C50" s="112">
        <v>23</v>
      </c>
      <c r="D50" s="112">
        <v>33</v>
      </c>
      <c r="E50" s="112">
        <v>62</v>
      </c>
      <c r="F50" s="112">
        <v>74</v>
      </c>
      <c r="G50" s="112">
        <v>87</v>
      </c>
      <c r="H50" s="112">
        <v>102</v>
      </c>
      <c r="I50" s="112">
        <v>102</v>
      </c>
      <c r="J50" s="112">
        <v>102</v>
      </c>
      <c r="K50" s="112">
        <v>102</v>
      </c>
      <c r="L50" s="112">
        <v>102</v>
      </c>
      <c r="M50" s="112">
        <v>102</v>
      </c>
    </row>
    <row r="51" spans="1:13" x14ac:dyDescent="0.25">
      <c r="A51" s="112" t="s">
        <v>162</v>
      </c>
      <c r="B51" s="112">
        <v>16</v>
      </c>
      <c r="C51" s="112">
        <v>25</v>
      </c>
      <c r="D51" s="112">
        <v>33</v>
      </c>
      <c r="E51" s="112">
        <v>60</v>
      </c>
      <c r="F51" s="112">
        <v>72</v>
      </c>
      <c r="G51" s="112">
        <v>85</v>
      </c>
      <c r="H51" s="112">
        <v>93</v>
      </c>
      <c r="I51" s="112">
        <v>102</v>
      </c>
      <c r="J51" s="112">
        <v>102</v>
      </c>
      <c r="K51" s="112">
        <v>102</v>
      </c>
      <c r="L51" s="112">
        <v>102</v>
      </c>
      <c r="M51" s="112">
        <v>102</v>
      </c>
    </row>
    <row r="52" spans="1:13" x14ac:dyDescent="0.25">
      <c r="A52" s="112" t="s">
        <v>161</v>
      </c>
      <c r="B52" s="112">
        <v>16</v>
      </c>
      <c r="C52" s="112">
        <v>22</v>
      </c>
      <c r="D52" s="112">
        <v>32</v>
      </c>
      <c r="E52" s="112">
        <v>55</v>
      </c>
      <c r="F52" s="112">
        <v>65</v>
      </c>
      <c r="G52" s="112">
        <v>76</v>
      </c>
      <c r="H52" s="112">
        <v>82</v>
      </c>
      <c r="I52" s="112">
        <v>86</v>
      </c>
      <c r="J52" s="112">
        <v>89</v>
      </c>
      <c r="K52" s="112">
        <v>91</v>
      </c>
      <c r="L52" s="112">
        <v>92</v>
      </c>
      <c r="M52" s="112">
        <v>92</v>
      </c>
    </row>
    <row r="53" spans="1:13" x14ac:dyDescent="0.25">
      <c r="A53" s="112" t="s">
        <v>160</v>
      </c>
      <c r="B53" s="112">
        <v>16</v>
      </c>
      <c r="C53" s="112">
        <v>23</v>
      </c>
      <c r="D53" s="112">
        <v>26</v>
      </c>
      <c r="E53" s="112">
        <v>48</v>
      </c>
      <c r="F53" s="112">
        <v>53</v>
      </c>
      <c r="G53" s="112">
        <v>60</v>
      </c>
      <c r="H53" s="112">
        <v>65</v>
      </c>
      <c r="I53" s="112">
        <v>68</v>
      </c>
      <c r="J53" s="112">
        <v>71</v>
      </c>
      <c r="K53" s="112">
        <v>73</v>
      </c>
      <c r="L53" s="112">
        <v>72</v>
      </c>
      <c r="M53" s="112">
        <v>73</v>
      </c>
    </row>
    <row r="54" spans="1:13" x14ac:dyDescent="0.25">
      <c r="A54" s="112" t="s">
        <v>159</v>
      </c>
      <c r="B54" s="112">
        <v>15</v>
      </c>
      <c r="C54" s="112">
        <v>21</v>
      </c>
      <c r="D54" s="112">
        <v>27</v>
      </c>
      <c r="E54" s="112">
        <v>51</v>
      </c>
      <c r="F54" s="112">
        <v>57</v>
      </c>
      <c r="G54" s="112">
        <v>63</v>
      </c>
      <c r="H54" s="112">
        <v>68</v>
      </c>
      <c r="I54" s="112">
        <v>72</v>
      </c>
      <c r="J54" s="112">
        <v>74</v>
      </c>
      <c r="K54" s="112">
        <v>77</v>
      </c>
      <c r="L54" s="112">
        <v>75</v>
      </c>
      <c r="M54" s="112">
        <v>75</v>
      </c>
    </row>
    <row r="55" spans="1:13" x14ac:dyDescent="0.25">
      <c r="A55" s="112" t="s">
        <v>158</v>
      </c>
      <c r="B55" s="112">
        <v>12</v>
      </c>
      <c r="C55" s="112">
        <v>19</v>
      </c>
      <c r="D55" s="112">
        <v>25</v>
      </c>
      <c r="E55" s="112">
        <v>51</v>
      </c>
      <c r="F55" s="112">
        <v>57</v>
      </c>
      <c r="G55" s="112">
        <v>64</v>
      </c>
      <c r="H55" s="112">
        <v>69</v>
      </c>
      <c r="I55" s="112">
        <v>73</v>
      </c>
      <c r="J55" s="112">
        <v>74</v>
      </c>
      <c r="K55" s="112">
        <v>75</v>
      </c>
      <c r="L55" s="112">
        <v>75</v>
      </c>
      <c r="M55" s="112">
        <v>75</v>
      </c>
    </row>
    <row r="56" spans="1:13" x14ac:dyDescent="0.25">
      <c r="A56" s="112" t="s">
        <v>157</v>
      </c>
      <c r="B56" s="112">
        <v>10</v>
      </c>
      <c r="C56" s="112">
        <v>16</v>
      </c>
      <c r="D56" s="112">
        <v>22</v>
      </c>
      <c r="E56" s="112">
        <v>48</v>
      </c>
      <c r="F56" s="112">
        <v>89</v>
      </c>
      <c r="G56" s="112">
        <v>94</v>
      </c>
      <c r="H56" s="112">
        <v>98</v>
      </c>
      <c r="I56" s="112">
        <v>102</v>
      </c>
      <c r="J56" s="112">
        <v>102</v>
      </c>
      <c r="K56" s="112">
        <v>102</v>
      </c>
      <c r="L56" s="112">
        <v>102</v>
      </c>
      <c r="M56" s="112">
        <v>102</v>
      </c>
    </row>
    <row r="57" spans="1:13" x14ac:dyDescent="0.25">
      <c r="A57" s="112" t="s">
        <v>156</v>
      </c>
      <c r="B57" s="112">
        <v>14</v>
      </c>
      <c r="C57" s="112">
        <v>21</v>
      </c>
      <c r="D57" s="112">
        <v>26</v>
      </c>
      <c r="E57" s="112">
        <v>51</v>
      </c>
      <c r="F57" s="112">
        <v>86</v>
      </c>
      <c r="G57" s="112">
        <v>86</v>
      </c>
      <c r="H57" s="112">
        <v>86</v>
      </c>
      <c r="I57" s="112">
        <v>88</v>
      </c>
      <c r="J57" s="112">
        <v>89</v>
      </c>
      <c r="K57" s="112">
        <v>89</v>
      </c>
      <c r="L57" s="112">
        <v>90</v>
      </c>
      <c r="M57" s="112">
        <v>90</v>
      </c>
    </row>
    <row r="58" spans="1:13" x14ac:dyDescent="0.25">
      <c r="A58" s="112" t="s">
        <v>155</v>
      </c>
      <c r="B58" s="112">
        <v>11</v>
      </c>
      <c r="C58" s="112">
        <v>18</v>
      </c>
      <c r="D58" s="112">
        <v>29</v>
      </c>
      <c r="E58" s="112">
        <v>56</v>
      </c>
      <c r="F58" s="112">
        <v>62</v>
      </c>
      <c r="G58" s="112">
        <v>88</v>
      </c>
      <c r="H58" s="112">
        <v>93</v>
      </c>
      <c r="I58" s="112">
        <v>95</v>
      </c>
      <c r="J58" s="112">
        <v>97</v>
      </c>
      <c r="K58" s="112">
        <v>98</v>
      </c>
      <c r="L58" s="112">
        <v>98</v>
      </c>
      <c r="M58" s="112">
        <v>100</v>
      </c>
    </row>
    <row r="59" spans="1:13" x14ac:dyDescent="0.25">
      <c r="A59" s="112" t="s">
        <v>154</v>
      </c>
      <c r="B59" s="112">
        <v>15</v>
      </c>
      <c r="C59" s="112">
        <v>23</v>
      </c>
      <c r="D59" s="112">
        <v>27</v>
      </c>
      <c r="E59" s="112">
        <v>52</v>
      </c>
      <c r="F59" s="112">
        <v>63</v>
      </c>
      <c r="G59" s="112">
        <v>74</v>
      </c>
      <c r="H59" s="112">
        <v>82</v>
      </c>
      <c r="I59" s="112">
        <v>93</v>
      </c>
      <c r="J59" s="112">
        <v>96</v>
      </c>
      <c r="K59" s="112">
        <v>102</v>
      </c>
      <c r="L59" s="112">
        <v>102</v>
      </c>
      <c r="M59" s="112">
        <v>102</v>
      </c>
    </row>
    <row r="60" spans="1:13" x14ac:dyDescent="0.25">
      <c r="A60" s="112" t="s">
        <v>153</v>
      </c>
      <c r="B60" s="112">
        <v>12</v>
      </c>
      <c r="C60" s="112">
        <v>21</v>
      </c>
      <c r="D60" s="112">
        <v>24</v>
      </c>
      <c r="E60" s="112">
        <v>40</v>
      </c>
      <c r="F60" s="112">
        <v>47</v>
      </c>
      <c r="G60" s="112">
        <v>54</v>
      </c>
      <c r="H60" s="112">
        <v>58</v>
      </c>
      <c r="I60" s="112">
        <v>61</v>
      </c>
      <c r="J60" s="112">
        <v>65</v>
      </c>
      <c r="K60" s="112">
        <v>68</v>
      </c>
      <c r="L60" s="112">
        <v>70</v>
      </c>
      <c r="M60" s="112">
        <v>70</v>
      </c>
    </row>
    <row r="61" spans="1:13" x14ac:dyDescent="0.25">
      <c r="A61" s="112" t="s">
        <v>152</v>
      </c>
      <c r="B61" s="112">
        <v>14</v>
      </c>
      <c r="C61" s="112">
        <v>23</v>
      </c>
      <c r="D61" s="112">
        <v>25</v>
      </c>
      <c r="E61" s="112">
        <v>55</v>
      </c>
      <c r="F61" s="112">
        <v>66</v>
      </c>
      <c r="G61" s="112">
        <v>77</v>
      </c>
      <c r="H61" s="112">
        <v>85</v>
      </c>
      <c r="I61" s="112">
        <v>96</v>
      </c>
      <c r="J61" s="112">
        <v>102</v>
      </c>
      <c r="K61" s="112">
        <v>102</v>
      </c>
      <c r="L61" s="112">
        <v>102</v>
      </c>
      <c r="M61" s="112">
        <v>102</v>
      </c>
    </row>
    <row r="62" spans="1:13" x14ac:dyDescent="0.25">
      <c r="A62" s="112" t="s">
        <v>151</v>
      </c>
      <c r="B62" s="112">
        <v>14</v>
      </c>
      <c r="C62" s="112">
        <v>20</v>
      </c>
      <c r="D62" s="112">
        <v>25</v>
      </c>
      <c r="E62" s="112">
        <v>53</v>
      </c>
      <c r="F62" s="112">
        <v>66</v>
      </c>
      <c r="G62" s="112">
        <v>80</v>
      </c>
      <c r="H62" s="112">
        <v>88</v>
      </c>
      <c r="I62" s="112">
        <v>94</v>
      </c>
      <c r="J62" s="112">
        <v>98</v>
      </c>
      <c r="K62" s="112">
        <v>102</v>
      </c>
      <c r="L62" s="112">
        <v>102</v>
      </c>
      <c r="M62" s="112">
        <v>102</v>
      </c>
    </row>
    <row r="63" spans="1:13" x14ac:dyDescent="0.25">
      <c r="A63" s="112" t="s">
        <v>150</v>
      </c>
      <c r="B63" s="112">
        <v>10</v>
      </c>
      <c r="C63" s="112">
        <v>17</v>
      </c>
      <c r="D63" s="112">
        <v>20</v>
      </c>
      <c r="E63" s="112">
        <v>40</v>
      </c>
      <c r="F63" s="112">
        <v>56</v>
      </c>
      <c r="G63" s="112">
        <v>73</v>
      </c>
      <c r="H63" s="112">
        <v>84</v>
      </c>
      <c r="I63" s="112">
        <v>91</v>
      </c>
      <c r="J63" s="112">
        <v>96</v>
      </c>
      <c r="K63" s="112">
        <v>102</v>
      </c>
      <c r="L63" s="112">
        <v>102</v>
      </c>
      <c r="M63" s="112">
        <v>102</v>
      </c>
    </row>
    <row r="64" spans="1:13" x14ac:dyDescent="0.25">
      <c r="A64" s="112" t="s">
        <v>149</v>
      </c>
      <c r="B64" s="112">
        <v>8</v>
      </c>
      <c r="C64" s="112">
        <v>13</v>
      </c>
      <c r="D64" s="112">
        <v>21</v>
      </c>
      <c r="E64" s="112">
        <v>30</v>
      </c>
      <c r="F64" s="112">
        <v>45</v>
      </c>
      <c r="G64" s="112">
        <v>61</v>
      </c>
      <c r="H64" s="112">
        <v>72</v>
      </c>
      <c r="I64" s="112">
        <v>79</v>
      </c>
      <c r="J64" s="112">
        <v>85</v>
      </c>
      <c r="K64" s="112">
        <v>94</v>
      </c>
      <c r="L64" s="112">
        <v>97</v>
      </c>
      <c r="M64" s="112">
        <v>99</v>
      </c>
    </row>
    <row r="65" spans="1:13" x14ac:dyDescent="0.25">
      <c r="A65" s="112" t="s">
        <v>148</v>
      </c>
      <c r="B65" s="112">
        <v>7</v>
      </c>
      <c r="C65" s="112">
        <v>13</v>
      </c>
      <c r="D65" s="112">
        <v>20</v>
      </c>
      <c r="E65" s="112">
        <v>43</v>
      </c>
      <c r="F65" s="112">
        <v>57</v>
      </c>
      <c r="G65" s="112">
        <v>73</v>
      </c>
      <c r="H65" s="112">
        <v>83</v>
      </c>
      <c r="I65" s="112">
        <v>91</v>
      </c>
      <c r="J65" s="112">
        <v>96</v>
      </c>
      <c r="K65" s="112">
        <v>102</v>
      </c>
      <c r="L65" s="112">
        <v>102</v>
      </c>
      <c r="M65" s="112">
        <v>102</v>
      </c>
    </row>
    <row r="66" spans="1:13" x14ac:dyDescent="0.25">
      <c r="A66" s="112" t="s">
        <v>147</v>
      </c>
      <c r="B66" s="112">
        <v>7</v>
      </c>
      <c r="C66" s="112">
        <v>12</v>
      </c>
      <c r="D66" s="112">
        <v>16</v>
      </c>
      <c r="E66" s="112">
        <v>35</v>
      </c>
      <c r="F66" s="112">
        <v>50</v>
      </c>
      <c r="G66" s="112">
        <v>65</v>
      </c>
      <c r="H66" s="112">
        <v>75</v>
      </c>
      <c r="I66" s="112">
        <v>82</v>
      </c>
      <c r="J66" s="112">
        <v>85</v>
      </c>
      <c r="K66" s="112">
        <v>90</v>
      </c>
      <c r="L66" s="112">
        <v>91</v>
      </c>
      <c r="M66" s="112">
        <v>93</v>
      </c>
    </row>
    <row r="67" spans="1:13" x14ac:dyDescent="0.25">
      <c r="A67" s="112" t="s">
        <v>146</v>
      </c>
      <c r="B67" s="112">
        <v>4</v>
      </c>
      <c r="C67" s="112">
        <v>11</v>
      </c>
      <c r="D67" s="112">
        <v>17</v>
      </c>
      <c r="E67" s="112">
        <v>36</v>
      </c>
      <c r="F67" s="112">
        <v>51</v>
      </c>
      <c r="G67" s="112">
        <v>67</v>
      </c>
      <c r="H67" s="112">
        <v>77</v>
      </c>
      <c r="I67" s="112">
        <v>84</v>
      </c>
      <c r="J67" s="112">
        <v>88</v>
      </c>
      <c r="K67" s="112">
        <v>91</v>
      </c>
      <c r="L67" s="112">
        <v>95</v>
      </c>
      <c r="M67" s="112">
        <v>99</v>
      </c>
    </row>
    <row r="68" spans="1:13" x14ac:dyDescent="0.25">
      <c r="A68" s="112" t="s">
        <v>145</v>
      </c>
      <c r="B68" s="112">
        <v>7</v>
      </c>
      <c r="C68" s="112">
        <v>14</v>
      </c>
      <c r="D68" s="112">
        <v>16</v>
      </c>
      <c r="E68" s="112">
        <v>43</v>
      </c>
      <c r="F68" s="112">
        <v>53</v>
      </c>
      <c r="G68" s="112">
        <v>62</v>
      </c>
      <c r="H68" s="112">
        <v>67</v>
      </c>
      <c r="I68" s="112">
        <v>71</v>
      </c>
      <c r="J68" s="112">
        <v>75</v>
      </c>
      <c r="K68" s="112">
        <v>75</v>
      </c>
      <c r="L68" s="112">
        <v>77</v>
      </c>
      <c r="M68" s="112">
        <v>77</v>
      </c>
    </row>
    <row r="69" spans="1:13" x14ac:dyDescent="0.25">
      <c r="A69" s="112" t="s">
        <v>144</v>
      </c>
      <c r="B69" s="112">
        <v>6</v>
      </c>
      <c r="C69" s="112">
        <v>15</v>
      </c>
      <c r="D69" s="112">
        <v>20</v>
      </c>
      <c r="E69" s="112">
        <v>44</v>
      </c>
      <c r="F69" s="112">
        <v>54</v>
      </c>
      <c r="G69" s="112">
        <v>64</v>
      </c>
      <c r="H69" s="112">
        <v>73</v>
      </c>
      <c r="I69" s="112">
        <v>81</v>
      </c>
      <c r="J69" s="112">
        <v>85</v>
      </c>
      <c r="K69" s="112">
        <v>88</v>
      </c>
      <c r="L69" s="112">
        <v>90</v>
      </c>
      <c r="M69" s="112">
        <v>95</v>
      </c>
    </row>
    <row r="70" spans="1:13" x14ac:dyDescent="0.25">
      <c r="A70" s="112" t="s">
        <v>143</v>
      </c>
      <c r="B70" s="112">
        <v>6</v>
      </c>
      <c r="C70" s="112">
        <v>13</v>
      </c>
      <c r="D70" s="112">
        <v>19</v>
      </c>
      <c r="E70" s="112">
        <v>41</v>
      </c>
      <c r="F70" s="112">
        <v>50</v>
      </c>
      <c r="G70" s="112">
        <v>60</v>
      </c>
      <c r="H70" s="112">
        <v>66</v>
      </c>
      <c r="I70" s="112">
        <v>70</v>
      </c>
      <c r="J70" s="112">
        <v>73</v>
      </c>
      <c r="K70" s="112">
        <v>74</v>
      </c>
      <c r="L70" s="112">
        <v>75</v>
      </c>
      <c r="M70" s="112">
        <v>76</v>
      </c>
    </row>
    <row r="71" spans="1:13" x14ac:dyDescent="0.25">
      <c r="A71" s="112" t="s">
        <v>142</v>
      </c>
      <c r="B71" s="112">
        <v>8</v>
      </c>
      <c r="C71" s="112">
        <v>15</v>
      </c>
      <c r="D71" s="112">
        <v>18</v>
      </c>
      <c r="E71" s="112">
        <v>50</v>
      </c>
      <c r="F71" s="112">
        <v>62</v>
      </c>
      <c r="G71" s="112">
        <v>74</v>
      </c>
      <c r="H71" s="112">
        <v>82</v>
      </c>
      <c r="I71" s="112">
        <v>87</v>
      </c>
      <c r="J71" s="112">
        <v>95</v>
      </c>
      <c r="K71" s="112">
        <v>102</v>
      </c>
      <c r="L71" s="112">
        <v>102</v>
      </c>
      <c r="M71" s="112">
        <v>102</v>
      </c>
    </row>
    <row r="72" spans="1:13" x14ac:dyDescent="0.25">
      <c r="A72" s="112" t="s">
        <v>141</v>
      </c>
      <c r="B72" s="112">
        <v>7</v>
      </c>
      <c r="C72" s="112">
        <v>11</v>
      </c>
      <c r="D72" s="112">
        <v>18</v>
      </c>
      <c r="E72" s="112">
        <v>42</v>
      </c>
      <c r="F72" s="112">
        <v>53</v>
      </c>
      <c r="G72" s="112">
        <v>65</v>
      </c>
      <c r="H72" s="112">
        <v>72</v>
      </c>
      <c r="I72" s="112">
        <v>80</v>
      </c>
      <c r="J72" s="112">
        <v>86</v>
      </c>
      <c r="K72" s="112">
        <v>91</v>
      </c>
      <c r="L72" s="112">
        <v>97</v>
      </c>
      <c r="M72" s="112">
        <v>102</v>
      </c>
    </row>
    <row r="73" spans="1:13" x14ac:dyDescent="0.25">
      <c r="A73" s="112" t="s">
        <v>140</v>
      </c>
      <c r="B73" s="112">
        <v>6</v>
      </c>
      <c r="C73" s="112">
        <v>10</v>
      </c>
      <c r="D73" s="112">
        <v>17</v>
      </c>
      <c r="E73" s="112">
        <v>39</v>
      </c>
      <c r="F73" s="112">
        <v>47</v>
      </c>
      <c r="G73" s="112">
        <v>57</v>
      </c>
      <c r="H73" s="112">
        <v>64</v>
      </c>
      <c r="I73" s="112">
        <v>69</v>
      </c>
      <c r="J73" s="112">
        <v>76</v>
      </c>
      <c r="K73" s="112">
        <v>79</v>
      </c>
      <c r="L73" s="112">
        <v>84</v>
      </c>
      <c r="M73" s="112">
        <v>86</v>
      </c>
    </row>
    <row r="74" spans="1:13" x14ac:dyDescent="0.25">
      <c r="A74" s="112" t="s">
        <v>139</v>
      </c>
      <c r="B74" s="112">
        <v>12</v>
      </c>
      <c r="C74" s="112">
        <v>16</v>
      </c>
      <c r="D74" s="112">
        <v>28</v>
      </c>
      <c r="E74" s="112">
        <v>59</v>
      </c>
      <c r="F74" s="112">
        <v>64</v>
      </c>
      <c r="G74" s="112">
        <v>71</v>
      </c>
      <c r="H74" s="112">
        <v>75</v>
      </c>
      <c r="I74" s="112">
        <v>78</v>
      </c>
      <c r="J74" s="112">
        <v>86</v>
      </c>
      <c r="K74" s="112">
        <v>93</v>
      </c>
      <c r="L74" s="112">
        <v>102</v>
      </c>
      <c r="M74" s="112">
        <v>102</v>
      </c>
    </row>
    <row r="75" spans="1:13" x14ac:dyDescent="0.25">
      <c r="A75" s="112" t="s">
        <v>138</v>
      </c>
      <c r="B75" s="112">
        <v>15</v>
      </c>
      <c r="C75" s="112">
        <v>21</v>
      </c>
      <c r="D75" s="112">
        <v>24</v>
      </c>
      <c r="E75" s="112">
        <v>51</v>
      </c>
      <c r="F75" s="112">
        <v>56</v>
      </c>
      <c r="G75" s="112">
        <v>64</v>
      </c>
      <c r="H75" s="112">
        <v>70</v>
      </c>
      <c r="I75" s="112">
        <v>75</v>
      </c>
      <c r="J75" s="112">
        <v>85</v>
      </c>
      <c r="K75" s="112">
        <v>92</v>
      </c>
      <c r="L75" s="112">
        <v>100</v>
      </c>
      <c r="M75" s="112">
        <v>102</v>
      </c>
    </row>
    <row r="76" spans="1:13" x14ac:dyDescent="0.25">
      <c r="A76" s="112" t="s">
        <v>137</v>
      </c>
      <c r="B76" s="112">
        <v>17</v>
      </c>
      <c r="C76" s="112">
        <v>22</v>
      </c>
      <c r="D76" s="112">
        <v>28</v>
      </c>
      <c r="E76" s="112">
        <v>47</v>
      </c>
      <c r="F76" s="112">
        <v>50</v>
      </c>
      <c r="G76" s="112">
        <v>53</v>
      </c>
      <c r="H76" s="112">
        <v>55</v>
      </c>
      <c r="I76" s="112">
        <v>58</v>
      </c>
      <c r="J76" s="112">
        <v>65</v>
      </c>
      <c r="K76" s="112">
        <v>71</v>
      </c>
      <c r="L76" s="112">
        <v>76</v>
      </c>
      <c r="M76" s="112">
        <v>78</v>
      </c>
    </row>
    <row r="77" spans="1:13" x14ac:dyDescent="0.25">
      <c r="A77" s="112" t="s">
        <v>136</v>
      </c>
      <c r="B77" s="112">
        <v>12</v>
      </c>
      <c r="C77" s="112">
        <v>17</v>
      </c>
      <c r="D77" s="112">
        <v>22</v>
      </c>
      <c r="E77" s="112">
        <v>35</v>
      </c>
      <c r="F77" s="112">
        <v>42</v>
      </c>
      <c r="G77" s="112">
        <v>49</v>
      </c>
      <c r="H77" s="112">
        <v>53</v>
      </c>
      <c r="I77" s="112">
        <v>61</v>
      </c>
      <c r="J77" s="112">
        <v>68</v>
      </c>
      <c r="K77" s="112">
        <v>76</v>
      </c>
      <c r="L77" s="112">
        <v>81</v>
      </c>
      <c r="M77" s="112">
        <v>86</v>
      </c>
    </row>
    <row r="78" spans="1:13" x14ac:dyDescent="0.25">
      <c r="A78" s="112" t="s">
        <v>135</v>
      </c>
      <c r="B78" s="112">
        <v>13</v>
      </c>
      <c r="C78" s="112">
        <v>23</v>
      </c>
      <c r="D78" s="112">
        <v>26</v>
      </c>
      <c r="E78" s="112">
        <v>53</v>
      </c>
      <c r="F78" s="112">
        <v>61</v>
      </c>
      <c r="G78" s="112">
        <v>72</v>
      </c>
      <c r="H78" s="112">
        <v>79</v>
      </c>
      <c r="I78" s="112">
        <v>86</v>
      </c>
      <c r="J78" s="112">
        <v>90</v>
      </c>
      <c r="K78" s="112">
        <v>98</v>
      </c>
      <c r="L78" s="112">
        <v>102</v>
      </c>
      <c r="M78" s="112">
        <v>102</v>
      </c>
    </row>
    <row r="79" spans="1:13" x14ac:dyDescent="0.25">
      <c r="A79" s="112" t="s">
        <v>134</v>
      </c>
      <c r="B79" s="112">
        <v>11</v>
      </c>
      <c r="C79" s="112">
        <v>17</v>
      </c>
      <c r="D79" s="112">
        <v>24</v>
      </c>
      <c r="E79" s="112">
        <v>48</v>
      </c>
      <c r="F79" s="112">
        <v>59</v>
      </c>
      <c r="G79" s="112">
        <v>74</v>
      </c>
      <c r="H79" s="112">
        <v>83</v>
      </c>
      <c r="I79" s="112">
        <v>91</v>
      </c>
      <c r="J79" s="112">
        <v>95</v>
      </c>
      <c r="K79" s="112">
        <v>102</v>
      </c>
      <c r="L79" s="112">
        <v>102</v>
      </c>
      <c r="M79" s="112">
        <v>102</v>
      </c>
    </row>
    <row r="80" spans="1:13" x14ac:dyDescent="0.25">
      <c r="A80" s="112" t="s">
        <v>133</v>
      </c>
      <c r="B80" s="112">
        <v>9</v>
      </c>
      <c r="C80" s="112">
        <v>17</v>
      </c>
      <c r="D80" s="112">
        <v>15</v>
      </c>
      <c r="E80" s="112">
        <v>38</v>
      </c>
      <c r="F80" s="112">
        <v>49</v>
      </c>
      <c r="G80" s="112">
        <v>59</v>
      </c>
      <c r="H80" s="112">
        <v>68</v>
      </c>
      <c r="I80" s="112">
        <v>78</v>
      </c>
      <c r="J80" s="112">
        <v>83</v>
      </c>
      <c r="K80" s="112">
        <v>90</v>
      </c>
      <c r="L80" s="112">
        <v>92</v>
      </c>
      <c r="M80" s="112">
        <v>90</v>
      </c>
    </row>
    <row r="81" spans="1:13" x14ac:dyDescent="0.25">
      <c r="A81" s="112" t="s">
        <v>132</v>
      </c>
      <c r="B81" s="112">
        <v>14</v>
      </c>
      <c r="C81" s="112">
        <v>23</v>
      </c>
      <c r="D81" s="112">
        <v>28</v>
      </c>
      <c r="E81" s="112">
        <v>62</v>
      </c>
      <c r="F81" s="112">
        <v>70</v>
      </c>
      <c r="G81" s="112">
        <v>80</v>
      </c>
      <c r="H81" s="112">
        <v>87</v>
      </c>
      <c r="I81" s="112">
        <v>95</v>
      </c>
      <c r="J81" s="112">
        <v>101</v>
      </c>
      <c r="K81" s="112">
        <v>102</v>
      </c>
      <c r="L81" s="112">
        <v>102</v>
      </c>
      <c r="M81" s="112">
        <v>102</v>
      </c>
    </row>
    <row r="82" spans="1:13" x14ac:dyDescent="0.25">
      <c r="A82" s="112" t="s">
        <v>131</v>
      </c>
      <c r="B82" s="112">
        <v>12</v>
      </c>
      <c r="C82" s="112">
        <v>19</v>
      </c>
      <c r="D82" s="112">
        <v>24</v>
      </c>
      <c r="E82" s="112">
        <v>41</v>
      </c>
      <c r="F82" s="112">
        <v>50</v>
      </c>
      <c r="G82" s="112">
        <v>61</v>
      </c>
      <c r="H82" s="112">
        <v>67</v>
      </c>
      <c r="I82" s="112">
        <v>76</v>
      </c>
      <c r="J82" s="112">
        <v>82</v>
      </c>
      <c r="K82" s="112">
        <v>89</v>
      </c>
      <c r="L82" s="112">
        <v>94</v>
      </c>
      <c r="M82" s="112">
        <v>94</v>
      </c>
    </row>
    <row r="83" spans="1:13" x14ac:dyDescent="0.25">
      <c r="A83" s="112" t="s">
        <v>130</v>
      </c>
      <c r="B83" s="112">
        <v>13</v>
      </c>
      <c r="C83" s="112">
        <v>19</v>
      </c>
      <c r="D83" s="112">
        <v>23</v>
      </c>
      <c r="E83" s="112">
        <v>49</v>
      </c>
      <c r="F83" s="112">
        <v>59</v>
      </c>
      <c r="G83" s="112">
        <v>69</v>
      </c>
      <c r="H83" s="112">
        <v>76</v>
      </c>
      <c r="I83" s="112">
        <v>89</v>
      </c>
      <c r="J83" s="112">
        <v>96</v>
      </c>
      <c r="K83" s="112">
        <v>102</v>
      </c>
      <c r="L83" s="112">
        <v>102</v>
      </c>
      <c r="M83" s="112">
        <v>102</v>
      </c>
    </row>
    <row r="84" spans="1:13" x14ac:dyDescent="0.25">
      <c r="A84" s="112" t="s">
        <v>129</v>
      </c>
      <c r="B84" s="112">
        <v>11</v>
      </c>
      <c r="C84" s="112">
        <v>15</v>
      </c>
      <c r="D84" s="112">
        <v>21</v>
      </c>
      <c r="E84" s="112">
        <v>41</v>
      </c>
      <c r="F84" s="112">
        <v>51</v>
      </c>
      <c r="G84" s="112">
        <v>62</v>
      </c>
      <c r="H84" s="112">
        <v>69</v>
      </c>
      <c r="I84" s="112">
        <v>83</v>
      </c>
      <c r="J84" s="112">
        <v>91</v>
      </c>
      <c r="K84" s="112">
        <v>100</v>
      </c>
      <c r="L84" s="112">
        <v>102</v>
      </c>
      <c r="M84" s="112">
        <v>102</v>
      </c>
    </row>
    <row r="85" spans="1:13" x14ac:dyDescent="0.25">
      <c r="A85" s="112" t="s">
        <v>128</v>
      </c>
      <c r="B85" s="112">
        <v>12</v>
      </c>
      <c r="C85" s="112">
        <v>19</v>
      </c>
      <c r="D85" s="112">
        <v>24</v>
      </c>
      <c r="E85" s="112">
        <v>50</v>
      </c>
      <c r="F85" s="112">
        <v>57</v>
      </c>
      <c r="G85" s="112">
        <v>64</v>
      </c>
      <c r="H85" s="112">
        <v>70</v>
      </c>
      <c r="I85" s="112">
        <v>80</v>
      </c>
      <c r="J85" s="112">
        <v>86</v>
      </c>
      <c r="K85" s="112">
        <v>90</v>
      </c>
      <c r="L85" s="112">
        <v>94</v>
      </c>
      <c r="M85" s="112">
        <v>95</v>
      </c>
    </row>
    <row r="86" spans="1:13" x14ac:dyDescent="0.25">
      <c r="A86" s="112" t="s">
        <v>127</v>
      </c>
      <c r="B86" s="112">
        <v>10</v>
      </c>
      <c r="C86" s="112">
        <v>16</v>
      </c>
      <c r="D86" s="112">
        <v>21</v>
      </c>
      <c r="E86" s="112">
        <v>41</v>
      </c>
      <c r="F86" s="112">
        <v>54</v>
      </c>
      <c r="G86" s="112">
        <v>67</v>
      </c>
      <c r="H86" s="112">
        <v>77</v>
      </c>
      <c r="I86" s="112">
        <v>87</v>
      </c>
      <c r="J86" s="112">
        <v>93</v>
      </c>
      <c r="K86" s="112">
        <v>99</v>
      </c>
      <c r="L86" s="112">
        <v>102</v>
      </c>
      <c r="M86" s="112">
        <v>102</v>
      </c>
    </row>
    <row r="87" spans="1:13" x14ac:dyDescent="0.25">
      <c r="A87" s="112" t="s">
        <v>126</v>
      </c>
      <c r="B87" s="112">
        <v>8</v>
      </c>
      <c r="C87" s="112">
        <v>15</v>
      </c>
      <c r="D87" s="112">
        <v>19</v>
      </c>
      <c r="E87" s="112">
        <v>44</v>
      </c>
      <c r="F87" s="112">
        <v>55</v>
      </c>
      <c r="G87" s="112">
        <v>66</v>
      </c>
      <c r="H87" s="112">
        <v>73</v>
      </c>
      <c r="I87" s="112">
        <v>84</v>
      </c>
      <c r="J87" s="112">
        <v>88</v>
      </c>
      <c r="K87" s="112">
        <v>95</v>
      </c>
      <c r="L87" s="112">
        <v>100</v>
      </c>
      <c r="M87" s="112">
        <v>102</v>
      </c>
    </row>
    <row r="88" spans="1:13" x14ac:dyDescent="0.25">
      <c r="A88" s="112" t="s">
        <v>125</v>
      </c>
      <c r="B88" s="112">
        <v>7</v>
      </c>
      <c r="C88" s="112">
        <v>13</v>
      </c>
      <c r="D88" s="112">
        <v>15</v>
      </c>
      <c r="E88" s="112">
        <v>34</v>
      </c>
      <c r="F88" s="112">
        <v>46</v>
      </c>
      <c r="G88" s="112">
        <v>59</v>
      </c>
      <c r="H88" s="112">
        <v>68</v>
      </c>
      <c r="I88" s="112">
        <v>80</v>
      </c>
      <c r="J88" s="112">
        <v>84</v>
      </c>
      <c r="K88" s="112">
        <v>89</v>
      </c>
      <c r="L88" s="112">
        <v>93</v>
      </c>
      <c r="M88" s="112">
        <v>96</v>
      </c>
    </row>
    <row r="89" spans="1:13" x14ac:dyDescent="0.25">
      <c r="A89" s="112" t="s">
        <v>124</v>
      </c>
      <c r="B89" s="112">
        <v>7</v>
      </c>
      <c r="C89" s="112">
        <v>13</v>
      </c>
      <c r="D89" s="112">
        <v>18</v>
      </c>
      <c r="E89" s="112">
        <v>36</v>
      </c>
      <c r="F89" s="112">
        <v>49</v>
      </c>
      <c r="G89" s="112">
        <v>61</v>
      </c>
      <c r="H89" s="112">
        <v>71</v>
      </c>
      <c r="I89" s="112">
        <v>75</v>
      </c>
      <c r="J89" s="112">
        <v>78</v>
      </c>
      <c r="K89" s="112">
        <v>86</v>
      </c>
      <c r="L89" s="112">
        <v>89</v>
      </c>
      <c r="M89" s="112">
        <v>90</v>
      </c>
    </row>
    <row r="90" spans="1:13" x14ac:dyDescent="0.25">
      <c r="A90" s="112" t="s">
        <v>123</v>
      </c>
      <c r="B90" s="112">
        <v>6</v>
      </c>
      <c r="C90" s="112">
        <v>12</v>
      </c>
      <c r="D90" s="112">
        <v>17</v>
      </c>
      <c r="E90" s="112">
        <v>45</v>
      </c>
      <c r="F90" s="112">
        <v>54</v>
      </c>
      <c r="G90" s="112">
        <v>65</v>
      </c>
      <c r="H90" s="112">
        <v>73</v>
      </c>
      <c r="I90" s="112">
        <v>76</v>
      </c>
      <c r="J90" s="112">
        <v>78</v>
      </c>
      <c r="K90" s="112">
        <v>84</v>
      </c>
      <c r="L90" s="112">
        <v>89</v>
      </c>
      <c r="M90" s="112">
        <v>92</v>
      </c>
    </row>
    <row r="91" spans="1:13" x14ac:dyDescent="0.25">
      <c r="A91" s="112" t="s">
        <v>122</v>
      </c>
      <c r="B91" s="112">
        <v>8</v>
      </c>
      <c r="C91" s="112">
        <v>16</v>
      </c>
      <c r="D91" s="112">
        <v>20</v>
      </c>
      <c r="E91" s="112">
        <v>43</v>
      </c>
      <c r="F91" s="112">
        <v>56</v>
      </c>
      <c r="G91" s="112">
        <v>69</v>
      </c>
      <c r="H91" s="112">
        <v>78</v>
      </c>
      <c r="I91" s="112">
        <v>83</v>
      </c>
      <c r="J91" s="112">
        <v>87</v>
      </c>
      <c r="K91" s="112">
        <v>94</v>
      </c>
      <c r="L91" s="112">
        <v>86</v>
      </c>
      <c r="M91" s="112">
        <v>88</v>
      </c>
    </row>
    <row r="92" spans="1:13" x14ac:dyDescent="0.25">
      <c r="A92" s="112" t="s">
        <v>121</v>
      </c>
      <c r="B92" s="112">
        <v>6</v>
      </c>
      <c r="C92" s="112">
        <v>13</v>
      </c>
      <c r="D92" s="112">
        <v>20</v>
      </c>
      <c r="E92" s="112">
        <v>38</v>
      </c>
      <c r="F92" s="112">
        <v>50</v>
      </c>
      <c r="G92" s="112">
        <v>65</v>
      </c>
      <c r="H92" s="112">
        <v>73</v>
      </c>
      <c r="I92" s="112">
        <v>89</v>
      </c>
      <c r="J92" s="112">
        <v>94</v>
      </c>
      <c r="K92" s="112">
        <v>99</v>
      </c>
      <c r="L92" s="112">
        <v>102</v>
      </c>
      <c r="M92" s="112">
        <v>102</v>
      </c>
    </row>
    <row r="93" spans="1:13" x14ac:dyDescent="0.25">
      <c r="A93" s="112" t="s">
        <v>120</v>
      </c>
      <c r="B93" s="112">
        <v>10</v>
      </c>
      <c r="C93" s="112">
        <v>17</v>
      </c>
      <c r="D93" s="112">
        <v>20</v>
      </c>
      <c r="E93" s="112">
        <v>41</v>
      </c>
      <c r="F93" s="112">
        <v>52</v>
      </c>
      <c r="G93" s="112">
        <v>65</v>
      </c>
      <c r="H93" s="112">
        <v>72</v>
      </c>
      <c r="I93" s="112">
        <v>88</v>
      </c>
      <c r="J93" s="112">
        <v>94</v>
      </c>
      <c r="K93" s="112">
        <v>98</v>
      </c>
      <c r="L93" s="112">
        <v>102</v>
      </c>
      <c r="M93" s="112">
        <v>102</v>
      </c>
    </row>
    <row r="94" spans="1:13" x14ac:dyDescent="0.25">
      <c r="A94" s="112" t="s">
        <v>119</v>
      </c>
      <c r="B94" s="112">
        <v>7</v>
      </c>
      <c r="C94" s="112">
        <v>13</v>
      </c>
      <c r="D94" s="112">
        <v>19</v>
      </c>
      <c r="E94" s="112">
        <v>37</v>
      </c>
      <c r="F94" s="112">
        <v>50</v>
      </c>
      <c r="G94" s="112">
        <v>64</v>
      </c>
      <c r="H94" s="112">
        <v>72</v>
      </c>
      <c r="I94" s="112">
        <v>88</v>
      </c>
      <c r="J94" s="112">
        <v>93</v>
      </c>
      <c r="K94" s="112">
        <v>97</v>
      </c>
      <c r="L94" s="112">
        <v>99</v>
      </c>
      <c r="M94" s="112">
        <v>102</v>
      </c>
    </row>
    <row r="95" spans="1:13" x14ac:dyDescent="0.25">
      <c r="A95" s="112" t="s">
        <v>118</v>
      </c>
      <c r="B95" s="112">
        <v>6</v>
      </c>
      <c r="C95" s="112">
        <v>13</v>
      </c>
      <c r="D95" s="112">
        <v>17</v>
      </c>
      <c r="E95" s="112">
        <v>38</v>
      </c>
      <c r="F95" s="112">
        <v>52</v>
      </c>
      <c r="G95" s="112">
        <v>66</v>
      </c>
      <c r="H95" s="112">
        <v>76</v>
      </c>
      <c r="I95" s="112">
        <v>80</v>
      </c>
      <c r="J95" s="112">
        <v>85</v>
      </c>
      <c r="K95" s="112">
        <v>91</v>
      </c>
      <c r="L95" s="112">
        <v>93</v>
      </c>
      <c r="M95" s="112">
        <v>94</v>
      </c>
    </row>
    <row r="96" spans="1:13" x14ac:dyDescent="0.25">
      <c r="A96" s="112" t="s">
        <v>117</v>
      </c>
      <c r="B96" s="112">
        <v>7</v>
      </c>
      <c r="C96" s="112">
        <v>13</v>
      </c>
      <c r="D96" s="112">
        <v>13</v>
      </c>
      <c r="E96" s="112">
        <v>28</v>
      </c>
      <c r="F96" s="112">
        <v>39</v>
      </c>
      <c r="G96" s="112">
        <v>50</v>
      </c>
      <c r="H96" s="112">
        <v>57</v>
      </c>
      <c r="I96" s="112">
        <v>63</v>
      </c>
      <c r="J96" s="112">
        <v>70</v>
      </c>
      <c r="K96" s="112">
        <v>75</v>
      </c>
      <c r="L96" s="112">
        <v>79</v>
      </c>
      <c r="M96" s="112">
        <v>81</v>
      </c>
    </row>
    <row r="97" spans="1:13" x14ac:dyDescent="0.25">
      <c r="A97" s="112" t="s">
        <v>116</v>
      </c>
      <c r="B97" s="112">
        <v>8</v>
      </c>
      <c r="C97" s="112">
        <v>14</v>
      </c>
      <c r="D97" s="112">
        <v>17</v>
      </c>
      <c r="E97" s="112">
        <v>37</v>
      </c>
      <c r="F97" s="112">
        <v>53</v>
      </c>
      <c r="G97" s="112">
        <v>69</v>
      </c>
      <c r="H97" s="112">
        <v>80</v>
      </c>
      <c r="I97" s="112">
        <v>85</v>
      </c>
      <c r="J97" s="112">
        <v>89</v>
      </c>
      <c r="K97" s="112">
        <v>93</v>
      </c>
      <c r="L97" s="112">
        <v>96</v>
      </c>
      <c r="M97" s="112">
        <v>96</v>
      </c>
    </row>
    <row r="98" spans="1:13" x14ac:dyDescent="0.25">
      <c r="A98" s="112" t="s">
        <v>115</v>
      </c>
      <c r="B98" s="112">
        <v>5</v>
      </c>
      <c r="C98" s="112">
        <v>12</v>
      </c>
      <c r="D98" s="112">
        <v>16</v>
      </c>
      <c r="E98" s="112">
        <v>30</v>
      </c>
      <c r="F98" s="112">
        <v>39</v>
      </c>
      <c r="G98" s="112">
        <v>48</v>
      </c>
      <c r="H98" s="112">
        <v>54</v>
      </c>
      <c r="I98" s="112">
        <v>62</v>
      </c>
      <c r="J98" s="112">
        <v>68</v>
      </c>
      <c r="K98" s="112">
        <v>70</v>
      </c>
      <c r="L98" s="112">
        <v>73</v>
      </c>
      <c r="M98" s="112">
        <v>75</v>
      </c>
    </row>
    <row r="99" spans="1:13" x14ac:dyDescent="0.25">
      <c r="A99" s="112" t="s">
        <v>114</v>
      </c>
      <c r="B99" s="112">
        <v>5</v>
      </c>
      <c r="C99" s="112">
        <v>12</v>
      </c>
      <c r="D99" s="112">
        <v>21</v>
      </c>
      <c r="E99" s="112">
        <v>42</v>
      </c>
      <c r="F99" s="112">
        <v>51</v>
      </c>
      <c r="G99" s="112">
        <v>62</v>
      </c>
      <c r="H99" s="112">
        <v>68</v>
      </c>
      <c r="I99" s="112">
        <v>74</v>
      </c>
      <c r="J99" s="112">
        <v>79</v>
      </c>
      <c r="K99" s="112">
        <v>82</v>
      </c>
      <c r="L99" s="112">
        <v>84</v>
      </c>
      <c r="M99" s="112">
        <v>84</v>
      </c>
    </row>
    <row r="100" spans="1:13" x14ac:dyDescent="0.25">
      <c r="A100" s="112" t="s">
        <v>113</v>
      </c>
      <c r="B100" s="112">
        <v>3</v>
      </c>
      <c r="C100" s="112">
        <v>11</v>
      </c>
      <c r="D100" s="112">
        <v>15</v>
      </c>
      <c r="E100" s="112">
        <v>34</v>
      </c>
      <c r="F100" s="112">
        <v>49</v>
      </c>
      <c r="G100" s="112">
        <v>66</v>
      </c>
      <c r="H100" s="112">
        <v>75</v>
      </c>
      <c r="I100" s="112">
        <v>80</v>
      </c>
      <c r="J100" s="112">
        <v>85</v>
      </c>
      <c r="K100" s="112">
        <v>89</v>
      </c>
      <c r="L100" s="112">
        <v>90</v>
      </c>
      <c r="M100" s="112">
        <v>90</v>
      </c>
    </row>
    <row r="101" spans="1:13" x14ac:dyDescent="0.25">
      <c r="A101" s="112" t="s">
        <v>112</v>
      </c>
      <c r="B101" s="112">
        <v>4</v>
      </c>
      <c r="C101" s="112">
        <v>11</v>
      </c>
      <c r="D101" s="112">
        <v>16</v>
      </c>
      <c r="E101" s="112">
        <v>28</v>
      </c>
      <c r="F101" s="112">
        <v>44</v>
      </c>
      <c r="G101" s="112">
        <v>61</v>
      </c>
      <c r="H101" s="112">
        <v>71</v>
      </c>
      <c r="I101" s="112">
        <v>84</v>
      </c>
      <c r="J101" s="112">
        <v>88</v>
      </c>
      <c r="K101" s="112">
        <v>90</v>
      </c>
      <c r="L101" s="112">
        <v>92</v>
      </c>
      <c r="M101" s="112">
        <v>91</v>
      </c>
    </row>
    <row r="102" spans="1:13" x14ac:dyDescent="0.25">
      <c r="A102" s="112" t="s">
        <v>111</v>
      </c>
      <c r="B102" s="112">
        <v>7</v>
      </c>
      <c r="C102" s="112">
        <v>15</v>
      </c>
      <c r="D102" s="112">
        <v>19</v>
      </c>
      <c r="E102" s="112">
        <v>38</v>
      </c>
      <c r="F102" s="112">
        <v>50</v>
      </c>
      <c r="G102" s="112">
        <v>66</v>
      </c>
      <c r="H102" s="112">
        <v>77</v>
      </c>
      <c r="I102" s="112">
        <v>88</v>
      </c>
      <c r="J102" s="112">
        <v>95</v>
      </c>
      <c r="K102" s="112">
        <v>98</v>
      </c>
      <c r="L102" s="112">
        <v>84</v>
      </c>
      <c r="M102" s="112">
        <v>86</v>
      </c>
    </row>
    <row r="103" spans="1:13" x14ac:dyDescent="0.25">
      <c r="A103" s="112" t="s">
        <v>110</v>
      </c>
      <c r="B103" s="112">
        <v>5</v>
      </c>
      <c r="C103" s="112">
        <v>11</v>
      </c>
      <c r="D103" s="112">
        <v>17</v>
      </c>
      <c r="E103" s="112">
        <v>28</v>
      </c>
      <c r="F103" s="112">
        <v>44</v>
      </c>
      <c r="G103" s="112">
        <v>62</v>
      </c>
      <c r="H103" s="112">
        <v>74</v>
      </c>
      <c r="I103" s="112">
        <v>85</v>
      </c>
      <c r="J103" s="112">
        <v>89</v>
      </c>
      <c r="K103" s="112">
        <v>91</v>
      </c>
      <c r="L103" s="112">
        <v>93</v>
      </c>
      <c r="M103" s="112">
        <v>93</v>
      </c>
    </row>
    <row r="104" spans="1:13" x14ac:dyDescent="0.25">
      <c r="A104" s="112" t="s">
        <v>109</v>
      </c>
      <c r="B104" s="112">
        <v>9</v>
      </c>
      <c r="C104" s="112">
        <v>14</v>
      </c>
      <c r="D104" s="112">
        <v>22</v>
      </c>
      <c r="E104" s="112">
        <v>46</v>
      </c>
      <c r="F104" s="112">
        <v>60</v>
      </c>
      <c r="G104" s="112">
        <v>77</v>
      </c>
      <c r="H104" s="112">
        <v>88</v>
      </c>
      <c r="I104" s="112">
        <v>97</v>
      </c>
      <c r="J104" s="112">
        <v>102</v>
      </c>
      <c r="K104" s="112">
        <v>102</v>
      </c>
      <c r="L104" s="112">
        <v>102</v>
      </c>
      <c r="M104" s="112">
        <v>102</v>
      </c>
    </row>
    <row r="105" spans="1:13" x14ac:dyDescent="0.25">
      <c r="A105" s="112" t="s">
        <v>108</v>
      </c>
      <c r="B105" s="112">
        <v>8</v>
      </c>
      <c r="C105" s="112">
        <v>11</v>
      </c>
      <c r="D105" s="112">
        <v>16</v>
      </c>
      <c r="E105" s="112">
        <v>28</v>
      </c>
      <c r="F105" s="112">
        <v>34</v>
      </c>
      <c r="G105" s="112">
        <v>41</v>
      </c>
      <c r="H105" s="112">
        <v>45</v>
      </c>
      <c r="I105" s="112">
        <v>53</v>
      </c>
      <c r="J105" s="112">
        <v>57</v>
      </c>
      <c r="K105" s="112">
        <v>61</v>
      </c>
      <c r="L105" s="112">
        <v>65</v>
      </c>
      <c r="M105" s="112">
        <v>69</v>
      </c>
    </row>
    <row r="106" spans="1:13" x14ac:dyDescent="0.25">
      <c r="A106" s="112" t="s">
        <v>107</v>
      </c>
      <c r="B106" s="112">
        <v>7</v>
      </c>
      <c r="C106" s="112">
        <v>11</v>
      </c>
      <c r="D106" s="112">
        <v>15</v>
      </c>
      <c r="E106" s="112">
        <v>35</v>
      </c>
      <c r="F106" s="112">
        <v>40</v>
      </c>
      <c r="G106" s="112">
        <v>42</v>
      </c>
      <c r="H106" s="112">
        <v>49</v>
      </c>
      <c r="I106" s="112">
        <v>55</v>
      </c>
      <c r="J106" s="112">
        <v>58</v>
      </c>
      <c r="K106" s="112">
        <v>60</v>
      </c>
      <c r="L106" s="112">
        <v>63</v>
      </c>
      <c r="M106" s="112">
        <v>64</v>
      </c>
    </row>
    <row r="107" spans="1:13" x14ac:dyDescent="0.25">
      <c r="A107" s="112" t="s">
        <v>106</v>
      </c>
      <c r="B107" s="112">
        <v>6</v>
      </c>
      <c r="C107" s="112">
        <v>12</v>
      </c>
      <c r="D107" s="112">
        <v>16</v>
      </c>
      <c r="E107" s="112">
        <v>36</v>
      </c>
      <c r="F107" s="112">
        <v>50</v>
      </c>
      <c r="G107" s="112">
        <v>63</v>
      </c>
      <c r="H107" s="112">
        <v>74</v>
      </c>
      <c r="I107" s="112">
        <v>82</v>
      </c>
      <c r="J107" s="112">
        <v>86</v>
      </c>
      <c r="K107" s="112">
        <v>92</v>
      </c>
      <c r="L107" s="112">
        <v>95</v>
      </c>
      <c r="M107" s="112">
        <v>97</v>
      </c>
    </row>
    <row r="108" spans="1:13" x14ac:dyDescent="0.25">
      <c r="A108" s="112" t="s">
        <v>105</v>
      </c>
      <c r="B108" s="112">
        <v>7</v>
      </c>
      <c r="C108" s="112">
        <v>11</v>
      </c>
      <c r="D108" s="112">
        <v>15</v>
      </c>
      <c r="E108" s="112">
        <v>34</v>
      </c>
      <c r="F108" s="112">
        <v>42</v>
      </c>
      <c r="G108" s="112">
        <v>52</v>
      </c>
      <c r="H108" s="112">
        <v>59</v>
      </c>
      <c r="I108" s="112">
        <v>65</v>
      </c>
      <c r="J108" s="112">
        <v>67</v>
      </c>
      <c r="K108" s="112">
        <v>74</v>
      </c>
      <c r="L108" s="112">
        <v>78</v>
      </c>
      <c r="M108" s="112">
        <v>82</v>
      </c>
    </row>
    <row r="109" spans="1:13" x14ac:dyDescent="0.25">
      <c r="A109" s="112" t="s">
        <v>104</v>
      </c>
      <c r="B109" s="112">
        <v>9</v>
      </c>
      <c r="C109" s="112">
        <v>15</v>
      </c>
      <c r="D109" s="112">
        <v>19</v>
      </c>
      <c r="E109" s="112">
        <v>38</v>
      </c>
      <c r="F109" s="112">
        <v>54</v>
      </c>
      <c r="G109" s="112">
        <v>69</v>
      </c>
      <c r="H109" s="112">
        <v>81</v>
      </c>
      <c r="I109" s="112">
        <v>87</v>
      </c>
      <c r="J109" s="112">
        <v>91</v>
      </c>
      <c r="K109" s="112">
        <v>96</v>
      </c>
      <c r="L109" s="112">
        <v>102</v>
      </c>
      <c r="M109" s="112">
        <v>102</v>
      </c>
    </row>
    <row r="110" spans="1:13" x14ac:dyDescent="0.25">
      <c r="A110" s="112" t="s">
        <v>103</v>
      </c>
      <c r="B110" s="112">
        <v>17</v>
      </c>
      <c r="C110" s="112">
        <v>25</v>
      </c>
      <c r="D110" s="112">
        <v>30</v>
      </c>
      <c r="E110" s="112">
        <v>57</v>
      </c>
      <c r="F110" s="112">
        <v>65</v>
      </c>
      <c r="G110" s="112">
        <v>73</v>
      </c>
      <c r="H110" s="112">
        <v>79</v>
      </c>
      <c r="I110" s="112">
        <v>88</v>
      </c>
      <c r="J110" s="112">
        <v>90</v>
      </c>
      <c r="K110" s="112">
        <v>94</v>
      </c>
      <c r="L110" s="112">
        <v>97</v>
      </c>
      <c r="M110" s="112">
        <v>102</v>
      </c>
    </row>
    <row r="111" spans="1:13" x14ac:dyDescent="0.25">
      <c r="A111" s="112" t="s">
        <v>102</v>
      </c>
      <c r="B111" s="112">
        <v>17</v>
      </c>
      <c r="C111" s="112">
        <v>25</v>
      </c>
      <c r="D111" s="112">
        <v>30</v>
      </c>
      <c r="E111" s="112">
        <v>61</v>
      </c>
      <c r="F111" s="112">
        <v>74</v>
      </c>
      <c r="G111" s="112">
        <v>88</v>
      </c>
      <c r="H111" s="112">
        <v>97</v>
      </c>
      <c r="I111" s="112">
        <v>102</v>
      </c>
      <c r="J111" s="112">
        <v>102</v>
      </c>
      <c r="K111" s="112">
        <v>102</v>
      </c>
      <c r="L111" s="112">
        <v>102</v>
      </c>
      <c r="M111" s="112">
        <v>102</v>
      </c>
    </row>
    <row r="112" spans="1:13" x14ac:dyDescent="0.25">
      <c r="A112" s="112" t="s">
        <v>101</v>
      </c>
      <c r="B112" s="112">
        <v>12</v>
      </c>
      <c r="C112" s="112">
        <v>19</v>
      </c>
      <c r="D112" s="112">
        <v>18</v>
      </c>
      <c r="E112" s="112">
        <v>43</v>
      </c>
      <c r="F112" s="112">
        <v>50</v>
      </c>
      <c r="G112" s="112">
        <v>56</v>
      </c>
      <c r="H112" s="112">
        <v>61</v>
      </c>
      <c r="I112" s="112">
        <v>70</v>
      </c>
      <c r="J112" s="112">
        <v>74</v>
      </c>
      <c r="K112" s="112">
        <v>79</v>
      </c>
      <c r="L112" s="112">
        <v>81</v>
      </c>
      <c r="M112" s="112">
        <v>81</v>
      </c>
    </row>
    <row r="113" spans="1:13" x14ac:dyDescent="0.25">
      <c r="A113" s="112" t="s">
        <v>100</v>
      </c>
      <c r="B113" s="112">
        <v>17</v>
      </c>
      <c r="C113" s="112">
        <v>27</v>
      </c>
      <c r="D113" s="112">
        <v>29</v>
      </c>
      <c r="E113" s="112">
        <v>52</v>
      </c>
      <c r="F113" s="112">
        <v>66</v>
      </c>
      <c r="G113" s="112">
        <v>80</v>
      </c>
      <c r="H113" s="112">
        <v>90</v>
      </c>
      <c r="I113" s="112">
        <v>99</v>
      </c>
      <c r="J113" s="112">
        <v>102</v>
      </c>
      <c r="K113" s="112">
        <v>102</v>
      </c>
      <c r="L113" s="112">
        <v>102</v>
      </c>
      <c r="M113" s="112">
        <v>102</v>
      </c>
    </row>
    <row r="114" spans="1:13" x14ac:dyDescent="0.25">
      <c r="A114" s="112" t="s">
        <v>99</v>
      </c>
      <c r="B114" s="112">
        <v>16</v>
      </c>
      <c r="C114" s="112">
        <v>22</v>
      </c>
      <c r="D114" s="112">
        <v>30</v>
      </c>
      <c r="E114" s="112">
        <v>56</v>
      </c>
      <c r="F114" s="112">
        <v>71</v>
      </c>
      <c r="G114" s="112">
        <v>85</v>
      </c>
      <c r="H114" s="112">
        <v>96</v>
      </c>
      <c r="I114" s="112">
        <v>102</v>
      </c>
      <c r="J114" s="112">
        <v>102</v>
      </c>
      <c r="K114" s="112">
        <v>102</v>
      </c>
      <c r="L114" s="112">
        <v>102</v>
      </c>
      <c r="M114" s="112">
        <v>102</v>
      </c>
    </row>
    <row r="115" spans="1:13" x14ac:dyDescent="0.25">
      <c r="A115" s="112" t="s">
        <v>98</v>
      </c>
      <c r="B115" s="112">
        <v>15</v>
      </c>
      <c r="C115" s="112">
        <v>21</v>
      </c>
      <c r="D115" s="112">
        <v>24</v>
      </c>
      <c r="E115" s="112">
        <v>44</v>
      </c>
      <c r="F115" s="112">
        <v>53</v>
      </c>
      <c r="G115" s="112">
        <v>62</v>
      </c>
      <c r="H115" s="112">
        <v>69</v>
      </c>
      <c r="I115" s="112">
        <v>79</v>
      </c>
      <c r="J115" s="112">
        <v>83</v>
      </c>
      <c r="K115" s="112">
        <v>86</v>
      </c>
      <c r="L115" s="112">
        <v>86</v>
      </c>
      <c r="M115" s="112">
        <v>85</v>
      </c>
    </row>
    <row r="116" spans="1:13" x14ac:dyDescent="0.25">
      <c r="A116" s="112" t="s">
        <v>97</v>
      </c>
      <c r="B116" s="112">
        <v>12</v>
      </c>
      <c r="C116" s="112">
        <v>21</v>
      </c>
      <c r="D116" s="112">
        <v>25</v>
      </c>
      <c r="E116" s="112">
        <v>53</v>
      </c>
      <c r="F116" s="112">
        <v>62</v>
      </c>
      <c r="G116" s="112">
        <v>86</v>
      </c>
      <c r="H116" s="112">
        <v>102</v>
      </c>
      <c r="I116" s="112">
        <v>102</v>
      </c>
      <c r="J116" s="112">
        <v>102</v>
      </c>
      <c r="K116" s="112">
        <v>102</v>
      </c>
      <c r="L116" s="112">
        <v>102</v>
      </c>
      <c r="M116" s="112">
        <v>102</v>
      </c>
    </row>
    <row r="117" spans="1:13" x14ac:dyDescent="0.25">
      <c r="A117" s="112" t="s">
        <v>96</v>
      </c>
      <c r="B117" s="112">
        <v>12</v>
      </c>
      <c r="C117" s="112">
        <v>20</v>
      </c>
      <c r="D117" s="112">
        <v>25</v>
      </c>
      <c r="E117" s="112">
        <v>57</v>
      </c>
      <c r="F117" s="112">
        <v>68</v>
      </c>
      <c r="G117" s="112">
        <v>82</v>
      </c>
      <c r="H117" s="112">
        <v>91</v>
      </c>
      <c r="I117" s="112">
        <v>95</v>
      </c>
      <c r="J117" s="112">
        <v>102</v>
      </c>
      <c r="K117" s="112">
        <v>102</v>
      </c>
      <c r="L117" s="112">
        <v>102</v>
      </c>
      <c r="M117" s="112">
        <v>102</v>
      </c>
    </row>
    <row r="118" spans="1:13" x14ac:dyDescent="0.25">
      <c r="A118" s="112" t="s">
        <v>95</v>
      </c>
      <c r="B118" s="112">
        <v>13</v>
      </c>
      <c r="C118" s="112">
        <v>21</v>
      </c>
      <c r="D118" s="112">
        <v>26</v>
      </c>
      <c r="E118" s="112">
        <v>48</v>
      </c>
      <c r="F118" s="112">
        <v>59</v>
      </c>
      <c r="G118" s="112">
        <v>69</v>
      </c>
      <c r="H118" s="112">
        <v>78</v>
      </c>
      <c r="I118" s="112">
        <v>81</v>
      </c>
      <c r="J118" s="112">
        <v>83</v>
      </c>
      <c r="K118" s="112">
        <v>90</v>
      </c>
      <c r="L118" s="112">
        <v>96</v>
      </c>
      <c r="M118" s="112">
        <v>102</v>
      </c>
    </row>
    <row r="119" spans="1:13" x14ac:dyDescent="0.25">
      <c r="A119" s="112" t="s">
        <v>94</v>
      </c>
      <c r="B119" s="112">
        <v>11</v>
      </c>
      <c r="C119" s="112">
        <v>15</v>
      </c>
      <c r="D119" s="112">
        <v>22</v>
      </c>
      <c r="E119" s="112">
        <v>48</v>
      </c>
      <c r="F119" s="112">
        <v>60</v>
      </c>
      <c r="G119" s="112">
        <v>73</v>
      </c>
      <c r="H119" s="112">
        <v>82</v>
      </c>
      <c r="I119" s="112">
        <v>89</v>
      </c>
      <c r="J119" s="112">
        <v>93</v>
      </c>
      <c r="K119" s="112">
        <v>97</v>
      </c>
      <c r="L119" s="112">
        <v>102</v>
      </c>
      <c r="M119" s="112">
        <v>102</v>
      </c>
    </row>
    <row r="120" spans="1:13" x14ac:dyDescent="0.25">
      <c r="A120" s="112" t="s">
        <v>93</v>
      </c>
      <c r="B120" s="112">
        <v>11</v>
      </c>
      <c r="C120" s="112">
        <v>16</v>
      </c>
      <c r="D120" s="112">
        <v>22</v>
      </c>
      <c r="E120" s="112">
        <v>37</v>
      </c>
      <c r="F120" s="112">
        <v>15</v>
      </c>
      <c r="G120" s="112">
        <v>41</v>
      </c>
      <c r="H120" s="112">
        <v>58</v>
      </c>
      <c r="I120" s="112">
        <v>69</v>
      </c>
      <c r="J120" s="112">
        <v>74</v>
      </c>
      <c r="K120" s="112">
        <v>77</v>
      </c>
      <c r="L120" s="112">
        <v>79</v>
      </c>
      <c r="M120" s="112">
        <v>81</v>
      </c>
    </row>
    <row r="121" spans="1:13" x14ac:dyDescent="0.25">
      <c r="A121" s="112" t="s">
        <v>92</v>
      </c>
      <c r="B121" s="112">
        <v>13</v>
      </c>
      <c r="C121" s="112">
        <v>17</v>
      </c>
      <c r="D121" s="112">
        <v>23</v>
      </c>
      <c r="E121" s="112">
        <v>44</v>
      </c>
      <c r="F121" s="112">
        <v>49</v>
      </c>
      <c r="G121" s="112">
        <v>55</v>
      </c>
      <c r="H121" s="112">
        <v>59</v>
      </c>
      <c r="I121" s="112">
        <v>69</v>
      </c>
      <c r="J121" s="112">
        <v>76</v>
      </c>
      <c r="K121" s="112">
        <v>80</v>
      </c>
      <c r="L121" s="112">
        <v>82</v>
      </c>
      <c r="M121" s="112">
        <v>83</v>
      </c>
    </row>
    <row r="122" spans="1:13" x14ac:dyDescent="0.25">
      <c r="A122" s="112" t="s">
        <v>91</v>
      </c>
      <c r="B122" s="112">
        <v>17</v>
      </c>
      <c r="C122" s="112">
        <v>25</v>
      </c>
      <c r="D122" s="112">
        <v>31</v>
      </c>
      <c r="E122" s="112">
        <v>58</v>
      </c>
      <c r="F122" s="112">
        <v>68</v>
      </c>
      <c r="G122" s="112">
        <v>75</v>
      </c>
      <c r="H122" s="112">
        <v>82</v>
      </c>
      <c r="I122" s="112">
        <v>88</v>
      </c>
      <c r="J122" s="112">
        <v>93</v>
      </c>
      <c r="K122" s="112">
        <v>94</v>
      </c>
      <c r="L122" s="112">
        <v>95</v>
      </c>
      <c r="M122" s="112">
        <v>96</v>
      </c>
    </row>
    <row r="123" spans="1:13" x14ac:dyDescent="0.25">
      <c r="A123" s="112" t="s">
        <v>90</v>
      </c>
      <c r="B123" s="112">
        <v>16</v>
      </c>
      <c r="C123" s="112">
        <v>24</v>
      </c>
      <c r="D123" s="112">
        <v>33</v>
      </c>
      <c r="E123" s="112">
        <v>58</v>
      </c>
      <c r="F123" s="112">
        <v>67</v>
      </c>
      <c r="G123" s="112">
        <v>75</v>
      </c>
      <c r="H123" s="112">
        <v>82</v>
      </c>
      <c r="I123" s="112">
        <v>88</v>
      </c>
      <c r="J123" s="112">
        <v>93</v>
      </c>
      <c r="K123" s="112">
        <v>96</v>
      </c>
      <c r="L123" s="112">
        <v>98</v>
      </c>
      <c r="M123" s="112">
        <v>102</v>
      </c>
    </row>
    <row r="124" spans="1:13" x14ac:dyDescent="0.25">
      <c r="A124" s="112" t="s">
        <v>89</v>
      </c>
      <c r="B124" s="112">
        <v>15</v>
      </c>
      <c r="C124" s="112">
        <v>24</v>
      </c>
      <c r="D124" s="112">
        <v>29</v>
      </c>
      <c r="E124" s="112">
        <v>57</v>
      </c>
      <c r="F124" s="112">
        <v>64</v>
      </c>
      <c r="G124" s="112">
        <v>71</v>
      </c>
      <c r="H124" s="112">
        <v>75</v>
      </c>
      <c r="I124" s="112">
        <v>83</v>
      </c>
      <c r="J124" s="112">
        <v>89</v>
      </c>
      <c r="K124" s="112">
        <v>91</v>
      </c>
      <c r="L124" s="112">
        <v>93</v>
      </c>
      <c r="M124" s="112">
        <v>93</v>
      </c>
    </row>
    <row r="125" spans="1:13" x14ac:dyDescent="0.25">
      <c r="A125" s="112" t="s">
        <v>88</v>
      </c>
      <c r="B125" s="112">
        <v>13</v>
      </c>
      <c r="C125" s="112">
        <v>21</v>
      </c>
      <c r="D125" s="112">
        <v>30</v>
      </c>
      <c r="E125" s="112">
        <v>57</v>
      </c>
      <c r="F125" s="112">
        <v>69</v>
      </c>
      <c r="G125" s="112">
        <v>82</v>
      </c>
      <c r="H125" s="112">
        <v>90</v>
      </c>
      <c r="I125" s="112">
        <v>99</v>
      </c>
      <c r="J125" s="112">
        <v>102</v>
      </c>
      <c r="K125" s="112">
        <v>102</v>
      </c>
      <c r="L125" s="112">
        <v>102</v>
      </c>
      <c r="M125" s="112">
        <v>102</v>
      </c>
    </row>
    <row r="126" spans="1:13" x14ac:dyDescent="0.25">
      <c r="A126" s="112" t="s">
        <v>87</v>
      </c>
      <c r="B126" s="112">
        <v>13</v>
      </c>
      <c r="C126" s="112">
        <v>22</v>
      </c>
      <c r="D126" s="112">
        <v>27</v>
      </c>
      <c r="E126" s="112">
        <v>59</v>
      </c>
      <c r="F126" s="112">
        <v>74</v>
      </c>
      <c r="G126" s="112">
        <v>88</v>
      </c>
      <c r="H126" s="112">
        <v>102</v>
      </c>
      <c r="I126" s="112">
        <v>102</v>
      </c>
      <c r="J126" s="112">
        <v>102</v>
      </c>
      <c r="K126" s="112">
        <v>102</v>
      </c>
      <c r="L126" s="112">
        <v>102</v>
      </c>
      <c r="M126" s="112">
        <v>102</v>
      </c>
    </row>
    <row r="127" spans="1:13" x14ac:dyDescent="0.25">
      <c r="A127" s="112" t="s">
        <v>86</v>
      </c>
      <c r="B127" s="112">
        <v>16</v>
      </c>
      <c r="C127" s="112">
        <v>24</v>
      </c>
      <c r="D127" s="112">
        <v>32</v>
      </c>
      <c r="E127" s="112">
        <v>65</v>
      </c>
      <c r="F127" s="112">
        <v>80</v>
      </c>
      <c r="G127" s="112">
        <v>93</v>
      </c>
      <c r="H127" s="112">
        <v>102</v>
      </c>
      <c r="I127" s="112">
        <v>102</v>
      </c>
      <c r="J127" s="112">
        <v>102</v>
      </c>
      <c r="K127" s="112">
        <v>102</v>
      </c>
      <c r="L127" s="112">
        <v>102</v>
      </c>
      <c r="M127" s="112">
        <v>102</v>
      </c>
    </row>
    <row r="128" spans="1:13" x14ac:dyDescent="0.25">
      <c r="A128" s="112" t="s">
        <v>85</v>
      </c>
      <c r="B128" s="112">
        <v>15</v>
      </c>
      <c r="C128" s="112">
        <v>23</v>
      </c>
      <c r="D128" s="112">
        <v>27</v>
      </c>
      <c r="E128" s="112">
        <v>62</v>
      </c>
      <c r="F128" s="112">
        <v>72</v>
      </c>
      <c r="G128" s="112">
        <v>83</v>
      </c>
      <c r="H128" s="112">
        <v>90</v>
      </c>
      <c r="I128" s="112">
        <v>100</v>
      </c>
      <c r="J128" s="112">
        <v>102</v>
      </c>
      <c r="K128" s="112">
        <v>102</v>
      </c>
      <c r="L128" s="112">
        <v>102</v>
      </c>
      <c r="M128" s="112">
        <v>102</v>
      </c>
    </row>
    <row r="129" spans="1:13" x14ac:dyDescent="0.25">
      <c r="A129" s="112" t="s">
        <v>84</v>
      </c>
      <c r="B129" s="112">
        <v>14</v>
      </c>
      <c r="C129" s="112">
        <v>21</v>
      </c>
      <c r="D129" s="112">
        <v>27</v>
      </c>
      <c r="E129" s="112">
        <v>58</v>
      </c>
      <c r="F129" s="112">
        <v>68</v>
      </c>
      <c r="G129" s="112">
        <v>78</v>
      </c>
      <c r="H129" s="112">
        <v>87</v>
      </c>
      <c r="I129" s="112">
        <v>90</v>
      </c>
      <c r="J129" s="112">
        <v>96</v>
      </c>
      <c r="K129" s="112">
        <v>102</v>
      </c>
      <c r="L129" s="112">
        <v>102</v>
      </c>
      <c r="M129" s="112">
        <v>102</v>
      </c>
    </row>
    <row r="130" spans="1:13" x14ac:dyDescent="0.25">
      <c r="A130" s="112" t="s">
        <v>83</v>
      </c>
      <c r="B130" s="112">
        <v>14</v>
      </c>
      <c r="C130" s="112">
        <v>20</v>
      </c>
      <c r="D130" s="112">
        <v>23</v>
      </c>
      <c r="E130" s="112">
        <v>48</v>
      </c>
      <c r="F130" s="112">
        <v>55</v>
      </c>
      <c r="G130" s="112">
        <v>65</v>
      </c>
      <c r="H130" s="112">
        <v>71</v>
      </c>
      <c r="I130" s="112">
        <v>77</v>
      </c>
      <c r="J130" s="112">
        <v>83</v>
      </c>
      <c r="K130" s="112">
        <v>86</v>
      </c>
      <c r="L130" s="112">
        <v>88</v>
      </c>
      <c r="M130" s="112">
        <v>89</v>
      </c>
    </row>
    <row r="131" spans="1:13" x14ac:dyDescent="0.25">
      <c r="A131" s="112" t="s">
        <v>82</v>
      </c>
      <c r="B131" s="112">
        <v>13</v>
      </c>
      <c r="C131" s="112">
        <v>22</v>
      </c>
      <c r="D131" s="112">
        <v>23</v>
      </c>
      <c r="E131" s="112">
        <v>52</v>
      </c>
      <c r="F131" s="112">
        <v>57</v>
      </c>
      <c r="G131" s="112">
        <v>63</v>
      </c>
      <c r="H131" s="112">
        <v>67</v>
      </c>
      <c r="I131" s="112">
        <v>78</v>
      </c>
      <c r="J131" s="112">
        <v>83</v>
      </c>
      <c r="K131" s="112">
        <v>86</v>
      </c>
      <c r="L131" s="112">
        <v>90</v>
      </c>
      <c r="M131" s="112">
        <v>92</v>
      </c>
    </row>
    <row r="132" spans="1:13" x14ac:dyDescent="0.25">
      <c r="A132" s="112" t="s">
        <v>81</v>
      </c>
      <c r="B132" s="112">
        <v>12</v>
      </c>
      <c r="C132" s="112">
        <v>20</v>
      </c>
      <c r="D132" s="112">
        <v>23</v>
      </c>
      <c r="E132" s="112">
        <v>48</v>
      </c>
      <c r="F132" s="112">
        <v>62</v>
      </c>
      <c r="G132" s="112">
        <v>75</v>
      </c>
      <c r="H132" s="112">
        <v>83</v>
      </c>
      <c r="I132" s="112">
        <v>89</v>
      </c>
      <c r="J132" s="112">
        <v>93</v>
      </c>
      <c r="K132" s="112">
        <v>95</v>
      </c>
      <c r="L132" s="112">
        <v>99</v>
      </c>
      <c r="M132" s="112">
        <v>102</v>
      </c>
    </row>
    <row r="133" spans="1:13" x14ac:dyDescent="0.25">
      <c r="A133" s="112" t="s">
        <v>80</v>
      </c>
      <c r="B133" s="112">
        <v>10</v>
      </c>
      <c r="C133" s="112">
        <v>19</v>
      </c>
      <c r="D133" s="112">
        <v>21</v>
      </c>
      <c r="E133" s="112">
        <v>41</v>
      </c>
      <c r="F133" s="112">
        <v>43</v>
      </c>
      <c r="G133" s="112">
        <v>44</v>
      </c>
      <c r="H133" s="112">
        <v>45</v>
      </c>
      <c r="I133" s="112">
        <v>50</v>
      </c>
      <c r="J133" s="112">
        <v>54</v>
      </c>
      <c r="K133" s="112">
        <v>57</v>
      </c>
      <c r="L133" s="112">
        <v>60</v>
      </c>
      <c r="M133" s="112">
        <v>62</v>
      </c>
    </row>
    <row r="134" spans="1:13" x14ac:dyDescent="0.25">
      <c r="A134" s="112" t="s">
        <v>79</v>
      </c>
      <c r="B134" s="112">
        <v>6</v>
      </c>
      <c r="C134" s="112">
        <v>14</v>
      </c>
      <c r="D134" s="112">
        <v>21</v>
      </c>
      <c r="E134" s="112">
        <v>44</v>
      </c>
      <c r="F134" s="112">
        <v>59</v>
      </c>
      <c r="G134" s="112">
        <v>76</v>
      </c>
      <c r="H134" s="112">
        <v>87</v>
      </c>
      <c r="I134" s="112">
        <v>91</v>
      </c>
      <c r="J134" s="112">
        <v>94</v>
      </c>
      <c r="K134" s="112">
        <v>99</v>
      </c>
      <c r="L134" s="112">
        <v>102</v>
      </c>
      <c r="M134" s="112">
        <v>102</v>
      </c>
    </row>
    <row r="135" spans="1:13" x14ac:dyDescent="0.25">
      <c r="A135" s="112" t="s">
        <v>78</v>
      </c>
      <c r="B135" s="112">
        <v>9</v>
      </c>
      <c r="C135" s="112">
        <v>15</v>
      </c>
      <c r="D135" s="112">
        <v>18</v>
      </c>
      <c r="E135" s="112">
        <v>40</v>
      </c>
      <c r="F135" s="112">
        <v>49</v>
      </c>
      <c r="G135" s="112">
        <v>61</v>
      </c>
      <c r="H135" s="112">
        <v>68</v>
      </c>
      <c r="I135" s="112">
        <v>70</v>
      </c>
      <c r="J135" s="112">
        <v>73</v>
      </c>
      <c r="K135" s="112">
        <v>79</v>
      </c>
      <c r="L135" s="112">
        <v>83</v>
      </c>
      <c r="M135" s="112">
        <v>86</v>
      </c>
    </row>
    <row r="136" spans="1:13" x14ac:dyDescent="0.25">
      <c r="A136" s="112" t="s">
        <v>77</v>
      </c>
      <c r="B136" s="112">
        <v>7</v>
      </c>
      <c r="C136" s="112">
        <v>15</v>
      </c>
      <c r="D136" s="112">
        <v>19</v>
      </c>
      <c r="E136" s="112">
        <v>43</v>
      </c>
      <c r="F136" s="112">
        <v>50</v>
      </c>
      <c r="G136" s="112">
        <v>60</v>
      </c>
      <c r="H136" s="112">
        <v>66</v>
      </c>
      <c r="I136" s="112">
        <v>68</v>
      </c>
      <c r="J136" s="112">
        <v>72</v>
      </c>
      <c r="K136" s="112">
        <v>76</v>
      </c>
      <c r="L136" s="112">
        <v>81</v>
      </c>
      <c r="M136" s="112">
        <v>84</v>
      </c>
    </row>
    <row r="137" spans="1:13" x14ac:dyDescent="0.25">
      <c r="A137" s="112" t="s">
        <v>76</v>
      </c>
      <c r="B137" s="112">
        <v>5</v>
      </c>
      <c r="C137" s="112">
        <v>12</v>
      </c>
      <c r="D137" s="112">
        <v>20</v>
      </c>
      <c r="E137" s="112">
        <v>42</v>
      </c>
      <c r="F137" s="112">
        <v>57</v>
      </c>
      <c r="G137" s="112">
        <v>72</v>
      </c>
      <c r="H137" s="112">
        <v>81</v>
      </c>
      <c r="I137" s="112">
        <v>88</v>
      </c>
      <c r="J137" s="112">
        <v>92</v>
      </c>
      <c r="K137" s="112">
        <v>95</v>
      </c>
      <c r="L137" s="112">
        <v>97</v>
      </c>
      <c r="M137" s="112">
        <v>102</v>
      </c>
    </row>
    <row r="138" spans="1:13" x14ac:dyDescent="0.25">
      <c r="A138" s="112" t="s">
        <v>75</v>
      </c>
      <c r="B138" s="112">
        <v>6</v>
      </c>
      <c r="C138" s="112">
        <v>13</v>
      </c>
      <c r="D138" s="112">
        <v>21</v>
      </c>
      <c r="E138" s="112">
        <v>43</v>
      </c>
      <c r="F138" s="112">
        <v>60</v>
      </c>
      <c r="G138" s="112">
        <v>78</v>
      </c>
      <c r="H138" s="112">
        <v>92</v>
      </c>
      <c r="I138" s="112">
        <v>98</v>
      </c>
      <c r="J138" s="112">
        <v>102</v>
      </c>
      <c r="K138" s="112">
        <v>102</v>
      </c>
      <c r="L138" s="112">
        <v>102</v>
      </c>
      <c r="M138" s="112">
        <v>102</v>
      </c>
    </row>
    <row r="139" spans="1:13" x14ac:dyDescent="0.25">
      <c r="A139" s="112" t="s">
        <v>74</v>
      </c>
      <c r="B139" s="112">
        <v>7</v>
      </c>
      <c r="C139" s="112">
        <v>13</v>
      </c>
      <c r="D139" s="112">
        <v>21</v>
      </c>
      <c r="E139" s="112">
        <v>44</v>
      </c>
      <c r="F139" s="112">
        <v>53</v>
      </c>
      <c r="G139" s="112">
        <v>62</v>
      </c>
      <c r="H139" s="112">
        <v>68</v>
      </c>
      <c r="I139" s="112">
        <v>75</v>
      </c>
      <c r="J139" s="112">
        <v>80</v>
      </c>
      <c r="K139" s="112">
        <v>84</v>
      </c>
      <c r="L139" s="112">
        <v>86</v>
      </c>
      <c r="M139" s="112">
        <v>87</v>
      </c>
    </row>
    <row r="140" spans="1:13" x14ac:dyDescent="0.25">
      <c r="A140" s="112" t="s">
        <v>73</v>
      </c>
      <c r="B140" s="112">
        <v>5</v>
      </c>
      <c r="C140" s="112">
        <v>10</v>
      </c>
      <c r="D140" s="112">
        <v>16</v>
      </c>
      <c r="E140" s="112">
        <v>36</v>
      </c>
      <c r="F140" s="112">
        <v>51</v>
      </c>
      <c r="G140" s="112">
        <v>67</v>
      </c>
      <c r="H140" s="112">
        <v>79</v>
      </c>
      <c r="I140" s="112">
        <v>83</v>
      </c>
      <c r="J140" s="112">
        <v>89</v>
      </c>
      <c r="K140" s="112">
        <v>91</v>
      </c>
      <c r="L140" s="112">
        <v>94</v>
      </c>
      <c r="M140" s="112">
        <v>96</v>
      </c>
    </row>
    <row r="141" spans="1:13" x14ac:dyDescent="0.25">
      <c r="A141" s="112" t="s">
        <v>72</v>
      </c>
      <c r="B141" s="112">
        <v>5</v>
      </c>
      <c r="C141" s="112">
        <v>11</v>
      </c>
      <c r="D141" s="112">
        <v>14</v>
      </c>
      <c r="E141" s="112">
        <v>26</v>
      </c>
      <c r="F141" s="112">
        <v>57</v>
      </c>
      <c r="G141" s="112">
        <v>68</v>
      </c>
      <c r="H141" s="112">
        <v>77</v>
      </c>
      <c r="I141" s="112">
        <v>79</v>
      </c>
      <c r="J141" s="112">
        <v>86</v>
      </c>
      <c r="K141" s="112">
        <v>89</v>
      </c>
      <c r="L141" s="112">
        <v>93</v>
      </c>
      <c r="M141" s="112">
        <v>95</v>
      </c>
    </row>
    <row r="142" spans="1:13" x14ac:dyDescent="0.25">
      <c r="A142" s="112" t="s">
        <v>71</v>
      </c>
      <c r="B142" s="112">
        <v>4</v>
      </c>
      <c r="C142" s="112">
        <v>9</v>
      </c>
      <c r="D142" s="112">
        <v>13</v>
      </c>
      <c r="E142" s="112">
        <v>30</v>
      </c>
      <c r="F142" s="112">
        <v>42</v>
      </c>
      <c r="G142" s="112">
        <v>55</v>
      </c>
      <c r="H142" s="112">
        <v>64</v>
      </c>
      <c r="I142" s="112">
        <v>68</v>
      </c>
      <c r="J142" s="112">
        <v>75</v>
      </c>
      <c r="K142" s="112">
        <v>77</v>
      </c>
      <c r="L142" s="112">
        <v>79</v>
      </c>
      <c r="M142" s="112">
        <v>80</v>
      </c>
    </row>
    <row r="143" spans="1:13" x14ac:dyDescent="0.25">
      <c r="A143" s="112" t="s">
        <v>70</v>
      </c>
      <c r="B143" s="112">
        <v>4</v>
      </c>
      <c r="C143" s="112">
        <v>11</v>
      </c>
      <c r="D143" s="112">
        <v>15</v>
      </c>
      <c r="E143" s="112">
        <v>35</v>
      </c>
      <c r="F143" s="112">
        <v>46</v>
      </c>
      <c r="G143" s="112">
        <v>59</v>
      </c>
      <c r="H143" s="112">
        <v>67</v>
      </c>
      <c r="I143" s="112">
        <v>71</v>
      </c>
      <c r="J143" s="112">
        <v>79</v>
      </c>
      <c r="K143" s="112">
        <v>83</v>
      </c>
      <c r="L143" s="112">
        <v>85</v>
      </c>
      <c r="M143" s="112">
        <v>87</v>
      </c>
    </row>
    <row r="144" spans="1:13" x14ac:dyDescent="0.25">
      <c r="A144" s="112" t="s">
        <v>69</v>
      </c>
      <c r="B144" s="112">
        <v>5</v>
      </c>
      <c r="C144" s="112">
        <v>11</v>
      </c>
      <c r="D144" s="112">
        <v>13</v>
      </c>
      <c r="E144" s="112">
        <v>34</v>
      </c>
      <c r="F144" s="112">
        <v>40</v>
      </c>
      <c r="G144" s="112">
        <v>48</v>
      </c>
      <c r="H144" s="112">
        <v>52</v>
      </c>
      <c r="I144" s="112">
        <v>60</v>
      </c>
      <c r="J144" s="112">
        <v>69</v>
      </c>
      <c r="K144" s="112">
        <v>71</v>
      </c>
      <c r="L144" s="112">
        <v>74</v>
      </c>
      <c r="M144" s="112">
        <v>74</v>
      </c>
    </row>
    <row r="145" spans="1:13" x14ac:dyDescent="0.25">
      <c r="A145" s="112" t="s">
        <v>68</v>
      </c>
      <c r="B145" s="112">
        <v>7</v>
      </c>
      <c r="C145" s="112">
        <v>13</v>
      </c>
      <c r="D145" s="112">
        <v>16</v>
      </c>
      <c r="E145" s="112">
        <v>34</v>
      </c>
      <c r="F145" s="112">
        <v>43</v>
      </c>
      <c r="G145" s="112">
        <v>53</v>
      </c>
      <c r="H145" s="112">
        <v>61</v>
      </c>
      <c r="I145" s="112">
        <v>66</v>
      </c>
      <c r="J145" s="112">
        <v>76</v>
      </c>
      <c r="K145" s="112">
        <v>81</v>
      </c>
      <c r="L145" s="112">
        <v>82</v>
      </c>
      <c r="M145" s="112">
        <v>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9084F-6DC2-4949-A770-B53396C83BBF}">
  <dimension ref="A1:F144"/>
  <sheetViews>
    <sheetView workbookViewId="0">
      <selection activeCell="I66" sqref="I66"/>
    </sheetView>
  </sheetViews>
  <sheetFormatPr defaultRowHeight="15" x14ac:dyDescent="0.25"/>
  <cols>
    <col min="1" max="16384" width="9.140625" style="113"/>
  </cols>
  <sheetData>
    <row r="1" spans="1:6" x14ac:dyDescent="0.25">
      <c r="A1" s="113">
        <v>1</v>
      </c>
      <c r="B1" s="113">
        <v>1</v>
      </c>
      <c r="C1" s="113" t="s">
        <v>224</v>
      </c>
      <c r="D1" s="113" t="str">
        <f t="shared" ref="D1:D32" si="0">_xlfn.CONCAT("p",TEXT(A1,"00"),"-",TEXT(B1,"0"),C1)</f>
        <v>p01-1N</v>
      </c>
      <c r="F1" s="113">
        <v>1</v>
      </c>
    </row>
    <row r="2" spans="1:6" x14ac:dyDescent="0.25">
      <c r="A2" s="113">
        <v>1</v>
      </c>
      <c r="B2" s="113">
        <v>1</v>
      </c>
      <c r="C2" s="113" t="s">
        <v>225</v>
      </c>
      <c r="D2" s="113" t="str">
        <f t="shared" si="0"/>
        <v>p01-1M</v>
      </c>
      <c r="F2" s="113">
        <v>2</v>
      </c>
    </row>
    <row r="3" spans="1:6" x14ac:dyDescent="0.25">
      <c r="A3" s="113">
        <v>1</v>
      </c>
      <c r="B3" s="113">
        <v>1</v>
      </c>
      <c r="C3" s="113" t="s">
        <v>226</v>
      </c>
      <c r="D3" s="113" t="str">
        <f t="shared" si="0"/>
        <v>p01-1S</v>
      </c>
      <c r="F3" s="113">
        <v>3</v>
      </c>
    </row>
    <row r="4" spans="1:6" x14ac:dyDescent="0.25">
      <c r="A4" s="113">
        <v>1</v>
      </c>
      <c r="B4" s="113">
        <v>2</v>
      </c>
      <c r="C4" s="113" t="s">
        <v>224</v>
      </c>
      <c r="D4" s="113" t="str">
        <f t="shared" si="0"/>
        <v>p01-2N</v>
      </c>
      <c r="F4" s="113">
        <v>4</v>
      </c>
    </row>
    <row r="5" spans="1:6" x14ac:dyDescent="0.25">
      <c r="A5" s="113">
        <v>1</v>
      </c>
      <c r="B5" s="113">
        <v>2</v>
      </c>
      <c r="C5" s="113" t="s">
        <v>225</v>
      </c>
      <c r="D5" s="113" t="str">
        <f t="shared" si="0"/>
        <v>p01-2M</v>
      </c>
      <c r="F5" s="113">
        <v>5</v>
      </c>
    </row>
    <row r="6" spans="1:6" x14ac:dyDescent="0.25">
      <c r="A6" s="113">
        <v>1</v>
      </c>
      <c r="B6" s="113">
        <v>2</v>
      </c>
      <c r="C6" s="113" t="s">
        <v>226</v>
      </c>
      <c r="D6" s="113" t="str">
        <f t="shared" si="0"/>
        <v>p01-2S</v>
      </c>
      <c r="F6" s="113">
        <v>6</v>
      </c>
    </row>
    <row r="7" spans="1:6" x14ac:dyDescent="0.25">
      <c r="A7" s="113">
        <v>1</v>
      </c>
      <c r="B7" s="113">
        <v>3</v>
      </c>
      <c r="C7" s="113" t="s">
        <v>224</v>
      </c>
      <c r="D7" s="113" t="str">
        <f t="shared" si="0"/>
        <v>p01-3N</v>
      </c>
      <c r="F7" s="113">
        <v>7</v>
      </c>
    </row>
    <row r="8" spans="1:6" x14ac:dyDescent="0.25">
      <c r="A8" s="113">
        <v>1</v>
      </c>
      <c r="B8" s="113">
        <v>3</v>
      </c>
      <c r="C8" s="113" t="s">
        <v>225</v>
      </c>
      <c r="D8" s="113" t="str">
        <f t="shared" si="0"/>
        <v>p01-3M</v>
      </c>
      <c r="F8" s="113">
        <v>8</v>
      </c>
    </row>
    <row r="9" spans="1:6" x14ac:dyDescent="0.25">
      <c r="A9" s="113">
        <v>1</v>
      </c>
      <c r="B9" s="113">
        <v>3</v>
      </c>
      <c r="C9" s="113" t="s">
        <v>226</v>
      </c>
      <c r="D9" s="113" t="str">
        <f t="shared" si="0"/>
        <v>p01-3S</v>
      </c>
      <c r="F9" s="113">
        <v>9</v>
      </c>
    </row>
    <row r="10" spans="1:6" x14ac:dyDescent="0.25">
      <c r="A10" s="113">
        <v>1</v>
      </c>
      <c r="B10" s="113">
        <v>4</v>
      </c>
      <c r="C10" s="113" t="s">
        <v>224</v>
      </c>
      <c r="D10" s="113" t="str">
        <f t="shared" si="0"/>
        <v>p01-4N</v>
      </c>
      <c r="F10" s="113">
        <v>10</v>
      </c>
    </row>
    <row r="11" spans="1:6" x14ac:dyDescent="0.25">
      <c r="A11" s="113">
        <v>1</v>
      </c>
      <c r="B11" s="113">
        <v>4</v>
      </c>
      <c r="C11" s="113" t="s">
        <v>225</v>
      </c>
      <c r="D11" s="113" t="str">
        <f t="shared" si="0"/>
        <v>p01-4M</v>
      </c>
      <c r="F11" s="113">
        <v>11</v>
      </c>
    </row>
    <row r="12" spans="1:6" x14ac:dyDescent="0.25">
      <c r="A12" s="113">
        <v>1</v>
      </c>
      <c r="B12" s="113">
        <v>4</v>
      </c>
      <c r="C12" s="113" t="s">
        <v>226</v>
      </c>
      <c r="D12" s="113" t="str">
        <f t="shared" si="0"/>
        <v>p01-4S</v>
      </c>
      <c r="F12" s="113">
        <v>12</v>
      </c>
    </row>
    <row r="13" spans="1:6" x14ac:dyDescent="0.25">
      <c r="A13" s="113">
        <v>2</v>
      </c>
      <c r="B13" s="113">
        <v>4</v>
      </c>
      <c r="C13" s="113" t="s">
        <v>226</v>
      </c>
      <c r="D13" s="113" t="str">
        <f t="shared" si="0"/>
        <v>p02-4S</v>
      </c>
      <c r="F13" s="113">
        <v>24</v>
      </c>
    </row>
    <row r="14" spans="1:6" x14ac:dyDescent="0.25">
      <c r="A14" s="113">
        <v>2</v>
      </c>
      <c r="B14" s="113">
        <v>4</v>
      </c>
      <c r="C14" s="113" t="s">
        <v>225</v>
      </c>
      <c r="D14" s="113" t="str">
        <f t="shared" si="0"/>
        <v>p02-4M</v>
      </c>
      <c r="F14" s="113">
        <v>23</v>
      </c>
    </row>
    <row r="15" spans="1:6" x14ac:dyDescent="0.25">
      <c r="A15" s="113">
        <v>2</v>
      </c>
      <c r="B15" s="113">
        <v>4</v>
      </c>
      <c r="C15" s="113" t="s">
        <v>224</v>
      </c>
      <c r="D15" s="113" t="str">
        <f t="shared" si="0"/>
        <v>p02-4N</v>
      </c>
      <c r="F15" s="113">
        <v>22</v>
      </c>
    </row>
    <row r="16" spans="1:6" x14ac:dyDescent="0.25">
      <c r="A16" s="113">
        <v>2</v>
      </c>
      <c r="B16" s="113">
        <v>3</v>
      </c>
      <c r="C16" s="113" t="s">
        <v>226</v>
      </c>
      <c r="D16" s="113" t="str">
        <f t="shared" si="0"/>
        <v>p02-3S</v>
      </c>
      <c r="F16" s="113">
        <v>21</v>
      </c>
    </row>
    <row r="17" spans="1:6" x14ac:dyDescent="0.25">
      <c r="A17" s="113">
        <v>2</v>
      </c>
      <c r="B17" s="113">
        <v>3</v>
      </c>
      <c r="C17" s="113" t="s">
        <v>225</v>
      </c>
      <c r="D17" s="113" t="str">
        <f t="shared" si="0"/>
        <v>p02-3M</v>
      </c>
      <c r="F17" s="113">
        <v>20</v>
      </c>
    </row>
    <row r="18" spans="1:6" x14ac:dyDescent="0.25">
      <c r="A18" s="113">
        <v>2</v>
      </c>
      <c r="B18" s="113">
        <v>3</v>
      </c>
      <c r="C18" s="113" t="s">
        <v>224</v>
      </c>
      <c r="D18" s="113" t="str">
        <f t="shared" si="0"/>
        <v>p02-3N</v>
      </c>
      <c r="F18" s="113">
        <v>19</v>
      </c>
    </row>
    <row r="19" spans="1:6" x14ac:dyDescent="0.25">
      <c r="A19" s="113">
        <v>2</v>
      </c>
      <c r="B19" s="113">
        <v>2</v>
      </c>
      <c r="C19" s="113" t="s">
        <v>226</v>
      </c>
      <c r="D19" s="113" t="str">
        <f t="shared" si="0"/>
        <v>p02-2S</v>
      </c>
      <c r="F19" s="113">
        <v>18</v>
      </c>
    </row>
    <row r="20" spans="1:6" x14ac:dyDescent="0.25">
      <c r="A20" s="113">
        <v>2</v>
      </c>
      <c r="B20" s="113">
        <v>2</v>
      </c>
      <c r="C20" s="113" t="s">
        <v>225</v>
      </c>
      <c r="D20" s="113" t="str">
        <f t="shared" si="0"/>
        <v>p02-2M</v>
      </c>
      <c r="F20" s="113">
        <v>17</v>
      </c>
    </row>
    <row r="21" spans="1:6" x14ac:dyDescent="0.25">
      <c r="A21" s="113">
        <v>2</v>
      </c>
      <c r="B21" s="113">
        <v>2</v>
      </c>
      <c r="C21" s="113" t="s">
        <v>224</v>
      </c>
      <c r="D21" s="113" t="str">
        <f t="shared" si="0"/>
        <v>p02-2N</v>
      </c>
      <c r="F21" s="113">
        <v>16</v>
      </c>
    </row>
    <row r="22" spans="1:6" x14ac:dyDescent="0.25">
      <c r="A22" s="113">
        <v>2</v>
      </c>
      <c r="B22" s="113">
        <v>1</v>
      </c>
      <c r="C22" s="113" t="s">
        <v>226</v>
      </c>
      <c r="D22" s="113" t="str">
        <f t="shared" si="0"/>
        <v>p02-1S</v>
      </c>
      <c r="F22" s="113">
        <v>15</v>
      </c>
    </row>
    <row r="23" spans="1:6" x14ac:dyDescent="0.25">
      <c r="A23" s="113">
        <v>2</v>
      </c>
      <c r="B23" s="113">
        <v>1</v>
      </c>
      <c r="C23" s="113" t="s">
        <v>225</v>
      </c>
      <c r="D23" s="113" t="str">
        <f t="shared" si="0"/>
        <v>p02-1M</v>
      </c>
      <c r="F23" s="113">
        <v>14</v>
      </c>
    </row>
    <row r="24" spans="1:6" x14ac:dyDescent="0.25">
      <c r="A24" s="113">
        <v>2</v>
      </c>
      <c r="B24" s="113">
        <v>1</v>
      </c>
      <c r="C24" s="113" t="s">
        <v>224</v>
      </c>
      <c r="D24" s="113" t="str">
        <f t="shared" si="0"/>
        <v>p02-1N</v>
      </c>
      <c r="F24" s="113">
        <v>13</v>
      </c>
    </row>
    <row r="25" spans="1:6" x14ac:dyDescent="0.25">
      <c r="A25" s="113">
        <v>3</v>
      </c>
      <c r="B25" s="113">
        <v>1</v>
      </c>
      <c r="C25" s="113" t="s">
        <v>224</v>
      </c>
      <c r="D25" s="113" t="str">
        <f t="shared" si="0"/>
        <v>p03-1N</v>
      </c>
      <c r="F25" s="113">
        <v>25</v>
      </c>
    </row>
    <row r="26" spans="1:6" x14ac:dyDescent="0.25">
      <c r="A26" s="113">
        <v>3</v>
      </c>
      <c r="B26" s="113">
        <v>1</v>
      </c>
      <c r="C26" s="113" t="s">
        <v>225</v>
      </c>
      <c r="D26" s="113" t="str">
        <f t="shared" si="0"/>
        <v>p03-1M</v>
      </c>
      <c r="F26" s="113">
        <v>26</v>
      </c>
    </row>
    <row r="27" spans="1:6" x14ac:dyDescent="0.25">
      <c r="A27" s="113">
        <v>3</v>
      </c>
      <c r="B27" s="113">
        <v>1</v>
      </c>
      <c r="C27" s="113" t="s">
        <v>226</v>
      </c>
      <c r="D27" s="113" t="str">
        <f t="shared" si="0"/>
        <v>p03-1S</v>
      </c>
      <c r="F27" s="113">
        <v>27</v>
      </c>
    </row>
    <row r="28" spans="1:6" x14ac:dyDescent="0.25">
      <c r="A28" s="113">
        <v>3</v>
      </c>
      <c r="B28" s="113">
        <v>2</v>
      </c>
      <c r="C28" s="113" t="s">
        <v>224</v>
      </c>
      <c r="D28" s="113" t="str">
        <f t="shared" si="0"/>
        <v>p03-2N</v>
      </c>
      <c r="F28" s="113">
        <v>28</v>
      </c>
    </row>
    <row r="29" spans="1:6" x14ac:dyDescent="0.25">
      <c r="A29" s="113">
        <v>3</v>
      </c>
      <c r="B29" s="113">
        <v>2</v>
      </c>
      <c r="C29" s="113" t="s">
        <v>225</v>
      </c>
      <c r="D29" s="113" t="str">
        <f t="shared" si="0"/>
        <v>p03-2M</v>
      </c>
      <c r="F29" s="113">
        <v>29</v>
      </c>
    </row>
    <row r="30" spans="1:6" x14ac:dyDescent="0.25">
      <c r="A30" s="113">
        <v>3</v>
      </c>
      <c r="B30" s="113">
        <v>2</v>
      </c>
      <c r="C30" s="113" t="s">
        <v>226</v>
      </c>
      <c r="D30" s="113" t="str">
        <f t="shared" si="0"/>
        <v>p03-2S</v>
      </c>
      <c r="F30" s="113">
        <v>30</v>
      </c>
    </row>
    <row r="31" spans="1:6" x14ac:dyDescent="0.25">
      <c r="A31" s="113">
        <v>3</v>
      </c>
      <c r="B31" s="113">
        <v>3</v>
      </c>
      <c r="C31" s="113" t="s">
        <v>224</v>
      </c>
      <c r="D31" s="113" t="str">
        <f t="shared" si="0"/>
        <v>p03-3N</v>
      </c>
      <c r="F31" s="113">
        <v>31</v>
      </c>
    </row>
    <row r="32" spans="1:6" x14ac:dyDescent="0.25">
      <c r="A32" s="113">
        <v>3</v>
      </c>
      <c r="B32" s="113">
        <v>3</v>
      </c>
      <c r="C32" s="113" t="s">
        <v>225</v>
      </c>
      <c r="D32" s="113" t="str">
        <f t="shared" si="0"/>
        <v>p03-3M</v>
      </c>
      <c r="F32" s="113">
        <v>32</v>
      </c>
    </row>
    <row r="33" spans="1:6" x14ac:dyDescent="0.25">
      <c r="A33" s="113">
        <v>3</v>
      </c>
      <c r="B33" s="113">
        <v>3</v>
      </c>
      <c r="C33" s="113" t="s">
        <v>226</v>
      </c>
      <c r="D33" s="113" t="str">
        <f t="shared" ref="D33:D64" si="1">_xlfn.CONCAT("p",TEXT(A33,"00"),"-",TEXT(B33,"0"),C33)</f>
        <v>p03-3S</v>
      </c>
      <c r="F33" s="113">
        <v>33</v>
      </c>
    </row>
    <row r="34" spans="1:6" x14ac:dyDescent="0.25">
      <c r="A34" s="113">
        <v>3</v>
      </c>
      <c r="B34" s="113">
        <v>4</v>
      </c>
      <c r="C34" s="113" t="s">
        <v>224</v>
      </c>
      <c r="D34" s="113" t="str">
        <f t="shared" si="1"/>
        <v>p03-4N</v>
      </c>
      <c r="F34" s="113">
        <v>34</v>
      </c>
    </row>
    <row r="35" spans="1:6" x14ac:dyDescent="0.25">
      <c r="A35" s="113">
        <v>3</v>
      </c>
      <c r="B35" s="113">
        <v>4</v>
      </c>
      <c r="C35" s="113" t="s">
        <v>225</v>
      </c>
      <c r="D35" s="113" t="str">
        <f t="shared" si="1"/>
        <v>p03-4M</v>
      </c>
      <c r="F35" s="113">
        <v>35</v>
      </c>
    </row>
    <row r="36" spans="1:6" x14ac:dyDescent="0.25">
      <c r="A36" s="113">
        <v>3</v>
      </c>
      <c r="B36" s="113">
        <v>4</v>
      </c>
      <c r="C36" s="113" t="s">
        <v>226</v>
      </c>
      <c r="D36" s="113" t="str">
        <f t="shared" si="1"/>
        <v>p03-4S</v>
      </c>
      <c r="F36" s="113">
        <v>36</v>
      </c>
    </row>
    <row r="37" spans="1:6" x14ac:dyDescent="0.25">
      <c r="A37" s="113">
        <v>4</v>
      </c>
      <c r="B37" s="113">
        <v>4</v>
      </c>
      <c r="C37" s="113" t="s">
        <v>226</v>
      </c>
      <c r="D37" s="113" t="str">
        <f t="shared" si="1"/>
        <v>p04-4S</v>
      </c>
      <c r="F37" s="113">
        <v>48</v>
      </c>
    </row>
    <row r="38" spans="1:6" x14ac:dyDescent="0.25">
      <c r="A38" s="113">
        <v>4</v>
      </c>
      <c r="B38" s="113">
        <v>4</v>
      </c>
      <c r="C38" s="113" t="s">
        <v>225</v>
      </c>
      <c r="D38" s="113" t="str">
        <f t="shared" si="1"/>
        <v>p04-4M</v>
      </c>
      <c r="F38" s="113">
        <v>47</v>
      </c>
    </row>
    <row r="39" spans="1:6" x14ac:dyDescent="0.25">
      <c r="A39" s="113">
        <v>4</v>
      </c>
      <c r="B39" s="113">
        <v>4</v>
      </c>
      <c r="C39" s="113" t="s">
        <v>224</v>
      </c>
      <c r="D39" s="113" t="str">
        <f t="shared" si="1"/>
        <v>p04-4N</v>
      </c>
      <c r="F39" s="113">
        <v>46</v>
      </c>
    </row>
    <row r="40" spans="1:6" x14ac:dyDescent="0.25">
      <c r="A40" s="113">
        <v>4</v>
      </c>
      <c r="B40" s="113">
        <v>3</v>
      </c>
      <c r="C40" s="113" t="s">
        <v>226</v>
      </c>
      <c r="D40" s="113" t="str">
        <f t="shared" si="1"/>
        <v>p04-3S</v>
      </c>
      <c r="F40" s="113">
        <v>45</v>
      </c>
    </row>
    <row r="41" spans="1:6" x14ac:dyDescent="0.25">
      <c r="A41" s="113">
        <v>4</v>
      </c>
      <c r="B41" s="113">
        <v>3</v>
      </c>
      <c r="C41" s="113" t="s">
        <v>225</v>
      </c>
      <c r="D41" s="113" t="str">
        <f t="shared" si="1"/>
        <v>p04-3M</v>
      </c>
      <c r="F41" s="113">
        <v>44</v>
      </c>
    </row>
    <row r="42" spans="1:6" x14ac:dyDescent="0.25">
      <c r="A42" s="113">
        <v>4</v>
      </c>
      <c r="B42" s="113">
        <v>3</v>
      </c>
      <c r="C42" s="113" t="s">
        <v>224</v>
      </c>
      <c r="D42" s="113" t="str">
        <f t="shared" si="1"/>
        <v>p04-3N</v>
      </c>
      <c r="F42" s="113">
        <v>43</v>
      </c>
    </row>
    <row r="43" spans="1:6" x14ac:dyDescent="0.25">
      <c r="A43" s="113">
        <v>4</v>
      </c>
      <c r="B43" s="113">
        <v>2</v>
      </c>
      <c r="C43" s="113" t="s">
        <v>226</v>
      </c>
      <c r="D43" s="113" t="str">
        <f t="shared" si="1"/>
        <v>p04-2S</v>
      </c>
      <c r="F43" s="113">
        <v>42</v>
      </c>
    </row>
    <row r="44" spans="1:6" x14ac:dyDescent="0.25">
      <c r="A44" s="113">
        <v>4</v>
      </c>
      <c r="B44" s="113">
        <v>2</v>
      </c>
      <c r="C44" s="113" t="s">
        <v>225</v>
      </c>
      <c r="D44" s="113" t="str">
        <f t="shared" si="1"/>
        <v>p04-2M</v>
      </c>
      <c r="F44" s="113">
        <v>41</v>
      </c>
    </row>
    <row r="45" spans="1:6" x14ac:dyDescent="0.25">
      <c r="A45" s="113">
        <v>4</v>
      </c>
      <c r="B45" s="113">
        <v>2</v>
      </c>
      <c r="C45" s="113" t="s">
        <v>224</v>
      </c>
      <c r="D45" s="113" t="str">
        <f t="shared" si="1"/>
        <v>p04-2N</v>
      </c>
      <c r="F45" s="113">
        <v>40</v>
      </c>
    </row>
    <row r="46" spans="1:6" x14ac:dyDescent="0.25">
      <c r="A46" s="113">
        <v>4</v>
      </c>
      <c r="B46" s="113">
        <v>1</v>
      </c>
      <c r="C46" s="113" t="s">
        <v>226</v>
      </c>
      <c r="D46" s="113" t="str">
        <f t="shared" si="1"/>
        <v>p04-1S</v>
      </c>
      <c r="F46" s="113">
        <v>39</v>
      </c>
    </row>
    <row r="47" spans="1:6" x14ac:dyDescent="0.25">
      <c r="A47" s="113">
        <v>4</v>
      </c>
      <c r="B47" s="113">
        <v>1</v>
      </c>
      <c r="C47" s="113" t="s">
        <v>225</v>
      </c>
      <c r="D47" s="113" t="str">
        <f t="shared" si="1"/>
        <v>p04-1M</v>
      </c>
      <c r="F47" s="113">
        <v>38</v>
      </c>
    </row>
    <row r="48" spans="1:6" x14ac:dyDescent="0.25">
      <c r="A48" s="113">
        <v>4</v>
      </c>
      <c r="B48" s="113">
        <v>1</v>
      </c>
      <c r="C48" s="113" t="s">
        <v>224</v>
      </c>
      <c r="D48" s="113" t="str">
        <f t="shared" si="1"/>
        <v>p04-1N</v>
      </c>
      <c r="F48" s="113">
        <v>37</v>
      </c>
    </row>
    <row r="49" spans="1:6" x14ac:dyDescent="0.25">
      <c r="A49" s="113">
        <v>5</v>
      </c>
      <c r="B49" s="113">
        <v>1</v>
      </c>
      <c r="C49" s="113" t="s">
        <v>224</v>
      </c>
      <c r="D49" s="113" t="str">
        <f t="shared" si="1"/>
        <v>p05-1N</v>
      </c>
      <c r="F49" s="113">
        <v>49</v>
      </c>
    </row>
    <row r="50" spans="1:6" x14ac:dyDescent="0.25">
      <c r="A50" s="113">
        <v>5</v>
      </c>
      <c r="B50" s="113">
        <v>1</v>
      </c>
      <c r="C50" s="113" t="s">
        <v>225</v>
      </c>
      <c r="D50" s="113" t="str">
        <f t="shared" si="1"/>
        <v>p05-1M</v>
      </c>
      <c r="F50" s="113">
        <v>50</v>
      </c>
    </row>
    <row r="51" spans="1:6" x14ac:dyDescent="0.25">
      <c r="A51" s="113">
        <v>5</v>
      </c>
      <c r="B51" s="113">
        <v>1</v>
      </c>
      <c r="C51" s="113" t="s">
        <v>226</v>
      </c>
      <c r="D51" s="113" t="str">
        <f t="shared" si="1"/>
        <v>p05-1S</v>
      </c>
      <c r="F51" s="113">
        <v>51</v>
      </c>
    </row>
    <row r="52" spans="1:6" x14ac:dyDescent="0.25">
      <c r="A52" s="113">
        <v>5</v>
      </c>
      <c r="B52" s="113">
        <v>2</v>
      </c>
      <c r="C52" s="113" t="s">
        <v>224</v>
      </c>
      <c r="D52" s="113" t="str">
        <f t="shared" si="1"/>
        <v>p05-2N</v>
      </c>
      <c r="F52" s="113">
        <v>52</v>
      </c>
    </row>
    <row r="53" spans="1:6" x14ac:dyDescent="0.25">
      <c r="A53" s="113">
        <v>5</v>
      </c>
      <c r="B53" s="113">
        <v>2</v>
      </c>
      <c r="C53" s="113" t="s">
        <v>225</v>
      </c>
      <c r="D53" s="113" t="str">
        <f t="shared" si="1"/>
        <v>p05-2M</v>
      </c>
      <c r="F53" s="113">
        <v>53</v>
      </c>
    </row>
    <row r="54" spans="1:6" x14ac:dyDescent="0.25">
      <c r="A54" s="113">
        <v>5</v>
      </c>
      <c r="B54" s="113">
        <v>2</v>
      </c>
      <c r="C54" s="113" t="s">
        <v>226</v>
      </c>
      <c r="D54" s="113" t="str">
        <f t="shared" si="1"/>
        <v>p05-2S</v>
      </c>
      <c r="F54" s="113">
        <v>54</v>
      </c>
    </row>
    <row r="55" spans="1:6" x14ac:dyDescent="0.25">
      <c r="A55" s="113">
        <v>5</v>
      </c>
      <c r="B55" s="113">
        <v>3</v>
      </c>
      <c r="C55" s="113" t="s">
        <v>224</v>
      </c>
      <c r="D55" s="113" t="str">
        <f t="shared" si="1"/>
        <v>p05-3N</v>
      </c>
      <c r="F55" s="113">
        <v>55</v>
      </c>
    </row>
    <row r="56" spans="1:6" x14ac:dyDescent="0.25">
      <c r="A56" s="113">
        <v>5</v>
      </c>
      <c r="B56" s="113">
        <v>3</v>
      </c>
      <c r="C56" s="113" t="s">
        <v>225</v>
      </c>
      <c r="D56" s="113" t="str">
        <f t="shared" si="1"/>
        <v>p05-3M</v>
      </c>
      <c r="F56" s="113">
        <v>56</v>
      </c>
    </row>
    <row r="57" spans="1:6" x14ac:dyDescent="0.25">
      <c r="A57" s="113">
        <v>5</v>
      </c>
      <c r="B57" s="113">
        <v>3</v>
      </c>
      <c r="C57" s="113" t="s">
        <v>226</v>
      </c>
      <c r="D57" s="113" t="str">
        <f t="shared" si="1"/>
        <v>p05-3S</v>
      </c>
      <c r="F57" s="113">
        <v>57</v>
      </c>
    </row>
    <row r="58" spans="1:6" x14ac:dyDescent="0.25">
      <c r="A58" s="113">
        <v>5</v>
      </c>
      <c r="B58" s="113">
        <v>4</v>
      </c>
      <c r="C58" s="113" t="s">
        <v>224</v>
      </c>
      <c r="D58" s="113" t="str">
        <f t="shared" si="1"/>
        <v>p05-4N</v>
      </c>
      <c r="F58" s="113">
        <v>58</v>
      </c>
    </row>
    <row r="59" spans="1:6" x14ac:dyDescent="0.25">
      <c r="A59" s="113">
        <v>5</v>
      </c>
      <c r="B59" s="113">
        <v>4</v>
      </c>
      <c r="C59" s="113" t="s">
        <v>225</v>
      </c>
      <c r="D59" s="113" t="str">
        <f t="shared" si="1"/>
        <v>p05-4M</v>
      </c>
      <c r="F59" s="113">
        <v>59</v>
      </c>
    </row>
    <row r="60" spans="1:6" x14ac:dyDescent="0.25">
      <c r="A60" s="113">
        <v>5</v>
      </c>
      <c r="B60" s="113">
        <v>4</v>
      </c>
      <c r="C60" s="113" t="s">
        <v>226</v>
      </c>
      <c r="D60" s="113" t="str">
        <f t="shared" si="1"/>
        <v>p05-4S</v>
      </c>
      <c r="F60" s="113">
        <v>60</v>
      </c>
    </row>
    <row r="61" spans="1:6" x14ac:dyDescent="0.25">
      <c r="A61" s="113">
        <v>6</v>
      </c>
      <c r="B61" s="113">
        <v>4</v>
      </c>
      <c r="C61" s="113" t="s">
        <v>226</v>
      </c>
      <c r="D61" s="113" t="str">
        <f t="shared" si="1"/>
        <v>p06-4S</v>
      </c>
      <c r="F61" s="113">
        <v>72</v>
      </c>
    </row>
    <row r="62" spans="1:6" x14ac:dyDescent="0.25">
      <c r="A62" s="113">
        <v>6</v>
      </c>
      <c r="B62" s="113">
        <v>4</v>
      </c>
      <c r="C62" s="113" t="s">
        <v>225</v>
      </c>
      <c r="D62" s="113" t="str">
        <f t="shared" si="1"/>
        <v>p06-4M</v>
      </c>
      <c r="F62" s="113">
        <v>71</v>
      </c>
    </row>
    <row r="63" spans="1:6" x14ac:dyDescent="0.25">
      <c r="A63" s="113">
        <v>6</v>
      </c>
      <c r="B63" s="113">
        <v>4</v>
      </c>
      <c r="C63" s="113" t="s">
        <v>224</v>
      </c>
      <c r="D63" s="113" t="str">
        <f t="shared" si="1"/>
        <v>p06-4N</v>
      </c>
      <c r="F63" s="113">
        <v>70</v>
      </c>
    </row>
    <row r="64" spans="1:6" x14ac:dyDescent="0.25">
      <c r="A64" s="113">
        <v>6</v>
      </c>
      <c r="B64" s="113">
        <v>3</v>
      </c>
      <c r="C64" s="113" t="s">
        <v>226</v>
      </c>
      <c r="D64" s="113" t="str">
        <f t="shared" si="1"/>
        <v>p06-3S</v>
      </c>
      <c r="F64" s="113">
        <v>69</v>
      </c>
    </row>
    <row r="65" spans="1:6" x14ac:dyDescent="0.25">
      <c r="A65" s="113">
        <v>6</v>
      </c>
      <c r="B65" s="113">
        <v>3</v>
      </c>
      <c r="C65" s="113" t="s">
        <v>225</v>
      </c>
      <c r="D65" s="113" t="str">
        <f t="shared" ref="D65:D96" si="2">_xlfn.CONCAT("p",TEXT(A65,"00"),"-",TEXT(B65,"0"),C65)</f>
        <v>p06-3M</v>
      </c>
      <c r="F65" s="113">
        <v>68</v>
      </c>
    </row>
    <row r="66" spans="1:6" x14ac:dyDescent="0.25">
      <c r="A66" s="113">
        <v>6</v>
      </c>
      <c r="B66" s="113">
        <v>3</v>
      </c>
      <c r="C66" s="113" t="s">
        <v>224</v>
      </c>
      <c r="D66" s="113" t="str">
        <f t="shared" si="2"/>
        <v>p06-3N</v>
      </c>
      <c r="F66" s="113">
        <v>67</v>
      </c>
    </row>
    <row r="67" spans="1:6" x14ac:dyDescent="0.25">
      <c r="A67" s="113">
        <v>6</v>
      </c>
      <c r="B67" s="113">
        <v>2</v>
      </c>
      <c r="C67" s="113" t="s">
        <v>226</v>
      </c>
      <c r="D67" s="113" t="str">
        <f t="shared" si="2"/>
        <v>p06-2S</v>
      </c>
      <c r="F67" s="113">
        <v>66</v>
      </c>
    </row>
    <row r="68" spans="1:6" x14ac:dyDescent="0.25">
      <c r="A68" s="113">
        <v>6</v>
      </c>
      <c r="B68" s="113">
        <v>2</v>
      </c>
      <c r="C68" s="113" t="s">
        <v>225</v>
      </c>
      <c r="D68" s="113" t="str">
        <f t="shared" si="2"/>
        <v>p06-2M</v>
      </c>
      <c r="F68" s="113">
        <v>65</v>
      </c>
    </row>
    <row r="69" spans="1:6" x14ac:dyDescent="0.25">
      <c r="A69" s="113">
        <v>6</v>
      </c>
      <c r="B69" s="113">
        <v>2</v>
      </c>
      <c r="C69" s="113" t="s">
        <v>224</v>
      </c>
      <c r="D69" s="113" t="str">
        <f t="shared" si="2"/>
        <v>p06-2N</v>
      </c>
      <c r="F69" s="113">
        <v>64</v>
      </c>
    </row>
    <row r="70" spans="1:6" x14ac:dyDescent="0.25">
      <c r="A70" s="113">
        <v>6</v>
      </c>
      <c r="B70" s="113">
        <v>1</v>
      </c>
      <c r="C70" s="113" t="s">
        <v>226</v>
      </c>
      <c r="D70" s="113" t="str">
        <f t="shared" si="2"/>
        <v>p06-1S</v>
      </c>
      <c r="F70" s="113">
        <v>63</v>
      </c>
    </row>
    <row r="71" spans="1:6" x14ac:dyDescent="0.25">
      <c r="A71" s="113">
        <v>6</v>
      </c>
      <c r="B71" s="113">
        <v>1</v>
      </c>
      <c r="C71" s="113" t="s">
        <v>225</v>
      </c>
      <c r="D71" s="113" t="str">
        <f t="shared" si="2"/>
        <v>p06-1M</v>
      </c>
      <c r="F71" s="113">
        <v>62</v>
      </c>
    </row>
    <row r="72" spans="1:6" x14ac:dyDescent="0.25">
      <c r="A72" s="113">
        <v>6</v>
      </c>
      <c r="B72" s="113">
        <v>1</v>
      </c>
      <c r="C72" s="113" t="s">
        <v>224</v>
      </c>
      <c r="D72" s="113" t="str">
        <f t="shared" si="2"/>
        <v>p06-1N</v>
      </c>
      <c r="F72" s="113">
        <v>61</v>
      </c>
    </row>
    <row r="73" spans="1:6" x14ac:dyDescent="0.25">
      <c r="A73" s="113">
        <v>7</v>
      </c>
      <c r="B73" s="113">
        <v>1</v>
      </c>
      <c r="C73" s="113" t="s">
        <v>224</v>
      </c>
      <c r="D73" s="113" t="str">
        <f t="shared" si="2"/>
        <v>p07-1N</v>
      </c>
      <c r="F73" s="113">
        <v>73</v>
      </c>
    </row>
    <row r="74" spans="1:6" x14ac:dyDescent="0.25">
      <c r="A74" s="113">
        <v>7</v>
      </c>
      <c r="B74" s="113">
        <v>1</v>
      </c>
      <c r="C74" s="113" t="s">
        <v>225</v>
      </c>
      <c r="D74" s="113" t="str">
        <f t="shared" si="2"/>
        <v>p07-1M</v>
      </c>
      <c r="F74" s="113">
        <v>74</v>
      </c>
    </row>
    <row r="75" spans="1:6" x14ac:dyDescent="0.25">
      <c r="A75" s="113">
        <v>7</v>
      </c>
      <c r="B75" s="113">
        <v>1</v>
      </c>
      <c r="C75" s="113" t="s">
        <v>226</v>
      </c>
      <c r="D75" s="113" t="str">
        <f t="shared" si="2"/>
        <v>p07-1S</v>
      </c>
      <c r="F75" s="113">
        <v>75</v>
      </c>
    </row>
    <row r="76" spans="1:6" x14ac:dyDescent="0.25">
      <c r="A76" s="113">
        <v>7</v>
      </c>
      <c r="B76" s="113">
        <v>2</v>
      </c>
      <c r="C76" s="113" t="s">
        <v>224</v>
      </c>
      <c r="D76" s="113" t="str">
        <f t="shared" si="2"/>
        <v>p07-2N</v>
      </c>
      <c r="F76" s="113">
        <v>76</v>
      </c>
    </row>
    <row r="77" spans="1:6" x14ac:dyDescent="0.25">
      <c r="A77" s="113">
        <v>7</v>
      </c>
      <c r="B77" s="113">
        <v>2</v>
      </c>
      <c r="C77" s="113" t="s">
        <v>225</v>
      </c>
      <c r="D77" s="113" t="str">
        <f t="shared" si="2"/>
        <v>p07-2M</v>
      </c>
      <c r="F77" s="113">
        <v>77</v>
      </c>
    </row>
    <row r="78" spans="1:6" x14ac:dyDescent="0.25">
      <c r="A78" s="113">
        <v>7</v>
      </c>
      <c r="B78" s="113">
        <v>2</v>
      </c>
      <c r="C78" s="113" t="s">
        <v>226</v>
      </c>
      <c r="D78" s="113" t="str">
        <f t="shared" si="2"/>
        <v>p07-2S</v>
      </c>
      <c r="F78" s="113">
        <v>78</v>
      </c>
    </row>
    <row r="79" spans="1:6" x14ac:dyDescent="0.25">
      <c r="A79" s="113">
        <v>7</v>
      </c>
      <c r="B79" s="113">
        <v>3</v>
      </c>
      <c r="C79" s="113" t="s">
        <v>224</v>
      </c>
      <c r="D79" s="113" t="str">
        <f t="shared" si="2"/>
        <v>p07-3N</v>
      </c>
      <c r="F79" s="113">
        <v>79</v>
      </c>
    </row>
    <row r="80" spans="1:6" x14ac:dyDescent="0.25">
      <c r="A80" s="113">
        <v>7</v>
      </c>
      <c r="B80" s="113">
        <v>3</v>
      </c>
      <c r="C80" s="113" t="s">
        <v>225</v>
      </c>
      <c r="D80" s="113" t="str">
        <f t="shared" si="2"/>
        <v>p07-3M</v>
      </c>
      <c r="F80" s="113">
        <v>80</v>
      </c>
    </row>
    <row r="81" spans="1:6" x14ac:dyDescent="0.25">
      <c r="A81" s="113">
        <v>7</v>
      </c>
      <c r="B81" s="113">
        <v>3</v>
      </c>
      <c r="C81" s="113" t="s">
        <v>226</v>
      </c>
      <c r="D81" s="113" t="str">
        <f t="shared" si="2"/>
        <v>p07-3S</v>
      </c>
      <c r="F81" s="113">
        <v>81</v>
      </c>
    </row>
    <row r="82" spans="1:6" x14ac:dyDescent="0.25">
      <c r="A82" s="113">
        <v>7</v>
      </c>
      <c r="B82" s="113">
        <v>4</v>
      </c>
      <c r="C82" s="113" t="s">
        <v>224</v>
      </c>
      <c r="D82" s="113" t="str">
        <f t="shared" si="2"/>
        <v>p07-4N</v>
      </c>
      <c r="F82" s="113">
        <v>82</v>
      </c>
    </row>
    <row r="83" spans="1:6" x14ac:dyDescent="0.25">
      <c r="A83" s="113">
        <v>7</v>
      </c>
      <c r="B83" s="113">
        <v>4</v>
      </c>
      <c r="C83" s="113" t="s">
        <v>225</v>
      </c>
      <c r="D83" s="113" t="str">
        <f t="shared" si="2"/>
        <v>p07-4M</v>
      </c>
      <c r="F83" s="113">
        <v>83</v>
      </c>
    </row>
    <row r="84" spans="1:6" x14ac:dyDescent="0.25">
      <c r="A84" s="113">
        <v>7</v>
      </c>
      <c r="B84" s="113">
        <v>4</v>
      </c>
      <c r="C84" s="113" t="s">
        <v>226</v>
      </c>
      <c r="D84" s="113" t="str">
        <f t="shared" si="2"/>
        <v>p07-4S</v>
      </c>
      <c r="F84" s="113">
        <v>84</v>
      </c>
    </row>
    <row r="85" spans="1:6" x14ac:dyDescent="0.25">
      <c r="A85" s="113">
        <v>8</v>
      </c>
      <c r="B85" s="113">
        <v>4</v>
      </c>
      <c r="C85" s="113" t="s">
        <v>226</v>
      </c>
      <c r="D85" s="113" t="str">
        <f t="shared" si="2"/>
        <v>p08-4S</v>
      </c>
      <c r="F85" s="113">
        <v>96</v>
      </c>
    </row>
    <row r="86" spans="1:6" x14ac:dyDescent="0.25">
      <c r="A86" s="113">
        <v>8</v>
      </c>
      <c r="B86" s="113">
        <v>4</v>
      </c>
      <c r="C86" s="113" t="s">
        <v>225</v>
      </c>
      <c r="D86" s="113" t="str">
        <f t="shared" si="2"/>
        <v>p08-4M</v>
      </c>
      <c r="F86" s="113">
        <v>95</v>
      </c>
    </row>
    <row r="87" spans="1:6" x14ac:dyDescent="0.25">
      <c r="A87" s="113">
        <v>8</v>
      </c>
      <c r="B87" s="113">
        <v>4</v>
      </c>
      <c r="C87" s="113" t="s">
        <v>224</v>
      </c>
      <c r="D87" s="113" t="str">
        <f t="shared" si="2"/>
        <v>p08-4N</v>
      </c>
      <c r="F87" s="113">
        <v>94</v>
      </c>
    </row>
    <row r="88" spans="1:6" x14ac:dyDescent="0.25">
      <c r="A88" s="113">
        <v>8</v>
      </c>
      <c r="B88" s="113">
        <v>3</v>
      </c>
      <c r="C88" s="113" t="s">
        <v>226</v>
      </c>
      <c r="D88" s="113" t="str">
        <f t="shared" si="2"/>
        <v>p08-3S</v>
      </c>
      <c r="F88" s="113">
        <v>93</v>
      </c>
    </row>
    <row r="89" spans="1:6" x14ac:dyDescent="0.25">
      <c r="A89" s="113">
        <v>8</v>
      </c>
      <c r="B89" s="113">
        <v>3</v>
      </c>
      <c r="C89" s="113" t="s">
        <v>225</v>
      </c>
      <c r="D89" s="113" t="str">
        <f t="shared" si="2"/>
        <v>p08-3M</v>
      </c>
      <c r="F89" s="113">
        <v>92</v>
      </c>
    </row>
    <row r="90" spans="1:6" x14ac:dyDescent="0.25">
      <c r="A90" s="113">
        <v>8</v>
      </c>
      <c r="B90" s="113">
        <v>3</v>
      </c>
      <c r="C90" s="113" t="s">
        <v>224</v>
      </c>
      <c r="D90" s="113" t="str">
        <f t="shared" si="2"/>
        <v>p08-3N</v>
      </c>
      <c r="F90" s="113">
        <v>91</v>
      </c>
    </row>
    <row r="91" spans="1:6" x14ac:dyDescent="0.25">
      <c r="A91" s="113">
        <v>8</v>
      </c>
      <c r="B91" s="113">
        <v>2</v>
      </c>
      <c r="C91" s="113" t="s">
        <v>226</v>
      </c>
      <c r="D91" s="113" t="str">
        <f t="shared" si="2"/>
        <v>p08-2S</v>
      </c>
      <c r="F91" s="113">
        <v>90</v>
      </c>
    </row>
    <row r="92" spans="1:6" x14ac:dyDescent="0.25">
      <c r="A92" s="113">
        <v>8</v>
      </c>
      <c r="B92" s="113">
        <v>2</v>
      </c>
      <c r="C92" s="113" t="s">
        <v>225</v>
      </c>
      <c r="D92" s="113" t="str">
        <f t="shared" si="2"/>
        <v>p08-2M</v>
      </c>
      <c r="F92" s="113">
        <v>89</v>
      </c>
    </row>
    <row r="93" spans="1:6" x14ac:dyDescent="0.25">
      <c r="A93" s="113">
        <v>8</v>
      </c>
      <c r="B93" s="113">
        <v>2</v>
      </c>
      <c r="C93" s="113" t="s">
        <v>224</v>
      </c>
      <c r="D93" s="113" t="str">
        <f t="shared" si="2"/>
        <v>p08-2N</v>
      </c>
      <c r="F93" s="113">
        <v>88</v>
      </c>
    </row>
    <row r="94" spans="1:6" x14ac:dyDescent="0.25">
      <c r="A94" s="113">
        <v>8</v>
      </c>
      <c r="B94" s="113">
        <v>1</v>
      </c>
      <c r="C94" s="113" t="s">
        <v>226</v>
      </c>
      <c r="D94" s="113" t="str">
        <f t="shared" si="2"/>
        <v>p08-1S</v>
      </c>
      <c r="F94" s="113">
        <v>87</v>
      </c>
    </row>
    <row r="95" spans="1:6" x14ac:dyDescent="0.25">
      <c r="A95" s="113">
        <v>8</v>
      </c>
      <c r="B95" s="113">
        <v>1</v>
      </c>
      <c r="C95" s="113" t="s">
        <v>225</v>
      </c>
      <c r="D95" s="113" t="str">
        <f t="shared" si="2"/>
        <v>p08-1M</v>
      </c>
      <c r="F95" s="113">
        <v>86</v>
      </c>
    </row>
    <row r="96" spans="1:6" x14ac:dyDescent="0.25">
      <c r="A96" s="113">
        <v>8</v>
      </c>
      <c r="B96" s="113">
        <v>1</v>
      </c>
      <c r="C96" s="113" t="s">
        <v>224</v>
      </c>
      <c r="D96" s="113" t="str">
        <f t="shared" si="2"/>
        <v>p08-1N</v>
      </c>
      <c r="F96" s="113">
        <v>85</v>
      </c>
    </row>
    <row r="97" spans="1:6" x14ac:dyDescent="0.25">
      <c r="A97" s="113">
        <v>9</v>
      </c>
      <c r="B97" s="113">
        <v>1</v>
      </c>
      <c r="C97" s="113" t="s">
        <v>224</v>
      </c>
      <c r="D97" s="113" t="str">
        <f t="shared" ref="D97:D128" si="3">_xlfn.CONCAT("p",TEXT(A97,"00"),"-",TEXT(B97,"0"),C97)</f>
        <v>p09-1N</v>
      </c>
      <c r="F97" s="113">
        <v>97</v>
      </c>
    </row>
    <row r="98" spans="1:6" x14ac:dyDescent="0.25">
      <c r="A98" s="113">
        <v>9</v>
      </c>
      <c r="B98" s="113">
        <v>1</v>
      </c>
      <c r="C98" s="113" t="s">
        <v>225</v>
      </c>
      <c r="D98" s="113" t="str">
        <f t="shared" si="3"/>
        <v>p09-1M</v>
      </c>
      <c r="F98" s="113">
        <v>98</v>
      </c>
    </row>
    <row r="99" spans="1:6" x14ac:dyDescent="0.25">
      <c r="A99" s="113">
        <v>9</v>
      </c>
      <c r="B99" s="113">
        <v>1</v>
      </c>
      <c r="C99" s="113" t="s">
        <v>226</v>
      </c>
      <c r="D99" s="113" t="str">
        <f t="shared" si="3"/>
        <v>p09-1S</v>
      </c>
      <c r="F99" s="113">
        <v>99</v>
      </c>
    </row>
    <row r="100" spans="1:6" x14ac:dyDescent="0.25">
      <c r="A100" s="113">
        <v>9</v>
      </c>
      <c r="B100" s="113">
        <v>2</v>
      </c>
      <c r="C100" s="113" t="s">
        <v>224</v>
      </c>
      <c r="D100" s="113" t="str">
        <f t="shared" si="3"/>
        <v>p09-2N</v>
      </c>
      <c r="F100" s="113">
        <v>100</v>
      </c>
    </row>
    <row r="101" spans="1:6" x14ac:dyDescent="0.25">
      <c r="A101" s="113">
        <v>9</v>
      </c>
      <c r="B101" s="113">
        <v>2</v>
      </c>
      <c r="C101" s="113" t="s">
        <v>225</v>
      </c>
      <c r="D101" s="113" t="str">
        <f t="shared" si="3"/>
        <v>p09-2M</v>
      </c>
      <c r="F101" s="113">
        <v>101</v>
      </c>
    </row>
    <row r="102" spans="1:6" x14ac:dyDescent="0.25">
      <c r="A102" s="113">
        <v>9</v>
      </c>
      <c r="B102" s="113">
        <v>2</v>
      </c>
      <c r="C102" s="113" t="s">
        <v>226</v>
      </c>
      <c r="D102" s="113" t="str">
        <f t="shared" si="3"/>
        <v>p09-2S</v>
      </c>
      <c r="F102" s="113">
        <v>102</v>
      </c>
    </row>
    <row r="103" spans="1:6" x14ac:dyDescent="0.25">
      <c r="A103" s="113">
        <v>9</v>
      </c>
      <c r="B103" s="113">
        <v>3</v>
      </c>
      <c r="C103" s="113" t="s">
        <v>224</v>
      </c>
      <c r="D103" s="113" t="str">
        <f t="shared" si="3"/>
        <v>p09-3N</v>
      </c>
      <c r="F103" s="113">
        <v>103</v>
      </c>
    </row>
    <row r="104" spans="1:6" x14ac:dyDescent="0.25">
      <c r="A104" s="113">
        <v>9</v>
      </c>
      <c r="B104" s="113">
        <v>3</v>
      </c>
      <c r="C104" s="113" t="s">
        <v>225</v>
      </c>
      <c r="D104" s="113" t="str">
        <f t="shared" si="3"/>
        <v>p09-3M</v>
      </c>
      <c r="F104" s="113">
        <v>104</v>
      </c>
    </row>
    <row r="105" spans="1:6" x14ac:dyDescent="0.25">
      <c r="A105" s="113">
        <v>9</v>
      </c>
      <c r="B105" s="113">
        <v>3</v>
      </c>
      <c r="C105" s="113" t="s">
        <v>226</v>
      </c>
      <c r="D105" s="113" t="str">
        <f t="shared" si="3"/>
        <v>p09-3S</v>
      </c>
      <c r="F105" s="113">
        <v>105</v>
      </c>
    </row>
    <row r="106" spans="1:6" x14ac:dyDescent="0.25">
      <c r="A106" s="113">
        <v>9</v>
      </c>
      <c r="B106" s="113">
        <v>4</v>
      </c>
      <c r="C106" s="113" t="s">
        <v>224</v>
      </c>
      <c r="D106" s="113" t="str">
        <f t="shared" si="3"/>
        <v>p09-4N</v>
      </c>
      <c r="F106" s="113">
        <v>106</v>
      </c>
    </row>
    <row r="107" spans="1:6" x14ac:dyDescent="0.25">
      <c r="A107" s="113">
        <v>9</v>
      </c>
      <c r="B107" s="113">
        <v>4</v>
      </c>
      <c r="C107" s="113" t="s">
        <v>225</v>
      </c>
      <c r="D107" s="113" t="str">
        <f t="shared" si="3"/>
        <v>p09-4M</v>
      </c>
      <c r="F107" s="113">
        <v>107</v>
      </c>
    </row>
    <row r="108" spans="1:6" x14ac:dyDescent="0.25">
      <c r="A108" s="113">
        <v>9</v>
      </c>
      <c r="B108" s="113">
        <v>4</v>
      </c>
      <c r="C108" s="113" t="s">
        <v>226</v>
      </c>
      <c r="D108" s="113" t="str">
        <f t="shared" si="3"/>
        <v>p09-4S</v>
      </c>
      <c r="F108" s="113">
        <v>108</v>
      </c>
    </row>
    <row r="109" spans="1:6" x14ac:dyDescent="0.25">
      <c r="A109" s="113">
        <v>10</v>
      </c>
      <c r="B109" s="113">
        <v>4</v>
      </c>
      <c r="C109" s="113" t="s">
        <v>226</v>
      </c>
      <c r="D109" s="113" t="str">
        <f t="shared" si="3"/>
        <v>p10-4S</v>
      </c>
      <c r="F109" s="113">
        <v>120</v>
      </c>
    </row>
    <row r="110" spans="1:6" x14ac:dyDescent="0.25">
      <c r="A110" s="113">
        <v>10</v>
      </c>
      <c r="B110" s="113">
        <v>4</v>
      </c>
      <c r="C110" s="113" t="s">
        <v>225</v>
      </c>
      <c r="D110" s="113" t="str">
        <f t="shared" si="3"/>
        <v>p10-4M</v>
      </c>
      <c r="F110" s="113">
        <v>119</v>
      </c>
    </row>
    <row r="111" spans="1:6" x14ac:dyDescent="0.25">
      <c r="A111" s="113">
        <v>10</v>
      </c>
      <c r="B111" s="113">
        <v>4</v>
      </c>
      <c r="C111" s="113" t="s">
        <v>224</v>
      </c>
      <c r="D111" s="113" t="str">
        <f t="shared" si="3"/>
        <v>p10-4N</v>
      </c>
      <c r="F111" s="113">
        <v>118</v>
      </c>
    </row>
    <row r="112" spans="1:6" x14ac:dyDescent="0.25">
      <c r="A112" s="113">
        <v>10</v>
      </c>
      <c r="B112" s="113">
        <v>3</v>
      </c>
      <c r="C112" s="113" t="s">
        <v>226</v>
      </c>
      <c r="D112" s="113" t="str">
        <f t="shared" si="3"/>
        <v>p10-3S</v>
      </c>
      <c r="F112" s="113">
        <v>117</v>
      </c>
    </row>
    <row r="113" spans="1:6" x14ac:dyDescent="0.25">
      <c r="A113" s="113">
        <v>10</v>
      </c>
      <c r="B113" s="113">
        <v>3</v>
      </c>
      <c r="C113" s="113" t="s">
        <v>225</v>
      </c>
      <c r="D113" s="113" t="str">
        <f t="shared" si="3"/>
        <v>p10-3M</v>
      </c>
      <c r="F113" s="113">
        <v>116</v>
      </c>
    </row>
    <row r="114" spans="1:6" x14ac:dyDescent="0.25">
      <c r="A114" s="113">
        <v>10</v>
      </c>
      <c r="B114" s="113">
        <v>3</v>
      </c>
      <c r="C114" s="113" t="s">
        <v>224</v>
      </c>
      <c r="D114" s="113" t="str">
        <f t="shared" si="3"/>
        <v>p10-3N</v>
      </c>
      <c r="F114" s="113">
        <v>115</v>
      </c>
    </row>
    <row r="115" spans="1:6" x14ac:dyDescent="0.25">
      <c r="A115" s="113">
        <v>10</v>
      </c>
      <c r="B115" s="113">
        <v>2</v>
      </c>
      <c r="C115" s="113" t="s">
        <v>226</v>
      </c>
      <c r="D115" s="113" t="str">
        <f t="shared" si="3"/>
        <v>p10-2S</v>
      </c>
      <c r="F115" s="113">
        <v>114</v>
      </c>
    </row>
    <row r="116" spans="1:6" x14ac:dyDescent="0.25">
      <c r="A116" s="113">
        <v>10</v>
      </c>
      <c r="B116" s="113">
        <v>2</v>
      </c>
      <c r="C116" s="113" t="s">
        <v>225</v>
      </c>
      <c r="D116" s="113" t="str">
        <f t="shared" si="3"/>
        <v>p10-2M</v>
      </c>
      <c r="F116" s="113">
        <v>113</v>
      </c>
    </row>
    <row r="117" spans="1:6" x14ac:dyDescent="0.25">
      <c r="A117" s="113">
        <v>10</v>
      </c>
      <c r="B117" s="113">
        <v>2</v>
      </c>
      <c r="C117" s="113" t="s">
        <v>224</v>
      </c>
      <c r="D117" s="113" t="str">
        <f t="shared" si="3"/>
        <v>p10-2N</v>
      </c>
      <c r="F117" s="113">
        <v>112</v>
      </c>
    </row>
    <row r="118" spans="1:6" x14ac:dyDescent="0.25">
      <c r="A118" s="113">
        <v>10</v>
      </c>
      <c r="B118" s="113">
        <v>1</v>
      </c>
      <c r="C118" s="113" t="s">
        <v>226</v>
      </c>
      <c r="D118" s="113" t="str">
        <f t="shared" si="3"/>
        <v>p10-1S</v>
      </c>
      <c r="F118" s="113">
        <v>111</v>
      </c>
    </row>
    <row r="119" spans="1:6" x14ac:dyDescent="0.25">
      <c r="A119" s="113">
        <v>10</v>
      </c>
      <c r="B119" s="113">
        <v>1</v>
      </c>
      <c r="C119" s="113" t="s">
        <v>225</v>
      </c>
      <c r="D119" s="113" t="str">
        <f t="shared" si="3"/>
        <v>p10-1M</v>
      </c>
      <c r="F119" s="113">
        <v>110</v>
      </c>
    </row>
    <row r="120" spans="1:6" x14ac:dyDescent="0.25">
      <c r="A120" s="113">
        <v>10</v>
      </c>
      <c r="B120" s="113">
        <v>1</v>
      </c>
      <c r="C120" s="113" t="s">
        <v>224</v>
      </c>
      <c r="D120" s="113" t="str">
        <f t="shared" si="3"/>
        <v>p10-1N</v>
      </c>
      <c r="F120" s="113">
        <v>109</v>
      </c>
    </row>
    <row r="121" spans="1:6" x14ac:dyDescent="0.25">
      <c r="A121" s="113">
        <v>11</v>
      </c>
      <c r="B121" s="113">
        <v>1</v>
      </c>
      <c r="C121" s="113" t="s">
        <v>224</v>
      </c>
      <c r="D121" s="113" t="str">
        <f t="shared" si="3"/>
        <v>p11-1N</v>
      </c>
      <c r="F121" s="113">
        <v>121</v>
      </c>
    </row>
    <row r="122" spans="1:6" x14ac:dyDescent="0.25">
      <c r="A122" s="113">
        <v>11</v>
      </c>
      <c r="B122" s="113">
        <v>1</v>
      </c>
      <c r="C122" s="113" t="s">
        <v>225</v>
      </c>
      <c r="D122" s="113" t="str">
        <f t="shared" si="3"/>
        <v>p11-1M</v>
      </c>
      <c r="F122" s="113">
        <v>122</v>
      </c>
    </row>
    <row r="123" spans="1:6" x14ac:dyDescent="0.25">
      <c r="A123" s="113">
        <v>11</v>
      </c>
      <c r="B123" s="113">
        <v>1</v>
      </c>
      <c r="C123" s="113" t="s">
        <v>226</v>
      </c>
      <c r="D123" s="113" t="str">
        <f t="shared" si="3"/>
        <v>p11-1S</v>
      </c>
      <c r="F123" s="113">
        <v>123</v>
      </c>
    </row>
    <row r="124" spans="1:6" x14ac:dyDescent="0.25">
      <c r="A124" s="113">
        <v>11</v>
      </c>
      <c r="B124" s="113">
        <v>2</v>
      </c>
      <c r="C124" s="113" t="s">
        <v>224</v>
      </c>
      <c r="D124" s="113" t="str">
        <f t="shared" si="3"/>
        <v>p11-2N</v>
      </c>
      <c r="F124" s="113">
        <v>124</v>
      </c>
    </row>
    <row r="125" spans="1:6" x14ac:dyDescent="0.25">
      <c r="A125" s="113">
        <v>11</v>
      </c>
      <c r="B125" s="113">
        <v>2</v>
      </c>
      <c r="C125" s="113" t="s">
        <v>225</v>
      </c>
      <c r="D125" s="113" t="str">
        <f t="shared" si="3"/>
        <v>p11-2M</v>
      </c>
      <c r="F125" s="113">
        <v>125</v>
      </c>
    </row>
    <row r="126" spans="1:6" x14ac:dyDescent="0.25">
      <c r="A126" s="113">
        <v>11</v>
      </c>
      <c r="B126" s="113">
        <v>2</v>
      </c>
      <c r="C126" s="113" t="s">
        <v>226</v>
      </c>
      <c r="D126" s="113" t="str">
        <f t="shared" si="3"/>
        <v>p11-2S</v>
      </c>
      <c r="F126" s="113">
        <v>126</v>
      </c>
    </row>
    <row r="127" spans="1:6" x14ac:dyDescent="0.25">
      <c r="A127" s="113">
        <v>11</v>
      </c>
      <c r="B127" s="113">
        <v>3</v>
      </c>
      <c r="C127" s="113" t="s">
        <v>224</v>
      </c>
      <c r="D127" s="113" t="str">
        <f t="shared" si="3"/>
        <v>p11-3N</v>
      </c>
      <c r="F127" s="113">
        <v>127</v>
      </c>
    </row>
    <row r="128" spans="1:6" x14ac:dyDescent="0.25">
      <c r="A128" s="113">
        <v>11</v>
      </c>
      <c r="B128" s="113">
        <v>3</v>
      </c>
      <c r="C128" s="113" t="s">
        <v>225</v>
      </c>
      <c r="D128" s="113" t="str">
        <f t="shared" si="3"/>
        <v>p11-3M</v>
      </c>
      <c r="F128" s="113">
        <v>128</v>
      </c>
    </row>
    <row r="129" spans="1:6" x14ac:dyDescent="0.25">
      <c r="A129" s="113">
        <v>11</v>
      </c>
      <c r="B129" s="113">
        <v>3</v>
      </c>
      <c r="C129" s="113" t="s">
        <v>226</v>
      </c>
      <c r="D129" s="113" t="str">
        <f t="shared" ref="D129:D144" si="4">_xlfn.CONCAT("p",TEXT(A129,"00"),"-",TEXT(B129,"0"),C129)</f>
        <v>p11-3S</v>
      </c>
      <c r="F129" s="113">
        <v>129</v>
      </c>
    </row>
    <row r="130" spans="1:6" x14ac:dyDescent="0.25">
      <c r="A130" s="113">
        <v>11</v>
      </c>
      <c r="B130" s="113">
        <v>4</v>
      </c>
      <c r="C130" s="113" t="s">
        <v>224</v>
      </c>
      <c r="D130" s="113" t="str">
        <f t="shared" si="4"/>
        <v>p11-4N</v>
      </c>
      <c r="F130" s="113">
        <v>130</v>
      </c>
    </row>
    <row r="131" spans="1:6" x14ac:dyDescent="0.25">
      <c r="A131" s="113">
        <v>11</v>
      </c>
      <c r="B131" s="113">
        <v>4</v>
      </c>
      <c r="C131" s="113" t="s">
        <v>225</v>
      </c>
      <c r="D131" s="113" t="str">
        <f t="shared" si="4"/>
        <v>p11-4M</v>
      </c>
      <c r="F131" s="113">
        <v>131</v>
      </c>
    </row>
    <row r="132" spans="1:6" x14ac:dyDescent="0.25">
      <c r="A132" s="113">
        <v>11</v>
      </c>
      <c r="B132" s="113">
        <v>4</v>
      </c>
      <c r="C132" s="113" t="s">
        <v>226</v>
      </c>
      <c r="D132" s="113" t="str">
        <f t="shared" si="4"/>
        <v>p11-4S</v>
      </c>
      <c r="F132" s="113">
        <v>132</v>
      </c>
    </row>
    <row r="133" spans="1:6" x14ac:dyDescent="0.25">
      <c r="A133" s="113">
        <v>12</v>
      </c>
      <c r="B133" s="113">
        <v>4</v>
      </c>
      <c r="C133" s="113" t="s">
        <v>226</v>
      </c>
      <c r="D133" s="113" t="str">
        <f t="shared" si="4"/>
        <v>p12-4S</v>
      </c>
      <c r="F133" s="113">
        <v>144</v>
      </c>
    </row>
    <row r="134" spans="1:6" x14ac:dyDescent="0.25">
      <c r="A134" s="113">
        <v>12</v>
      </c>
      <c r="B134" s="113">
        <v>4</v>
      </c>
      <c r="C134" s="113" t="s">
        <v>225</v>
      </c>
      <c r="D134" s="113" t="str">
        <f t="shared" si="4"/>
        <v>p12-4M</v>
      </c>
      <c r="F134" s="113">
        <v>143</v>
      </c>
    </row>
    <row r="135" spans="1:6" x14ac:dyDescent="0.25">
      <c r="A135" s="113">
        <v>12</v>
      </c>
      <c r="B135" s="113">
        <v>4</v>
      </c>
      <c r="C135" s="113" t="s">
        <v>224</v>
      </c>
      <c r="D135" s="113" t="str">
        <f t="shared" si="4"/>
        <v>p12-4N</v>
      </c>
      <c r="F135" s="113">
        <v>142</v>
      </c>
    </row>
    <row r="136" spans="1:6" x14ac:dyDescent="0.25">
      <c r="A136" s="113">
        <v>12</v>
      </c>
      <c r="B136" s="113">
        <v>3</v>
      </c>
      <c r="C136" s="113" t="s">
        <v>226</v>
      </c>
      <c r="D136" s="113" t="str">
        <f t="shared" si="4"/>
        <v>p12-3S</v>
      </c>
      <c r="F136" s="113">
        <v>141</v>
      </c>
    </row>
    <row r="137" spans="1:6" x14ac:dyDescent="0.25">
      <c r="A137" s="113">
        <v>12</v>
      </c>
      <c r="B137" s="113">
        <v>3</v>
      </c>
      <c r="C137" s="113" t="s">
        <v>225</v>
      </c>
      <c r="D137" s="113" t="str">
        <f t="shared" si="4"/>
        <v>p12-3M</v>
      </c>
      <c r="F137" s="113">
        <v>140</v>
      </c>
    </row>
    <row r="138" spans="1:6" x14ac:dyDescent="0.25">
      <c r="A138" s="113">
        <v>12</v>
      </c>
      <c r="B138" s="113">
        <v>3</v>
      </c>
      <c r="C138" s="113" t="s">
        <v>224</v>
      </c>
      <c r="D138" s="113" t="str">
        <f t="shared" si="4"/>
        <v>p12-3N</v>
      </c>
      <c r="F138" s="113">
        <v>139</v>
      </c>
    </row>
    <row r="139" spans="1:6" x14ac:dyDescent="0.25">
      <c r="A139" s="113">
        <v>12</v>
      </c>
      <c r="B139" s="113">
        <v>2</v>
      </c>
      <c r="C139" s="113" t="s">
        <v>226</v>
      </c>
      <c r="D139" s="113" t="str">
        <f t="shared" si="4"/>
        <v>p12-2S</v>
      </c>
      <c r="F139" s="113">
        <v>138</v>
      </c>
    </row>
    <row r="140" spans="1:6" x14ac:dyDescent="0.25">
      <c r="A140" s="113">
        <v>12</v>
      </c>
      <c r="B140" s="113">
        <v>2</v>
      </c>
      <c r="C140" s="113" t="s">
        <v>225</v>
      </c>
      <c r="D140" s="113" t="str">
        <f t="shared" si="4"/>
        <v>p12-2M</v>
      </c>
      <c r="F140" s="113">
        <v>137</v>
      </c>
    </row>
    <row r="141" spans="1:6" x14ac:dyDescent="0.25">
      <c r="A141" s="113">
        <v>12</v>
      </c>
      <c r="B141" s="113">
        <v>2</v>
      </c>
      <c r="C141" s="113" t="s">
        <v>224</v>
      </c>
      <c r="D141" s="113" t="str">
        <f t="shared" si="4"/>
        <v>p12-2N</v>
      </c>
      <c r="F141" s="113">
        <v>136</v>
      </c>
    </row>
    <row r="142" spans="1:6" x14ac:dyDescent="0.25">
      <c r="A142" s="113">
        <v>12</v>
      </c>
      <c r="B142" s="113">
        <v>1</v>
      </c>
      <c r="C142" s="113" t="s">
        <v>226</v>
      </c>
      <c r="D142" s="113" t="str">
        <f t="shared" si="4"/>
        <v>p12-1S</v>
      </c>
      <c r="F142" s="113">
        <v>135</v>
      </c>
    </row>
    <row r="143" spans="1:6" x14ac:dyDescent="0.25">
      <c r="A143" s="113">
        <v>12</v>
      </c>
      <c r="B143" s="113">
        <v>1</v>
      </c>
      <c r="C143" s="113" t="s">
        <v>225</v>
      </c>
      <c r="D143" s="113" t="str">
        <f t="shared" si="4"/>
        <v>p12-1M</v>
      </c>
      <c r="F143" s="113">
        <v>134</v>
      </c>
    </row>
    <row r="144" spans="1:6" x14ac:dyDescent="0.25">
      <c r="A144" s="113">
        <v>12</v>
      </c>
      <c r="B144" s="113">
        <v>1</v>
      </c>
      <c r="C144" s="113" t="s">
        <v>224</v>
      </c>
      <c r="D144" s="113" t="str">
        <f t="shared" si="4"/>
        <v>p12-1N</v>
      </c>
      <c r="F144" s="113">
        <v>133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2"/>
  <sheetViews>
    <sheetView zoomScale="130" zoomScaleNormal="130" zoomScaleSheetLayoutView="55" workbookViewId="0">
      <selection activeCell="A6" sqref="A6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0" ht="15.75" x14ac:dyDescent="0.25">
      <c r="A1" s="6">
        <v>2022</v>
      </c>
      <c r="B1" s="8" t="s">
        <v>24</v>
      </c>
      <c r="E1" s="4" t="s">
        <v>8</v>
      </c>
      <c r="F1" s="18"/>
      <c r="I1" s="2" t="s">
        <v>17</v>
      </c>
      <c r="J1" s="18"/>
    </row>
    <row r="2" spans="1:10" ht="14.45" customHeight="1" x14ac:dyDescent="0.25">
      <c r="A2" s="6"/>
      <c r="B2" s="63" t="s">
        <v>6</v>
      </c>
      <c r="C2" s="8"/>
      <c r="D2" s="8"/>
      <c r="F2" s="4" t="s">
        <v>14</v>
      </c>
      <c r="G2" s="19"/>
      <c r="H2" s="18"/>
      <c r="I2" s="19"/>
    </row>
    <row r="3" spans="1:10" x14ac:dyDescent="0.2">
      <c r="A3" s="5" t="s">
        <v>9</v>
      </c>
      <c r="F3" s="4" t="s">
        <v>13</v>
      </c>
      <c r="G3" s="19"/>
      <c r="H3" s="19"/>
      <c r="I3" s="19"/>
    </row>
    <row r="4" spans="1:10" ht="7.9" customHeight="1" x14ac:dyDescent="0.2">
      <c r="B4" s="5"/>
    </row>
    <row r="5" spans="1:10" x14ac:dyDescent="0.2">
      <c r="B5" s="2" t="s">
        <v>49</v>
      </c>
    </row>
    <row r="6" spans="1:10" x14ac:dyDescent="0.2">
      <c r="B6" s="2" t="s">
        <v>50</v>
      </c>
    </row>
    <row r="7" spans="1:10" ht="22.15" customHeight="1" x14ac:dyDescent="0.2">
      <c r="B7" s="115" t="s">
        <v>32</v>
      </c>
      <c r="C7" s="116"/>
      <c r="D7" s="116"/>
      <c r="E7" s="116"/>
      <c r="F7" s="116"/>
      <c r="G7" s="116"/>
      <c r="H7" s="116"/>
    </row>
    <row r="8" spans="1:10" ht="24" customHeight="1" thickBot="1" x14ac:dyDescent="0.25">
      <c r="B8" s="117" t="s">
        <v>7</v>
      </c>
      <c r="C8" s="117"/>
      <c r="D8" s="17" t="s">
        <v>12</v>
      </c>
      <c r="E8" s="20" t="s">
        <v>15</v>
      </c>
      <c r="F8" s="20" t="s">
        <v>16</v>
      </c>
      <c r="G8" s="17" t="s">
        <v>29</v>
      </c>
      <c r="H8" s="17" t="s">
        <v>29</v>
      </c>
      <c r="I8" s="17" t="s">
        <v>29</v>
      </c>
      <c r="J8" s="17"/>
    </row>
    <row r="9" spans="1:10" ht="34.9" customHeight="1" x14ac:dyDescent="0.2">
      <c r="A9" s="61"/>
      <c r="B9" s="59" t="s">
        <v>0</v>
      </c>
      <c r="C9" s="60">
        <v>1</v>
      </c>
      <c r="D9" s="12" t="s">
        <v>10</v>
      </c>
      <c r="E9" s="9"/>
      <c r="F9" s="76"/>
      <c r="G9" s="22"/>
      <c r="H9" s="9"/>
      <c r="I9" s="9"/>
    </row>
    <row r="10" spans="1:10" ht="34.9" customHeight="1" x14ac:dyDescent="0.2">
      <c r="B10" s="56"/>
      <c r="C10" s="57"/>
      <c r="D10" s="58" t="s">
        <v>33</v>
      </c>
      <c r="E10" s="49"/>
      <c r="F10" s="77"/>
      <c r="G10" s="82"/>
      <c r="H10" s="49"/>
      <c r="I10" s="49"/>
    </row>
    <row r="11" spans="1:10" ht="34.9" customHeight="1" thickBot="1" x14ac:dyDescent="0.25">
      <c r="B11" s="13"/>
      <c r="C11" s="15"/>
      <c r="D11" s="16" t="s">
        <v>11</v>
      </c>
      <c r="E11" s="10"/>
      <c r="F11" s="78"/>
      <c r="G11" s="23"/>
      <c r="H11" s="10"/>
      <c r="I11" s="10"/>
    </row>
    <row r="12" spans="1:10" ht="34.9" customHeight="1" x14ac:dyDescent="0.2">
      <c r="B12" s="59" t="s">
        <v>0</v>
      </c>
      <c r="C12" s="60">
        <v>2</v>
      </c>
      <c r="D12" s="12" t="s">
        <v>10</v>
      </c>
      <c r="E12" s="9"/>
      <c r="F12" s="76"/>
      <c r="G12" s="22"/>
      <c r="H12" s="9"/>
      <c r="I12" s="9"/>
    </row>
    <row r="13" spans="1:10" ht="34.9" customHeight="1" x14ac:dyDescent="0.2">
      <c r="B13" s="56"/>
      <c r="C13" s="57"/>
      <c r="D13" s="58" t="s">
        <v>33</v>
      </c>
      <c r="E13" s="49"/>
      <c r="F13" s="77"/>
      <c r="G13" s="82"/>
      <c r="H13" s="49"/>
      <c r="I13" s="49"/>
    </row>
    <row r="14" spans="1:10" ht="34.9" customHeight="1" thickBot="1" x14ac:dyDescent="0.25">
      <c r="B14" s="13"/>
      <c r="C14" s="15"/>
      <c r="D14" s="16" t="s">
        <v>11</v>
      </c>
      <c r="E14" s="10"/>
      <c r="F14" s="78"/>
      <c r="G14" s="23"/>
      <c r="H14" s="10"/>
      <c r="I14" s="10"/>
    </row>
    <row r="15" spans="1:10" ht="34.9" customHeight="1" x14ac:dyDescent="0.2">
      <c r="B15" s="59" t="s">
        <v>0</v>
      </c>
      <c r="C15" s="60">
        <v>3</v>
      </c>
      <c r="D15" s="12" t="s">
        <v>10</v>
      </c>
      <c r="E15" s="9"/>
      <c r="F15" s="76"/>
      <c r="G15" s="22"/>
      <c r="H15" s="9"/>
      <c r="I15" s="9"/>
    </row>
    <row r="16" spans="1:10" ht="34.9" customHeight="1" x14ac:dyDescent="0.2">
      <c r="B16" s="56"/>
      <c r="C16" s="57"/>
      <c r="D16" s="58" t="s">
        <v>33</v>
      </c>
      <c r="E16" s="49"/>
      <c r="F16" s="77"/>
      <c r="G16" s="82"/>
      <c r="H16" s="49"/>
      <c r="I16" s="49"/>
    </row>
    <row r="17" spans="1:9" ht="34.9" customHeight="1" thickBot="1" x14ac:dyDescent="0.25">
      <c r="B17" s="13"/>
      <c r="C17" s="15"/>
      <c r="D17" s="16" t="s">
        <v>11</v>
      </c>
      <c r="E17" s="10"/>
      <c r="F17" s="78"/>
      <c r="G17" s="23"/>
      <c r="H17" s="10"/>
      <c r="I17" s="10"/>
    </row>
    <row r="18" spans="1:9" ht="34.9" customHeight="1" x14ac:dyDescent="0.2">
      <c r="B18" s="59" t="s">
        <v>0</v>
      </c>
      <c r="C18" s="60">
        <v>4</v>
      </c>
      <c r="D18" s="12" t="s">
        <v>10</v>
      </c>
      <c r="E18" s="9"/>
      <c r="F18" s="76"/>
      <c r="G18" s="22"/>
      <c r="H18" s="9"/>
      <c r="I18" s="9"/>
    </row>
    <row r="19" spans="1:9" ht="34.9" customHeight="1" x14ac:dyDescent="0.2">
      <c r="B19" s="56"/>
      <c r="C19" s="57"/>
      <c r="D19" s="58" t="s">
        <v>33</v>
      </c>
      <c r="E19" s="49"/>
      <c r="F19" s="77"/>
      <c r="G19" s="82"/>
      <c r="H19" s="49"/>
      <c r="I19" s="49"/>
    </row>
    <row r="20" spans="1:9" ht="34.9" customHeight="1" thickBot="1" x14ac:dyDescent="0.25">
      <c r="B20" s="13"/>
      <c r="C20" s="15"/>
      <c r="D20" s="16" t="s">
        <v>11</v>
      </c>
      <c r="E20" s="10"/>
      <c r="F20" s="78"/>
      <c r="G20" s="23"/>
      <c r="H20" s="10"/>
      <c r="I20" s="10"/>
    </row>
    <row r="21" spans="1:9" ht="34.9" customHeight="1" x14ac:dyDescent="0.2">
      <c r="A21" s="61"/>
      <c r="B21" s="59" t="s">
        <v>1</v>
      </c>
      <c r="C21" s="60">
        <v>4</v>
      </c>
      <c r="D21" s="12" t="s">
        <v>11</v>
      </c>
      <c r="E21" s="9"/>
      <c r="F21" s="76"/>
      <c r="G21" s="22"/>
      <c r="H21" s="9"/>
      <c r="I21" s="9"/>
    </row>
    <row r="22" spans="1:9" ht="34.9" customHeight="1" x14ac:dyDescent="0.2">
      <c r="B22" s="56"/>
      <c r="C22" s="57"/>
      <c r="D22" s="58" t="s">
        <v>33</v>
      </c>
      <c r="E22" s="49"/>
      <c r="F22" s="77"/>
      <c r="G22" s="82"/>
      <c r="H22" s="49"/>
      <c r="I22" s="49"/>
    </row>
    <row r="23" spans="1:9" ht="34.9" customHeight="1" thickBot="1" x14ac:dyDescent="0.25">
      <c r="B23" s="13"/>
      <c r="C23" s="15"/>
      <c r="D23" s="16" t="s">
        <v>10</v>
      </c>
      <c r="E23" s="10"/>
      <c r="F23" s="78"/>
      <c r="G23" s="23"/>
      <c r="H23" s="10"/>
      <c r="I23" s="10"/>
    </row>
    <row r="24" spans="1:9" ht="34.9" customHeight="1" x14ac:dyDescent="0.2">
      <c r="B24" s="59" t="s">
        <v>1</v>
      </c>
      <c r="C24" s="60">
        <v>3</v>
      </c>
      <c r="D24" s="12" t="s">
        <v>11</v>
      </c>
      <c r="E24" s="9"/>
      <c r="F24" s="76"/>
      <c r="G24" s="22"/>
      <c r="H24" s="9"/>
      <c r="I24" s="9"/>
    </row>
    <row r="25" spans="1:9" ht="34.9" customHeight="1" x14ac:dyDescent="0.2">
      <c r="B25" s="56"/>
      <c r="C25" s="57"/>
      <c r="D25" s="58" t="s">
        <v>33</v>
      </c>
      <c r="E25" s="49"/>
      <c r="F25" s="77"/>
      <c r="G25" s="82"/>
      <c r="H25" s="49"/>
      <c r="I25" s="49"/>
    </row>
    <row r="26" spans="1:9" ht="34.9" customHeight="1" thickBot="1" x14ac:dyDescent="0.25">
      <c r="B26" s="13"/>
      <c r="C26" s="15"/>
      <c r="D26" s="16" t="s">
        <v>10</v>
      </c>
      <c r="E26" s="10"/>
      <c r="F26" s="78"/>
      <c r="G26" s="23"/>
      <c r="H26" s="10"/>
      <c r="I26" s="10"/>
    </row>
    <row r="27" spans="1:9" ht="34.9" customHeight="1" x14ac:dyDescent="0.2">
      <c r="B27" s="59" t="s">
        <v>1</v>
      </c>
      <c r="C27" s="60">
        <v>2</v>
      </c>
      <c r="D27" s="12" t="s">
        <v>11</v>
      </c>
      <c r="E27" s="9"/>
      <c r="F27" s="76"/>
      <c r="G27" s="22"/>
      <c r="H27" s="9"/>
      <c r="I27" s="9"/>
    </row>
    <row r="28" spans="1:9" ht="34.9" customHeight="1" x14ac:dyDescent="0.2">
      <c r="B28" s="56"/>
      <c r="C28" s="57"/>
      <c r="D28" s="58" t="s">
        <v>33</v>
      </c>
      <c r="E28" s="49"/>
      <c r="F28" s="77"/>
      <c r="G28" s="82"/>
      <c r="H28" s="49"/>
      <c r="I28" s="49"/>
    </row>
    <row r="29" spans="1:9" ht="34.9" customHeight="1" thickBot="1" x14ac:dyDescent="0.25">
      <c r="B29" s="13"/>
      <c r="C29" s="15"/>
      <c r="D29" s="16" t="s">
        <v>10</v>
      </c>
      <c r="E29" s="10"/>
      <c r="F29" s="78"/>
      <c r="G29" s="23"/>
      <c r="H29" s="10"/>
      <c r="I29" s="10"/>
    </row>
    <row r="30" spans="1:9" ht="34.9" customHeight="1" x14ac:dyDescent="0.2">
      <c r="B30" s="59" t="s">
        <v>1</v>
      </c>
      <c r="C30" s="60">
        <v>1</v>
      </c>
      <c r="D30" s="12" t="s">
        <v>11</v>
      </c>
      <c r="E30" s="9"/>
      <c r="F30" s="76"/>
      <c r="G30" s="22"/>
      <c r="H30" s="9"/>
      <c r="I30" s="9"/>
    </row>
    <row r="31" spans="1:9" ht="34.9" customHeight="1" x14ac:dyDescent="0.2">
      <c r="B31" s="56"/>
      <c r="C31" s="57"/>
      <c r="D31" s="58" t="s">
        <v>33</v>
      </c>
      <c r="E31" s="49"/>
      <c r="F31" s="77"/>
      <c r="G31" s="82"/>
      <c r="H31" s="49"/>
      <c r="I31" s="49"/>
    </row>
    <row r="32" spans="1:9" ht="34.9" customHeight="1" thickBot="1" x14ac:dyDescent="0.25">
      <c r="B32" s="13"/>
      <c r="C32" s="15"/>
      <c r="D32" s="16" t="s">
        <v>10</v>
      </c>
      <c r="E32" s="10"/>
      <c r="F32" s="78"/>
      <c r="G32" s="23"/>
      <c r="H32" s="10"/>
      <c r="I32" s="10"/>
    </row>
    <row r="33" spans="1:9" ht="34.9" customHeight="1" x14ac:dyDescent="0.2">
      <c r="A33" s="61"/>
      <c r="B33" s="59" t="s">
        <v>2</v>
      </c>
      <c r="C33" s="60">
        <v>1</v>
      </c>
      <c r="D33" s="12" t="s">
        <v>10</v>
      </c>
      <c r="E33" s="9"/>
      <c r="F33" s="76"/>
      <c r="G33" s="22"/>
      <c r="H33" s="9"/>
      <c r="I33" s="9"/>
    </row>
    <row r="34" spans="1:9" ht="34.9" customHeight="1" x14ac:dyDescent="0.2">
      <c r="B34" s="56"/>
      <c r="C34" s="57"/>
      <c r="D34" s="58" t="s">
        <v>33</v>
      </c>
      <c r="E34" s="49"/>
      <c r="F34" s="77"/>
      <c r="G34" s="82"/>
      <c r="H34" s="49"/>
      <c r="I34" s="49"/>
    </row>
    <row r="35" spans="1:9" ht="34.9" customHeight="1" thickBot="1" x14ac:dyDescent="0.25">
      <c r="B35" s="13"/>
      <c r="C35" s="15"/>
      <c r="D35" s="16" t="s">
        <v>11</v>
      </c>
      <c r="E35" s="10"/>
      <c r="F35" s="78"/>
      <c r="G35" s="23"/>
      <c r="H35" s="10"/>
      <c r="I35" s="10"/>
    </row>
    <row r="36" spans="1:9" ht="34.9" customHeight="1" x14ac:dyDescent="0.2">
      <c r="B36" s="59" t="s">
        <v>2</v>
      </c>
      <c r="C36" s="60">
        <v>2</v>
      </c>
      <c r="D36" s="12" t="s">
        <v>10</v>
      </c>
      <c r="E36" s="9"/>
      <c r="F36" s="76"/>
      <c r="G36" s="22"/>
      <c r="H36" s="9"/>
      <c r="I36" s="9"/>
    </row>
    <row r="37" spans="1:9" ht="34.9" customHeight="1" x14ac:dyDescent="0.2">
      <c r="B37" s="56"/>
      <c r="C37" s="57"/>
      <c r="D37" s="58" t="s">
        <v>33</v>
      </c>
      <c r="E37" s="49"/>
      <c r="F37" s="77"/>
      <c r="G37" s="82"/>
      <c r="H37" s="49"/>
      <c r="I37" s="49"/>
    </row>
    <row r="38" spans="1:9" ht="34.9" customHeight="1" thickBot="1" x14ac:dyDescent="0.25">
      <c r="B38" s="13"/>
      <c r="C38" s="15"/>
      <c r="D38" s="16" t="s">
        <v>11</v>
      </c>
      <c r="E38" s="10"/>
      <c r="F38" s="78"/>
      <c r="G38" s="23"/>
      <c r="H38" s="10"/>
      <c r="I38" s="10"/>
    </row>
    <row r="39" spans="1:9" ht="34.9" customHeight="1" x14ac:dyDescent="0.2">
      <c r="B39" s="59" t="s">
        <v>2</v>
      </c>
      <c r="C39" s="60">
        <v>3</v>
      </c>
      <c r="D39" s="12" t="s">
        <v>10</v>
      </c>
      <c r="E39" s="9"/>
      <c r="F39" s="76"/>
      <c r="G39" s="22"/>
      <c r="H39" s="9"/>
      <c r="I39" s="9"/>
    </row>
    <row r="40" spans="1:9" ht="34.9" customHeight="1" x14ac:dyDescent="0.2">
      <c r="B40" s="56"/>
      <c r="C40" s="57"/>
      <c r="D40" s="58" t="s">
        <v>33</v>
      </c>
      <c r="E40" s="49"/>
      <c r="F40" s="77"/>
      <c r="G40" s="82"/>
      <c r="H40" s="49"/>
      <c r="I40" s="49"/>
    </row>
    <row r="41" spans="1:9" ht="34.9" customHeight="1" thickBot="1" x14ac:dyDescent="0.25">
      <c r="B41" s="13"/>
      <c r="C41" s="15"/>
      <c r="D41" s="16" t="s">
        <v>11</v>
      </c>
      <c r="E41" s="10"/>
      <c r="F41" s="78"/>
      <c r="G41" s="23"/>
      <c r="H41" s="10"/>
      <c r="I41" s="10"/>
    </row>
    <row r="42" spans="1:9" ht="34.9" customHeight="1" x14ac:dyDescent="0.2">
      <c r="B42" s="59" t="s">
        <v>2</v>
      </c>
      <c r="C42" s="60">
        <v>4</v>
      </c>
      <c r="D42" s="12" t="s">
        <v>10</v>
      </c>
      <c r="E42" s="9"/>
      <c r="F42" s="76"/>
      <c r="G42" s="22"/>
      <c r="H42" s="9"/>
      <c r="I42" s="9"/>
    </row>
    <row r="43" spans="1:9" ht="34.9" customHeight="1" x14ac:dyDescent="0.2">
      <c r="B43" s="56"/>
      <c r="C43" s="57"/>
      <c r="D43" s="58" t="s">
        <v>33</v>
      </c>
      <c r="E43" s="49"/>
      <c r="F43" s="77"/>
      <c r="G43" s="82"/>
      <c r="H43" s="49"/>
      <c r="I43" s="49"/>
    </row>
    <row r="44" spans="1:9" ht="34.9" customHeight="1" thickBot="1" x14ac:dyDescent="0.25">
      <c r="B44" s="13"/>
      <c r="C44" s="15"/>
      <c r="D44" s="16" t="s">
        <v>11</v>
      </c>
      <c r="E44" s="10"/>
      <c r="F44" s="78"/>
      <c r="G44" s="23"/>
      <c r="H44" s="10"/>
      <c r="I44" s="10"/>
    </row>
    <row r="45" spans="1:9" ht="34.9" customHeight="1" x14ac:dyDescent="0.2">
      <c r="A45" s="61"/>
      <c r="B45" s="59" t="s">
        <v>3</v>
      </c>
      <c r="C45" s="60">
        <v>4</v>
      </c>
      <c r="D45" s="12" t="s">
        <v>11</v>
      </c>
      <c r="E45" s="9"/>
      <c r="F45" s="76"/>
      <c r="G45" s="22"/>
      <c r="H45" s="9"/>
      <c r="I45" s="9"/>
    </row>
    <row r="46" spans="1:9" ht="34.9" customHeight="1" x14ac:dyDescent="0.2">
      <c r="B46" s="56"/>
      <c r="C46" s="57"/>
      <c r="D46" s="58" t="s">
        <v>33</v>
      </c>
      <c r="E46" s="49"/>
      <c r="F46" s="77"/>
      <c r="G46" s="82"/>
      <c r="H46" s="49"/>
      <c r="I46" s="49"/>
    </row>
    <row r="47" spans="1:9" ht="34.9" customHeight="1" thickBot="1" x14ac:dyDescent="0.25">
      <c r="B47" s="13"/>
      <c r="C47" s="15"/>
      <c r="D47" s="16" t="s">
        <v>10</v>
      </c>
      <c r="E47" s="10"/>
      <c r="F47" s="78"/>
      <c r="G47" s="23"/>
      <c r="H47" s="10"/>
      <c r="I47" s="10"/>
    </row>
    <row r="48" spans="1:9" ht="34.9" customHeight="1" x14ac:dyDescent="0.2">
      <c r="B48" s="59" t="s">
        <v>3</v>
      </c>
      <c r="C48" s="60">
        <v>3</v>
      </c>
      <c r="D48" s="12" t="s">
        <v>11</v>
      </c>
      <c r="E48" s="9"/>
      <c r="F48" s="76"/>
      <c r="G48" s="22"/>
      <c r="H48" s="9"/>
      <c r="I48" s="9"/>
    </row>
    <row r="49" spans="1:9" ht="34.9" customHeight="1" x14ac:dyDescent="0.2">
      <c r="B49" s="56"/>
      <c r="C49" s="57"/>
      <c r="D49" s="58" t="s">
        <v>33</v>
      </c>
      <c r="E49" s="49"/>
      <c r="F49" s="77"/>
      <c r="G49" s="82"/>
      <c r="H49" s="49"/>
      <c r="I49" s="49"/>
    </row>
    <row r="50" spans="1:9" ht="34.9" customHeight="1" thickBot="1" x14ac:dyDescent="0.25">
      <c r="B50" s="13"/>
      <c r="C50" s="15"/>
      <c r="D50" s="16" t="s">
        <v>10</v>
      </c>
      <c r="E50" s="10"/>
      <c r="F50" s="78"/>
      <c r="G50" s="23"/>
      <c r="H50" s="10"/>
      <c r="I50" s="10"/>
    </row>
    <row r="51" spans="1:9" ht="34.9" customHeight="1" x14ac:dyDescent="0.2">
      <c r="B51" s="59" t="s">
        <v>3</v>
      </c>
      <c r="C51" s="60">
        <v>2</v>
      </c>
      <c r="D51" s="12" t="s">
        <v>11</v>
      </c>
      <c r="E51" s="9"/>
      <c r="F51" s="76"/>
      <c r="G51" s="22"/>
      <c r="H51" s="9"/>
      <c r="I51" s="9"/>
    </row>
    <row r="52" spans="1:9" ht="34.9" customHeight="1" x14ac:dyDescent="0.2">
      <c r="B52" s="56"/>
      <c r="C52" s="57"/>
      <c r="D52" s="58" t="s">
        <v>33</v>
      </c>
      <c r="E52" s="49"/>
      <c r="F52" s="77"/>
      <c r="G52" s="82"/>
      <c r="H52" s="49"/>
      <c r="I52" s="49"/>
    </row>
    <row r="53" spans="1:9" ht="34.9" customHeight="1" thickBot="1" x14ac:dyDescent="0.25">
      <c r="B53" s="13"/>
      <c r="C53" s="15"/>
      <c r="D53" s="16" t="s">
        <v>10</v>
      </c>
      <c r="E53" s="10"/>
      <c r="F53" s="78"/>
      <c r="G53" s="23"/>
      <c r="H53" s="10"/>
      <c r="I53" s="10"/>
    </row>
    <row r="54" spans="1:9" ht="34.9" customHeight="1" x14ac:dyDescent="0.2">
      <c r="B54" s="59" t="s">
        <v>3</v>
      </c>
      <c r="C54" s="60">
        <v>1</v>
      </c>
      <c r="D54" s="12" t="s">
        <v>11</v>
      </c>
      <c r="E54" s="9"/>
      <c r="F54" s="76"/>
      <c r="G54" s="22"/>
      <c r="H54" s="9"/>
      <c r="I54" s="9"/>
    </row>
    <row r="55" spans="1:9" ht="34.9" customHeight="1" x14ac:dyDescent="0.2">
      <c r="B55" s="56"/>
      <c r="C55" s="57"/>
      <c r="D55" s="58" t="s">
        <v>33</v>
      </c>
      <c r="E55" s="49"/>
      <c r="F55" s="77"/>
      <c r="G55" s="82"/>
      <c r="H55" s="49"/>
      <c r="I55" s="49"/>
    </row>
    <row r="56" spans="1:9" ht="34.9" customHeight="1" thickBot="1" x14ac:dyDescent="0.25">
      <c r="B56" s="13"/>
      <c r="C56" s="15"/>
      <c r="D56" s="16" t="s">
        <v>10</v>
      </c>
      <c r="E56" s="10"/>
      <c r="F56" s="78"/>
      <c r="G56" s="23"/>
      <c r="H56" s="10"/>
      <c r="I56" s="10"/>
    </row>
    <row r="57" spans="1:9" ht="34.9" customHeight="1" x14ac:dyDescent="0.2">
      <c r="A57" s="61"/>
      <c r="B57" s="59" t="s">
        <v>4</v>
      </c>
      <c r="C57" s="60">
        <v>1</v>
      </c>
      <c r="D57" s="12" t="s">
        <v>10</v>
      </c>
      <c r="E57" s="9"/>
      <c r="F57" s="76"/>
      <c r="G57" s="22"/>
      <c r="H57" s="9"/>
      <c r="I57" s="9"/>
    </row>
    <row r="58" spans="1:9" ht="34.9" customHeight="1" x14ac:dyDescent="0.2">
      <c r="B58" s="56"/>
      <c r="C58" s="57"/>
      <c r="D58" s="58" t="s">
        <v>33</v>
      </c>
      <c r="E58" s="49"/>
      <c r="F58" s="77"/>
      <c r="G58" s="82"/>
      <c r="H58" s="49"/>
      <c r="I58" s="49"/>
    </row>
    <row r="59" spans="1:9" ht="34.9" customHeight="1" thickBot="1" x14ac:dyDescent="0.25">
      <c r="B59" s="13"/>
      <c r="C59" s="15"/>
      <c r="D59" s="16" t="s">
        <v>11</v>
      </c>
      <c r="E59" s="10"/>
      <c r="F59" s="78"/>
      <c r="G59" s="23"/>
      <c r="H59" s="10"/>
      <c r="I59" s="10"/>
    </row>
    <row r="60" spans="1:9" ht="34.9" customHeight="1" x14ac:dyDescent="0.2">
      <c r="B60" s="59" t="s">
        <v>4</v>
      </c>
      <c r="C60" s="60">
        <v>2</v>
      </c>
      <c r="D60" s="12" t="s">
        <v>10</v>
      </c>
      <c r="E60" s="9"/>
      <c r="F60" s="76"/>
      <c r="G60" s="22"/>
      <c r="H60" s="9"/>
      <c r="I60" s="9"/>
    </row>
    <row r="61" spans="1:9" ht="34.9" customHeight="1" x14ac:dyDescent="0.2">
      <c r="B61" s="56"/>
      <c r="C61" s="57"/>
      <c r="D61" s="58" t="s">
        <v>33</v>
      </c>
      <c r="E61" s="49"/>
      <c r="F61" s="77"/>
      <c r="G61" s="82"/>
      <c r="H61" s="49"/>
      <c r="I61" s="49"/>
    </row>
    <row r="62" spans="1:9" ht="34.9" customHeight="1" thickBot="1" x14ac:dyDescent="0.25">
      <c r="B62" s="13"/>
      <c r="C62" s="15"/>
      <c r="D62" s="16" t="s">
        <v>11</v>
      </c>
      <c r="E62" s="10"/>
      <c r="F62" s="78"/>
      <c r="G62" s="23"/>
      <c r="H62" s="10"/>
      <c r="I62" s="10"/>
    </row>
    <row r="63" spans="1:9" ht="34.9" customHeight="1" x14ac:dyDescent="0.2">
      <c r="B63" s="59" t="s">
        <v>4</v>
      </c>
      <c r="C63" s="60">
        <v>3</v>
      </c>
      <c r="D63" s="12" t="s">
        <v>10</v>
      </c>
      <c r="E63" s="9"/>
      <c r="F63" s="76"/>
      <c r="G63" s="22"/>
      <c r="H63" s="9"/>
      <c r="I63" s="9"/>
    </row>
    <row r="64" spans="1:9" ht="34.9" customHeight="1" x14ac:dyDescent="0.2">
      <c r="B64" s="56"/>
      <c r="C64" s="57"/>
      <c r="D64" s="58" t="s">
        <v>33</v>
      </c>
      <c r="E64" s="49"/>
      <c r="F64" s="77"/>
      <c r="G64" s="82"/>
      <c r="H64" s="49"/>
      <c r="I64" s="49"/>
    </row>
    <row r="65" spans="1:9" ht="34.9" customHeight="1" thickBot="1" x14ac:dyDescent="0.25">
      <c r="B65" s="13"/>
      <c r="C65" s="15"/>
      <c r="D65" s="16" t="s">
        <v>11</v>
      </c>
      <c r="E65" s="10"/>
      <c r="F65" s="78"/>
      <c r="G65" s="23"/>
      <c r="H65" s="10"/>
      <c r="I65" s="10"/>
    </row>
    <row r="66" spans="1:9" ht="34.9" customHeight="1" x14ac:dyDescent="0.2">
      <c r="B66" s="59" t="s">
        <v>4</v>
      </c>
      <c r="C66" s="60">
        <v>4</v>
      </c>
      <c r="D66" s="12" t="s">
        <v>10</v>
      </c>
      <c r="E66" s="9"/>
      <c r="F66" s="76"/>
      <c r="G66" s="22"/>
      <c r="H66" s="9"/>
      <c r="I66" s="9"/>
    </row>
    <row r="67" spans="1:9" ht="34.9" customHeight="1" x14ac:dyDescent="0.2">
      <c r="B67" s="56"/>
      <c r="C67" s="57"/>
      <c r="D67" s="58" t="s">
        <v>33</v>
      </c>
      <c r="E67" s="49"/>
      <c r="F67" s="77"/>
      <c r="G67" s="82"/>
      <c r="H67" s="49"/>
      <c r="I67" s="49"/>
    </row>
    <row r="68" spans="1:9" ht="34.9" customHeight="1" thickBot="1" x14ac:dyDescent="0.25">
      <c r="B68" s="13"/>
      <c r="C68" s="15"/>
      <c r="D68" s="16" t="s">
        <v>11</v>
      </c>
      <c r="E68" s="10"/>
      <c r="F68" s="78"/>
      <c r="G68" s="23"/>
      <c r="H68" s="10"/>
      <c r="I68" s="10"/>
    </row>
    <row r="69" spans="1:9" ht="34.9" customHeight="1" x14ac:dyDescent="0.2">
      <c r="A69" s="61"/>
      <c r="B69" s="59" t="s">
        <v>5</v>
      </c>
      <c r="C69" s="60">
        <v>4</v>
      </c>
      <c r="D69" s="12" t="s">
        <v>11</v>
      </c>
      <c r="E69" s="9"/>
      <c r="F69" s="76"/>
      <c r="G69" s="22"/>
      <c r="H69" s="9"/>
      <c r="I69" s="9"/>
    </row>
    <row r="70" spans="1:9" ht="34.9" customHeight="1" x14ac:dyDescent="0.2">
      <c r="B70" s="56"/>
      <c r="C70" s="57"/>
      <c r="D70" s="58" t="s">
        <v>33</v>
      </c>
      <c r="E70" s="49"/>
      <c r="F70" s="77"/>
      <c r="G70" s="82"/>
      <c r="H70" s="49"/>
      <c r="I70" s="49"/>
    </row>
    <row r="71" spans="1:9" ht="34.9" customHeight="1" thickBot="1" x14ac:dyDescent="0.25">
      <c r="B71" s="13"/>
      <c r="C71" s="15"/>
      <c r="D71" s="16" t="s">
        <v>10</v>
      </c>
      <c r="E71" s="10"/>
      <c r="F71" s="78"/>
      <c r="G71" s="23"/>
      <c r="H71" s="10"/>
      <c r="I71" s="10"/>
    </row>
    <row r="72" spans="1:9" ht="34.9" customHeight="1" x14ac:dyDescent="0.2">
      <c r="B72" s="59" t="s">
        <v>5</v>
      </c>
      <c r="C72" s="60">
        <v>3</v>
      </c>
      <c r="D72" s="12" t="s">
        <v>11</v>
      </c>
      <c r="E72" s="9"/>
      <c r="F72" s="76"/>
      <c r="G72" s="22"/>
      <c r="H72" s="9"/>
      <c r="I72" s="9"/>
    </row>
    <row r="73" spans="1:9" ht="34.9" customHeight="1" x14ac:dyDescent="0.2">
      <c r="B73" s="56"/>
      <c r="C73" s="57"/>
      <c r="D73" s="58" t="s">
        <v>33</v>
      </c>
      <c r="E73" s="49"/>
      <c r="F73" s="77"/>
      <c r="G73" s="82"/>
      <c r="H73" s="49"/>
      <c r="I73" s="49"/>
    </row>
    <row r="74" spans="1:9" ht="34.9" customHeight="1" thickBot="1" x14ac:dyDescent="0.25">
      <c r="B74" s="13"/>
      <c r="C74" s="15"/>
      <c r="D74" s="16" t="s">
        <v>10</v>
      </c>
      <c r="E74" s="10"/>
      <c r="F74" s="78"/>
      <c r="G74" s="23"/>
      <c r="H74" s="10"/>
      <c r="I74" s="10"/>
    </row>
    <row r="75" spans="1:9" ht="34.9" customHeight="1" x14ac:dyDescent="0.2">
      <c r="B75" s="59" t="s">
        <v>5</v>
      </c>
      <c r="C75" s="60">
        <v>2</v>
      </c>
      <c r="D75" s="12" t="s">
        <v>11</v>
      </c>
      <c r="E75" s="9"/>
      <c r="F75" s="76"/>
      <c r="G75" s="22"/>
      <c r="H75" s="9"/>
      <c r="I75" s="9"/>
    </row>
    <row r="76" spans="1:9" ht="34.9" customHeight="1" x14ac:dyDescent="0.2">
      <c r="B76" s="56"/>
      <c r="C76" s="57"/>
      <c r="D76" s="58" t="s">
        <v>33</v>
      </c>
      <c r="E76" s="49"/>
      <c r="F76" s="77"/>
      <c r="G76" s="82"/>
      <c r="H76" s="49"/>
      <c r="I76" s="49"/>
    </row>
    <row r="77" spans="1:9" ht="34.9" customHeight="1" thickBot="1" x14ac:dyDescent="0.25">
      <c r="B77" s="13"/>
      <c r="C77" s="15"/>
      <c r="D77" s="16" t="s">
        <v>10</v>
      </c>
      <c r="E77" s="10"/>
      <c r="F77" s="78"/>
      <c r="G77" s="23"/>
      <c r="H77" s="10"/>
      <c r="I77" s="10"/>
    </row>
    <row r="78" spans="1:9" ht="34.9" customHeight="1" x14ac:dyDescent="0.2">
      <c r="B78" s="64" t="s">
        <v>5</v>
      </c>
      <c r="C78" s="65">
        <v>1</v>
      </c>
      <c r="D78" s="66" t="s">
        <v>11</v>
      </c>
      <c r="E78" s="67"/>
      <c r="F78" s="79"/>
      <c r="G78" s="83"/>
      <c r="H78" s="67"/>
      <c r="I78" s="67"/>
    </row>
    <row r="79" spans="1:9" ht="34.9" customHeight="1" x14ac:dyDescent="0.2">
      <c r="B79" s="68"/>
      <c r="C79" s="69"/>
      <c r="D79" s="70" t="s">
        <v>33</v>
      </c>
      <c r="E79" s="71"/>
      <c r="F79" s="80"/>
      <c r="G79" s="84"/>
      <c r="H79" s="71"/>
      <c r="I79" s="71"/>
    </row>
    <row r="80" spans="1:9" ht="34.9" customHeight="1" thickBot="1" x14ac:dyDescent="0.25">
      <c r="B80" s="72"/>
      <c r="C80" s="73"/>
      <c r="D80" s="74" t="s">
        <v>10</v>
      </c>
      <c r="E80" s="75"/>
      <c r="F80" s="81"/>
      <c r="G80" s="85"/>
      <c r="H80" s="75"/>
      <c r="I80" s="75"/>
    </row>
    <row r="81" spans="1:9" ht="34.5" customHeight="1" x14ac:dyDescent="0.2">
      <c r="A81" s="61"/>
      <c r="B81" s="59" t="s">
        <v>34</v>
      </c>
      <c r="C81" s="60">
        <v>1</v>
      </c>
      <c r="D81" s="12" t="s">
        <v>10</v>
      </c>
      <c r="E81" s="9"/>
      <c r="F81" s="76"/>
      <c r="G81" s="22"/>
      <c r="H81" s="9"/>
      <c r="I81" s="9"/>
    </row>
    <row r="82" spans="1:9" ht="34.5" customHeight="1" x14ac:dyDescent="0.2">
      <c r="B82" s="56"/>
      <c r="C82" s="57"/>
      <c r="D82" s="58" t="s">
        <v>33</v>
      </c>
      <c r="E82" s="49"/>
      <c r="F82" s="77"/>
      <c r="G82" s="82"/>
      <c r="H82" s="49"/>
      <c r="I82" s="49"/>
    </row>
    <row r="83" spans="1:9" ht="34.5" customHeight="1" thickBot="1" x14ac:dyDescent="0.25">
      <c r="B83" s="13"/>
      <c r="C83" s="15"/>
      <c r="D83" s="16" t="s">
        <v>11</v>
      </c>
      <c r="E83" s="10"/>
      <c r="F83" s="78"/>
      <c r="G83" s="23"/>
      <c r="H83" s="10"/>
      <c r="I83" s="10"/>
    </row>
    <row r="84" spans="1:9" ht="34.5" customHeight="1" x14ac:dyDescent="0.2">
      <c r="B84" s="59" t="s">
        <v>34</v>
      </c>
      <c r="C84" s="60">
        <v>2</v>
      </c>
      <c r="D84" s="12" t="s">
        <v>10</v>
      </c>
      <c r="E84" s="9"/>
      <c r="F84" s="76"/>
      <c r="G84" s="22"/>
      <c r="H84" s="9"/>
      <c r="I84" s="9"/>
    </row>
    <row r="85" spans="1:9" ht="34.5" customHeight="1" x14ac:dyDescent="0.2">
      <c r="B85" s="56"/>
      <c r="C85" s="57"/>
      <c r="D85" s="58" t="s">
        <v>33</v>
      </c>
      <c r="E85" s="49"/>
      <c r="F85" s="77"/>
      <c r="G85" s="82"/>
      <c r="H85" s="49"/>
      <c r="I85" s="49"/>
    </row>
    <row r="86" spans="1:9" ht="34.5" customHeight="1" thickBot="1" x14ac:dyDescent="0.25">
      <c r="B86" s="13"/>
      <c r="C86" s="15"/>
      <c r="D86" s="16" t="s">
        <v>11</v>
      </c>
      <c r="E86" s="10"/>
      <c r="F86" s="78"/>
      <c r="G86" s="23"/>
      <c r="H86" s="10"/>
      <c r="I86" s="10"/>
    </row>
    <row r="87" spans="1:9" ht="34.5" customHeight="1" x14ac:dyDescent="0.2">
      <c r="B87" s="59" t="s">
        <v>34</v>
      </c>
      <c r="C87" s="60">
        <v>3</v>
      </c>
      <c r="D87" s="12" t="s">
        <v>10</v>
      </c>
      <c r="E87" s="9"/>
      <c r="F87" s="76"/>
      <c r="G87" s="22"/>
      <c r="H87" s="9"/>
      <c r="I87" s="9"/>
    </row>
    <row r="88" spans="1:9" ht="34.5" customHeight="1" x14ac:dyDescent="0.2">
      <c r="B88" s="56"/>
      <c r="C88" s="57"/>
      <c r="D88" s="58" t="s">
        <v>33</v>
      </c>
      <c r="E88" s="49"/>
      <c r="F88" s="77"/>
      <c r="G88" s="82"/>
      <c r="H88" s="49"/>
      <c r="I88" s="49"/>
    </row>
    <row r="89" spans="1:9" ht="34.5" customHeight="1" thickBot="1" x14ac:dyDescent="0.25">
      <c r="B89" s="13"/>
      <c r="C89" s="15"/>
      <c r="D89" s="16" t="s">
        <v>11</v>
      </c>
      <c r="E89" s="10"/>
      <c r="F89" s="78"/>
      <c r="G89" s="23"/>
      <c r="H89" s="10"/>
      <c r="I89" s="10"/>
    </row>
    <row r="90" spans="1:9" ht="34.5" customHeight="1" x14ac:dyDescent="0.2">
      <c r="B90" s="59" t="s">
        <v>34</v>
      </c>
      <c r="C90" s="60">
        <v>4</v>
      </c>
      <c r="D90" s="12" t="s">
        <v>10</v>
      </c>
      <c r="E90" s="9"/>
      <c r="F90" s="76"/>
      <c r="G90" s="22"/>
      <c r="H90" s="9"/>
      <c r="I90" s="9"/>
    </row>
    <row r="91" spans="1:9" ht="34.5" customHeight="1" x14ac:dyDescent="0.2">
      <c r="B91" s="56"/>
      <c r="C91" s="57"/>
      <c r="D91" s="58" t="s">
        <v>33</v>
      </c>
      <c r="E91" s="49"/>
      <c r="F91" s="77"/>
      <c r="G91" s="82"/>
      <c r="H91" s="49"/>
      <c r="I91" s="49"/>
    </row>
    <row r="92" spans="1:9" ht="34.5" customHeight="1" thickBot="1" x14ac:dyDescent="0.25">
      <c r="B92" s="13"/>
      <c r="C92" s="15"/>
      <c r="D92" s="16" t="s">
        <v>11</v>
      </c>
      <c r="E92" s="10"/>
      <c r="F92" s="78"/>
      <c r="G92" s="23"/>
      <c r="H92" s="10"/>
      <c r="I92" s="10"/>
    </row>
    <row r="93" spans="1:9" ht="34.5" customHeight="1" x14ac:dyDescent="0.2">
      <c r="A93" s="61"/>
      <c r="B93" s="59" t="s">
        <v>35</v>
      </c>
      <c r="C93" s="60">
        <v>4</v>
      </c>
      <c r="D93" s="12" t="s">
        <v>11</v>
      </c>
      <c r="E93" s="9"/>
      <c r="F93" s="76"/>
      <c r="G93" s="22"/>
      <c r="H93" s="9"/>
      <c r="I93" s="9"/>
    </row>
    <row r="94" spans="1:9" ht="34.5" customHeight="1" x14ac:dyDescent="0.2">
      <c r="B94" s="56"/>
      <c r="C94" s="57"/>
      <c r="D94" s="58" t="s">
        <v>33</v>
      </c>
      <c r="E94" s="49"/>
      <c r="F94" s="77"/>
      <c r="G94" s="82"/>
      <c r="H94" s="49"/>
      <c r="I94" s="49"/>
    </row>
    <row r="95" spans="1:9" ht="34.5" customHeight="1" thickBot="1" x14ac:dyDescent="0.25">
      <c r="B95" s="13"/>
      <c r="C95" s="15"/>
      <c r="D95" s="16" t="s">
        <v>10</v>
      </c>
      <c r="E95" s="10"/>
      <c r="F95" s="78"/>
      <c r="G95" s="23"/>
      <c r="H95" s="10"/>
      <c r="I95" s="10"/>
    </row>
    <row r="96" spans="1:9" ht="34.5" customHeight="1" x14ac:dyDescent="0.2">
      <c r="B96" s="59" t="s">
        <v>35</v>
      </c>
      <c r="C96" s="60">
        <v>3</v>
      </c>
      <c r="D96" s="12" t="s">
        <v>11</v>
      </c>
      <c r="E96" s="9"/>
      <c r="F96" s="76"/>
      <c r="G96" s="22"/>
      <c r="H96" s="9"/>
      <c r="I96" s="9"/>
    </row>
    <row r="97" spans="1:9" ht="34.5" customHeight="1" x14ac:dyDescent="0.2">
      <c r="B97" s="56"/>
      <c r="C97" s="57"/>
      <c r="D97" s="58" t="s">
        <v>33</v>
      </c>
      <c r="E97" s="49"/>
      <c r="F97" s="77"/>
      <c r="G97" s="82"/>
      <c r="H97" s="49"/>
      <c r="I97" s="49"/>
    </row>
    <row r="98" spans="1:9" ht="34.5" customHeight="1" thickBot="1" x14ac:dyDescent="0.25">
      <c r="B98" s="13"/>
      <c r="C98" s="15"/>
      <c r="D98" s="16" t="s">
        <v>10</v>
      </c>
      <c r="E98" s="10"/>
      <c r="F98" s="78"/>
      <c r="G98" s="23"/>
      <c r="H98" s="10"/>
      <c r="I98" s="10"/>
    </row>
    <row r="99" spans="1:9" ht="34.5" customHeight="1" x14ac:dyDescent="0.2">
      <c r="B99" s="59" t="s">
        <v>35</v>
      </c>
      <c r="C99" s="60">
        <v>2</v>
      </c>
      <c r="D99" s="12" t="s">
        <v>11</v>
      </c>
      <c r="E99" s="9"/>
      <c r="F99" s="76"/>
      <c r="G99" s="22"/>
      <c r="H99" s="9"/>
      <c r="I99" s="9"/>
    </row>
    <row r="100" spans="1:9" ht="34.5" customHeight="1" x14ac:dyDescent="0.2">
      <c r="B100" s="56"/>
      <c r="C100" s="57"/>
      <c r="D100" s="58" t="s">
        <v>33</v>
      </c>
      <c r="E100" s="49"/>
      <c r="F100" s="77"/>
      <c r="G100" s="82"/>
      <c r="H100" s="49"/>
      <c r="I100" s="49"/>
    </row>
    <row r="101" spans="1:9" ht="34.5" customHeight="1" thickBot="1" x14ac:dyDescent="0.25">
      <c r="B101" s="13"/>
      <c r="C101" s="15"/>
      <c r="D101" s="16" t="s">
        <v>10</v>
      </c>
      <c r="E101" s="10"/>
      <c r="F101" s="78"/>
      <c r="G101" s="23"/>
      <c r="H101" s="10"/>
      <c r="I101" s="10"/>
    </row>
    <row r="102" spans="1:9" ht="34.5" customHeight="1" x14ac:dyDescent="0.2">
      <c r="B102" s="59" t="s">
        <v>35</v>
      </c>
      <c r="C102" s="60">
        <v>1</v>
      </c>
      <c r="D102" s="12" t="s">
        <v>11</v>
      </c>
      <c r="E102" s="9"/>
      <c r="F102" s="76"/>
      <c r="G102" s="22"/>
      <c r="H102" s="9"/>
      <c r="I102" s="9"/>
    </row>
    <row r="103" spans="1:9" ht="34.5" customHeight="1" x14ac:dyDescent="0.2">
      <c r="B103" s="56"/>
      <c r="C103" s="57"/>
      <c r="D103" s="58" t="s">
        <v>33</v>
      </c>
      <c r="E103" s="49"/>
      <c r="F103" s="77"/>
      <c r="G103" s="82"/>
      <c r="H103" s="49"/>
      <c r="I103" s="49"/>
    </row>
    <row r="104" spans="1:9" ht="34.5" customHeight="1" thickBot="1" x14ac:dyDescent="0.25">
      <c r="B104" s="13"/>
      <c r="C104" s="15"/>
      <c r="D104" s="16" t="s">
        <v>10</v>
      </c>
      <c r="E104" s="10"/>
      <c r="F104" s="78"/>
      <c r="G104" s="23"/>
      <c r="H104" s="10"/>
      <c r="I104" s="10"/>
    </row>
    <row r="105" spans="1:9" ht="34.5" customHeight="1" x14ac:dyDescent="0.2">
      <c r="A105" s="61"/>
      <c r="B105" s="59" t="s">
        <v>36</v>
      </c>
      <c r="C105" s="60">
        <v>1</v>
      </c>
      <c r="D105" s="12" t="s">
        <v>10</v>
      </c>
      <c r="E105" s="9"/>
      <c r="F105" s="76"/>
      <c r="G105" s="22"/>
      <c r="H105" s="9"/>
      <c r="I105" s="9"/>
    </row>
    <row r="106" spans="1:9" ht="34.5" customHeight="1" x14ac:dyDescent="0.2">
      <c r="B106" s="56"/>
      <c r="C106" s="57"/>
      <c r="D106" s="58" t="s">
        <v>33</v>
      </c>
      <c r="E106" s="49"/>
      <c r="F106" s="77"/>
      <c r="G106" s="82"/>
      <c r="H106" s="49"/>
      <c r="I106" s="49"/>
    </row>
    <row r="107" spans="1:9" ht="34.5" customHeight="1" thickBot="1" x14ac:dyDescent="0.25">
      <c r="B107" s="13"/>
      <c r="C107" s="15"/>
      <c r="D107" s="16" t="s">
        <v>11</v>
      </c>
      <c r="E107" s="10"/>
      <c r="F107" s="78"/>
      <c r="G107" s="23"/>
      <c r="H107" s="10"/>
      <c r="I107" s="10"/>
    </row>
    <row r="108" spans="1:9" ht="34.5" customHeight="1" x14ac:dyDescent="0.2">
      <c r="B108" s="59" t="s">
        <v>36</v>
      </c>
      <c r="C108" s="60">
        <v>2</v>
      </c>
      <c r="D108" s="12" t="s">
        <v>10</v>
      </c>
      <c r="E108" s="9"/>
      <c r="F108" s="76"/>
      <c r="G108" s="22"/>
      <c r="H108" s="9"/>
      <c r="I108" s="9"/>
    </row>
    <row r="109" spans="1:9" ht="34.5" customHeight="1" x14ac:dyDescent="0.2">
      <c r="B109" s="56"/>
      <c r="C109" s="57"/>
      <c r="D109" s="58" t="s">
        <v>33</v>
      </c>
      <c r="E109" s="49"/>
      <c r="F109" s="77"/>
      <c r="G109" s="82"/>
      <c r="H109" s="49"/>
      <c r="I109" s="49"/>
    </row>
    <row r="110" spans="1:9" ht="34.5" customHeight="1" thickBot="1" x14ac:dyDescent="0.25">
      <c r="B110" s="13"/>
      <c r="C110" s="15"/>
      <c r="D110" s="16" t="s">
        <v>11</v>
      </c>
      <c r="E110" s="10"/>
      <c r="F110" s="78"/>
      <c r="G110" s="23"/>
      <c r="H110" s="10"/>
      <c r="I110" s="10"/>
    </row>
    <row r="111" spans="1:9" ht="34.5" customHeight="1" x14ac:dyDescent="0.2">
      <c r="B111" s="59" t="s">
        <v>36</v>
      </c>
      <c r="C111" s="60">
        <v>3</v>
      </c>
      <c r="D111" s="12" t="s">
        <v>10</v>
      </c>
      <c r="E111" s="9"/>
      <c r="F111" s="76"/>
      <c r="G111" s="22"/>
      <c r="H111" s="9"/>
      <c r="I111" s="9"/>
    </row>
    <row r="112" spans="1:9" ht="34.5" customHeight="1" x14ac:dyDescent="0.2">
      <c r="B112" s="56"/>
      <c r="C112" s="57"/>
      <c r="D112" s="58" t="s">
        <v>33</v>
      </c>
      <c r="E112" s="49"/>
      <c r="F112" s="77"/>
      <c r="G112" s="82"/>
      <c r="H112" s="49"/>
      <c r="I112" s="49"/>
    </row>
    <row r="113" spans="1:9" ht="34.5" customHeight="1" thickBot="1" x14ac:dyDescent="0.25">
      <c r="B113" s="13"/>
      <c r="C113" s="15"/>
      <c r="D113" s="16" t="s">
        <v>11</v>
      </c>
      <c r="E113" s="10"/>
      <c r="F113" s="78"/>
      <c r="G113" s="23"/>
      <c r="H113" s="10"/>
      <c r="I113" s="10"/>
    </row>
    <row r="114" spans="1:9" ht="34.5" customHeight="1" x14ac:dyDescent="0.2">
      <c r="B114" s="59" t="s">
        <v>36</v>
      </c>
      <c r="C114" s="60">
        <v>4</v>
      </c>
      <c r="D114" s="12" t="s">
        <v>10</v>
      </c>
      <c r="E114" s="9"/>
      <c r="F114" s="76"/>
      <c r="G114" s="22"/>
      <c r="H114" s="9"/>
      <c r="I114" s="9"/>
    </row>
    <row r="115" spans="1:9" ht="34.5" customHeight="1" x14ac:dyDescent="0.2">
      <c r="B115" s="56"/>
      <c r="C115" s="57"/>
      <c r="D115" s="58" t="s">
        <v>33</v>
      </c>
      <c r="E115" s="49"/>
      <c r="F115" s="77"/>
      <c r="G115" s="82"/>
      <c r="H115" s="49"/>
      <c r="I115" s="49"/>
    </row>
    <row r="116" spans="1:9" ht="34.5" customHeight="1" thickBot="1" x14ac:dyDescent="0.25">
      <c r="B116" s="13"/>
      <c r="C116" s="15"/>
      <c r="D116" s="16" t="s">
        <v>11</v>
      </c>
      <c r="E116" s="10"/>
      <c r="F116" s="78"/>
      <c r="G116" s="23"/>
      <c r="H116" s="10"/>
      <c r="I116" s="10"/>
    </row>
    <row r="117" spans="1:9" ht="34.5" customHeight="1" x14ac:dyDescent="0.2">
      <c r="A117" s="61"/>
      <c r="B117" s="59" t="s">
        <v>37</v>
      </c>
      <c r="C117" s="60">
        <v>4</v>
      </c>
      <c r="D117" s="12" t="s">
        <v>11</v>
      </c>
      <c r="E117" s="9"/>
      <c r="F117" s="76"/>
      <c r="G117" s="22"/>
      <c r="H117" s="9"/>
      <c r="I117" s="9"/>
    </row>
    <row r="118" spans="1:9" ht="34.5" customHeight="1" x14ac:dyDescent="0.2">
      <c r="B118" s="56"/>
      <c r="C118" s="57"/>
      <c r="D118" s="58" t="s">
        <v>33</v>
      </c>
      <c r="E118" s="49"/>
      <c r="F118" s="77"/>
      <c r="G118" s="82"/>
      <c r="H118" s="49"/>
      <c r="I118" s="49"/>
    </row>
    <row r="119" spans="1:9" ht="34.5" customHeight="1" thickBot="1" x14ac:dyDescent="0.25">
      <c r="B119" s="13"/>
      <c r="C119" s="15"/>
      <c r="D119" s="16" t="s">
        <v>10</v>
      </c>
      <c r="E119" s="10"/>
      <c r="F119" s="78"/>
      <c r="G119" s="23"/>
      <c r="H119" s="10"/>
      <c r="I119" s="10"/>
    </row>
    <row r="120" spans="1:9" ht="34.5" customHeight="1" x14ac:dyDescent="0.2">
      <c r="B120" s="59" t="s">
        <v>37</v>
      </c>
      <c r="C120" s="60">
        <v>3</v>
      </c>
      <c r="D120" s="12" t="s">
        <v>11</v>
      </c>
      <c r="E120" s="9"/>
      <c r="F120" s="76"/>
      <c r="G120" s="22"/>
      <c r="H120" s="9"/>
      <c r="I120" s="9"/>
    </row>
    <row r="121" spans="1:9" ht="34.5" customHeight="1" x14ac:dyDescent="0.2">
      <c r="B121" s="56"/>
      <c r="C121" s="57"/>
      <c r="D121" s="58" t="s">
        <v>33</v>
      </c>
      <c r="E121" s="49"/>
      <c r="F121" s="77"/>
      <c r="G121" s="82"/>
      <c r="H121" s="49"/>
      <c r="I121" s="49"/>
    </row>
    <row r="122" spans="1:9" ht="34.5" customHeight="1" thickBot="1" x14ac:dyDescent="0.25">
      <c r="B122" s="13"/>
      <c r="C122" s="15"/>
      <c r="D122" s="16" t="s">
        <v>10</v>
      </c>
      <c r="E122" s="10"/>
      <c r="F122" s="78"/>
      <c r="G122" s="23"/>
      <c r="H122" s="10"/>
      <c r="I122" s="10"/>
    </row>
    <row r="123" spans="1:9" ht="34.5" customHeight="1" x14ac:dyDescent="0.2">
      <c r="B123" s="59" t="s">
        <v>37</v>
      </c>
      <c r="C123" s="60">
        <v>2</v>
      </c>
      <c r="D123" s="12" t="s">
        <v>11</v>
      </c>
      <c r="E123" s="9"/>
      <c r="F123" s="76"/>
      <c r="G123" s="22"/>
      <c r="H123" s="9"/>
      <c r="I123" s="9"/>
    </row>
    <row r="124" spans="1:9" ht="34.5" customHeight="1" x14ac:dyDescent="0.2">
      <c r="B124" s="56"/>
      <c r="C124" s="57"/>
      <c r="D124" s="58" t="s">
        <v>33</v>
      </c>
      <c r="E124" s="49"/>
      <c r="F124" s="77"/>
      <c r="G124" s="82"/>
      <c r="H124" s="49"/>
      <c r="I124" s="49"/>
    </row>
    <row r="125" spans="1:9" ht="34.5" customHeight="1" thickBot="1" x14ac:dyDescent="0.25">
      <c r="B125" s="13"/>
      <c r="C125" s="15"/>
      <c r="D125" s="16" t="s">
        <v>10</v>
      </c>
      <c r="E125" s="10"/>
      <c r="F125" s="78"/>
      <c r="G125" s="23"/>
      <c r="H125" s="10"/>
      <c r="I125" s="10"/>
    </row>
    <row r="126" spans="1:9" ht="34.5" customHeight="1" x14ac:dyDescent="0.2">
      <c r="B126" s="59" t="s">
        <v>37</v>
      </c>
      <c r="C126" s="60">
        <v>1</v>
      </c>
      <c r="D126" s="12" t="s">
        <v>11</v>
      </c>
      <c r="E126" s="9"/>
      <c r="F126" s="76"/>
      <c r="G126" s="22"/>
      <c r="H126" s="9"/>
      <c r="I126" s="9"/>
    </row>
    <row r="127" spans="1:9" ht="34.5" customHeight="1" x14ac:dyDescent="0.2">
      <c r="B127" s="56"/>
      <c r="C127" s="57"/>
      <c r="D127" s="58" t="s">
        <v>33</v>
      </c>
      <c r="E127" s="49"/>
      <c r="F127" s="77"/>
      <c r="G127" s="82"/>
      <c r="H127" s="49"/>
      <c r="I127" s="49"/>
    </row>
    <row r="128" spans="1:9" ht="34.5" customHeight="1" thickBot="1" x14ac:dyDescent="0.25">
      <c r="B128" s="13"/>
      <c r="C128" s="15"/>
      <c r="D128" s="16" t="s">
        <v>10</v>
      </c>
      <c r="E128" s="10"/>
      <c r="F128" s="78"/>
      <c r="G128" s="23"/>
      <c r="H128" s="10"/>
      <c r="I128" s="10"/>
    </row>
    <row r="129" spans="1:9" ht="34.5" customHeight="1" x14ac:dyDescent="0.2">
      <c r="A129" s="61"/>
      <c r="B129" s="59" t="s">
        <v>38</v>
      </c>
      <c r="C129" s="60">
        <v>1</v>
      </c>
      <c r="D129" s="12" t="s">
        <v>10</v>
      </c>
      <c r="E129" s="9"/>
      <c r="F129" s="76"/>
      <c r="G129" s="22"/>
      <c r="H129" s="9"/>
      <c r="I129" s="9"/>
    </row>
    <row r="130" spans="1:9" ht="34.5" customHeight="1" x14ac:dyDescent="0.2">
      <c r="B130" s="56"/>
      <c r="C130" s="57"/>
      <c r="D130" s="58" t="s">
        <v>33</v>
      </c>
      <c r="E130" s="49"/>
      <c r="F130" s="77"/>
      <c r="G130" s="82"/>
      <c r="H130" s="49"/>
      <c r="I130" s="49"/>
    </row>
    <row r="131" spans="1:9" ht="34.5" customHeight="1" thickBot="1" x14ac:dyDescent="0.25">
      <c r="B131" s="13"/>
      <c r="C131" s="15"/>
      <c r="D131" s="16" t="s">
        <v>11</v>
      </c>
      <c r="E131" s="10"/>
      <c r="F131" s="78"/>
      <c r="G131" s="23"/>
      <c r="H131" s="10"/>
      <c r="I131" s="10"/>
    </row>
    <row r="132" spans="1:9" ht="34.5" customHeight="1" x14ac:dyDescent="0.2">
      <c r="B132" s="59" t="s">
        <v>38</v>
      </c>
      <c r="C132" s="60">
        <v>2</v>
      </c>
      <c r="D132" s="12" t="s">
        <v>10</v>
      </c>
      <c r="E132" s="9"/>
      <c r="F132" s="76"/>
      <c r="G132" s="22"/>
      <c r="H132" s="9"/>
      <c r="I132" s="9"/>
    </row>
    <row r="133" spans="1:9" ht="34.5" customHeight="1" x14ac:dyDescent="0.2">
      <c r="B133" s="56"/>
      <c r="C133" s="57"/>
      <c r="D133" s="58" t="s">
        <v>33</v>
      </c>
      <c r="E133" s="49"/>
      <c r="F133" s="77"/>
      <c r="G133" s="82"/>
      <c r="H133" s="49"/>
      <c r="I133" s="49"/>
    </row>
    <row r="134" spans="1:9" ht="34.5" customHeight="1" thickBot="1" x14ac:dyDescent="0.25">
      <c r="B134" s="13"/>
      <c r="C134" s="15"/>
      <c r="D134" s="16" t="s">
        <v>11</v>
      </c>
      <c r="E134" s="10"/>
      <c r="F134" s="78"/>
      <c r="G134" s="23"/>
      <c r="H134" s="10"/>
      <c r="I134" s="10"/>
    </row>
    <row r="135" spans="1:9" ht="34.5" customHeight="1" x14ac:dyDescent="0.2">
      <c r="B135" s="59" t="s">
        <v>38</v>
      </c>
      <c r="C135" s="60">
        <v>3</v>
      </c>
      <c r="D135" s="12" t="s">
        <v>10</v>
      </c>
      <c r="E135" s="9"/>
      <c r="F135" s="76"/>
      <c r="G135" s="22"/>
      <c r="H135" s="9"/>
      <c r="I135" s="9"/>
    </row>
    <row r="136" spans="1:9" ht="34.5" customHeight="1" x14ac:dyDescent="0.2">
      <c r="B136" s="56"/>
      <c r="C136" s="57"/>
      <c r="D136" s="58" t="s">
        <v>33</v>
      </c>
      <c r="E136" s="49"/>
      <c r="F136" s="77"/>
      <c r="G136" s="82"/>
      <c r="H136" s="49"/>
      <c r="I136" s="49"/>
    </row>
    <row r="137" spans="1:9" ht="34.5" customHeight="1" thickBot="1" x14ac:dyDescent="0.25">
      <c r="B137" s="13"/>
      <c r="C137" s="15"/>
      <c r="D137" s="16" t="s">
        <v>11</v>
      </c>
      <c r="E137" s="10"/>
      <c r="F137" s="78"/>
      <c r="G137" s="23"/>
      <c r="H137" s="10"/>
      <c r="I137" s="10"/>
    </row>
    <row r="138" spans="1:9" ht="34.5" customHeight="1" x14ac:dyDescent="0.2">
      <c r="B138" s="59" t="s">
        <v>38</v>
      </c>
      <c r="C138" s="60">
        <v>4</v>
      </c>
      <c r="D138" s="12" t="s">
        <v>10</v>
      </c>
      <c r="E138" s="9"/>
      <c r="F138" s="76"/>
      <c r="G138" s="22"/>
      <c r="H138" s="9"/>
      <c r="I138" s="9"/>
    </row>
    <row r="139" spans="1:9" ht="34.5" customHeight="1" x14ac:dyDescent="0.2">
      <c r="B139" s="56"/>
      <c r="C139" s="57"/>
      <c r="D139" s="58" t="s">
        <v>33</v>
      </c>
      <c r="E139" s="49"/>
      <c r="F139" s="77"/>
      <c r="G139" s="82"/>
      <c r="H139" s="49"/>
      <c r="I139" s="49"/>
    </row>
    <row r="140" spans="1:9" ht="34.5" customHeight="1" thickBot="1" x14ac:dyDescent="0.25">
      <c r="B140" s="13"/>
      <c r="C140" s="15"/>
      <c r="D140" s="16" t="s">
        <v>11</v>
      </c>
      <c r="E140" s="10"/>
      <c r="F140" s="78"/>
      <c r="G140" s="23"/>
      <c r="H140" s="10"/>
      <c r="I140" s="10"/>
    </row>
    <row r="141" spans="1:9" ht="34.5" customHeight="1" x14ac:dyDescent="0.2">
      <c r="A141" s="61"/>
      <c r="B141" s="59" t="s">
        <v>39</v>
      </c>
      <c r="C141" s="60">
        <v>4</v>
      </c>
      <c r="D141" s="12" t="s">
        <v>11</v>
      </c>
      <c r="E141" s="9"/>
      <c r="F141" s="76"/>
      <c r="G141" s="22"/>
      <c r="H141" s="9"/>
      <c r="I141" s="9"/>
    </row>
    <row r="142" spans="1:9" ht="34.5" customHeight="1" x14ac:dyDescent="0.2">
      <c r="B142" s="56"/>
      <c r="C142" s="57"/>
      <c r="D142" s="58" t="s">
        <v>33</v>
      </c>
      <c r="E142" s="49"/>
      <c r="F142" s="77"/>
      <c r="G142" s="82"/>
      <c r="H142" s="49"/>
      <c r="I142" s="49"/>
    </row>
    <row r="143" spans="1:9" ht="34.5" customHeight="1" thickBot="1" x14ac:dyDescent="0.25">
      <c r="B143" s="13"/>
      <c r="C143" s="15"/>
      <c r="D143" s="16" t="s">
        <v>10</v>
      </c>
      <c r="E143" s="10"/>
      <c r="F143" s="78"/>
      <c r="G143" s="23"/>
      <c r="H143" s="10"/>
      <c r="I143" s="10"/>
    </row>
    <row r="144" spans="1:9" ht="34.5" customHeight="1" x14ac:dyDescent="0.2">
      <c r="B144" s="59" t="s">
        <v>39</v>
      </c>
      <c r="C144" s="60">
        <v>3</v>
      </c>
      <c r="D144" s="12" t="s">
        <v>11</v>
      </c>
      <c r="E144" s="9"/>
      <c r="F144" s="76"/>
      <c r="G144" s="22"/>
      <c r="H144" s="9"/>
      <c r="I144" s="9"/>
    </row>
    <row r="145" spans="1:9" ht="34.5" customHeight="1" x14ac:dyDescent="0.2">
      <c r="B145" s="56"/>
      <c r="C145" s="57"/>
      <c r="D145" s="58" t="s">
        <v>33</v>
      </c>
      <c r="E145" s="49"/>
      <c r="F145" s="77"/>
      <c r="G145" s="82"/>
      <c r="H145" s="49"/>
      <c r="I145" s="49"/>
    </row>
    <row r="146" spans="1:9" ht="34.5" customHeight="1" thickBot="1" x14ac:dyDescent="0.25">
      <c r="B146" s="13"/>
      <c r="C146" s="15"/>
      <c r="D146" s="16" t="s">
        <v>10</v>
      </c>
      <c r="E146" s="10"/>
      <c r="F146" s="78"/>
      <c r="G146" s="23"/>
      <c r="H146" s="10"/>
      <c r="I146" s="10"/>
    </row>
    <row r="147" spans="1:9" ht="34.5" customHeight="1" x14ac:dyDescent="0.2">
      <c r="B147" s="59" t="s">
        <v>39</v>
      </c>
      <c r="C147" s="60">
        <v>2</v>
      </c>
      <c r="D147" s="12" t="s">
        <v>11</v>
      </c>
      <c r="E147" s="9"/>
      <c r="F147" s="76"/>
      <c r="G147" s="22"/>
      <c r="H147" s="9"/>
      <c r="I147" s="9"/>
    </row>
    <row r="148" spans="1:9" ht="34.5" customHeight="1" x14ac:dyDescent="0.2">
      <c r="B148" s="56"/>
      <c r="C148" s="57"/>
      <c r="D148" s="58" t="s">
        <v>33</v>
      </c>
      <c r="E148" s="49"/>
      <c r="F148" s="77"/>
      <c r="G148" s="82"/>
      <c r="H148" s="49"/>
      <c r="I148" s="49"/>
    </row>
    <row r="149" spans="1:9" ht="34.5" customHeight="1" thickBot="1" x14ac:dyDescent="0.25">
      <c r="B149" s="13"/>
      <c r="C149" s="15"/>
      <c r="D149" s="16" t="s">
        <v>10</v>
      </c>
      <c r="E149" s="10"/>
      <c r="F149" s="78"/>
      <c r="G149" s="23"/>
      <c r="H149" s="10"/>
      <c r="I149" s="10"/>
    </row>
    <row r="150" spans="1:9" ht="34.5" customHeight="1" x14ac:dyDescent="0.2">
      <c r="B150" s="59" t="s">
        <v>39</v>
      </c>
      <c r="C150" s="60">
        <v>1</v>
      </c>
      <c r="D150" s="12" t="s">
        <v>11</v>
      </c>
      <c r="E150" s="9"/>
      <c r="F150" s="76"/>
      <c r="G150" s="22"/>
      <c r="H150" s="9"/>
      <c r="I150" s="9"/>
    </row>
    <row r="151" spans="1:9" ht="34.5" customHeight="1" x14ac:dyDescent="0.2">
      <c r="B151" s="56"/>
      <c r="C151" s="57"/>
      <c r="D151" s="58" t="s">
        <v>33</v>
      </c>
      <c r="E151" s="49"/>
      <c r="F151" s="77"/>
      <c r="G151" s="82"/>
      <c r="H151" s="49"/>
      <c r="I151" s="49"/>
    </row>
    <row r="152" spans="1:9" ht="34.5" customHeight="1" thickBot="1" x14ac:dyDescent="0.25">
      <c r="A152" s="62"/>
      <c r="B152" s="13"/>
      <c r="C152" s="15"/>
      <c r="D152" s="16" t="s">
        <v>10</v>
      </c>
      <c r="E152" s="10"/>
      <c r="F152" s="78"/>
      <c r="G152" s="23"/>
      <c r="H152" s="10"/>
      <c r="I152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2" max="9" man="1"/>
    <brk id="56" max="9" man="1"/>
    <brk id="80" max="9" man="1"/>
    <brk id="104" max="9" man="1"/>
    <brk id="128" max="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56"/>
  <sheetViews>
    <sheetView zoomScale="115" zoomScaleNormal="11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0" customWidth="1"/>
    <col min="6" max="6" width="6.42578125" style="40" customWidth="1"/>
    <col min="7" max="18" width="11.140625" customWidth="1"/>
  </cols>
  <sheetData>
    <row r="1" spans="1:18" ht="15.75" x14ac:dyDescent="0.25">
      <c r="A1" s="6" t="s">
        <v>18</v>
      </c>
      <c r="B1" s="26">
        <v>2022</v>
      </c>
      <c r="C1" s="27"/>
      <c r="D1" s="8" t="s">
        <v>24</v>
      </c>
      <c r="E1" s="41"/>
      <c r="F1" s="41"/>
      <c r="G1" s="8" t="s">
        <v>6</v>
      </c>
      <c r="H1" s="8"/>
    </row>
    <row r="2" spans="1:18" ht="14.45" customHeight="1" x14ac:dyDescent="0.25">
      <c r="A2" s="6"/>
      <c r="B2" s="7"/>
      <c r="C2" s="8"/>
      <c r="D2" s="8"/>
      <c r="E2" s="41"/>
      <c r="F2" s="41"/>
    </row>
    <row r="3" spans="1:18" ht="15" x14ac:dyDescent="0.25">
      <c r="B3" s="28" t="s">
        <v>19</v>
      </c>
    </row>
    <row r="4" spans="1:18" ht="7.9" customHeight="1" x14ac:dyDescent="0.2">
      <c r="B4" s="5"/>
      <c r="N4" s="4"/>
      <c r="O4" s="4"/>
      <c r="P4" s="4"/>
      <c r="Q4" s="4"/>
      <c r="R4" s="4"/>
    </row>
    <row r="5" spans="1:18" x14ac:dyDescent="0.2">
      <c r="B5" s="2"/>
      <c r="N5" s="4"/>
      <c r="O5" s="4"/>
      <c r="P5" s="4"/>
      <c r="Q5" s="4"/>
      <c r="R5" s="4"/>
    </row>
    <row r="6" spans="1:18" x14ac:dyDescent="0.2">
      <c r="B6" s="2"/>
      <c r="N6" s="4"/>
      <c r="O6" s="4"/>
      <c r="P6" s="4"/>
      <c r="Q6" s="4"/>
      <c r="R6" s="4"/>
    </row>
    <row r="7" spans="1:18" ht="12" customHeight="1" x14ac:dyDescent="0.2">
      <c r="B7" s="2"/>
      <c r="I7" s="50"/>
      <c r="J7" s="37"/>
      <c r="N7" s="4"/>
      <c r="O7" s="4"/>
      <c r="P7" s="50"/>
      <c r="Q7" s="50"/>
      <c r="R7" s="50"/>
    </row>
    <row r="8" spans="1:18" s="35" customFormat="1" x14ac:dyDescent="0.2">
      <c r="D8" s="43" t="s">
        <v>25</v>
      </c>
      <c r="G8" s="35" t="s">
        <v>51</v>
      </c>
      <c r="H8" s="35" t="s">
        <v>51</v>
      </c>
      <c r="I8" s="35" t="s">
        <v>51</v>
      </c>
      <c r="J8" s="35" t="s">
        <v>51</v>
      </c>
      <c r="K8" s="35" t="s">
        <v>51</v>
      </c>
      <c r="L8" s="35" t="s">
        <v>51</v>
      </c>
      <c r="M8" s="35" t="s">
        <v>51</v>
      </c>
      <c r="N8" s="35" t="s">
        <v>51</v>
      </c>
      <c r="O8" s="35" t="s">
        <v>51</v>
      </c>
      <c r="P8" s="35" t="s">
        <v>51</v>
      </c>
      <c r="Q8" s="35" t="s">
        <v>51</v>
      </c>
      <c r="R8" s="35" t="s">
        <v>51</v>
      </c>
    </row>
    <row r="9" spans="1:18" ht="25.5" x14ac:dyDescent="0.2">
      <c r="B9" s="2"/>
      <c r="D9" s="43" t="s">
        <v>26</v>
      </c>
      <c r="G9" s="21">
        <v>44713</v>
      </c>
      <c r="H9" s="21">
        <v>44718</v>
      </c>
      <c r="I9" s="21">
        <v>44725</v>
      </c>
      <c r="J9" s="21">
        <v>44739</v>
      </c>
      <c r="K9" s="21">
        <v>44747</v>
      </c>
      <c r="L9" s="21">
        <v>44753</v>
      </c>
      <c r="M9" s="21">
        <v>44767</v>
      </c>
      <c r="N9" s="21">
        <v>44781</v>
      </c>
      <c r="O9" s="21">
        <v>44788</v>
      </c>
      <c r="P9" s="21" t="s">
        <v>64</v>
      </c>
      <c r="Q9" s="21">
        <v>44802</v>
      </c>
      <c r="R9" s="21">
        <v>44812</v>
      </c>
    </row>
    <row r="10" spans="1:18" ht="15.6" customHeight="1" x14ac:dyDescent="0.2">
      <c r="A10" t="s">
        <v>31</v>
      </c>
      <c r="B10" s="5"/>
      <c r="D10" s="43" t="s">
        <v>28</v>
      </c>
      <c r="G10" s="17">
        <v>152</v>
      </c>
      <c r="H10" s="17">
        <v>157</v>
      </c>
      <c r="I10" s="17">
        <v>164</v>
      </c>
      <c r="J10" s="17">
        <v>178</v>
      </c>
      <c r="K10" s="17">
        <v>186</v>
      </c>
      <c r="L10" s="17">
        <v>192</v>
      </c>
      <c r="M10" s="17">
        <v>206</v>
      </c>
      <c r="N10" s="17">
        <v>220</v>
      </c>
      <c r="O10" s="17">
        <v>227</v>
      </c>
      <c r="P10" s="17" t="s">
        <v>65</v>
      </c>
      <c r="Q10" s="17">
        <v>241</v>
      </c>
      <c r="R10" s="17">
        <v>251</v>
      </c>
    </row>
    <row r="11" spans="1:18" s="52" customFormat="1" ht="22.15" customHeight="1" x14ac:dyDescent="0.2">
      <c r="B11" s="33"/>
      <c r="D11" s="51" t="s">
        <v>27</v>
      </c>
      <c r="E11" s="51"/>
      <c r="F11" s="51"/>
      <c r="G11" s="53" t="s">
        <v>52</v>
      </c>
      <c r="H11" s="24" t="s">
        <v>53</v>
      </c>
      <c r="I11" s="53" t="s">
        <v>60</v>
      </c>
      <c r="J11" s="53" t="s">
        <v>54</v>
      </c>
      <c r="K11" s="53" t="s">
        <v>55</v>
      </c>
      <c r="L11" s="53" t="s">
        <v>62</v>
      </c>
      <c r="M11" s="53" t="s">
        <v>57</v>
      </c>
      <c r="N11" s="53" t="s">
        <v>61</v>
      </c>
      <c r="O11" s="53" t="s">
        <v>66</v>
      </c>
      <c r="P11" s="36"/>
      <c r="Q11" s="36" t="s">
        <v>59</v>
      </c>
      <c r="R11" s="36" t="s">
        <v>54</v>
      </c>
    </row>
    <row r="12" spans="1:18" ht="20.45" customHeight="1" thickBot="1" x14ac:dyDescent="0.25">
      <c r="B12" s="117" t="s">
        <v>7</v>
      </c>
      <c r="C12" s="117"/>
      <c r="D12" s="17" t="s">
        <v>12</v>
      </c>
      <c r="E12" s="92" t="s">
        <v>23</v>
      </c>
      <c r="F12" s="92" t="s">
        <v>40</v>
      </c>
      <c r="G12" s="17" t="s">
        <v>20</v>
      </c>
      <c r="H12" s="17" t="s">
        <v>20</v>
      </c>
      <c r="I12" s="17" t="s">
        <v>20</v>
      </c>
      <c r="J12" s="17" t="s">
        <v>20</v>
      </c>
      <c r="K12" s="17" t="s">
        <v>20</v>
      </c>
      <c r="L12" s="17" t="s">
        <v>20</v>
      </c>
      <c r="M12" s="17" t="s">
        <v>20</v>
      </c>
      <c r="N12" s="17" t="s">
        <v>20</v>
      </c>
      <c r="O12" s="17" t="s">
        <v>20</v>
      </c>
      <c r="P12" s="17" t="s">
        <v>20</v>
      </c>
      <c r="Q12" s="17" t="s">
        <v>20</v>
      </c>
      <c r="R12" s="17" t="s">
        <v>20</v>
      </c>
    </row>
    <row r="13" spans="1:18" ht="19.899999999999999" customHeight="1" x14ac:dyDescent="0.2">
      <c r="A13" s="29"/>
      <c r="B13" s="11" t="s">
        <v>0</v>
      </c>
      <c r="C13" s="14">
        <v>1</v>
      </c>
      <c r="D13" s="12" t="s">
        <v>10</v>
      </c>
      <c r="E13" s="89" t="s">
        <v>42</v>
      </c>
      <c r="F13" s="93" t="s">
        <v>41</v>
      </c>
      <c r="G13" s="30">
        <v>7</v>
      </c>
      <c r="H13" s="9">
        <v>13</v>
      </c>
      <c r="I13" s="9">
        <v>23</v>
      </c>
      <c r="J13" s="22">
        <v>43</v>
      </c>
      <c r="K13" s="9">
        <v>58</v>
      </c>
      <c r="L13" s="9">
        <v>70</v>
      </c>
      <c r="M13" s="9">
        <v>85</v>
      </c>
      <c r="N13" s="9">
        <v>83</v>
      </c>
      <c r="O13" s="38">
        <v>84</v>
      </c>
      <c r="P13" s="38">
        <v>85</v>
      </c>
      <c r="Q13" s="30">
        <v>82</v>
      </c>
      <c r="R13" s="54">
        <v>87</v>
      </c>
    </row>
    <row r="14" spans="1:18" ht="19.899999999999999" customHeight="1" x14ac:dyDescent="0.2">
      <c r="A14" s="29"/>
      <c r="B14" s="56"/>
      <c r="C14" s="57"/>
      <c r="D14" s="58" t="s">
        <v>33</v>
      </c>
      <c r="E14" s="90" t="s">
        <v>42</v>
      </c>
      <c r="F14" s="94" t="s">
        <v>41</v>
      </c>
      <c r="G14" s="86">
        <v>7</v>
      </c>
      <c r="H14" s="49">
        <v>13</v>
      </c>
      <c r="I14" s="49">
        <v>21</v>
      </c>
      <c r="J14" s="82">
        <v>44</v>
      </c>
      <c r="K14" s="49">
        <v>68</v>
      </c>
      <c r="L14" s="49">
        <v>76</v>
      </c>
      <c r="M14" s="49">
        <v>81</v>
      </c>
      <c r="N14" s="49">
        <v>102</v>
      </c>
      <c r="O14" s="87">
        <v>106</v>
      </c>
      <c r="P14" s="87">
        <v>110</v>
      </c>
      <c r="Q14" s="86">
        <v>112</v>
      </c>
      <c r="R14" s="88">
        <v>113</v>
      </c>
    </row>
    <row r="15" spans="1:18" ht="19.899999999999999" customHeight="1" thickBot="1" x14ac:dyDescent="0.25">
      <c r="A15" s="29"/>
      <c r="B15" s="13"/>
      <c r="C15" s="15"/>
      <c r="D15" s="16" t="s">
        <v>11</v>
      </c>
      <c r="E15" s="91" t="s">
        <v>42</v>
      </c>
      <c r="F15" s="95" t="s">
        <v>41</v>
      </c>
      <c r="G15" s="31">
        <v>5</v>
      </c>
      <c r="H15" s="10">
        <v>11</v>
      </c>
      <c r="I15" s="10">
        <v>23</v>
      </c>
      <c r="J15" s="23">
        <v>46</v>
      </c>
      <c r="K15" s="10">
        <v>61</v>
      </c>
      <c r="L15" s="10">
        <v>70</v>
      </c>
      <c r="M15" s="10">
        <v>85</v>
      </c>
      <c r="N15" s="10">
        <v>102</v>
      </c>
      <c r="O15" s="23">
        <v>108</v>
      </c>
      <c r="P15" s="23">
        <v>113</v>
      </c>
      <c r="Q15" s="31">
        <v>115</v>
      </c>
      <c r="R15" s="31">
        <v>122</v>
      </c>
    </row>
    <row r="16" spans="1:18" ht="19.899999999999999" customHeight="1" x14ac:dyDescent="0.2">
      <c r="A16" s="29"/>
      <c r="B16" s="11" t="s">
        <v>0</v>
      </c>
      <c r="C16" s="14">
        <v>2</v>
      </c>
      <c r="D16" s="12" t="s">
        <v>10</v>
      </c>
      <c r="E16" s="89" t="s">
        <v>44</v>
      </c>
      <c r="F16" s="93" t="s">
        <v>41</v>
      </c>
      <c r="G16" s="30">
        <v>6</v>
      </c>
      <c r="H16" s="9">
        <v>13</v>
      </c>
      <c r="I16" s="9">
        <v>20</v>
      </c>
      <c r="J16" s="22">
        <v>40</v>
      </c>
      <c r="K16" s="9">
        <v>52</v>
      </c>
      <c r="L16" s="9">
        <v>53</v>
      </c>
      <c r="M16" s="9">
        <v>58</v>
      </c>
      <c r="N16" s="9">
        <v>74</v>
      </c>
      <c r="O16" s="22">
        <v>78</v>
      </c>
      <c r="P16" s="22">
        <v>80</v>
      </c>
      <c r="Q16" s="30">
        <v>81</v>
      </c>
      <c r="R16" s="30">
        <v>74</v>
      </c>
    </row>
    <row r="17" spans="1:18" ht="19.899999999999999" customHeight="1" x14ac:dyDescent="0.2">
      <c r="A17" s="29"/>
      <c r="B17" s="56"/>
      <c r="C17" s="57"/>
      <c r="D17" s="58" t="s">
        <v>33</v>
      </c>
      <c r="E17" s="90" t="s">
        <v>44</v>
      </c>
      <c r="F17" s="94" t="s">
        <v>41</v>
      </c>
      <c r="G17" s="86">
        <v>5</v>
      </c>
      <c r="H17" s="49">
        <v>11</v>
      </c>
      <c r="I17" s="49">
        <v>17</v>
      </c>
      <c r="J17" s="82">
        <v>37</v>
      </c>
      <c r="K17" s="49">
        <v>63</v>
      </c>
      <c r="L17" s="49">
        <v>69</v>
      </c>
      <c r="M17" s="49">
        <v>84</v>
      </c>
      <c r="N17" s="49">
        <v>103</v>
      </c>
      <c r="O17" s="82">
        <v>104</v>
      </c>
      <c r="P17" s="82">
        <v>106</v>
      </c>
      <c r="Q17" s="86">
        <v>102</v>
      </c>
      <c r="R17" s="86">
        <v>108</v>
      </c>
    </row>
    <row r="18" spans="1:18" ht="19.899999999999999" customHeight="1" thickBot="1" x14ac:dyDescent="0.25">
      <c r="A18" s="29"/>
      <c r="B18" s="13"/>
      <c r="C18" s="15"/>
      <c r="D18" s="16" t="s">
        <v>11</v>
      </c>
      <c r="E18" s="91" t="s">
        <v>44</v>
      </c>
      <c r="F18" s="95" t="s">
        <v>41</v>
      </c>
      <c r="G18" s="31">
        <v>6</v>
      </c>
      <c r="H18" s="10">
        <v>11</v>
      </c>
      <c r="I18" s="10">
        <v>16</v>
      </c>
      <c r="J18" s="23">
        <v>35</v>
      </c>
      <c r="K18" s="10">
        <v>56</v>
      </c>
      <c r="L18" s="10">
        <v>56</v>
      </c>
      <c r="M18" s="10">
        <v>59</v>
      </c>
      <c r="N18" s="10">
        <v>76</v>
      </c>
      <c r="O18" s="23">
        <v>75</v>
      </c>
      <c r="P18" s="23">
        <v>76</v>
      </c>
      <c r="Q18" s="31">
        <v>75</v>
      </c>
      <c r="R18" s="31">
        <v>77</v>
      </c>
    </row>
    <row r="19" spans="1:18" ht="19.899999999999999" customHeight="1" x14ac:dyDescent="0.2">
      <c r="A19" s="29"/>
      <c r="B19" s="11" t="s">
        <v>0</v>
      </c>
      <c r="C19" s="14">
        <v>3</v>
      </c>
      <c r="D19" s="12" t="s">
        <v>10</v>
      </c>
      <c r="E19" s="89" t="s">
        <v>45</v>
      </c>
      <c r="F19" s="93" t="s">
        <v>41</v>
      </c>
      <c r="G19" s="30">
        <v>6</v>
      </c>
      <c r="H19" s="9">
        <v>10</v>
      </c>
      <c r="I19" s="9">
        <v>14</v>
      </c>
      <c r="J19" s="22">
        <v>37</v>
      </c>
      <c r="K19" s="9">
        <v>53</v>
      </c>
      <c r="L19" s="9">
        <v>62</v>
      </c>
      <c r="M19" s="9">
        <v>77</v>
      </c>
      <c r="N19" s="9">
        <v>94</v>
      </c>
      <c r="O19" s="22">
        <v>93</v>
      </c>
      <c r="P19" s="22">
        <v>94</v>
      </c>
      <c r="Q19" s="30">
        <v>93</v>
      </c>
      <c r="R19" s="30">
        <v>87</v>
      </c>
    </row>
    <row r="20" spans="1:18" ht="19.899999999999999" customHeight="1" x14ac:dyDescent="0.2">
      <c r="A20" s="29"/>
      <c r="B20" s="56"/>
      <c r="C20" s="57"/>
      <c r="D20" s="58" t="s">
        <v>33</v>
      </c>
      <c r="E20" s="90" t="s">
        <v>45</v>
      </c>
      <c r="F20" s="94" t="s">
        <v>41</v>
      </c>
      <c r="G20" s="86">
        <v>6</v>
      </c>
      <c r="H20" s="49">
        <v>11</v>
      </c>
      <c r="I20" s="49">
        <v>16</v>
      </c>
      <c r="J20" s="82">
        <v>38</v>
      </c>
      <c r="K20" s="49">
        <v>60</v>
      </c>
      <c r="L20" s="49">
        <v>65</v>
      </c>
      <c r="M20" s="49">
        <v>79</v>
      </c>
      <c r="N20" s="49">
        <v>95</v>
      </c>
      <c r="O20" s="82">
        <v>97</v>
      </c>
      <c r="P20" s="82">
        <v>97</v>
      </c>
      <c r="Q20" s="86">
        <v>96</v>
      </c>
      <c r="R20" s="86">
        <v>95</v>
      </c>
    </row>
    <row r="21" spans="1:18" ht="19.899999999999999" customHeight="1" thickBot="1" x14ac:dyDescent="0.25">
      <c r="A21" s="29"/>
      <c r="B21" s="13"/>
      <c r="C21" s="15"/>
      <c r="D21" s="16" t="s">
        <v>11</v>
      </c>
      <c r="E21" s="91" t="s">
        <v>45</v>
      </c>
      <c r="F21" s="95" t="s">
        <v>41</v>
      </c>
      <c r="G21" s="31">
        <v>5</v>
      </c>
      <c r="H21" s="10">
        <v>9</v>
      </c>
      <c r="I21" s="10">
        <v>16</v>
      </c>
      <c r="J21" s="23">
        <v>35</v>
      </c>
      <c r="K21" s="10">
        <v>46</v>
      </c>
      <c r="L21" s="10">
        <v>49</v>
      </c>
      <c r="M21" s="10">
        <v>59</v>
      </c>
      <c r="N21" s="10">
        <v>62</v>
      </c>
      <c r="O21" s="23">
        <v>65</v>
      </c>
      <c r="P21" s="23">
        <v>67</v>
      </c>
      <c r="Q21" s="31">
        <v>68</v>
      </c>
      <c r="R21" s="31">
        <v>53</v>
      </c>
    </row>
    <row r="22" spans="1:18" ht="19.899999999999999" customHeight="1" x14ac:dyDescent="0.2">
      <c r="A22" s="29"/>
      <c r="B22" s="11" t="s">
        <v>0</v>
      </c>
      <c r="C22" s="14">
        <v>4</v>
      </c>
      <c r="D22" s="12" t="s">
        <v>10</v>
      </c>
      <c r="E22" s="89" t="s">
        <v>46</v>
      </c>
      <c r="F22" s="93" t="s">
        <v>41</v>
      </c>
      <c r="G22" s="30">
        <v>5</v>
      </c>
      <c r="H22" s="9">
        <v>9</v>
      </c>
      <c r="I22" s="9">
        <v>10</v>
      </c>
      <c r="J22" s="22">
        <v>24</v>
      </c>
      <c r="K22" s="9">
        <v>32</v>
      </c>
      <c r="L22" s="9">
        <v>37</v>
      </c>
      <c r="M22" s="9">
        <v>44</v>
      </c>
      <c r="N22" s="9">
        <v>57</v>
      </c>
      <c r="O22" s="22">
        <v>66</v>
      </c>
      <c r="P22" s="22">
        <v>69</v>
      </c>
      <c r="Q22" s="30">
        <v>70</v>
      </c>
      <c r="R22" s="30">
        <v>72</v>
      </c>
    </row>
    <row r="23" spans="1:18" ht="19.899999999999999" customHeight="1" x14ac:dyDescent="0.2">
      <c r="A23" s="29"/>
      <c r="B23" s="56"/>
      <c r="C23" s="57"/>
      <c r="D23" s="58" t="s">
        <v>33</v>
      </c>
      <c r="E23" s="90" t="s">
        <v>46</v>
      </c>
      <c r="F23" s="94" t="s">
        <v>41</v>
      </c>
      <c r="G23" s="86">
        <v>7</v>
      </c>
      <c r="H23" s="49">
        <v>10</v>
      </c>
      <c r="I23" s="49">
        <v>14</v>
      </c>
      <c r="J23" s="82">
        <v>38</v>
      </c>
      <c r="K23" s="49">
        <v>51</v>
      </c>
      <c r="L23" s="49">
        <v>60</v>
      </c>
      <c r="M23" s="49">
        <v>81</v>
      </c>
      <c r="N23" s="49">
        <v>103</v>
      </c>
      <c r="O23" s="82">
        <v>108</v>
      </c>
      <c r="P23" s="82">
        <v>113</v>
      </c>
      <c r="Q23" s="86">
        <v>116</v>
      </c>
      <c r="R23" s="86">
        <v>117</v>
      </c>
    </row>
    <row r="24" spans="1:18" ht="19.899999999999999" customHeight="1" thickBot="1" x14ac:dyDescent="0.25">
      <c r="A24" s="29"/>
      <c r="B24" s="13"/>
      <c r="C24" s="15"/>
      <c r="D24" s="16" t="s">
        <v>11</v>
      </c>
      <c r="E24" s="91" t="s">
        <v>46</v>
      </c>
      <c r="F24" s="95" t="s">
        <v>41</v>
      </c>
      <c r="G24" s="31">
        <v>6</v>
      </c>
      <c r="H24" s="10">
        <v>9</v>
      </c>
      <c r="I24" s="10">
        <v>11</v>
      </c>
      <c r="J24" s="23">
        <v>31</v>
      </c>
      <c r="K24" s="10">
        <v>47</v>
      </c>
      <c r="L24" s="10">
        <v>55</v>
      </c>
      <c r="M24" s="10">
        <v>72</v>
      </c>
      <c r="N24" s="10">
        <v>83</v>
      </c>
      <c r="O24" s="23">
        <v>87</v>
      </c>
      <c r="P24" s="23">
        <v>88</v>
      </c>
      <c r="Q24" s="31">
        <v>89</v>
      </c>
      <c r="R24" s="31">
        <v>88</v>
      </c>
    </row>
    <row r="25" spans="1:18" ht="19.899999999999999" customHeight="1" x14ac:dyDescent="0.2">
      <c r="A25" s="29"/>
      <c r="B25" s="11" t="s">
        <v>1</v>
      </c>
      <c r="C25" s="14">
        <v>4</v>
      </c>
      <c r="D25" s="12" t="s">
        <v>11</v>
      </c>
      <c r="E25" s="89" t="s">
        <v>46</v>
      </c>
      <c r="F25" s="96" t="s">
        <v>43</v>
      </c>
      <c r="G25" s="30">
        <v>10</v>
      </c>
      <c r="H25" s="9">
        <v>15</v>
      </c>
      <c r="I25" s="9">
        <v>23</v>
      </c>
      <c r="J25" s="22">
        <v>39</v>
      </c>
      <c r="K25" s="9">
        <v>50</v>
      </c>
      <c r="L25" s="9">
        <v>56</v>
      </c>
      <c r="M25" s="9">
        <v>66</v>
      </c>
      <c r="N25" s="9">
        <v>79</v>
      </c>
      <c r="O25" s="22">
        <v>86</v>
      </c>
      <c r="P25" s="22">
        <v>95</v>
      </c>
      <c r="Q25" s="30">
        <v>97</v>
      </c>
      <c r="R25" s="30">
        <v>94</v>
      </c>
    </row>
    <row r="26" spans="1:18" ht="19.899999999999999" customHeight="1" x14ac:dyDescent="0.2">
      <c r="A26" s="29"/>
      <c r="B26" s="56"/>
      <c r="C26" s="57"/>
      <c r="D26" s="58" t="s">
        <v>33</v>
      </c>
      <c r="E26" s="90" t="s">
        <v>46</v>
      </c>
      <c r="F26" s="97" t="s">
        <v>43</v>
      </c>
      <c r="G26" s="86">
        <v>12</v>
      </c>
      <c r="H26" s="49">
        <v>16</v>
      </c>
      <c r="I26" s="49">
        <v>23</v>
      </c>
      <c r="J26" s="82">
        <v>59</v>
      </c>
      <c r="K26" s="49">
        <v>67</v>
      </c>
      <c r="L26" s="49">
        <v>70</v>
      </c>
      <c r="M26" s="49">
        <v>80</v>
      </c>
      <c r="N26" s="49">
        <v>93</v>
      </c>
      <c r="O26" s="82">
        <v>99</v>
      </c>
      <c r="P26" s="82">
        <v>101</v>
      </c>
      <c r="Q26" s="86">
        <v>102</v>
      </c>
      <c r="R26" s="86">
        <v>101</v>
      </c>
    </row>
    <row r="27" spans="1:18" ht="19.899999999999999" customHeight="1" thickBot="1" x14ac:dyDescent="0.25">
      <c r="A27" s="29"/>
      <c r="B27" s="13"/>
      <c r="C27" s="15"/>
      <c r="D27" s="16" t="s">
        <v>10</v>
      </c>
      <c r="E27" s="91" t="s">
        <v>46</v>
      </c>
      <c r="F27" s="98" t="s">
        <v>43</v>
      </c>
      <c r="G27" s="31">
        <v>10</v>
      </c>
      <c r="H27" s="10">
        <v>15</v>
      </c>
      <c r="I27" s="10">
        <v>23</v>
      </c>
      <c r="J27" s="23">
        <v>57</v>
      </c>
      <c r="K27" s="10">
        <v>72</v>
      </c>
      <c r="L27" s="10">
        <v>79</v>
      </c>
      <c r="M27" s="10">
        <v>89</v>
      </c>
      <c r="N27" s="10">
        <v>96</v>
      </c>
      <c r="O27" s="23">
        <v>100</v>
      </c>
      <c r="P27" s="23">
        <v>106</v>
      </c>
      <c r="Q27" s="31">
        <v>108</v>
      </c>
      <c r="R27" s="31">
        <v>105</v>
      </c>
    </row>
    <row r="28" spans="1:18" ht="19.899999999999999" customHeight="1" x14ac:dyDescent="0.2">
      <c r="A28" s="29"/>
      <c r="B28" s="11" t="s">
        <v>1</v>
      </c>
      <c r="C28" s="14">
        <v>3</v>
      </c>
      <c r="D28" s="12" t="s">
        <v>11</v>
      </c>
      <c r="E28" s="89" t="s">
        <v>45</v>
      </c>
      <c r="F28" s="96" t="s">
        <v>43</v>
      </c>
      <c r="G28" s="30">
        <v>11</v>
      </c>
      <c r="H28" s="9">
        <v>16</v>
      </c>
      <c r="I28" s="9">
        <v>22</v>
      </c>
      <c r="J28" s="22">
        <v>56</v>
      </c>
      <c r="K28" s="9">
        <v>72</v>
      </c>
      <c r="L28" s="9">
        <v>75</v>
      </c>
      <c r="M28" s="9">
        <v>77</v>
      </c>
      <c r="N28" s="9">
        <v>87</v>
      </c>
      <c r="O28" s="22">
        <v>89</v>
      </c>
      <c r="P28" s="22">
        <v>90</v>
      </c>
      <c r="Q28" s="30">
        <v>86</v>
      </c>
      <c r="R28" s="30">
        <v>86</v>
      </c>
    </row>
    <row r="29" spans="1:18" ht="19.899999999999999" customHeight="1" x14ac:dyDescent="0.2">
      <c r="A29" s="29"/>
      <c r="B29" s="56"/>
      <c r="C29" s="57"/>
      <c r="D29" s="58" t="s">
        <v>33</v>
      </c>
      <c r="E29" s="90" t="s">
        <v>45</v>
      </c>
      <c r="F29" s="97" t="s">
        <v>43</v>
      </c>
      <c r="G29" s="86">
        <v>10</v>
      </c>
      <c r="H29" s="49">
        <v>15</v>
      </c>
      <c r="I29" s="49">
        <v>23</v>
      </c>
      <c r="J29" s="82">
        <v>58</v>
      </c>
      <c r="K29" s="49">
        <v>73</v>
      </c>
      <c r="L29" s="49">
        <v>77</v>
      </c>
      <c r="M29" s="49">
        <v>89</v>
      </c>
      <c r="N29" s="49">
        <v>103</v>
      </c>
      <c r="O29" s="82">
        <v>106</v>
      </c>
      <c r="P29" s="82">
        <v>107</v>
      </c>
      <c r="Q29" s="86">
        <v>110</v>
      </c>
      <c r="R29" s="86">
        <v>108</v>
      </c>
    </row>
    <row r="30" spans="1:18" ht="19.899999999999999" customHeight="1" thickBot="1" x14ac:dyDescent="0.25">
      <c r="A30" s="29"/>
      <c r="B30" s="13"/>
      <c r="C30" s="15"/>
      <c r="D30" s="16" t="s">
        <v>10</v>
      </c>
      <c r="E30" s="91" t="s">
        <v>45</v>
      </c>
      <c r="F30" s="98" t="s">
        <v>43</v>
      </c>
      <c r="G30" s="31">
        <v>12</v>
      </c>
      <c r="H30" s="10">
        <v>17</v>
      </c>
      <c r="I30" s="10">
        <v>26</v>
      </c>
      <c r="J30" s="23">
        <v>52</v>
      </c>
      <c r="K30" s="10">
        <v>69</v>
      </c>
      <c r="L30" s="10">
        <v>71</v>
      </c>
      <c r="M30" s="10">
        <v>79</v>
      </c>
      <c r="N30" s="10">
        <v>91</v>
      </c>
      <c r="O30" s="23">
        <v>93</v>
      </c>
      <c r="P30" s="23">
        <v>95</v>
      </c>
      <c r="Q30" s="31">
        <v>94</v>
      </c>
      <c r="R30" s="31">
        <v>92</v>
      </c>
    </row>
    <row r="31" spans="1:18" ht="19.899999999999999" customHeight="1" x14ac:dyDescent="0.2">
      <c r="A31" s="29"/>
      <c r="B31" s="11" t="s">
        <v>1</v>
      </c>
      <c r="C31" s="14">
        <v>2</v>
      </c>
      <c r="D31" s="12" t="s">
        <v>11</v>
      </c>
      <c r="E31" s="89" t="s">
        <v>44</v>
      </c>
      <c r="F31" s="96" t="s">
        <v>43</v>
      </c>
      <c r="G31" s="30">
        <v>10</v>
      </c>
      <c r="H31" s="9">
        <v>15</v>
      </c>
      <c r="I31" s="9">
        <v>24</v>
      </c>
      <c r="J31" s="22">
        <v>58</v>
      </c>
      <c r="K31" s="9">
        <v>74</v>
      </c>
      <c r="L31" s="9">
        <v>73</v>
      </c>
      <c r="M31" s="9">
        <v>77</v>
      </c>
      <c r="N31" s="9">
        <v>90</v>
      </c>
      <c r="O31" s="22">
        <v>94</v>
      </c>
      <c r="P31" s="22">
        <v>93</v>
      </c>
      <c r="Q31" s="30">
        <v>93</v>
      </c>
      <c r="R31" s="30">
        <v>91</v>
      </c>
    </row>
    <row r="32" spans="1:18" ht="19.899999999999999" customHeight="1" x14ac:dyDescent="0.2">
      <c r="A32" s="29"/>
      <c r="B32" s="56"/>
      <c r="C32" s="57"/>
      <c r="D32" s="58" t="s">
        <v>33</v>
      </c>
      <c r="E32" s="90" t="s">
        <v>44</v>
      </c>
      <c r="F32" s="97" t="s">
        <v>43</v>
      </c>
      <c r="G32" s="86">
        <v>11</v>
      </c>
      <c r="H32" s="49">
        <v>16</v>
      </c>
      <c r="I32" s="49">
        <v>22</v>
      </c>
      <c r="J32" s="82">
        <v>52</v>
      </c>
      <c r="K32" s="49">
        <v>71</v>
      </c>
      <c r="L32" s="49">
        <v>73</v>
      </c>
      <c r="M32" s="49">
        <v>80</v>
      </c>
      <c r="N32" s="49">
        <v>100</v>
      </c>
      <c r="O32" s="82">
        <v>103</v>
      </c>
      <c r="P32" s="82">
        <v>105</v>
      </c>
      <c r="Q32" s="86">
        <v>105</v>
      </c>
      <c r="R32" s="86">
        <v>106</v>
      </c>
    </row>
    <row r="33" spans="1:18" ht="19.899999999999999" customHeight="1" thickBot="1" x14ac:dyDescent="0.25">
      <c r="A33" s="29"/>
      <c r="B33" s="13"/>
      <c r="C33" s="15"/>
      <c r="D33" s="16" t="s">
        <v>10</v>
      </c>
      <c r="E33" s="91" t="s">
        <v>44</v>
      </c>
      <c r="F33" s="98" t="s">
        <v>43</v>
      </c>
      <c r="G33" s="31">
        <v>13</v>
      </c>
      <c r="H33" s="10">
        <v>19</v>
      </c>
      <c r="I33" s="10">
        <v>28</v>
      </c>
      <c r="J33" s="23">
        <v>68</v>
      </c>
      <c r="K33" s="10">
        <v>82</v>
      </c>
      <c r="L33" s="10">
        <v>83</v>
      </c>
      <c r="M33" s="10">
        <v>91</v>
      </c>
      <c r="N33" s="10">
        <v>111</v>
      </c>
      <c r="O33" s="23">
        <v>114</v>
      </c>
      <c r="P33" s="23">
        <v>116</v>
      </c>
      <c r="Q33" s="31">
        <v>117</v>
      </c>
      <c r="R33" s="31">
        <v>113</v>
      </c>
    </row>
    <row r="34" spans="1:18" ht="19.899999999999999" customHeight="1" x14ac:dyDescent="0.2">
      <c r="A34" s="29"/>
      <c r="B34" s="11" t="s">
        <v>1</v>
      </c>
      <c r="C34" s="14">
        <v>1</v>
      </c>
      <c r="D34" s="12" t="s">
        <v>11</v>
      </c>
      <c r="E34" s="89" t="s">
        <v>42</v>
      </c>
      <c r="F34" s="96" t="s">
        <v>43</v>
      </c>
      <c r="G34" s="30">
        <v>14</v>
      </c>
      <c r="H34" s="9">
        <v>20</v>
      </c>
      <c r="I34" s="9">
        <v>23</v>
      </c>
      <c r="J34" s="22">
        <v>63</v>
      </c>
      <c r="K34" s="9">
        <v>71</v>
      </c>
      <c r="L34" s="9">
        <v>80</v>
      </c>
      <c r="M34" s="9">
        <v>93</v>
      </c>
      <c r="N34" s="9">
        <v>105</v>
      </c>
      <c r="O34" s="38">
        <v>110</v>
      </c>
      <c r="P34" s="38">
        <v>113</v>
      </c>
      <c r="Q34" s="54">
        <v>116</v>
      </c>
      <c r="R34" s="54">
        <v>115</v>
      </c>
    </row>
    <row r="35" spans="1:18" ht="19.899999999999999" customHeight="1" x14ac:dyDescent="0.2">
      <c r="A35" s="29"/>
      <c r="B35" s="56"/>
      <c r="C35" s="57"/>
      <c r="D35" s="58" t="s">
        <v>33</v>
      </c>
      <c r="E35" s="90" t="s">
        <v>42</v>
      </c>
      <c r="F35" s="97" t="s">
        <v>43</v>
      </c>
      <c r="G35" s="86">
        <v>11</v>
      </c>
      <c r="H35" s="49">
        <v>18</v>
      </c>
      <c r="I35" s="49">
        <v>30</v>
      </c>
      <c r="J35" s="82">
        <v>59</v>
      </c>
      <c r="K35" s="49">
        <v>78</v>
      </c>
      <c r="L35" s="49">
        <v>83</v>
      </c>
      <c r="M35" s="49">
        <v>97</v>
      </c>
      <c r="N35" s="49">
        <v>114</v>
      </c>
      <c r="O35" s="87">
        <v>119</v>
      </c>
      <c r="P35" s="87">
        <v>122</v>
      </c>
      <c r="Q35" s="88">
        <v>124</v>
      </c>
      <c r="R35" s="88">
        <v>128</v>
      </c>
    </row>
    <row r="36" spans="1:18" ht="19.899999999999999" customHeight="1" thickBot="1" x14ac:dyDescent="0.25">
      <c r="A36" s="29"/>
      <c r="B36" s="13"/>
      <c r="C36" s="15"/>
      <c r="D36" s="16" t="s">
        <v>10</v>
      </c>
      <c r="E36" s="91" t="s">
        <v>42</v>
      </c>
      <c r="F36" s="98" t="s">
        <v>43</v>
      </c>
      <c r="G36" s="31">
        <v>15</v>
      </c>
      <c r="H36" s="10">
        <v>22</v>
      </c>
      <c r="I36" s="10">
        <v>33</v>
      </c>
      <c r="J36" s="23">
        <v>65</v>
      </c>
      <c r="K36" s="10">
        <v>84</v>
      </c>
      <c r="L36" s="10">
        <v>89</v>
      </c>
      <c r="M36" s="10">
        <v>99</v>
      </c>
      <c r="N36" s="10">
        <v>116</v>
      </c>
      <c r="O36" s="23">
        <v>118</v>
      </c>
      <c r="P36" s="23">
        <v>120</v>
      </c>
      <c r="Q36" s="31">
        <v>121</v>
      </c>
      <c r="R36" s="31">
        <v>120</v>
      </c>
    </row>
    <row r="37" spans="1:18" ht="19.899999999999999" customHeight="1" x14ac:dyDescent="0.2">
      <c r="A37" s="29"/>
      <c r="B37" s="11" t="s">
        <v>2</v>
      </c>
      <c r="C37" s="14">
        <v>1</v>
      </c>
      <c r="D37" s="12" t="s">
        <v>10</v>
      </c>
      <c r="E37" s="89" t="s">
        <v>46</v>
      </c>
      <c r="F37" s="93" t="s">
        <v>41</v>
      </c>
      <c r="G37" s="30">
        <v>8</v>
      </c>
      <c r="H37" s="9">
        <v>13</v>
      </c>
      <c r="I37" s="9">
        <v>26</v>
      </c>
      <c r="J37" s="22">
        <v>57</v>
      </c>
      <c r="K37" s="9">
        <v>75</v>
      </c>
      <c r="L37" s="9">
        <v>87</v>
      </c>
      <c r="M37" s="9">
        <v>102</v>
      </c>
      <c r="N37" s="9">
        <v>115</v>
      </c>
      <c r="O37" s="38">
        <v>118</v>
      </c>
      <c r="P37" s="38">
        <v>121</v>
      </c>
      <c r="Q37" s="54">
        <v>123</v>
      </c>
      <c r="R37" s="54">
        <v>122</v>
      </c>
    </row>
    <row r="38" spans="1:18" ht="19.899999999999999" customHeight="1" x14ac:dyDescent="0.2">
      <c r="A38" s="29"/>
      <c r="B38" s="56"/>
      <c r="C38" s="57"/>
      <c r="D38" s="58" t="s">
        <v>33</v>
      </c>
      <c r="E38" s="90" t="s">
        <v>46</v>
      </c>
      <c r="F38" s="94" t="s">
        <v>41</v>
      </c>
      <c r="G38" s="86">
        <v>8</v>
      </c>
      <c r="H38" s="49">
        <v>12</v>
      </c>
      <c r="I38" s="49">
        <v>19</v>
      </c>
      <c r="J38" s="82">
        <v>35</v>
      </c>
      <c r="K38" s="49">
        <v>53</v>
      </c>
      <c r="L38" s="49">
        <v>57</v>
      </c>
      <c r="M38" s="49">
        <v>70</v>
      </c>
      <c r="N38" s="49">
        <v>81</v>
      </c>
      <c r="O38" s="87">
        <v>86</v>
      </c>
      <c r="P38" s="87">
        <v>90</v>
      </c>
      <c r="Q38" s="88">
        <v>93</v>
      </c>
      <c r="R38" s="88">
        <v>92</v>
      </c>
    </row>
    <row r="39" spans="1:18" ht="19.899999999999999" customHeight="1" thickBot="1" x14ac:dyDescent="0.25">
      <c r="A39" s="29"/>
      <c r="B39" s="13"/>
      <c r="C39" s="15"/>
      <c r="D39" s="16" t="s">
        <v>11</v>
      </c>
      <c r="E39" s="91" t="s">
        <v>46</v>
      </c>
      <c r="F39" s="95" t="s">
        <v>41</v>
      </c>
      <c r="G39" s="31">
        <v>7</v>
      </c>
      <c r="H39" s="10">
        <v>11</v>
      </c>
      <c r="I39" s="10">
        <v>21</v>
      </c>
      <c r="J39" s="23">
        <v>51</v>
      </c>
      <c r="K39" s="10">
        <v>73</v>
      </c>
      <c r="L39" s="10">
        <v>83</v>
      </c>
      <c r="M39" s="10">
        <v>97</v>
      </c>
      <c r="N39" s="10">
        <v>121</v>
      </c>
      <c r="O39" s="23">
        <v>123</v>
      </c>
      <c r="P39" s="23">
        <v>125</v>
      </c>
      <c r="Q39" s="55">
        <v>126</v>
      </c>
      <c r="R39" s="31">
        <v>131</v>
      </c>
    </row>
    <row r="40" spans="1:18" ht="19.899999999999999" customHeight="1" x14ac:dyDescent="0.2">
      <c r="A40" s="29"/>
      <c r="B40" s="11" t="s">
        <v>2</v>
      </c>
      <c r="C40" s="14">
        <v>2</v>
      </c>
      <c r="D40" s="12" t="s">
        <v>10</v>
      </c>
      <c r="E40" s="89" t="s">
        <v>47</v>
      </c>
      <c r="F40" s="93" t="s">
        <v>41</v>
      </c>
      <c r="G40" s="30">
        <v>11</v>
      </c>
      <c r="H40" s="9">
        <v>15</v>
      </c>
      <c r="I40" s="9">
        <v>20</v>
      </c>
      <c r="J40" s="22">
        <v>45</v>
      </c>
      <c r="K40" s="9">
        <v>63</v>
      </c>
      <c r="L40" s="9">
        <v>65</v>
      </c>
      <c r="M40" s="9">
        <v>71</v>
      </c>
      <c r="N40" s="9">
        <v>84</v>
      </c>
      <c r="O40" s="22">
        <v>90</v>
      </c>
      <c r="P40" s="22">
        <v>94</v>
      </c>
      <c r="Q40" s="30">
        <v>99</v>
      </c>
      <c r="R40" s="30">
        <v>104</v>
      </c>
    </row>
    <row r="41" spans="1:18" ht="19.899999999999999" customHeight="1" x14ac:dyDescent="0.2">
      <c r="A41" s="29"/>
      <c r="B41" s="56"/>
      <c r="C41" s="57"/>
      <c r="D41" s="58" t="s">
        <v>33</v>
      </c>
      <c r="E41" s="90" t="s">
        <v>47</v>
      </c>
      <c r="F41" s="94" t="s">
        <v>41</v>
      </c>
      <c r="G41" s="86">
        <v>7</v>
      </c>
      <c r="H41" s="49">
        <v>11</v>
      </c>
      <c r="I41" s="49">
        <v>17</v>
      </c>
      <c r="J41" s="82">
        <v>41</v>
      </c>
      <c r="K41" s="49">
        <v>62</v>
      </c>
      <c r="L41" s="49">
        <v>69</v>
      </c>
      <c r="M41" s="49">
        <v>79</v>
      </c>
      <c r="N41" s="49">
        <v>98</v>
      </c>
      <c r="O41" s="82">
        <v>99</v>
      </c>
      <c r="P41" s="82">
        <v>100</v>
      </c>
      <c r="Q41" s="86">
        <v>103</v>
      </c>
      <c r="R41" s="86">
        <v>105</v>
      </c>
    </row>
    <row r="42" spans="1:18" ht="19.899999999999999" customHeight="1" thickBot="1" x14ac:dyDescent="0.25">
      <c r="A42" s="29"/>
      <c r="B42" s="13"/>
      <c r="C42" s="15"/>
      <c r="D42" s="16" t="s">
        <v>11</v>
      </c>
      <c r="E42" s="91" t="s">
        <v>47</v>
      </c>
      <c r="F42" s="95" t="s">
        <v>41</v>
      </c>
      <c r="G42" s="31">
        <v>9</v>
      </c>
      <c r="H42" s="10">
        <v>13</v>
      </c>
      <c r="I42" s="10">
        <v>22</v>
      </c>
      <c r="J42" s="23">
        <v>55</v>
      </c>
      <c r="K42" s="10">
        <v>78</v>
      </c>
      <c r="L42" s="10">
        <v>82</v>
      </c>
      <c r="M42" s="10">
        <v>93</v>
      </c>
      <c r="N42" s="10">
        <v>96</v>
      </c>
      <c r="O42" s="23">
        <v>100</v>
      </c>
      <c r="P42" s="23">
        <v>113</v>
      </c>
      <c r="Q42" s="31">
        <v>112</v>
      </c>
      <c r="R42" s="31">
        <v>115</v>
      </c>
    </row>
    <row r="43" spans="1:18" ht="19.899999999999999" customHeight="1" x14ac:dyDescent="0.2">
      <c r="A43" s="29"/>
      <c r="B43" s="11" t="s">
        <v>2</v>
      </c>
      <c r="C43" s="14">
        <v>3</v>
      </c>
      <c r="D43" s="12" t="s">
        <v>10</v>
      </c>
      <c r="E43" s="89" t="s">
        <v>48</v>
      </c>
      <c r="F43" s="93" t="s">
        <v>41</v>
      </c>
      <c r="G43" s="30">
        <v>10</v>
      </c>
      <c r="H43" s="9">
        <v>15</v>
      </c>
      <c r="I43" s="9">
        <v>24</v>
      </c>
      <c r="J43" s="22">
        <v>52</v>
      </c>
      <c r="K43" s="9">
        <v>73</v>
      </c>
      <c r="L43" s="9">
        <v>75</v>
      </c>
      <c r="M43" s="9">
        <v>84</v>
      </c>
      <c r="N43" s="9">
        <v>101</v>
      </c>
      <c r="O43" s="22">
        <v>104</v>
      </c>
      <c r="P43" s="22">
        <v>108</v>
      </c>
      <c r="Q43" s="30">
        <v>109</v>
      </c>
      <c r="R43" s="30">
        <v>111</v>
      </c>
    </row>
    <row r="44" spans="1:18" ht="19.899999999999999" customHeight="1" x14ac:dyDescent="0.2">
      <c r="A44" s="29"/>
      <c r="B44" s="56"/>
      <c r="C44" s="57"/>
      <c r="D44" s="58" t="s">
        <v>33</v>
      </c>
      <c r="E44" s="90" t="s">
        <v>48</v>
      </c>
      <c r="F44" s="94" t="s">
        <v>41</v>
      </c>
      <c r="G44" s="86">
        <v>9</v>
      </c>
      <c r="H44" s="49">
        <v>14</v>
      </c>
      <c r="I44" s="49">
        <v>20</v>
      </c>
      <c r="J44" s="82">
        <v>45</v>
      </c>
      <c r="K44" s="49">
        <v>70</v>
      </c>
      <c r="L44" s="49">
        <v>76</v>
      </c>
      <c r="M44" s="49">
        <v>92</v>
      </c>
      <c r="N44" s="49">
        <v>108</v>
      </c>
      <c r="O44" s="82">
        <v>109</v>
      </c>
      <c r="P44" s="82">
        <v>107</v>
      </c>
      <c r="Q44" s="86">
        <v>108</v>
      </c>
      <c r="R44" s="86">
        <v>104</v>
      </c>
    </row>
    <row r="45" spans="1:18" ht="19.899999999999999" customHeight="1" thickBot="1" x14ac:dyDescent="0.25">
      <c r="A45" s="29"/>
      <c r="B45" s="13"/>
      <c r="C45" s="15"/>
      <c r="D45" s="16" t="s">
        <v>11</v>
      </c>
      <c r="E45" s="91" t="s">
        <v>48</v>
      </c>
      <c r="F45" s="95" t="s">
        <v>41</v>
      </c>
      <c r="G45" s="31">
        <v>7</v>
      </c>
      <c r="H45" s="10">
        <v>13</v>
      </c>
      <c r="I45" s="10">
        <v>18</v>
      </c>
      <c r="J45" s="23">
        <v>31</v>
      </c>
      <c r="K45" s="10">
        <v>50</v>
      </c>
      <c r="L45" s="10">
        <v>51</v>
      </c>
      <c r="M45" s="10">
        <v>54</v>
      </c>
      <c r="N45" s="10">
        <v>64</v>
      </c>
      <c r="O45" s="23">
        <v>69</v>
      </c>
      <c r="P45" s="23">
        <v>71</v>
      </c>
      <c r="Q45" s="31">
        <v>76</v>
      </c>
      <c r="R45" s="31">
        <v>79</v>
      </c>
    </row>
    <row r="46" spans="1:18" ht="19.899999999999999" customHeight="1" x14ac:dyDescent="0.2">
      <c r="A46" s="29"/>
      <c r="B46" s="11" t="s">
        <v>2</v>
      </c>
      <c r="C46" s="14">
        <v>4</v>
      </c>
      <c r="D46" s="12" t="s">
        <v>10</v>
      </c>
      <c r="E46" s="89" t="s">
        <v>42</v>
      </c>
      <c r="F46" s="93" t="s">
        <v>41</v>
      </c>
      <c r="G46" s="30">
        <v>7</v>
      </c>
      <c r="H46" s="9">
        <v>11</v>
      </c>
      <c r="I46" s="9">
        <v>17</v>
      </c>
      <c r="J46" s="22">
        <v>45</v>
      </c>
      <c r="K46" s="9">
        <v>62</v>
      </c>
      <c r="L46" s="9">
        <v>70</v>
      </c>
      <c r="M46" s="9">
        <v>91</v>
      </c>
      <c r="N46" s="9">
        <v>96</v>
      </c>
      <c r="O46" s="22">
        <v>101</v>
      </c>
      <c r="P46" s="22">
        <v>106</v>
      </c>
      <c r="Q46" s="30">
        <v>108</v>
      </c>
      <c r="R46" s="30">
        <v>109</v>
      </c>
    </row>
    <row r="47" spans="1:18" ht="19.899999999999999" customHeight="1" x14ac:dyDescent="0.2">
      <c r="A47" s="29"/>
      <c r="B47" s="56"/>
      <c r="C47" s="57"/>
      <c r="D47" s="58" t="s">
        <v>33</v>
      </c>
      <c r="E47" s="90" t="s">
        <v>42</v>
      </c>
      <c r="F47" s="94" t="s">
        <v>41</v>
      </c>
      <c r="G47" s="86">
        <v>11</v>
      </c>
      <c r="H47" s="49">
        <v>15</v>
      </c>
      <c r="I47" s="49">
        <v>19</v>
      </c>
      <c r="J47" s="82">
        <v>41</v>
      </c>
      <c r="K47" s="49">
        <v>63</v>
      </c>
      <c r="L47" s="49">
        <v>69</v>
      </c>
      <c r="M47" s="49">
        <v>85</v>
      </c>
      <c r="N47" s="49">
        <v>97</v>
      </c>
      <c r="O47" s="82">
        <v>100</v>
      </c>
      <c r="P47" s="82">
        <v>103</v>
      </c>
      <c r="Q47" s="86">
        <v>105</v>
      </c>
      <c r="R47" s="86">
        <v>110</v>
      </c>
    </row>
    <row r="48" spans="1:18" ht="19.899999999999999" customHeight="1" thickBot="1" x14ac:dyDescent="0.25">
      <c r="A48" s="29"/>
      <c r="B48" s="13"/>
      <c r="C48" s="15"/>
      <c r="D48" s="16" t="s">
        <v>11</v>
      </c>
      <c r="E48" s="91" t="s">
        <v>42</v>
      </c>
      <c r="F48" s="95" t="s">
        <v>41</v>
      </c>
      <c r="G48" s="31">
        <v>8</v>
      </c>
      <c r="H48" s="10">
        <v>13</v>
      </c>
      <c r="I48" s="10">
        <v>19</v>
      </c>
      <c r="J48" s="23">
        <v>46</v>
      </c>
      <c r="K48" s="10">
        <v>67</v>
      </c>
      <c r="L48" s="10">
        <v>76</v>
      </c>
      <c r="M48" s="10">
        <v>90</v>
      </c>
      <c r="N48" s="10">
        <v>98</v>
      </c>
      <c r="O48" s="23">
        <v>102</v>
      </c>
      <c r="P48" s="23">
        <v>107</v>
      </c>
      <c r="Q48" s="31">
        <v>109</v>
      </c>
      <c r="R48" s="31">
        <v>106</v>
      </c>
    </row>
    <row r="49" spans="1:18" ht="19.899999999999999" customHeight="1" x14ac:dyDescent="0.2">
      <c r="A49" s="29"/>
      <c r="B49" s="11" t="s">
        <v>3</v>
      </c>
      <c r="C49" s="14">
        <v>4</v>
      </c>
      <c r="D49" s="12" t="s">
        <v>11</v>
      </c>
      <c r="E49" s="89" t="s">
        <v>42</v>
      </c>
      <c r="F49" s="96" t="s">
        <v>43</v>
      </c>
      <c r="G49" s="30">
        <v>13</v>
      </c>
      <c r="H49" s="9">
        <v>17</v>
      </c>
      <c r="I49" s="9">
        <v>25</v>
      </c>
      <c r="J49" s="22">
        <v>55</v>
      </c>
      <c r="K49" s="9">
        <v>75</v>
      </c>
      <c r="L49" s="9">
        <v>78</v>
      </c>
      <c r="M49" s="9">
        <v>87</v>
      </c>
      <c r="N49" s="9">
        <v>98</v>
      </c>
      <c r="O49" s="22">
        <v>101</v>
      </c>
      <c r="P49" s="22">
        <v>103</v>
      </c>
      <c r="Q49" s="30">
        <v>102</v>
      </c>
      <c r="R49" s="30">
        <v>107</v>
      </c>
    </row>
    <row r="50" spans="1:18" ht="19.899999999999999" customHeight="1" x14ac:dyDescent="0.2">
      <c r="A50" s="29"/>
      <c r="B50" s="56"/>
      <c r="C50" s="57"/>
      <c r="D50" s="58" t="s">
        <v>33</v>
      </c>
      <c r="E50" s="90" t="s">
        <v>42</v>
      </c>
      <c r="F50" s="97" t="s">
        <v>43</v>
      </c>
      <c r="G50" s="86">
        <v>14</v>
      </c>
      <c r="H50" s="49">
        <v>19</v>
      </c>
      <c r="I50" s="49">
        <v>25</v>
      </c>
      <c r="J50" s="82">
        <v>59</v>
      </c>
      <c r="K50" s="49">
        <v>73</v>
      </c>
      <c r="L50" s="49">
        <v>76</v>
      </c>
      <c r="M50" s="49">
        <v>85</v>
      </c>
      <c r="N50" s="49">
        <v>98</v>
      </c>
      <c r="O50" s="82">
        <v>103</v>
      </c>
      <c r="P50" s="82">
        <v>109</v>
      </c>
      <c r="Q50" s="86">
        <v>113</v>
      </c>
      <c r="R50" s="86">
        <v>112</v>
      </c>
    </row>
    <row r="51" spans="1:18" ht="19.899999999999999" customHeight="1" thickBot="1" x14ac:dyDescent="0.25">
      <c r="A51" s="29"/>
      <c r="B51" s="13"/>
      <c r="C51" s="15"/>
      <c r="D51" s="16" t="s">
        <v>10</v>
      </c>
      <c r="E51" s="91" t="s">
        <v>42</v>
      </c>
      <c r="F51" s="98" t="s">
        <v>43</v>
      </c>
      <c r="G51" s="31">
        <v>9</v>
      </c>
      <c r="H51" s="10">
        <v>14</v>
      </c>
      <c r="I51" s="10">
        <v>25</v>
      </c>
      <c r="J51" s="23">
        <v>53</v>
      </c>
      <c r="K51" s="10">
        <v>78</v>
      </c>
      <c r="L51" s="10">
        <v>88</v>
      </c>
      <c r="M51" s="10">
        <v>108</v>
      </c>
      <c r="N51" s="10">
        <v>116</v>
      </c>
      <c r="O51" s="23">
        <v>120</v>
      </c>
      <c r="P51" s="23">
        <v>123</v>
      </c>
      <c r="Q51" s="31">
        <v>128</v>
      </c>
      <c r="R51" s="31">
        <v>125</v>
      </c>
    </row>
    <row r="52" spans="1:18" ht="19.899999999999999" customHeight="1" x14ac:dyDescent="0.2">
      <c r="A52" s="29"/>
      <c r="B52" s="11" t="s">
        <v>3</v>
      </c>
      <c r="C52" s="14">
        <v>3</v>
      </c>
      <c r="D52" s="12" t="s">
        <v>11</v>
      </c>
      <c r="E52" s="89" t="s">
        <v>48</v>
      </c>
      <c r="F52" s="96" t="s">
        <v>43</v>
      </c>
      <c r="G52" s="30">
        <v>13</v>
      </c>
      <c r="H52" s="9">
        <v>19</v>
      </c>
      <c r="I52" s="9">
        <v>28</v>
      </c>
      <c r="J52" s="22">
        <v>63</v>
      </c>
      <c r="K52" s="9">
        <v>81</v>
      </c>
      <c r="L52" s="9">
        <v>89</v>
      </c>
      <c r="M52" s="9">
        <v>109</v>
      </c>
      <c r="N52" s="9">
        <v>117</v>
      </c>
      <c r="O52" s="22">
        <v>119</v>
      </c>
      <c r="P52" s="22">
        <v>118</v>
      </c>
      <c r="Q52" s="30">
        <v>121</v>
      </c>
      <c r="R52" s="30">
        <v>112</v>
      </c>
    </row>
    <row r="53" spans="1:18" ht="19.899999999999999" customHeight="1" x14ac:dyDescent="0.2">
      <c r="A53" s="29"/>
      <c r="B53" s="56"/>
      <c r="C53" s="57"/>
      <c r="D53" s="58" t="s">
        <v>33</v>
      </c>
      <c r="E53" s="90" t="s">
        <v>48</v>
      </c>
      <c r="F53" s="97" t="s">
        <v>43</v>
      </c>
      <c r="G53" s="86">
        <v>9</v>
      </c>
      <c r="H53" s="49">
        <v>14</v>
      </c>
      <c r="I53" s="49">
        <v>22</v>
      </c>
      <c r="J53" s="82">
        <v>46</v>
      </c>
      <c r="K53" s="49">
        <v>75</v>
      </c>
      <c r="L53" s="49">
        <v>80</v>
      </c>
      <c r="M53" s="49">
        <v>94</v>
      </c>
      <c r="N53" s="49">
        <v>100</v>
      </c>
      <c r="O53" s="82">
        <v>104</v>
      </c>
      <c r="P53" s="82">
        <v>109</v>
      </c>
      <c r="Q53" s="86">
        <v>115</v>
      </c>
      <c r="R53" s="86">
        <v>110</v>
      </c>
    </row>
    <row r="54" spans="1:18" ht="19.899999999999999" customHeight="1" thickBot="1" x14ac:dyDescent="0.25">
      <c r="A54" s="29"/>
      <c r="B54" s="13"/>
      <c r="C54" s="15"/>
      <c r="D54" s="16" t="s">
        <v>10</v>
      </c>
      <c r="E54" s="91" t="s">
        <v>48</v>
      </c>
      <c r="F54" s="98" t="s">
        <v>43</v>
      </c>
      <c r="G54" s="31">
        <v>16</v>
      </c>
      <c r="H54" s="10">
        <v>23</v>
      </c>
      <c r="I54" s="10">
        <v>32</v>
      </c>
      <c r="J54" s="23">
        <v>70</v>
      </c>
      <c r="K54" s="10">
        <v>85</v>
      </c>
      <c r="L54" s="10">
        <v>92</v>
      </c>
      <c r="M54" s="10">
        <v>102</v>
      </c>
      <c r="N54" s="10">
        <v>113</v>
      </c>
      <c r="O54" s="23">
        <v>116</v>
      </c>
      <c r="P54" s="23">
        <v>117</v>
      </c>
      <c r="Q54" s="31">
        <v>118</v>
      </c>
      <c r="R54" s="31">
        <v>110</v>
      </c>
    </row>
    <row r="55" spans="1:18" ht="19.899999999999999" customHeight="1" x14ac:dyDescent="0.2">
      <c r="A55" s="29"/>
      <c r="B55" s="11" t="s">
        <v>3</v>
      </c>
      <c r="C55" s="14">
        <v>2</v>
      </c>
      <c r="D55" s="12" t="s">
        <v>11</v>
      </c>
      <c r="E55" s="89" t="s">
        <v>47</v>
      </c>
      <c r="F55" s="96" t="s">
        <v>43</v>
      </c>
      <c r="G55" s="30">
        <v>15</v>
      </c>
      <c r="H55" s="9">
        <v>23</v>
      </c>
      <c r="I55" s="9">
        <v>32</v>
      </c>
      <c r="J55" s="22">
        <v>62</v>
      </c>
      <c r="K55" s="9">
        <v>77</v>
      </c>
      <c r="L55" s="9">
        <v>79</v>
      </c>
      <c r="M55" s="9">
        <v>82</v>
      </c>
      <c r="N55" s="9">
        <v>89</v>
      </c>
      <c r="O55" s="22">
        <v>91</v>
      </c>
      <c r="P55" s="22">
        <v>94</v>
      </c>
      <c r="Q55" s="54">
        <v>94</v>
      </c>
      <c r="R55" s="30">
        <v>91</v>
      </c>
    </row>
    <row r="56" spans="1:18" ht="19.899999999999999" customHeight="1" x14ac:dyDescent="0.2">
      <c r="A56" s="29"/>
      <c r="B56" s="56"/>
      <c r="C56" s="57"/>
      <c r="D56" s="58" t="s">
        <v>33</v>
      </c>
      <c r="E56" s="90" t="s">
        <v>47</v>
      </c>
      <c r="F56" s="97" t="s">
        <v>43</v>
      </c>
      <c r="G56" s="86">
        <v>12</v>
      </c>
      <c r="H56" s="49">
        <v>21</v>
      </c>
      <c r="I56" s="49">
        <v>32</v>
      </c>
      <c r="J56" s="82">
        <v>68</v>
      </c>
      <c r="K56" s="49">
        <v>97</v>
      </c>
      <c r="L56" s="49">
        <v>100</v>
      </c>
      <c r="M56" s="49">
        <v>104</v>
      </c>
      <c r="N56" s="49">
        <v>107</v>
      </c>
      <c r="O56" s="82">
        <v>110</v>
      </c>
      <c r="P56" s="82">
        <v>114</v>
      </c>
      <c r="Q56" s="88">
        <v>113</v>
      </c>
      <c r="R56" s="86">
        <v>115</v>
      </c>
    </row>
    <row r="57" spans="1:18" ht="19.899999999999999" customHeight="1" thickBot="1" x14ac:dyDescent="0.25">
      <c r="A57" s="29"/>
      <c r="B57" s="13"/>
      <c r="C57" s="15"/>
      <c r="D57" s="16" t="s">
        <v>10</v>
      </c>
      <c r="E57" s="91" t="s">
        <v>47</v>
      </c>
      <c r="F57" s="98" t="s">
        <v>43</v>
      </c>
      <c r="G57" s="31">
        <v>9</v>
      </c>
      <c r="H57" s="10">
        <v>17</v>
      </c>
      <c r="I57" s="10">
        <v>27</v>
      </c>
      <c r="J57" s="23">
        <v>57</v>
      </c>
      <c r="K57" s="10">
        <v>83</v>
      </c>
      <c r="L57" s="10">
        <v>85</v>
      </c>
      <c r="M57" s="10">
        <v>87</v>
      </c>
      <c r="N57" s="10">
        <v>91</v>
      </c>
      <c r="O57" s="23">
        <v>99</v>
      </c>
      <c r="P57" s="23">
        <v>108</v>
      </c>
      <c r="Q57" s="31">
        <v>114</v>
      </c>
      <c r="R57" s="31">
        <v>110</v>
      </c>
    </row>
    <row r="58" spans="1:18" ht="19.899999999999999" customHeight="1" x14ac:dyDescent="0.2">
      <c r="A58" s="29"/>
      <c r="B58" s="11" t="s">
        <v>3</v>
      </c>
      <c r="C58" s="14">
        <v>1</v>
      </c>
      <c r="D58" s="12" t="s">
        <v>11</v>
      </c>
      <c r="E58" s="89" t="s">
        <v>46</v>
      </c>
      <c r="F58" s="96" t="s">
        <v>43</v>
      </c>
      <c r="G58" s="30">
        <v>17</v>
      </c>
      <c r="H58" s="9">
        <v>24</v>
      </c>
      <c r="I58" s="9">
        <v>37</v>
      </c>
      <c r="J58" s="22">
        <v>68</v>
      </c>
      <c r="K58" s="9">
        <v>89</v>
      </c>
      <c r="L58" s="9">
        <v>95</v>
      </c>
      <c r="M58" s="9">
        <v>111</v>
      </c>
      <c r="N58" s="9">
        <v>119</v>
      </c>
      <c r="O58" s="22">
        <v>125</v>
      </c>
      <c r="P58" s="22">
        <v>129</v>
      </c>
      <c r="Q58" s="30">
        <v>131</v>
      </c>
      <c r="R58" s="30">
        <v>131</v>
      </c>
    </row>
    <row r="59" spans="1:18" ht="19.899999999999999" customHeight="1" x14ac:dyDescent="0.2">
      <c r="A59" s="29"/>
      <c r="B59" s="56"/>
      <c r="C59" s="57"/>
      <c r="D59" s="58" t="s">
        <v>33</v>
      </c>
      <c r="E59" s="90" t="s">
        <v>46</v>
      </c>
      <c r="F59" s="97" t="s">
        <v>43</v>
      </c>
      <c r="G59" s="86">
        <v>16</v>
      </c>
      <c r="H59" s="49">
        <v>21</v>
      </c>
      <c r="I59" s="49">
        <v>30</v>
      </c>
      <c r="J59" s="82">
        <v>64</v>
      </c>
      <c r="K59" s="49">
        <v>87</v>
      </c>
      <c r="L59" s="49">
        <v>92</v>
      </c>
      <c r="M59" s="49">
        <v>106</v>
      </c>
      <c r="N59" s="49">
        <v>111</v>
      </c>
      <c r="O59" s="82">
        <v>115</v>
      </c>
      <c r="P59" s="82">
        <v>120</v>
      </c>
      <c r="Q59" s="86">
        <v>125</v>
      </c>
      <c r="R59" s="86">
        <v>123</v>
      </c>
    </row>
    <row r="60" spans="1:18" ht="19.899999999999999" customHeight="1" thickBot="1" x14ac:dyDescent="0.25">
      <c r="A60" s="29"/>
      <c r="B60" s="13"/>
      <c r="C60" s="15"/>
      <c r="D60" s="16" t="s">
        <v>10</v>
      </c>
      <c r="E60" s="91" t="s">
        <v>46</v>
      </c>
      <c r="F60" s="98" t="s">
        <v>43</v>
      </c>
      <c r="G60" s="31">
        <v>15</v>
      </c>
      <c r="H60" s="10">
        <v>19</v>
      </c>
      <c r="I60" s="10">
        <v>34</v>
      </c>
      <c r="J60" s="23">
        <v>63</v>
      </c>
      <c r="K60" s="10">
        <v>89</v>
      </c>
      <c r="L60" s="10">
        <v>92</v>
      </c>
      <c r="M60" s="10">
        <v>108</v>
      </c>
      <c r="N60" s="10">
        <v>113</v>
      </c>
      <c r="O60" s="23">
        <v>117</v>
      </c>
      <c r="P60" s="23">
        <v>123</v>
      </c>
      <c r="Q60" s="31">
        <v>127</v>
      </c>
      <c r="R60" s="31">
        <v>122</v>
      </c>
    </row>
    <row r="61" spans="1:18" ht="19.5" customHeight="1" x14ac:dyDescent="0.2">
      <c r="B61" s="11" t="s">
        <v>4</v>
      </c>
      <c r="C61" s="14">
        <v>1</v>
      </c>
      <c r="D61" s="12" t="s">
        <v>10</v>
      </c>
      <c r="E61" s="89" t="s">
        <v>48</v>
      </c>
      <c r="F61" s="96" t="s">
        <v>43</v>
      </c>
      <c r="G61" s="30">
        <v>14</v>
      </c>
      <c r="H61" s="9">
        <v>21</v>
      </c>
      <c r="I61" s="9">
        <v>32</v>
      </c>
      <c r="J61" s="22">
        <v>67</v>
      </c>
      <c r="K61" s="9">
        <v>84</v>
      </c>
      <c r="L61" s="9">
        <v>93</v>
      </c>
      <c r="M61" s="9">
        <v>108</v>
      </c>
      <c r="N61" s="9">
        <v>114</v>
      </c>
      <c r="O61" s="22">
        <v>117</v>
      </c>
      <c r="P61" s="22">
        <v>122</v>
      </c>
      <c r="Q61" s="30">
        <v>121</v>
      </c>
      <c r="R61" s="30">
        <v>122</v>
      </c>
    </row>
    <row r="62" spans="1:18" ht="19.5" customHeight="1" x14ac:dyDescent="0.2">
      <c r="B62" s="56"/>
      <c r="C62" s="57"/>
      <c r="D62" s="58" t="s">
        <v>33</v>
      </c>
      <c r="E62" s="90" t="s">
        <v>48</v>
      </c>
      <c r="F62" s="97" t="s">
        <v>43</v>
      </c>
      <c r="G62" s="86">
        <v>16</v>
      </c>
      <c r="H62" s="49">
        <v>24</v>
      </c>
      <c r="I62" s="49">
        <v>32</v>
      </c>
      <c r="J62" s="82">
        <v>66</v>
      </c>
      <c r="K62" s="49">
        <v>84</v>
      </c>
      <c r="L62" s="49">
        <v>94</v>
      </c>
      <c r="M62" s="49">
        <v>103</v>
      </c>
      <c r="N62" s="49">
        <v>108</v>
      </c>
      <c r="O62" s="82">
        <v>111</v>
      </c>
      <c r="P62" s="82">
        <v>116</v>
      </c>
      <c r="Q62" s="86">
        <v>118</v>
      </c>
      <c r="R62" s="86">
        <v>118</v>
      </c>
    </row>
    <row r="63" spans="1:18" ht="19.5" customHeight="1" thickBot="1" x14ac:dyDescent="0.25">
      <c r="B63" s="13"/>
      <c r="C63" s="15"/>
      <c r="D63" s="16" t="s">
        <v>11</v>
      </c>
      <c r="E63" s="91" t="s">
        <v>48</v>
      </c>
      <c r="F63" s="98" t="s">
        <v>43</v>
      </c>
      <c r="G63" s="31">
        <v>15</v>
      </c>
      <c r="H63" s="10">
        <v>22</v>
      </c>
      <c r="I63" s="10">
        <v>33</v>
      </c>
      <c r="J63" s="23">
        <v>60</v>
      </c>
      <c r="K63" s="10">
        <v>79</v>
      </c>
      <c r="L63" s="10">
        <v>82</v>
      </c>
      <c r="M63" s="10">
        <v>88</v>
      </c>
      <c r="N63" s="10">
        <v>92</v>
      </c>
      <c r="O63" s="23">
        <v>94</v>
      </c>
      <c r="P63" s="23">
        <v>97</v>
      </c>
      <c r="Q63" s="31">
        <v>98</v>
      </c>
      <c r="R63" s="31">
        <v>99</v>
      </c>
    </row>
    <row r="64" spans="1:18" ht="19.5" customHeight="1" x14ac:dyDescent="0.2">
      <c r="B64" s="11" t="s">
        <v>4</v>
      </c>
      <c r="C64" s="14">
        <v>2</v>
      </c>
      <c r="D64" s="12" t="s">
        <v>10</v>
      </c>
      <c r="E64" s="89" t="s">
        <v>45</v>
      </c>
      <c r="F64" s="96" t="s">
        <v>43</v>
      </c>
      <c r="G64" s="30">
        <v>15</v>
      </c>
      <c r="H64" s="9">
        <v>21</v>
      </c>
      <c r="I64" s="9">
        <v>27</v>
      </c>
      <c r="J64" s="22">
        <v>50</v>
      </c>
      <c r="K64" s="9">
        <v>71</v>
      </c>
      <c r="L64" s="9">
        <v>78</v>
      </c>
      <c r="M64" s="9">
        <v>88</v>
      </c>
      <c r="N64" s="9">
        <v>91</v>
      </c>
      <c r="O64" s="38">
        <v>93</v>
      </c>
      <c r="P64" s="38">
        <v>94</v>
      </c>
      <c r="Q64" s="54">
        <v>93</v>
      </c>
      <c r="R64" s="54">
        <v>94</v>
      </c>
    </row>
    <row r="65" spans="2:18" ht="19.5" customHeight="1" x14ac:dyDescent="0.2">
      <c r="B65" s="56"/>
      <c r="C65" s="57"/>
      <c r="D65" s="58" t="s">
        <v>33</v>
      </c>
      <c r="E65" s="90" t="s">
        <v>45</v>
      </c>
      <c r="F65" s="97" t="s">
        <v>43</v>
      </c>
      <c r="G65" s="86">
        <v>13</v>
      </c>
      <c r="H65" s="49">
        <v>19</v>
      </c>
      <c r="I65" s="49">
        <v>27</v>
      </c>
      <c r="J65" s="82">
        <v>54</v>
      </c>
      <c r="K65" s="49">
        <v>75</v>
      </c>
      <c r="L65" s="49">
        <v>76</v>
      </c>
      <c r="M65" s="49">
        <v>80</v>
      </c>
      <c r="N65" s="49">
        <v>82</v>
      </c>
      <c r="O65" s="87">
        <v>82</v>
      </c>
      <c r="P65" s="87">
        <v>84</v>
      </c>
      <c r="Q65" s="88">
        <v>83</v>
      </c>
      <c r="R65" s="88">
        <v>84</v>
      </c>
    </row>
    <row r="66" spans="2:18" ht="19.5" customHeight="1" thickBot="1" x14ac:dyDescent="0.25">
      <c r="B66" s="56"/>
      <c r="C66" s="57"/>
      <c r="D66" s="16" t="s">
        <v>11</v>
      </c>
      <c r="E66" s="91" t="s">
        <v>45</v>
      </c>
      <c r="F66" s="98" t="s">
        <v>43</v>
      </c>
      <c r="G66" s="31">
        <v>11</v>
      </c>
      <c r="H66" s="10">
        <v>18</v>
      </c>
      <c r="I66" s="10">
        <v>26</v>
      </c>
      <c r="J66" s="23">
        <v>55</v>
      </c>
      <c r="K66" s="10">
        <v>77</v>
      </c>
      <c r="L66" s="10">
        <v>78</v>
      </c>
      <c r="M66" s="10">
        <v>83</v>
      </c>
      <c r="N66" s="10">
        <v>87</v>
      </c>
      <c r="O66" s="23">
        <v>91</v>
      </c>
      <c r="P66" s="23">
        <v>93</v>
      </c>
      <c r="Q66" s="31">
        <v>93</v>
      </c>
      <c r="R66" s="31">
        <v>92</v>
      </c>
    </row>
    <row r="67" spans="2:18" ht="19.5" customHeight="1" x14ac:dyDescent="0.2">
      <c r="B67" s="11" t="s">
        <v>4</v>
      </c>
      <c r="C67" s="14">
        <v>3</v>
      </c>
      <c r="D67" s="12" t="s">
        <v>10</v>
      </c>
      <c r="E67" s="89" t="s">
        <v>44</v>
      </c>
      <c r="F67" s="96" t="s">
        <v>43</v>
      </c>
      <c r="G67" s="30">
        <v>9</v>
      </c>
      <c r="H67" s="9">
        <v>15</v>
      </c>
      <c r="I67" s="9">
        <v>22</v>
      </c>
      <c r="J67" s="22">
        <v>52</v>
      </c>
      <c r="K67" s="9">
        <v>73</v>
      </c>
      <c r="L67" s="9">
        <v>76</v>
      </c>
      <c r="M67" s="9">
        <v>86</v>
      </c>
      <c r="N67" s="9">
        <v>95</v>
      </c>
      <c r="O67" s="38">
        <v>98</v>
      </c>
      <c r="P67" s="38">
        <v>101</v>
      </c>
      <c r="Q67" s="54">
        <v>100</v>
      </c>
      <c r="R67" s="54">
        <v>98</v>
      </c>
    </row>
    <row r="68" spans="2:18" ht="19.5" customHeight="1" x14ac:dyDescent="0.2">
      <c r="B68" s="56"/>
      <c r="C68" s="57"/>
      <c r="D68" s="58" t="s">
        <v>33</v>
      </c>
      <c r="E68" s="90" t="s">
        <v>44</v>
      </c>
      <c r="F68" s="97" t="s">
        <v>43</v>
      </c>
      <c r="G68" s="86">
        <v>12</v>
      </c>
      <c r="H68" s="49">
        <v>19</v>
      </c>
      <c r="I68" s="49">
        <v>27</v>
      </c>
      <c r="J68" s="82">
        <v>56</v>
      </c>
      <c r="K68" s="49">
        <v>77</v>
      </c>
      <c r="L68" s="49">
        <v>78</v>
      </c>
      <c r="M68" s="49">
        <v>76</v>
      </c>
      <c r="N68" s="49">
        <v>79</v>
      </c>
      <c r="O68" s="87">
        <v>81</v>
      </c>
      <c r="P68" s="87">
        <v>82</v>
      </c>
      <c r="Q68" s="88">
        <v>83</v>
      </c>
      <c r="R68" s="88">
        <v>83</v>
      </c>
    </row>
    <row r="69" spans="2:18" ht="19.5" customHeight="1" thickBot="1" x14ac:dyDescent="0.25">
      <c r="B69" s="13"/>
      <c r="C69" s="15"/>
      <c r="D69" s="16" t="s">
        <v>11</v>
      </c>
      <c r="E69" s="91" t="s">
        <v>44</v>
      </c>
      <c r="F69" s="98" t="s">
        <v>43</v>
      </c>
      <c r="G69" s="31">
        <v>10</v>
      </c>
      <c r="H69" s="10">
        <v>18</v>
      </c>
      <c r="I69" s="10">
        <v>30</v>
      </c>
      <c r="J69" s="23">
        <v>59</v>
      </c>
      <c r="K69" s="10">
        <v>79</v>
      </c>
      <c r="L69" s="10">
        <v>78</v>
      </c>
      <c r="M69" s="10">
        <v>79</v>
      </c>
      <c r="N69" s="10">
        <v>81</v>
      </c>
      <c r="O69" s="48">
        <v>84</v>
      </c>
      <c r="P69" s="48">
        <v>86</v>
      </c>
      <c r="Q69" s="55">
        <v>85</v>
      </c>
      <c r="R69" s="55">
        <v>86</v>
      </c>
    </row>
    <row r="70" spans="2:18" ht="19.5" customHeight="1" x14ac:dyDescent="0.2">
      <c r="B70" s="11" t="s">
        <v>4</v>
      </c>
      <c r="C70" s="14">
        <v>4</v>
      </c>
      <c r="D70" s="12" t="s">
        <v>10</v>
      </c>
      <c r="E70" s="89" t="s">
        <v>47</v>
      </c>
      <c r="F70" s="96" t="s">
        <v>43</v>
      </c>
      <c r="G70" s="30">
        <v>14</v>
      </c>
      <c r="H70" s="9">
        <v>21</v>
      </c>
      <c r="I70" s="9">
        <v>29</v>
      </c>
      <c r="J70" s="22">
        <v>60</v>
      </c>
      <c r="K70" s="9">
        <v>79</v>
      </c>
      <c r="L70" s="9">
        <v>84</v>
      </c>
      <c r="M70" s="9">
        <v>87</v>
      </c>
      <c r="N70" s="9">
        <v>94</v>
      </c>
      <c r="O70" s="22">
        <v>99</v>
      </c>
      <c r="P70" s="22">
        <v>103</v>
      </c>
      <c r="Q70" s="30">
        <v>105</v>
      </c>
      <c r="R70" s="30">
        <v>101</v>
      </c>
    </row>
    <row r="71" spans="2:18" ht="19.5" customHeight="1" x14ac:dyDescent="0.2">
      <c r="B71" s="56"/>
      <c r="C71" s="57"/>
      <c r="D71" s="58" t="s">
        <v>33</v>
      </c>
      <c r="E71" s="90" t="s">
        <v>47</v>
      </c>
      <c r="F71" s="97" t="s">
        <v>43</v>
      </c>
      <c r="G71" s="86">
        <v>11</v>
      </c>
      <c r="H71" s="49">
        <v>19</v>
      </c>
      <c r="I71" s="49">
        <v>24</v>
      </c>
      <c r="J71" s="82">
        <v>46</v>
      </c>
      <c r="K71" s="49">
        <v>69</v>
      </c>
      <c r="L71" s="49">
        <v>75</v>
      </c>
      <c r="M71" s="49">
        <v>83</v>
      </c>
      <c r="N71" s="49">
        <v>90</v>
      </c>
      <c r="O71" s="82">
        <v>96</v>
      </c>
      <c r="P71" s="82">
        <v>101</v>
      </c>
      <c r="Q71" s="86">
        <v>102</v>
      </c>
      <c r="R71" s="86">
        <v>102</v>
      </c>
    </row>
    <row r="72" spans="2:18" ht="19.5" customHeight="1" thickBot="1" x14ac:dyDescent="0.25">
      <c r="B72" s="13"/>
      <c r="C72" s="15"/>
      <c r="D72" s="16" t="s">
        <v>11</v>
      </c>
      <c r="E72" s="91" t="s">
        <v>47</v>
      </c>
      <c r="F72" s="98" t="s">
        <v>43</v>
      </c>
      <c r="G72" s="31">
        <v>13</v>
      </c>
      <c r="H72" s="10">
        <v>21</v>
      </c>
      <c r="I72" s="10">
        <v>26</v>
      </c>
      <c r="J72" s="23">
        <v>61</v>
      </c>
      <c r="K72" s="10">
        <v>82</v>
      </c>
      <c r="L72" s="10">
        <v>86</v>
      </c>
      <c r="M72" s="10">
        <v>96</v>
      </c>
      <c r="N72" s="10">
        <v>103</v>
      </c>
      <c r="O72" s="23">
        <v>108</v>
      </c>
      <c r="P72" s="23">
        <v>110</v>
      </c>
      <c r="Q72" s="31">
        <v>109</v>
      </c>
      <c r="R72" s="31">
        <v>106</v>
      </c>
    </row>
    <row r="73" spans="2:18" ht="19.5" customHeight="1" x14ac:dyDescent="0.2">
      <c r="B73" s="11" t="s">
        <v>5</v>
      </c>
      <c r="C73" s="14">
        <v>4</v>
      </c>
      <c r="D73" s="12" t="s">
        <v>11</v>
      </c>
      <c r="E73" s="89" t="s">
        <v>47</v>
      </c>
      <c r="F73" s="93" t="s">
        <v>41</v>
      </c>
      <c r="G73" s="30">
        <v>5</v>
      </c>
      <c r="H73" s="9">
        <v>9</v>
      </c>
      <c r="I73" s="9">
        <v>19</v>
      </c>
      <c r="J73" s="22">
        <v>41</v>
      </c>
      <c r="K73" s="9">
        <v>64</v>
      </c>
      <c r="L73" s="9">
        <v>65</v>
      </c>
      <c r="M73" s="9">
        <v>69</v>
      </c>
      <c r="N73" s="9">
        <v>78</v>
      </c>
      <c r="O73" s="22">
        <v>83</v>
      </c>
      <c r="P73" s="22">
        <v>88</v>
      </c>
      <c r="Q73" s="30">
        <v>93</v>
      </c>
      <c r="R73" s="30">
        <v>95</v>
      </c>
    </row>
    <row r="74" spans="2:18" ht="19.5" customHeight="1" x14ac:dyDescent="0.2">
      <c r="B74" s="56"/>
      <c r="C74" s="57"/>
      <c r="D74" s="58" t="s">
        <v>33</v>
      </c>
      <c r="E74" s="90" t="s">
        <v>47</v>
      </c>
      <c r="F74" s="94" t="s">
        <v>41</v>
      </c>
      <c r="G74" s="86">
        <v>6</v>
      </c>
      <c r="H74" s="49">
        <v>10</v>
      </c>
      <c r="I74" s="49">
        <v>19</v>
      </c>
      <c r="J74" s="82">
        <v>44</v>
      </c>
      <c r="K74" s="49">
        <v>67</v>
      </c>
      <c r="L74" s="49">
        <v>71</v>
      </c>
      <c r="M74" s="49">
        <v>77</v>
      </c>
      <c r="N74" s="49">
        <v>90</v>
      </c>
      <c r="O74" s="82">
        <v>95</v>
      </c>
      <c r="P74" s="82">
        <v>99</v>
      </c>
      <c r="Q74" s="86">
        <v>101</v>
      </c>
      <c r="R74" s="86">
        <v>104</v>
      </c>
    </row>
    <row r="75" spans="2:18" ht="19.5" customHeight="1" thickBot="1" x14ac:dyDescent="0.25">
      <c r="B75" s="13"/>
      <c r="C75" s="15"/>
      <c r="D75" s="16" t="s">
        <v>10</v>
      </c>
      <c r="E75" s="91" t="s">
        <v>47</v>
      </c>
      <c r="F75" s="95" t="s">
        <v>41</v>
      </c>
      <c r="G75" s="31">
        <v>7</v>
      </c>
      <c r="H75" s="10">
        <v>13</v>
      </c>
      <c r="I75" s="10">
        <v>19</v>
      </c>
      <c r="J75" s="23">
        <v>54</v>
      </c>
      <c r="K75" s="10">
        <v>72</v>
      </c>
      <c r="L75" s="10">
        <v>79</v>
      </c>
      <c r="M75" s="10">
        <v>91</v>
      </c>
      <c r="N75" s="10">
        <v>102</v>
      </c>
      <c r="O75" s="23">
        <v>108</v>
      </c>
      <c r="P75" s="23">
        <v>110</v>
      </c>
      <c r="Q75" s="31">
        <v>112</v>
      </c>
      <c r="R75" s="31">
        <v>115</v>
      </c>
    </row>
    <row r="76" spans="2:18" ht="19.5" customHeight="1" x14ac:dyDescent="0.2">
      <c r="B76" s="11" t="s">
        <v>5</v>
      </c>
      <c r="C76" s="14">
        <v>3</v>
      </c>
      <c r="D76" s="12" t="s">
        <v>11</v>
      </c>
      <c r="E76" s="89" t="s">
        <v>44</v>
      </c>
      <c r="F76" s="93" t="s">
        <v>41</v>
      </c>
      <c r="G76" s="30">
        <v>5</v>
      </c>
      <c r="H76" s="9">
        <v>11</v>
      </c>
      <c r="I76" s="9">
        <v>17</v>
      </c>
      <c r="J76" s="22">
        <v>44</v>
      </c>
      <c r="K76" s="9">
        <v>57</v>
      </c>
      <c r="L76" s="9">
        <v>62</v>
      </c>
      <c r="M76" s="9">
        <v>71</v>
      </c>
      <c r="N76" s="9">
        <v>78</v>
      </c>
      <c r="O76" s="22">
        <v>83</v>
      </c>
      <c r="P76" s="22">
        <v>86</v>
      </c>
      <c r="Q76" s="30">
        <v>88</v>
      </c>
      <c r="R76" s="30">
        <v>89</v>
      </c>
    </row>
    <row r="77" spans="2:18" ht="19.5" customHeight="1" x14ac:dyDescent="0.2">
      <c r="B77" s="56"/>
      <c r="C77" s="57"/>
      <c r="D77" s="58" t="s">
        <v>33</v>
      </c>
      <c r="E77" s="90" t="s">
        <v>44</v>
      </c>
      <c r="F77" s="94" t="s">
        <v>41</v>
      </c>
      <c r="G77" s="86">
        <v>6</v>
      </c>
      <c r="H77" s="49">
        <v>13</v>
      </c>
      <c r="I77" s="49">
        <v>20</v>
      </c>
      <c r="J77" s="82">
        <v>47</v>
      </c>
      <c r="K77" s="49">
        <v>62</v>
      </c>
      <c r="L77" s="49">
        <v>72</v>
      </c>
      <c r="M77" s="49">
        <v>88</v>
      </c>
      <c r="N77" s="49">
        <v>93</v>
      </c>
      <c r="O77" s="82">
        <v>97</v>
      </c>
      <c r="P77" s="82">
        <v>101</v>
      </c>
      <c r="Q77" s="86">
        <v>104</v>
      </c>
      <c r="R77" s="86">
        <v>102</v>
      </c>
    </row>
    <row r="78" spans="2:18" ht="19.5" customHeight="1" thickBot="1" x14ac:dyDescent="0.25">
      <c r="B78" s="13"/>
      <c r="C78" s="15"/>
      <c r="D78" s="16" t="s">
        <v>10</v>
      </c>
      <c r="E78" s="91" t="s">
        <v>44</v>
      </c>
      <c r="F78" s="95" t="s">
        <v>41</v>
      </c>
      <c r="G78" s="31">
        <v>6</v>
      </c>
      <c r="H78" s="10">
        <v>13</v>
      </c>
      <c r="I78" s="10">
        <v>17</v>
      </c>
      <c r="J78" s="23">
        <v>45</v>
      </c>
      <c r="K78" s="10">
        <v>58</v>
      </c>
      <c r="L78" s="10">
        <v>66</v>
      </c>
      <c r="M78" s="10">
        <v>81</v>
      </c>
      <c r="N78" s="10">
        <v>88</v>
      </c>
      <c r="O78" s="23">
        <v>93</v>
      </c>
      <c r="P78" s="23">
        <v>97</v>
      </c>
      <c r="Q78" s="31">
        <v>101</v>
      </c>
      <c r="R78" s="31">
        <v>99</v>
      </c>
    </row>
    <row r="79" spans="2:18" ht="19.5" customHeight="1" x14ac:dyDescent="0.2">
      <c r="B79" s="11" t="s">
        <v>5</v>
      </c>
      <c r="C79" s="14">
        <v>2</v>
      </c>
      <c r="D79" s="12" t="s">
        <v>11</v>
      </c>
      <c r="E79" s="89" t="s">
        <v>45</v>
      </c>
      <c r="F79" s="93" t="s">
        <v>41</v>
      </c>
      <c r="G79" s="30">
        <v>4</v>
      </c>
      <c r="H79" s="9">
        <v>9</v>
      </c>
      <c r="I79" s="9">
        <v>16</v>
      </c>
      <c r="J79" s="22">
        <v>39</v>
      </c>
      <c r="K79" s="9">
        <v>58</v>
      </c>
      <c r="L79" s="9">
        <v>60</v>
      </c>
      <c r="M79" s="9">
        <v>89</v>
      </c>
      <c r="N79" s="9">
        <v>97</v>
      </c>
      <c r="O79" s="22">
        <v>104</v>
      </c>
      <c r="P79" s="22">
        <v>107</v>
      </c>
      <c r="Q79" s="30">
        <v>105</v>
      </c>
      <c r="R79" s="30">
        <v>103</v>
      </c>
    </row>
    <row r="80" spans="2:18" ht="19.5" customHeight="1" x14ac:dyDescent="0.2">
      <c r="B80" s="56"/>
      <c r="C80" s="57"/>
      <c r="D80" s="58" t="s">
        <v>33</v>
      </c>
      <c r="E80" s="90" t="s">
        <v>45</v>
      </c>
      <c r="F80" s="94" t="s">
        <v>41</v>
      </c>
      <c r="G80" s="86">
        <v>6</v>
      </c>
      <c r="H80" s="49">
        <v>11</v>
      </c>
      <c r="I80" s="49">
        <v>16</v>
      </c>
      <c r="J80" s="82">
        <v>37</v>
      </c>
      <c r="K80" s="49">
        <v>53</v>
      </c>
      <c r="L80" s="49">
        <v>63</v>
      </c>
      <c r="M80" s="49">
        <v>85</v>
      </c>
      <c r="N80" s="49">
        <v>91</v>
      </c>
      <c r="O80" s="82">
        <v>95</v>
      </c>
      <c r="P80" s="82">
        <v>102</v>
      </c>
      <c r="Q80" s="86">
        <v>101</v>
      </c>
      <c r="R80" s="86">
        <v>97</v>
      </c>
    </row>
    <row r="81" spans="2:18" ht="19.5" customHeight="1" thickBot="1" x14ac:dyDescent="0.25">
      <c r="B81" s="13"/>
      <c r="C81" s="15"/>
      <c r="D81" s="16" t="s">
        <v>10</v>
      </c>
      <c r="E81" s="91" t="s">
        <v>45</v>
      </c>
      <c r="F81" s="95" t="s">
        <v>41</v>
      </c>
      <c r="G81" s="31">
        <v>6</v>
      </c>
      <c r="H81" s="10">
        <v>12</v>
      </c>
      <c r="I81" s="10">
        <v>21</v>
      </c>
      <c r="J81" s="23">
        <v>44</v>
      </c>
      <c r="K81" s="10">
        <v>61</v>
      </c>
      <c r="L81" s="10">
        <v>74</v>
      </c>
      <c r="M81" s="10">
        <v>94</v>
      </c>
      <c r="N81" s="10">
        <v>105</v>
      </c>
      <c r="O81" s="23">
        <v>108</v>
      </c>
      <c r="P81" s="23">
        <v>110</v>
      </c>
      <c r="Q81" s="31">
        <v>108</v>
      </c>
      <c r="R81" s="31">
        <v>104</v>
      </c>
    </row>
    <row r="82" spans="2:18" ht="19.5" customHeight="1" x14ac:dyDescent="0.2">
      <c r="B82" s="11" t="s">
        <v>5</v>
      </c>
      <c r="C82" s="14">
        <v>1</v>
      </c>
      <c r="D82" s="66" t="s">
        <v>11</v>
      </c>
      <c r="E82" s="89" t="s">
        <v>48</v>
      </c>
      <c r="F82" s="93" t="s">
        <v>41</v>
      </c>
      <c r="G82" s="30">
        <v>7</v>
      </c>
      <c r="H82" s="9">
        <v>12</v>
      </c>
      <c r="I82" s="9">
        <v>21</v>
      </c>
      <c r="J82" s="22">
        <v>34</v>
      </c>
      <c r="K82" s="9">
        <v>55</v>
      </c>
      <c r="L82" s="9">
        <v>65</v>
      </c>
      <c r="M82" s="9">
        <v>79</v>
      </c>
      <c r="N82" s="9">
        <v>88</v>
      </c>
      <c r="O82" s="22">
        <v>93</v>
      </c>
      <c r="P82" s="22">
        <v>97</v>
      </c>
      <c r="Q82" s="30">
        <v>101</v>
      </c>
      <c r="R82" s="30">
        <v>104</v>
      </c>
    </row>
    <row r="83" spans="2:18" ht="19.5" customHeight="1" x14ac:dyDescent="0.2">
      <c r="B83" s="56"/>
      <c r="C83" s="57"/>
      <c r="D83" s="70" t="s">
        <v>33</v>
      </c>
      <c r="E83" s="90" t="s">
        <v>48</v>
      </c>
      <c r="F83" s="94" t="s">
        <v>41</v>
      </c>
      <c r="G83" s="86">
        <v>9</v>
      </c>
      <c r="H83" s="49">
        <v>15</v>
      </c>
      <c r="I83" s="49">
        <v>19</v>
      </c>
      <c r="J83" s="82">
        <v>43</v>
      </c>
      <c r="K83" s="49">
        <v>63</v>
      </c>
      <c r="L83" s="49">
        <v>76</v>
      </c>
      <c r="M83" s="49">
        <v>97</v>
      </c>
      <c r="N83" s="49">
        <v>109</v>
      </c>
      <c r="O83" s="82">
        <v>115</v>
      </c>
      <c r="P83" s="82">
        <v>117</v>
      </c>
      <c r="Q83" s="86">
        <v>108</v>
      </c>
      <c r="R83" s="86">
        <v>110</v>
      </c>
    </row>
    <row r="84" spans="2:18" ht="19.5" customHeight="1" thickBot="1" x14ac:dyDescent="0.25">
      <c r="B84" s="13"/>
      <c r="C84" s="15"/>
      <c r="D84" s="74" t="s">
        <v>10</v>
      </c>
      <c r="E84" s="91" t="s">
        <v>48</v>
      </c>
      <c r="F84" s="95" t="s">
        <v>41</v>
      </c>
      <c r="G84" s="31">
        <v>12</v>
      </c>
      <c r="H84" s="10">
        <v>17</v>
      </c>
      <c r="I84" s="10">
        <v>23</v>
      </c>
      <c r="J84" s="23">
        <v>53</v>
      </c>
      <c r="K84" s="10">
        <v>69</v>
      </c>
      <c r="L84" s="10">
        <v>76</v>
      </c>
      <c r="M84" s="10">
        <v>98</v>
      </c>
      <c r="N84" s="10">
        <v>110</v>
      </c>
      <c r="O84" s="23">
        <v>115</v>
      </c>
      <c r="P84" s="23">
        <v>115</v>
      </c>
      <c r="Q84" s="31">
        <v>116</v>
      </c>
      <c r="R84" s="31">
        <v>114</v>
      </c>
    </row>
    <row r="85" spans="2:18" ht="19.5" customHeight="1" x14ac:dyDescent="0.2">
      <c r="B85" s="11">
        <v>7</v>
      </c>
      <c r="C85" s="14">
        <v>1</v>
      </c>
      <c r="D85" s="12" t="s">
        <v>10</v>
      </c>
      <c r="E85" s="89" t="s">
        <v>47</v>
      </c>
      <c r="F85" s="96" t="s">
        <v>43</v>
      </c>
      <c r="G85" s="30">
        <v>11</v>
      </c>
      <c r="H85" s="9">
        <v>16</v>
      </c>
      <c r="I85" s="9">
        <v>30</v>
      </c>
      <c r="J85" s="22">
        <v>61</v>
      </c>
      <c r="K85" s="9">
        <v>79</v>
      </c>
      <c r="L85" s="9">
        <v>81</v>
      </c>
      <c r="M85" s="9">
        <v>88</v>
      </c>
      <c r="N85" s="9">
        <v>96</v>
      </c>
      <c r="O85" s="38">
        <v>101</v>
      </c>
      <c r="P85" s="38">
        <v>104</v>
      </c>
      <c r="Q85" s="54">
        <v>106</v>
      </c>
      <c r="R85" s="54">
        <v>105</v>
      </c>
    </row>
    <row r="86" spans="2:18" ht="19.5" customHeight="1" x14ac:dyDescent="0.2">
      <c r="B86" s="56"/>
      <c r="C86" s="57"/>
      <c r="D86" s="58" t="s">
        <v>33</v>
      </c>
      <c r="E86" s="90" t="s">
        <v>47</v>
      </c>
      <c r="F86" s="97" t="s">
        <v>43</v>
      </c>
      <c r="G86" s="86">
        <v>14</v>
      </c>
      <c r="H86" s="49">
        <v>20</v>
      </c>
      <c r="I86" s="49">
        <v>26</v>
      </c>
      <c r="J86" s="82">
        <v>56</v>
      </c>
      <c r="K86" s="49">
        <v>77</v>
      </c>
      <c r="L86" s="49">
        <v>78</v>
      </c>
      <c r="M86" s="49">
        <v>82</v>
      </c>
      <c r="N86" s="49">
        <v>88</v>
      </c>
      <c r="O86" s="87">
        <v>92</v>
      </c>
      <c r="P86" s="87">
        <v>94</v>
      </c>
      <c r="Q86" s="88">
        <v>94</v>
      </c>
      <c r="R86" s="88">
        <v>95</v>
      </c>
    </row>
    <row r="87" spans="2:18" ht="19.5" customHeight="1" thickBot="1" x14ac:dyDescent="0.25">
      <c r="B87" s="13"/>
      <c r="C87" s="15"/>
      <c r="D87" s="16" t="s">
        <v>11</v>
      </c>
      <c r="E87" s="91" t="s">
        <v>47</v>
      </c>
      <c r="F87" s="98" t="s">
        <v>43</v>
      </c>
      <c r="G87" s="31">
        <v>16</v>
      </c>
      <c r="H87" s="10">
        <v>21</v>
      </c>
      <c r="I87" s="10">
        <v>31</v>
      </c>
      <c r="J87" s="23">
        <v>55</v>
      </c>
      <c r="K87" s="10">
        <v>74</v>
      </c>
      <c r="L87" s="10">
        <v>74</v>
      </c>
      <c r="M87" s="10">
        <v>74</v>
      </c>
      <c r="N87" s="10">
        <v>78</v>
      </c>
      <c r="O87" s="23">
        <v>81</v>
      </c>
      <c r="P87" s="23">
        <v>84</v>
      </c>
      <c r="Q87" s="31">
        <v>85</v>
      </c>
      <c r="R87" s="31">
        <v>85</v>
      </c>
    </row>
    <row r="88" spans="2:18" ht="19.5" customHeight="1" x14ac:dyDescent="0.2">
      <c r="B88" s="11">
        <v>7</v>
      </c>
      <c r="C88" s="14">
        <v>2</v>
      </c>
      <c r="D88" s="12" t="s">
        <v>10</v>
      </c>
      <c r="E88" s="89" t="s">
        <v>46</v>
      </c>
      <c r="F88" s="96" t="s">
        <v>43</v>
      </c>
      <c r="G88" s="30">
        <v>11</v>
      </c>
      <c r="H88" s="9">
        <v>16</v>
      </c>
      <c r="I88" s="9">
        <v>21</v>
      </c>
      <c r="J88" s="22">
        <v>39</v>
      </c>
      <c r="K88" s="9">
        <v>61</v>
      </c>
      <c r="L88" s="9">
        <v>62</v>
      </c>
      <c r="M88" s="9">
        <v>62</v>
      </c>
      <c r="N88" s="9">
        <v>69</v>
      </c>
      <c r="O88" s="22">
        <v>73</v>
      </c>
      <c r="P88" s="22">
        <v>77</v>
      </c>
      <c r="Q88" s="30">
        <v>80</v>
      </c>
      <c r="R88" s="30">
        <v>81</v>
      </c>
    </row>
    <row r="89" spans="2:18" ht="19.5" customHeight="1" x14ac:dyDescent="0.2">
      <c r="B89" s="56"/>
      <c r="C89" s="57"/>
      <c r="D89" s="58" t="s">
        <v>33</v>
      </c>
      <c r="E89" s="90" t="s">
        <v>46</v>
      </c>
      <c r="F89" s="97" t="s">
        <v>43</v>
      </c>
      <c r="G89" s="86">
        <v>14</v>
      </c>
      <c r="H89" s="49">
        <v>21</v>
      </c>
      <c r="I89" s="49">
        <v>28</v>
      </c>
      <c r="J89" s="82">
        <v>58</v>
      </c>
      <c r="K89" s="49">
        <v>82</v>
      </c>
      <c r="L89" s="49">
        <v>85</v>
      </c>
      <c r="M89" s="49">
        <v>94</v>
      </c>
      <c r="N89" s="49">
        <v>104</v>
      </c>
      <c r="O89" s="82">
        <v>111</v>
      </c>
      <c r="P89" s="82">
        <v>116</v>
      </c>
      <c r="Q89" s="86">
        <v>118</v>
      </c>
      <c r="R89" s="86">
        <v>111</v>
      </c>
    </row>
    <row r="90" spans="2:18" ht="19.5" customHeight="1" thickBot="1" x14ac:dyDescent="0.25">
      <c r="B90" s="13"/>
      <c r="C90" s="15"/>
      <c r="D90" s="16" t="s">
        <v>11</v>
      </c>
      <c r="E90" s="91" t="s">
        <v>46</v>
      </c>
      <c r="F90" s="98" t="s">
        <v>43</v>
      </c>
      <c r="G90" s="31">
        <v>10</v>
      </c>
      <c r="H90" s="10">
        <v>16</v>
      </c>
      <c r="I90" s="10">
        <v>23</v>
      </c>
      <c r="J90" s="23">
        <v>55</v>
      </c>
      <c r="K90" s="10">
        <v>80</v>
      </c>
      <c r="L90" s="10">
        <v>81</v>
      </c>
      <c r="M90" s="10">
        <v>85</v>
      </c>
      <c r="N90" s="10">
        <v>96</v>
      </c>
      <c r="O90" s="23">
        <v>102</v>
      </c>
      <c r="P90" s="23">
        <v>108</v>
      </c>
      <c r="Q90" s="31">
        <v>110</v>
      </c>
      <c r="R90" s="31">
        <v>112</v>
      </c>
    </row>
    <row r="91" spans="2:18" ht="19.5" customHeight="1" x14ac:dyDescent="0.2">
      <c r="B91" s="11">
        <v>7</v>
      </c>
      <c r="C91" s="14">
        <v>3</v>
      </c>
      <c r="D91" s="12" t="s">
        <v>10</v>
      </c>
      <c r="E91" s="89" t="s">
        <v>42</v>
      </c>
      <c r="F91" s="96" t="s">
        <v>43</v>
      </c>
      <c r="G91" s="30">
        <v>8</v>
      </c>
      <c r="H91" s="9">
        <v>14</v>
      </c>
      <c r="I91" s="9">
        <v>16</v>
      </c>
      <c r="J91" s="22">
        <v>42</v>
      </c>
      <c r="K91" s="9">
        <v>46</v>
      </c>
      <c r="L91" s="9">
        <v>58</v>
      </c>
      <c r="M91" s="9">
        <v>77</v>
      </c>
      <c r="N91" s="9">
        <v>89</v>
      </c>
      <c r="O91" s="22">
        <v>93</v>
      </c>
      <c r="P91" s="22">
        <v>97</v>
      </c>
      <c r="Q91" s="30">
        <v>98</v>
      </c>
      <c r="R91" s="30">
        <v>98</v>
      </c>
    </row>
    <row r="92" spans="2:18" ht="19.5" customHeight="1" x14ac:dyDescent="0.2">
      <c r="B92" s="56"/>
      <c r="C92" s="57"/>
      <c r="D92" s="58" t="s">
        <v>33</v>
      </c>
      <c r="E92" s="90" t="s">
        <v>42</v>
      </c>
      <c r="F92" s="97" t="s">
        <v>43</v>
      </c>
      <c r="G92" s="86">
        <v>13</v>
      </c>
      <c r="H92" s="49">
        <v>21</v>
      </c>
      <c r="I92" s="49">
        <v>31</v>
      </c>
      <c r="J92" s="82">
        <v>63</v>
      </c>
      <c r="K92" s="49">
        <v>76</v>
      </c>
      <c r="L92" s="49">
        <v>81</v>
      </c>
      <c r="M92" s="49">
        <v>88</v>
      </c>
      <c r="N92" s="49">
        <v>103</v>
      </c>
      <c r="O92" s="82">
        <v>108</v>
      </c>
      <c r="P92" s="82">
        <v>113</v>
      </c>
      <c r="Q92" s="86">
        <v>115</v>
      </c>
      <c r="R92" s="86">
        <v>116</v>
      </c>
    </row>
    <row r="93" spans="2:18" ht="19.5" customHeight="1" thickBot="1" x14ac:dyDescent="0.25">
      <c r="B93" s="13"/>
      <c r="C93" s="15"/>
      <c r="D93" s="16" t="s">
        <v>11</v>
      </c>
      <c r="E93" s="91" t="s">
        <v>42</v>
      </c>
      <c r="F93" s="98" t="s">
        <v>43</v>
      </c>
      <c r="G93" s="31">
        <v>11</v>
      </c>
      <c r="H93" s="10">
        <v>17</v>
      </c>
      <c r="I93" s="10">
        <v>26</v>
      </c>
      <c r="J93" s="23">
        <v>45</v>
      </c>
      <c r="K93" s="10">
        <v>48</v>
      </c>
      <c r="L93" s="10">
        <v>58</v>
      </c>
      <c r="M93" s="10">
        <v>74</v>
      </c>
      <c r="N93" s="10">
        <v>86</v>
      </c>
      <c r="O93" s="23">
        <v>90</v>
      </c>
      <c r="P93" s="23">
        <v>94</v>
      </c>
      <c r="Q93" s="31">
        <v>95</v>
      </c>
      <c r="R93" s="31">
        <v>95</v>
      </c>
    </row>
    <row r="94" spans="2:18" ht="19.5" customHeight="1" x14ac:dyDescent="0.2">
      <c r="B94" s="11">
        <v>7</v>
      </c>
      <c r="C94" s="14">
        <v>4</v>
      </c>
      <c r="D94" s="12" t="s">
        <v>10</v>
      </c>
      <c r="E94" s="89" t="s">
        <v>48</v>
      </c>
      <c r="F94" s="96" t="s">
        <v>43</v>
      </c>
      <c r="G94" s="30">
        <v>12</v>
      </c>
      <c r="H94" s="9">
        <v>18</v>
      </c>
      <c r="I94" s="9">
        <v>23</v>
      </c>
      <c r="J94" s="22">
        <v>53</v>
      </c>
      <c r="K94" s="9">
        <v>71</v>
      </c>
      <c r="L94" s="9">
        <v>80</v>
      </c>
      <c r="M94" s="9">
        <v>95</v>
      </c>
      <c r="N94" s="9">
        <v>102</v>
      </c>
      <c r="O94" s="22">
        <v>104</v>
      </c>
      <c r="P94" s="22">
        <v>107</v>
      </c>
      <c r="Q94" s="30">
        <v>107</v>
      </c>
      <c r="R94" s="30">
        <v>102</v>
      </c>
    </row>
    <row r="95" spans="2:18" ht="19.5" customHeight="1" x14ac:dyDescent="0.2">
      <c r="B95" s="56"/>
      <c r="C95" s="57"/>
      <c r="D95" s="58" t="s">
        <v>33</v>
      </c>
      <c r="E95" s="90" t="s">
        <v>48</v>
      </c>
      <c r="F95" s="97" t="s">
        <v>43</v>
      </c>
      <c r="G95" s="86">
        <v>10</v>
      </c>
      <c r="H95" s="49">
        <v>15</v>
      </c>
      <c r="I95" s="49">
        <v>22</v>
      </c>
      <c r="J95" s="82">
        <v>44</v>
      </c>
      <c r="K95" s="49">
        <v>64</v>
      </c>
      <c r="L95" s="49">
        <v>71</v>
      </c>
      <c r="M95" s="49">
        <v>82</v>
      </c>
      <c r="N95" s="49">
        <v>88</v>
      </c>
      <c r="O95" s="82">
        <v>91</v>
      </c>
      <c r="P95" s="82">
        <v>95</v>
      </c>
      <c r="Q95" s="86">
        <v>97</v>
      </c>
      <c r="R95" s="86">
        <v>97</v>
      </c>
    </row>
    <row r="96" spans="2:18" ht="19.5" customHeight="1" thickBot="1" x14ac:dyDescent="0.25">
      <c r="B96" s="13"/>
      <c r="C96" s="15"/>
      <c r="D96" s="16" t="s">
        <v>11</v>
      </c>
      <c r="E96" s="91" t="s">
        <v>48</v>
      </c>
      <c r="F96" s="98" t="s">
        <v>43</v>
      </c>
      <c r="G96" s="31">
        <v>11</v>
      </c>
      <c r="H96" s="10">
        <v>17</v>
      </c>
      <c r="I96" s="10">
        <v>25</v>
      </c>
      <c r="J96" s="23">
        <v>57</v>
      </c>
      <c r="K96" s="10">
        <v>68</v>
      </c>
      <c r="L96" s="10">
        <v>73</v>
      </c>
      <c r="M96" s="10">
        <v>86</v>
      </c>
      <c r="N96" s="10">
        <v>91</v>
      </c>
      <c r="O96" s="23">
        <v>95</v>
      </c>
      <c r="P96" s="23">
        <v>98</v>
      </c>
      <c r="Q96" s="31">
        <v>97</v>
      </c>
      <c r="R96" s="31">
        <v>98</v>
      </c>
    </row>
    <row r="97" spans="2:18" ht="19.5" customHeight="1" x14ac:dyDescent="0.2">
      <c r="B97" s="11">
        <v>8</v>
      </c>
      <c r="C97" s="14">
        <v>4</v>
      </c>
      <c r="D97" s="12" t="s">
        <v>11</v>
      </c>
      <c r="E97" s="89" t="s">
        <v>48</v>
      </c>
      <c r="F97" s="93" t="s">
        <v>41</v>
      </c>
      <c r="G97" s="30">
        <v>8</v>
      </c>
      <c r="H97" s="9">
        <v>13</v>
      </c>
      <c r="I97" s="9">
        <v>15</v>
      </c>
      <c r="J97" s="22">
        <v>40</v>
      </c>
      <c r="K97" s="9">
        <v>60</v>
      </c>
      <c r="L97" s="9">
        <v>65</v>
      </c>
      <c r="M97" s="9">
        <v>79</v>
      </c>
      <c r="N97" s="9">
        <v>89</v>
      </c>
      <c r="O97" s="22">
        <v>91</v>
      </c>
      <c r="P97" s="22">
        <v>93</v>
      </c>
      <c r="Q97" s="30">
        <v>95</v>
      </c>
      <c r="R97" s="30">
        <v>97</v>
      </c>
    </row>
    <row r="98" spans="2:18" ht="19.5" customHeight="1" x14ac:dyDescent="0.2">
      <c r="B98" s="56"/>
      <c r="C98" s="57"/>
      <c r="D98" s="58" t="s">
        <v>33</v>
      </c>
      <c r="E98" s="90" t="s">
        <v>48</v>
      </c>
      <c r="F98" s="94" t="s">
        <v>41</v>
      </c>
      <c r="G98" s="86">
        <v>6</v>
      </c>
      <c r="H98" s="49">
        <v>11</v>
      </c>
      <c r="I98" s="49">
        <v>13</v>
      </c>
      <c r="J98" s="82">
        <v>29</v>
      </c>
      <c r="K98" s="49">
        <v>53</v>
      </c>
      <c r="L98" s="49">
        <v>56</v>
      </c>
      <c r="M98" s="49">
        <v>66</v>
      </c>
      <c r="N98" s="49">
        <v>73</v>
      </c>
      <c r="O98" s="82">
        <v>76</v>
      </c>
      <c r="P98" s="82">
        <v>78</v>
      </c>
      <c r="Q98" s="86">
        <v>79</v>
      </c>
      <c r="R98" s="86">
        <v>79</v>
      </c>
    </row>
    <row r="99" spans="2:18" ht="19.5" customHeight="1" thickBot="1" x14ac:dyDescent="0.25">
      <c r="B99" s="13"/>
      <c r="C99" s="15"/>
      <c r="D99" s="16" t="s">
        <v>10</v>
      </c>
      <c r="E99" s="91" t="s">
        <v>48</v>
      </c>
      <c r="F99" s="95" t="s">
        <v>41</v>
      </c>
      <c r="G99" s="31">
        <v>6</v>
      </c>
      <c r="H99" s="10">
        <v>11</v>
      </c>
      <c r="I99" s="10">
        <v>16</v>
      </c>
      <c r="J99" s="23">
        <v>37</v>
      </c>
      <c r="K99" s="10">
        <v>59</v>
      </c>
      <c r="L99" s="10">
        <v>64</v>
      </c>
      <c r="M99" s="10">
        <v>77</v>
      </c>
      <c r="N99" s="10">
        <v>88</v>
      </c>
      <c r="O99" s="23">
        <v>90</v>
      </c>
      <c r="P99" s="23">
        <v>92</v>
      </c>
      <c r="Q99" s="31">
        <v>93</v>
      </c>
      <c r="R99" s="31">
        <v>93</v>
      </c>
    </row>
    <row r="100" spans="2:18" ht="19.5" customHeight="1" x14ac:dyDescent="0.2">
      <c r="B100" s="11">
        <v>8</v>
      </c>
      <c r="C100" s="14">
        <v>3</v>
      </c>
      <c r="D100" s="12" t="s">
        <v>11</v>
      </c>
      <c r="E100" s="89" t="s">
        <v>42</v>
      </c>
      <c r="F100" s="93" t="s">
        <v>41</v>
      </c>
      <c r="G100" s="30">
        <v>7</v>
      </c>
      <c r="H100" s="9">
        <v>12</v>
      </c>
      <c r="I100" s="9">
        <v>19</v>
      </c>
      <c r="J100" s="22">
        <v>39</v>
      </c>
      <c r="K100" s="9">
        <v>59</v>
      </c>
      <c r="L100" s="9">
        <v>65</v>
      </c>
      <c r="M100" s="9">
        <v>81</v>
      </c>
      <c r="N100" s="9">
        <v>93</v>
      </c>
      <c r="O100" s="22">
        <v>97</v>
      </c>
      <c r="P100" s="22">
        <v>101</v>
      </c>
      <c r="Q100" s="30">
        <v>104</v>
      </c>
      <c r="R100" s="30">
        <v>105</v>
      </c>
    </row>
    <row r="101" spans="2:18" ht="19.5" customHeight="1" x14ac:dyDescent="0.2">
      <c r="B101" s="56"/>
      <c r="C101" s="57"/>
      <c r="D101" s="58" t="s">
        <v>33</v>
      </c>
      <c r="E101" s="90" t="s">
        <v>42</v>
      </c>
      <c r="F101" s="94" t="s">
        <v>41</v>
      </c>
      <c r="G101" s="86">
        <v>9</v>
      </c>
      <c r="H101" s="49">
        <v>15</v>
      </c>
      <c r="I101" s="49">
        <v>19</v>
      </c>
      <c r="J101" s="82">
        <v>44</v>
      </c>
      <c r="K101" s="49">
        <v>61</v>
      </c>
      <c r="L101" s="49">
        <v>67</v>
      </c>
      <c r="M101" s="49">
        <v>78</v>
      </c>
      <c r="N101" s="49">
        <v>88</v>
      </c>
      <c r="O101" s="82">
        <v>91</v>
      </c>
      <c r="P101" s="82">
        <v>94</v>
      </c>
      <c r="Q101" s="86">
        <v>97</v>
      </c>
      <c r="R101" s="86">
        <v>99</v>
      </c>
    </row>
    <row r="102" spans="2:18" ht="19.5" customHeight="1" thickBot="1" x14ac:dyDescent="0.25">
      <c r="B102" s="13"/>
      <c r="C102" s="15"/>
      <c r="D102" s="16" t="s">
        <v>10</v>
      </c>
      <c r="E102" s="91" t="s">
        <v>42</v>
      </c>
      <c r="F102" s="95" t="s">
        <v>41</v>
      </c>
      <c r="G102" s="31">
        <v>6</v>
      </c>
      <c r="H102" s="10">
        <v>11</v>
      </c>
      <c r="I102" s="10">
        <v>19</v>
      </c>
      <c r="J102" s="23">
        <v>41</v>
      </c>
      <c r="K102" s="10">
        <v>59</v>
      </c>
      <c r="L102" s="10">
        <v>66</v>
      </c>
      <c r="M102" s="10">
        <v>81</v>
      </c>
      <c r="N102" s="10">
        <v>93</v>
      </c>
      <c r="O102" s="23">
        <v>96</v>
      </c>
      <c r="P102" s="23">
        <v>100</v>
      </c>
      <c r="Q102" s="31">
        <v>104</v>
      </c>
      <c r="R102" s="31">
        <v>106</v>
      </c>
    </row>
    <row r="103" spans="2:18" ht="19.5" customHeight="1" x14ac:dyDescent="0.2">
      <c r="B103" s="11">
        <v>8</v>
      </c>
      <c r="C103" s="14">
        <v>2</v>
      </c>
      <c r="D103" s="12" t="s">
        <v>11</v>
      </c>
      <c r="E103" s="89" t="s">
        <v>46</v>
      </c>
      <c r="F103" s="93" t="s">
        <v>41</v>
      </c>
      <c r="G103" s="30">
        <v>7</v>
      </c>
      <c r="H103" s="9">
        <v>13</v>
      </c>
      <c r="I103" s="9">
        <v>18</v>
      </c>
      <c r="J103" s="22">
        <v>45</v>
      </c>
      <c r="K103" s="9">
        <v>68</v>
      </c>
      <c r="L103" s="9">
        <v>77</v>
      </c>
      <c r="M103" s="9">
        <v>85</v>
      </c>
      <c r="N103" s="9">
        <v>90</v>
      </c>
      <c r="O103" s="22">
        <v>95</v>
      </c>
      <c r="P103" s="22">
        <v>100</v>
      </c>
      <c r="Q103" s="30">
        <v>103</v>
      </c>
      <c r="R103" s="30">
        <v>103</v>
      </c>
    </row>
    <row r="104" spans="2:18" ht="19.5" customHeight="1" x14ac:dyDescent="0.2">
      <c r="B104" s="56"/>
      <c r="C104" s="57"/>
      <c r="D104" s="58" t="s">
        <v>33</v>
      </c>
      <c r="E104" s="90" t="s">
        <v>46</v>
      </c>
      <c r="F104" s="94" t="s">
        <v>41</v>
      </c>
      <c r="G104" s="86">
        <v>5</v>
      </c>
      <c r="H104" s="49">
        <v>11</v>
      </c>
      <c r="I104" s="49">
        <v>17</v>
      </c>
      <c r="J104" s="82">
        <v>48</v>
      </c>
      <c r="K104" s="49">
        <v>73</v>
      </c>
      <c r="L104" s="49">
        <v>79</v>
      </c>
      <c r="M104" s="49">
        <v>82</v>
      </c>
      <c r="N104" s="49">
        <v>87</v>
      </c>
      <c r="O104" s="82">
        <v>92</v>
      </c>
      <c r="P104" s="82">
        <v>96</v>
      </c>
      <c r="Q104" s="86">
        <v>98</v>
      </c>
      <c r="R104" s="86">
        <v>99</v>
      </c>
    </row>
    <row r="105" spans="2:18" ht="19.5" customHeight="1" thickBot="1" x14ac:dyDescent="0.25">
      <c r="B105" s="13"/>
      <c r="C105" s="15"/>
      <c r="D105" s="16" t="s">
        <v>10</v>
      </c>
      <c r="E105" s="91" t="s">
        <v>46</v>
      </c>
      <c r="F105" s="95" t="s">
        <v>41</v>
      </c>
      <c r="G105" s="31">
        <v>6</v>
      </c>
      <c r="H105" s="10">
        <v>12</v>
      </c>
      <c r="I105" s="10">
        <v>17</v>
      </c>
      <c r="J105" s="23">
        <v>38</v>
      </c>
      <c r="K105" s="10">
        <v>60</v>
      </c>
      <c r="L105" s="10">
        <v>71</v>
      </c>
      <c r="M105" s="10">
        <v>88</v>
      </c>
      <c r="N105" s="10">
        <v>95</v>
      </c>
      <c r="O105" s="23">
        <v>98</v>
      </c>
      <c r="P105" s="23">
        <v>100</v>
      </c>
      <c r="Q105" s="31">
        <v>103</v>
      </c>
      <c r="R105" s="31">
        <v>95</v>
      </c>
    </row>
    <row r="106" spans="2:18" ht="19.5" customHeight="1" x14ac:dyDescent="0.2">
      <c r="B106" s="11">
        <v>8</v>
      </c>
      <c r="C106" s="14">
        <v>1</v>
      </c>
      <c r="D106" s="12" t="s">
        <v>11</v>
      </c>
      <c r="E106" s="89" t="s">
        <v>47</v>
      </c>
      <c r="F106" s="93" t="s">
        <v>41</v>
      </c>
      <c r="G106" s="30">
        <v>6</v>
      </c>
      <c r="H106" s="9">
        <v>11</v>
      </c>
      <c r="I106" s="9">
        <v>15</v>
      </c>
      <c r="J106" s="22">
        <v>35</v>
      </c>
      <c r="K106" s="9">
        <v>58</v>
      </c>
      <c r="L106" s="9">
        <v>64</v>
      </c>
      <c r="M106" s="9">
        <v>71</v>
      </c>
      <c r="N106" s="9">
        <v>77</v>
      </c>
      <c r="O106" s="38">
        <v>82</v>
      </c>
      <c r="P106" s="38">
        <v>85</v>
      </c>
      <c r="Q106" s="54">
        <v>86</v>
      </c>
      <c r="R106" s="54">
        <v>86</v>
      </c>
    </row>
    <row r="107" spans="2:18" ht="19.5" customHeight="1" x14ac:dyDescent="0.2">
      <c r="B107" s="56"/>
      <c r="C107" s="57"/>
      <c r="D107" s="58" t="s">
        <v>33</v>
      </c>
      <c r="E107" s="90" t="s">
        <v>47</v>
      </c>
      <c r="F107" s="94" t="s">
        <v>41</v>
      </c>
      <c r="G107" s="86">
        <v>7</v>
      </c>
      <c r="H107" s="49">
        <v>13</v>
      </c>
      <c r="I107" s="49">
        <v>17</v>
      </c>
      <c r="J107" s="82">
        <v>48</v>
      </c>
      <c r="K107" s="49">
        <v>67</v>
      </c>
      <c r="L107" s="49">
        <v>76</v>
      </c>
      <c r="M107" s="49">
        <v>82</v>
      </c>
      <c r="N107" s="49">
        <v>95</v>
      </c>
      <c r="O107" s="87">
        <v>101</v>
      </c>
      <c r="P107" s="87">
        <v>105</v>
      </c>
      <c r="Q107" s="88">
        <v>107</v>
      </c>
      <c r="R107" s="88">
        <v>106</v>
      </c>
    </row>
    <row r="108" spans="2:18" ht="19.5" customHeight="1" thickBot="1" x14ac:dyDescent="0.25">
      <c r="B108" s="13"/>
      <c r="C108" s="15"/>
      <c r="D108" s="16" t="s">
        <v>10</v>
      </c>
      <c r="E108" s="91" t="s">
        <v>47</v>
      </c>
      <c r="F108" s="95" t="s">
        <v>41</v>
      </c>
      <c r="G108" s="31">
        <v>9</v>
      </c>
      <c r="H108" s="10">
        <v>14</v>
      </c>
      <c r="I108" s="10">
        <v>19</v>
      </c>
      <c r="J108" s="23">
        <v>46</v>
      </c>
      <c r="K108" s="10">
        <v>64</v>
      </c>
      <c r="L108" s="10">
        <v>74</v>
      </c>
      <c r="M108" s="10">
        <v>93</v>
      </c>
      <c r="N108" s="10">
        <v>103</v>
      </c>
      <c r="O108" s="23">
        <v>108</v>
      </c>
      <c r="P108" s="23">
        <v>110</v>
      </c>
      <c r="Q108" s="31">
        <v>112</v>
      </c>
      <c r="R108" s="31">
        <v>110</v>
      </c>
    </row>
    <row r="109" spans="2:18" ht="19.5" customHeight="1" x14ac:dyDescent="0.2">
      <c r="B109" s="11">
        <v>9</v>
      </c>
      <c r="C109" s="14">
        <v>1</v>
      </c>
      <c r="D109" s="12" t="s">
        <v>10</v>
      </c>
      <c r="E109" s="89" t="s">
        <v>45</v>
      </c>
      <c r="F109" s="93" t="s">
        <v>41</v>
      </c>
      <c r="G109" s="30">
        <v>4</v>
      </c>
      <c r="H109" s="9">
        <v>10</v>
      </c>
      <c r="I109" s="9">
        <v>14</v>
      </c>
      <c r="J109" s="22">
        <v>35</v>
      </c>
      <c r="K109" s="9">
        <v>63</v>
      </c>
      <c r="L109" s="9">
        <v>64</v>
      </c>
      <c r="M109" s="9">
        <v>74</v>
      </c>
      <c r="N109" s="9">
        <v>82</v>
      </c>
      <c r="O109" s="38">
        <v>86</v>
      </c>
      <c r="P109" s="38">
        <v>87</v>
      </c>
      <c r="Q109" s="54">
        <v>89</v>
      </c>
      <c r="R109" s="54">
        <v>90</v>
      </c>
    </row>
    <row r="110" spans="2:18" ht="19.5" customHeight="1" x14ac:dyDescent="0.2">
      <c r="B110" s="56"/>
      <c r="C110" s="57"/>
      <c r="D110" s="58" t="s">
        <v>33</v>
      </c>
      <c r="E110" s="90" t="s">
        <v>45</v>
      </c>
      <c r="F110" s="94" t="s">
        <v>41</v>
      </c>
      <c r="G110" s="86">
        <v>5</v>
      </c>
      <c r="H110" s="49">
        <v>11</v>
      </c>
      <c r="I110" s="49">
        <v>20</v>
      </c>
      <c r="J110" s="82">
        <v>46</v>
      </c>
      <c r="K110" s="49">
        <v>58</v>
      </c>
      <c r="L110" s="49">
        <v>65</v>
      </c>
      <c r="M110" s="49">
        <v>76</v>
      </c>
      <c r="N110" s="49">
        <v>83</v>
      </c>
      <c r="O110" s="87">
        <v>87</v>
      </c>
      <c r="P110" s="87">
        <v>89</v>
      </c>
      <c r="Q110" s="88">
        <v>91</v>
      </c>
      <c r="R110" s="88">
        <v>91</v>
      </c>
    </row>
    <row r="111" spans="2:18" ht="19.5" customHeight="1" thickBot="1" x14ac:dyDescent="0.25">
      <c r="B111" s="13"/>
      <c r="C111" s="15"/>
      <c r="D111" s="16" t="s">
        <v>11</v>
      </c>
      <c r="E111" s="91" t="s">
        <v>45</v>
      </c>
      <c r="F111" s="95" t="s">
        <v>41</v>
      </c>
      <c r="G111" s="31">
        <v>3</v>
      </c>
      <c r="H111" s="10">
        <v>8</v>
      </c>
      <c r="I111" s="10">
        <v>13</v>
      </c>
      <c r="J111" s="23">
        <v>34</v>
      </c>
      <c r="K111" s="10">
        <v>57</v>
      </c>
      <c r="L111" s="10">
        <v>67</v>
      </c>
      <c r="M111" s="10">
        <v>80</v>
      </c>
      <c r="N111" s="10">
        <v>86</v>
      </c>
      <c r="O111" s="23">
        <v>90</v>
      </c>
      <c r="P111" s="23">
        <v>94</v>
      </c>
      <c r="Q111" s="31">
        <v>95</v>
      </c>
      <c r="R111" s="31">
        <v>85</v>
      </c>
    </row>
    <row r="112" spans="2:18" ht="19.5" customHeight="1" x14ac:dyDescent="0.2">
      <c r="B112" s="11">
        <v>9</v>
      </c>
      <c r="C112" s="14">
        <v>2</v>
      </c>
      <c r="D112" s="12" t="s">
        <v>10</v>
      </c>
      <c r="E112" s="89" t="s">
        <v>42</v>
      </c>
      <c r="F112" s="93" t="s">
        <v>41</v>
      </c>
      <c r="G112" s="30">
        <v>4</v>
      </c>
      <c r="H112" s="9">
        <v>10</v>
      </c>
      <c r="I112" s="9">
        <v>16</v>
      </c>
      <c r="J112" s="22">
        <v>29</v>
      </c>
      <c r="K112" s="9">
        <v>47</v>
      </c>
      <c r="L112" s="9">
        <v>60</v>
      </c>
      <c r="M112" s="9">
        <v>80</v>
      </c>
      <c r="N112" s="9">
        <v>89</v>
      </c>
      <c r="O112" s="22">
        <v>93</v>
      </c>
      <c r="P112" s="22">
        <v>95</v>
      </c>
      <c r="Q112" s="30">
        <v>96</v>
      </c>
      <c r="R112" s="30">
        <v>96</v>
      </c>
    </row>
    <row r="113" spans="2:18" ht="19.5" customHeight="1" x14ac:dyDescent="0.2">
      <c r="B113" s="56"/>
      <c r="C113" s="57"/>
      <c r="D113" s="58" t="s">
        <v>33</v>
      </c>
      <c r="E113" s="90" t="s">
        <v>42</v>
      </c>
      <c r="F113" s="94" t="s">
        <v>41</v>
      </c>
      <c r="G113" s="86">
        <v>6</v>
      </c>
      <c r="H113" s="49">
        <v>13</v>
      </c>
      <c r="I113" s="49">
        <v>18</v>
      </c>
      <c r="J113" s="82">
        <v>41</v>
      </c>
      <c r="K113" s="49">
        <v>59</v>
      </c>
      <c r="L113" s="49">
        <v>69</v>
      </c>
      <c r="M113" s="49">
        <v>86</v>
      </c>
      <c r="N113" s="49">
        <v>92</v>
      </c>
      <c r="O113" s="82">
        <v>97</v>
      </c>
      <c r="P113" s="82">
        <v>100</v>
      </c>
      <c r="Q113" s="86">
        <v>104</v>
      </c>
      <c r="R113" s="86">
        <v>103</v>
      </c>
    </row>
    <row r="114" spans="2:18" ht="19.5" customHeight="1" thickBot="1" x14ac:dyDescent="0.25">
      <c r="B114" s="13"/>
      <c r="C114" s="15"/>
      <c r="D114" s="16" t="s">
        <v>11</v>
      </c>
      <c r="E114" s="91" t="s">
        <v>42</v>
      </c>
      <c r="F114" s="95" t="s">
        <v>41</v>
      </c>
      <c r="G114" s="31">
        <v>4</v>
      </c>
      <c r="H114" s="10">
        <v>10</v>
      </c>
      <c r="I114" s="10">
        <v>15</v>
      </c>
      <c r="J114" s="23">
        <v>34</v>
      </c>
      <c r="K114" s="10">
        <v>48</v>
      </c>
      <c r="L114" s="10">
        <v>58</v>
      </c>
      <c r="M114" s="10">
        <v>83</v>
      </c>
      <c r="N114" s="10">
        <v>94</v>
      </c>
      <c r="O114" s="23">
        <v>99</v>
      </c>
      <c r="P114" s="23">
        <v>102</v>
      </c>
      <c r="Q114" s="31">
        <v>105</v>
      </c>
      <c r="R114" s="31">
        <v>106</v>
      </c>
    </row>
    <row r="115" spans="2:18" ht="19.5" customHeight="1" x14ac:dyDescent="0.2">
      <c r="B115" s="11">
        <v>9</v>
      </c>
      <c r="C115" s="14">
        <v>3</v>
      </c>
      <c r="D115" s="12" t="s">
        <v>10</v>
      </c>
      <c r="E115" s="89" t="s">
        <v>47</v>
      </c>
      <c r="F115" s="93" t="s">
        <v>41</v>
      </c>
      <c r="G115" s="30">
        <v>8</v>
      </c>
      <c r="H115" s="9">
        <v>13</v>
      </c>
      <c r="I115" s="9">
        <v>19</v>
      </c>
      <c r="J115" s="22">
        <v>48</v>
      </c>
      <c r="K115" s="9">
        <v>62</v>
      </c>
      <c r="L115" s="9">
        <v>75</v>
      </c>
      <c r="M115" s="9">
        <v>86</v>
      </c>
      <c r="N115" s="9">
        <v>99</v>
      </c>
      <c r="O115" s="22">
        <v>101</v>
      </c>
      <c r="P115" s="22">
        <v>106</v>
      </c>
      <c r="Q115" s="30">
        <v>108</v>
      </c>
      <c r="R115" s="30">
        <v>109</v>
      </c>
    </row>
    <row r="116" spans="2:18" ht="19.5" customHeight="1" x14ac:dyDescent="0.2">
      <c r="B116" s="56"/>
      <c r="C116" s="57"/>
      <c r="D116" s="58" t="s">
        <v>33</v>
      </c>
      <c r="E116" s="90" t="s">
        <v>47</v>
      </c>
      <c r="F116" s="94" t="s">
        <v>41</v>
      </c>
      <c r="G116" s="86">
        <v>7</v>
      </c>
      <c r="H116" s="49">
        <v>10</v>
      </c>
      <c r="I116" s="49">
        <v>14</v>
      </c>
      <c r="J116" s="82">
        <v>30</v>
      </c>
      <c r="K116" s="49">
        <v>47</v>
      </c>
      <c r="L116" s="49">
        <v>50</v>
      </c>
      <c r="M116" s="49">
        <v>56</v>
      </c>
      <c r="N116" s="49">
        <v>60</v>
      </c>
      <c r="O116" s="82">
        <v>65</v>
      </c>
      <c r="P116" s="82">
        <v>69</v>
      </c>
      <c r="Q116" s="86">
        <v>72</v>
      </c>
      <c r="R116" s="86">
        <v>72</v>
      </c>
    </row>
    <row r="117" spans="2:18" ht="19.5" customHeight="1" thickBot="1" x14ac:dyDescent="0.25">
      <c r="B117" s="13"/>
      <c r="C117" s="15"/>
      <c r="D117" s="16" t="s">
        <v>11</v>
      </c>
      <c r="E117" s="91" t="s">
        <v>47</v>
      </c>
      <c r="F117" s="95" t="s">
        <v>41</v>
      </c>
      <c r="G117" s="31">
        <v>6</v>
      </c>
      <c r="H117" s="10">
        <v>9</v>
      </c>
      <c r="I117" s="10">
        <v>14</v>
      </c>
      <c r="J117" s="23">
        <v>33</v>
      </c>
      <c r="K117" s="10">
        <v>48</v>
      </c>
      <c r="L117" s="10">
        <v>50</v>
      </c>
      <c r="M117" s="10">
        <v>56</v>
      </c>
      <c r="N117" s="10">
        <v>60</v>
      </c>
      <c r="O117" s="23">
        <v>64</v>
      </c>
      <c r="P117" s="23">
        <v>68</v>
      </c>
      <c r="Q117" s="31">
        <v>70</v>
      </c>
      <c r="R117" s="31">
        <v>71</v>
      </c>
    </row>
    <row r="118" spans="2:18" ht="19.5" customHeight="1" x14ac:dyDescent="0.2">
      <c r="B118" s="11">
        <v>9</v>
      </c>
      <c r="C118" s="14">
        <v>4</v>
      </c>
      <c r="D118" s="12" t="s">
        <v>10</v>
      </c>
      <c r="E118" s="89" t="s">
        <v>44</v>
      </c>
      <c r="F118" s="93" t="s">
        <v>41</v>
      </c>
      <c r="G118" s="30">
        <v>6</v>
      </c>
      <c r="H118" s="9">
        <v>10</v>
      </c>
      <c r="I118" s="9">
        <v>15</v>
      </c>
      <c r="J118" s="22">
        <v>37</v>
      </c>
      <c r="K118" s="9">
        <v>64</v>
      </c>
      <c r="L118" s="9">
        <v>69</v>
      </c>
      <c r="M118" s="9">
        <v>83</v>
      </c>
      <c r="N118" s="9">
        <v>89</v>
      </c>
      <c r="O118" s="22">
        <v>91</v>
      </c>
      <c r="P118" s="22">
        <v>93</v>
      </c>
      <c r="Q118" s="30">
        <v>93</v>
      </c>
      <c r="R118" s="30">
        <v>92</v>
      </c>
    </row>
    <row r="119" spans="2:18" ht="19.5" customHeight="1" x14ac:dyDescent="0.2">
      <c r="B119" s="56"/>
      <c r="C119" s="57"/>
      <c r="D119" s="58" t="s">
        <v>33</v>
      </c>
      <c r="E119" s="90" t="s">
        <v>44</v>
      </c>
      <c r="F119" s="94" t="s">
        <v>41</v>
      </c>
      <c r="G119" s="86">
        <v>6</v>
      </c>
      <c r="H119" s="49">
        <v>9</v>
      </c>
      <c r="I119" s="49">
        <v>15</v>
      </c>
      <c r="J119" s="82">
        <v>34</v>
      </c>
      <c r="K119" s="49">
        <v>54</v>
      </c>
      <c r="L119" s="49">
        <v>60</v>
      </c>
      <c r="M119" s="49">
        <v>74</v>
      </c>
      <c r="N119" s="49">
        <v>81</v>
      </c>
      <c r="O119" s="82">
        <v>83</v>
      </c>
      <c r="P119" s="82">
        <v>84</v>
      </c>
      <c r="Q119" s="86">
        <v>84</v>
      </c>
      <c r="R119" s="86">
        <v>85</v>
      </c>
    </row>
    <row r="120" spans="2:18" ht="19.5" customHeight="1" thickBot="1" x14ac:dyDescent="0.25">
      <c r="B120" s="13"/>
      <c r="C120" s="15"/>
      <c r="D120" s="16" t="s">
        <v>11</v>
      </c>
      <c r="E120" s="91" t="s">
        <v>44</v>
      </c>
      <c r="F120" s="95" t="s">
        <v>41</v>
      </c>
      <c r="G120" s="31">
        <v>8</v>
      </c>
      <c r="H120" s="10">
        <v>13</v>
      </c>
      <c r="I120" s="10">
        <v>17</v>
      </c>
      <c r="J120" s="23">
        <v>39</v>
      </c>
      <c r="K120" s="10">
        <v>54</v>
      </c>
      <c r="L120" s="10">
        <v>64</v>
      </c>
      <c r="M120" s="10">
        <v>88</v>
      </c>
      <c r="N120" s="10">
        <v>95</v>
      </c>
      <c r="O120" s="23">
        <v>98</v>
      </c>
      <c r="P120" s="23">
        <v>101</v>
      </c>
      <c r="Q120" s="31">
        <v>102</v>
      </c>
      <c r="R120" s="31">
        <v>93</v>
      </c>
    </row>
    <row r="121" spans="2:18" ht="19.5" customHeight="1" x14ac:dyDescent="0.2">
      <c r="B121" s="11">
        <v>10</v>
      </c>
      <c r="C121" s="14">
        <v>4</v>
      </c>
      <c r="D121" s="12" t="s">
        <v>11</v>
      </c>
      <c r="E121" s="89" t="s">
        <v>44</v>
      </c>
      <c r="F121" s="96" t="s">
        <v>43</v>
      </c>
      <c r="G121" s="30">
        <v>11</v>
      </c>
      <c r="H121" s="9">
        <v>16</v>
      </c>
      <c r="I121" s="9">
        <v>21</v>
      </c>
      <c r="J121" s="22">
        <v>49</v>
      </c>
      <c r="K121" s="9">
        <v>65</v>
      </c>
      <c r="L121" s="9">
        <v>68</v>
      </c>
      <c r="M121" s="9">
        <v>72</v>
      </c>
      <c r="N121" s="9">
        <v>83</v>
      </c>
      <c r="O121" s="22">
        <v>87</v>
      </c>
      <c r="P121" s="22">
        <v>88</v>
      </c>
      <c r="Q121" s="30">
        <v>89</v>
      </c>
      <c r="R121" s="30">
        <v>90</v>
      </c>
    </row>
    <row r="122" spans="2:18" ht="19.5" customHeight="1" x14ac:dyDescent="0.2">
      <c r="B122" s="56"/>
      <c r="C122" s="57"/>
      <c r="D122" s="58" t="s">
        <v>33</v>
      </c>
      <c r="E122" s="90" t="s">
        <v>44</v>
      </c>
      <c r="F122" s="97" t="s">
        <v>43</v>
      </c>
      <c r="G122" s="86">
        <v>10</v>
      </c>
      <c r="H122" s="49">
        <v>13</v>
      </c>
      <c r="I122" s="49">
        <v>21</v>
      </c>
      <c r="J122" s="82">
        <v>40</v>
      </c>
      <c r="K122" s="49">
        <v>64</v>
      </c>
      <c r="L122" s="49">
        <v>67</v>
      </c>
      <c r="M122" s="49">
        <v>70</v>
      </c>
      <c r="N122" s="49">
        <v>82</v>
      </c>
      <c r="O122" s="82">
        <v>86</v>
      </c>
      <c r="P122" s="82">
        <v>88</v>
      </c>
      <c r="Q122" s="86">
        <v>88</v>
      </c>
      <c r="R122" s="86">
        <v>89</v>
      </c>
    </row>
    <row r="123" spans="2:18" ht="19.5" customHeight="1" thickBot="1" x14ac:dyDescent="0.25">
      <c r="B123" s="13"/>
      <c r="C123" s="15"/>
      <c r="D123" s="16" t="s">
        <v>10</v>
      </c>
      <c r="E123" s="91" t="s">
        <v>44</v>
      </c>
      <c r="F123" s="98" t="s">
        <v>43</v>
      </c>
      <c r="G123" s="31">
        <v>10</v>
      </c>
      <c r="H123" s="10">
        <v>14</v>
      </c>
      <c r="I123" s="10">
        <v>20</v>
      </c>
      <c r="J123" s="23">
        <v>53</v>
      </c>
      <c r="K123" s="10">
        <v>79</v>
      </c>
      <c r="L123" s="10">
        <v>84</v>
      </c>
      <c r="M123" s="10">
        <v>98</v>
      </c>
      <c r="N123" s="10">
        <v>104</v>
      </c>
      <c r="O123" s="23">
        <v>109</v>
      </c>
      <c r="P123" s="23">
        <v>114</v>
      </c>
      <c r="Q123" s="31">
        <v>116</v>
      </c>
      <c r="R123" s="31">
        <v>101</v>
      </c>
    </row>
    <row r="124" spans="2:18" ht="19.5" customHeight="1" x14ac:dyDescent="0.2">
      <c r="B124" s="11">
        <v>10</v>
      </c>
      <c r="C124" s="14">
        <v>3</v>
      </c>
      <c r="D124" s="12" t="s">
        <v>11</v>
      </c>
      <c r="E124" s="89" t="s">
        <v>47</v>
      </c>
      <c r="F124" s="96" t="s">
        <v>43</v>
      </c>
      <c r="G124" s="30">
        <v>11</v>
      </c>
      <c r="H124" s="9">
        <v>17</v>
      </c>
      <c r="I124" s="9">
        <v>27</v>
      </c>
      <c r="J124" s="22">
        <v>54</v>
      </c>
      <c r="K124" s="9">
        <v>67</v>
      </c>
      <c r="L124" s="9">
        <v>68</v>
      </c>
      <c r="M124" s="9">
        <v>71</v>
      </c>
      <c r="N124" s="9">
        <v>79</v>
      </c>
      <c r="O124" s="22">
        <v>83</v>
      </c>
      <c r="P124" s="22">
        <v>86</v>
      </c>
      <c r="Q124" s="30">
        <v>88</v>
      </c>
      <c r="R124" s="30">
        <v>89</v>
      </c>
    </row>
    <row r="125" spans="2:18" ht="19.5" customHeight="1" x14ac:dyDescent="0.2">
      <c r="B125" s="56"/>
      <c r="C125" s="57"/>
      <c r="D125" s="58" t="s">
        <v>33</v>
      </c>
      <c r="E125" s="90" t="s">
        <v>47</v>
      </c>
      <c r="F125" s="97" t="s">
        <v>43</v>
      </c>
      <c r="G125" s="86">
        <v>11</v>
      </c>
      <c r="H125" s="49">
        <v>18</v>
      </c>
      <c r="I125" s="49">
        <v>26</v>
      </c>
      <c r="J125" s="82">
        <v>61</v>
      </c>
      <c r="K125" s="49">
        <v>81</v>
      </c>
      <c r="L125" s="49">
        <v>84</v>
      </c>
      <c r="M125" s="49">
        <v>87</v>
      </c>
      <c r="N125" s="49">
        <v>95</v>
      </c>
      <c r="O125" s="82">
        <v>99</v>
      </c>
      <c r="P125" s="82">
        <v>103</v>
      </c>
      <c r="Q125" s="86">
        <v>105</v>
      </c>
      <c r="R125" s="86">
        <v>105</v>
      </c>
    </row>
    <row r="126" spans="2:18" ht="19.5" customHeight="1" thickBot="1" x14ac:dyDescent="0.25">
      <c r="B126" s="13"/>
      <c r="C126" s="15"/>
      <c r="D126" s="16" t="s">
        <v>10</v>
      </c>
      <c r="E126" s="91" t="s">
        <v>47</v>
      </c>
      <c r="F126" s="98" t="s">
        <v>43</v>
      </c>
      <c r="G126" s="31">
        <v>12</v>
      </c>
      <c r="H126" s="10">
        <v>18</v>
      </c>
      <c r="I126" s="10">
        <v>24</v>
      </c>
      <c r="J126" s="23">
        <v>61</v>
      </c>
      <c r="K126" s="10">
        <v>84</v>
      </c>
      <c r="L126" s="10">
        <v>90</v>
      </c>
      <c r="M126" s="10">
        <v>100</v>
      </c>
      <c r="N126" s="10">
        <v>104</v>
      </c>
      <c r="O126" s="23">
        <v>108</v>
      </c>
      <c r="P126" s="23">
        <v>110</v>
      </c>
      <c r="Q126" s="31">
        <v>111</v>
      </c>
      <c r="R126" s="31">
        <v>108</v>
      </c>
    </row>
    <row r="127" spans="2:18" ht="19.5" customHeight="1" x14ac:dyDescent="0.2">
      <c r="B127" s="11">
        <v>10</v>
      </c>
      <c r="C127" s="14">
        <v>2</v>
      </c>
      <c r="D127" s="12" t="s">
        <v>11</v>
      </c>
      <c r="E127" s="89" t="s">
        <v>42</v>
      </c>
      <c r="F127" s="96" t="s">
        <v>43</v>
      </c>
      <c r="G127" s="30">
        <v>13</v>
      </c>
      <c r="H127" s="9">
        <v>19</v>
      </c>
      <c r="I127" s="9">
        <v>25</v>
      </c>
      <c r="J127" s="22">
        <v>50</v>
      </c>
      <c r="K127" s="9">
        <v>70</v>
      </c>
      <c r="L127" s="9">
        <v>73</v>
      </c>
      <c r="M127" s="9">
        <v>83</v>
      </c>
      <c r="N127" s="9">
        <v>94</v>
      </c>
      <c r="O127" s="22">
        <v>100</v>
      </c>
      <c r="P127" s="22">
        <v>104</v>
      </c>
      <c r="Q127" s="30">
        <v>106</v>
      </c>
      <c r="R127" s="30">
        <v>108</v>
      </c>
    </row>
    <row r="128" spans="2:18" ht="19.5" customHeight="1" x14ac:dyDescent="0.2">
      <c r="B128" s="56"/>
      <c r="C128" s="57"/>
      <c r="D128" s="58" t="s">
        <v>33</v>
      </c>
      <c r="E128" s="90" t="s">
        <v>42</v>
      </c>
      <c r="F128" s="97" t="s">
        <v>43</v>
      </c>
      <c r="G128" s="86">
        <v>14</v>
      </c>
      <c r="H128" s="49">
        <v>21</v>
      </c>
      <c r="I128" s="49">
        <v>29</v>
      </c>
      <c r="J128" s="82">
        <v>64</v>
      </c>
      <c r="K128" s="49">
        <v>86</v>
      </c>
      <c r="L128" s="49">
        <v>90</v>
      </c>
      <c r="M128" s="49">
        <v>100</v>
      </c>
      <c r="N128" s="49">
        <v>109</v>
      </c>
      <c r="O128" s="82">
        <v>114</v>
      </c>
      <c r="P128" s="82">
        <v>117</v>
      </c>
      <c r="Q128" s="86">
        <v>118</v>
      </c>
      <c r="R128" s="86">
        <v>116</v>
      </c>
    </row>
    <row r="129" spans="2:18" ht="19.5" customHeight="1" thickBot="1" x14ac:dyDescent="0.25">
      <c r="B129" s="13"/>
      <c r="C129" s="15"/>
      <c r="D129" s="16" t="s">
        <v>10</v>
      </c>
      <c r="E129" s="91" t="s">
        <v>42</v>
      </c>
      <c r="F129" s="98" t="s">
        <v>43</v>
      </c>
      <c r="G129" s="31">
        <v>15</v>
      </c>
      <c r="H129" s="10">
        <v>24</v>
      </c>
      <c r="I129" s="10">
        <v>28</v>
      </c>
      <c r="J129" s="23">
        <v>57</v>
      </c>
      <c r="K129" s="10">
        <v>77</v>
      </c>
      <c r="L129" s="10">
        <v>84</v>
      </c>
      <c r="M129" s="10">
        <v>96</v>
      </c>
      <c r="N129" s="10">
        <v>103</v>
      </c>
      <c r="O129" s="23">
        <v>107</v>
      </c>
      <c r="P129" s="23">
        <v>114</v>
      </c>
      <c r="Q129" s="31">
        <v>117</v>
      </c>
      <c r="R129" s="31">
        <v>117</v>
      </c>
    </row>
    <row r="130" spans="2:18" ht="19.5" customHeight="1" x14ac:dyDescent="0.2">
      <c r="B130" s="11">
        <v>10</v>
      </c>
      <c r="C130" s="14">
        <v>1</v>
      </c>
      <c r="D130" s="12" t="s">
        <v>11</v>
      </c>
      <c r="E130" s="89" t="s">
        <v>45</v>
      </c>
      <c r="F130" s="96" t="s">
        <v>43</v>
      </c>
      <c r="G130" s="30">
        <v>11</v>
      </c>
      <c r="H130" s="9">
        <v>16</v>
      </c>
      <c r="I130" s="9">
        <v>20</v>
      </c>
      <c r="J130" s="22">
        <v>50</v>
      </c>
      <c r="K130" s="9">
        <v>70</v>
      </c>
      <c r="L130" s="9">
        <v>73</v>
      </c>
      <c r="M130" s="9">
        <v>75</v>
      </c>
      <c r="N130" s="9">
        <v>81</v>
      </c>
      <c r="O130" s="22">
        <v>83</v>
      </c>
      <c r="P130" s="22">
        <v>85</v>
      </c>
      <c r="Q130" s="30">
        <v>85</v>
      </c>
      <c r="R130" s="30">
        <v>85</v>
      </c>
    </row>
    <row r="131" spans="2:18" ht="19.5" customHeight="1" x14ac:dyDescent="0.2">
      <c r="B131" s="56"/>
      <c r="C131" s="57"/>
      <c r="D131" s="58" t="s">
        <v>33</v>
      </c>
      <c r="E131" s="90" t="s">
        <v>45</v>
      </c>
      <c r="F131" s="97" t="s">
        <v>43</v>
      </c>
      <c r="G131" s="86">
        <v>15</v>
      </c>
      <c r="H131" s="49">
        <v>23</v>
      </c>
      <c r="I131" s="49">
        <v>32</v>
      </c>
      <c r="J131" s="82">
        <v>69</v>
      </c>
      <c r="K131" s="49">
        <v>92</v>
      </c>
      <c r="L131" s="49">
        <v>96</v>
      </c>
      <c r="M131" s="49">
        <v>103</v>
      </c>
      <c r="N131" s="49">
        <v>112</v>
      </c>
      <c r="O131" s="82">
        <v>115</v>
      </c>
      <c r="P131" s="82">
        <v>117</v>
      </c>
      <c r="Q131" s="86">
        <v>116</v>
      </c>
      <c r="R131" s="86">
        <v>98</v>
      </c>
    </row>
    <row r="132" spans="2:18" ht="19.5" customHeight="1" thickBot="1" x14ac:dyDescent="0.25">
      <c r="B132" s="13"/>
      <c r="C132" s="15"/>
      <c r="D132" s="16" t="s">
        <v>10</v>
      </c>
      <c r="E132" s="91" t="s">
        <v>45</v>
      </c>
      <c r="F132" s="98" t="s">
        <v>43</v>
      </c>
      <c r="G132" s="31">
        <v>16</v>
      </c>
      <c r="H132" s="10">
        <v>22</v>
      </c>
      <c r="I132" s="10">
        <v>30</v>
      </c>
      <c r="J132" s="23">
        <v>62</v>
      </c>
      <c r="K132" s="10">
        <v>78</v>
      </c>
      <c r="L132" s="10">
        <v>73</v>
      </c>
      <c r="M132" s="10">
        <v>91</v>
      </c>
      <c r="N132" s="10">
        <v>101</v>
      </c>
      <c r="O132" s="23">
        <v>106</v>
      </c>
      <c r="P132" s="23">
        <v>109</v>
      </c>
      <c r="Q132" s="31">
        <v>110</v>
      </c>
      <c r="R132" s="31">
        <v>110</v>
      </c>
    </row>
    <row r="133" spans="2:18" ht="19.5" customHeight="1" x14ac:dyDescent="0.2">
      <c r="B133" s="11">
        <v>11</v>
      </c>
      <c r="C133" s="14">
        <v>1</v>
      </c>
      <c r="D133" s="12" t="s">
        <v>10</v>
      </c>
      <c r="E133" s="89" t="s">
        <v>44</v>
      </c>
      <c r="F133" s="96" t="s">
        <v>43</v>
      </c>
      <c r="G133" s="30">
        <v>15</v>
      </c>
      <c r="H133" s="9">
        <v>23</v>
      </c>
      <c r="I133" s="9">
        <v>33</v>
      </c>
      <c r="J133" s="22">
        <v>59</v>
      </c>
      <c r="K133" s="9">
        <v>79</v>
      </c>
      <c r="L133" s="9">
        <v>80</v>
      </c>
      <c r="M133" s="9">
        <v>83</v>
      </c>
      <c r="N133" s="9">
        <v>101</v>
      </c>
      <c r="O133" s="22">
        <v>104</v>
      </c>
      <c r="P133" s="22">
        <v>106</v>
      </c>
      <c r="Q133" s="30">
        <v>107</v>
      </c>
      <c r="R133" s="30">
        <v>105</v>
      </c>
    </row>
    <row r="134" spans="2:18" ht="19.5" customHeight="1" x14ac:dyDescent="0.2">
      <c r="B134" s="56"/>
      <c r="C134" s="57"/>
      <c r="D134" s="58" t="s">
        <v>33</v>
      </c>
      <c r="E134" s="90" t="s">
        <v>44</v>
      </c>
      <c r="F134" s="97" t="s">
        <v>43</v>
      </c>
      <c r="G134" s="86">
        <v>15</v>
      </c>
      <c r="H134" s="49">
        <v>23</v>
      </c>
      <c r="I134" s="49">
        <v>34</v>
      </c>
      <c r="J134" s="82">
        <v>67</v>
      </c>
      <c r="K134" s="49">
        <v>85</v>
      </c>
      <c r="L134" s="49">
        <v>87</v>
      </c>
      <c r="M134" s="49">
        <v>90</v>
      </c>
      <c r="N134" s="49">
        <v>97</v>
      </c>
      <c r="O134" s="82">
        <v>101</v>
      </c>
      <c r="P134" s="82">
        <v>103</v>
      </c>
      <c r="Q134" s="86">
        <v>103</v>
      </c>
      <c r="R134" s="86">
        <v>103</v>
      </c>
    </row>
    <row r="135" spans="2:18" ht="19.5" customHeight="1" thickBot="1" x14ac:dyDescent="0.25">
      <c r="B135" s="13"/>
      <c r="C135" s="15"/>
      <c r="D135" s="16" t="s">
        <v>11</v>
      </c>
      <c r="E135" s="91" t="s">
        <v>44</v>
      </c>
      <c r="F135" s="98" t="s">
        <v>43</v>
      </c>
      <c r="G135" s="31">
        <v>14</v>
      </c>
      <c r="H135" s="10">
        <v>24</v>
      </c>
      <c r="I135" s="10">
        <v>30</v>
      </c>
      <c r="J135" s="23">
        <v>62</v>
      </c>
      <c r="K135" s="10">
        <v>77</v>
      </c>
      <c r="L135" s="10">
        <v>79</v>
      </c>
      <c r="M135" s="10">
        <v>79</v>
      </c>
      <c r="N135" s="10">
        <v>87</v>
      </c>
      <c r="O135" s="23">
        <v>92</v>
      </c>
      <c r="P135" s="23">
        <v>96</v>
      </c>
      <c r="Q135" s="31">
        <v>98</v>
      </c>
      <c r="R135" s="31">
        <v>99</v>
      </c>
    </row>
    <row r="136" spans="2:18" ht="19.5" customHeight="1" x14ac:dyDescent="0.2">
      <c r="B136" s="11">
        <v>11</v>
      </c>
      <c r="C136" s="14">
        <v>2</v>
      </c>
      <c r="D136" s="12" t="s">
        <v>10</v>
      </c>
      <c r="E136" s="89" t="s">
        <v>48</v>
      </c>
      <c r="F136" s="96" t="s">
        <v>43</v>
      </c>
      <c r="G136" s="30">
        <v>11</v>
      </c>
      <c r="H136" s="9">
        <v>18</v>
      </c>
      <c r="I136" s="9">
        <v>31</v>
      </c>
      <c r="J136" s="22">
        <v>62</v>
      </c>
      <c r="K136" s="9">
        <v>82</v>
      </c>
      <c r="L136" s="9">
        <v>88</v>
      </c>
      <c r="M136" s="9">
        <v>95</v>
      </c>
      <c r="N136" s="9">
        <v>97</v>
      </c>
      <c r="O136" s="38">
        <v>100</v>
      </c>
      <c r="P136" s="38">
        <v>102</v>
      </c>
      <c r="Q136" s="54">
        <v>105</v>
      </c>
      <c r="R136" s="54">
        <v>107</v>
      </c>
    </row>
    <row r="137" spans="2:18" ht="19.5" customHeight="1" x14ac:dyDescent="0.2">
      <c r="B137" s="56"/>
      <c r="C137" s="57"/>
      <c r="D137" s="58" t="s">
        <v>33</v>
      </c>
      <c r="E137" s="90" t="s">
        <v>48</v>
      </c>
      <c r="F137" s="97" t="s">
        <v>43</v>
      </c>
      <c r="G137" s="86">
        <v>12</v>
      </c>
      <c r="H137" s="49">
        <v>19</v>
      </c>
      <c r="I137" s="49">
        <v>28</v>
      </c>
      <c r="J137" s="82">
        <v>64</v>
      </c>
      <c r="K137" s="49">
        <v>83</v>
      </c>
      <c r="L137" s="49">
        <v>91</v>
      </c>
      <c r="M137" s="49">
        <v>105</v>
      </c>
      <c r="N137" s="49">
        <v>109</v>
      </c>
      <c r="O137" s="87">
        <v>113</v>
      </c>
      <c r="P137" s="87">
        <v>115</v>
      </c>
      <c r="Q137" s="88">
        <v>116</v>
      </c>
      <c r="R137" s="88">
        <v>108</v>
      </c>
    </row>
    <row r="138" spans="2:18" ht="19.5" customHeight="1" thickBot="1" x14ac:dyDescent="0.25">
      <c r="B138" s="56"/>
      <c r="C138" s="57"/>
      <c r="D138" s="16" t="s">
        <v>11</v>
      </c>
      <c r="E138" s="91" t="s">
        <v>48</v>
      </c>
      <c r="F138" s="98" t="s">
        <v>43</v>
      </c>
      <c r="G138" s="31">
        <v>15</v>
      </c>
      <c r="H138" s="10">
        <v>23</v>
      </c>
      <c r="I138" s="10">
        <v>34</v>
      </c>
      <c r="J138" s="23">
        <v>73</v>
      </c>
      <c r="K138" s="10">
        <v>90</v>
      </c>
      <c r="L138" s="10">
        <v>95</v>
      </c>
      <c r="M138" s="10">
        <v>103</v>
      </c>
      <c r="N138" s="10">
        <v>106</v>
      </c>
      <c r="O138" s="23">
        <v>109</v>
      </c>
      <c r="P138" s="23">
        <v>111</v>
      </c>
      <c r="Q138" s="31">
        <v>111</v>
      </c>
      <c r="R138" s="31">
        <v>109</v>
      </c>
    </row>
    <row r="139" spans="2:18" ht="19.5" customHeight="1" x14ac:dyDescent="0.2">
      <c r="B139" s="11">
        <v>11</v>
      </c>
      <c r="C139" s="14">
        <v>3</v>
      </c>
      <c r="D139" s="12" t="s">
        <v>10</v>
      </c>
      <c r="E139" s="89" t="s">
        <v>46</v>
      </c>
      <c r="F139" s="96" t="s">
        <v>43</v>
      </c>
      <c r="G139" s="30">
        <v>14</v>
      </c>
      <c r="H139" s="9">
        <v>20</v>
      </c>
      <c r="I139" s="9">
        <v>28</v>
      </c>
      <c r="J139" s="22">
        <v>64</v>
      </c>
      <c r="K139" s="9">
        <v>85</v>
      </c>
      <c r="L139" s="9">
        <v>91</v>
      </c>
      <c r="M139" s="9">
        <v>98</v>
      </c>
      <c r="N139" s="9">
        <v>101</v>
      </c>
      <c r="O139" s="38">
        <v>105</v>
      </c>
      <c r="P139" s="38">
        <v>109</v>
      </c>
      <c r="Q139" s="54">
        <v>112</v>
      </c>
      <c r="R139" s="54">
        <v>112</v>
      </c>
    </row>
    <row r="140" spans="2:18" ht="19.5" customHeight="1" x14ac:dyDescent="0.2">
      <c r="B140" s="56"/>
      <c r="C140" s="57"/>
      <c r="D140" s="58" t="s">
        <v>33</v>
      </c>
      <c r="E140" s="90" t="s">
        <v>46</v>
      </c>
      <c r="F140" s="97" t="s">
        <v>43</v>
      </c>
      <c r="G140" s="86">
        <v>13</v>
      </c>
      <c r="H140" s="49">
        <v>20</v>
      </c>
      <c r="I140" s="49">
        <v>29</v>
      </c>
      <c r="J140" s="82">
        <v>65</v>
      </c>
      <c r="K140" s="49">
        <v>76</v>
      </c>
      <c r="L140" s="49">
        <v>86</v>
      </c>
      <c r="M140" s="49">
        <v>98</v>
      </c>
      <c r="N140" s="49">
        <v>105</v>
      </c>
      <c r="O140" s="87">
        <v>110</v>
      </c>
      <c r="P140" s="87">
        <v>115</v>
      </c>
      <c r="Q140" s="88">
        <v>118</v>
      </c>
      <c r="R140" s="88">
        <v>111</v>
      </c>
    </row>
    <row r="141" spans="2:18" ht="19.5" customHeight="1" thickBot="1" x14ac:dyDescent="0.25">
      <c r="B141" s="13"/>
      <c r="C141" s="15"/>
      <c r="D141" s="16" t="s">
        <v>11</v>
      </c>
      <c r="E141" s="91" t="s">
        <v>46</v>
      </c>
      <c r="F141" s="98" t="s">
        <v>43</v>
      </c>
      <c r="G141" s="31">
        <v>13</v>
      </c>
      <c r="H141" s="10">
        <v>20</v>
      </c>
      <c r="I141" s="10">
        <v>26</v>
      </c>
      <c r="J141" s="23">
        <v>53</v>
      </c>
      <c r="K141" s="10">
        <v>63</v>
      </c>
      <c r="L141" s="10">
        <v>69</v>
      </c>
      <c r="M141" s="10">
        <v>78</v>
      </c>
      <c r="N141" s="10">
        <v>85</v>
      </c>
      <c r="O141" s="48">
        <v>91</v>
      </c>
      <c r="P141" s="48">
        <v>94</v>
      </c>
      <c r="Q141" s="55">
        <v>97</v>
      </c>
      <c r="R141" s="55">
        <v>99</v>
      </c>
    </row>
    <row r="142" spans="2:18" ht="19.5" customHeight="1" x14ac:dyDescent="0.2">
      <c r="B142" s="11">
        <v>11</v>
      </c>
      <c r="C142" s="14">
        <v>4</v>
      </c>
      <c r="D142" s="12" t="s">
        <v>10</v>
      </c>
      <c r="E142" s="89" t="s">
        <v>45</v>
      </c>
      <c r="F142" s="96" t="s">
        <v>43</v>
      </c>
      <c r="G142" s="30">
        <v>13</v>
      </c>
      <c r="H142" s="9">
        <v>21</v>
      </c>
      <c r="I142" s="9">
        <v>24</v>
      </c>
      <c r="J142" s="22">
        <v>59</v>
      </c>
      <c r="K142" s="9">
        <v>71</v>
      </c>
      <c r="L142" s="9">
        <v>75</v>
      </c>
      <c r="M142" s="9">
        <v>79</v>
      </c>
      <c r="N142" s="9">
        <v>88</v>
      </c>
      <c r="O142" s="22">
        <v>91</v>
      </c>
      <c r="P142" s="22">
        <v>93</v>
      </c>
      <c r="Q142" s="30">
        <v>93</v>
      </c>
      <c r="R142" s="30">
        <v>91</v>
      </c>
    </row>
    <row r="143" spans="2:18" ht="19.5" customHeight="1" x14ac:dyDescent="0.2">
      <c r="B143" s="56"/>
      <c r="C143" s="57"/>
      <c r="D143" s="58" t="s">
        <v>33</v>
      </c>
      <c r="E143" s="90" t="s">
        <v>45</v>
      </c>
      <c r="F143" s="97" t="s">
        <v>43</v>
      </c>
      <c r="G143" s="86">
        <v>11</v>
      </c>
      <c r="H143" s="49">
        <v>19</v>
      </c>
      <c r="I143" s="49">
        <v>24</v>
      </c>
      <c r="J143" s="82">
        <v>54</v>
      </c>
      <c r="K143" s="49">
        <v>68</v>
      </c>
      <c r="L143" s="49">
        <v>71</v>
      </c>
      <c r="M143" s="49">
        <v>74</v>
      </c>
      <c r="N143" s="49">
        <v>81</v>
      </c>
      <c r="O143" s="82">
        <v>85</v>
      </c>
      <c r="P143" s="82">
        <v>87</v>
      </c>
      <c r="Q143" s="86">
        <v>88</v>
      </c>
      <c r="R143" s="86">
        <v>88</v>
      </c>
    </row>
    <row r="144" spans="2:18" ht="21" customHeight="1" thickBot="1" x14ac:dyDescent="0.25">
      <c r="B144" s="13"/>
      <c r="C144" s="15"/>
      <c r="D144" s="16" t="s">
        <v>11</v>
      </c>
      <c r="E144" s="91" t="s">
        <v>45</v>
      </c>
      <c r="F144" s="98" t="s">
        <v>43</v>
      </c>
      <c r="G144" s="31">
        <v>9</v>
      </c>
      <c r="H144" s="10">
        <v>18</v>
      </c>
      <c r="I144" s="10">
        <v>22</v>
      </c>
      <c r="J144" s="23">
        <v>45</v>
      </c>
      <c r="K144" s="10">
        <v>55</v>
      </c>
      <c r="L144" s="10">
        <v>57</v>
      </c>
      <c r="M144" s="10">
        <v>59</v>
      </c>
      <c r="N144" s="10">
        <v>64</v>
      </c>
      <c r="O144" s="23">
        <v>67</v>
      </c>
      <c r="P144" s="23">
        <v>70</v>
      </c>
      <c r="Q144" s="31">
        <v>71</v>
      </c>
      <c r="R144" s="31">
        <v>72</v>
      </c>
    </row>
    <row r="145" spans="2:18" ht="19.5" customHeight="1" x14ac:dyDescent="0.2">
      <c r="B145" s="11">
        <v>12</v>
      </c>
      <c r="C145" s="14">
        <v>4</v>
      </c>
      <c r="D145" s="12" t="s">
        <v>11</v>
      </c>
      <c r="E145" s="89" t="s">
        <v>45</v>
      </c>
      <c r="F145" s="93" t="s">
        <v>41</v>
      </c>
      <c r="G145" s="30">
        <v>6</v>
      </c>
      <c r="H145" s="9">
        <v>10</v>
      </c>
      <c r="I145" s="9">
        <v>15</v>
      </c>
      <c r="J145" s="22">
        <v>37</v>
      </c>
      <c r="K145" s="9">
        <v>52</v>
      </c>
      <c r="L145" s="9">
        <v>56</v>
      </c>
      <c r="M145" s="9">
        <v>65</v>
      </c>
      <c r="N145" s="9">
        <v>72</v>
      </c>
      <c r="O145" s="22">
        <v>75</v>
      </c>
      <c r="P145" s="22">
        <v>78</v>
      </c>
      <c r="Q145" s="30">
        <v>80</v>
      </c>
      <c r="R145" s="30">
        <v>80</v>
      </c>
    </row>
    <row r="146" spans="2:18" ht="19.5" customHeight="1" x14ac:dyDescent="0.2">
      <c r="B146" s="56"/>
      <c r="C146" s="57"/>
      <c r="D146" s="58" t="s">
        <v>33</v>
      </c>
      <c r="E146" s="90" t="s">
        <v>45</v>
      </c>
      <c r="F146" s="94" t="s">
        <v>41</v>
      </c>
      <c r="G146" s="86">
        <v>5</v>
      </c>
      <c r="H146" s="49">
        <v>9</v>
      </c>
      <c r="I146" s="49">
        <v>12</v>
      </c>
      <c r="J146" s="82">
        <v>35</v>
      </c>
      <c r="K146" s="49">
        <v>51</v>
      </c>
      <c r="L146" s="49">
        <v>56</v>
      </c>
      <c r="M146" s="49">
        <v>67</v>
      </c>
      <c r="N146" s="49">
        <v>74</v>
      </c>
      <c r="O146" s="82">
        <v>77</v>
      </c>
      <c r="P146" s="82">
        <v>80</v>
      </c>
      <c r="Q146" s="86">
        <v>82</v>
      </c>
      <c r="R146" s="86">
        <v>83</v>
      </c>
    </row>
    <row r="147" spans="2:18" ht="19.5" customHeight="1" thickBot="1" x14ac:dyDescent="0.25">
      <c r="B147" s="13"/>
      <c r="C147" s="15"/>
      <c r="D147" s="16" t="s">
        <v>10</v>
      </c>
      <c r="E147" s="91" t="s">
        <v>45</v>
      </c>
      <c r="F147" s="95" t="s">
        <v>41</v>
      </c>
      <c r="G147" s="31">
        <v>5</v>
      </c>
      <c r="H147" s="10">
        <v>9</v>
      </c>
      <c r="I147" s="10">
        <v>14</v>
      </c>
      <c r="J147" s="23">
        <v>38</v>
      </c>
      <c r="K147" s="10">
        <v>60</v>
      </c>
      <c r="L147" s="10">
        <v>68</v>
      </c>
      <c r="M147" s="10">
        <v>79</v>
      </c>
      <c r="N147" s="10">
        <v>85</v>
      </c>
      <c r="O147" s="23">
        <v>87</v>
      </c>
      <c r="P147" s="23">
        <v>89</v>
      </c>
      <c r="Q147" s="31">
        <v>90</v>
      </c>
      <c r="R147" s="31">
        <v>86</v>
      </c>
    </row>
    <row r="148" spans="2:18" ht="19.5" customHeight="1" x14ac:dyDescent="0.2">
      <c r="B148" s="11">
        <v>12</v>
      </c>
      <c r="C148" s="14">
        <v>3</v>
      </c>
      <c r="D148" s="12" t="s">
        <v>11</v>
      </c>
      <c r="E148" s="89" t="s">
        <v>46</v>
      </c>
      <c r="F148" s="93" t="s">
        <v>41</v>
      </c>
      <c r="G148" s="30">
        <v>4</v>
      </c>
      <c r="H148" s="9">
        <v>8</v>
      </c>
      <c r="I148" s="9">
        <v>12</v>
      </c>
      <c r="J148" s="22">
        <v>31</v>
      </c>
      <c r="K148" s="9">
        <v>50</v>
      </c>
      <c r="L148" s="9">
        <v>59</v>
      </c>
      <c r="M148" s="9">
        <v>73</v>
      </c>
      <c r="N148" s="9">
        <v>83</v>
      </c>
      <c r="O148" s="22">
        <v>87</v>
      </c>
      <c r="P148" s="22">
        <v>89</v>
      </c>
      <c r="Q148" s="30">
        <v>90</v>
      </c>
      <c r="R148" s="30">
        <v>90</v>
      </c>
    </row>
    <row r="149" spans="2:18" ht="19.5" customHeight="1" x14ac:dyDescent="0.2">
      <c r="B149" s="56"/>
      <c r="C149" s="57"/>
      <c r="D149" s="58" t="s">
        <v>33</v>
      </c>
      <c r="E149" s="90" t="s">
        <v>46</v>
      </c>
      <c r="F149" s="94" t="s">
        <v>41</v>
      </c>
      <c r="G149" s="86">
        <v>5</v>
      </c>
      <c r="H149" s="49">
        <v>10</v>
      </c>
      <c r="I149" s="49">
        <v>14</v>
      </c>
      <c r="J149" s="82">
        <v>28</v>
      </c>
      <c r="K149" s="49">
        <v>48</v>
      </c>
      <c r="L149" s="49">
        <v>60</v>
      </c>
      <c r="M149" s="49">
        <v>76</v>
      </c>
      <c r="N149" s="49">
        <v>90</v>
      </c>
      <c r="O149" s="82">
        <v>96</v>
      </c>
      <c r="P149" s="82">
        <v>99</v>
      </c>
      <c r="Q149" s="86">
        <v>101</v>
      </c>
      <c r="R149" s="86">
        <v>100</v>
      </c>
    </row>
    <row r="150" spans="2:18" ht="19.5" customHeight="1" thickBot="1" x14ac:dyDescent="0.25">
      <c r="B150" s="13"/>
      <c r="C150" s="15"/>
      <c r="D150" s="16" t="s">
        <v>10</v>
      </c>
      <c r="E150" s="91" t="s">
        <v>46</v>
      </c>
      <c r="F150" s="95" t="s">
        <v>41</v>
      </c>
      <c r="G150" s="31">
        <v>5</v>
      </c>
      <c r="H150" s="10">
        <v>9</v>
      </c>
      <c r="I150" s="10">
        <v>15</v>
      </c>
      <c r="J150" s="23">
        <v>39</v>
      </c>
      <c r="K150" s="10">
        <v>56</v>
      </c>
      <c r="L150" s="10">
        <v>69</v>
      </c>
      <c r="M150" s="10">
        <v>84</v>
      </c>
      <c r="N150" s="10">
        <v>97</v>
      </c>
      <c r="O150" s="23">
        <v>102</v>
      </c>
      <c r="P150" s="23">
        <v>104</v>
      </c>
      <c r="Q150" s="31">
        <v>105</v>
      </c>
      <c r="R150" s="31">
        <v>105</v>
      </c>
    </row>
    <row r="151" spans="2:18" ht="19.5" customHeight="1" x14ac:dyDescent="0.2">
      <c r="B151" s="11">
        <v>12</v>
      </c>
      <c r="C151" s="14">
        <v>2</v>
      </c>
      <c r="D151" s="12" t="s">
        <v>11</v>
      </c>
      <c r="E151" s="89" t="s">
        <v>48</v>
      </c>
      <c r="F151" s="93" t="s">
        <v>41</v>
      </c>
      <c r="G151" s="30">
        <v>6</v>
      </c>
      <c r="H151" s="9">
        <v>11</v>
      </c>
      <c r="I151" s="9">
        <v>20</v>
      </c>
      <c r="J151" s="22">
        <v>44</v>
      </c>
      <c r="K151" s="9">
        <v>58</v>
      </c>
      <c r="L151" s="9">
        <v>61</v>
      </c>
      <c r="M151" s="9">
        <v>63</v>
      </c>
      <c r="N151" s="9">
        <v>72</v>
      </c>
      <c r="O151" s="22">
        <v>77</v>
      </c>
      <c r="P151" s="22">
        <v>81</v>
      </c>
      <c r="Q151" s="30">
        <v>83</v>
      </c>
      <c r="R151" s="30">
        <v>84</v>
      </c>
    </row>
    <row r="152" spans="2:18" ht="19.5" customHeight="1" x14ac:dyDescent="0.2">
      <c r="B152" s="56"/>
      <c r="C152" s="57"/>
      <c r="D152" s="58" t="s">
        <v>33</v>
      </c>
      <c r="E152" s="90" t="s">
        <v>48</v>
      </c>
      <c r="F152" s="94" t="s">
        <v>41</v>
      </c>
      <c r="G152" s="86">
        <v>5</v>
      </c>
      <c r="H152" s="49">
        <v>10</v>
      </c>
      <c r="I152" s="49">
        <v>19</v>
      </c>
      <c r="J152" s="82">
        <v>46</v>
      </c>
      <c r="K152" s="49">
        <v>73</v>
      </c>
      <c r="L152" s="49">
        <v>81</v>
      </c>
      <c r="M152" s="49">
        <v>90</v>
      </c>
      <c r="N152" s="49">
        <v>100</v>
      </c>
      <c r="O152" s="82">
        <v>103</v>
      </c>
      <c r="P152" s="82">
        <v>105</v>
      </c>
      <c r="Q152" s="86">
        <v>107</v>
      </c>
      <c r="R152" s="86">
        <v>107</v>
      </c>
    </row>
    <row r="153" spans="2:18" ht="19.5" customHeight="1" thickBot="1" x14ac:dyDescent="0.25">
      <c r="B153" s="13"/>
      <c r="C153" s="15"/>
      <c r="D153" s="16" t="s">
        <v>10</v>
      </c>
      <c r="E153" s="91" t="s">
        <v>48</v>
      </c>
      <c r="F153" s="95" t="s">
        <v>41</v>
      </c>
      <c r="G153" s="31">
        <v>5</v>
      </c>
      <c r="H153" s="10">
        <v>10</v>
      </c>
      <c r="I153" s="10">
        <v>18</v>
      </c>
      <c r="J153" s="23">
        <v>45</v>
      </c>
      <c r="K153" s="10">
        <v>68</v>
      </c>
      <c r="L153" s="10">
        <v>76</v>
      </c>
      <c r="M153" s="10">
        <v>91</v>
      </c>
      <c r="N153" s="10">
        <v>102</v>
      </c>
      <c r="O153" s="23">
        <v>106</v>
      </c>
      <c r="P153" s="23">
        <v>108</v>
      </c>
      <c r="Q153" s="31">
        <v>109</v>
      </c>
      <c r="R153" s="31">
        <v>105</v>
      </c>
    </row>
    <row r="154" spans="2:18" ht="19.5" customHeight="1" x14ac:dyDescent="0.2">
      <c r="B154" s="11">
        <v>12</v>
      </c>
      <c r="C154" s="14">
        <v>1</v>
      </c>
      <c r="D154" s="66" t="s">
        <v>63</v>
      </c>
      <c r="E154" s="89" t="s">
        <v>44</v>
      </c>
      <c r="F154" s="93" t="s">
        <v>41</v>
      </c>
      <c r="G154" s="30">
        <v>6</v>
      </c>
      <c r="H154" s="9">
        <v>12</v>
      </c>
      <c r="I154" s="9">
        <v>17</v>
      </c>
      <c r="J154" s="22">
        <v>47</v>
      </c>
      <c r="K154" s="9">
        <v>60</v>
      </c>
      <c r="L154" s="9">
        <v>62</v>
      </c>
      <c r="M154" s="9">
        <v>68</v>
      </c>
      <c r="N154" s="9">
        <v>76</v>
      </c>
      <c r="O154" s="22">
        <v>80</v>
      </c>
      <c r="P154" s="22">
        <v>82</v>
      </c>
      <c r="Q154" s="30">
        <v>85</v>
      </c>
      <c r="R154" s="30">
        <v>86</v>
      </c>
    </row>
    <row r="155" spans="2:18" ht="19.5" customHeight="1" x14ac:dyDescent="0.2">
      <c r="B155" s="56"/>
      <c r="C155" s="57"/>
      <c r="D155" s="70" t="s">
        <v>33</v>
      </c>
      <c r="E155" s="90" t="s">
        <v>44</v>
      </c>
      <c r="F155" s="94" t="s">
        <v>41</v>
      </c>
      <c r="G155" s="86">
        <v>8</v>
      </c>
      <c r="H155" s="49">
        <v>13</v>
      </c>
      <c r="I155" s="49">
        <v>18</v>
      </c>
      <c r="J155" s="82">
        <v>44</v>
      </c>
      <c r="K155" s="49">
        <v>65</v>
      </c>
      <c r="L155" s="49">
        <v>69</v>
      </c>
      <c r="M155" s="49">
        <v>77</v>
      </c>
      <c r="N155" s="49">
        <v>83</v>
      </c>
      <c r="O155" s="82">
        <v>85</v>
      </c>
      <c r="P155" s="82">
        <v>86</v>
      </c>
      <c r="Q155" s="86">
        <v>86</v>
      </c>
      <c r="R155" s="86">
        <v>87</v>
      </c>
    </row>
    <row r="156" spans="2:18" ht="19.5" customHeight="1" thickBot="1" x14ac:dyDescent="0.25">
      <c r="B156" s="13"/>
      <c r="C156" s="15"/>
      <c r="D156" s="74" t="s">
        <v>10</v>
      </c>
      <c r="E156" s="91" t="s">
        <v>44</v>
      </c>
      <c r="F156" s="95" t="s">
        <v>41</v>
      </c>
      <c r="G156" s="31">
        <v>5</v>
      </c>
      <c r="H156" s="10">
        <v>12</v>
      </c>
      <c r="I156" s="10">
        <v>20</v>
      </c>
      <c r="J156" s="23">
        <v>46</v>
      </c>
      <c r="K156" s="10">
        <v>70</v>
      </c>
      <c r="L156" s="10">
        <v>78</v>
      </c>
      <c r="M156" s="10">
        <v>92</v>
      </c>
      <c r="N156" s="10">
        <v>98</v>
      </c>
      <c r="O156" s="23">
        <v>101</v>
      </c>
      <c r="P156" s="23">
        <v>104</v>
      </c>
      <c r="Q156" s="31">
        <v>105</v>
      </c>
      <c r="R156" s="31">
        <v>100</v>
      </c>
    </row>
  </sheetData>
  <mergeCells count="1">
    <mergeCell ref="B12:C12"/>
  </mergeCells>
  <conditionalFormatting sqref="E13:E156">
    <cfRule type="containsText" dxfId="29" priority="1" operator="containsText" text="AQC-N">
      <formula>NOT(ISERROR(SEARCH("AQC-N",E13)))</formula>
    </cfRule>
    <cfRule type="containsText" dxfId="28" priority="2" operator="containsText" text="AQC">
      <formula>NOT(ISERROR(SEARCH("AQC",E13)))</formula>
    </cfRule>
    <cfRule type="containsText" dxfId="27" priority="3" operator="containsText" text="FAO-N">
      <formula>NOT(ISERROR(SEARCH("FAO-N",E13)))</formula>
    </cfRule>
    <cfRule type="containsText" dxfId="26" priority="5" operator="containsText" text="CSM-N">
      <formula>NOT(ISERROR(SEARCH("CSM-N",E13)))</formula>
    </cfRule>
    <cfRule type="containsText" dxfId="25" priority="7" operator="containsText" text="CSM">
      <formula>NOT(ISERROR(SEARCH("CSM",E13)))</formula>
    </cfRule>
    <cfRule type="containsText" dxfId="24" priority="8" operator="containsText" text="FAO">
      <formula>NOT(ISERROR(SEARCH("FAO",E13)))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FA157"/>
  <sheetViews>
    <sheetView topLeftCell="B1" zoomScale="115" zoomScaleNormal="115" zoomScaleSheetLayoutView="70" workbookViewId="0">
      <selection activeCell="B1" sqref="B1"/>
    </sheetView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18" ht="15.75" x14ac:dyDescent="0.25">
      <c r="A1" s="6" t="s">
        <v>18</v>
      </c>
      <c r="B1" s="26">
        <v>2022</v>
      </c>
      <c r="C1" s="27"/>
      <c r="D1" s="8" t="s">
        <v>24</v>
      </c>
      <c r="E1" s="41"/>
      <c r="G1" s="8" t="s">
        <v>6</v>
      </c>
      <c r="H1" t="s">
        <v>31</v>
      </c>
      <c r="I1" t="s">
        <v>31</v>
      </c>
      <c r="J1" t="s">
        <v>31</v>
      </c>
      <c r="K1" t="s">
        <v>31</v>
      </c>
      <c r="L1" t="s">
        <v>31</v>
      </c>
      <c r="M1" t="s">
        <v>31</v>
      </c>
      <c r="N1" t="s">
        <v>31</v>
      </c>
      <c r="O1" t="s">
        <v>31</v>
      </c>
      <c r="R1" t="s">
        <v>31</v>
      </c>
    </row>
    <row r="2" spans="1:18" ht="14.45" customHeight="1" x14ac:dyDescent="0.25">
      <c r="A2" s="6" t="s">
        <v>31</v>
      </c>
      <c r="B2" s="7" t="s">
        <v>31</v>
      </c>
      <c r="C2" s="8" t="s">
        <v>31</v>
      </c>
      <c r="D2" s="8" t="s">
        <v>31</v>
      </c>
      <c r="E2" s="41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31</v>
      </c>
      <c r="M2" t="s">
        <v>31</v>
      </c>
      <c r="N2" t="s">
        <v>31</v>
      </c>
      <c r="O2" t="s">
        <v>31</v>
      </c>
      <c r="R2" t="s">
        <v>31</v>
      </c>
    </row>
    <row r="3" spans="1:18" ht="15" x14ac:dyDescent="0.25">
      <c r="A3" t="s">
        <v>31</v>
      </c>
      <c r="B3" s="28" t="s">
        <v>19</v>
      </c>
      <c r="E3" s="40"/>
      <c r="H3" s="3" t="s">
        <v>30</v>
      </c>
      <c r="J3" t="s">
        <v>31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R3" t="s">
        <v>31</v>
      </c>
    </row>
    <row r="4" spans="1:18" ht="7.9" customHeight="1" x14ac:dyDescent="0.2">
      <c r="A4" t="s">
        <v>31</v>
      </c>
      <c r="B4" s="5" t="s">
        <v>31</v>
      </c>
      <c r="C4" s="2" t="s">
        <v>31</v>
      </c>
      <c r="D4" s="2" t="s">
        <v>31</v>
      </c>
      <c r="E4" s="40" t="s">
        <v>31</v>
      </c>
      <c r="F4" t="s">
        <v>31</v>
      </c>
      <c r="G4" t="s">
        <v>31</v>
      </c>
      <c r="H4" t="s">
        <v>31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R4" t="s">
        <v>31</v>
      </c>
    </row>
    <row r="5" spans="1:18" x14ac:dyDescent="0.2">
      <c r="A5" t="s">
        <v>31</v>
      </c>
      <c r="B5" s="2" t="s">
        <v>31</v>
      </c>
      <c r="C5" s="2" t="s">
        <v>31</v>
      </c>
      <c r="D5" s="2" t="s">
        <v>31</v>
      </c>
      <c r="E5" s="40" t="s">
        <v>31</v>
      </c>
      <c r="F5" s="2" t="s">
        <v>31</v>
      </c>
      <c r="G5" s="2" t="s">
        <v>31</v>
      </c>
    </row>
    <row r="6" spans="1:18" x14ac:dyDescent="0.2">
      <c r="B6" s="2"/>
      <c r="E6" s="40"/>
    </row>
    <row r="7" spans="1:18" x14ac:dyDescent="0.2">
      <c r="A7" s="35"/>
      <c r="B7" s="35"/>
      <c r="C7" s="35"/>
      <c r="D7" s="35"/>
      <c r="E7" s="42"/>
      <c r="F7" s="35"/>
      <c r="G7" s="35"/>
      <c r="H7" s="50"/>
      <c r="I7" s="37"/>
      <c r="N7" s="35"/>
      <c r="O7" s="50"/>
      <c r="P7" s="50"/>
      <c r="Q7" s="50"/>
      <c r="R7" s="35"/>
    </row>
    <row r="8" spans="1:18" x14ac:dyDescent="0.2">
      <c r="A8" s="35"/>
      <c r="B8" s="35"/>
      <c r="C8" s="35"/>
      <c r="D8" s="43" t="s">
        <v>25</v>
      </c>
      <c r="E8" s="35"/>
      <c r="F8" s="35"/>
      <c r="G8" s="35" t="str">
        <f>'Height Summary'!G8</f>
        <v>SMM</v>
      </c>
      <c r="H8" s="35" t="str">
        <f>'Height Summary'!H8</f>
        <v>SMM</v>
      </c>
      <c r="I8" s="35" t="str">
        <f>'Height Summary'!I8</f>
        <v>SMM</v>
      </c>
      <c r="J8" s="35" t="str">
        <f>'Height Summary'!J8</f>
        <v>SMM</v>
      </c>
      <c r="K8" s="35" t="str">
        <f>'Height Summary'!K8</f>
        <v>SMM</v>
      </c>
      <c r="L8" s="35" t="str">
        <f>'Height Summary'!L8</f>
        <v>SMM</v>
      </c>
      <c r="M8" s="35" t="str">
        <f>'Height Summary'!M8</f>
        <v>SMM</v>
      </c>
      <c r="N8" s="35" t="str">
        <f>'Height Summary'!N8</f>
        <v>SMM</v>
      </c>
      <c r="O8" s="35" t="str">
        <f>'Height Summary'!O8</f>
        <v>SMM</v>
      </c>
      <c r="P8" s="35" t="str">
        <f>'Height Summary'!P8</f>
        <v>SMM</v>
      </c>
      <c r="Q8" s="35" t="str">
        <f>'Height Summary'!Q8</f>
        <v>SMM</v>
      </c>
      <c r="R8" s="35" t="str">
        <f>'Height Summary'!R8</f>
        <v>SMM</v>
      </c>
    </row>
    <row r="9" spans="1:18" x14ac:dyDescent="0.2">
      <c r="B9" s="2"/>
      <c r="D9" s="43" t="s">
        <v>26</v>
      </c>
      <c r="E9" s="40"/>
      <c r="F9" s="21"/>
      <c r="G9" s="108">
        <f>'Height Summary'!G9</f>
        <v>44713</v>
      </c>
      <c r="H9" s="108">
        <f>'Height Summary'!H9</f>
        <v>44718</v>
      </c>
      <c r="I9" s="108">
        <f>'Height Summary'!I9</f>
        <v>44725</v>
      </c>
      <c r="J9" s="108">
        <f>'Height Summary'!J9</f>
        <v>44739</v>
      </c>
      <c r="K9" s="108">
        <f>'Height Summary'!K9</f>
        <v>44747</v>
      </c>
      <c r="L9" s="108">
        <f>'Height Summary'!L9</f>
        <v>44753</v>
      </c>
      <c r="M9" s="108">
        <f>'Height Summary'!M9</f>
        <v>44767</v>
      </c>
      <c r="N9" s="108">
        <f>'Height Summary'!N9</f>
        <v>44781</v>
      </c>
      <c r="O9" s="108">
        <f>'Height Summary'!O9</f>
        <v>44788</v>
      </c>
      <c r="P9" s="108" t="str">
        <f>'Height Summary'!P9</f>
        <v>22-23 Aug 2022</v>
      </c>
      <c r="Q9" s="108">
        <f>'Height Summary'!Q9</f>
        <v>44802</v>
      </c>
      <c r="R9" s="108">
        <f>'Height Summary'!R9</f>
        <v>44812</v>
      </c>
    </row>
    <row r="10" spans="1:18" ht="15.6" customHeight="1" x14ac:dyDescent="0.2">
      <c r="B10" s="5"/>
      <c r="D10" s="43" t="s">
        <v>28</v>
      </c>
      <c r="E10" s="40"/>
      <c r="F10" s="17"/>
      <c r="G10" s="17">
        <f>'Height Summary'!G10</f>
        <v>152</v>
      </c>
      <c r="H10" s="17">
        <f>'Height Summary'!H10</f>
        <v>157</v>
      </c>
      <c r="I10" s="17">
        <f>'Height Summary'!I10</f>
        <v>164</v>
      </c>
      <c r="J10" s="17">
        <f>'Height Summary'!J10</f>
        <v>178</v>
      </c>
      <c r="K10" s="17">
        <f>'Height Summary'!K10</f>
        <v>186</v>
      </c>
      <c r="L10" s="17">
        <f>'Height Summary'!L10</f>
        <v>192</v>
      </c>
      <c r="M10" s="17">
        <f>'Height Summary'!M10</f>
        <v>206</v>
      </c>
      <c r="N10" s="17">
        <f>'Height Summary'!N10</f>
        <v>220</v>
      </c>
      <c r="O10" s="17">
        <f>'Height Summary'!O10</f>
        <v>227</v>
      </c>
      <c r="P10" s="17" t="str">
        <f>'Height Summary'!P10</f>
        <v>234-235</v>
      </c>
      <c r="Q10" s="17">
        <f>'Height Summary'!Q10</f>
        <v>241</v>
      </c>
      <c r="R10" s="17">
        <f>'Height Summary'!R10</f>
        <v>251</v>
      </c>
    </row>
    <row r="11" spans="1:18" ht="12" customHeight="1" x14ac:dyDescent="0.2">
      <c r="A11" s="52"/>
      <c r="B11" s="33"/>
      <c r="C11" s="52"/>
      <c r="D11" s="51" t="s">
        <v>27</v>
      </c>
      <c r="E11" s="51"/>
      <c r="F11" s="53"/>
      <c r="G11" s="35" t="str">
        <f>'Height Summary'!G11</f>
        <v>1400-1515h</v>
      </c>
      <c r="H11" s="35" t="str">
        <f>'Height Summary'!H11</f>
        <v>1030-1145</v>
      </c>
      <c r="I11" s="35" t="str">
        <f>'Height Summary'!I11</f>
        <v>0940-1045</v>
      </c>
      <c r="J11" s="35" t="str">
        <f>'Height Summary'!J11</f>
        <v>1015-1245</v>
      </c>
      <c r="K11" s="35" t="str">
        <f>'Height Summary'!K11</f>
        <v>1300-1715</v>
      </c>
      <c r="L11" s="35" t="str">
        <f>'Height Summary'!L11</f>
        <v>0945-1230</v>
      </c>
      <c r="M11" s="35" t="str">
        <f>'Height Summary'!M11</f>
        <v>1015-1315</v>
      </c>
      <c r="N11" s="35" t="str">
        <f>'Height Summary'!N11</f>
        <v>1030-1345</v>
      </c>
      <c r="O11" s="35" t="str">
        <f>'Height Summary'!O11</f>
        <v>1000-13:15</v>
      </c>
      <c r="P11" s="35">
        <f>'Height Summary'!P11</f>
        <v>0</v>
      </c>
      <c r="Q11" s="35" t="str">
        <f>'Height Summary'!Q11</f>
        <v>1200-1415</v>
      </c>
      <c r="R11" s="35" t="str">
        <f>'Height Summary'!R11</f>
        <v>1015-1245</v>
      </c>
    </row>
    <row r="12" spans="1:18" ht="27.6" customHeight="1" thickBot="1" x14ac:dyDescent="0.25">
      <c r="B12" s="117" t="s">
        <v>7</v>
      </c>
      <c r="C12" s="117"/>
      <c r="D12" s="17" t="s">
        <v>12</v>
      </c>
      <c r="E12" s="92" t="s">
        <v>23</v>
      </c>
      <c r="F12" s="92" t="s">
        <v>40</v>
      </c>
      <c r="G12" s="17" t="s">
        <v>67</v>
      </c>
      <c r="H12" s="17" t="s">
        <v>67</v>
      </c>
      <c r="I12" s="17" t="s">
        <v>67</v>
      </c>
      <c r="J12" s="17" t="s">
        <v>67</v>
      </c>
      <c r="K12" s="17" t="s">
        <v>67</v>
      </c>
      <c r="L12" s="17" t="s">
        <v>67</v>
      </c>
      <c r="M12" s="17" t="s">
        <v>67</v>
      </c>
      <c r="N12" s="17" t="s">
        <v>67</v>
      </c>
      <c r="O12" s="17" t="s">
        <v>67</v>
      </c>
      <c r="P12" s="17" t="s">
        <v>67</v>
      </c>
      <c r="Q12" s="17" t="s">
        <v>67</v>
      </c>
      <c r="R12" s="17" t="s">
        <v>67</v>
      </c>
    </row>
    <row r="13" spans="1:18" ht="19.899999999999999" customHeight="1" x14ac:dyDescent="0.2">
      <c r="A13" s="29"/>
      <c r="B13" s="11" t="s">
        <v>0</v>
      </c>
      <c r="C13" s="14">
        <v>1</v>
      </c>
      <c r="D13" s="12" t="s">
        <v>10</v>
      </c>
      <c r="E13" s="89" t="s">
        <v>42</v>
      </c>
      <c r="F13" s="93" t="s">
        <v>41</v>
      </c>
      <c r="G13" s="30">
        <v>8</v>
      </c>
      <c r="H13" s="9">
        <v>14</v>
      </c>
      <c r="I13" s="9">
        <v>24</v>
      </c>
      <c r="J13" s="22">
        <v>42</v>
      </c>
      <c r="K13" s="9">
        <v>51</v>
      </c>
      <c r="L13" s="9">
        <v>65</v>
      </c>
      <c r="M13" s="9">
        <v>81</v>
      </c>
      <c r="N13" s="9">
        <v>83</v>
      </c>
      <c r="O13" s="9">
        <v>83</v>
      </c>
      <c r="P13" s="38">
        <v>84</v>
      </c>
      <c r="Q13" s="54">
        <v>84</v>
      </c>
      <c r="R13" s="54">
        <v>84</v>
      </c>
    </row>
    <row r="14" spans="1:18" ht="19.899999999999999" customHeight="1" x14ac:dyDescent="0.2">
      <c r="A14" s="29"/>
      <c r="B14" s="56"/>
      <c r="C14" s="57"/>
      <c r="D14" s="58" t="s">
        <v>33</v>
      </c>
      <c r="E14" s="90" t="s">
        <v>42</v>
      </c>
      <c r="F14" s="94" t="s">
        <v>41</v>
      </c>
      <c r="G14" s="86">
        <v>7</v>
      </c>
      <c r="H14" s="49">
        <v>15</v>
      </c>
      <c r="I14" s="49">
        <v>23</v>
      </c>
      <c r="J14" s="82">
        <v>41</v>
      </c>
      <c r="K14" s="49">
        <v>53</v>
      </c>
      <c r="L14" s="49">
        <v>61</v>
      </c>
      <c r="M14" s="49">
        <v>67</v>
      </c>
      <c r="N14" s="49">
        <v>91</v>
      </c>
      <c r="O14" s="49">
        <v>95</v>
      </c>
      <c r="P14" s="87">
        <v>98</v>
      </c>
      <c r="Q14" s="88">
        <v>100</v>
      </c>
      <c r="R14" s="88" t="s">
        <v>58</v>
      </c>
    </row>
    <row r="15" spans="1:18" ht="19.899999999999999" customHeight="1" thickBot="1" x14ac:dyDescent="0.25">
      <c r="A15" s="29"/>
      <c r="B15" s="13"/>
      <c r="C15" s="15"/>
      <c r="D15" s="16" t="s">
        <v>11</v>
      </c>
      <c r="E15" s="91" t="s">
        <v>42</v>
      </c>
      <c r="F15" s="95" t="s">
        <v>41</v>
      </c>
      <c r="G15" s="31">
        <v>6</v>
      </c>
      <c r="H15" s="10">
        <v>13</v>
      </c>
      <c r="I15" s="10">
        <v>23</v>
      </c>
      <c r="J15" s="23">
        <v>45</v>
      </c>
      <c r="K15" s="10">
        <v>58</v>
      </c>
      <c r="L15" s="10">
        <v>67</v>
      </c>
      <c r="M15" s="10">
        <v>74</v>
      </c>
      <c r="N15" s="109" t="s">
        <v>58</v>
      </c>
      <c r="O15" s="109" t="s">
        <v>58</v>
      </c>
      <c r="P15" s="48" t="s">
        <v>58</v>
      </c>
      <c r="Q15" s="55" t="s">
        <v>58</v>
      </c>
      <c r="R15" s="55" t="s">
        <v>58</v>
      </c>
    </row>
    <row r="16" spans="1:18" ht="19.899999999999999" customHeight="1" x14ac:dyDescent="0.2">
      <c r="A16" s="29"/>
      <c r="B16" s="11" t="s">
        <v>0</v>
      </c>
      <c r="C16" s="14">
        <v>2</v>
      </c>
      <c r="D16" s="12" t="s">
        <v>10</v>
      </c>
      <c r="E16" s="89" t="s">
        <v>44</v>
      </c>
      <c r="F16" s="93" t="s">
        <v>41</v>
      </c>
      <c r="G16" s="30">
        <v>7</v>
      </c>
      <c r="H16" s="9">
        <v>13</v>
      </c>
      <c r="I16" s="9">
        <v>21</v>
      </c>
      <c r="J16" s="22">
        <v>38</v>
      </c>
      <c r="K16" s="9">
        <v>49</v>
      </c>
      <c r="L16" s="9">
        <v>53</v>
      </c>
      <c r="M16" s="9">
        <v>56</v>
      </c>
      <c r="N16" s="9">
        <v>72</v>
      </c>
      <c r="O16" s="9">
        <v>76</v>
      </c>
      <c r="P16" s="22">
        <v>80</v>
      </c>
      <c r="Q16" s="30">
        <v>83</v>
      </c>
      <c r="R16" s="30">
        <v>90</v>
      </c>
    </row>
    <row r="17" spans="1:18" ht="19.899999999999999" customHeight="1" x14ac:dyDescent="0.2">
      <c r="A17" s="29"/>
      <c r="B17" s="56"/>
      <c r="C17" s="57"/>
      <c r="D17" s="58" t="s">
        <v>33</v>
      </c>
      <c r="E17" s="90" t="s">
        <v>44</v>
      </c>
      <c r="F17" s="94" t="s">
        <v>41</v>
      </c>
      <c r="G17" s="86">
        <v>6</v>
      </c>
      <c r="H17" s="49">
        <v>13</v>
      </c>
      <c r="I17" s="49">
        <v>18</v>
      </c>
      <c r="J17" s="82">
        <v>37</v>
      </c>
      <c r="K17" s="49">
        <v>60</v>
      </c>
      <c r="L17" s="49">
        <v>69</v>
      </c>
      <c r="M17" s="49">
        <v>75</v>
      </c>
      <c r="N17" s="111" t="s">
        <v>58</v>
      </c>
      <c r="O17" s="111" t="s">
        <v>58</v>
      </c>
      <c r="P17" s="87" t="s">
        <v>58</v>
      </c>
      <c r="Q17" s="88" t="s">
        <v>58</v>
      </c>
      <c r="R17" s="88" t="s">
        <v>58</v>
      </c>
    </row>
    <row r="18" spans="1:18" ht="19.899999999999999" customHeight="1" thickBot="1" x14ac:dyDescent="0.25">
      <c r="A18" s="29"/>
      <c r="B18" s="13"/>
      <c r="C18" s="15"/>
      <c r="D18" s="16" t="s">
        <v>11</v>
      </c>
      <c r="E18" s="91" t="s">
        <v>44</v>
      </c>
      <c r="F18" s="95" t="s">
        <v>41</v>
      </c>
      <c r="G18" s="31">
        <v>8</v>
      </c>
      <c r="H18" s="10">
        <v>12</v>
      </c>
      <c r="I18" s="10">
        <v>18</v>
      </c>
      <c r="J18" s="23">
        <v>34</v>
      </c>
      <c r="K18" s="10">
        <v>51</v>
      </c>
      <c r="L18" s="10">
        <v>58</v>
      </c>
      <c r="M18" s="10">
        <v>61</v>
      </c>
      <c r="N18" s="10">
        <v>66</v>
      </c>
      <c r="O18" s="10">
        <v>73</v>
      </c>
      <c r="P18" s="23">
        <v>81</v>
      </c>
      <c r="Q18" s="31">
        <v>85</v>
      </c>
      <c r="R18" s="31">
        <v>89</v>
      </c>
    </row>
    <row r="19" spans="1:18" ht="19.899999999999999" customHeight="1" x14ac:dyDescent="0.2">
      <c r="A19" s="29"/>
      <c r="B19" s="11" t="s">
        <v>0</v>
      </c>
      <c r="C19" s="14">
        <v>3</v>
      </c>
      <c r="D19" s="12" t="s">
        <v>10</v>
      </c>
      <c r="E19" s="89" t="s">
        <v>45</v>
      </c>
      <c r="F19" s="93" t="s">
        <v>41</v>
      </c>
      <c r="G19" s="30">
        <v>7</v>
      </c>
      <c r="H19" s="9">
        <v>12</v>
      </c>
      <c r="I19" s="9">
        <v>15</v>
      </c>
      <c r="J19" s="22">
        <v>40</v>
      </c>
      <c r="K19" s="9">
        <v>49</v>
      </c>
      <c r="L19" s="9">
        <v>60</v>
      </c>
      <c r="M19" s="9">
        <v>68</v>
      </c>
      <c r="N19" s="9">
        <v>83</v>
      </c>
      <c r="O19" s="9">
        <v>93</v>
      </c>
      <c r="P19" s="22">
        <v>98</v>
      </c>
      <c r="Q19" s="30">
        <v>100</v>
      </c>
      <c r="R19" s="30">
        <v>100</v>
      </c>
    </row>
    <row r="20" spans="1:18" ht="19.899999999999999" customHeight="1" x14ac:dyDescent="0.2">
      <c r="A20" s="29"/>
      <c r="B20" s="56"/>
      <c r="C20" s="57"/>
      <c r="D20" s="58" t="s">
        <v>33</v>
      </c>
      <c r="E20" s="90" t="s">
        <v>45</v>
      </c>
      <c r="F20" s="94" t="s">
        <v>41</v>
      </c>
      <c r="G20" s="86">
        <v>8</v>
      </c>
      <c r="H20" s="49">
        <v>12</v>
      </c>
      <c r="I20" s="49">
        <v>16</v>
      </c>
      <c r="J20" s="82">
        <v>37</v>
      </c>
      <c r="K20" s="49">
        <v>53</v>
      </c>
      <c r="L20" s="49">
        <v>68</v>
      </c>
      <c r="M20" s="49">
        <v>77</v>
      </c>
      <c r="N20" s="49">
        <v>91</v>
      </c>
      <c r="O20" s="49">
        <v>91</v>
      </c>
      <c r="P20" s="82">
        <v>90</v>
      </c>
      <c r="Q20" s="86">
        <v>91</v>
      </c>
      <c r="R20" s="86">
        <v>99</v>
      </c>
    </row>
    <row r="21" spans="1:18" ht="19.899999999999999" customHeight="1" thickBot="1" x14ac:dyDescent="0.25">
      <c r="A21" s="29"/>
      <c r="B21" s="13"/>
      <c r="C21" s="15"/>
      <c r="D21" s="16" t="s">
        <v>11</v>
      </c>
      <c r="E21" s="91" t="s">
        <v>45</v>
      </c>
      <c r="F21" s="95" t="s">
        <v>41</v>
      </c>
      <c r="G21" s="31">
        <v>5</v>
      </c>
      <c r="H21" s="10">
        <v>11</v>
      </c>
      <c r="I21" s="10">
        <v>17</v>
      </c>
      <c r="J21" s="23">
        <v>36</v>
      </c>
      <c r="K21" s="10">
        <v>43</v>
      </c>
      <c r="L21" s="10">
        <v>46</v>
      </c>
      <c r="M21" s="10">
        <v>50</v>
      </c>
      <c r="N21" s="10">
        <v>54</v>
      </c>
      <c r="O21" s="10">
        <v>56</v>
      </c>
      <c r="P21" s="23">
        <v>57</v>
      </c>
      <c r="Q21" s="31">
        <v>58</v>
      </c>
      <c r="R21" s="31">
        <v>50</v>
      </c>
    </row>
    <row r="22" spans="1:18" ht="19.899999999999999" customHeight="1" x14ac:dyDescent="0.2">
      <c r="A22" s="29"/>
      <c r="B22" s="11" t="s">
        <v>0</v>
      </c>
      <c r="C22" s="14">
        <v>4</v>
      </c>
      <c r="D22" s="12" t="s">
        <v>10</v>
      </c>
      <c r="E22" s="89" t="s">
        <v>46</v>
      </c>
      <c r="F22" s="93" t="s">
        <v>41</v>
      </c>
      <c r="G22" s="30">
        <v>6</v>
      </c>
      <c r="H22" s="9">
        <v>11</v>
      </c>
      <c r="I22" s="9">
        <v>11</v>
      </c>
      <c r="J22" s="22">
        <v>25</v>
      </c>
      <c r="K22" s="9">
        <v>31</v>
      </c>
      <c r="L22" s="9">
        <v>34</v>
      </c>
      <c r="M22" s="9">
        <v>38</v>
      </c>
      <c r="N22" s="9">
        <v>45</v>
      </c>
      <c r="O22" s="9">
        <v>49</v>
      </c>
      <c r="P22" s="22">
        <v>52</v>
      </c>
      <c r="Q22" s="54">
        <v>54</v>
      </c>
      <c r="R22" s="54" t="s">
        <v>58</v>
      </c>
    </row>
    <row r="23" spans="1:18" ht="19.899999999999999" customHeight="1" x14ac:dyDescent="0.2">
      <c r="A23" s="29"/>
      <c r="B23" s="56"/>
      <c r="C23" s="57"/>
      <c r="D23" s="58" t="s">
        <v>33</v>
      </c>
      <c r="E23" s="90" t="s">
        <v>46</v>
      </c>
      <c r="F23" s="94" t="s">
        <v>41</v>
      </c>
      <c r="G23" s="86">
        <v>8</v>
      </c>
      <c r="H23" s="49">
        <v>11</v>
      </c>
      <c r="I23" s="49">
        <v>16</v>
      </c>
      <c r="J23" s="82">
        <v>40</v>
      </c>
      <c r="K23" s="49">
        <v>47</v>
      </c>
      <c r="L23" s="49">
        <v>64</v>
      </c>
      <c r="M23" s="49">
        <v>77</v>
      </c>
      <c r="N23" s="49">
        <v>94</v>
      </c>
      <c r="O23" s="49">
        <v>101</v>
      </c>
      <c r="P23" s="87" t="s">
        <v>58</v>
      </c>
      <c r="Q23" s="88" t="s">
        <v>58</v>
      </c>
      <c r="R23" s="88" t="s">
        <v>58</v>
      </c>
    </row>
    <row r="24" spans="1:18" ht="19.899999999999999" customHeight="1" thickBot="1" x14ac:dyDescent="0.25">
      <c r="A24" s="29"/>
      <c r="B24" s="13"/>
      <c r="C24" s="15"/>
      <c r="D24" s="16" t="s">
        <v>11</v>
      </c>
      <c r="E24" s="91" t="s">
        <v>46</v>
      </c>
      <c r="F24" s="95" t="s">
        <v>41</v>
      </c>
      <c r="G24" s="31">
        <v>7</v>
      </c>
      <c r="H24" s="10">
        <v>10</v>
      </c>
      <c r="I24" s="10">
        <v>13</v>
      </c>
      <c r="J24" s="23">
        <v>32</v>
      </c>
      <c r="K24" s="10">
        <v>42</v>
      </c>
      <c r="L24" s="10">
        <v>54</v>
      </c>
      <c r="M24" s="10">
        <v>62</v>
      </c>
      <c r="N24" s="10">
        <v>80</v>
      </c>
      <c r="O24" s="10">
        <v>86</v>
      </c>
      <c r="P24" s="23">
        <v>88</v>
      </c>
      <c r="Q24" s="31">
        <v>92</v>
      </c>
      <c r="R24" s="55" t="s">
        <v>58</v>
      </c>
    </row>
    <row r="25" spans="1:18" ht="19.899999999999999" customHeight="1" x14ac:dyDescent="0.2">
      <c r="A25" s="29"/>
      <c r="B25" s="11" t="s">
        <v>1</v>
      </c>
      <c r="C25" s="14">
        <v>4</v>
      </c>
      <c r="D25" s="12" t="s">
        <v>11</v>
      </c>
      <c r="E25" s="89" t="s">
        <v>46</v>
      </c>
      <c r="F25" s="96" t="s">
        <v>43</v>
      </c>
      <c r="G25" s="30">
        <v>11</v>
      </c>
      <c r="H25" s="9">
        <v>17</v>
      </c>
      <c r="I25" s="9">
        <v>21</v>
      </c>
      <c r="J25" s="22">
        <v>38</v>
      </c>
      <c r="K25" s="9">
        <v>42</v>
      </c>
      <c r="L25" s="9">
        <v>47</v>
      </c>
      <c r="M25" s="9">
        <v>51</v>
      </c>
      <c r="N25" s="9">
        <v>67</v>
      </c>
      <c r="O25" s="9">
        <v>79</v>
      </c>
      <c r="P25" s="22">
        <v>90</v>
      </c>
      <c r="Q25" s="54" t="s">
        <v>58</v>
      </c>
      <c r="R25" s="54" t="s">
        <v>58</v>
      </c>
    </row>
    <row r="26" spans="1:18" ht="19.899999999999999" customHeight="1" x14ac:dyDescent="0.2">
      <c r="A26" s="29"/>
      <c r="B26" s="56"/>
      <c r="C26" s="57"/>
      <c r="D26" s="58" t="s">
        <v>33</v>
      </c>
      <c r="E26" s="90" t="s">
        <v>46</v>
      </c>
      <c r="F26" s="97" t="s">
        <v>43</v>
      </c>
      <c r="G26" s="86">
        <v>14</v>
      </c>
      <c r="H26" s="49">
        <v>17</v>
      </c>
      <c r="I26" s="49">
        <v>22</v>
      </c>
      <c r="J26" s="82">
        <v>54</v>
      </c>
      <c r="K26" s="49">
        <v>57</v>
      </c>
      <c r="L26" s="49">
        <v>65</v>
      </c>
      <c r="M26" s="49">
        <v>69</v>
      </c>
      <c r="N26" s="49">
        <v>86</v>
      </c>
      <c r="O26" s="49">
        <v>92</v>
      </c>
      <c r="P26" s="82">
        <v>97</v>
      </c>
      <c r="Q26" s="86">
        <v>101</v>
      </c>
      <c r="R26" s="88" t="s">
        <v>58</v>
      </c>
    </row>
    <row r="27" spans="1:18" ht="19.899999999999999" customHeight="1" thickBot="1" x14ac:dyDescent="0.25">
      <c r="A27" s="29"/>
      <c r="B27" s="13"/>
      <c r="C27" s="15"/>
      <c r="D27" s="16" t="s">
        <v>10</v>
      </c>
      <c r="E27" s="91" t="s">
        <v>46</v>
      </c>
      <c r="F27" s="98" t="s">
        <v>43</v>
      </c>
      <c r="G27" s="31">
        <v>10</v>
      </c>
      <c r="H27" s="10">
        <v>15</v>
      </c>
      <c r="I27" s="10">
        <v>23</v>
      </c>
      <c r="J27" s="23">
        <v>54</v>
      </c>
      <c r="K27" s="10">
        <v>61</v>
      </c>
      <c r="L27" s="10">
        <v>68</v>
      </c>
      <c r="M27" s="10">
        <v>72</v>
      </c>
      <c r="N27" s="10">
        <v>95</v>
      </c>
      <c r="O27" s="109" t="s">
        <v>58</v>
      </c>
      <c r="P27" s="48" t="s">
        <v>58</v>
      </c>
      <c r="Q27" s="55" t="s">
        <v>58</v>
      </c>
      <c r="R27" s="55" t="s">
        <v>58</v>
      </c>
    </row>
    <row r="28" spans="1:18" ht="19.899999999999999" customHeight="1" x14ac:dyDescent="0.2">
      <c r="A28" s="29"/>
      <c r="B28" s="11" t="s">
        <v>1</v>
      </c>
      <c r="C28" s="14">
        <v>3</v>
      </c>
      <c r="D28" s="12" t="s">
        <v>11</v>
      </c>
      <c r="E28" s="89" t="s">
        <v>45</v>
      </c>
      <c r="F28" s="96" t="s">
        <v>43</v>
      </c>
      <c r="G28" s="30">
        <v>13</v>
      </c>
      <c r="H28" s="9">
        <v>19</v>
      </c>
      <c r="I28" s="9">
        <v>23</v>
      </c>
      <c r="J28" s="22">
        <v>51</v>
      </c>
      <c r="K28" s="9">
        <v>62</v>
      </c>
      <c r="L28" s="9">
        <v>67</v>
      </c>
      <c r="M28" s="9">
        <v>72</v>
      </c>
      <c r="N28" s="9">
        <v>84</v>
      </c>
      <c r="O28" s="9">
        <v>88</v>
      </c>
      <c r="P28" s="22">
        <v>91</v>
      </c>
      <c r="Q28" s="30">
        <v>95</v>
      </c>
      <c r="R28" s="54" t="s">
        <v>58</v>
      </c>
    </row>
    <row r="29" spans="1:18" ht="19.899999999999999" customHeight="1" x14ac:dyDescent="0.2">
      <c r="A29" s="29"/>
      <c r="B29" s="56"/>
      <c r="C29" s="57"/>
      <c r="D29" s="58" t="s">
        <v>33</v>
      </c>
      <c r="E29" s="90" t="s">
        <v>45</v>
      </c>
      <c r="F29" s="97" t="s">
        <v>43</v>
      </c>
      <c r="G29" s="86">
        <v>11</v>
      </c>
      <c r="H29" s="49">
        <v>16</v>
      </c>
      <c r="I29" s="49">
        <v>24</v>
      </c>
      <c r="J29" s="82">
        <v>54</v>
      </c>
      <c r="K29" s="49">
        <v>66</v>
      </c>
      <c r="L29" s="49">
        <v>77</v>
      </c>
      <c r="M29" s="49">
        <v>84</v>
      </c>
      <c r="N29" s="49">
        <v>96</v>
      </c>
      <c r="O29" s="111" t="s">
        <v>58</v>
      </c>
      <c r="P29" s="87" t="s">
        <v>58</v>
      </c>
      <c r="Q29" s="88" t="s">
        <v>58</v>
      </c>
      <c r="R29" s="88" t="s">
        <v>58</v>
      </c>
    </row>
    <row r="30" spans="1:18" ht="19.899999999999999" customHeight="1" thickBot="1" x14ac:dyDescent="0.25">
      <c r="A30" s="29"/>
      <c r="B30" s="13"/>
      <c r="C30" s="15"/>
      <c r="D30" s="16" t="s">
        <v>10</v>
      </c>
      <c r="E30" s="91" t="s">
        <v>45</v>
      </c>
      <c r="F30" s="98" t="s">
        <v>43</v>
      </c>
      <c r="G30" s="31">
        <v>15</v>
      </c>
      <c r="H30" s="10">
        <v>20</v>
      </c>
      <c r="I30" s="10">
        <v>26</v>
      </c>
      <c r="J30" s="23">
        <v>49</v>
      </c>
      <c r="K30" s="10">
        <v>57</v>
      </c>
      <c r="L30" s="10">
        <v>71</v>
      </c>
      <c r="M30" s="10">
        <v>80</v>
      </c>
      <c r="N30" s="10">
        <v>79</v>
      </c>
      <c r="O30" s="10">
        <v>82</v>
      </c>
      <c r="P30" s="23">
        <v>84</v>
      </c>
      <c r="Q30" s="31">
        <v>87</v>
      </c>
      <c r="R30" s="31">
        <v>88</v>
      </c>
    </row>
    <row r="31" spans="1:18" ht="19.899999999999999" customHeight="1" x14ac:dyDescent="0.2">
      <c r="A31" s="29"/>
      <c r="B31" s="11" t="s">
        <v>1</v>
      </c>
      <c r="C31" s="14">
        <v>2</v>
      </c>
      <c r="D31" s="12" t="s">
        <v>11</v>
      </c>
      <c r="E31" s="89" t="s">
        <v>44</v>
      </c>
      <c r="F31" s="96" t="s">
        <v>43</v>
      </c>
      <c r="G31" s="30">
        <v>11</v>
      </c>
      <c r="H31" s="9">
        <v>16</v>
      </c>
      <c r="I31" s="9">
        <v>24</v>
      </c>
      <c r="J31" s="22">
        <v>52</v>
      </c>
      <c r="K31" s="9">
        <v>62</v>
      </c>
      <c r="L31" s="9">
        <v>59</v>
      </c>
      <c r="M31" s="9">
        <v>59</v>
      </c>
      <c r="N31" s="9">
        <v>78</v>
      </c>
      <c r="O31" s="9">
        <v>80</v>
      </c>
      <c r="P31" s="22">
        <v>82</v>
      </c>
      <c r="Q31" s="30">
        <v>83</v>
      </c>
      <c r="R31" s="30">
        <v>82</v>
      </c>
    </row>
    <row r="32" spans="1:18" ht="19.899999999999999" customHeight="1" x14ac:dyDescent="0.2">
      <c r="A32" s="29"/>
      <c r="B32" s="56"/>
      <c r="C32" s="57"/>
      <c r="D32" s="58" t="s">
        <v>33</v>
      </c>
      <c r="E32" s="90" t="s">
        <v>44</v>
      </c>
      <c r="F32" s="97" t="s">
        <v>43</v>
      </c>
      <c r="G32" s="86">
        <v>12</v>
      </c>
      <c r="H32" s="49">
        <v>16</v>
      </c>
      <c r="I32" s="49">
        <v>21</v>
      </c>
      <c r="J32" s="82">
        <v>48</v>
      </c>
      <c r="K32" s="49">
        <v>58</v>
      </c>
      <c r="L32" s="49">
        <v>64</v>
      </c>
      <c r="M32" s="49">
        <v>68</v>
      </c>
      <c r="N32" s="49">
        <v>91</v>
      </c>
      <c r="O32" s="111" t="s">
        <v>58</v>
      </c>
      <c r="P32" s="87" t="s">
        <v>58</v>
      </c>
      <c r="Q32" s="88" t="s">
        <v>58</v>
      </c>
      <c r="R32" s="88" t="s">
        <v>58</v>
      </c>
    </row>
    <row r="33" spans="1:18" ht="19.899999999999999" customHeight="1" thickBot="1" x14ac:dyDescent="0.25">
      <c r="A33" s="29"/>
      <c r="B33" s="13"/>
      <c r="C33" s="15"/>
      <c r="D33" s="16" t="s">
        <v>10</v>
      </c>
      <c r="E33" s="91" t="s">
        <v>44</v>
      </c>
      <c r="F33" s="98" t="s">
        <v>43</v>
      </c>
      <c r="G33" s="31">
        <v>13</v>
      </c>
      <c r="H33" s="10">
        <v>20</v>
      </c>
      <c r="I33" s="10">
        <v>27</v>
      </c>
      <c r="J33" s="23">
        <v>61</v>
      </c>
      <c r="K33" s="10">
        <v>75</v>
      </c>
      <c r="L33" s="10">
        <v>87</v>
      </c>
      <c r="M33" s="10">
        <v>93</v>
      </c>
      <c r="N33" s="109" t="s">
        <v>58</v>
      </c>
      <c r="O33" s="109" t="s">
        <v>58</v>
      </c>
      <c r="P33" s="48" t="s">
        <v>58</v>
      </c>
      <c r="Q33" s="55" t="s">
        <v>58</v>
      </c>
      <c r="R33" s="55" t="s">
        <v>58</v>
      </c>
    </row>
    <row r="34" spans="1:18" ht="19.899999999999999" customHeight="1" x14ac:dyDescent="0.2">
      <c r="A34" s="29"/>
      <c r="B34" s="11" t="s">
        <v>1</v>
      </c>
      <c r="C34" s="14">
        <v>1</v>
      </c>
      <c r="D34" s="12" t="s">
        <v>11</v>
      </c>
      <c r="E34" s="89" t="s">
        <v>42</v>
      </c>
      <c r="F34" s="96" t="s">
        <v>43</v>
      </c>
      <c r="G34" s="30">
        <v>16</v>
      </c>
      <c r="H34" s="9">
        <v>23</v>
      </c>
      <c r="I34" s="9">
        <v>23</v>
      </c>
      <c r="J34" s="22">
        <v>57</v>
      </c>
      <c r="K34" s="9">
        <v>68</v>
      </c>
      <c r="L34" s="9">
        <v>81</v>
      </c>
      <c r="M34" s="9">
        <v>88</v>
      </c>
      <c r="N34" s="9">
        <v>98</v>
      </c>
      <c r="O34" s="110" t="s">
        <v>58</v>
      </c>
      <c r="P34" s="38" t="s">
        <v>58</v>
      </c>
      <c r="Q34" s="54" t="s">
        <v>58</v>
      </c>
      <c r="R34" s="54" t="s">
        <v>58</v>
      </c>
    </row>
    <row r="35" spans="1:18" ht="19.899999999999999" customHeight="1" x14ac:dyDescent="0.2">
      <c r="A35" s="29"/>
      <c r="B35" s="56"/>
      <c r="C35" s="57"/>
      <c r="D35" s="58" t="s">
        <v>33</v>
      </c>
      <c r="E35" s="90" t="s">
        <v>42</v>
      </c>
      <c r="F35" s="97" t="s">
        <v>43</v>
      </c>
      <c r="G35" s="86">
        <v>13</v>
      </c>
      <c r="H35" s="49">
        <v>20</v>
      </c>
      <c r="I35" s="49">
        <v>28</v>
      </c>
      <c r="J35" s="82">
        <v>58</v>
      </c>
      <c r="K35" s="49">
        <v>67</v>
      </c>
      <c r="L35" s="49">
        <v>83</v>
      </c>
      <c r="M35" s="49">
        <v>92</v>
      </c>
      <c r="N35" s="111" t="s">
        <v>58</v>
      </c>
      <c r="O35" s="111" t="s">
        <v>58</v>
      </c>
      <c r="P35" s="87" t="s">
        <v>58</v>
      </c>
      <c r="Q35" s="88" t="s">
        <v>58</v>
      </c>
      <c r="R35" s="88" t="s">
        <v>58</v>
      </c>
    </row>
    <row r="36" spans="1:18" ht="19.899999999999999" customHeight="1" thickBot="1" x14ac:dyDescent="0.25">
      <c r="A36" s="29"/>
      <c r="B36" s="13"/>
      <c r="C36" s="15"/>
      <c r="D36" s="16" t="s">
        <v>10</v>
      </c>
      <c r="E36" s="91" t="s">
        <v>42</v>
      </c>
      <c r="F36" s="98" t="s">
        <v>43</v>
      </c>
      <c r="G36" s="31">
        <v>15</v>
      </c>
      <c r="H36" s="10">
        <v>21</v>
      </c>
      <c r="I36" s="10">
        <v>31</v>
      </c>
      <c r="J36" s="23">
        <v>60</v>
      </c>
      <c r="K36" s="10">
        <v>77</v>
      </c>
      <c r="L36" s="10">
        <v>88</v>
      </c>
      <c r="M36" s="10">
        <v>95</v>
      </c>
      <c r="N36" s="109" t="s">
        <v>58</v>
      </c>
      <c r="O36" s="109" t="s">
        <v>58</v>
      </c>
      <c r="P36" s="48" t="s">
        <v>58</v>
      </c>
      <c r="Q36" s="55" t="s">
        <v>58</v>
      </c>
      <c r="R36" s="55" t="s">
        <v>58</v>
      </c>
    </row>
    <row r="37" spans="1:18" ht="19.899999999999999" customHeight="1" x14ac:dyDescent="0.2">
      <c r="A37" s="29"/>
      <c r="B37" s="11" t="s">
        <v>2</v>
      </c>
      <c r="C37" s="14">
        <v>1</v>
      </c>
      <c r="D37" s="12" t="s">
        <v>10</v>
      </c>
      <c r="E37" s="89" t="s">
        <v>46</v>
      </c>
      <c r="F37" s="93" t="s">
        <v>41</v>
      </c>
      <c r="G37" s="30">
        <v>9</v>
      </c>
      <c r="H37" s="9">
        <v>15</v>
      </c>
      <c r="I37" s="9">
        <v>26</v>
      </c>
      <c r="J37" s="22">
        <v>57</v>
      </c>
      <c r="K37" s="9">
        <v>73</v>
      </c>
      <c r="L37" s="9">
        <v>87</v>
      </c>
      <c r="M37" s="9">
        <v>98</v>
      </c>
      <c r="N37" s="110" t="s">
        <v>58</v>
      </c>
      <c r="O37" s="110" t="s">
        <v>58</v>
      </c>
      <c r="P37" s="38" t="s">
        <v>58</v>
      </c>
      <c r="Q37" s="54" t="s">
        <v>58</v>
      </c>
      <c r="R37" s="54" t="s">
        <v>58</v>
      </c>
    </row>
    <row r="38" spans="1:18" ht="19.899999999999999" customHeight="1" x14ac:dyDescent="0.2">
      <c r="A38" s="29"/>
      <c r="B38" s="56"/>
      <c r="C38" s="57"/>
      <c r="D38" s="58" t="s">
        <v>33</v>
      </c>
      <c r="E38" s="90" t="s">
        <v>46</v>
      </c>
      <c r="F38" s="94" t="s">
        <v>41</v>
      </c>
      <c r="G38" s="86">
        <v>9</v>
      </c>
      <c r="H38" s="49">
        <v>14</v>
      </c>
      <c r="I38" s="49">
        <v>16</v>
      </c>
      <c r="J38" s="82">
        <v>34</v>
      </c>
      <c r="K38" s="49">
        <v>48</v>
      </c>
      <c r="L38" s="49">
        <v>61</v>
      </c>
      <c r="M38" s="49">
        <v>72</v>
      </c>
      <c r="N38" s="49">
        <v>80</v>
      </c>
      <c r="O38" s="49">
        <v>86</v>
      </c>
      <c r="P38" s="87">
        <v>94</v>
      </c>
      <c r="Q38" s="88">
        <v>100</v>
      </c>
      <c r="R38" s="88">
        <v>98</v>
      </c>
    </row>
    <row r="39" spans="1:18" ht="19.899999999999999" customHeight="1" thickBot="1" x14ac:dyDescent="0.25">
      <c r="A39" s="29"/>
      <c r="B39" s="13"/>
      <c r="C39" s="15"/>
      <c r="D39" s="16" t="s">
        <v>11</v>
      </c>
      <c r="E39" s="91" t="s">
        <v>46</v>
      </c>
      <c r="F39" s="95" t="s">
        <v>41</v>
      </c>
      <c r="G39" s="31">
        <v>8</v>
      </c>
      <c r="H39" s="10">
        <v>12</v>
      </c>
      <c r="I39" s="10">
        <v>22</v>
      </c>
      <c r="J39" s="23">
        <v>48</v>
      </c>
      <c r="K39" s="10">
        <v>65</v>
      </c>
      <c r="L39" s="10">
        <v>78</v>
      </c>
      <c r="M39" s="10">
        <v>91</v>
      </c>
      <c r="N39" s="109" t="s">
        <v>58</v>
      </c>
      <c r="O39" s="109" t="s">
        <v>58</v>
      </c>
      <c r="P39" s="48" t="s">
        <v>58</v>
      </c>
      <c r="Q39" s="55" t="s">
        <v>58</v>
      </c>
      <c r="R39" s="55" t="s">
        <v>58</v>
      </c>
    </row>
    <row r="40" spans="1:18" ht="19.899999999999999" customHeight="1" x14ac:dyDescent="0.2">
      <c r="A40" s="29"/>
      <c r="B40" s="11" t="s">
        <v>2</v>
      </c>
      <c r="C40" s="14">
        <v>2</v>
      </c>
      <c r="D40" s="12" t="s">
        <v>10</v>
      </c>
      <c r="E40" s="89" t="s">
        <v>47</v>
      </c>
      <c r="F40" s="93" t="s">
        <v>41</v>
      </c>
      <c r="G40" s="30">
        <v>12</v>
      </c>
      <c r="H40" s="9">
        <v>15</v>
      </c>
      <c r="I40" s="9">
        <v>21</v>
      </c>
      <c r="J40" s="22">
        <v>41</v>
      </c>
      <c r="K40" s="9">
        <v>53</v>
      </c>
      <c r="L40" s="9">
        <v>61</v>
      </c>
      <c r="M40" s="9">
        <v>67</v>
      </c>
      <c r="N40" s="9">
        <v>71</v>
      </c>
      <c r="O40" s="9">
        <v>82</v>
      </c>
      <c r="P40" s="22">
        <v>91</v>
      </c>
      <c r="Q40" s="54" t="s">
        <v>58</v>
      </c>
      <c r="R40" s="54" t="s">
        <v>58</v>
      </c>
    </row>
    <row r="41" spans="1:18" ht="19.899999999999999" customHeight="1" x14ac:dyDescent="0.2">
      <c r="A41" s="29"/>
      <c r="B41" s="56"/>
      <c r="C41" s="57"/>
      <c r="D41" s="58" t="s">
        <v>33</v>
      </c>
      <c r="E41" s="90" t="s">
        <v>47</v>
      </c>
      <c r="F41" s="94" t="s">
        <v>41</v>
      </c>
      <c r="G41" s="86">
        <v>8</v>
      </c>
      <c r="H41" s="49">
        <v>13</v>
      </c>
      <c r="I41" s="49">
        <v>17</v>
      </c>
      <c r="J41" s="82">
        <v>36</v>
      </c>
      <c r="K41" s="49">
        <v>55</v>
      </c>
      <c r="L41" s="49">
        <v>65</v>
      </c>
      <c r="M41" s="49">
        <v>70</v>
      </c>
      <c r="N41" s="49">
        <v>82</v>
      </c>
      <c r="O41" s="49">
        <v>90</v>
      </c>
      <c r="P41" s="82">
        <v>94</v>
      </c>
      <c r="Q41" s="86">
        <v>97</v>
      </c>
      <c r="R41" s="88" t="s">
        <v>58</v>
      </c>
    </row>
    <row r="42" spans="1:18" ht="19.899999999999999" customHeight="1" thickBot="1" x14ac:dyDescent="0.25">
      <c r="A42" s="29"/>
      <c r="B42" s="13"/>
      <c r="C42" s="15"/>
      <c r="D42" s="16" t="s">
        <v>11</v>
      </c>
      <c r="E42" s="91" t="s">
        <v>47</v>
      </c>
      <c r="F42" s="95" t="s">
        <v>41</v>
      </c>
      <c r="G42" s="31">
        <v>10</v>
      </c>
      <c r="H42" s="10">
        <v>15</v>
      </c>
      <c r="I42" s="10">
        <v>24</v>
      </c>
      <c r="J42" s="23">
        <v>53</v>
      </c>
      <c r="K42" s="10">
        <v>72</v>
      </c>
      <c r="L42" s="10">
        <v>77</v>
      </c>
      <c r="M42" s="10">
        <v>80</v>
      </c>
      <c r="N42" s="10">
        <v>96</v>
      </c>
      <c r="O42" s="109" t="s">
        <v>58</v>
      </c>
      <c r="P42" s="48" t="s">
        <v>58</v>
      </c>
      <c r="Q42" s="55" t="s">
        <v>58</v>
      </c>
      <c r="R42" s="55" t="s">
        <v>58</v>
      </c>
    </row>
    <row r="43" spans="1:18" ht="19.899999999999999" customHeight="1" x14ac:dyDescent="0.2">
      <c r="A43" s="29"/>
      <c r="B43" s="11" t="s">
        <v>2</v>
      </c>
      <c r="C43" s="14">
        <v>3</v>
      </c>
      <c r="D43" s="12" t="s">
        <v>10</v>
      </c>
      <c r="E43" s="89" t="s">
        <v>48</v>
      </c>
      <c r="F43" s="93" t="s">
        <v>41</v>
      </c>
      <c r="G43" s="30">
        <v>12</v>
      </c>
      <c r="H43" s="9">
        <v>19</v>
      </c>
      <c r="I43" s="9">
        <v>26</v>
      </c>
      <c r="J43" s="22">
        <v>48</v>
      </c>
      <c r="K43" s="9">
        <v>67</v>
      </c>
      <c r="L43" s="9">
        <v>74</v>
      </c>
      <c r="M43" s="9">
        <v>79</v>
      </c>
      <c r="N43" s="9">
        <v>93</v>
      </c>
      <c r="O43" s="110" t="s">
        <v>58</v>
      </c>
      <c r="P43" s="38" t="s">
        <v>58</v>
      </c>
      <c r="Q43" s="54" t="s">
        <v>58</v>
      </c>
      <c r="R43" s="54" t="s">
        <v>58</v>
      </c>
    </row>
    <row r="44" spans="1:18" ht="19.899999999999999" customHeight="1" x14ac:dyDescent="0.2">
      <c r="A44" s="29"/>
      <c r="B44" s="56"/>
      <c r="C44" s="57"/>
      <c r="D44" s="58" t="s">
        <v>33</v>
      </c>
      <c r="E44" s="90" t="s">
        <v>48</v>
      </c>
      <c r="F44" s="94" t="s">
        <v>41</v>
      </c>
      <c r="G44" s="86">
        <v>10</v>
      </c>
      <c r="H44" s="49">
        <v>17</v>
      </c>
      <c r="I44" s="49">
        <v>21</v>
      </c>
      <c r="J44" s="82">
        <v>44</v>
      </c>
      <c r="K44" s="49">
        <v>64</v>
      </c>
      <c r="L44" s="49">
        <v>77</v>
      </c>
      <c r="M44" s="49">
        <v>85</v>
      </c>
      <c r="N44" s="49">
        <v>95</v>
      </c>
      <c r="O44" s="111" t="s">
        <v>58</v>
      </c>
      <c r="P44" s="87" t="s">
        <v>58</v>
      </c>
      <c r="Q44" s="88" t="s">
        <v>58</v>
      </c>
      <c r="R44" s="86">
        <v>100</v>
      </c>
    </row>
    <row r="45" spans="1:18" ht="19.899999999999999" customHeight="1" thickBot="1" x14ac:dyDescent="0.25">
      <c r="A45" s="29"/>
      <c r="B45" s="13"/>
      <c r="C45" s="15"/>
      <c r="D45" s="16" t="s">
        <v>11</v>
      </c>
      <c r="E45" s="91" t="s">
        <v>48</v>
      </c>
      <c r="F45" s="95" t="s">
        <v>41</v>
      </c>
      <c r="G45" s="31">
        <v>7</v>
      </c>
      <c r="H45" s="10">
        <v>15</v>
      </c>
      <c r="I45" s="10">
        <v>18</v>
      </c>
      <c r="J45" s="23">
        <v>28</v>
      </c>
      <c r="K45" s="10">
        <v>43</v>
      </c>
      <c r="L45" s="10">
        <v>41</v>
      </c>
      <c r="M45" s="10">
        <v>42</v>
      </c>
      <c r="N45" s="10">
        <v>50</v>
      </c>
      <c r="O45" s="10">
        <v>57</v>
      </c>
      <c r="P45" s="23">
        <v>66</v>
      </c>
      <c r="Q45" s="31">
        <v>72</v>
      </c>
      <c r="R45" s="31">
        <v>68</v>
      </c>
    </row>
    <row r="46" spans="1:18" ht="19.899999999999999" customHeight="1" x14ac:dyDescent="0.2">
      <c r="A46" s="29"/>
      <c r="B46" s="11" t="s">
        <v>2</v>
      </c>
      <c r="C46" s="14">
        <v>4</v>
      </c>
      <c r="D46" s="12" t="s">
        <v>10</v>
      </c>
      <c r="E46" s="89" t="s">
        <v>42</v>
      </c>
      <c r="F46" s="93" t="s">
        <v>41</v>
      </c>
      <c r="G46" s="30">
        <v>8</v>
      </c>
      <c r="H46" s="9">
        <v>13</v>
      </c>
      <c r="I46" s="9">
        <v>18</v>
      </c>
      <c r="J46" s="22">
        <v>42</v>
      </c>
      <c r="K46" s="9">
        <v>57</v>
      </c>
      <c r="L46" s="9">
        <v>70</v>
      </c>
      <c r="M46" s="9">
        <v>78</v>
      </c>
      <c r="N46" s="9">
        <v>93</v>
      </c>
      <c r="O46" s="9">
        <v>99</v>
      </c>
      <c r="P46" s="38" t="s">
        <v>58</v>
      </c>
      <c r="Q46" s="54" t="s">
        <v>58</v>
      </c>
      <c r="R46" s="54" t="s">
        <v>58</v>
      </c>
    </row>
    <row r="47" spans="1:18" ht="19.899999999999999" customHeight="1" x14ac:dyDescent="0.2">
      <c r="A47" s="29"/>
      <c r="B47" s="56"/>
      <c r="C47" s="57"/>
      <c r="D47" s="58" t="s">
        <v>33</v>
      </c>
      <c r="E47" s="90" t="s">
        <v>42</v>
      </c>
      <c r="F47" s="94" t="s">
        <v>41</v>
      </c>
      <c r="G47" s="86">
        <v>12</v>
      </c>
      <c r="H47" s="49">
        <v>15</v>
      </c>
      <c r="I47" s="49">
        <v>21</v>
      </c>
      <c r="J47" s="82">
        <v>36</v>
      </c>
      <c r="K47" s="49">
        <v>55</v>
      </c>
      <c r="L47" s="49">
        <v>67</v>
      </c>
      <c r="M47" s="49">
        <v>74</v>
      </c>
      <c r="N47" s="49">
        <v>90</v>
      </c>
      <c r="O47" s="49">
        <v>96</v>
      </c>
      <c r="P47" s="82">
        <v>99</v>
      </c>
      <c r="Q47" s="86">
        <v>101</v>
      </c>
      <c r="R47" s="88" t="s">
        <v>58</v>
      </c>
    </row>
    <row r="48" spans="1:18" ht="19.899999999999999" customHeight="1" thickBot="1" x14ac:dyDescent="0.25">
      <c r="A48" s="29"/>
      <c r="B48" s="13"/>
      <c r="C48" s="15"/>
      <c r="D48" s="16" t="s">
        <v>11</v>
      </c>
      <c r="E48" s="91" t="s">
        <v>42</v>
      </c>
      <c r="F48" s="95" t="s">
        <v>41</v>
      </c>
      <c r="G48" s="31">
        <v>10</v>
      </c>
      <c r="H48" s="10">
        <v>15</v>
      </c>
      <c r="I48" s="10">
        <v>19</v>
      </c>
      <c r="J48" s="23">
        <v>41</v>
      </c>
      <c r="K48" s="10">
        <v>59</v>
      </c>
      <c r="L48" s="10">
        <v>66</v>
      </c>
      <c r="M48" s="10">
        <v>74</v>
      </c>
      <c r="N48" s="10">
        <v>92</v>
      </c>
      <c r="O48" s="10">
        <v>98</v>
      </c>
      <c r="P48" s="48" t="s">
        <v>58</v>
      </c>
      <c r="Q48" s="55" t="s">
        <v>58</v>
      </c>
      <c r="R48" s="55" t="s">
        <v>58</v>
      </c>
    </row>
    <row r="49" spans="1:18" ht="19.899999999999999" customHeight="1" x14ac:dyDescent="0.2">
      <c r="A49" s="29"/>
      <c r="B49" s="11" t="s">
        <v>3</v>
      </c>
      <c r="C49" s="14">
        <v>4</v>
      </c>
      <c r="D49" s="12" t="s">
        <v>11</v>
      </c>
      <c r="E49" s="89" t="s">
        <v>42</v>
      </c>
      <c r="F49" s="96" t="s">
        <v>43</v>
      </c>
      <c r="G49" s="30">
        <v>14</v>
      </c>
      <c r="H49" s="9">
        <v>18</v>
      </c>
      <c r="I49" s="9">
        <v>26</v>
      </c>
      <c r="J49" s="22">
        <v>48</v>
      </c>
      <c r="K49" s="9">
        <v>62</v>
      </c>
      <c r="L49" s="9">
        <v>69</v>
      </c>
      <c r="M49" s="9">
        <v>73</v>
      </c>
      <c r="N49" s="9">
        <v>88</v>
      </c>
      <c r="O49" s="9">
        <v>96</v>
      </c>
      <c r="P49" s="38" t="s">
        <v>58</v>
      </c>
      <c r="Q49" s="54" t="s">
        <v>58</v>
      </c>
      <c r="R49" s="54" t="s">
        <v>58</v>
      </c>
    </row>
    <row r="50" spans="1:18" ht="19.899999999999999" customHeight="1" x14ac:dyDescent="0.2">
      <c r="A50" s="29"/>
      <c r="B50" s="56"/>
      <c r="C50" s="57"/>
      <c r="D50" s="58" t="s">
        <v>33</v>
      </c>
      <c r="E50" s="90" t="s">
        <v>42</v>
      </c>
      <c r="F50" s="97" t="s">
        <v>43</v>
      </c>
      <c r="G50" s="86">
        <v>15</v>
      </c>
      <c r="H50" s="49">
        <v>19</v>
      </c>
      <c r="I50" s="49">
        <v>25</v>
      </c>
      <c r="J50" s="82">
        <v>52</v>
      </c>
      <c r="K50" s="49">
        <v>55</v>
      </c>
      <c r="L50" s="49">
        <v>67</v>
      </c>
      <c r="M50" s="49">
        <v>77</v>
      </c>
      <c r="N50" s="111" t="s">
        <v>58</v>
      </c>
      <c r="O50" s="111" t="s">
        <v>58</v>
      </c>
      <c r="P50" s="87" t="s">
        <v>58</v>
      </c>
      <c r="Q50" s="88" t="s">
        <v>58</v>
      </c>
      <c r="R50" s="88" t="s">
        <v>58</v>
      </c>
    </row>
    <row r="51" spans="1:18" ht="19.899999999999999" customHeight="1" thickBot="1" x14ac:dyDescent="0.25">
      <c r="A51" s="29"/>
      <c r="B51" s="13"/>
      <c r="C51" s="15"/>
      <c r="D51" s="16" t="s">
        <v>10</v>
      </c>
      <c r="E51" s="91" t="s">
        <v>42</v>
      </c>
      <c r="F51" s="98" t="s">
        <v>43</v>
      </c>
      <c r="G51" s="31">
        <v>10</v>
      </c>
      <c r="H51" s="10">
        <v>15</v>
      </c>
      <c r="I51" s="10">
        <v>24</v>
      </c>
      <c r="J51" s="23">
        <v>48</v>
      </c>
      <c r="K51" s="10">
        <v>70</v>
      </c>
      <c r="L51" s="10">
        <v>86</v>
      </c>
      <c r="M51" s="109" t="s">
        <v>58</v>
      </c>
      <c r="N51" s="109" t="s">
        <v>58</v>
      </c>
      <c r="O51" s="109" t="s">
        <v>58</v>
      </c>
      <c r="P51" s="48" t="s">
        <v>58</v>
      </c>
      <c r="Q51" s="55" t="s">
        <v>58</v>
      </c>
      <c r="R51" s="55" t="s">
        <v>58</v>
      </c>
    </row>
    <row r="52" spans="1:18" ht="19.899999999999999" customHeight="1" x14ac:dyDescent="0.2">
      <c r="A52" s="29"/>
      <c r="B52" s="11" t="s">
        <v>3</v>
      </c>
      <c r="C52" s="14">
        <v>3</v>
      </c>
      <c r="D52" s="12" t="s">
        <v>11</v>
      </c>
      <c r="E52" s="89" t="s">
        <v>48</v>
      </c>
      <c r="F52" s="96" t="s">
        <v>43</v>
      </c>
      <c r="G52" s="30">
        <v>15</v>
      </c>
      <c r="H52" s="9">
        <v>21</v>
      </c>
      <c r="I52" s="9">
        <v>28</v>
      </c>
      <c r="J52" s="22">
        <v>58</v>
      </c>
      <c r="K52" s="9">
        <v>73</v>
      </c>
      <c r="L52" s="9">
        <v>91</v>
      </c>
      <c r="M52" s="110" t="s">
        <v>58</v>
      </c>
      <c r="N52" s="110" t="s">
        <v>58</v>
      </c>
      <c r="O52" s="110" t="s">
        <v>58</v>
      </c>
      <c r="P52" s="38" t="s">
        <v>58</v>
      </c>
      <c r="Q52" s="54" t="s">
        <v>58</v>
      </c>
      <c r="R52" s="54" t="s">
        <v>58</v>
      </c>
    </row>
    <row r="53" spans="1:18" ht="19.899999999999999" customHeight="1" x14ac:dyDescent="0.2">
      <c r="A53" s="29"/>
      <c r="B53" s="56"/>
      <c r="C53" s="57"/>
      <c r="D53" s="58" t="s">
        <v>33</v>
      </c>
      <c r="E53" s="90" t="s">
        <v>48</v>
      </c>
      <c r="F53" s="97" t="s">
        <v>43</v>
      </c>
      <c r="G53" s="86">
        <v>9</v>
      </c>
      <c r="H53" s="49">
        <v>14</v>
      </c>
      <c r="I53" s="49">
        <v>22</v>
      </c>
      <c r="J53" s="82">
        <v>43</v>
      </c>
      <c r="K53" s="49">
        <v>60</v>
      </c>
      <c r="L53" s="49">
        <v>77</v>
      </c>
      <c r="M53" s="49">
        <v>89</v>
      </c>
      <c r="N53" s="49">
        <v>100</v>
      </c>
      <c r="O53" s="111" t="s">
        <v>58</v>
      </c>
      <c r="P53" s="87" t="s">
        <v>58</v>
      </c>
      <c r="Q53" s="88" t="s">
        <v>58</v>
      </c>
      <c r="R53" s="88" t="s">
        <v>58</v>
      </c>
    </row>
    <row r="54" spans="1:18" ht="19.899999999999999" customHeight="1" thickBot="1" x14ac:dyDescent="0.25">
      <c r="A54" s="29"/>
      <c r="B54" s="13"/>
      <c r="C54" s="15"/>
      <c r="D54" s="16" t="s">
        <v>10</v>
      </c>
      <c r="E54" s="91" t="s">
        <v>48</v>
      </c>
      <c r="F54" s="98" t="s">
        <v>43</v>
      </c>
      <c r="G54" s="31">
        <v>18</v>
      </c>
      <c r="H54" s="10">
        <v>26</v>
      </c>
      <c r="I54" s="10">
        <v>30</v>
      </c>
      <c r="J54" s="23">
        <v>62</v>
      </c>
      <c r="K54" s="10">
        <v>78</v>
      </c>
      <c r="L54" s="10">
        <v>89</v>
      </c>
      <c r="M54" s="10">
        <v>97</v>
      </c>
      <c r="N54" s="109" t="s">
        <v>58</v>
      </c>
      <c r="O54" s="109" t="s">
        <v>58</v>
      </c>
      <c r="P54" s="48" t="s">
        <v>58</v>
      </c>
      <c r="Q54" s="55" t="s">
        <v>58</v>
      </c>
      <c r="R54" s="55" t="s">
        <v>58</v>
      </c>
    </row>
    <row r="55" spans="1:18" ht="19.899999999999999" customHeight="1" x14ac:dyDescent="0.2">
      <c r="A55" s="29"/>
      <c r="B55" s="11" t="s">
        <v>3</v>
      </c>
      <c r="C55" s="14">
        <v>2</v>
      </c>
      <c r="D55" s="12" t="s">
        <v>11</v>
      </c>
      <c r="E55" s="89" t="s">
        <v>47</v>
      </c>
      <c r="F55" s="96" t="s">
        <v>43</v>
      </c>
      <c r="G55" s="30">
        <v>16</v>
      </c>
      <c r="H55" s="9">
        <v>25</v>
      </c>
      <c r="I55" s="9">
        <v>30</v>
      </c>
      <c r="J55" s="22">
        <v>55</v>
      </c>
      <c r="K55" s="9">
        <v>66</v>
      </c>
      <c r="L55" s="9">
        <v>69</v>
      </c>
      <c r="M55" s="9">
        <v>71</v>
      </c>
      <c r="N55" s="9">
        <v>78</v>
      </c>
      <c r="O55" s="9">
        <v>85</v>
      </c>
      <c r="P55" s="22">
        <v>92</v>
      </c>
      <c r="Q55" s="30">
        <v>100</v>
      </c>
      <c r="R55" s="54" t="s">
        <v>58</v>
      </c>
    </row>
    <row r="56" spans="1:18" ht="19.899999999999999" customHeight="1" x14ac:dyDescent="0.2">
      <c r="A56" s="29"/>
      <c r="B56" s="56"/>
      <c r="C56" s="57"/>
      <c r="D56" s="58" t="s">
        <v>33</v>
      </c>
      <c r="E56" s="90" t="s">
        <v>47</v>
      </c>
      <c r="F56" s="97" t="s">
        <v>43</v>
      </c>
      <c r="G56" s="86">
        <v>12</v>
      </c>
      <c r="H56" s="49">
        <v>21</v>
      </c>
      <c r="I56" s="49">
        <v>31</v>
      </c>
      <c r="J56" s="82">
        <v>62</v>
      </c>
      <c r="K56" s="49">
        <v>75</v>
      </c>
      <c r="L56" s="49">
        <v>89</v>
      </c>
      <c r="M56" s="49">
        <v>98</v>
      </c>
      <c r="N56" s="111" t="s">
        <v>58</v>
      </c>
      <c r="O56" s="111" t="s">
        <v>58</v>
      </c>
      <c r="P56" s="87" t="s">
        <v>58</v>
      </c>
      <c r="Q56" s="88" t="s">
        <v>58</v>
      </c>
      <c r="R56" s="88" t="s">
        <v>58</v>
      </c>
    </row>
    <row r="57" spans="1:18" ht="19.899999999999999" customHeight="1" thickBot="1" x14ac:dyDescent="0.25">
      <c r="A57" s="29"/>
      <c r="B57" s="13"/>
      <c r="C57" s="15"/>
      <c r="D57" s="16" t="s">
        <v>10</v>
      </c>
      <c r="E57" s="91" t="s">
        <v>47</v>
      </c>
      <c r="F57" s="98" t="s">
        <v>43</v>
      </c>
      <c r="G57" s="31">
        <v>10</v>
      </c>
      <c r="H57" s="10">
        <v>19</v>
      </c>
      <c r="I57" s="10">
        <v>26</v>
      </c>
      <c r="J57" s="23">
        <v>49</v>
      </c>
      <c r="K57" s="10">
        <v>65</v>
      </c>
      <c r="L57" s="10">
        <v>69</v>
      </c>
      <c r="M57" s="10">
        <v>70</v>
      </c>
      <c r="N57" s="10">
        <v>78</v>
      </c>
      <c r="O57" s="10">
        <v>86</v>
      </c>
      <c r="P57" s="23">
        <v>94</v>
      </c>
      <c r="Q57" s="55" t="s">
        <v>58</v>
      </c>
      <c r="R57" s="55" t="s">
        <v>58</v>
      </c>
    </row>
    <row r="58" spans="1:18" ht="19.899999999999999" customHeight="1" x14ac:dyDescent="0.2">
      <c r="A58" s="29"/>
      <c r="B58" s="11" t="s">
        <v>3</v>
      </c>
      <c r="C58" s="14">
        <v>1</v>
      </c>
      <c r="D58" s="12" t="s">
        <v>11</v>
      </c>
      <c r="E58" s="89" t="s">
        <v>46</v>
      </c>
      <c r="F58" s="96" t="s">
        <v>43</v>
      </c>
      <c r="G58" s="30">
        <v>18</v>
      </c>
      <c r="H58" s="9">
        <v>24</v>
      </c>
      <c r="I58" s="9">
        <v>34</v>
      </c>
      <c r="J58" s="22">
        <v>66</v>
      </c>
      <c r="K58" s="9">
        <v>78</v>
      </c>
      <c r="L58" s="9">
        <v>92</v>
      </c>
      <c r="M58" s="110" t="s">
        <v>58</v>
      </c>
      <c r="N58" s="110" t="s">
        <v>58</v>
      </c>
      <c r="O58" s="110" t="s">
        <v>58</v>
      </c>
      <c r="P58" s="38" t="s">
        <v>58</v>
      </c>
      <c r="Q58" s="54" t="s">
        <v>58</v>
      </c>
      <c r="R58" s="54" t="s">
        <v>58</v>
      </c>
    </row>
    <row r="59" spans="1:18" ht="19.899999999999999" customHeight="1" x14ac:dyDescent="0.2">
      <c r="A59" s="29"/>
      <c r="B59" s="56"/>
      <c r="C59" s="57"/>
      <c r="D59" s="58" t="s">
        <v>33</v>
      </c>
      <c r="E59" s="90" t="s">
        <v>46</v>
      </c>
      <c r="F59" s="97" t="s">
        <v>43</v>
      </c>
      <c r="G59" s="86">
        <v>17</v>
      </c>
      <c r="H59" s="49">
        <v>21</v>
      </c>
      <c r="I59" s="49">
        <v>28</v>
      </c>
      <c r="J59" s="82">
        <v>59</v>
      </c>
      <c r="K59" s="49">
        <v>78</v>
      </c>
      <c r="L59" s="49">
        <v>91</v>
      </c>
      <c r="M59" s="111" t="s">
        <v>58</v>
      </c>
      <c r="N59" s="111" t="s">
        <v>58</v>
      </c>
      <c r="O59" s="111" t="s">
        <v>58</v>
      </c>
      <c r="P59" s="87" t="s">
        <v>58</v>
      </c>
      <c r="Q59" s="88" t="s">
        <v>58</v>
      </c>
      <c r="R59" s="88" t="s">
        <v>58</v>
      </c>
    </row>
    <row r="60" spans="1:18" ht="19.899999999999999" customHeight="1" thickBot="1" x14ac:dyDescent="0.25">
      <c r="A60" s="29"/>
      <c r="B60" s="13"/>
      <c r="C60" s="15"/>
      <c r="D60" s="16" t="s">
        <v>10</v>
      </c>
      <c r="E60" s="91" t="s">
        <v>46</v>
      </c>
      <c r="F60" s="98" t="s">
        <v>43</v>
      </c>
      <c r="G60" s="31">
        <v>15</v>
      </c>
      <c r="H60" s="10">
        <v>18</v>
      </c>
      <c r="I60" s="10">
        <v>33</v>
      </c>
      <c r="J60" s="23">
        <v>59</v>
      </c>
      <c r="K60" s="10">
        <v>73</v>
      </c>
      <c r="L60" s="10">
        <v>88</v>
      </c>
      <c r="M60" s="109" t="s">
        <v>58</v>
      </c>
      <c r="N60" s="109" t="s">
        <v>58</v>
      </c>
      <c r="O60" s="109" t="s">
        <v>58</v>
      </c>
      <c r="P60" s="48" t="s">
        <v>58</v>
      </c>
      <c r="Q60" s="55" t="s">
        <v>58</v>
      </c>
      <c r="R60" s="55" t="s">
        <v>58</v>
      </c>
    </row>
    <row r="61" spans="1:18" ht="19.5" customHeight="1" x14ac:dyDescent="0.2">
      <c r="B61" s="11" t="s">
        <v>4</v>
      </c>
      <c r="C61" s="14">
        <v>1</v>
      </c>
      <c r="D61" s="12" t="s">
        <v>10</v>
      </c>
      <c r="E61" s="89" t="s">
        <v>48</v>
      </c>
      <c r="F61" s="96" t="s">
        <v>43</v>
      </c>
      <c r="G61" s="30">
        <v>15</v>
      </c>
      <c r="H61" s="9">
        <v>23</v>
      </c>
      <c r="I61" s="9">
        <v>33</v>
      </c>
      <c r="J61" s="22">
        <v>62</v>
      </c>
      <c r="K61" s="9">
        <v>74</v>
      </c>
      <c r="L61" s="9">
        <v>87</v>
      </c>
      <c r="M61" s="110" t="s">
        <v>58</v>
      </c>
      <c r="N61" s="110" t="s">
        <v>58</v>
      </c>
      <c r="O61" s="110" t="s">
        <v>58</v>
      </c>
      <c r="P61" s="38" t="s">
        <v>58</v>
      </c>
      <c r="Q61" s="54" t="s">
        <v>58</v>
      </c>
      <c r="R61" s="54" t="s">
        <v>58</v>
      </c>
    </row>
    <row r="62" spans="1:18" ht="19.5" customHeight="1" x14ac:dyDescent="0.2">
      <c r="B62" s="56"/>
      <c r="C62" s="57"/>
      <c r="D62" s="58" t="s">
        <v>33</v>
      </c>
      <c r="E62" s="90" t="s">
        <v>48</v>
      </c>
      <c r="F62" s="97" t="s">
        <v>43</v>
      </c>
      <c r="G62" s="86">
        <v>16</v>
      </c>
      <c r="H62" s="49">
        <v>25</v>
      </c>
      <c r="I62" s="49">
        <v>33</v>
      </c>
      <c r="J62" s="82">
        <v>60</v>
      </c>
      <c r="K62" s="49">
        <v>72</v>
      </c>
      <c r="L62" s="49">
        <v>85</v>
      </c>
      <c r="M62" s="49">
        <v>93</v>
      </c>
      <c r="N62" s="111" t="s">
        <v>58</v>
      </c>
      <c r="O62" s="111" t="s">
        <v>58</v>
      </c>
      <c r="P62" s="87" t="s">
        <v>58</v>
      </c>
      <c r="Q62" s="88" t="s">
        <v>58</v>
      </c>
      <c r="R62" s="88" t="s">
        <v>58</v>
      </c>
    </row>
    <row r="63" spans="1:18" ht="19.5" customHeight="1" thickBot="1" x14ac:dyDescent="0.25">
      <c r="B63" s="13"/>
      <c r="C63" s="15"/>
      <c r="D63" s="16" t="s">
        <v>11</v>
      </c>
      <c r="E63" s="91" t="s">
        <v>48</v>
      </c>
      <c r="F63" s="98" t="s">
        <v>43</v>
      </c>
      <c r="G63" s="31">
        <v>16</v>
      </c>
      <c r="H63" s="10">
        <v>22</v>
      </c>
      <c r="I63" s="10">
        <v>32</v>
      </c>
      <c r="J63" s="23">
        <v>55</v>
      </c>
      <c r="K63" s="10">
        <v>65</v>
      </c>
      <c r="L63" s="10">
        <v>76</v>
      </c>
      <c r="M63" s="10">
        <v>82</v>
      </c>
      <c r="N63" s="10">
        <v>86</v>
      </c>
      <c r="O63" s="10">
        <v>89</v>
      </c>
      <c r="P63" s="23">
        <v>91</v>
      </c>
      <c r="Q63" s="31">
        <v>92</v>
      </c>
      <c r="R63" s="31">
        <v>92</v>
      </c>
    </row>
    <row r="64" spans="1:18" ht="19.5" customHeight="1" x14ac:dyDescent="0.2">
      <c r="B64" s="11" t="s">
        <v>4</v>
      </c>
      <c r="C64" s="14">
        <v>2</v>
      </c>
      <c r="D64" s="12" t="s">
        <v>10</v>
      </c>
      <c r="E64" s="89" t="s">
        <v>45</v>
      </c>
      <c r="F64" s="96" t="s">
        <v>43</v>
      </c>
      <c r="G64" s="30">
        <v>16</v>
      </c>
      <c r="H64" s="9">
        <v>23</v>
      </c>
      <c r="I64" s="9">
        <v>26</v>
      </c>
      <c r="J64" s="22">
        <v>48</v>
      </c>
      <c r="K64" s="9">
        <v>53</v>
      </c>
      <c r="L64" s="9">
        <v>60</v>
      </c>
      <c r="M64" s="9">
        <v>65</v>
      </c>
      <c r="N64" s="9">
        <v>68</v>
      </c>
      <c r="O64" s="9">
        <v>71</v>
      </c>
      <c r="P64" s="38">
        <v>73</v>
      </c>
      <c r="Q64" s="54">
        <v>72</v>
      </c>
      <c r="R64" s="54">
        <v>73</v>
      </c>
    </row>
    <row r="65" spans="2:18" ht="19.5" customHeight="1" x14ac:dyDescent="0.2">
      <c r="B65" s="56"/>
      <c r="C65" s="57"/>
      <c r="D65" s="58" t="s">
        <v>33</v>
      </c>
      <c r="E65" s="90" t="s">
        <v>45</v>
      </c>
      <c r="F65" s="97" t="s">
        <v>43</v>
      </c>
      <c r="G65" s="86">
        <v>15</v>
      </c>
      <c r="H65" s="49">
        <v>21</v>
      </c>
      <c r="I65" s="49">
        <v>27</v>
      </c>
      <c r="J65" s="82">
        <v>51</v>
      </c>
      <c r="K65" s="49">
        <v>57</v>
      </c>
      <c r="L65" s="49">
        <v>63</v>
      </c>
      <c r="M65" s="49">
        <v>68</v>
      </c>
      <c r="N65" s="49">
        <v>72</v>
      </c>
      <c r="O65" s="49">
        <v>74</v>
      </c>
      <c r="P65" s="87">
        <v>77</v>
      </c>
      <c r="Q65" s="88">
        <v>75</v>
      </c>
      <c r="R65" s="88">
        <v>75</v>
      </c>
    </row>
    <row r="66" spans="2:18" ht="19.5" customHeight="1" thickBot="1" x14ac:dyDescent="0.25">
      <c r="B66" s="56"/>
      <c r="C66" s="57"/>
      <c r="D66" s="16" t="s">
        <v>11</v>
      </c>
      <c r="E66" s="91" t="s">
        <v>45</v>
      </c>
      <c r="F66" s="98" t="s">
        <v>43</v>
      </c>
      <c r="G66" s="31">
        <v>12</v>
      </c>
      <c r="H66" s="10">
        <v>19</v>
      </c>
      <c r="I66" s="10">
        <v>25</v>
      </c>
      <c r="J66" s="23">
        <v>51</v>
      </c>
      <c r="K66" s="10">
        <v>57</v>
      </c>
      <c r="L66" s="10">
        <v>64</v>
      </c>
      <c r="M66" s="10">
        <v>69</v>
      </c>
      <c r="N66" s="10">
        <v>73</v>
      </c>
      <c r="O66" s="10">
        <v>74</v>
      </c>
      <c r="P66" s="23">
        <v>75</v>
      </c>
      <c r="Q66" s="31">
        <v>75</v>
      </c>
      <c r="R66" s="31">
        <v>75</v>
      </c>
    </row>
    <row r="67" spans="2:18" ht="19.5" customHeight="1" x14ac:dyDescent="0.2">
      <c r="B67" s="11" t="s">
        <v>4</v>
      </c>
      <c r="C67" s="14">
        <v>3</v>
      </c>
      <c r="D67" s="12" t="s">
        <v>10</v>
      </c>
      <c r="E67" s="89" t="s">
        <v>44</v>
      </c>
      <c r="F67" s="96" t="s">
        <v>43</v>
      </c>
      <c r="G67" s="30">
        <v>10</v>
      </c>
      <c r="H67" s="9">
        <v>16</v>
      </c>
      <c r="I67" s="9">
        <v>22</v>
      </c>
      <c r="J67" s="22">
        <v>48</v>
      </c>
      <c r="K67" s="9">
        <v>89</v>
      </c>
      <c r="L67" s="9">
        <v>94</v>
      </c>
      <c r="M67" s="9">
        <v>98</v>
      </c>
      <c r="N67" s="9" t="s">
        <v>58</v>
      </c>
      <c r="O67" s="110" t="s">
        <v>58</v>
      </c>
      <c r="P67" s="38" t="s">
        <v>58</v>
      </c>
      <c r="Q67" s="54" t="s">
        <v>58</v>
      </c>
      <c r="R67" s="54" t="s">
        <v>58</v>
      </c>
    </row>
    <row r="68" spans="2:18" ht="19.5" customHeight="1" x14ac:dyDescent="0.2">
      <c r="B68" s="56"/>
      <c r="C68" s="57"/>
      <c r="D68" s="58" t="s">
        <v>33</v>
      </c>
      <c r="E68" s="90" t="s">
        <v>44</v>
      </c>
      <c r="F68" s="97" t="s">
        <v>43</v>
      </c>
      <c r="G68" s="86">
        <v>14</v>
      </c>
      <c r="H68" s="49">
        <v>21</v>
      </c>
      <c r="I68" s="49">
        <v>26</v>
      </c>
      <c r="J68" s="82">
        <v>51</v>
      </c>
      <c r="K68" s="49">
        <v>86</v>
      </c>
      <c r="L68" s="49">
        <v>86</v>
      </c>
      <c r="M68" s="49">
        <v>86</v>
      </c>
      <c r="N68" s="49">
        <v>88</v>
      </c>
      <c r="O68" s="49">
        <v>89</v>
      </c>
      <c r="P68" s="87">
        <v>89</v>
      </c>
      <c r="Q68" s="88">
        <v>90</v>
      </c>
      <c r="R68" s="88">
        <v>90</v>
      </c>
    </row>
    <row r="69" spans="2:18" ht="19.5" customHeight="1" thickBot="1" x14ac:dyDescent="0.25">
      <c r="B69" s="13"/>
      <c r="C69" s="15"/>
      <c r="D69" s="16" t="s">
        <v>11</v>
      </c>
      <c r="E69" s="91" t="s">
        <v>44</v>
      </c>
      <c r="F69" s="98" t="s">
        <v>43</v>
      </c>
      <c r="G69" s="31">
        <v>11</v>
      </c>
      <c r="H69" s="10">
        <v>18</v>
      </c>
      <c r="I69" s="10">
        <v>29</v>
      </c>
      <c r="J69" s="23">
        <v>56</v>
      </c>
      <c r="K69" s="10">
        <v>62</v>
      </c>
      <c r="L69" s="10">
        <v>88</v>
      </c>
      <c r="M69" s="10">
        <v>93</v>
      </c>
      <c r="N69" s="10">
        <v>95</v>
      </c>
      <c r="O69" s="10">
        <v>97</v>
      </c>
      <c r="P69" s="48">
        <v>98</v>
      </c>
      <c r="Q69" s="55">
        <v>98</v>
      </c>
      <c r="R69" s="55">
        <v>100</v>
      </c>
    </row>
    <row r="70" spans="2:18" ht="19.5" customHeight="1" x14ac:dyDescent="0.2">
      <c r="B70" s="11" t="s">
        <v>4</v>
      </c>
      <c r="C70" s="14">
        <v>4</v>
      </c>
      <c r="D70" s="12" t="s">
        <v>10</v>
      </c>
      <c r="E70" s="89" t="s">
        <v>47</v>
      </c>
      <c r="F70" s="96" t="s">
        <v>43</v>
      </c>
      <c r="G70" s="30">
        <v>15</v>
      </c>
      <c r="H70" s="9">
        <v>23</v>
      </c>
      <c r="I70" s="9">
        <v>27</v>
      </c>
      <c r="J70" s="22">
        <v>52</v>
      </c>
      <c r="K70" s="9">
        <v>63</v>
      </c>
      <c r="L70" s="9">
        <v>74</v>
      </c>
      <c r="M70" s="9">
        <v>82</v>
      </c>
      <c r="N70" s="9">
        <v>93</v>
      </c>
      <c r="O70" s="9">
        <v>96</v>
      </c>
      <c r="P70" s="38" t="s">
        <v>58</v>
      </c>
      <c r="Q70" s="54" t="s">
        <v>58</v>
      </c>
      <c r="R70" s="54" t="s">
        <v>58</v>
      </c>
    </row>
    <row r="71" spans="2:18" ht="19.5" customHeight="1" x14ac:dyDescent="0.2">
      <c r="B71" s="56"/>
      <c r="C71" s="57"/>
      <c r="D71" s="58" t="s">
        <v>33</v>
      </c>
      <c r="E71" s="90" t="s">
        <v>47</v>
      </c>
      <c r="F71" s="97" t="s">
        <v>43</v>
      </c>
      <c r="G71" s="86">
        <v>12</v>
      </c>
      <c r="H71" s="49">
        <v>21</v>
      </c>
      <c r="I71" s="49">
        <v>24</v>
      </c>
      <c r="J71" s="82">
        <v>40</v>
      </c>
      <c r="K71" s="49">
        <v>47</v>
      </c>
      <c r="L71" s="49">
        <v>54</v>
      </c>
      <c r="M71" s="49">
        <v>58</v>
      </c>
      <c r="N71" s="49">
        <v>61</v>
      </c>
      <c r="O71" s="49">
        <v>65</v>
      </c>
      <c r="P71" s="82">
        <v>68</v>
      </c>
      <c r="Q71" s="86">
        <v>70</v>
      </c>
      <c r="R71" s="86">
        <v>70</v>
      </c>
    </row>
    <row r="72" spans="2:18" ht="19.5" customHeight="1" thickBot="1" x14ac:dyDescent="0.25">
      <c r="B72" s="13"/>
      <c r="C72" s="15"/>
      <c r="D72" s="16" t="s">
        <v>11</v>
      </c>
      <c r="E72" s="91" t="s">
        <v>47</v>
      </c>
      <c r="F72" s="98" t="s">
        <v>43</v>
      </c>
      <c r="G72" s="31">
        <v>14</v>
      </c>
      <c r="H72" s="10">
        <v>23</v>
      </c>
      <c r="I72" s="10">
        <v>25</v>
      </c>
      <c r="J72" s="23">
        <v>55</v>
      </c>
      <c r="K72" s="10">
        <v>66</v>
      </c>
      <c r="L72" s="10">
        <v>77</v>
      </c>
      <c r="M72" s="10">
        <v>85</v>
      </c>
      <c r="N72" s="10">
        <v>96</v>
      </c>
      <c r="O72" s="109" t="s">
        <v>58</v>
      </c>
      <c r="P72" s="48" t="s">
        <v>58</v>
      </c>
      <c r="Q72" s="55" t="s">
        <v>58</v>
      </c>
      <c r="R72" s="55" t="s">
        <v>58</v>
      </c>
    </row>
    <row r="73" spans="2:18" ht="19.5" customHeight="1" x14ac:dyDescent="0.2">
      <c r="B73" s="11" t="s">
        <v>5</v>
      </c>
      <c r="C73" s="14">
        <v>4</v>
      </c>
      <c r="D73" s="12" t="s">
        <v>11</v>
      </c>
      <c r="E73" s="89" t="s">
        <v>47</v>
      </c>
      <c r="F73" s="93" t="s">
        <v>41</v>
      </c>
      <c r="G73" s="30">
        <v>6</v>
      </c>
      <c r="H73" s="9">
        <v>10</v>
      </c>
      <c r="I73" s="9">
        <v>17</v>
      </c>
      <c r="J73" s="22">
        <v>39</v>
      </c>
      <c r="K73" s="9">
        <v>47</v>
      </c>
      <c r="L73" s="9">
        <v>57</v>
      </c>
      <c r="M73" s="9">
        <v>64</v>
      </c>
      <c r="N73" s="9">
        <v>69</v>
      </c>
      <c r="O73" s="9">
        <v>76</v>
      </c>
      <c r="P73" s="22">
        <v>79</v>
      </c>
      <c r="Q73" s="30">
        <v>84</v>
      </c>
      <c r="R73" s="30">
        <v>86</v>
      </c>
    </row>
    <row r="74" spans="2:18" ht="19.5" customHeight="1" x14ac:dyDescent="0.2">
      <c r="B74" s="56"/>
      <c r="C74" s="57"/>
      <c r="D74" s="58" t="s">
        <v>33</v>
      </c>
      <c r="E74" s="90" t="s">
        <v>47</v>
      </c>
      <c r="F74" s="94" t="s">
        <v>41</v>
      </c>
      <c r="G74" s="86">
        <v>7</v>
      </c>
      <c r="H74" s="49">
        <v>11</v>
      </c>
      <c r="I74" s="49">
        <v>18</v>
      </c>
      <c r="J74" s="82">
        <v>42</v>
      </c>
      <c r="K74" s="49">
        <v>53</v>
      </c>
      <c r="L74" s="49">
        <v>65</v>
      </c>
      <c r="M74" s="49">
        <v>72</v>
      </c>
      <c r="N74" s="49">
        <v>80</v>
      </c>
      <c r="O74" s="49">
        <v>86</v>
      </c>
      <c r="P74" s="82">
        <v>91</v>
      </c>
      <c r="Q74" s="86">
        <v>97</v>
      </c>
      <c r="R74" s="88" t="s">
        <v>58</v>
      </c>
    </row>
    <row r="75" spans="2:18" ht="19.5" customHeight="1" thickBot="1" x14ac:dyDescent="0.25">
      <c r="B75" s="13"/>
      <c r="C75" s="15"/>
      <c r="D75" s="16" t="s">
        <v>10</v>
      </c>
      <c r="E75" s="91" t="s">
        <v>47</v>
      </c>
      <c r="F75" s="95" t="s">
        <v>41</v>
      </c>
      <c r="G75" s="31">
        <v>8</v>
      </c>
      <c r="H75" s="10">
        <v>15</v>
      </c>
      <c r="I75" s="10">
        <v>18</v>
      </c>
      <c r="J75" s="23">
        <v>50</v>
      </c>
      <c r="K75" s="10">
        <v>62</v>
      </c>
      <c r="L75" s="10">
        <v>74</v>
      </c>
      <c r="M75" s="10">
        <v>82</v>
      </c>
      <c r="N75" s="10">
        <v>87</v>
      </c>
      <c r="O75" s="10">
        <v>95</v>
      </c>
      <c r="P75" s="48" t="s">
        <v>58</v>
      </c>
      <c r="Q75" s="55" t="s">
        <v>58</v>
      </c>
      <c r="R75" s="55" t="s">
        <v>58</v>
      </c>
    </row>
    <row r="76" spans="2:18" ht="19.5" customHeight="1" x14ac:dyDescent="0.2">
      <c r="B76" s="11" t="s">
        <v>5</v>
      </c>
      <c r="C76" s="14">
        <v>3</v>
      </c>
      <c r="D76" s="12" t="s">
        <v>11</v>
      </c>
      <c r="E76" s="89" t="s">
        <v>44</v>
      </c>
      <c r="F76" s="93" t="s">
        <v>41</v>
      </c>
      <c r="G76" s="30">
        <v>6</v>
      </c>
      <c r="H76" s="9">
        <v>13</v>
      </c>
      <c r="I76" s="9">
        <v>19</v>
      </c>
      <c r="J76" s="22">
        <v>41</v>
      </c>
      <c r="K76" s="9">
        <v>50</v>
      </c>
      <c r="L76" s="9">
        <v>60</v>
      </c>
      <c r="M76" s="9">
        <v>66</v>
      </c>
      <c r="N76" s="110">
        <v>70</v>
      </c>
      <c r="O76" s="110">
        <v>73</v>
      </c>
      <c r="P76" s="38">
        <v>74</v>
      </c>
      <c r="Q76" s="54">
        <v>75</v>
      </c>
      <c r="R76" s="54">
        <v>76</v>
      </c>
    </row>
    <row r="77" spans="2:18" ht="19.5" customHeight="1" x14ac:dyDescent="0.2">
      <c r="B77" s="56"/>
      <c r="C77" s="57"/>
      <c r="D77" s="58" t="s">
        <v>33</v>
      </c>
      <c r="E77" s="90" t="s">
        <v>44</v>
      </c>
      <c r="F77" s="94" t="s">
        <v>41</v>
      </c>
      <c r="G77" s="86">
        <v>6</v>
      </c>
      <c r="H77" s="49">
        <v>15</v>
      </c>
      <c r="I77" s="49">
        <v>20</v>
      </c>
      <c r="J77" s="82">
        <v>44</v>
      </c>
      <c r="K77" s="49">
        <v>54</v>
      </c>
      <c r="L77" s="49">
        <v>64</v>
      </c>
      <c r="M77" s="49">
        <v>73</v>
      </c>
      <c r="N77" s="49">
        <v>81</v>
      </c>
      <c r="O77" s="49">
        <v>85</v>
      </c>
      <c r="P77" s="82">
        <v>88</v>
      </c>
      <c r="Q77" s="86">
        <v>90</v>
      </c>
      <c r="R77" s="86">
        <v>95</v>
      </c>
    </row>
    <row r="78" spans="2:18" ht="19.5" customHeight="1" thickBot="1" x14ac:dyDescent="0.25">
      <c r="B78" s="13"/>
      <c r="C78" s="15"/>
      <c r="D78" s="16" t="s">
        <v>10</v>
      </c>
      <c r="E78" s="91" t="s">
        <v>44</v>
      </c>
      <c r="F78" s="95" t="s">
        <v>41</v>
      </c>
      <c r="G78" s="31">
        <v>7</v>
      </c>
      <c r="H78" s="10">
        <v>14</v>
      </c>
      <c r="I78" s="10">
        <v>16</v>
      </c>
      <c r="J78" s="23">
        <v>43</v>
      </c>
      <c r="K78" s="10">
        <v>53</v>
      </c>
      <c r="L78" s="10">
        <v>62</v>
      </c>
      <c r="M78" s="10">
        <v>67</v>
      </c>
      <c r="N78" s="10">
        <v>71</v>
      </c>
      <c r="O78" s="10">
        <v>75</v>
      </c>
      <c r="P78" s="23">
        <v>75</v>
      </c>
      <c r="Q78" s="31">
        <v>77</v>
      </c>
      <c r="R78" s="31">
        <v>77</v>
      </c>
    </row>
    <row r="79" spans="2:18" ht="19.5" customHeight="1" x14ac:dyDescent="0.2">
      <c r="B79" s="11" t="s">
        <v>5</v>
      </c>
      <c r="C79" s="14">
        <v>2</v>
      </c>
      <c r="D79" s="12" t="s">
        <v>11</v>
      </c>
      <c r="E79" s="89" t="s">
        <v>45</v>
      </c>
      <c r="F79" s="93" t="s">
        <v>41</v>
      </c>
      <c r="G79" s="30">
        <v>4</v>
      </c>
      <c r="H79" s="9">
        <v>11</v>
      </c>
      <c r="I79" s="9">
        <v>17</v>
      </c>
      <c r="J79" s="22">
        <v>36</v>
      </c>
      <c r="K79" s="9">
        <v>51</v>
      </c>
      <c r="L79" s="9">
        <v>67</v>
      </c>
      <c r="M79" s="9">
        <v>77</v>
      </c>
      <c r="N79" s="9">
        <v>84</v>
      </c>
      <c r="O79" s="9">
        <v>88</v>
      </c>
      <c r="P79" s="22">
        <v>91</v>
      </c>
      <c r="Q79" s="30">
        <v>95</v>
      </c>
      <c r="R79" s="30">
        <v>99</v>
      </c>
    </row>
    <row r="80" spans="2:18" ht="19.5" customHeight="1" x14ac:dyDescent="0.2">
      <c r="B80" s="56"/>
      <c r="C80" s="57"/>
      <c r="D80" s="58" t="s">
        <v>33</v>
      </c>
      <c r="E80" s="90" t="s">
        <v>45</v>
      </c>
      <c r="F80" s="94" t="s">
        <v>41</v>
      </c>
      <c r="G80" s="86">
        <v>7</v>
      </c>
      <c r="H80" s="49">
        <v>12</v>
      </c>
      <c r="I80" s="49">
        <v>16</v>
      </c>
      <c r="J80" s="82">
        <v>35</v>
      </c>
      <c r="K80" s="49">
        <v>50</v>
      </c>
      <c r="L80" s="49">
        <v>65</v>
      </c>
      <c r="M80" s="49">
        <v>75</v>
      </c>
      <c r="N80" s="49">
        <v>82</v>
      </c>
      <c r="O80" s="49">
        <v>85</v>
      </c>
      <c r="P80" s="82">
        <v>90</v>
      </c>
      <c r="Q80" s="86">
        <v>91</v>
      </c>
      <c r="R80" s="86">
        <v>93</v>
      </c>
    </row>
    <row r="81" spans="2:18" ht="19.5" customHeight="1" thickBot="1" x14ac:dyDescent="0.25">
      <c r="B81" s="13"/>
      <c r="C81" s="15"/>
      <c r="D81" s="16" t="s">
        <v>10</v>
      </c>
      <c r="E81" s="91" t="s">
        <v>45</v>
      </c>
      <c r="F81" s="95" t="s">
        <v>41</v>
      </c>
      <c r="G81" s="31">
        <v>7</v>
      </c>
      <c r="H81" s="10">
        <v>13</v>
      </c>
      <c r="I81" s="10">
        <v>20</v>
      </c>
      <c r="J81" s="23">
        <v>43</v>
      </c>
      <c r="K81" s="10">
        <v>57</v>
      </c>
      <c r="L81" s="10">
        <v>73</v>
      </c>
      <c r="M81" s="10">
        <v>83</v>
      </c>
      <c r="N81" s="10">
        <v>91</v>
      </c>
      <c r="O81" s="10">
        <v>96</v>
      </c>
      <c r="P81" s="48" t="s">
        <v>58</v>
      </c>
      <c r="Q81" s="55" t="s">
        <v>58</v>
      </c>
      <c r="R81" s="55" t="s">
        <v>58</v>
      </c>
    </row>
    <row r="82" spans="2:18" ht="19.5" customHeight="1" x14ac:dyDescent="0.2">
      <c r="B82" s="11" t="s">
        <v>5</v>
      </c>
      <c r="C82" s="14">
        <v>1</v>
      </c>
      <c r="D82" s="66" t="s">
        <v>11</v>
      </c>
      <c r="E82" s="89" t="s">
        <v>48</v>
      </c>
      <c r="F82" s="93" t="s">
        <v>41</v>
      </c>
      <c r="G82" s="30">
        <v>8</v>
      </c>
      <c r="H82" s="9">
        <v>13</v>
      </c>
      <c r="I82" s="9">
        <v>21</v>
      </c>
      <c r="J82" s="22">
        <v>30</v>
      </c>
      <c r="K82" s="9">
        <v>45</v>
      </c>
      <c r="L82" s="9">
        <v>61</v>
      </c>
      <c r="M82" s="9">
        <v>72</v>
      </c>
      <c r="N82" s="9">
        <v>79</v>
      </c>
      <c r="O82" s="9">
        <v>85</v>
      </c>
      <c r="P82" s="22">
        <v>94</v>
      </c>
      <c r="Q82" s="30">
        <v>97</v>
      </c>
      <c r="R82" s="30">
        <v>99</v>
      </c>
    </row>
    <row r="83" spans="2:18" ht="19.5" customHeight="1" x14ac:dyDescent="0.2">
      <c r="B83" s="56"/>
      <c r="C83" s="57"/>
      <c r="D83" s="70" t="s">
        <v>33</v>
      </c>
      <c r="E83" s="90" t="s">
        <v>48</v>
      </c>
      <c r="F83" s="94" t="s">
        <v>41</v>
      </c>
      <c r="G83" s="86">
        <v>10</v>
      </c>
      <c r="H83" s="49">
        <v>17</v>
      </c>
      <c r="I83" s="49">
        <v>20</v>
      </c>
      <c r="J83" s="82">
        <v>40</v>
      </c>
      <c r="K83" s="49">
        <v>56</v>
      </c>
      <c r="L83" s="49">
        <v>73</v>
      </c>
      <c r="M83" s="49">
        <v>84</v>
      </c>
      <c r="N83" s="49">
        <v>91</v>
      </c>
      <c r="O83" s="49">
        <v>96</v>
      </c>
      <c r="P83" s="87" t="s">
        <v>58</v>
      </c>
      <c r="Q83" s="88" t="s">
        <v>58</v>
      </c>
      <c r="R83" s="88" t="s">
        <v>58</v>
      </c>
    </row>
    <row r="84" spans="2:18" ht="19.5" customHeight="1" thickBot="1" x14ac:dyDescent="0.25">
      <c r="B84" s="13"/>
      <c r="C84" s="15"/>
      <c r="D84" s="74" t="s">
        <v>10</v>
      </c>
      <c r="E84" s="91" t="s">
        <v>48</v>
      </c>
      <c r="F84" s="95" t="s">
        <v>41</v>
      </c>
      <c r="G84" s="31">
        <v>14</v>
      </c>
      <c r="H84" s="10">
        <v>20</v>
      </c>
      <c r="I84" s="10">
        <v>25</v>
      </c>
      <c r="J84" s="23">
        <v>53</v>
      </c>
      <c r="K84" s="10">
        <v>66</v>
      </c>
      <c r="L84" s="10">
        <v>80</v>
      </c>
      <c r="M84" s="10">
        <v>88</v>
      </c>
      <c r="N84" s="10">
        <v>94</v>
      </c>
      <c r="O84" s="10">
        <v>98</v>
      </c>
      <c r="P84" s="23" t="s">
        <v>58</v>
      </c>
      <c r="Q84" s="55" t="s">
        <v>58</v>
      </c>
      <c r="R84" s="55" t="s">
        <v>58</v>
      </c>
    </row>
    <row r="85" spans="2:18" ht="19.5" customHeight="1" x14ac:dyDescent="0.2">
      <c r="B85" s="11">
        <v>7</v>
      </c>
      <c r="C85" s="14">
        <v>1</v>
      </c>
      <c r="D85" s="12" t="s">
        <v>10</v>
      </c>
      <c r="E85" s="89" t="s">
        <v>47</v>
      </c>
      <c r="F85" s="96" t="s">
        <v>43</v>
      </c>
      <c r="G85" s="30">
        <v>12</v>
      </c>
      <c r="H85" s="9">
        <v>16</v>
      </c>
      <c r="I85" s="9">
        <v>28</v>
      </c>
      <c r="J85" s="22">
        <v>59</v>
      </c>
      <c r="K85" s="9">
        <v>64</v>
      </c>
      <c r="L85" s="9">
        <v>71</v>
      </c>
      <c r="M85" s="9">
        <v>75</v>
      </c>
      <c r="N85" s="9">
        <v>78</v>
      </c>
      <c r="O85" s="9">
        <v>86</v>
      </c>
      <c r="P85" s="38">
        <v>93</v>
      </c>
      <c r="Q85" s="54" t="s">
        <v>58</v>
      </c>
      <c r="R85" s="54" t="s">
        <v>58</v>
      </c>
    </row>
    <row r="86" spans="2:18" ht="19.5" customHeight="1" x14ac:dyDescent="0.2">
      <c r="B86" s="56"/>
      <c r="C86" s="57"/>
      <c r="D86" s="58" t="s">
        <v>33</v>
      </c>
      <c r="E86" s="90" t="s">
        <v>47</v>
      </c>
      <c r="F86" s="97" t="s">
        <v>43</v>
      </c>
      <c r="G86" s="86">
        <v>15</v>
      </c>
      <c r="H86" s="49">
        <v>21</v>
      </c>
      <c r="I86" s="49">
        <v>24</v>
      </c>
      <c r="J86" s="82">
        <v>51</v>
      </c>
      <c r="K86" s="49">
        <v>56</v>
      </c>
      <c r="L86" s="49">
        <v>64</v>
      </c>
      <c r="M86" s="49">
        <v>70</v>
      </c>
      <c r="N86" s="49">
        <v>75</v>
      </c>
      <c r="O86" s="49">
        <v>85</v>
      </c>
      <c r="P86" s="87">
        <v>92</v>
      </c>
      <c r="Q86" s="88">
        <v>100</v>
      </c>
      <c r="R86" s="88" t="s">
        <v>58</v>
      </c>
    </row>
    <row r="87" spans="2:18" ht="19.5" customHeight="1" thickBot="1" x14ac:dyDescent="0.25">
      <c r="B87" s="13"/>
      <c r="C87" s="15"/>
      <c r="D87" s="16" t="s">
        <v>11</v>
      </c>
      <c r="E87" s="91" t="s">
        <v>47</v>
      </c>
      <c r="F87" s="98" t="s">
        <v>43</v>
      </c>
      <c r="G87" s="31">
        <v>17</v>
      </c>
      <c r="H87" s="10">
        <v>22</v>
      </c>
      <c r="I87" s="10">
        <v>28</v>
      </c>
      <c r="J87" s="23">
        <v>47</v>
      </c>
      <c r="K87" s="10">
        <v>50</v>
      </c>
      <c r="L87" s="10">
        <v>53</v>
      </c>
      <c r="M87" s="10">
        <v>55</v>
      </c>
      <c r="N87" s="10">
        <v>58</v>
      </c>
      <c r="O87" s="10">
        <v>65</v>
      </c>
      <c r="P87" s="23">
        <v>71</v>
      </c>
      <c r="Q87" s="31">
        <v>76</v>
      </c>
      <c r="R87" s="31">
        <v>78</v>
      </c>
    </row>
    <row r="88" spans="2:18" ht="19.5" customHeight="1" x14ac:dyDescent="0.2">
      <c r="B88" s="11">
        <v>7</v>
      </c>
      <c r="C88" s="14">
        <v>2</v>
      </c>
      <c r="D88" s="12" t="s">
        <v>10</v>
      </c>
      <c r="E88" s="89" t="s">
        <v>46</v>
      </c>
      <c r="F88" s="96" t="s">
        <v>43</v>
      </c>
      <c r="G88" s="30">
        <v>12</v>
      </c>
      <c r="H88" s="9">
        <v>17</v>
      </c>
      <c r="I88" s="9">
        <v>22</v>
      </c>
      <c r="J88" s="22">
        <v>35</v>
      </c>
      <c r="K88" s="9">
        <v>42</v>
      </c>
      <c r="L88" s="9">
        <v>49</v>
      </c>
      <c r="M88" s="9">
        <v>53</v>
      </c>
      <c r="N88" s="9">
        <v>61</v>
      </c>
      <c r="O88" s="9">
        <v>68</v>
      </c>
      <c r="P88" s="22">
        <v>76</v>
      </c>
      <c r="Q88" s="30">
        <v>81</v>
      </c>
      <c r="R88" s="30">
        <v>86</v>
      </c>
    </row>
    <row r="89" spans="2:18" ht="19.5" customHeight="1" x14ac:dyDescent="0.2">
      <c r="B89" s="56"/>
      <c r="C89" s="57"/>
      <c r="D89" s="58" t="s">
        <v>33</v>
      </c>
      <c r="E89" s="90" t="s">
        <v>46</v>
      </c>
      <c r="F89" s="97" t="s">
        <v>43</v>
      </c>
      <c r="G89" s="86">
        <v>13</v>
      </c>
      <c r="H89" s="49">
        <v>23</v>
      </c>
      <c r="I89" s="49">
        <v>26</v>
      </c>
      <c r="J89" s="82">
        <v>53</v>
      </c>
      <c r="K89" s="49">
        <v>61</v>
      </c>
      <c r="L89" s="49">
        <v>72</v>
      </c>
      <c r="M89" s="49">
        <v>79</v>
      </c>
      <c r="N89" s="49">
        <v>86</v>
      </c>
      <c r="O89" s="49">
        <v>90</v>
      </c>
      <c r="P89" s="82">
        <v>98</v>
      </c>
      <c r="Q89" s="88" t="s">
        <v>58</v>
      </c>
      <c r="R89" s="88" t="s">
        <v>58</v>
      </c>
    </row>
    <row r="90" spans="2:18" ht="19.5" customHeight="1" thickBot="1" x14ac:dyDescent="0.25">
      <c r="B90" s="13"/>
      <c r="C90" s="15"/>
      <c r="D90" s="16" t="s">
        <v>11</v>
      </c>
      <c r="E90" s="91" t="s">
        <v>46</v>
      </c>
      <c r="F90" s="98" t="s">
        <v>43</v>
      </c>
      <c r="G90" s="31">
        <v>11</v>
      </c>
      <c r="H90" s="10">
        <v>17</v>
      </c>
      <c r="I90" s="10">
        <v>24</v>
      </c>
      <c r="J90" s="23">
        <v>48</v>
      </c>
      <c r="K90" s="10">
        <v>59</v>
      </c>
      <c r="L90" s="10">
        <v>74</v>
      </c>
      <c r="M90" s="10">
        <v>83</v>
      </c>
      <c r="N90" s="10">
        <v>91</v>
      </c>
      <c r="O90" s="10">
        <v>95</v>
      </c>
      <c r="P90" s="23" t="s">
        <v>58</v>
      </c>
      <c r="Q90" s="55" t="s">
        <v>58</v>
      </c>
      <c r="R90" s="55" t="s">
        <v>58</v>
      </c>
    </row>
    <row r="91" spans="2:18" ht="19.5" customHeight="1" x14ac:dyDescent="0.2">
      <c r="B91" s="11">
        <v>7</v>
      </c>
      <c r="C91" s="14">
        <v>3</v>
      </c>
      <c r="D91" s="12" t="s">
        <v>10</v>
      </c>
      <c r="E91" s="89" t="s">
        <v>42</v>
      </c>
      <c r="F91" s="96" t="s">
        <v>43</v>
      </c>
      <c r="G91" s="30">
        <v>9</v>
      </c>
      <c r="H91" s="9">
        <v>17</v>
      </c>
      <c r="I91" s="9">
        <v>15</v>
      </c>
      <c r="J91" s="22">
        <v>38</v>
      </c>
      <c r="K91" s="9">
        <v>49</v>
      </c>
      <c r="L91" s="9">
        <v>59</v>
      </c>
      <c r="M91" s="9">
        <v>68</v>
      </c>
      <c r="N91" s="9">
        <v>78</v>
      </c>
      <c r="O91" s="9">
        <v>83</v>
      </c>
      <c r="P91" s="22">
        <v>90</v>
      </c>
      <c r="Q91" s="30">
        <v>92</v>
      </c>
      <c r="R91" s="30">
        <v>90</v>
      </c>
    </row>
    <row r="92" spans="2:18" ht="19.5" customHeight="1" x14ac:dyDescent="0.2">
      <c r="B92" s="56"/>
      <c r="C92" s="57"/>
      <c r="D92" s="58" t="s">
        <v>33</v>
      </c>
      <c r="E92" s="90" t="s">
        <v>42</v>
      </c>
      <c r="F92" s="97" t="s">
        <v>43</v>
      </c>
      <c r="G92" s="86">
        <v>14</v>
      </c>
      <c r="H92" s="49">
        <v>23</v>
      </c>
      <c r="I92" s="49">
        <v>28</v>
      </c>
      <c r="J92" s="82">
        <v>62</v>
      </c>
      <c r="K92" s="49">
        <v>70</v>
      </c>
      <c r="L92" s="49">
        <v>80</v>
      </c>
      <c r="M92" s="49">
        <v>87</v>
      </c>
      <c r="N92" s="49">
        <v>95</v>
      </c>
      <c r="O92" s="49">
        <v>101</v>
      </c>
      <c r="P92" s="82" t="s">
        <v>58</v>
      </c>
      <c r="Q92" s="88" t="s">
        <v>58</v>
      </c>
      <c r="R92" s="88" t="s">
        <v>58</v>
      </c>
    </row>
    <row r="93" spans="2:18" ht="19.5" customHeight="1" thickBot="1" x14ac:dyDescent="0.25">
      <c r="B93" s="13"/>
      <c r="C93" s="15"/>
      <c r="D93" s="16" t="s">
        <v>11</v>
      </c>
      <c r="E93" s="91" t="s">
        <v>42</v>
      </c>
      <c r="F93" s="98" t="s">
        <v>43</v>
      </c>
      <c r="G93" s="31">
        <v>12</v>
      </c>
      <c r="H93" s="10">
        <v>19</v>
      </c>
      <c r="I93" s="10">
        <v>24</v>
      </c>
      <c r="J93" s="23">
        <v>41</v>
      </c>
      <c r="K93" s="10">
        <v>50</v>
      </c>
      <c r="L93" s="10">
        <v>61</v>
      </c>
      <c r="M93" s="10">
        <v>67</v>
      </c>
      <c r="N93" s="10">
        <v>76</v>
      </c>
      <c r="O93" s="10">
        <v>82</v>
      </c>
      <c r="P93" s="23">
        <v>89</v>
      </c>
      <c r="Q93" s="31">
        <v>94</v>
      </c>
      <c r="R93" s="31">
        <v>94</v>
      </c>
    </row>
    <row r="94" spans="2:18" ht="19.5" customHeight="1" x14ac:dyDescent="0.2">
      <c r="B94" s="11">
        <v>7</v>
      </c>
      <c r="C94" s="14">
        <v>4</v>
      </c>
      <c r="D94" s="12" t="s">
        <v>10</v>
      </c>
      <c r="E94" s="89" t="s">
        <v>48</v>
      </c>
      <c r="F94" s="96" t="s">
        <v>43</v>
      </c>
      <c r="G94" s="30">
        <v>13</v>
      </c>
      <c r="H94" s="9">
        <v>19</v>
      </c>
      <c r="I94" s="9">
        <v>23</v>
      </c>
      <c r="J94" s="22">
        <v>49</v>
      </c>
      <c r="K94" s="9">
        <v>59</v>
      </c>
      <c r="L94" s="9">
        <v>69</v>
      </c>
      <c r="M94" s="9">
        <v>76</v>
      </c>
      <c r="N94" s="9">
        <v>89</v>
      </c>
      <c r="O94" s="9">
        <v>96</v>
      </c>
      <c r="P94" s="38" t="s">
        <v>58</v>
      </c>
      <c r="Q94" s="54" t="s">
        <v>58</v>
      </c>
      <c r="R94" s="54" t="s">
        <v>58</v>
      </c>
    </row>
    <row r="95" spans="2:18" ht="19.5" customHeight="1" x14ac:dyDescent="0.2">
      <c r="B95" s="56"/>
      <c r="C95" s="57"/>
      <c r="D95" s="58" t="s">
        <v>33</v>
      </c>
      <c r="E95" s="90" t="s">
        <v>48</v>
      </c>
      <c r="F95" s="97" t="s">
        <v>43</v>
      </c>
      <c r="G95" s="86">
        <v>11</v>
      </c>
      <c r="H95" s="49">
        <v>15</v>
      </c>
      <c r="I95" s="49">
        <v>21</v>
      </c>
      <c r="J95" s="82">
        <v>41</v>
      </c>
      <c r="K95" s="49">
        <v>51</v>
      </c>
      <c r="L95" s="49">
        <v>62</v>
      </c>
      <c r="M95" s="49">
        <v>69</v>
      </c>
      <c r="N95" s="49">
        <v>83</v>
      </c>
      <c r="O95" s="49">
        <v>91</v>
      </c>
      <c r="P95" s="82">
        <v>100</v>
      </c>
      <c r="Q95" s="88" t="s">
        <v>58</v>
      </c>
      <c r="R95" s="88" t="s">
        <v>58</v>
      </c>
    </row>
    <row r="96" spans="2:18" ht="19.5" customHeight="1" thickBot="1" x14ac:dyDescent="0.25">
      <c r="B96" s="13"/>
      <c r="C96" s="15"/>
      <c r="D96" s="16" t="s">
        <v>11</v>
      </c>
      <c r="E96" s="91" t="s">
        <v>48</v>
      </c>
      <c r="F96" s="98" t="s">
        <v>43</v>
      </c>
      <c r="G96" s="31">
        <v>12</v>
      </c>
      <c r="H96" s="10">
        <v>19</v>
      </c>
      <c r="I96" s="10">
        <v>24</v>
      </c>
      <c r="J96" s="23">
        <v>50</v>
      </c>
      <c r="K96" s="10">
        <v>57</v>
      </c>
      <c r="L96" s="10">
        <v>64</v>
      </c>
      <c r="M96" s="10">
        <v>70</v>
      </c>
      <c r="N96" s="10">
        <v>80</v>
      </c>
      <c r="O96" s="10">
        <v>86</v>
      </c>
      <c r="P96" s="23">
        <v>90</v>
      </c>
      <c r="Q96" s="31">
        <v>94</v>
      </c>
      <c r="R96" s="31">
        <v>95</v>
      </c>
    </row>
    <row r="97" spans="2:18" ht="19.5" customHeight="1" x14ac:dyDescent="0.2">
      <c r="B97" s="11">
        <v>8</v>
      </c>
      <c r="C97" s="14">
        <v>4</v>
      </c>
      <c r="D97" s="12" t="s">
        <v>11</v>
      </c>
      <c r="E97" s="89" t="s">
        <v>48</v>
      </c>
      <c r="F97" s="93" t="s">
        <v>41</v>
      </c>
      <c r="G97" s="30">
        <v>8</v>
      </c>
      <c r="H97" s="9">
        <v>14</v>
      </c>
      <c r="I97" s="9">
        <v>17</v>
      </c>
      <c r="J97" s="22">
        <v>37</v>
      </c>
      <c r="K97" s="9">
        <v>53</v>
      </c>
      <c r="L97" s="9">
        <v>69</v>
      </c>
      <c r="M97" s="9">
        <v>80</v>
      </c>
      <c r="N97" s="9">
        <v>85</v>
      </c>
      <c r="O97" s="9">
        <v>89</v>
      </c>
      <c r="P97" s="22">
        <v>93</v>
      </c>
      <c r="Q97" s="30">
        <v>96</v>
      </c>
      <c r="R97" s="30">
        <v>96</v>
      </c>
    </row>
    <row r="98" spans="2:18" ht="19.5" customHeight="1" x14ac:dyDescent="0.2">
      <c r="B98" s="56"/>
      <c r="C98" s="57"/>
      <c r="D98" s="58" t="s">
        <v>33</v>
      </c>
      <c r="E98" s="90" t="s">
        <v>48</v>
      </c>
      <c r="F98" s="94" t="s">
        <v>41</v>
      </c>
      <c r="G98" s="86">
        <v>7</v>
      </c>
      <c r="H98" s="49">
        <v>13</v>
      </c>
      <c r="I98" s="49">
        <v>13</v>
      </c>
      <c r="J98" s="82">
        <v>28</v>
      </c>
      <c r="K98" s="49">
        <v>39</v>
      </c>
      <c r="L98" s="49">
        <v>50</v>
      </c>
      <c r="M98" s="49">
        <v>57</v>
      </c>
      <c r="N98" s="49">
        <v>63</v>
      </c>
      <c r="O98" s="49">
        <v>70</v>
      </c>
      <c r="P98" s="82">
        <v>75</v>
      </c>
      <c r="Q98" s="86">
        <v>79</v>
      </c>
      <c r="R98" s="86">
        <v>81</v>
      </c>
    </row>
    <row r="99" spans="2:18" ht="19.5" customHeight="1" thickBot="1" x14ac:dyDescent="0.25">
      <c r="B99" s="13"/>
      <c r="C99" s="15"/>
      <c r="D99" s="16" t="s">
        <v>10</v>
      </c>
      <c r="E99" s="91" t="s">
        <v>48</v>
      </c>
      <c r="F99" s="95" t="s">
        <v>41</v>
      </c>
      <c r="G99" s="31">
        <v>6</v>
      </c>
      <c r="H99" s="10">
        <v>13</v>
      </c>
      <c r="I99" s="10">
        <v>17</v>
      </c>
      <c r="J99" s="23">
        <v>38</v>
      </c>
      <c r="K99" s="10">
        <v>52</v>
      </c>
      <c r="L99" s="10">
        <v>66</v>
      </c>
      <c r="M99" s="10">
        <v>76</v>
      </c>
      <c r="N99" s="10">
        <v>80</v>
      </c>
      <c r="O99" s="10">
        <v>85</v>
      </c>
      <c r="P99" s="23">
        <v>91</v>
      </c>
      <c r="Q99" s="31">
        <v>93</v>
      </c>
      <c r="R99" s="31">
        <v>94</v>
      </c>
    </row>
    <row r="100" spans="2:18" ht="19.5" customHeight="1" x14ac:dyDescent="0.2">
      <c r="B100" s="11">
        <v>8</v>
      </c>
      <c r="C100" s="14">
        <v>3</v>
      </c>
      <c r="D100" s="12" t="s">
        <v>11</v>
      </c>
      <c r="E100" s="89" t="s">
        <v>42</v>
      </c>
      <c r="F100" s="93" t="s">
        <v>41</v>
      </c>
      <c r="G100" s="30">
        <v>7</v>
      </c>
      <c r="H100" s="9">
        <v>13</v>
      </c>
      <c r="I100" s="9">
        <v>19</v>
      </c>
      <c r="J100" s="22">
        <v>37</v>
      </c>
      <c r="K100" s="9">
        <v>50</v>
      </c>
      <c r="L100" s="9">
        <v>64</v>
      </c>
      <c r="M100" s="9">
        <v>72</v>
      </c>
      <c r="N100" s="9">
        <v>88</v>
      </c>
      <c r="O100" s="9">
        <v>93</v>
      </c>
      <c r="P100" s="22">
        <v>97</v>
      </c>
      <c r="Q100" s="30">
        <v>99</v>
      </c>
      <c r="R100" s="54" t="s">
        <v>58</v>
      </c>
    </row>
    <row r="101" spans="2:18" ht="19.5" customHeight="1" x14ac:dyDescent="0.2">
      <c r="B101" s="56"/>
      <c r="C101" s="57"/>
      <c r="D101" s="58" t="s">
        <v>33</v>
      </c>
      <c r="E101" s="90" t="s">
        <v>42</v>
      </c>
      <c r="F101" s="94" t="s">
        <v>41</v>
      </c>
      <c r="G101" s="86">
        <v>10</v>
      </c>
      <c r="H101" s="49">
        <v>17</v>
      </c>
      <c r="I101" s="49">
        <v>20</v>
      </c>
      <c r="J101" s="82">
        <v>41</v>
      </c>
      <c r="K101" s="49">
        <v>52</v>
      </c>
      <c r="L101" s="49">
        <v>65</v>
      </c>
      <c r="M101" s="49">
        <v>72</v>
      </c>
      <c r="N101" s="49">
        <v>88</v>
      </c>
      <c r="O101" s="49">
        <v>94</v>
      </c>
      <c r="P101" s="82">
        <v>98</v>
      </c>
      <c r="Q101" s="88" t="s">
        <v>58</v>
      </c>
      <c r="R101" s="88" t="s">
        <v>58</v>
      </c>
    </row>
    <row r="102" spans="2:18" ht="19.5" customHeight="1" thickBot="1" x14ac:dyDescent="0.25">
      <c r="B102" s="13"/>
      <c r="C102" s="15"/>
      <c r="D102" s="16" t="s">
        <v>10</v>
      </c>
      <c r="E102" s="91" t="s">
        <v>42</v>
      </c>
      <c r="F102" s="95" t="s">
        <v>41</v>
      </c>
      <c r="G102" s="31">
        <v>6</v>
      </c>
      <c r="H102" s="10">
        <v>13</v>
      </c>
      <c r="I102" s="10">
        <v>20</v>
      </c>
      <c r="J102" s="23">
        <v>38</v>
      </c>
      <c r="K102" s="10">
        <v>50</v>
      </c>
      <c r="L102" s="10">
        <v>65</v>
      </c>
      <c r="M102" s="10">
        <v>73</v>
      </c>
      <c r="N102" s="10">
        <v>89</v>
      </c>
      <c r="O102" s="10">
        <v>94</v>
      </c>
      <c r="P102" s="23">
        <v>99</v>
      </c>
      <c r="Q102" s="55" t="s">
        <v>58</v>
      </c>
      <c r="R102" s="55" t="s">
        <v>58</v>
      </c>
    </row>
    <row r="103" spans="2:18" ht="19.5" customHeight="1" x14ac:dyDescent="0.2">
      <c r="B103" s="11">
        <v>8</v>
      </c>
      <c r="C103" s="14">
        <v>2</v>
      </c>
      <c r="D103" s="12" t="s">
        <v>11</v>
      </c>
      <c r="E103" s="89" t="s">
        <v>46</v>
      </c>
      <c r="F103" s="93" t="s">
        <v>41</v>
      </c>
      <c r="G103" s="30">
        <v>8</v>
      </c>
      <c r="H103" s="9">
        <v>16</v>
      </c>
      <c r="I103" s="9">
        <v>20</v>
      </c>
      <c r="J103" s="22">
        <v>43</v>
      </c>
      <c r="K103" s="9">
        <v>56</v>
      </c>
      <c r="L103" s="9">
        <v>69</v>
      </c>
      <c r="M103" s="9">
        <v>78</v>
      </c>
      <c r="N103" s="9">
        <v>83</v>
      </c>
      <c r="O103" s="9">
        <v>87</v>
      </c>
      <c r="P103" s="22">
        <v>94</v>
      </c>
      <c r="Q103" s="30">
        <v>86</v>
      </c>
      <c r="R103" s="30">
        <v>88</v>
      </c>
    </row>
    <row r="104" spans="2:18" ht="19.5" customHeight="1" x14ac:dyDescent="0.2">
      <c r="B104" s="56"/>
      <c r="C104" s="57"/>
      <c r="D104" s="58" t="s">
        <v>33</v>
      </c>
      <c r="E104" s="90" t="s">
        <v>46</v>
      </c>
      <c r="F104" s="94" t="s">
        <v>41</v>
      </c>
      <c r="G104" s="86">
        <v>6</v>
      </c>
      <c r="H104" s="49">
        <v>12</v>
      </c>
      <c r="I104" s="49">
        <v>17</v>
      </c>
      <c r="J104" s="82">
        <v>45</v>
      </c>
      <c r="K104" s="49">
        <v>54</v>
      </c>
      <c r="L104" s="49">
        <v>65</v>
      </c>
      <c r="M104" s="49">
        <v>73</v>
      </c>
      <c r="N104" s="49">
        <v>76</v>
      </c>
      <c r="O104" s="49">
        <v>78</v>
      </c>
      <c r="P104" s="82">
        <v>84</v>
      </c>
      <c r="Q104" s="86">
        <v>89</v>
      </c>
      <c r="R104" s="86">
        <v>92</v>
      </c>
    </row>
    <row r="105" spans="2:18" ht="19.5" customHeight="1" thickBot="1" x14ac:dyDescent="0.25">
      <c r="B105" s="13"/>
      <c r="C105" s="15"/>
      <c r="D105" s="16" t="s">
        <v>10</v>
      </c>
      <c r="E105" s="91" t="s">
        <v>46</v>
      </c>
      <c r="F105" s="95" t="s">
        <v>41</v>
      </c>
      <c r="G105" s="31">
        <v>7</v>
      </c>
      <c r="H105" s="10">
        <v>13</v>
      </c>
      <c r="I105" s="10">
        <v>18</v>
      </c>
      <c r="J105" s="23">
        <v>36</v>
      </c>
      <c r="K105" s="10">
        <v>49</v>
      </c>
      <c r="L105" s="10">
        <v>61</v>
      </c>
      <c r="M105" s="10">
        <v>71</v>
      </c>
      <c r="N105" s="10">
        <v>75</v>
      </c>
      <c r="O105" s="10">
        <v>78</v>
      </c>
      <c r="P105" s="23">
        <v>86</v>
      </c>
      <c r="Q105" s="31">
        <v>89</v>
      </c>
      <c r="R105" s="31">
        <v>90</v>
      </c>
    </row>
    <row r="106" spans="2:18" ht="19.5" customHeight="1" x14ac:dyDescent="0.2">
      <c r="B106" s="11">
        <v>8</v>
      </c>
      <c r="C106" s="14">
        <v>1</v>
      </c>
      <c r="D106" s="12" t="s">
        <v>11</v>
      </c>
      <c r="E106" s="89" t="s">
        <v>47</v>
      </c>
      <c r="F106" s="93" t="s">
        <v>41</v>
      </c>
      <c r="G106" s="30">
        <v>7</v>
      </c>
      <c r="H106" s="9">
        <v>13</v>
      </c>
      <c r="I106" s="9">
        <v>15</v>
      </c>
      <c r="J106" s="22">
        <v>34</v>
      </c>
      <c r="K106" s="9">
        <v>46</v>
      </c>
      <c r="L106" s="9">
        <v>59</v>
      </c>
      <c r="M106" s="9">
        <v>68</v>
      </c>
      <c r="N106" s="9">
        <v>80</v>
      </c>
      <c r="O106" s="9">
        <v>84</v>
      </c>
      <c r="P106" s="38">
        <v>89</v>
      </c>
      <c r="Q106" s="54">
        <v>93</v>
      </c>
      <c r="R106" s="54">
        <v>96</v>
      </c>
    </row>
    <row r="107" spans="2:18" ht="19.5" customHeight="1" x14ac:dyDescent="0.2">
      <c r="B107" s="56"/>
      <c r="C107" s="57"/>
      <c r="D107" s="58" t="s">
        <v>33</v>
      </c>
      <c r="E107" s="90" t="s">
        <v>47</v>
      </c>
      <c r="F107" s="94" t="s">
        <v>41</v>
      </c>
      <c r="G107" s="86">
        <v>8</v>
      </c>
      <c r="H107" s="49">
        <v>15</v>
      </c>
      <c r="I107" s="49">
        <v>19</v>
      </c>
      <c r="J107" s="82">
        <v>44</v>
      </c>
      <c r="K107" s="49">
        <v>55</v>
      </c>
      <c r="L107" s="49">
        <v>66</v>
      </c>
      <c r="M107" s="49">
        <v>73</v>
      </c>
      <c r="N107" s="49">
        <v>84</v>
      </c>
      <c r="O107" s="49">
        <v>88</v>
      </c>
      <c r="P107" s="87">
        <v>95</v>
      </c>
      <c r="Q107" s="88">
        <v>100</v>
      </c>
      <c r="R107" s="88" t="s">
        <v>58</v>
      </c>
    </row>
    <row r="108" spans="2:18" ht="19.5" customHeight="1" thickBot="1" x14ac:dyDescent="0.25">
      <c r="B108" s="13"/>
      <c r="C108" s="15"/>
      <c r="D108" s="16" t="s">
        <v>10</v>
      </c>
      <c r="E108" s="91" t="s">
        <v>47</v>
      </c>
      <c r="F108" s="95" t="s">
        <v>41</v>
      </c>
      <c r="G108" s="31">
        <v>10</v>
      </c>
      <c r="H108" s="10">
        <v>16</v>
      </c>
      <c r="I108" s="10">
        <v>21</v>
      </c>
      <c r="J108" s="23">
        <v>41</v>
      </c>
      <c r="K108" s="10">
        <v>54</v>
      </c>
      <c r="L108" s="10">
        <v>67</v>
      </c>
      <c r="M108" s="10">
        <v>77</v>
      </c>
      <c r="N108" s="10">
        <v>87</v>
      </c>
      <c r="O108" s="10">
        <v>93</v>
      </c>
      <c r="P108" s="23">
        <v>99</v>
      </c>
      <c r="Q108" s="55" t="s">
        <v>58</v>
      </c>
      <c r="R108" s="55" t="s">
        <v>58</v>
      </c>
    </row>
    <row r="109" spans="2:18" ht="19.5" customHeight="1" x14ac:dyDescent="0.2">
      <c r="B109" s="11">
        <v>9</v>
      </c>
      <c r="C109" s="14">
        <v>1</v>
      </c>
      <c r="D109" s="12" t="s">
        <v>10</v>
      </c>
      <c r="E109" s="89" t="s">
        <v>45</v>
      </c>
      <c r="F109" s="93" t="s">
        <v>41</v>
      </c>
      <c r="G109" s="30">
        <v>5</v>
      </c>
      <c r="H109" s="9">
        <v>12</v>
      </c>
      <c r="I109" s="9">
        <v>16</v>
      </c>
      <c r="J109" s="22">
        <v>30</v>
      </c>
      <c r="K109" s="9">
        <v>39</v>
      </c>
      <c r="L109" s="9">
        <v>48</v>
      </c>
      <c r="M109" s="9">
        <v>54</v>
      </c>
      <c r="N109" s="9">
        <v>62</v>
      </c>
      <c r="O109" s="9">
        <v>68</v>
      </c>
      <c r="P109" s="38">
        <v>70</v>
      </c>
      <c r="Q109" s="54">
        <v>73</v>
      </c>
      <c r="R109" s="54">
        <v>75</v>
      </c>
    </row>
    <row r="110" spans="2:18" ht="19.5" customHeight="1" x14ac:dyDescent="0.2">
      <c r="B110" s="56"/>
      <c r="C110" s="57"/>
      <c r="D110" s="58" t="s">
        <v>33</v>
      </c>
      <c r="E110" s="90" t="s">
        <v>45</v>
      </c>
      <c r="F110" s="94" t="s">
        <v>41</v>
      </c>
      <c r="G110" s="86">
        <v>5</v>
      </c>
      <c r="H110" s="49">
        <v>12</v>
      </c>
      <c r="I110" s="49">
        <v>21</v>
      </c>
      <c r="J110" s="82">
        <v>42</v>
      </c>
      <c r="K110" s="49">
        <v>51</v>
      </c>
      <c r="L110" s="49">
        <v>62</v>
      </c>
      <c r="M110" s="49">
        <v>68</v>
      </c>
      <c r="N110" s="49">
        <v>74</v>
      </c>
      <c r="O110" s="49">
        <v>79</v>
      </c>
      <c r="P110" s="87">
        <v>82</v>
      </c>
      <c r="Q110" s="88">
        <v>84</v>
      </c>
      <c r="R110" s="88">
        <v>84</v>
      </c>
    </row>
    <row r="111" spans="2:18" ht="19.5" customHeight="1" thickBot="1" x14ac:dyDescent="0.25">
      <c r="B111" s="13"/>
      <c r="C111" s="15"/>
      <c r="D111" s="16" t="s">
        <v>11</v>
      </c>
      <c r="E111" s="91" t="s">
        <v>45</v>
      </c>
      <c r="F111" s="95" t="s">
        <v>41</v>
      </c>
      <c r="G111" s="31">
        <v>3</v>
      </c>
      <c r="H111" s="10">
        <v>11</v>
      </c>
      <c r="I111" s="10">
        <v>15</v>
      </c>
      <c r="J111" s="23">
        <v>34</v>
      </c>
      <c r="K111" s="10">
        <v>49</v>
      </c>
      <c r="L111" s="10">
        <v>66</v>
      </c>
      <c r="M111" s="10">
        <v>75</v>
      </c>
      <c r="N111" s="10">
        <v>80</v>
      </c>
      <c r="O111" s="10">
        <v>85</v>
      </c>
      <c r="P111" s="23">
        <v>89</v>
      </c>
      <c r="Q111" s="31">
        <v>90</v>
      </c>
      <c r="R111" s="31">
        <v>90</v>
      </c>
    </row>
    <row r="112" spans="2:18" ht="19.5" customHeight="1" x14ac:dyDescent="0.2">
      <c r="B112" s="11">
        <v>9</v>
      </c>
      <c r="C112" s="14">
        <v>2</v>
      </c>
      <c r="D112" s="12" t="s">
        <v>10</v>
      </c>
      <c r="E112" s="89" t="s">
        <v>42</v>
      </c>
      <c r="F112" s="93" t="s">
        <v>41</v>
      </c>
      <c r="G112" s="30">
        <v>4</v>
      </c>
      <c r="H112" s="9">
        <v>11</v>
      </c>
      <c r="I112" s="9">
        <v>16</v>
      </c>
      <c r="J112" s="22">
        <v>28</v>
      </c>
      <c r="K112" s="9">
        <v>44</v>
      </c>
      <c r="L112" s="9">
        <v>61</v>
      </c>
      <c r="M112" s="9">
        <v>71</v>
      </c>
      <c r="N112" s="9">
        <v>84</v>
      </c>
      <c r="O112" s="9">
        <v>88</v>
      </c>
      <c r="P112" s="22">
        <v>90</v>
      </c>
      <c r="Q112" s="30">
        <v>92</v>
      </c>
      <c r="R112" s="30">
        <v>91</v>
      </c>
    </row>
    <row r="113" spans="2:18" ht="19.5" customHeight="1" x14ac:dyDescent="0.2">
      <c r="B113" s="56"/>
      <c r="C113" s="57"/>
      <c r="D113" s="58" t="s">
        <v>33</v>
      </c>
      <c r="E113" s="90" t="s">
        <v>42</v>
      </c>
      <c r="F113" s="94" t="s">
        <v>41</v>
      </c>
      <c r="G113" s="86">
        <v>7</v>
      </c>
      <c r="H113" s="49">
        <v>15</v>
      </c>
      <c r="I113" s="49">
        <v>19</v>
      </c>
      <c r="J113" s="82">
        <v>38</v>
      </c>
      <c r="K113" s="49">
        <v>50</v>
      </c>
      <c r="L113" s="49">
        <v>66</v>
      </c>
      <c r="M113" s="49">
        <v>77</v>
      </c>
      <c r="N113" s="49">
        <v>88</v>
      </c>
      <c r="O113" s="49">
        <v>95</v>
      </c>
      <c r="P113" s="82">
        <v>98</v>
      </c>
      <c r="Q113" s="86">
        <v>84</v>
      </c>
      <c r="R113" s="86">
        <v>86</v>
      </c>
    </row>
    <row r="114" spans="2:18" ht="19.5" customHeight="1" thickBot="1" x14ac:dyDescent="0.25">
      <c r="B114" s="13"/>
      <c r="C114" s="15"/>
      <c r="D114" s="16" t="s">
        <v>11</v>
      </c>
      <c r="E114" s="91" t="s">
        <v>42</v>
      </c>
      <c r="F114" s="95" t="s">
        <v>41</v>
      </c>
      <c r="G114" s="31">
        <v>5</v>
      </c>
      <c r="H114" s="10">
        <v>11</v>
      </c>
      <c r="I114" s="10">
        <v>17</v>
      </c>
      <c r="J114" s="23">
        <v>28</v>
      </c>
      <c r="K114" s="10">
        <v>44</v>
      </c>
      <c r="L114" s="10">
        <v>62</v>
      </c>
      <c r="M114" s="10">
        <v>74</v>
      </c>
      <c r="N114" s="10">
        <v>85</v>
      </c>
      <c r="O114" s="10">
        <v>89</v>
      </c>
      <c r="P114" s="23">
        <v>91</v>
      </c>
      <c r="Q114" s="31">
        <v>93</v>
      </c>
      <c r="R114" s="31">
        <v>93</v>
      </c>
    </row>
    <row r="115" spans="2:18" ht="19.5" customHeight="1" x14ac:dyDescent="0.2">
      <c r="B115" s="11">
        <v>9</v>
      </c>
      <c r="C115" s="14">
        <v>3</v>
      </c>
      <c r="D115" s="12" t="s">
        <v>10</v>
      </c>
      <c r="E115" s="89" t="s">
        <v>47</v>
      </c>
      <c r="F115" s="93" t="s">
        <v>41</v>
      </c>
      <c r="G115" s="30">
        <v>9</v>
      </c>
      <c r="H115" s="9">
        <v>14</v>
      </c>
      <c r="I115" s="9">
        <v>22</v>
      </c>
      <c r="J115" s="22">
        <v>46</v>
      </c>
      <c r="K115" s="9">
        <v>60</v>
      </c>
      <c r="L115" s="9">
        <v>77</v>
      </c>
      <c r="M115" s="9">
        <v>88</v>
      </c>
      <c r="N115" s="9">
        <v>97</v>
      </c>
      <c r="O115" s="9" t="s">
        <v>58</v>
      </c>
      <c r="P115" s="38" t="s">
        <v>58</v>
      </c>
      <c r="Q115" s="54" t="s">
        <v>58</v>
      </c>
      <c r="R115" s="54" t="s">
        <v>58</v>
      </c>
    </row>
    <row r="116" spans="2:18" ht="19.5" customHeight="1" x14ac:dyDescent="0.2">
      <c r="B116" s="56"/>
      <c r="C116" s="57"/>
      <c r="D116" s="58" t="s">
        <v>33</v>
      </c>
      <c r="E116" s="90" t="s">
        <v>47</v>
      </c>
      <c r="F116" s="94" t="s">
        <v>41</v>
      </c>
      <c r="G116" s="86">
        <v>8</v>
      </c>
      <c r="H116" s="49">
        <v>11</v>
      </c>
      <c r="I116" s="49">
        <v>16</v>
      </c>
      <c r="J116" s="82">
        <v>28</v>
      </c>
      <c r="K116" s="49">
        <v>34</v>
      </c>
      <c r="L116" s="49">
        <v>41</v>
      </c>
      <c r="M116" s="49">
        <v>45</v>
      </c>
      <c r="N116" s="49">
        <v>53</v>
      </c>
      <c r="O116" s="49">
        <v>57</v>
      </c>
      <c r="P116" s="82">
        <v>61</v>
      </c>
      <c r="Q116" s="86">
        <v>65</v>
      </c>
      <c r="R116" s="86">
        <v>69</v>
      </c>
    </row>
    <row r="117" spans="2:18" ht="19.5" customHeight="1" thickBot="1" x14ac:dyDescent="0.25">
      <c r="B117" s="13"/>
      <c r="C117" s="15"/>
      <c r="D117" s="16" t="s">
        <v>11</v>
      </c>
      <c r="E117" s="91" t="s">
        <v>47</v>
      </c>
      <c r="F117" s="95" t="s">
        <v>41</v>
      </c>
      <c r="G117" s="31">
        <v>7</v>
      </c>
      <c r="H117" s="10">
        <v>11</v>
      </c>
      <c r="I117" s="10">
        <v>15</v>
      </c>
      <c r="J117" s="23">
        <v>35</v>
      </c>
      <c r="K117" s="10">
        <v>40</v>
      </c>
      <c r="L117" s="10">
        <v>42</v>
      </c>
      <c r="M117" s="10">
        <v>49</v>
      </c>
      <c r="N117" s="10">
        <v>55</v>
      </c>
      <c r="O117" s="10">
        <v>58</v>
      </c>
      <c r="P117" s="23">
        <v>60</v>
      </c>
      <c r="Q117" s="31">
        <v>63</v>
      </c>
      <c r="R117" s="31">
        <v>64</v>
      </c>
    </row>
    <row r="118" spans="2:18" ht="19.5" customHeight="1" x14ac:dyDescent="0.2">
      <c r="B118" s="11">
        <v>9</v>
      </c>
      <c r="C118" s="14">
        <v>4</v>
      </c>
      <c r="D118" s="12" t="s">
        <v>10</v>
      </c>
      <c r="E118" s="89" t="s">
        <v>44</v>
      </c>
      <c r="F118" s="93" t="s">
        <v>41</v>
      </c>
      <c r="G118" s="30">
        <v>6</v>
      </c>
      <c r="H118" s="9">
        <v>12</v>
      </c>
      <c r="I118" s="9">
        <v>16</v>
      </c>
      <c r="J118" s="22">
        <v>36</v>
      </c>
      <c r="K118" s="9">
        <v>50</v>
      </c>
      <c r="L118" s="9">
        <v>63</v>
      </c>
      <c r="M118" s="9">
        <v>74</v>
      </c>
      <c r="N118" s="9">
        <v>82</v>
      </c>
      <c r="O118" s="9">
        <v>86</v>
      </c>
      <c r="P118" s="22">
        <v>92</v>
      </c>
      <c r="Q118" s="30">
        <v>95</v>
      </c>
      <c r="R118" s="30">
        <v>97</v>
      </c>
    </row>
    <row r="119" spans="2:18" ht="19.5" customHeight="1" x14ac:dyDescent="0.2">
      <c r="B119" s="56"/>
      <c r="C119" s="57"/>
      <c r="D119" s="58" t="s">
        <v>33</v>
      </c>
      <c r="E119" s="90" t="s">
        <v>44</v>
      </c>
      <c r="F119" s="94" t="s">
        <v>41</v>
      </c>
      <c r="G119" s="86">
        <v>7</v>
      </c>
      <c r="H119" s="49">
        <v>11</v>
      </c>
      <c r="I119" s="49">
        <v>15</v>
      </c>
      <c r="J119" s="82">
        <v>34</v>
      </c>
      <c r="K119" s="49">
        <v>42</v>
      </c>
      <c r="L119" s="49">
        <v>52</v>
      </c>
      <c r="M119" s="49">
        <v>59</v>
      </c>
      <c r="N119" s="49">
        <v>65</v>
      </c>
      <c r="O119" s="49">
        <v>67</v>
      </c>
      <c r="P119" s="82">
        <v>74</v>
      </c>
      <c r="Q119" s="86">
        <v>78</v>
      </c>
      <c r="R119" s="86">
        <v>82</v>
      </c>
    </row>
    <row r="120" spans="2:18" ht="19.5" customHeight="1" thickBot="1" x14ac:dyDescent="0.25">
      <c r="B120" s="13"/>
      <c r="C120" s="15"/>
      <c r="D120" s="16" t="s">
        <v>11</v>
      </c>
      <c r="E120" s="91" t="s">
        <v>44</v>
      </c>
      <c r="F120" s="95" t="s">
        <v>41</v>
      </c>
      <c r="G120" s="31">
        <v>9</v>
      </c>
      <c r="H120" s="10">
        <v>15</v>
      </c>
      <c r="I120" s="10">
        <v>19</v>
      </c>
      <c r="J120" s="23">
        <v>38</v>
      </c>
      <c r="K120" s="10">
        <v>54</v>
      </c>
      <c r="L120" s="10">
        <v>69</v>
      </c>
      <c r="M120" s="10">
        <v>81</v>
      </c>
      <c r="N120" s="10">
        <v>87</v>
      </c>
      <c r="O120" s="10">
        <v>91</v>
      </c>
      <c r="P120" s="23">
        <v>96</v>
      </c>
      <c r="Q120" s="55" t="s">
        <v>58</v>
      </c>
      <c r="R120" s="55" t="s">
        <v>58</v>
      </c>
    </row>
    <row r="121" spans="2:18" ht="19.5" customHeight="1" x14ac:dyDescent="0.2">
      <c r="B121" s="11">
        <v>10</v>
      </c>
      <c r="C121" s="14">
        <v>4</v>
      </c>
      <c r="D121" s="12" t="s">
        <v>11</v>
      </c>
      <c r="E121" s="89" t="s">
        <v>44</v>
      </c>
      <c r="F121" s="96" t="s">
        <v>43</v>
      </c>
      <c r="G121" s="30">
        <v>13</v>
      </c>
      <c r="H121" s="9">
        <v>17</v>
      </c>
      <c r="I121" s="9">
        <v>23</v>
      </c>
      <c r="J121" s="22">
        <v>44</v>
      </c>
      <c r="K121" s="9">
        <v>49</v>
      </c>
      <c r="L121" s="9">
        <v>55</v>
      </c>
      <c r="M121" s="9">
        <v>59</v>
      </c>
      <c r="N121" s="9">
        <v>69</v>
      </c>
      <c r="O121" s="9">
        <v>76</v>
      </c>
      <c r="P121" s="22">
        <v>80</v>
      </c>
      <c r="Q121" s="30">
        <v>82</v>
      </c>
      <c r="R121" s="30">
        <v>83</v>
      </c>
    </row>
    <row r="122" spans="2:18" ht="19.5" customHeight="1" x14ac:dyDescent="0.2">
      <c r="B122" s="56"/>
      <c r="C122" s="57"/>
      <c r="D122" s="58" t="s">
        <v>33</v>
      </c>
      <c r="E122" s="90" t="s">
        <v>44</v>
      </c>
      <c r="F122" s="97" t="s">
        <v>43</v>
      </c>
      <c r="G122" s="86">
        <v>11</v>
      </c>
      <c r="H122" s="49">
        <v>16</v>
      </c>
      <c r="I122" s="49">
        <v>22</v>
      </c>
      <c r="J122" s="82">
        <v>37</v>
      </c>
      <c r="K122" s="49">
        <v>15</v>
      </c>
      <c r="L122" s="49">
        <v>41</v>
      </c>
      <c r="M122" s="49">
        <v>58</v>
      </c>
      <c r="N122" s="49">
        <v>69</v>
      </c>
      <c r="O122" s="49">
        <v>74</v>
      </c>
      <c r="P122" s="82">
        <v>77</v>
      </c>
      <c r="Q122" s="86">
        <v>79</v>
      </c>
      <c r="R122" s="86">
        <v>81</v>
      </c>
    </row>
    <row r="123" spans="2:18" ht="19.5" customHeight="1" thickBot="1" x14ac:dyDescent="0.25">
      <c r="B123" s="13"/>
      <c r="C123" s="15"/>
      <c r="D123" s="16" t="s">
        <v>10</v>
      </c>
      <c r="E123" s="91" t="s">
        <v>44</v>
      </c>
      <c r="F123" s="98" t="s">
        <v>43</v>
      </c>
      <c r="G123" s="31">
        <v>11</v>
      </c>
      <c r="H123" s="10">
        <v>15</v>
      </c>
      <c r="I123" s="10">
        <v>22</v>
      </c>
      <c r="J123" s="23">
        <v>48</v>
      </c>
      <c r="K123" s="10">
        <v>60</v>
      </c>
      <c r="L123" s="10">
        <v>73</v>
      </c>
      <c r="M123" s="10">
        <v>82</v>
      </c>
      <c r="N123" s="10">
        <v>89</v>
      </c>
      <c r="O123" s="10">
        <v>93</v>
      </c>
      <c r="P123" s="23">
        <v>97</v>
      </c>
      <c r="Q123" s="55" t="s">
        <v>58</v>
      </c>
      <c r="R123" s="55" t="s">
        <v>58</v>
      </c>
    </row>
    <row r="124" spans="2:18" ht="19.5" customHeight="1" x14ac:dyDescent="0.2">
      <c r="B124" s="11">
        <v>10</v>
      </c>
      <c r="C124" s="14">
        <v>3</v>
      </c>
      <c r="D124" s="12" t="s">
        <v>11</v>
      </c>
      <c r="E124" s="89" t="s">
        <v>47</v>
      </c>
      <c r="F124" s="96" t="s">
        <v>43</v>
      </c>
      <c r="G124" s="30">
        <v>13</v>
      </c>
      <c r="H124" s="9">
        <v>21</v>
      </c>
      <c r="I124" s="9">
        <v>26</v>
      </c>
      <c r="J124" s="22">
        <v>48</v>
      </c>
      <c r="K124" s="9">
        <v>59</v>
      </c>
      <c r="L124" s="9">
        <v>69</v>
      </c>
      <c r="M124" s="9">
        <v>78</v>
      </c>
      <c r="N124" s="9">
        <v>81</v>
      </c>
      <c r="O124" s="9">
        <v>83</v>
      </c>
      <c r="P124" s="22">
        <v>90</v>
      </c>
      <c r="Q124" s="30">
        <v>96</v>
      </c>
      <c r="R124" s="54" t="s">
        <v>58</v>
      </c>
    </row>
    <row r="125" spans="2:18" ht="19.5" customHeight="1" x14ac:dyDescent="0.2">
      <c r="B125" s="56"/>
      <c r="C125" s="57"/>
      <c r="D125" s="58" t="s">
        <v>33</v>
      </c>
      <c r="E125" s="90" t="s">
        <v>47</v>
      </c>
      <c r="F125" s="97" t="s">
        <v>43</v>
      </c>
      <c r="G125" s="86">
        <v>12</v>
      </c>
      <c r="H125" s="49">
        <v>20</v>
      </c>
      <c r="I125" s="49">
        <v>25</v>
      </c>
      <c r="J125" s="82">
        <v>57</v>
      </c>
      <c r="K125" s="49">
        <v>68</v>
      </c>
      <c r="L125" s="49">
        <v>82</v>
      </c>
      <c r="M125" s="49">
        <v>91</v>
      </c>
      <c r="N125" s="49">
        <v>95</v>
      </c>
      <c r="O125" s="49" t="s">
        <v>58</v>
      </c>
      <c r="P125" s="87" t="s">
        <v>58</v>
      </c>
      <c r="Q125" s="88" t="s">
        <v>58</v>
      </c>
      <c r="R125" s="88" t="s">
        <v>58</v>
      </c>
    </row>
    <row r="126" spans="2:18" ht="19.5" customHeight="1" thickBot="1" x14ac:dyDescent="0.25">
      <c r="B126" s="13"/>
      <c r="C126" s="15"/>
      <c r="D126" s="16" t="s">
        <v>10</v>
      </c>
      <c r="E126" s="91" t="s">
        <v>47</v>
      </c>
      <c r="F126" s="98" t="s">
        <v>43</v>
      </c>
      <c r="G126" s="31">
        <v>12</v>
      </c>
      <c r="H126" s="10">
        <v>21</v>
      </c>
      <c r="I126" s="10">
        <v>25</v>
      </c>
      <c r="J126" s="23">
        <v>53</v>
      </c>
      <c r="K126" s="10">
        <v>62</v>
      </c>
      <c r="L126" s="10">
        <v>86</v>
      </c>
      <c r="M126" s="109" t="s">
        <v>58</v>
      </c>
      <c r="N126" s="109" t="s">
        <v>58</v>
      </c>
      <c r="O126" s="109" t="s">
        <v>58</v>
      </c>
      <c r="P126" s="48" t="s">
        <v>58</v>
      </c>
      <c r="Q126" s="55" t="s">
        <v>58</v>
      </c>
      <c r="R126" s="55" t="s">
        <v>58</v>
      </c>
    </row>
    <row r="127" spans="2:18" ht="19.5" customHeight="1" x14ac:dyDescent="0.2">
      <c r="B127" s="11">
        <v>10</v>
      </c>
      <c r="C127" s="14">
        <v>2</v>
      </c>
      <c r="D127" s="12" t="s">
        <v>11</v>
      </c>
      <c r="E127" s="89" t="s">
        <v>42</v>
      </c>
      <c r="F127" s="96" t="s">
        <v>43</v>
      </c>
      <c r="G127" s="30">
        <v>15</v>
      </c>
      <c r="H127" s="9">
        <v>21</v>
      </c>
      <c r="I127" s="9">
        <v>24</v>
      </c>
      <c r="J127" s="22">
        <v>44</v>
      </c>
      <c r="K127" s="9">
        <v>53</v>
      </c>
      <c r="L127" s="9">
        <v>62</v>
      </c>
      <c r="M127" s="9">
        <v>69</v>
      </c>
      <c r="N127" s="9">
        <v>79</v>
      </c>
      <c r="O127" s="9">
        <v>83</v>
      </c>
      <c r="P127" s="22">
        <v>86</v>
      </c>
      <c r="Q127" s="30">
        <v>86</v>
      </c>
      <c r="R127" s="30">
        <v>85</v>
      </c>
    </row>
    <row r="128" spans="2:18" ht="19.5" customHeight="1" x14ac:dyDescent="0.2">
      <c r="B128" s="56"/>
      <c r="C128" s="57"/>
      <c r="D128" s="58" t="s">
        <v>33</v>
      </c>
      <c r="E128" s="90" t="s">
        <v>42</v>
      </c>
      <c r="F128" s="97" t="s">
        <v>43</v>
      </c>
      <c r="G128" s="86">
        <v>16</v>
      </c>
      <c r="H128" s="49">
        <v>22</v>
      </c>
      <c r="I128" s="49">
        <v>30</v>
      </c>
      <c r="J128" s="82">
        <v>56</v>
      </c>
      <c r="K128" s="49">
        <v>71</v>
      </c>
      <c r="L128" s="49">
        <v>85</v>
      </c>
      <c r="M128" s="49">
        <v>96</v>
      </c>
      <c r="N128" s="49" t="s">
        <v>58</v>
      </c>
      <c r="O128" s="111" t="s">
        <v>58</v>
      </c>
      <c r="P128" s="87" t="s">
        <v>58</v>
      </c>
      <c r="Q128" s="88" t="s">
        <v>58</v>
      </c>
      <c r="R128" s="88" t="s">
        <v>58</v>
      </c>
    </row>
    <row r="129" spans="2:18" ht="19.5" customHeight="1" thickBot="1" x14ac:dyDescent="0.25">
      <c r="B129" s="13"/>
      <c r="C129" s="15"/>
      <c r="D129" s="16" t="s">
        <v>10</v>
      </c>
      <c r="E129" s="91" t="s">
        <v>42</v>
      </c>
      <c r="F129" s="98" t="s">
        <v>43</v>
      </c>
      <c r="G129" s="31">
        <v>17</v>
      </c>
      <c r="H129" s="10">
        <v>27</v>
      </c>
      <c r="I129" s="10">
        <v>29</v>
      </c>
      <c r="J129" s="23">
        <v>52</v>
      </c>
      <c r="K129" s="10">
        <v>66</v>
      </c>
      <c r="L129" s="10">
        <v>80</v>
      </c>
      <c r="M129" s="10">
        <v>90</v>
      </c>
      <c r="N129" s="10">
        <v>99</v>
      </c>
      <c r="O129" s="10" t="s">
        <v>58</v>
      </c>
      <c r="P129" s="48" t="s">
        <v>58</v>
      </c>
      <c r="Q129" s="55" t="s">
        <v>58</v>
      </c>
      <c r="R129" s="55" t="s">
        <v>58</v>
      </c>
    </row>
    <row r="130" spans="2:18" ht="19.5" customHeight="1" x14ac:dyDescent="0.2">
      <c r="B130" s="11">
        <v>10</v>
      </c>
      <c r="C130" s="14">
        <v>1</v>
      </c>
      <c r="D130" s="12" t="s">
        <v>11</v>
      </c>
      <c r="E130" s="89" t="s">
        <v>45</v>
      </c>
      <c r="F130" s="96" t="s">
        <v>43</v>
      </c>
      <c r="G130" s="30">
        <v>12</v>
      </c>
      <c r="H130" s="9">
        <v>19</v>
      </c>
      <c r="I130" s="9">
        <v>18</v>
      </c>
      <c r="J130" s="22">
        <v>43</v>
      </c>
      <c r="K130" s="9">
        <v>50</v>
      </c>
      <c r="L130" s="9">
        <v>56</v>
      </c>
      <c r="M130" s="9">
        <v>61</v>
      </c>
      <c r="N130" s="9">
        <v>70</v>
      </c>
      <c r="O130" s="9">
        <v>74</v>
      </c>
      <c r="P130" s="22">
        <v>79</v>
      </c>
      <c r="Q130" s="30">
        <v>81</v>
      </c>
      <c r="R130" s="30">
        <v>81</v>
      </c>
    </row>
    <row r="131" spans="2:18" ht="19.5" customHeight="1" x14ac:dyDescent="0.2">
      <c r="B131" s="56"/>
      <c r="C131" s="57"/>
      <c r="D131" s="58" t="s">
        <v>33</v>
      </c>
      <c r="E131" s="90" t="s">
        <v>45</v>
      </c>
      <c r="F131" s="97" t="s">
        <v>43</v>
      </c>
      <c r="G131" s="86">
        <v>17</v>
      </c>
      <c r="H131" s="49">
        <v>25</v>
      </c>
      <c r="I131" s="49">
        <v>30</v>
      </c>
      <c r="J131" s="82">
        <v>61</v>
      </c>
      <c r="K131" s="49">
        <v>74</v>
      </c>
      <c r="L131" s="49">
        <v>88</v>
      </c>
      <c r="M131" s="49">
        <v>97</v>
      </c>
      <c r="N131" s="49" t="s">
        <v>58</v>
      </c>
      <c r="O131" s="111" t="s">
        <v>58</v>
      </c>
      <c r="P131" s="87" t="s">
        <v>58</v>
      </c>
      <c r="Q131" s="88" t="s">
        <v>58</v>
      </c>
      <c r="R131" s="88" t="s">
        <v>58</v>
      </c>
    </row>
    <row r="132" spans="2:18" ht="19.5" customHeight="1" thickBot="1" x14ac:dyDescent="0.25">
      <c r="B132" s="13"/>
      <c r="C132" s="15"/>
      <c r="D132" s="16" t="s">
        <v>10</v>
      </c>
      <c r="E132" s="91" t="s">
        <v>45</v>
      </c>
      <c r="F132" s="98" t="s">
        <v>43</v>
      </c>
      <c r="G132" s="31">
        <v>17</v>
      </c>
      <c r="H132" s="10">
        <v>25</v>
      </c>
      <c r="I132" s="10">
        <v>30</v>
      </c>
      <c r="J132" s="23">
        <v>57</v>
      </c>
      <c r="K132" s="10">
        <v>65</v>
      </c>
      <c r="L132" s="10">
        <v>73</v>
      </c>
      <c r="M132" s="10">
        <v>79</v>
      </c>
      <c r="N132" s="10">
        <v>88</v>
      </c>
      <c r="O132" s="10">
        <v>90</v>
      </c>
      <c r="P132" s="23">
        <v>94</v>
      </c>
      <c r="Q132" s="31">
        <v>97</v>
      </c>
      <c r="R132" s="55" t="s">
        <v>58</v>
      </c>
    </row>
    <row r="133" spans="2:18" ht="19.5" customHeight="1" x14ac:dyDescent="0.2">
      <c r="B133" s="11">
        <v>11</v>
      </c>
      <c r="C133" s="14">
        <v>1</v>
      </c>
      <c r="D133" s="12" t="s">
        <v>10</v>
      </c>
      <c r="E133" s="89" t="s">
        <v>44</v>
      </c>
      <c r="F133" s="96" t="s">
        <v>43</v>
      </c>
      <c r="G133" s="30">
        <v>17</v>
      </c>
      <c r="H133" s="9">
        <v>25</v>
      </c>
      <c r="I133" s="9">
        <v>31</v>
      </c>
      <c r="J133" s="22">
        <v>58</v>
      </c>
      <c r="K133" s="9">
        <v>68</v>
      </c>
      <c r="L133" s="9">
        <v>75</v>
      </c>
      <c r="M133" s="9">
        <v>82</v>
      </c>
      <c r="N133" s="9">
        <v>88</v>
      </c>
      <c r="O133" s="9">
        <v>93</v>
      </c>
      <c r="P133" s="22">
        <v>94</v>
      </c>
      <c r="Q133" s="30">
        <v>95</v>
      </c>
      <c r="R133" s="30">
        <v>96</v>
      </c>
    </row>
    <row r="134" spans="2:18" ht="19.5" customHeight="1" x14ac:dyDescent="0.2">
      <c r="B134" s="56"/>
      <c r="C134" s="57"/>
      <c r="D134" s="58" t="s">
        <v>33</v>
      </c>
      <c r="E134" s="90" t="s">
        <v>44</v>
      </c>
      <c r="F134" s="97" t="s">
        <v>43</v>
      </c>
      <c r="G134" s="86">
        <v>16</v>
      </c>
      <c r="H134" s="49">
        <v>24</v>
      </c>
      <c r="I134" s="49">
        <v>33</v>
      </c>
      <c r="J134" s="82">
        <v>58</v>
      </c>
      <c r="K134" s="49">
        <v>67</v>
      </c>
      <c r="L134" s="49">
        <v>75</v>
      </c>
      <c r="M134" s="49">
        <v>82</v>
      </c>
      <c r="N134" s="49">
        <v>88</v>
      </c>
      <c r="O134" s="49">
        <v>93</v>
      </c>
      <c r="P134" s="82">
        <v>96</v>
      </c>
      <c r="Q134" s="86">
        <v>98</v>
      </c>
      <c r="R134" s="88" t="s">
        <v>58</v>
      </c>
    </row>
    <row r="135" spans="2:18" ht="19.5" customHeight="1" thickBot="1" x14ac:dyDescent="0.25">
      <c r="B135" s="13"/>
      <c r="C135" s="15"/>
      <c r="D135" s="16" t="s">
        <v>11</v>
      </c>
      <c r="E135" s="91" t="s">
        <v>44</v>
      </c>
      <c r="F135" s="98" t="s">
        <v>43</v>
      </c>
      <c r="G135" s="31">
        <v>15</v>
      </c>
      <c r="H135" s="10">
        <v>24</v>
      </c>
      <c r="I135" s="10">
        <v>29</v>
      </c>
      <c r="J135" s="23">
        <v>57</v>
      </c>
      <c r="K135" s="10">
        <v>64</v>
      </c>
      <c r="L135" s="10">
        <v>71</v>
      </c>
      <c r="M135" s="10">
        <v>75</v>
      </c>
      <c r="N135" s="10">
        <v>83</v>
      </c>
      <c r="O135" s="10">
        <v>89</v>
      </c>
      <c r="P135" s="23">
        <v>91</v>
      </c>
      <c r="Q135" s="31">
        <v>93</v>
      </c>
      <c r="R135" s="31">
        <v>93</v>
      </c>
    </row>
    <row r="136" spans="2:18" ht="19.5" customHeight="1" x14ac:dyDescent="0.2">
      <c r="B136" s="11">
        <v>11</v>
      </c>
      <c r="C136" s="14">
        <v>2</v>
      </c>
      <c r="D136" s="12" t="s">
        <v>10</v>
      </c>
      <c r="E136" s="89" t="s">
        <v>48</v>
      </c>
      <c r="F136" s="96" t="s">
        <v>43</v>
      </c>
      <c r="G136" s="30">
        <v>13</v>
      </c>
      <c r="H136" s="9">
        <v>21</v>
      </c>
      <c r="I136" s="9">
        <v>30</v>
      </c>
      <c r="J136" s="22">
        <v>57</v>
      </c>
      <c r="K136" s="9">
        <v>69</v>
      </c>
      <c r="L136" s="9">
        <v>82</v>
      </c>
      <c r="M136" s="9">
        <v>90</v>
      </c>
      <c r="N136" s="9">
        <v>99</v>
      </c>
      <c r="O136" s="9" t="s">
        <v>58</v>
      </c>
      <c r="P136" s="38" t="s">
        <v>58</v>
      </c>
      <c r="Q136" s="54" t="s">
        <v>58</v>
      </c>
      <c r="R136" s="54" t="s">
        <v>58</v>
      </c>
    </row>
    <row r="137" spans="2:18" ht="19.5" customHeight="1" x14ac:dyDescent="0.2">
      <c r="B137" s="56"/>
      <c r="C137" s="57"/>
      <c r="D137" s="58" t="s">
        <v>33</v>
      </c>
      <c r="E137" s="90" t="s">
        <v>48</v>
      </c>
      <c r="F137" s="97" t="s">
        <v>43</v>
      </c>
      <c r="G137" s="86">
        <v>13</v>
      </c>
      <c r="H137" s="49">
        <v>22</v>
      </c>
      <c r="I137" s="49">
        <v>27</v>
      </c>
      <c r="J137" s="82">
        <v>59</v>
      </c>
      <c r="K137" s="49">
        <v>74</v>
      </c>
      <c r="L137" s="49">
        <v>88</v>
      </c>
      <c r="M137" s="111" t="s">
        <v>58</v>
      </c>
      <c r="N137" s="111" t="s">
        <v>58</v>
      </c>
      <c r="O137" s="111" t="s">
        <v>58</v>
      </c>
      <c r="P137" s="87" t="s">
        <v>58</v>
      </c>
      <c r="Q137" s="88" t="s">
        <v>58</v>
      </c>
      <c r="R137" s="88" t="s">
        <v>58</v>
      </c>
    </row>
    <row r="138" spans="2:18" ht="19.5" customHeight="1" thickBot="1" x14ac:dyDescent="0.25">
      <c r="B138" s="56"/>
      <c r="C138" s="57"/>
      <c r="D138" s="16" t="s">
        <v>11</v>
      </c>
      <c r="E138" s="91" t="s">
        <v>48</v>
      </c>
      <c r="F138" s="98" t="s">
        <v>43</v>
      </c>
      <c r="G138" s="31">
        <v>16</v>
      </c>
      <c r="H138" s="10">
        <v>24</v>
      </c>
      <c r="I138" s="10">
        <v>32</v>
      </c>
      <c r="J138" s="23">
        <v>65</v>
      </c>
      <c r="K138" s="10">
        <v>80</v>
      </c>
      <c r="L138" s="10">
        <v>93</v>
      </c>
      <c r="M138" s="109" t="s">
        <v>58</v>
      </c>
      <c r="N138" s="109" t="s">
        <v>58</v>
      </c>
      <c r="O138" s="109" t="s">
        <v>58</v>
      </c>
      <c r="P138" s="48" t="s">
        <v>58</v>
      </c>
      <c r="Q138" s="55" t="s">
        <v>58</v>
      </c>
      <c r="R138" s="55" t="s">
        <v>58</v>
      </c>
    </row>
    <row r="139" spans="2:18" ht="19.5" customHeight="1" x14ac:dyDescent="0.2">
      <c r="B139" s="11">
        <v>11</v>
      </c>
      <c r="C139" s="14">
        <v>3</v>
      </c>
      <c r="D139" s="12" t="s">
        <v>10</v>
      </c>
      <c r="E139" s="89" t="s">
        <v>46</v>
      </c>
      <c r="F139" s="96" t="s">
        <v>43</v>
      </c>
      <c r="G139" s="30">
        <v>15</v>
      </c>
      <c r="H139" s="9">
        <v>23</v>
      </c>
      <c r="I139" s="9">
        <v>27</v>
      </c>
      <c r="J139" s="22">
        <v>62</v>
      </c>
      <c r="K139" s="9">
        <v>72</v>
      </c>
      <c r="L139" s="9">
        <v>83</v>
      </c>
      <c r="M139" s="9">
        <v>90</v>
      </c>
      <c r="N139" s="9">
        <v>100</v>
      </c>
      <c r="O139" s="9" t="s">
        <v>58</v>
      </c>
      <c r="P139" s="38" t="s">
        <v>58</v>
      </c>
      <c r="Q139" s="54" t="s">
        <v>58</v>
      </c>
      <c r="R139" s="54" t="s">
        <v>58</v>
      </c>
    </row>
    <row r="140" spans="2:18" ht="19.5" customHeight="1" x14ac:dyDescent="0.2">
      <c r="B140" s="56"/>
      <c r="C140" s="57"/>
      <c r="D140" s="58" t="s">
        <v>33</v>
      </c>
      <c r="E140" s="90" t="s">
        <v>46</v>
      </c>
      <c r="F140" s="97" t="s">
        <v>43</v>
      </c>
      <c r="G140" s="86">
        <v>14</v>
      </c>
      <c r="H140" s="49">
        <v>21</v>
      </c>
      <c r="I140" s="49">
        <v>27</v>
      </c>
      <c r="J140" s="82">
        <v>58</v>
      </c>
      <c r="K140" s="49">
        <v>68</v>
      </c>
      <c r="L140" s="49">
        <v>78</v>
      </c>
      <c r="M140" s="49">
        <v>87</v>
      </c>
      <c r="N140" s="49">
        <v>90</v>
      </c>
      <c r="O140" s="49">
        <v>96</v>
      </c>
      <c r="P140" s="87" t="s">
        <v>58</v>
      </c>
      <c r="Q140" s="88" t="s">
        <v>58</v>
      </c>
      <c r="R140" s="88" t="s">
        <v>58</v>
      </c>
    </row>
    <row r="141" spans="2:18" ht="19.5" customHeight="1" thickBot="1" x14ac:dyDescent="0.25">
      <c r="B141" s="13"/>
      <c r="C141" s="15"/>
      <c r="D141" s="16" t="s">
        <v>11</v>
      </c>
      <c r="E141" s="91" t="s">
        <v>46</v>
      </c>
      <c r="F141" s="98" t="s">
        <v>43</v>
      </c>
      <c r="G141" s="31">
        <v>14</v>
      </c>
      <c r="H141" s="10">
        <v>20</v>
      </c>
      <c r="I141" s="10">
        <v>23</v>
      </c>
      <c r="J141" s="23">
        <v>48</v>
      </c>
      <c r="K141" s="10">
        <v>55</v>
      </c>
      <c r="L141" s="10">
        <v>65</v>
      </c>
      <c r="M141" s="10">
        <v>71</v>
      </c>
      <c r="N141" s="10">
        <v>77</v>
      </c>
      <c r="O141" s="10">
        <v>83</v>
      </c>
      <c r="P141" s="48">
        <v>86</v>
      </c>
      <c r="Q141" s="55">
        <v>88</v>
      </c>
      <c r="R141" s="55">
        <v>89</v>
      </c>
    </row>
    <row r="142" spans="2:18" ht="19.5" customHeight="1" x14ac:dyDescent="0.2">
      <c r="B142" s="11">
        <v>11</v>
      </c>
      <c r="C142" s="14">
        <v>4</v>
      </c>
      <c r="D142" s="12" t="s">
        <v>10</v>
      </c>
      <c r="E142" s="89" t="s">
        <v>45</v>
      </c>
      <c r="F142" s="96" t="s">
        <v>43</v>
      </c>
      <c r="G142" s="30">
        <v>13</v>
      </c>
      <c r="H142" s="9">
        <v>22</v>
      </c>
      <c r="I142" s="9">
        <v>23</v>
      </c>
      <c r="J142" s="22">
        <v>52</v>
      </c>
      <c r="K142" s="9">
        <v>57</v>
      </c>
      <c r="L142" s="9">
        <v>63</v>
      </c>
      <c r="M142" s="9">
        <v>67</v>
      </c>
      <c r="N142" s="9">
        <v>78</v>
      </c>
      <c r="O142" s="9">
        <v>83</v>
      </c>
      <c r="P142" s="22">
        <v>86</v>
      </c>
      <c r="Q142" s="30">
        <v>90</v>
      </c>
      <c r="R142" s="30">
        <v>92</v>
      </c>
    </row>
    <row r="143" spans="2:18" ht="19.5" customHeight="1" x14ac:dyDescent="0.2">
      <c r="B143" s="56"/>
      <c r="C143" s="57"/>
      <c r="D143" s="58" t="s">
        <v>33</v>
      </c>
      <c r="E143" s="90" t="s">
        <v>45</v>
      </c>
      <c r="F143" s="97" t="s">
        <v>43</v>
      </c>
      <c r="G143" s="86">
        <v>12</v>
      </c>
      <c r="H143" s="49">
        <v>20</v>
      </c>
      <c r="I143" s="49">
        <v>23</v>
      </c>
      <c r="J143" s="82">
        <v>48</v>
      </c>
      <c r="K143" s="49">
        <v>62</v>
      </c>
      <c r="L143" s="49">
        <v>75</v>
      </c>
      <c r="M143" s="49">
        <v>83</v>
      </c>
      <c r="N143" s="49">
        <v>89</v>
      </c>
      <c r="O143" s="49">
        <v>93</v>
      </c>
      <c r="P143" s="82">
        <v>95</v>
      </c>
      <c r="Q143" s="86">
        <v>99</v>
      </c>
      <c r="R143" s="88" t="s">
        <v>58</v>
      </c>
    </row>
    <row r="144" spans="2:18" ht="19.5" customHeight="1" thickBot="1" x14ac:dyDescent="0.25">
      <c r="B144" s="13"/>
      <c r="C144" s="15"/>
      <c r="D144" s="16" t="s">
        <v>11</v>
      </c>
      <c r="E144" s="91" t="s">
        <v>45</v>
      </c>
      <c r="F144" s="98" t="s">
        <v>43</v>
      </c>
      <c r="G144" s="31">
        <v>10</v>
      </c>
      <c r="H144" s="10">
        <v>19</v>
      </c>
      <c r="I144" s="10">
        <v>21</v>
      </c>
      <c r="J144" s="23">
        <v>41</v>
      </c>
      <c r="K144" s="10">
        <v>43</v>
      </c>
      <c r="L144" s="10">
        <v>44</v>
      </c>
      <c r="M144" s="10">
        <v>45</v>
      </c>
      <c r="N144" s="10">
        <v>50</v>
      </c>
      <c r="O144" s="10">
        <v>54</v>
      </c>
      <c r="P144" s="23">
        <v>57</v>
      </c>
      <c r="Q144" s="31">
        <v>60</v>
      </c>
      <c r="R144" s="31">
        <v>62</v>
      </c>
    </row>
    <row r="145" spans="2:18 2185:2185" ht="19.5" customHeight="1" x14ac:dyDescent="0.2">
      <c r="B145" s="11">
        <v>12</v>
      </c>
      <c r="C145" s="14">
        <v>4</v>
      </c>
      <c r="D145" s="12" t="s">
        <v>11</v>
      </c>
      <c r="E145" s="89" t="s">
        <v>45</v>
      </c>
      <c r="F145" s="93" t="s">
        <v>41</v>
      </c>
      <c r="G145" s="30">
        <v>7</v>
      </c>
      <c r="H145" s="9">
        <v>13</v>
      </c>
      <c r="I145" s="9">
        <v>16</v>
      </c>
      <c r="J145" s="22">
        <v>34</v>
      </c>
      <c r="K145" s="9">
        <v>43</v>
      </c>
      <c r="L145" s="9">
        <v>53</v>
      </c>
      <c r="M145" s="9">
        <v>61</v>
      </c>
      <c r="N145" s="9">
        <v>66</v>
      </c>
      <c r="O145" s="9">
        <v>76</v>
      </c>
      <c r="P145" s="22">
        <v>81</v>
      </c>
      <c r="Q145" s="30">
        <v>82</v>
      </c>
      <c r="R145" s="30">
        <v>83</v>
      </c>
    </row>
    <row r="146" spans="2:18 2185:2185" ht="19.5" customHeight="1" x14ac:dyDescent="0.2">
      <c r="B146" s="56"/>
      <c r="C146" s="57"/>
      <c r="D146" s="58" t="s">
        <v>33</v>
      </c>
      <c r="E146" s="90" t="s">
        <v>45</v>
      </c>
      <c r="F146" s="94" t="s">
        <v>41</v>
      </c>
      <c r="G146" s="86">
        <v>5</v>
      </c>
      <c r="H146" s="49">
        <v>11</v>
      </c>
      <c r="I146" s="49">
        <v>13</v>
      </c>
      <c r="J146" s="82">
        <v>34</v>
      </c>
      <c r="K146" s="49">
        <v>40</v>
      </c>
      <c r="L146" s="49">
        <v>48</v>
      </c>
      <c r="M146" s="49">
        <v>52</v>
      </c>
      <c r="N146" s="49">
        <v>60</v>
      </c>
      <c r="O146" s="49">
        <v>69</v>
      </c>
      <c r="P146" s="82">
        <v>71</v>
      </c>
      <c r="Q146" s="86">
        <v>74</v>
      </c>
      <c r="R146" s="86">
        <v>74</v>
      </c>
    </row>
    <row r="147" spans="2:18 2185:2185" ht="19.5" customHeight="1" thickBot="1" x14ac:dyDescent="0.25">
      <c r="B147" s="13"/>
      <c r="C147" s="15"/>
      <c r="D147" s="16" t="s">
        <v>10</v>
      </c>
      <c r="E147" s="91" t="s">
        <v>45</v>
      </c>
      <c r="F147" s="95" t="s">
        <v>41</v>
      </c>
      <c r="G147" s="31">
        <v>4</v>
      </c>
      <c r="H147" s="10">
        <v>11</v>
      </c>
      <c r="I147" s="10">
        <v>15</v>
      </c>
      <c r="J147" s="23">
        <v>35</v>
      </c>
      <c r="K147" s="10">
        <v>46</v>
      </c>
      <c r="L147" s="10">
        <v>59</v>
      </c>
      <c r="M147" s="10">
        <v>67</v>
      </c>
      <c r="N147" s="10">
        <v>71</v>
      </c>
      <c r="O147" s="10">
        <v>79</v>
      </c>
      <c r="P147" s="23">
        <v>83</v>
      </c>
      <c r="Q147" s="31">
        <v>85</v>
      </c>
      <c r="R147" s="31">
        <v>87</v>
      </c>
    </row>
    <row r="148" spans="2:18 2185:2185" ht="19.5" customHeight="1" x14ac:dyDescent="0.2">
      <c r="B148" s="11">
        <v>12</v>
      </c>
      <c r="C148" s="14">
        <v>3</v>
      </c>
      <c r="D148" s="12" t="s">
        <v>11</v>
      </c>
      <c r="E148" s="89" t="s">
        <v>46</v>
      </c>
      <c r="F148" s="93" t="s">
        <v>41</v>
      </c>
      <c r="G148" s="30">
        <v>4</v>
      </c>
      <c r="H148" s="9">
        <v>9</v>
      </c>
      <c r="I148" s="9">
        <v>13</v>
      </c>
      <c r="J148" s="22">
        <v>30</v>
      </c>
      <c r="K148" s="9">
        <v>42</v>
      </c>
      <c r="L148" s="9">
        <v>55</v>
      </c>
      <c r="M148" s="9">
        <v>64</v>
      </c>
      <c r="N148" s="9">
        <v>68</v>
      </c>
      <c r="O148" s="9">
        <v>75</v>
      </c>
      <c r="P148" s="22">
        <v>77</v>
      </c>
      <c r="Q148" s="30">
        <v>79</v>
      </c>
      <c r="R148" s="30">
        <v>80</v>
      </c>
    </row>
    <row r="149" spans="2:18 2185:2185" ht="19.5" customHeight="1" x14ac:dyDescent="0.2">
      <c r="B149" s="56"/>
      <c r="C149" s="57"/>
      <c r="D149" s="58" t="s">
        <v>33</v>
      </c>
      <c r="E149" s="90" t="s">
        <v>46</v>
      </c>
      <c r="F149" s="94" t="s">
        <v>41</v>
      </c>
      <c r="G149" s="86">
        <v>5</v>
      </c>
      <c r="H149" s="49">
        <v>11</v>
      </c>
      <c r="I149" s="49">
        <v>14</v>
      </c>
      <c r="J149" s="82">
        <v>26</v>
      </c>
      <c r="K149" s="49">
        <v>57</v>
      </c>
      <c r="L149" s="49">
        <v>68</v>
      </c>
      <c r="M149" s="49">
        <v>77</v>
      </c>
      <c r="N149" s="49">
        <v>79</v>
      </c>
      <c r="O149" s="49">
        <v>86</v>
      </c>
      <c r="P149" s="82">
        <v>89</v>
      </c>
      <c r="Q149" s="86">
        <v>93</v>
      </c>
      <c r="R149" s="86">
        <v>95</v>
      </c>
    </row>
    <row r="150" spans="2:18 2185:2185" ht="19.5" customHeight="1" thickBot="1" x14ac:dyDescent="0.25">
      <c r="B150" s="13"/>
      <c r="C150" s="15"/>
      <c r="D150" s="16" t="s">
        <v>10</v>
      </c>
      <c r="E150" s="91" t="s">
        <v>46</v>
      </c>
      <c r="F150" s="95" t="s">
        <v>41</v>
      </c>
      <c r="G150" s="31">
        <v>5</v>
      </c>
      <c r="H150" s="10">
        <v>10</v>
      </c>
      <c r="I150" s="10">
        <v>16</v>
      </c>
      <c r="J150" s="23">
        <v>36</v>
      </c>
      <c r="K150" s="10">
        <v>51</v>
      </c>
      <c r="L150" s="10">
        <v>67</v>
      </c>
      <c r="M150" s="10">
        <v>79</v>
      </c>
      <c r="N150" s="10">
        <v>83</v>
      </c>
      <c r="O150" s="10">
        <v>89</v>
      </c>
      <c r="P150" s="23">
        <v>91</v>
      </c>
      <c r="Q150" s="31">
        <v>94</v>
      </c>
      <c r="R150" s="31">
        <v>96</v>
      </c>
    </row>
    <row r="151" spans="2:18 2185:2185" ht="19.5" customHeight="1" x14ac:dyDescent="0.2">
      <c r="B151" s="11">
        <v>12</v>
      </c>
      <c r="C151" s="14">
        <v>2</v>
      </c>
      <c r="D151" s="12" t="s">
        <v>11</v>
      </c>
      <c r="E151" s="89" t="s">
        <v>48</v>
      </c>
      <c r="F151" s="93" t="s">
        <v>41</v>
      </c>
      <c r="G151" s="30">
        <v>7</v>
      </c>
      <c r="H151" s="9">
        <v>13</v>
      </c>
      <c r="I151" s="9">
        <v>21</v>
      </c>
      <c r="J151" s="22">
        <v>44</v>
      </c>
      <c r="K151" s="9">
        <v>53</v>
      </c>
      <c r="L151" s="9">
        <v>62</v>
      </c>
      <c r="M151" s="9">
        <v>68</v>
      </c>
      <c r="N151" s="9">
        <v>75</v>
      </c>
      <c r="O151" s="9">
        <v>80</v>
      </c>
      <c r="P151" s="22">
        <v>84</v>
      </c>
      <c r="Q151" s="30">
        <v>86</v>
      </c>
      <c r="R151" s="30">
        <v>87</v>
      </c>
    </row>
    <row r="152" spans="2:18 2185:2185" ht="19.5" customHeight="1" x14ac:dyDescent="0.2">
      <c r="B152" s="56"/>
      <c r="C152" s="57"/>
      <c r="D152" s="58" t="s">
        <v>33</v>
      </c>
      <c r="E152" s="90" t="s">
        <v>48</v>
      </c>
      <c r="F152" s="94" t="s">
        <v>41</v>
      </c>
      <c r="G152" s="86">
        <v>6</v>
      </c>
      <c r="H152" s="49">
        <v>13</v>
      </c>
      <c r="I152" s="49">
        <v>21</v>
      </c>
      <c r="J152" s="82">
        <v>43</v>
      </c>
      <c r="K152" s="49">
        <v>60</v>
      </c>
      <c r="L152" s="49">
        <v>78</v>
      </c>
      <c r="M152" s="49">
        <v>92</v>
      </c>
      <c r="N152" s="49">
        <v>98</v>
      </c>
      <c r="O152" s="49" t="s">
        <v>58</v>
      </c>
      <c r="P152" s="87" t="s">
        <v>58</v>
      </c>
      <c r="Q152" s="88" t="s">
        <v>58</v>
      </c>
      <c r="R152" s="88" t="s">
        <v>58</v>
      </c>
    </row>
    <row r="153" spans="2:18 2185:2185" ht="19.5" customHeight="1" thickBot="1" x14ac:dyDescent="0.25">
      <c r="B153" s="13"/>
      <c r="C153" s="15"/>
      <c r="D153" s="16" t="s">
        <v>10</v>
      </c>
      <c r="E153" s="91" t="s">
        <v>48</v>
      </c>
      <c r="F153" s="95" t="s">
        <v>41</v>
      </c>
      <c r="G153" s="31">
        <v>5</v>
      </c>
      <c r="H153" s="10">
        <v>12</v>
      </c>
      <c r="I153" s="10">
        <v>20</v>
      </c>
      <c r="J153" s="23">
        <v>42</v>
      </c>
      <c r="K153" s="10">
        <v>57</v>
      </c>
      <c r="L153" s="10">
        <v>72</v>
      </c>
      <c r="M153" s="10">
        <v>81</v>
      </c>
      <c r="N153" s="10">
        <v>88</v>
      </c>
      <c r="O153" s="10">
        <v>92</v>
      </c>
      <c r="P153" s="23">
        <v>95</v>
      </c>
      <c r="Q153" s="31">
        <v>97</v>
      </c>
      <c r="R153" s="55" t="s">
        <v>58</v>
      </c>
    </row>
    <row r="154" spans="2:18 2185:2185" ht="19.5" customHeight="1" x14ac:dyDescent="0.2">
      <c r="B154" s="11">
        <v>12</v>
      </c>
      <c r="C154" s="14">
        <v>1</v>
      </c>
      <c r="D154" s="66" t="s">
        <v>11</v>
      </c>
      <c r="E154" s="89" t="s">
        <v>44</v>
      </c>
      <c r="F154" s="93" t="s">
        <v>41</v>
      </c>
      <c r="G154" s="30">
        <v>7</v>
      </c>
      <c r="H154" s="9">
        <v>15</v>
      </c>
      <c r="I154" s="9">
        <v>19</v>
      </c>
      <c r="J154" s="22">
        <v>43</v>
      </c>
      <c r="K154" s="9">
        <v>50</v>
      </c>
      <c r="L154" s="9">
        <v>60</v>
      </c>
      <c r="M154" s="9">
        <v>66</v>
      </c>
      <c r="N154" s="9">
        <v>68</v>
      </c>
      <c r="O154" s="9">
        <v>72</v>
      </c>
      <c r="P154" s="22">
        <v>76</v>
      </c>
      <c r="Q154" s="30">
        <v>81</v>
      </c>
      <c r="R154" s="30">
        <v>84</v>
      </c>
    </row>
    <row r="155" spans="2:18 2185:2185" ht="19.5" customHeight="1" x14ac:dyDescent="0.2">
      <c r="B155" s="56"/>
      <c r="C155" s="57"/>
      <c r="D155" s="70" t="s">
        <v>33</v>
      </c>
      <c r="E155" s="90" t="s">
        <v>44</v>
      </c>
      <c r="F155" s="94" t="s">
        <v>41</v>
      </c>
      <c r="G155" s="86">
        <v>9</v>
      </c>
      <c r="H155" s="49">
        <v>15</v>
      </c>
      <c r="I155" s="49">
        <v>18</v>
      </c>
      <c r="J155" s="82">
        <v>40</v>
      </c>
      <c r="K155" s="49">
        <v>49</v>
      </c>
      <c r="L155" s="49">
        <v>61</v>
      </c>
      <c r="M155" s="49">
        <v>68</v>
      </c>
      <c r="N155" s="49">
        <v>70</v>
      </c>
      <c r="O155" s="49">
        <v>73</v>
      </c>
      <c r="P155" s="82">
        <v>79</v>
      </c>
      <c r="Q155" s="86">
        <v>83</v>
      </c>
      <c r="R155" s="86">
        <v>86</v>
      </c>
    </row>
    <row r="156" spans="2:18 2185:2185" ht="19.5" customHeight="1" thickBot="1" x14ac:dyDescent="0.25">
      <c r="B156" s="13"/>
      <c r="C156" s="15"/>
      <c r="D156" s="74" t="s">
        <v>10</v>
      </c>
      <c r="E156" s="91" t="s">
        <v>44</v>
      </c>
      <c r="F156" s="95" t="s">
        <v>41</v>
      </c>
      <c r="G156" s="31">
        <v>6</v>
      </c>
      <c r="H156" s="10">
        <v>14</v>
      </c>
      <c r="I156" s="10">
        <v>21</v>
      </c>
      <c r="J156" s="23">
        <v>44</v>
      </c>
      <c r="K156" s="10">
        <v>59</v>
      </c>
      <c r="L156" s="10">
        <v>76</v>
      </c>
      <c r="M156" s="10">
        <v>87</v>
      </c>
      <c r="N156" s="10">
        <v>91</v>
      </c>
      <c r="O156" s="10">
        <v>94</v>
      </c>
      <c r="P156" s="23">
        <v>99</v>
      </c>
      <c r="Q156" s="55" t="s">
        <v>58</v>
      </c>
      <c r="R156" s="55" t="s">
        <v>58</v>
      </c>
    </row>
    <row r="157" spans="2:18 2185:2185" x14ac:dyDescent="0.2">
      <c r="CFA157">
        <v>543</v>
      </c>
    </row>
  </sheetData>
  <mergeCells count="1">
    <mergeCell ref="B12:C12"/>
  </mergeCells>
  <conditionalFormatting sqref="E13:E156">
    <cfRule type="containsText" dxfId="23" priority="1" operator="containsText" text="AQC-N">
      <formula>NOT(ISERROR(SEARCH("AQC-N",E13)))</formula>
    </cfRule>
    <cfRule type="containsText" dxfId="22" priority="2" operator="containsText" text="AQC">
      <formula>NOT(ISERROR(SEARCH("AQC",E13)))</formula>
    </cfRule>
    <cfRule type="containsText" dxfId="21" priority="3" operator="containsText" text="FAO-N">
      <formula>NOT(ISERROR(SEARCH("FAO-N",E13)))</formula>
    </cfRule>
    <cfRule type="containsText" dxfId="20" priority="4" operator="containsText" text="CSM-N">
      <formula>NOT(ISERROR(SEARCH("CSM-N",E13)))</formula>
    </cfRule>
    <cfRule type="containsText" dxfId="19" priority="5" operator="containsText" text="CSM">
      <formula>NOT(ISERROR(SEARCH("CSM",E13)))</formula>
    </cfRule>
    <cfRule type="containsText" dxfId="18" priority="6" operator="containsText" text="FAO">
      <formula>NOT(ISERROR(SEARCH("FAO",E13)))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6"/>
  <sheetViews>
    <sheetView zoomScaleNormal="100" workbookViewId="0"/>
  </sheetViews>
  <sheetFormatPr defaultRowHeight="12.75" x14ac:dyDescent="0.2"/>
  <cols>
    <col min="1" max="1" width="17.85546875" customWidth="1"/>
    <col min="3" max="3" width="9" hidden="1" customWidth="1"/>
    <col min="4" max="5" width="8.85546875" hidden="1" customWidth="1"/>
    <col min="19" max="19" width="13.7109375" customWidth="1"/>
  </cols>
  <sheetData>
    <row r="1" spans="1:32" ht="21" x14ac:dyDescent="0.35">
      <c r="A1" s="6" t="s">
        <v>56</v>
      </c>
      <c r="E1" s="100">
        <v>2021</v>
      </c>
      <c r="G1" s="52"/>
    </row>
    <row r="2" spans="1:32" ht="15.75" x14ac:dyDescent="0.25">
      <c r="A2" s="6"/>
      <c r="D2" s="37"/>
      <c r="E2" s="37"/>
      <c r="F2" s="37"/>
      <c r="G2" s="52"/>
    </row>
    <row r="3" spans="1:32" ht="15.75" x14ac:dyDescent="0.25">
      <c r="A3" s="6"/>
      <c r="G3" s="52"/>
      <c r="S3" s="6"/>
      <c r="Y3" s="52"/>
    </row>
    <row r="4" spans="1:32" ht="23.25" x14ac:dyDescent="0.35">
      <c r="A4" s="101" t="s">
        <v>21</v>
      </c>
      <c r="G4" s="52"/>
      <c r="S4" s="100" t="s">
        <v>21</v>
      </c>
      <c r="Y4" s="52"/>
    </row>
    <row r="5" spans="1:32" s="44" customFormat="1" ht="20.45" customHeight="1" x14ac:dyDescent="0.2">
      <c r="B5" s="45"/>
      <c r="C5" s="46"/>
      <c r="D5" s="46">
        <v>44348</v>
      </c>
      <c r="E5" s="46">
        <v>44354</v>
      </c>
      <c r="F5" s="46">
        <f>'Height Summary'!G9</f>
        <v>44713</v>
      </c>
      <c r="G5" s="46">
        <f>'Height Summary'!H9</f>
        <v>44718</v>
      </c>
      <c r="H5" s="46">
        <f>'Height Summary'!I9</f>
        <v>44725</v>
      </c>
      <c r="I5" s="46">
        <f>'Height Summary'!J9</f>
        <v>44739</v>
      </c>
      <c r="J5" s="46">
        <f>'Height Summary'!K9</f>
        <v>44747</v>
      </c>
      <c r="K5" s="46">
        <f>'Height Summary'!L9</f>
        <v>44753</v>
      </c>
      <c r="L5" s="46">
        <f>'Height Summary'!M9</f>
        <v>44767</v>
      </c>
      <c r="M5" s="46">
        <f>'Height Summary'!N9</f>
        <v>44781</v>
      </c>
      <c r="N5" s="46">
        <f>'Height Summary'!O9</f>
        <v>44788</v>
      </c>
      <c r="O5" s="46" t="str">
        <f>'Height Summary'!P9</f>
        <v>22-23 Aug 2022</v>
      </c>
      <c r="P5" s="46">
        <f>'Height Summary'!Q9</f>
        <v>44802</v>
      </c>
      <c r="Q5" s="46">
        <f>'Height Summary'!R9</f>
        <v>44812</v>
      </c>
      <c r="T5" s="45"/>
      <c r="U5" s="46">
        <f>'Height Summary'!G9</f>
        <v>44713</v>
      </c>
      <c r="V5" s="46">
        <f>'Height Summary'!H9</f>
        <v>44718</v>
      </c>
      <c r="W5" s="46">
        <f>'Height Summary'!I9</f>
        <v>44725</v>
      </c>
      <c r="X5" s="46">
        <f>'Height Summary'!J9</f>
        <v>44739</v>
      </c>
      <c r="Y5" s="46">
        <f>'Height Summary'!K9</f>
        <v>44747</v>
      </c>
      <c r="Z5" s="46">
        <f>'Height Summary'!L9</f>
        <v>44753</v>
      </c>
      <c r="AA5" s="46">
        <f>'Height Summary'!M9</f>
        <v>44767</v>
      </c>
      <c r="AB5" s="46">
        <f>'Height Summary'!N9</f>
        <v>44781</v>
      </c>
      <c r="AC5" s="46">
        <f>'Height Summary'!O9</f>
        <v>44788</v>
      </c>
      <c r="AD5" s="46" t="str">
        <f>'Height Summary'!P9</f>
        <v>22-23 Aug 2022</v>
      </c>
      <c r="AE5" s="46">
        <f>'Height Summary'!Q9</f>
        <v>44802</v>
      </c>
      <c r="AF5" s="46">
        <f>'Height Summary'!R9</f>
        <v>44812</v>
      </c>
    </row>
    <row r="6" spans="1:32" ht="21" x14ac:dyDescent="0.2">
      <c r="A6" s="102" t="s">
        <v>43</v>
      </c>
      <c r="C6" s="33"/>
      <c r="D6" s="33">
        <v>152</v>
      </c>
      <c r="E6" s="33">
        <v>158</v>
      </c>
      <c r="F6" s="33">
        <f>'Height Summary'!G10</f>
        <v>152</v>
      </c>
      <c r="G6" s="33">
        <f>'Height Summary'!H10</f>
        <v>157</v>
      </c>
      <c r="H6" s="33">
        <f>'Height Summary'!I10</f>
        <v>164</v>
      </c>
      <c r="I6" s="33">
        <f>'Height Summary'!J10</f>
        <v>178</v>
      </c>
      <c r="J6" s="33">
        <f>'Height Summary'!K10</f>
        <v>186</v>
      </c>
      <c r="K6" s="33">
        <f>'Height Summary'!L10</f>
        <v>192</v>
      </c>
      <c r="L6" s="33">
        <f>'Height Summary'!M10</f>
        <v>206</v>
      </c>
      <c r="M6" s="33">
        <f>'Height Summary'!N10</f>
        <v>220</v>
      </c>
      <c r="N6" s="33">
        <f>'Height Summary'!O10</f>
        <v>227</v>
      </c>
      <c r="O6" s="33" t="str">
        <f>'Height Summary'!P10</f>
        <v>234-235</v>
      </c>
      <c r="P6" s="33">
        <f>'Height Summary'!Q10</f>
        <v>241</v>
      </c>
      <c r="Q6" s="33">
        <f>'Height Summary'!R10</f>
        <v>251</v>
      </c>
      <c r="S6" s="103" t="s">
        <v>41</v>
      </c>
      <c r="U6" s="33">
        <f>'Height Summary'!G10</f>
        <v>152</v>
      </c>
      <c r="V6" s="33">
        <f>'Height Summary'!H10</f>
        <v>157</v>
      </c>
      <c r="W6" s="33">
        <f>'Height Summary'!I10</f>
        <v>164</v>
      </c>
      <c r="X6" s="33">
        <f>'Height Summary'!J10</f>
        <v>178</v>
      </c>
      <c r="Y6" s="33">
        <f>'Height Summary'!K10</f>
        <v>186</v>
      </c>
      <c r="Z6" s="33">
        <f>'Height Summary'!L10</f>
        <v>192</v>
      </c>
      <c r="AA6" s="33">
        <f>'Height Summary'!M10</f>
        <v>206</v>
      </c>
      <c r="AB6" s="33">
        <f>'Height Summary'!N10</f>
        <v>220</v>
      </c>
      <c r="AC6" s="33">
        <f>'Height Summary'!O10</f>
        <v>227</v>
      </c>
      <c r="AD6" s="33" t="str">
        <f>'Height Summary'!P10</f>
        <v>234-235</v>
      </c>
      <c r="AE6" s="33">
        <f>'Height Summary'!Q10</f>
        <v>241</v>
      </c>
      <c r="AF6" s="33">
        <f>'Height Summary'!R10</f>
        <v>251</v>
      </c>
    </row>
    <row r="7" spans="1:32" ht="21" x14ac:dyDescent="0.35">
      <c r="A7" s="104"/>
      <c r="B7" s="105" t="s">
        <v>48</v>
      </c>
      <c r="C7" s="39"/>
      <c r="D7" s="39" t="e">
        <v>#VALUE!</v>
      </c>
      <c r="E7" s="39" t="e">
        <v>#VALUE!</v>
      </c>
      <c r="F7" s="39">
        <f>AVERAGEIFS('Height Summary'!G$13:G$156,'Height Summary'!$F$13:$F$156, "NG3195",'Height Summary'!$E$13:$E$156, "AQC")</f>
        <v>12.833333333333334</v>
      </c>
      <c r="G7" s="39">
        <f>AVERAGEIFS('Height Summary'!H$13:H$156,'Height Summary'!$F$13:$F$156, "NG3195",'Height Summary'!$E$13:$E$156, "AQC")</f>
        <v>19.416666666666668</v>
      </c>
      <c r="H7" s="39">
        <f>AVERAGEIFS('Height Summary'!I$13:I$156,'Height Summary'!$F$13:$F$156, "NG3195",'Height Summary'!$E$13:$E$156, "AQC")</f>
        <v>28.5</v>
      </c>
      <c r="I7" s="39">
        <f>AVERAGEIFS('Height Summary'!J$13:J$156,'Height Summary'!$F$13:$F$156, "NG3195",'Height Summary'!$E$13:$E$156, "AQC")</f>
        <v>60.416666666666664</v>
      </c>
      <c r="J7" s="39">
        <f>AVERAGEIFS('Height Summary'!K$13:K$156,'Height Summary'!$F$13:$F$156, "NG3195",'Height Summary'!$E$13:$E$156, "AQC")</f>
        <v>78.833333333333329</v>
      </c>
      <c r="K7" s="39">
        <f>AVERAGEIFS('Height Summary'!L$13:L$156,'Height Summary'!$F$13:$F$156, "NG3195",'Height Summary'!$E$13:$E$156, "AQC")</f>
        <v>85.666666666666671</v>
      </c>
      <c r="L7" s="39">
        <f>AVERAGEIFS('Height Summary'!M$13:M$156,'Height Summary'!$F$13:$F$156, "NG3195",'Height Summary'!$E$13:$E$156, "AQC")</f>
        <v>97.5</v>
      </c>
      <c r="M7" s="39">
        <f>AVERAGEIFS('Height Summary'!N$13:N$156,'Height Summary'!$F$13:$F$156, "NG3195",'Height Summary'!$E$13:$E$156, "AQC")</f>
        <v>103.08333333333333</v>
      </c>
      <c r="N7" s="39">
        <f>AVERAGEIFS('Height Summary'!O$13:O$156,'Height Summary'!$F$13:$F$156, "NG3195",'Height Summary'!$E$13:$E$156, "AQC")</f>
        <v>106.08333333333333</v>
      </c>
      <c r="O7" s="39">
        <f>AVERAGEIFS('Height Summary'!P$13:P$156,'Height Summary'!$F$13:$F$156, "NG3195",'Height Summary'!$E$13:$E$156, "AQC")</f>
        <v>108.91666666666667</v>
      </c>
      <c r="P7" s="39">
        <f>AVERAGEIFS('Height Summary'!Q$13:Q$156,'Height Summary'!$F$13:$F$156, "NG3195",'Height Summary'!$E$13:$E$156, "AQC")</f>
        <v>110.33333333333333</v>
      </c>
      <c r="Q7" s="39">
        <f>AVERAGEIFS('Height Summary'!R$13:R$156,'Height Summary'!$F$13:$F$156, "NG3195",'Height Summary'!$E$13:$E$156, "AQC")</f>
        <v>107.66666666666667</v>
      </c>
      <c r="S7" s="106"/>
      <c r="T7" s="105" t="s">
        <v>48</v>
      </c>
      <c r="U7" s="39">
        <f>AVERAGEIFS('Height Summary'!G$13:G$156,'Height Summary'!$F$13:$F$156, "NG4936",'Height Summary'!$E$13:$E$156, "AQC")</f>
        <v>7.5</v>
      </c>
      <c r="V7" s="39">
        <f>AVERAGEIFS('Height Summary'!H$13:H$156,'Height Summary'!$F$13:$F$156, "NG4936",'Height Summary'!$E$13:$E$156, "AQC")</f>
        <v>12.666666666666666</v>
      </c>
      <c r="W7" s="39">
        <f>AVERAGEIFS('Height Summary'!I$13:I$156,'Height Summary'!$F$13:$F$156, "NG4936",'Height Summary'!$E$13:$E$156, "AQC")</f>
        <v>18.833333333333332</v>
      </c>
      <c r="X7" s="39">
        <f>AVERAGEIFS('Height Summary'!J$13:J$156,'Height Summary'!$F$13:$F$156, "NG4936",'Height Summary'!$E$13:$E$156, "AQC")</f>
        <v>41.583333333333336</v>
      </c>
      <c r="Y7" s="39">
        <f>AVERAGEIFS('Height Summary'!K$13:K$156,'Height Summary'!$F$13:$F$156, "NG4936",'Height Summary'!$E$13:$E$156, "AQC")</f>
        <v>62.583333333333336</v>
      </c>
      <c r="Z7" s="39">
        <f>AVERAGEIFS('Height Summary'!L$13:L$156,'Height Summary'!$F$13:$F$156, "NG4936",'Height Summary'!$E$13:$E$156, "AQC")</f>
        <v>68.5</v>
      </c>
      <c r="AA7" s="39">
        <f>AVERAGEIFS('Height Summary'!M$13:M$156,'Height Summary'!$F$13:$F$156, "NG4936",'Height Summary'!$E$13:$E$156, "AQC")</f>
        <v>80.833333333333329</v>
      </c>
      <c r="AB7" s="39">
        <f>AVERAGEIFS('Height Summary'!N$13:N$156,'Height Summary'!$F$13:$F$156, "NG4936",'Height Summary'!$E$13:$E$156, "AQC")</f>
        <v>92</v>
      </c>
      <c r="AC7" s="39">
        <f>AVERAGEIFS('Height Summary'!O$13:O$156,'Height Summary'!$F$13:$F$156, "NG4936",'Height Summary'!$E$13:$E$156, "AQC")</f>
        <v>95.666666666666671</v>
      </c>
      <c r="AD7" s="39">
        <f>AVERAGEIFS('Height Summary'!P$13:P$156,'Height Summary'!$F$13:$F$156, "NG4936",'Height Summary'!$E$13:$E$156, "AQC")</f>
        <v>97.666666666666671</v>
      </c>
      <c r="AE7" s="39">
        <f>AVERAGEIFS('Height Summary'!Q$13:Q$156,'Height Summary'!$F$13:$F$156, "NG4936",'Height Summary'!$E$13:$E$156, "AQC")</f>
        <v>98.666666666666671</v>
      </c>
      <c r="AF7" s="39">
        <f>AVERAGEIFS('Height Summary'!R$13:R$156,'Height Summary'!$F$13:$F$156, "NG4936",'Height Summary'!$E$13:$E$156, "AQC")</f>
        <v>98.916666666666671</v>
      </c>
    </row>
    <row r="8" spans="1:32" ht="21" x14ac:dyDescent="0.35">
      <c r="A8" s="104"/>
      <c r="B8" s="105"/>
      <c r="C8" s="32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S8" s="106"/>
      <c r="T8" s="10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</row>
    <row r="9" spans="1:32" ht="21" x14ac:dyDescent="0.35">
      <c r="A9" s="104"/>
      <c r="B9" s="105" t="s">
        <v>45</v>
      </c>
      <c r="C9" s="39"/>
      <c r="D9" s="39" t="e">
        <v>#VALUE!</v>
      </c>
      <c r="E9" s="39" t="e">
        <v>#VALUE!</v>
      </c>
      <c r="F9" s="39">
        <f>AVERAGEIFS('Height Summary'!G$13:G$156,'Height Summary'!$F$13:$F$156, "NG3195",'Height Summary'!$E$13:$E$156, "AQC-N")</f>
        <v>12.25</v>
      </c>
      <c r="G9" s="39">
        <f>AVERAGEIFS('Height Summary'!H$13:H$156,'Height Summary'!$F$13:$F$156, "NG3195",'Height Summary'!$E$13:$E$156, "AQC-N")</f>
        <v>18.75</v>
      </c>
      <c r="H9" s="39">
        <f>AVERAGEIFS('Height Summary'!I$13:I$156,'Height Summary'!$F$13:$F$156, "NG3195",'Height Summary'!$E$13:$E$156, "AQC-N")</f>
        <v>25.25</v>
      </c>
      <c r="I9" s="39">
        <f>AVERAGEIFS('Height Summary'!J$13:J$156,'Height Summary'!$F$13:$F$156, "NG3195",'Height Summary'!$E$13:$E$156, "AQC-N")</f>
        <v>55.333333333333336</v>
      </c>
      <c r="J9" s="39">
        <f>AVERAGEIFS('Height Summary'!K$13:K$156,'Height Summary'!$F$13:$F$156, "NG3195",'Height Summary'!$E$13:$E$156, "AQC-N")</f>
        <v>72.583333333333329</v>
      </c>
      <c r="K9" s="39">
        <f>AVERAGEIFS('Height Summary'!L$13:L$156,'Height Summary'!$F$13:$F$156, "NG3195",'Height Summary'!$E$13:$E$156, "AQC-N")</f>
        <v>75</v>
      </c>
      <c r="L9" s="39">
        <f>AVERAGEIFS('Height Summary'!M$13:M$156,'Height Summary'!$F$13:$F$156, "NG3195",'Height Summary'!$E$13:$E$156, "AQC-N")</f>
        <v>81.416666666666671</v>
      </c>
      <c r="M9" s="39">
        <f>AVERAGEIFS('Height Summary'!N$13:N$156,'Height Summary'!$F$13:$F$156, "NG3195",'Height Summary'!$E$13:$E$156, "AQC-N")</f>
        <v>89</v>
      </c>
      <c r="N9" s="39">
        <f>AVERAGEIFS('Height Summary'!O$13:O$156,'Height Summary'!$F$13:$F$156, "NG3195",'Height Summary'!$E$13:$E$156, "AQC-N")</f>
        <v>91.75</v>
      </c>
      <c r="O9" s="39">
        <f>AVERAGEIFS('Height Summary'!P$13:P$156,'Height Summary'!$F$13:$F$156, "NG3195",'Height Summary'!$E$13:$E$156, "AQC-N")</f>
        <v>93.666666666666671</v>
      </c>
      <c r="P9" s="39">
        <f>AVERAGEIFS('Height Summary'!Q$13:Q$156,'Height Summary'!$F$13:$F$156, "NG3195",'Height Summary'!$E$13:$E$156, "AQC-N")</f>
        <v>93.5</v>
      </c>
      <c r="Q9" s="39">
        <f>AVERAGEIFS('Height Summary'!R$13:R$156,'Height Summary'!$F$13:$F$156, "NG3195",'Height Summary'!$E$13:$E$156, "AQC-N")</f>
        <v>91.666666666666671</v>
      </c>
      <c r="S9" s="106"/>
      <c r="T9" s="105" t="s">
        <v>45</v>
      </c>
      <c r="U9" s="39">
        <f>AVERAGEIFS('Height Summary'!G$13:G$156,'Height Summary'!$F$13:$F$156, "NG4936",'Height Summary'!$E$13:$E$156, "AQC-N")</f>
        <v>5.083333333333333</v>
      </c>
      <c r="V9" s="39">
        <f>AVERAGEIFS('Height Summary'!H$13:H$156,'Height Summary'!$F$13:$F$156, "NG4936",'Height Summary'!$E$13:$E$156, "AQC-N")</f>
        <v>9.9166666666666661</v>
      </c>
      <c r="W9" s="39">
        <f>AVERAGEIFS('Height Summary'!I$13:I$156,'Height Summary'!$F$13:$F$156, "NG4936",'Height Summary'!$E$13:$E$156, "AQC-N")</f>
        <v>15.583333333333334</v>
      </c>
      <c r="X9" s="39">
        <f>AVERAGEIFS('Height Summary'!J$13:J$156,'Height Summary'!$F$13:$F$156, "NG4936",'Height Summary'!$E$13:$E$156, "AQC-N")</f>
        <v>37.916666666666664</v>
      </c>
      <c r="Y9" s="39">
        <f>AVERAGEIFS('Height Summary'!K$13:K$156,'Height Summary'!$F$13:$F$156, "NG4936",'Height Summary'!$E$13:$E$156, "AQC-N")</f>
        <v>56</v>
      </c>
      <c r="Z9" s="39">
        <f>AVERAGEIFS('Height Summary'!L$13:L$156,'Height Summary'!$F$13:$F$156, "NG4936",'Height Summary'!$E$13:$E$156, "AQC-N")</f>
        <v>62.416666666666664</v>
      </c>
      <c r="AA9" s="39">
        <f>AVERAGEIFS('Height Summary'!M$13:M$156,'Height Summary'!$F$13:$F$156, "NG4936",'Height Summary'!$E$13:$E$156, "AQC-N")</f>
        <v>77</v>
      </c>
      <c r="AB9" s="39">
        <f>AVERAGEIFS('Height Summary'!N$13:N$156,'Height Summary'!$F$13:$F$156, "NG4936",'Height Summary'!$E$13:$E$156, "AQC-N")</f>
        <v>85.5</v>
      </c>
      <c r="AC9" s="39">
        <f>AVERAGEIFS('Height Summary'!O$13:O$156,'Height Summary'!$F$13:$F$156, "NG4936",'Height Summary'!$E$13:$E$156, "AQC-N")</f>
        <v>88.666666666666671</v>
      </c>
      <c r="AD9" s="39">
        <f>AVERAGEIFS('Height Summary'!P$13:P$156,'Height Summary'!$F$13:$F$156, "NG4936",'Height Summary'!$E$13:$E$156, "AQC-N")</f>
        <v>91.166666666666671</v>
      </c>
      <c r="AE9" s="39">
        <f>AVERAGEIFS('Height Summary'!Q$13:Q$156,'Height Summary'!$F$13:$F$156, "NG4936",'Height Summary'!$E$13:$E$156, "AQC-N")</f>
        <v>91.5</v>
      </c>
      <c r="AF9" s="39">
        <f>AVERAGEIFS('Height Summary'!R$13:R$156,'Height Summary'!$F$13:$F$156, "NG4936",'Height Summary'!$E$13:$E$156, "AQC-N")</f>
        <v>87.833333333333329</v>
      </c>
    </row>
    <row r="10" spans="1:32" ht="21" x14ac:dyDescent="0.35">
      <c r="A10" s="104"/>
      <c r="B10" s="105"/>
      <c r="C10" s="32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S10" s="106"/>
      <c r="T10" s="10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</row>
    <row r="11" spans="1:32" ht="21" x14ac:dyDescent="0.35">
      <c r="A11" s="104"/>
      <c r="B11" s="105" t="s">
        <v>46</v>
      </c>
      <c r="C11" s="39"/>
      <c r="D11" s="39" t="e">
        <v>#VALUE!</v>
      </c>
      <c r="E11" s="39" t="e">
        <v>#VALUE!</v>
      </c>
      <c r="F11" s="39">
        <f>AVERAGEIFS('Height Summary'!G$13:G$156,'Height Summary'!$F$13:$F$156, "NG3195",'Height Summary'!$E$13:$E$156, "CSM")</f>
        <v>12.916666666666666</v>
      </c>
      <c r="G11" s="39">
        <f>AVERAGEIFS('Height Summary'!H$13:H$156,'Height Summary'!$F$13:$F$156, "NG3195",'Height Summary'!$E$13:$E$156, "CSM")</f>
        <v>18.583333333333332</v>
      </c>
      <c r="H11" s="39">
        <f>AVERAGEIFS('Height Summary'!I$13:I$156,'Height Summary'!$F$13:$F$156, "NG3195",'Height Summary'!$E$13:$E$156, "CSM")</f>
        <v>27.083333333333332</v>
      </c>
      <c r="I11" s="39">
        <f>AVERAGEIFS('Height Summary'!J$13:J$156,'Height Summary'!$F$13:$F$156, "NG3195",'Height Summary'!$E$13:$E$156, "CSM")</f>
        <v>57</v>
      </c>
      <c r="J11" s="39">
        <f>AVERAGEIFS('Height Summary'!K$13:K$156,'Height Summary'!$F$13:$F$156, "NG3195",'Height Summary'!$E$13:$E$156, "CSM")</f>
        <v>75.083333333333329</v>
      </c>
      <c r="K11" s="39">
        <f>AVERAGEIFS('Height Summary'!L$13:L$156,'Height Summary'!$F$13:$F$156, "NG3195",'Height Summary'!$E$13:$E$156, "CSM")</f>
        <v>79.833333333333329</v>
      </c>
      <c r="L11" s="39">
        <f>AVERAGEIFS('Height Summary'!M$13:M$156,'Height Summary'!$F$13:$F$156, "NG3195",'Height Summary'!$E$13:$E$156, "CSM")</f>
        <v>89.583333333333329</v>
      </c>
      <c r="M11" s="39">
        <f>AVERAGEIFS('Height Summary'!N$13:N$156,'Height Summary'!$F$13:$F$156, "NG3195",'Height Summary'!$E$13:$E$156, "CSM")</f>
        <v>97.583333333333329</v>
      </c>
      <c r="N11" s="39">
        <f>AVERAGEIFS('Height Summary'!O$13:O$156,'Height Summary'!$F$13:$F$156, "NG3195",'Height Summary'!$E$13:$E$156, "CSM")</f>
        <v>102.83333333333333</v>
      </c>
      <c r="O11" s="39">
        <f>AVERAGEIFS('Height Summary'!P$13:P$156,'Height Summary'!$F$13:$F$156, "NG3195",'Height Summary'!$E$13:$E$156, "CSM")</f>
        <v>107.75</v>
      </c>
      <c r="P11" s="39">
        <f>AVERAGEIFS('Height Summary'!Q$13:Q$156,'Height Summary'!$F$13:$F$156, "NG3195",'Height Summary'!$E$13:$E$156, "CSM")</f>
        <v>110.41666666666667</v>
      </c>
      <c r="Q11" s="39">
        <f>AVERAGEIFS('Height Summary'!R$13:R$156,'Height Summary'!$F$13:$F$156, "NG3195",'Height Summary'!$E$13:$E$156, "CSM")</f>
        <v>108.5</v>
      </c>
      <c r="S11" s="106"/>
      <c r="T11" s="105" t="s">
        <v>46</v>
      </c>
      <c r="U11" s="39">
        <f>AVERAGEIFS('Height Summary'!G$13:G$156,'Height Summary'!$F$13:$F$156, "NG4936",'Height Summary'!$E$13:$E$156, "CSM")</f>
        <v>6.083333333333333</v>
      </c>
      <c r="V11" s="39">
        <f>AVERAGEIFS('Height Summary'!H$13:H$156,'Height Summary'!$F$13:$F$156, "NG4936",'Height Summary'!$E$13:$E$156, "CSM")</f>
        <v>10.583333333333334</v>
      </c>
      <c r="W11" s="39">
        <f>AVERAGEIFS('Height Summary'!I$13:I$156,'Height Summary'!$F$13:$F$156, "NG4936",'Height Summary'!$E$13:$E$156, "CSM")</f>
        <v>16.166666666666668</v>
      </c>
      <c r="X11" s="39">
        <f>AVERAGEIFS('Height Summary'!J$13:J$156,'Height Summary'!$F$13:$F$156, "NG4936",'Height Summary'!$E$13:$E$156, "CSM")</f>
        <v>38.75</v>
      </c>
      <c r="Y11" s="39">
        <f>AVERAGEIFS('Height Summary'!K$13:K$156,'Height Summary'!$F$13:$F$156, "NG4936",'Height Summary'!$E$13:$E$156, "CSM")</f>
        <v>57.166666666666664</v>
      </c>
      <c r="Z11" s="39">
        <f>AVERAGEIFS('Height Summary'!L$13:L$156,'Height Summary'!$F$13:$F$156, "NG4936",'Height Summary'!$E$13:$E$156, "CSM")</f>
        <v>66.166666666666671</v>
      </c>
      <c r="AA11" s="39">
        <f>AVERAGEIFS('Height Summary'!M$13:M$156,'Height Summary'!$F$13:$F$156, "NG4936",'Height Summary'!$E$13:$E$156, "CSM")</f>
        <v>79.5</v>
      </c>
      <c r="AB11" s="39">
        <f>AVERAGEIFS('Height Summary'!N$13:N$156,'Height Summary'!$F$13:$F$156, "NG4936",'Height Summary'!$E$13:$E$156, "CSM")</f>
        <v>91.833333333333329</v>
      </c>
      <c r="AC11" s="39">
        <f>AVERAGEIFS('Height Summary'!O$13:O$156,'Height Summary'!$F$13:$F$156, "NG4936",'Height Summary'!$E$13:$E$156, "CSM")</f>
        <v>96.5</v>
      </c>
      <c r="AD11" s="39">
        <f>AVERAGEIFS('Height Summary'!P$13:P$156,'Height Summary'!$F$13:$F$156, "NG4936",'Height Summary'!$E$13:$E$156, "CSM")</f>
        <v>99.5</v>
      </c>
      <c r="AE11" s="39">
        <f>AVERAGEIFS('Height Summary'!Q$13:Q$156,'Height Summary'!$F$13:$F$156, "NG4936",'Height Summary'!$E$13:$E$156, "CSM")</f>
        <v>101.41666666666667</v>
      </c>
      <c r="AF11" s="39">
        <f>AVERAGEIFS('Height Summary'!R$13:R$156,'Height Summary'!$F$13:$F$156, "NG4936",'Height Summary'!$E$13:$E$156, "CSM")</f>
        <v>101.16666666666667</v>
      </c>
    </row>
    <row r="12" spans="1:32" ht="21" x14ac:dyDescent="0.35">
      <c r="A12" s="104"/>
      <c r="B12" s="105"/>
      <c r="C12" s="32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S12" s="106"/>
      <c r="T12" s="10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</row>
    <row r="13" spans="1:32" ht="21" x14ac:dyDescent="0.35">
      <c r="A13" s="104"/>
      <c r="B13" s="105" t="s">
        <v>47</v>
      </c>
      <c r="C13" s="39"/>
      <c r="D13" s="39" t="e">
        <v>#VALUE!</v>
      </c>
      <c r="E13" s="39" t="e">
        <v>#VALUE!</v>
      </c>
      <c r="F13" s="39">
        <f>AVERAGEIFS('Height Summary'!G$13:G$156,'Height Summary'!$F$13:$F$156, "NG3195",'Height Summary'!$E$13:$E$156, "CSM-N")</f>
        <v>12.416666666666666</v>
      </c>
      <c r="G13" s="39">
        <f>AVERAGEIFS('Height Summary'!H$13:H$156,'Height Summary'!$F$13:$F$156, "NG3195",'Height Summary'!$E$13:$E$156, "CSM-N")</f>
        <v>19.333333333333332</v>
      </c>
      <c r="H13" s="39">
        <f>AVERAGEIFS('Height Summary'!I$13:I$156,'Height Summary'!$F$13:$F$156, "NG3195",'Height Summary'!$E$13:$E$156, "CSM-N")</f>
        <v>27.833333333333332</v>
      </c>
      <c r="I13" s="39">
        <f>AVERAGEIFS('Height Summary'!J$13:J$156,'Height Summary'!$F$13:$F$156, "NG3195",'Height Summary'!$E$13:$E$156, "CSM-N")</f>
        <v>58.5</v>
      </c>
      <c r="J13" s="39">
        <f>AVERAGEIFS('Height Summary'!K$13:K$156,'Height Summary'!$F$13:$F$156, "NG3195",'Height Summary'!$E$13:$E$156, "CSM-N")</f>
        <v>79.083333333333329</v>
      </c>
      <c r="K13" s="39">
        <f>AVERAGEIFS('Height Summary'!L$13:L$156,'Height Summary'!$F$13:$F$156, "NG3195",'Height Summary'!$E$13:$E$156, "CSM-N")</f>
        <v>82</v>
      </c>
      <c r="L13" s="39">
        <f>AVERAGEIFS('Height Summary'!M$13:M$156,'Height Summary'!$F$13:$F$156, "NG3195",'Height Summary'!$E$13:$E$156, "CSM-N")</f>
        <v>86.75</v>
      </c>
      <c r="M13" s="39">
        <f>AVERAGEIFS('Height Summary'!N$13:N$156,'Height Summary'!$F$13:$F$156, "NG3195",'Height Summary'!$E$13:$E$156, "CSM-N")</f>
        <v>92.833333333333329</v>
      </c>
      <c r="N13" s="39">
        <f>AVERAGEIFS('Height Summary'!O$13:O$156,'Height Summary'!$F$13:$F$156, "NG3195",'Height Summary'!$E$13:$E$156, "CSM-N")</f>
        <v>97.25</v>
      </c>
      <c r="O13" s="39">
        <f>AVERAGEIFS('Height Summary'!P$13:P$156,'Height Summary'!$F$13:$F$156, "NG3195",'Height Summary'!$E$13:$E$156, "CSM-N")</f>
        <v>100.91666666666667</v>
      </c>
      <c r="P13" s="39">
        <f>AVERAGEIFS('Height Summary'!Q$13:Q$156,'Height Summary'!$F$13:$F$156, "NG3195",'Height Summary'!$E$13:$E$156, "CSM-N")</f>
        <v>102.16666666666667</v>
      </c>
      <c r="Q13" s="39">
        <f>AVERAGEIFS('Height Summary'!R$13:R$156,'Height Summary'!$F$13:$F$156, "NG3195",'Height Summary'!$E$13:$E$156, "CSM-N")</f>
        <v>101</v>
      </c>
      <c r="S13" s="106"/>
      <c r="T13" s="105" t="s">
        <v>47</v>
      </c>
      <c r="U13" s="39">
        <f>AVERAGEIFS('Height Summary'!G$13:G$156,'Height Summary'!$F$13:$F$156, "NG4936",'Height Summary'!$E$13:$E$156, "CSM-N")</f>
        <v>7.333333333333333</v>
      </c>
      <c r="V13" s="39">
        <f>AVERAGEIFS('Height Summary'!H$13:H$156,'Height Summary'!$F$13:$F$156, "NG4936",'Height Summary'!$E$13:$E$156, "CSM-N")</f>
        <v>11.75</v>
      </c>
      <c r="W13" s="39">
        <f>AVERAGEIFS('Height Summary'!I$13:I$156,'Height Summary'!$F$13:$F$156, "NG4936",'Height Summary'!$E$13:$E$156, "CSM-N")</f>
        <v>17.833333333333332</v>
      </c>
      <c r="X13" s="39">
        <f>AVERAGEIFS('Height Summary'!J$13:J$156,'Height Summary'!$F$13:$F$156, "NG4936",'Height Summary'!$E$13:$E$156, "CSM-N")</f>
        <v>43.333333333333336</v>
      </c>
      <c r="Y13" s="39">
        <f>AVERAGEIFS('Height Summary'!K$13:K$156,'Height Summary'!$F$13:$F$156, "NG4936",'Height Summary'!$E$13:$E$156, "CSM-N")</f>
        <v>62.666666666666664</v>
      </c>
      <c r="Z13" s="39">
        <f>AVERAGEIFS('Height Summary'!L$13:L$156,'Height Summary'!$F$13:$F$156, "NG4936",'Height Summary'!$E$13:$E$156, "CSM-N")</f>
        <v>68.333333333333329</v>
      </c>
      <c r="AA13" s="39">
        <f>AVERAGEIFS('Height Summary'!M$13:M$156,'Height Summary'!$F$13:$F$156, "NG4936",'Height Summary'!$E$13:$E$156, "CSM-N")</f>
        <v>77</v>
      </c>
      <c r="AB13" s="39">
        <f>AVERAGEIFS('Height Summary'!N$13:N$156,'Height Summary'!$F$13:$F$156, "NG4936",'Height Summary'!$E$13:$E$156, "CSM-N")</f>
        <v>86.833333333333329</v>
      </c>
      <c r="AC13" s="39">
        <f>AVERAGEIFS('Height Summary'!O$13:O$156,'Height Summary'!$F$13:$F$156, "NG4936",'Height Summary'!$E$13:$E$156, "CSM-N")</f>
        <v>91.333333333333329</v>
      </c>
      <c r="AD13" s="39">
        <f>AVERAGEIFS('Height Summary'!P$13:P$156,'Height Summary'!$F$13:$F$156, "NG4936",'Height Summary'!$E$13:$E$156, "CSM-N")</f>
        <v>95.583333333333329</v>
      </c>
      <c r="AE13" s="39">
        <f>AVERAGEIFS('Height Summary'!Q$13:Q$156,'Height Summary'!$F$13:$F$156, "NG4936",'Height Summary'!$E$13:$E$156, "CSM-N")</f>
        <v>97.916666666666671</v>
      </c>
      <c r="AF13" s="39">
        <f>AVERAGEIFS('Height Summary'!R$13:R$156,'Height Summary'!$F$13:$F$156, "NG4936",'Height Summary'!$E$13:$E$156, "CSM-N")</f>
        <v>99.333333333333329</v>
      </c>
    </row>
    <row r="14" spans="1:32" ht="21" x14ac:dyDescent="0.35">
      <c r="A14" s="104"/>
      <c r="B14" s="10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S14" s="106"/>
      <c r="T14" s="10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</row>
    <row r="15" spans="1:32" ht="21" x14ac:dyDescent="0.35">
      <c r="A15" s="104"/>
      <c r="B15" s="105" t="s">
        <v>42</v>
      </c>
      <c r="C15" s="39"/>
      <c r="D15" s="39" t="e">
        <v>#VALUE!</v>
      </c>
      <c r="E15" s="39" t="e">
        <v>#VALUE!</v>
      </c>
      <c r="F15" s="39">
        <f>AVERAGEIFS('Height Summary'!G$13:G$156,'Height Summary'!$F$13:$F$156, "NG3195",'Height Summary'!$E$13:$E$156, "FAO")</f>
        <v>12.5</v>
      </c>
      <c r="G15" s="39">
        <f>AVERAGEIFS('Height Summary'!H$13:H$156,'Height Summary'!$F$13:$F$156, "NG3195",'Height Summary'!$E$13:$E$156, "FAO")</f>
        <v>18.833333333333332</v>
      </c>
      <c r="H15" s="39">
        <f>AVERAGEIFS('Height Summary'!I$13:I$156,'Height Summary'!$F$13:$F$156, "NG3195",'Height Summary'!$E$13:$E$156, "FAO")</f>
        <v>26.333333333333332</v>
      </c>
      <c r="I15" s="39">
        <f>AVERAGEIFS('Height Summary'!J$13:J$156,'Height Summary'!$F$13:$F$156, "NG3195",'Height Summary'!$E$13:$E$156, "FAO")</f>
        <v>56.25</v>
      </c>
      <c r="J15" s="39">
        <f>AVERAGEIFS('Height Summary'!K$13:K$156,'Height Summary'!$F$13:$F$156, "NG3195",'Height Summary'!$E$13:$E$156, "FAO")</f>
        <v>71.833333333333329</v>
      </c>
      <c r="K15" s="39">
        <f>AVERAGEIFS('Height Summary'!L$13:L$156,'Height Summary'!$F$13:$F$156, "NG3195",'Height Summary'!$E$13:$E$156, "FAO")</f>
        <v>78.166666666666671</v>
      </c>
      <c r="L15" s="39">
        <f>AVERAGEIFS('Height Summary'!M$13:M$156,'Height Summary'!$F$13:$F$156, "NG3195",'Height Summary'!$E$13:$E$156, "FAO")</f>
        <v>90.583333333333329</v>
      </c>
      <c r="M15" s="39">
        <f>AVERAGEIFS('Height Summary'!N$13:N$156,'Height Summary'!$F$13:$F$156, "NG3195",'Height Summary'!$E$13:$E$156, "FAO")</f>
        <v>102.58333333333333</v>
      </c>
      <c r="N15" s="39">
        <f>AVERAGEIFS('Height Summary'!O$13:O$156,'Height Summary'!$F$13:$F$156, "NG3195",'Height Summary'!$E$13:$E$156, "FAO")</f>
        <v>106.91666666666667</v>
      </c>
      <c r="O15" s="39">
        <f>AVERAGEIFS('Height Summary'!P$13:P$156,'Height Summary'!$F$13:$F$156, "NG3195",'Height Summary'!$E$13:$E$156, "FAO")</f>
        <v>110.75</v>
      </c>
      <c r="P15" s="39">
        <f>AVERAGEIFS('Height Summary'!Q$13:Q$156,'Height Summary'!$F$13:$F$156, "NG3195",'Height Summary'!$E$13:$E$156, "FAO")</f>
        <v>112.75</v>
      </c>
      <c r="Q15" s="39">
        <f>AVERAGEIFS('Height Summary'!R$13:R$156,'Height Summary'!$F$13:$F$156, "NG3195",'Height Summary'!$E$13:$E$156, "FAO")</f>
        <v>113.08333333333333</v>
      </c>
      <c r="S15" s="106"/>
      <c r="T15" s="105" t="s">
        <v>42</v>
      </c>
      <c r="U15" s="39">
        <f>AVERAGEIFS('Height Summary'!G$13:G$156,'Height Summary'!$F$13:$F$156, "NG4936",'Height Summary'!$E$13:$E$156, "FAO")</f>
        <v>6.75</v>
      </c>
      <c r="V15" s="39">
        <f>AVERAGEIFS('Height Summary'!H$13:H$156,'Height Summary'!$F$13:$F$156, "NG4936",'Height Summary'!$E$13:$E$156, "FAO")</f>
        <v>12.25</v>
      </c>
      <c r="W15" s="39">
        <f>AVERAGEIFS('Height Summary'!I$13:I$156,'Height Summary'!$F$13:$F$156, "NG4936",'Height Summary'!$E$13:$E$156, "FAO")</f>
        <v>19</v>
      </c>
      <c r="X15" s="39">
        <f>AVERAGEIFS('Height Summary'!J$13:J$156,'Height Summary'!$F$13:$F$156, "NG4936",'Height Summary'!$E$13:$E$156, "FAO")</f>
        <v>41.083333333333336</v>
      </c>
      <c r="Y15" s="39">
        <f>AVERAGEIFS('Height Summary'!K$13:K$156,'Height Summary'!$F$13:$F$156, "NG4936",'Height Summary'!$E$13:$E$156, "FAO")</f>
        <v>59.333333333333336</v>
      </c>
      <c r="Z15" s="39">
        <f>AVERAGEIFS('Height Summary'!L$13:L$156,'Height Summary'!$F$13:$F$156, "NG4936",'Height Summary'!$E$13:$E$156, "FAO")</f>
        <v>68</v>
      </c>
      <c r="AA15" s="39">
        <f>AVERAGEIFS('Height Summary'!M$13:M$156,'Height Summary'!$F$13:$F$156, "NG4936",'Height Summary'!$E$13:$E$156, "FAO")</f>
        <v>83.833333333333329</v>
      </c>
      <c r="AB15" s="39">
        <f>AVERAGEIFS('Height Summary'!N$13:N$156,'Height Summary'!$F$13:$F$156, "NG4936",'Height Summary'!$E$13:$E$156, "FAO")</f>
        <v>93.916666666666671</v>
      </c>
      <c r="AC15" s="39">
        <f>AVERAGEIFS('Height Summary'!O$13:O$156,'Height Summary'!$F$13:$F$156, "NG4936",'Height Summary'!$E$13:$E$156, "FAO")</f>
        <v>97.833333333333329</v>
      </c>
      <c r="AD15" s="39">
        <f>AVERAGEIFS('Height Summary'!P$13:P$156,'Height Summary'!$F$13:$F$156, "NG4936",'Height Summary'!$E$13:$E$156, "FAO")</f>
        <v>101.33333333333333</v>
      </c>
      <c r="AE15" s="39">
        <f>AVERAGEIFS('Height Summary'!Q$13:Q$156,'Height Summary'!$F$13:$F$156, "NG4936",'Height Summary'!$E$13:$E$156, "FAO")</f>
        <v>103.41666666666667</v>
      </c>
      <c r="AF15" s="39">
        <f>AVERAGEIFS('Height Summary'!R$13:R$156,'Height Summary'!$F$13:$F$156, "NG4936",'Height Summary'!$E$13:$E$156, "FAO")</f>
        <v>105.16666666666667</v>
      </c>
    </row>
    <row r="16" spans="1:32" ht="21" x14ac:dyDescent="0.35">
      <c r="A16" s="104"/>
      <c r="B16" s="10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S16" s="106"/>
      <c r="T16" s="10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</row>
    <row r="17" spans="1:32" ht="21" x14ac:dyDescent="0.35">
      <c r="A17" s="104"/>
      <c r="B17" s="105" t="s">
        <v>44</v>
      </c>
      <c r="C17" s="39"/>
      <c r="D17" s="39" t="e">
        <v>#VALUE!</v>
      </c>
      <c r="E17" s="39" t="e">
        <v>#VALUE!</v>
      </c>
      <c r="F17" s="39">
        <f>AVERAGEIFS('Height Summary'!G$13:G$156,'Height Summary'!$F$13:$F$156, "NG3195",'Height Summary'!$E$13:$E$156, "FAO-N")</f>
        <v>11.666666666666666</v>
      </c>
      <c r="G17" s="39">
        <f>AVERAGEIFS('Height Summary'!H$13:H$156,'Height Summary'!$F$13:$F$156, "NG3195",'Height Summary'!$E$13:$E$156, "FAO-N")</f>
        <v>17.916666666666668</v>
      </c>
      <c r="H17" s="39">
        <f>AVERAGEIFS('Height Summary'!I$13:I$156,'Height Summary'!$F$13:$F$156, "NG3195",'Height Summary'!$E$13:$E$156, "FAO-N")</f>
        <v>26</v>
      </c>
      <c r="I17" s="39">
        <f>AVERAGEIFS('Height Summary'!J$13:J$156,'Height Summary'!$F$13:$F$156, "NG3195",'Height Summary'!$E$13:$E$156, "FAO-N")</f>
        <v>56.25</v>
      </c>
      <c r="J17" s="39">
        <f>AVERAGEIFS('Height Summary'!K$13:K$156,'Height Summary'!$F$13:$F$156, "NG3195",'Height Summary'!$E$13:$E$156, "FAO-N")</f>
        <v>75.416666666666671</v>
      </c>
      <c r="K17" s="39">
        <f>AVERAGEIFS('Height Summary'!L$13:L$156,'Height Summary'!$F$13:$F$156, "NG3195",'Height Summary'!$E$13:$E$156, "FAO-N")</f>
        <v>77.166666666666671</v>
      </c>
      <c r="L17" s="39">
        <f>AVERAGEIFS('Height Summary'!M$13:M$156,'Height Summary'!$F$13:$F$156, "NG3195",'Height Summary'!$E$13:$E$156, "FAO-N")</f>
        <v>81.75</v>
      </c>
      <c r="M17" s="39">
        <f>AVERAGEIFS('Height Summary'!N$13:N$156,'Height Summary'!$F$13:$F$156, "NG3195",'Height Summary'!$E$13:$E$156, "FAO-N")</f>
        <v>92.5</v>
      </c>
      <c r="N17" s="39">
        <f>AVERAGEIFS('Height Summary'!O$13:O$156,'Height Summary'!$F$13:$F$156, "NG3195",'Height Summary'!$E$13:$E$156, "FAO-N")</f>
        <v>96.083333333333329</v>
      </c>
      <c r="O17" s="39">
        <f>AVERAGEIFS('Height Summary'!P$13:P$156,'Height Summary'!$F$13:$F$156, "NG3195",'Height Summary'!$E$13:$E$156, "FAO-N")</f>
        <v>98.166666666666671</v>
      </c>
      <c r="P17" s="39">
        <f>AVERAGEIFS('Height Summary'!Q$13:Q$156,'Height Summary'!$F$13:$F$156, "NG3195",'Height Summary'!$E$13:$E$156, "FAO-N")</f>
        <v>98.666666666666671</v>
      </c>
      <c r="Q17" s="39">
        <f>AVERAGEIFS('Height Summary'!R$13:R$156,'Height Summary'!$F$13:$F$156, "NG3195",'Height Summary'!$E$13:$E$156, "FAO-N")</f>
        <v>97</v>
      </c>
      <c r="S17" s="106"/>
      <c r="T17" s="105" t="s">
        <v>44</v>
      </c>
      <c r="U17" s="39">
        <f>AVERAGEIFS('Height Summary'!G$13:G$156,'Height Summary'!$F$13:$F$156, "NG4936",'Height Summary'!$E$13:$E$156, "FAO-N")</f>
        <v>6.083333333333333</v>
      </c>
      <c r="V17" s="39">
        <f>AVERAGEIFS('Height Summary'!H$13:H$156,'Height Summary'!$F$13:$F$156, "NG4936",'Height Summary'!$E$13:$E$156, "FAO-N")</f>
        <v>11.75</v>
      </c>
      <c r="W17" s="39">
        <f>AVERAGEIFS('Height Summary'!I$13:I$156,'Height Summary'!$F$13:$F$156, "NG4936",'Height Summary'!$E$13:$E$156, "FAO-N")</f>
        <v>17.416666666666668</v>
      </c>
      <c r="X17" s="39">
        <f>AVERAGEIFS('Height Summary'!J$13:J$156,'Height Summary'!$F$13:$F$156, "NG4936",'Height Summary'!$E$13:$E$156, "FAO-N")</f>
        <v>41.25</v>
      </c>
      <c r="Y17" s="39">
        <f>AVERAGEIFS('Height Summary'!K$13:K$156,'Height Summary'!$F$13:$F$156, "NG4936",'Height Summary'!$E$13:$E$156, "FAO-N")</f>
        <v>59.583333333333336</v>
      </c>
      <c r="Z17" s="39">
        <f>AVERAGEIFS('Height Summary'!L$13:L$156,'Height Summary'!$F$13:$F$156, "NG4936",'Height Summary'!$E$13:$E$156, "FAO-N")</f>
        <v>65</v>
      </c>
      <c r="AA17" s="39">
        <f>AVERAGEIFS('Height Summary'!M$13:M$156,'Height Summary'!$F$13:$F$156, "NG4936",'Height Summary'!$E$13:$E$156, "FAO-N")</f>
        <v>76.916666666666671</v>
      </c>
      <c r="AB17" s="39">
        <f>AVERAGEIFS('Height Summary'!N$13:N$156,'Height Summary'!$F$13:$F$156, "NG4936",'Height Summary'!$E$13:$E$156, "FAO-N")</f>
        <v>86.166666666666671</v>
      </c>
      <c r="AC17" s="39">
        <f>AVERAGEIFS('Height Summary'!O$13:O$156,'Height Summary'!$F$13:$F$156, "NG4936",'Height Summary'!$E$13:$E$156, "FAO-N")</f>
        <v>89</v>
      </c>
      <c r="AD17" s="39">
        <f>AVERAGEIFS('Height Summary'!P$13:P$156,'Height Summary'!$F$13:$F$156, "NG4936",'Height Summary'!$E$13:$E$156, "FAO-N")</f>
        <v>91.333333333333329</v>
      </c>
      <c r="AE17" s="39">
        <f>AVERAGEIFS('Height Summary'!Q$13:Q$156,'Height Summary'!$F$13:$F$156, "NG4936",'Height Summary'!$E$13:$E$156, "FAO-N")</f>
        <v>92.166666666666671</v>
      </c>
      <c r="AF17" s="39">
        <f>AVERAGEIFS('Height Summary'!R$13:R$156,'Height Summary'!$F$13:$F$156, "NG4936",'Height Summary'!$E$13:$E$156, "FAO-N")</f>
        <v>91</v>
      </c>
    </row>
    <row r="18" spans="1:32" ht="21" x14ac:dyDescent="0.35">
      <c r="A18" s="104"/>
      <c r="B18" s="105"/>
      <c r="C18" s="25"/>
      <c r="G18" s="52"/>
      <c r="S18" s="106"/>
      <c r="T18" s="105"/>
      <c r="U18" s="25"/>
      <c r="Y18" s="52"/>
    </row>
    <row r="19" spans="1:32" ht="21" x14ac:dyDescent="0.35">
      <c r="A19" s="107"/>
      <c r="B19" s="105"/>
      <c r="C19" s="25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</row>
    <row r="20" spans="1:32" ht="21" x14ac:dyDescent="0.35">
      <c r="A20" s="100" t="s">
        <v>22</v>
      </c>
      <c r="B20" s="105"/>
      <c r="C20" s="44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4"/>
      <c r="S20" s="100" t="s">
        <v>22</v>
      </c>
      <c r="T20" s="105"/>
      <c r="U20" s="34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</row>
    <row r="21" spans="1:32" ht="21" x14ac:dyDescent="0.35">
      <c r="A21" s="107"/>
      <c r="B21" s="10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S21" s="107"/>
      <c r="T21" s="10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</row>
    <row r="22" spans="1:32" ht="21" x14ac:dyDescent="0.35">
      <c r="A22" s="107"/>
      <c r="B22" s="105"/>
      <c r="C22" s="46"/>
      <c r="D22" s="46">
        <v>44348</v>
      </c>
      <c r="E22" s="46">
        <v>44354</v>
      </c>
      <c r="F22" s="46">
        <f>'Cover Summary'!G9</f>
        <v>44713</v>
      </c>
      <c r="G22" s="46">
        <f>'Cover Summary'!H9</f>
        <v>44718</v>
      </c>
      <c r="H22" s="46">
        <f>'Cover Summary'!I9</f>
        <v>44725</v>
      </c>
      <c r="I22" s="46">
        <f>'Cover Summary'!J9</f>
        <v>44739</v>
      </c>
      <c r="J22" s="46">
        <f>'Cover Summary'!K9</f>
        <v>44747</v>
      </c>
      <c r="K22" s="46">
        <f>'Cover Summary'!L9</f>
        <v>44753</v>
      </c>
      <c r="L22" s="46">
        <f>'Cover Summary'!M9</f>
        <v>44767</v>
      </c>
      <c r="M22" s="46">
        <f>'Cover Summary'!N9</f>
        <v>44781</v>
      </c>
      <c r="N22" s="46">
        <f>'Cover Summary'!O9</f>
        <v>44788</v>
      </c>
      <c r="O22" s="46" t="str">
        <f>'Cover Summary'!P9</f>
        <v>22-23 Aug 2022</v>
      </c>
      <c r="P22" s="46">
        <f>'Cover Summary'!Q9</f>
        <v>44802</v>
      </c>
      <c r="Q22" s="46">
        <f>'Cover Summary'!R9</f>
        <v>44812</v>
      </c>
      <c r="S22" s="107"/>
      <c r="T22" s="105"/>
      <c r="U22" s="46">
        <f>'Cover Summary'!G9</f>
        <v>44713</v>
      </c>
      <c r="V22" s="46">
        <f>'Cover Summary'!H9</f>
        <v>44718</v>
      </c>
      <c r="W22" s="46">
        <f>'Cover Summary'!I9</f>
        <v>44725</v>
      </c>
      <c r="X22" s="46">
        <f>'Cover Summary'!J9</f>
        <v>44739</v>
      </c>
      <c r="Y22" s="46">
        <f>'Cover Summary'!K9</f>
        <v>44747</v>
      </c>
      <c r="Z22" s="46">
        <f>'Cover Summary'!L9</f>
        <v>44753</v>
      </c>
      <c r="AA22" s="46">
        <f>'Cover Summary'!M9</f>
        <v>44767</v>
      </c>
      <c r="AB22" s="46">
        <f>'Cover Summary'!N9</f>
        <v>44781</v>
      </c>
      <c r="AC22" s="46">
        <f>'Cover Summary'!O9</f>
        <v>44788</v>
      </c>
      <c r="AD22" s="46" t="str">
        <f>'Cover Summary'!P9</f>
        <v>22-23 Aug 2022</v>
      </c>
      <c r="AE22" s="46">
        <f>'Cover Summary'!Q9</f>
        <v>44802</v>
      </c>
      <c r="AF22" s="46">
        <f>'Cover Summary'!R9</f>
        <v>44812</v>
      </c>
    </row>
    <row r="23" spans="1:32" ht="21" x14ac:dyDescent="0.2">
      <c r="A23" s="102" t="s">
        <v>43</v>
      </c>
      <c r="B23" s="105"/>
      <c r="C23" s="47"/>
      <c r="D23" s="33">
        <v>152</v>
      </c>
      <c r="E23" s="33">
        <v>158</v>
      </c>
      <c r="F23" s="33">
        <f>'Cover Summary'!G10</f>
        <v>152</v>
      </c>
      <c r="G23" s="33">
        <f>'Cover Summary'!H10</f>
        <v>157</v>
      </c>
      <c r="H23" s="33">
        <f>'Cover Summary'!I10</f>
        <v>164</v>
      </c>
      <c r="I23" s="33">
        <f>'Cover Summary'!J10</f>
        <v>178</v>
      </c>
      <c r="J23" s="33">
        <f>'Cover Summary'!K10</f>
        <v>186</v>
      </c>
      <c r="K23" s="33">
        <f>'Cover Summary'!L10</f>
        <v>192</v>
      </c>
      <c r="L23" s="33">
        <f>'Cover Summary'!M10</f>
        <v>206</v>
      </c>
      <c r="M23" s="33">
        <f>'Cover Summary'!N10</f>
        <v>220</v>
      </c>
      <c r="N23" s="33">
        <f>'Cover Summary'!O10</f>
        <v>227</v>
      </c>
      <c r="O23" s="33" t="str">
        <f>'Cover Summary'!P10</f>
        <v>234-235</v>
      </c>
      <c r="P23" s="33">
        <f>'Cover Summary'!Q10</f>
        <v>241</v>
      </c>
      <c r="Q23" s="33">
        <f>'Cover Summary'!R10</f>
        <v>251</v>
      </c>
      <c r="R23" s="45"/>
      <c r="S23" s="103" t="s">
        <v>41</v>
      </c>
      <c r="T23" s="105"/>
      <c r="U23" s="33">
        <f>'Cover Summary'!G10</f>
        <v>152</v>
      </c>
      <c r="V23" s="33">
        <f>'Cover Summary'!H10</f>
        <v>157</v>
      </c>
      <c r="W23" s="33">
        <f>'Cover Summary'!I10</f>
        <v>164</v>
      </c>
      <c r="X23" s="33">
        <f>'Cover Summary'!J10</f>
        <v>178</v>
      </c>
      <c r="Y23" s="33">
        <f>'Cover Summary'!K10</f>
        <v>186</v>
      </c>
      <c r="Z23" s="33">
        <f>'Cover Summary'!L10</f>
        <v>192</v>
      </c>
      <c r="AA23" s="33">
        <f>'Cover Summary'!M10</f>
        <v>206</v>
      </c>
      <c r="AB23" s="33">
        <f>'Cover Summary'!N10</f>
        <v>220</v>
      </c>
      <c r="AC23" s="33">
        <f>'Cover Summary'!O10</f>
        <v>227</v>
      </c>
      <c r="AD23" s="33" t="str">
        <f>'Cover Summary'!P10</f>
        <v>234-235</v>
      </c>
      <c r="AE23" s="33">
        <f>'Cover Summary'!Q10</f>
        <v>241</v>
      </c>
      <c r="AF23" s="33">
        <f>'Cover Summary'!R10</f>
        <v>251</v>
      </c>
    </row>
    <row r="24" spans="1:32" ht="21" x14ac:dyDescent="0.35">
      <c r="A24" s="104"/>
      <c r="B24" s="105" t="s">
        <v>48</v>
      </c>
      <c r="C24" s="39"/>
      <c r="D24" s="39" t="e">
        <v>#VALUE!</v>
      </c>
      <c r="E24" s="39" t="e">
        <v>#VALUE!</v>
      </c>
      <c r="F24" s="39">
        <f>AVERAGEIFS('Cover Summary'!G$13:G$156,'Cover Summary'!$F$13:$F$156, "NG3195",'Cover Summary'!$E$13:$E$156, "AQC")</f>
        <v>13.916666666666666</v>
      </c>
      <c r="G24" s="39">
        <f>AVERAGEIFS('Cover Summary'!H$13:H$156,'Cover Summary'!$F$13:$F$156, "NG3195",'Cover Summary'!$E$13:$E$156, "AQC")</f>
        <v>20.916666666666668</v>
      </c>
      <c r="H24" s="39">
        <f>AVERAGEIFS('Cover Summary'!I$13:I$156,'Cover Summary'!$F$13:$F$156, "NG3195",'Cover Summary'!$E$13:$E$156, "AQC")</f>
        <v>27.916666666666668</v>
      </c>
      <c r="I24" s="39">
        <f>AVERAGEIFS('Cover Summary'!J$13:J$156,'Cover Summary'!$F$13:$F$156, "NG3195",'Cover Summary'!$E$13:$E$156, "AQC")</f>
        <v>55.083333333333336</v>
      </c>
      <c r="J24" s="39">
        <f>AVERAGEIFS('Cover Summary'!K$13:K$156,'Cover Summary'!$F$13:$F$156, "NG3195",'Cover Summary'!$E$13:$E$156, "AQC")</f>
        <v>67.666666666666671</v>
      </c>
      <c r="K24" s="39">
        <f>AVERAGEIFS('Cover Summary'!L$13:L$156,'Cover Summary'!$F$13:$F$156, "NG3195",'Cover Summary'!$E$13:$E$156, "AQC")</f>
        <v>80.25</v>
      </c>
      <c r="L24" s="39">
        <f>AVERAGEIFS('Cover Summary'!M$13:M$156,'Cover Summary'!$F$13:$F$156, "NG3195",'Cover Summary'!$E$13:$E$156, "AQC")</f>
        <v>83.25</v>
      </c>
      <c r="M24" s="39">
        <f>AVERAGEIFS('Cover Summary'!N$13:N$156,'Cover Summary'!$F$13:$F$156, "NG3195",'Cover Summary'!$E$13:$E$156, "AQC")</f>
        <v>89.5</v>
      </c>
      <c r="N24" s="39">
        <f>AVERAGEIFS('Cover Summary'!O$13:O$156,'Cover Summary'!$F$13:$F$156, "NG3195",'Cover Summary'!$E$13:$E$156, "AQC")</f>
        <v>90.5</v>
      </c>
      <c r="O24" s="39">
        <f>AVERAGEIFS('Cover Summary'!P$13:P$156,'Cover Summary'!$F$13:$F$156, "NG3195",'Cover Summary'!$E$13:$E$156, "AQC")</f>
        <v>93.666666666666671</v>
      </c>
      <c r="P24" s="39">
        <f>AVERAGEIFS('Cover Summary'!Q$13:Q$156,'Cover Summary'!$F$13:$F$156, "NG3195",'Cover Summary'!$E$13:$E$156, "AQC")</f>
        <v>93</v>
      </c>
      <c r="Q24" s="39">
        <f>AVERAGEIFS('Cover Summary'!R$13:R$156,'Cover Summary'!$F$13:$F$156, "NG3195",'Cover Summary'!$E$13:$E$156, "AQC")</f>
        <v>93.5</v>
      </c>
      <c r="S24" s="106"/>
      <c r="T24" s="105" t="s">
        <v>48</v>
      </c>
      <c r="U24" s="39">
        <f>AVERAGEIFS('Cover Summary'!G$13:G$156,'Cover Summary'!$F$13:$F$156, "NG4936",'Cover Summary'!$E$13:$E$156, "AQC")</f>
        <v>8.3333333333333339</v>
      </c>
      <c r="V24" s="39">
        <f>AVERAGEIFS('Cover Summary'!H$13:H$156,'Cover Summary'!$F$13:$F$156, "NG4936",'Cover Summary'!$E$13:$E$156, "AQC")</f>
        <v>14.916666666666666</v>
      </c>
      <c r="W24" s="39">
        <f>AVERAGEIFS('Cover Summary'!I$13:I$156,'Cover Summary'!$F$13:$F$156, "NG4936",'Cover Summary'!$E$13:$E$156, "AQC")</f>
        <v>20</v>
      </c>
      <c r="X24" s="39">
        <f>AVERAGEIFS('Cover Summary'!J$13:J$156,'Cover Summary'!$F$13:$F$156, "NG4936",'Cover Summary'!$E$13:$E$156, "AQC")</f>
        <v>39.583333333333336</v>
      </c>
      <c r="Y24" s="39">
        <f>AVERAGEIFS('Cover Summary'!K$13:K$156,'Cover Summary'!$F$13:$F$156, "NG4936",'Cover Summary'!$E$13:$E$156, "AQC")</f>
        <v>54.583333333333336</v>
      </c>
      <c r="Z24" s="39">
        <f>AVERAGEIFS('Cover Summary'!L$13:L$156,'Cover Summary'!$F$13:$F$156, "NG4936",'Cover Summary'!$E$13:$E$156, "AQC")</f>
        <v>66.916666666666671</v>
      </c>
      <c r="AA24" s="39">
        <f>AVERAGEIFS('Cover Summary'!M$13:M$156,'Cover Summary'!$F$13:$F$156, "NG4936",'Cover Summary'!$E$13:$E$156, "AQC")</f>
        <v>75.333333333333329</v>
      </c>
      <c r="AB24" s="39">
        <f>AVERAGEIFS('Cover Summary'!N$13:N$156,'Cover Summary'!$F$13:$F$156, "NG4936",'Cover Summary'!$E$13:$E$156, "AQC")</f>
        <v>82.583333333333329</v>
      </c>
      <c r="AC24" s="39">
        <f>AVERAGEIFS('Cover Summary'!O$13:O$156,'Cover Summary'!$F$13:$F$156, "NG4936",'Cover Summary'!$E$13:$E$156, "AQC")</f>
        <v>83.555555555555557</v>
      </c>
      <c r="AD24" s="39">
        <f>AVERAGEIFS('Cover Summary'!P$13:P$156,'Cover Summary'!$F$13:$F$156, "NG4936",'Cover Summary'!$E$13:$E$156, "AQC")</f>
        <v>85.428571428571431</v>
      </c>
      <c r="AE24" s="39">
        <f>AVERAGEIFS('Cover Summary'!Q$13:Q$156,'Cover Summary'!$F$13:$F$156, "NG4936",'Cover Summary'!$E$13:$E$156, "AQC")</f>
        <v>88.571428571428569</v>
      </c>
      <c r="AF24" s="39">
        <f>AVERAGEIFS('Cover Summary'!R$13:R$156,'Cover Summary'!$F$13:$F$156, "NG4936",'Cover Summary'!$E$13:$E$156, "AQC")</f>
        <v>89.285714285714292</v>
      </c>
    </row>
    <row r="25" spans="1:32" ht="21" x14ac:dyDescent="0.35">
      <c r="A25" s="104"/>
      <c r="B25" s="105"/>
      <c r="C25" s="32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4"/>
      <c r="S25" s="106"/>
      <c r="T25" s="10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</row>
    <row r="26" spans="1:32" ht="21" x14ac:dyDescent="0.35">
      <c r="A26" s="104"/>
      <c r="B26" s="105" t="s">
        <v>45</v>
      </c>
      <c r="C26" s="39"/>
      <c r="D26" s="39" t="e">
        <v>#VALUE!</v>
      </c>
      <c r="E26" s="39" t="e">
        <v>#VALUE!</v>
      </c>
      <c r="F26" s="39">
        <f>AVERAGEIFS('Cover Summary'!G$13:G$156,'Cover Summary'!$F$13:$F$156, "NG3195",'Cover Summary'!$E$13:$E$156, "AQC-N")</f>
        <v>13.583333333333334</v>
      </c>
      <c r="G26" s="39">
        <f>AVERAGEIFS('Cover Summary'!H$13:H$156,'Cover Summary'!$F$13:$F$156, "NG3195",'Cover Summary'!$E$13:$E$156, "AQC-N")</f>
        <v>20.666666666666668</v>
      </c>
      <c r="H26" s="39">
        <f>AVERAGEIFS('Cover Summary'!I$13:I$156,'Cover Summary'!$F$13:$F$156, "NG3195",'Cover Summary'!$E$13:$E$156, "AQC-N")</f>
        <v>24.666666666666668</v>
      </c>
      <c r="I26" s="39">
        <f>AVERAGEIFS('Cover Summary'!J$13:J$156,'Cover Summary'!$F$13:$F$156, "NG3195",'Cover Summary'!$E$13:$E$156, "AQC-N")</f>
        <v>50.5</v>
      </c>
      <c r="J26" s="39">
        <f>AVERAGEIFS('Cover Summary'!K$13:K$156,'Cover Summary'!$F$13:$F$156, "NG3195",'Cover Summary'!$E$13:$E$156, "AQC-N")</f>
        <v>58.583333333333336</v>
      </c>
      <c r="K26" s="39">
        <f>AVERAGEIFS('Cover Summary'!L$13:L$156,'Cover Summary'!$F$13:$F$156, "NG3195",'Cover Summary'!$E$13:$E$156, "AQC-N")</f>
        <v>66.75</v>
      </c>
      <c r="L26" s="39">
        <f>AVERAGEIFS('Cover Summary'!M$13:M$156,'Cover Summary'!$F$13:$F$156, "NG3195",'Cover Summary'!$E$13:$E$156, "AQC-N")</f>
        <v>72.5</v>
      </c>
      <c r="M26" s="39">
        <f>AVERAGEIFS('Cover Summary'!N$13:N$156,'Cover Summary'!$F$13:$F$156, "NG3195",'Cover Summary'!$E$13:$E$156, "AQC-N")</f>
        <v>77</v>
      </c>
      <c r="N26" s="39">
        <f>AVERAGEIFS('Cover Summary'!O$13:O$156,'Cover Summary'!$F$13:$F$156, "NG3195",'Cover Summary'!$E$13:$E$156, "AQC-N")</f>
        <v>78.3</v>
      </c>
      <c r="O26" s="39">
        <f>AVERAGEIFS('Cover Summary'!P$13:P$156,'Cover Summary'!$F$13:$F$156, "NG3195",'Cover Summary'!$E$13:$E$156, "AQC-N")</f>
        <v>81.099999999999994</v>
      </c>
      <c r="P26" s="39">
        <f>AVERAGEIFS('Cover Summary'!Q$13:Q$156,'Cover Summary'!$F$13:$F$156, "NG3195",'Cover Summary'!$E$13:$E$156, "AQC-N")</f>
        <v>83.1</v>
      </c>
      <c r="Q26" s="39">
        <f>AVERAGEIFS('Cover Summary'!R$13:R$156,'Cover Summary'!$F$13:$F$156, "NG3195",'Cover Summary'!$E$13:$E$156, "AQC-N")</f>
        <v>78</v>
      </c>
      <c r="S26" s="106"/>
      <c r="T26" s="105" t="s">
        <v>45</v>
      </c>
      <c r="U26" s="39">
        <f>AVERAGEIFS('Cover Summary'!G$13:G$156,'Cover Summary'!$F$13:$F$156, "NG4936",'Cover Summary'!$E$13:$E$156, "AQC-N")</f>
        <v>5.583333333333333</v>
      </c>
      <c r="V26" s="39">
        <f>AVERAGEIFS('Cover Summary'!H$13:H$156,'Cover Summary'!$F$13:$F$156, "NG4936",'Cover Summary'!$E$13:$E$156, "AQC-N")</f>
        <v>11.75</v>
      </c>
      <c r="W26" s="39">
        <f>AVERAGEIFS('Cover Summary'!I$13:I$156,'Cover Summary'!$F$13:$F$156, "NG4936",'Cover Summary'!$E$13:$E$156, "AQC-N")</f>
        <v>16.416666666666668</v>
      </c>
      <c r="X26" s="39">
        <f>AVERAGEIFS('Cover Summary'!J$13:J$156,'Cover Summary'!$F$13:$F$156, "NG4936",'Cover Summary'!$E$13:$E$156, "AQC-N")</f>
        <v>36.333333333333336</v>
      </c>
      <c r="Y26" s="39">
        <f>AVERAGEIFS('Cover Summary'!K$13:K$156,'Cover Summary'!$F$13:$F$156, "NG4936",'Cover Summary'!$E$13:$E$156, "AQC-N")</f>
        <v>47.583333333333336</v>
      </c>
      <c r="Z26" s="39">
        <f>AVERAGEIFS('Cover Summary'!L$13:L$156,'Cover Summary'!$F$13:$F$156, "NG4936",'Cover Summary'!$E$13:$E$156, "AQC-N")</f>
        <v>59.583333333333336</v>
      </c>
      <c r="AA26" s="39">
        <f>AVERAGEIFS('Cover Summary'!M$13:M$156,'Cover Summary'!$F$13:$F$156, "NG4936",'Cover Summary'!$E$13:$E$156, "AQC-N")</f>
        <v>67.25</v>
      </c>
      <c r="AB26" s="39">
        <f>AVERAGEIFS('Cover Summary'!N$13:N$156,'Cover Summary'!$F$13:$F$156, "NG4936",'Cover Summary'!$E$13:$E$156, "AQC-N")</f>
        <v>74.833333333333329</v>
      </c>
      <c r="AC26" s="39">
        <f>AVERAGEIFS('Cover Summary'!O$13:O$156,'Cover Summary'!$F$13:$F$156, "NG4936",'Cover Summary'!$E$13:$E$156, "AQC-N")</f>
        <v>80.416666666666671</v>
      </c>
      <c r="AD26" s="39">
        <f>AVERAGEIFS('Cover Summary'!P$13:P$156,'Cover Summary'!$F$13:$F$156, "NG4936",'Cover Summary'!$E$13:$E$156, "AQC-N")</f>
        <v>82</v>
      </c>
      <c r="AE26" s="39">
        <f>AVERAGEIFS('Cover Summary'!Q$13:Q$156,'Cover Summary'!$F$13:$F$156, "NG4936",'Cover Summary'!$E$13:$E$156, "AQC-N")</f>
        <v>83.909090909090907</v>
      </c>
      <c r="AF26" s="39">
        <f>AVERAGEIFS('Cover Summary'!R$13:R$156,'Cover Summary'!$F$13:$F$156, "NG4936",'Cover Summary'!$E$13:$E$156, "AQC-N")</f>
        <v>84.909090909090907</v>
      </c>
    </row>
    <row r="27" spans="1:32" ht="21" x14ac:dyDescent="0.35">
      <c r="A27" s="104"/>
      <c r="B27" s="105"/>
      <c r="C27" s="32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4"/>
      <c r="S27" s="106"/>
      <c r="T27" s="10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</row>
    <row r="28" spans="1:32" ht="21" x14ac:dyDescent="0.35">
      <c r="A28" s="104"/>
      <c r="B28" s="105" t="s">
        <v>46</v>
      </c>
      <c r="C28" s="39"/>
      <c r="D28" s="39" t="e">
        <v>#VALUE!</v>
      </c>
      <c r="E28" s="39" t="e">
        <v>#VALUE!</v>
      </c>
      <c r="F28" s="39">
        <f>AVERAGEIFS('Cover Summary'!G$13:G$156,'Cover Summary'!$F$13:$F$156, "NG3195",'Cover Summary'!$E$13:$E$156, "CSM")</f>
        <v>13.666666666666666</v>
      </c>
      <c r="G28" s="39">
        <f>AVERAGEIFS('Cover Summary'!H$13:H$156,'Cover Summary'!$F$13:$F$156, "NG3195",'Cover Summary'!$E$13:$E$156, "CSM")</f>
        <v>19.416666666666668</v>
      </c>
      <c r="H28" s="39">
        <f>AVERAGEIFS('Cover Summary'!I$13:I$156,'Cover Summary'!$F$13:$F$156, "NG3195",'Cover Summary'!$E$13:$E$156, "CSM")</f>
        <v>25.833333333333332</v>
      </c>
      <c r="I28" s="39">
        <f>AVERAGEIFS('Cover Summary'!J$13:J$156,'Cover Summary'!$F$13:$F$156, "NG3195",'Cover Summary'!$E$13:$E$156, "CSM")</f>
        <v>52.833333333333336</v>
      </c>
      <c r="J28" s="39">
        <f>AVERAGEIFS('Cover Summary'!K$13:K$156,'Cover Summary'!$F$13:$F$156, "NG3195",'Cover Summary'!$E$13:$E$156, "CSM")</f>
        <v>62.166666666666664</v>
      </c>
      <c r="K28" s="39">
        <f>AVERAGEIFS('Cover Summary'!L$13:L$156,'Cover Summary'!$F$13:$F$156, "NG3195",'Cover Summary'!$E$13:$E$156, "CSM")</f>
        <v>72.666666666666671</v>
      </c>
      <c r="L28" s="39">
        <f>AVERAGEIFS('Cover Summary'!M$13:M$156,'Cover Summary'!$F$13:$F$156, "NG3195",'Cover Summary'!$E$13:$E$156, "CSM")</f>
        <v>72.777777777777771</v>
      </c>
      <c r="M28" s="39">
        <f>AVERAGEIFS('Cover Summary'!N$13:N$156,'Cover Summary'!$F$13:$F$156, "NG3195",'Cover Summary'!$E$13:$E$156, "CSM")</f>
        <v>83.666666666666671</v>
      </c>
      <c r="N28" s="39">
        <f>AVERAGEIFS('Cover Summary'!O$13:O$156,'Cover Summary'!$F$13:$F$156, "NG3195",'Cover Summary'!$E$13:$E$156, "CSM")</f>
        <v>86.142857142857139</v>
      </c>
      <c r="O28" s="39">
        <f>AVERAGEIFS('Cover Summary'!P$13:P$156,'Cover Summary'!$F$13:$F$156, "NG3195",'Cover Summary'!$E$13:$E$156, "CSM")</f>
        <v>89.4</v>
      </c>
      <c r="P28" s="39">
        <f>AVERAGEIFS('Cover Summary'!Q$13:Q$156,'Cover Summary'!$F$13:$F$156, "NG3195",'Cover Summary'!$E$13:$E$156, "CSM")</f>
        <v>90</v>
      </c>
      <c r="Q28" s="39">
        <f>AVERAGEIFS('Cover Summary'!R$13:R$156,'Cover Summary'!$F$13:$F$156, "NG3195",'Cover Summary'!$E$13:$E$156, "CSM")</f>
        <v>87.5</v>
      </c>
      <c r="S28" s="106"/>
      <c r="T28" s="105" t="s">
        <v>46</v>
      </c>
      <c r="U28" s="39">
        <f>AVERAGEIFS('Cover Summary'!G$13:G$156,'Cover Summary'!$F$13:$F$156, "NG4936",'Cover Summary'!$E$13:$E$156, "CSM")</f>
        <v>6.833333333333333</v>
      </c>
      <c r="V28" s="39">
        <f>AVERAGEIFS('Cover Summary'!H$13:H$156,'Cover Summary'!$F$13:$F$156, "NG4936",'Cover Summary'!$E$13:$E$156, "CSM")</f>
        <v>12</v>
      </c>
      <c r="W28" s="39">
        <f>AVERAGEIFS('Cover Summary'!I$13:I$156,'Cover Summary'!$F$13:$F$156, "NG4936",'Cover Summary'!$E$13:$E$156, "CSM")</f>
        <v>16.833333333333332</v>
      </c>
      <c r="X28" s="39">
        <f>AVERAGEIFS('Cover Summary'!J$13:J$156,'Cover Summary'!$F$13:$F$156, "NG4936",'Cover Summary'!$E$13:$E$156, "CSM")</f>
        <v>37.666666666666664</v>
      </c>
      <c r="Y28" s="39">
        <f>AVERAGEIFS('Cover Summary'!K$13:K$156,'Cover Summary'!$F$13:$F$156, "NG4936",'Cover Summary'!$E$13:$E$156, "CSM")</f>
        <v>51.25</v>
      </c>
      <c r="Z28" s="39">
        <f>AVERAGEIFS('Cover Summary'!L$13:L$156,'Cover Summary'!$F$13:$F$156, "NG4936",'Cover Summary'!$E$13:$E$156, "CSM")</f>
        <v>63.583333333333336</v>
      </c>
      <c r="AA28" s="39">
        <f>AVERAGEIFS('Cover Summary'!M$13:M$156,'Cover Summary'!$F$13:$F$156, "NG4936",'Cover Summary'!$E$13:$E$156, "CSM")</f>
        <v>73.333333333333329</v>
      </c>
      <c r="AB28" s="39">
        <f>AVERAGEIFS('Cover Summary'!N$13:N$156,'Cover Summary'!$F$13:$F$156, "NG4936",'Cover Summary'!$E$13:$E$156, "CSM")</f>
        <v>76.3</v>
      </c>
      <c r="AC28" s="39">
        <f>AVERAGEIFS('Cover Summary'!O$13:O$156,'Cover Summary'!$F$13:$F$156, "NG4936",'Cover Summary'!$E$13:$E$156, "CSM")</f>
        <v>81.5</v>
      </c>
      <c r="AD28" s="39">
        <f>AVERAGEIFS('Cover Summary'!P$13:P$156,'Cover Summary'!$F$13:$F$156, "NG4936",'Cover Summary'!$E$13:$E$156, "CSM")</f>
        <v>83.888888888888886</v>
      </c>
      <c r="AE28" s="39">
        <f>AVERAGEIFS('Cover Summary'!Q$13:Q$156,'Cover Summary'!$F$13:$F$156, "NG4936",'Cover Summary'!$E$13:$E$156, "CSM")</f>
        <v>86.222222222222229</v>
      </c>
      <c r="AF28" s="39">
        <f>AVERAGEIFS('Cover Summary'!R$13:R$156,'Cover Summary'!$F$13:$F$156, "NG4936",'Cover Summary'!$E$13:$E$156, "CSM")</f>
        <v>91.285714285714292</v>
      </c>
    </row>
    <row r="29" spans="1:32" ht="21" x14ac:dyDescent="0.35">
      <c r="A29" s="104"/>
      <c r="B29" s="105"/>
      <c r="C29" s="32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4"/>
      <c r="S29" s="106"/>
      <c r="T29" s="10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</row>
    <row r="30" spans="1:32" ht="21" x14ac:dyDescent="0.35">
      <c r="A30" s="104"/>
      <c r="B30" s="105" t="s">
        <v>47</v>
      </c>
      <c r="C30" s="39"/>
      <c r="D30" s="39" t="e">
        <v>#VALUE!</v>
      </c>
      <c r="E30" s="39" t="e">
        <v>#VALUE!</v>
      </c>
      <c r="F30" s="39">
        <f>AVERAGEIFS('Cover Summary'!G$13:G$156,'Cover Summary'!$F$13:$F$156, "NG3195",'Cover Summary'!$E$13:$E$156, "CSM-N")</f>
        <v>13.333333333333334</v>
      </c>
      <c r="G30" s="39">
        <f>AVERAGEIFS('Cover Summary'!H$13:H$156,'Cover Summary'!$F$13:$F$156, "NG3195",'Cover Summary'!$E$13:$E$156, "CSM-N")</f>
        <v>21.083333333333332</v>
      </c>
      <c r="H30" s="39">
        <f>AVERAGEIFS('Cover Summary'!I$13:I$156,'Cover Summary'!$F$13:$F$156, "NG3195",'Cover Summary'!$E$13:$E$156, "CSM-N")</f>
        <v>26.583333333333332</v>
      </c>
      <c r="I30" s="39">
        <f>AVERAGEIFS('Cover Summary'!J$13:J$156,'Cover Summary'!$F$13:$F$156, "NG3195",'Cover Summary'!$E$13:$E$156, "CSM-N")</f>
        <v>52.333333333333336</v>
      </c>
      <c r="J30" s="39">
        <f>AVERAGEIFS('Cover Summary'!K$13:K$156,'Cover Summary'!$F$13:$F$156, "NG3195",'Cover Summary'!$E$13:$E$156, "CSM-N")</f>
        <v>61.75</v>
      </c>
      <c r="K30" s="39">
        <f>AVERAGEIFS('Cover Summary'!L$13:L$156,'Cover Summary'!$F$13:$F$156, "NG3195",'Cover Summary'!$E$13:$E$156, "CSM-N")</f>
        <v>71.416666666666671</v>
      </c>
      <c r="L30" s="39">
        <f>AVERAGEIFS('Cover Summary'!M$13:M$156,'Cover Summary'!$F$13:$F$156, "NG3195",'Cover Summary'!$E$13:$E$156, "CSM-N")</f>
        <v>75.727272727272734</v>
      </c>
      <c r="M30" s="39">
        <f>AVERAGEIFS('Cover Summary'!N$13:N$156,'Cover Summary'!$F$13:$F$156, "NG3195",'Cover Summary'!$E$13:$E$156, "CSM-N")</f>
        <v>79.3</v>
      </c>
      <c r="N30" s="39">
        <f>AVERAGEIFS('Cover Summary'!O$13:O$156,'Cover Summary'!$F$13:$F$156, "NG3195",'Cover Summary'!$E$13:$E$156, "CSM-N")</f>
        <v>81.375</v>
      </c>
      <c r="O30" s="39">
        <f>AVERAGEIFS('Cover Summary'!P$13:P$156,'Cover Summary'!$F$13:$F$156, "NG3195",'Cover Summary'!$E$13:$E$156, "CSM-N")</f>
        <v>85.714285714285708</v>
      </c>
      <c r="P30" s="39">
        <f>AVERAGEIFS('Cover Summary'!Q$13:Q$156,'Cover Summary'!$F$13:$F$156, "NG3195",'Cover Summary'!$E$13:$E$156, "CSM-N")</f>
        <v>88.4</v>
      </c>
      <c r="Q30" s="39">
        <f>AVERAGEIFS('Cover Summary'!R$13:R$156,'Cover Summary'!$F$13:$F$156, "NG3195",'Cover Summary'!$E$13:$E$156, "CSM-N")</f>
        <v>74</v>
      </c>
      <c r="S30" s="106"/>
      <c r="T30" s="105" t="s">
        <v>47</v>
      </c>
      <c r="U30" s="39">
        <f>AVERAGEIFS('Cover Summary'!G$13:G$156,'Cover Summary'!$F$13:$F$156, "NG4936",'Cover Summary'!$E$13:$E$156, "CSM-N")</f>
        <v>8.3333333333333339</v>
      </c>
      <c r="V30" s="39">
        <f>AVERAGEIFS('Cover Summary'!H$13:H$156,'Cover Summary'!$F$13:$F$156, "NG4936",'Cover Summary'!$E$13:$E$156, "CSM-N")</f>
        <v>13.25</v>
      </c>
      <c r="W30" s="39">
        <f>AVERAGEIFS('Cover Summary'!I$13:I$156,'Cover Summary'!$F$13:$F$156, "NG4936",'Cover Summary'!$E$13:$E$156, "CSM-N")</f>
        <v>18.583333333333332</v>
      </c>
      <c r="X30" s="39">
        <f>AVERAGEIFS('Cover Summary'!J$13:J$156,'Cover Summary'!$F$13:$F$156, "NG4936",'Cover Summary'!$E$13:$E$156, "CSM-N")</f>
        <v>40.75</v>
      </c>
      <c r="Y30" s="39">
        <f>AVERAGEIFS('Cover Summary'!K$13:K$156,'Cover Summary'!$F$13:$F$156, "NG4936",'Cover Summary'!$E$13:$E$156, "CSM-N")</f>
        <v>52.583333333333336</v>
      </c>
      <c r="Z30" s="39">
        <f>AVERAGEIFS('Cover Summary'!L$13:L$156,'Cover Summary'!$F$13:$F$156, "NG4936",'Cover Summary'!$E$13:$E$156, "CSM-N")</f>
        <v>62.583333333333336</v>
      </c>
      <c r="AA30" s="39">
        <f>AVERAGEIFS('Cover Summary'!M$13:M$156,'Cover Summary'!$F$13:$F$156, "NG4936",'Cover Summary'!$E$13:$E$156, "CSM-N")</f>
        <v>69.583333333333329</v>
      </c>
      <c r="AB30" s="39">
        <f>AVERAGEIFS('Cover Summary'!N$13:N$156,'Cover Summary'!$F$13:$F$156, "NG4936",'Cover Summary'!$E$13:$E$156, "CSM-N")</f>
        <v>78.416666666666671</v>
      </c>
      <c r="AC30" s="39">
        <f>AVERAGEIFS('Cover Summary'!O$13:O$156,'Cover Summary'!$F$13:$F$156, "NG4936",'Cover Summary'!$E$13:$E$156, "CSM-N")</f>
        <v>80.900000000000006</v>
      </c>
      <c r="AD30" s="39">
        <f>AVERAGEIFS('Cover Summary'!P$13:P$156,'Cover Summary'!$F$13:$F$156, "NG4936",'Cover Summary'!$E$13:$E$156, "CSM-N")</f>
        <v>84.333333333333329</v>
      </c>
      <c r="AE30" s="39">
        <f>AVERAGEIFS('Cover Summary'!Q$13:Q$156,'Cover Summary'!$F$13:$F$156, "NG4936",'Cover Summary'!$E$13:$E$156, "CSM-N")</f>
        <v>85.571428571428569</v>
      </c>
      <c r="AF30" s="39">
        <f>AVERAGEIFS('Cover Summary'!R$13:R$156,'Cover Summary'!$F$13:$F$156, "NG4936",'Cover Summary'!$E$13:$E$156, "CSM-N")</f>
        <v>78.75</v>
      </c>
    </row>
    <row r="31" spans="1:32" ht="21" x14ac:dyDescent="0.35">
      <c r="A31" s="104"/>
      <c r="B31" s="10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4"/>
      <c r="S31" s="106"/>
      <c r="T31" s="10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</row>
    <row r="32" spans="1:32" ht="21" x14ac:dyDescent="0.35">
      <c r="A32" s="104"/>
      <c r="B32" s="105" t="s">
        <v>42</v>
      </c>
      <c r="C32" s="39"/>
      <c r="D32" s="39" t="e">
        <v>#VALUE!</v>
      </c>
      <c r="E32" s="39" t="e">
        <v>#VALUE!</v>
      </c>
      <c r="F32" s="39">
        <f>AVERAGEIFS('Cover Summary'!G$13:G$156,'Cover Summary'!$F$13:$F$156, "NG3195",'Cover Summary'!$E$13:$E$156, "FAO")</f>
        <v>13.833333333333334</v>
      </c>
      <c r="G32" s="39">
        <f>AVERAGEIFS('Cover Summary'!H$13:H$156,'Cover Summary'!$F$13:$F$156, "NG3195",'Cover Summary'!$E$13:$E$156, "FAO")</f>
        <v>20.416666666666668</v>
      </c>
      <c r="H32" s="39">
        <f>AVERAGEIFS('Cover Summary'!I$13:I$156,'Cover Summary'!$F$13:$F$156, "NG3195",'Cover Summary'!$E$13:$E$156, "FAO")</f>
        <v>25.583333333333332</v>
      </c>
      <c r="I32" s="39">
        <f>AVERAGEIFS('Cover Summary'!J$13:J$156,'Cover Summary'!$F$13:$F$156, "NG3195",'Cover Summary'!$E$13:$E$156, "FAO")</f>
        <v>51.333333333333336</v>
      </c>
      <c r="J32" s="39">
        <f>AVERAGEIFS('Cover Summary'!K$13:K$156,'Cover Summary'!$F$13:$F$156, "NG3195",'Cover Summary'!$E$13:$E$156, "FAO")</f>
        <v>63.166666666666664</v>
      </c>
      <c r="K32" s="39">
        <f>AVERAGEIFS('Cover Summary'!L$13:L$156,'Cover Summary'!$F$13:$F$156, "NG3195",'Cover Summary'!$E$13:$E$156, "FAO")</f>
        <v>75.083333333333329</v>
      </c>
      <c r="L32" s="39">
        <f>AVERAGEIFS('Cover Summary'!M$13:M$156,'Cover Summary'!$F$13:$F$156, "NG3195",'Cover Summary'!$E$13:$E$156, "FAO")</f>
        <v>82</v>
      </c>
      <c r="M32" s="39">
        <f>AVERAGEIFS('Cover Summary'!N$13:N$156,'Cover Summary'!$F$13:$F$156, "NG3195",'Cover Summary'!$E$13:$E$156, "FAO")</f>
        <v>87.571428571428569</v>
      </c>
      <c r="N32" s="39">
        <f>AVERAGEIFS('Cover Summary'!O$13:O$156,'Cover Summary'!$F$13:$F$156, "NG3195",'Cover Summary'!$E$13:$E$156, "FAO")</f>
        <v>89</v>
      </c>
      <c r="O32" s="39">
        <f>AVERAGEIFS('Cover Summary'!P$13:P$156,'Cover Summary'!$F$13:$F$156, "NG3195",'Cover Summary'!$E$13:$E$156, "FAO")</f>
        <v>88.333333333333329</v>
      </c>
      <c r="P32" s="39">
        <f>AVERAGEIFS('Cover Summary'!Q$13:Q$156,'Cover Summary'!$F$13:$F$156, "NG3195",'Cover Summary'!$E$13:$E$156, "FAO")</f>
        <v>90.666666666666671</v>
      </c>
      <c r="Q32" s="39">
        <f>AVERAGEIFS('Cover Summary'!R$13:R$156,'Cover Summary'!$F$13:$F$156, "NG3195",'Cover Summary'!$E$13:$E$156, "FAO")</f>
        <v>89.666666666666671</v>
      </c>
      <c r="R32" s="4"/>
      <c r="S32" s="106"/>
      <c r="T32" s="105" t="s">
        <v>42</v>
      </c>
      <c r="U32" s="39">
        <f>AVERAGEIFS('Cover Summary'!G$13:G$156,'Cover Summary'!$F$13:$F$156, "NG4936",'Cover Summary'!$E$13:$E$156, "FAO")</f>
        <v>7.5</v>
      </c>
      <c r="V32" s="39">
        <f>AVERAGEIFS('Cover Summary'!H$13:H$156,'Cover Summary'!$F$13:$F$156, "NG4936",'Cover Summary'!$E$13:$E$156, "FAO")</f>
        <v>13.75</v>
      </c>
      <c r="W32" s="39">
        <f>AVERAGEIFS('Cover Summary'!I$13:I$156,'Cover Summary'!$F$13:$F$156, "NG4936",'Cover Summary'!$E$13:$E$156, "FAO")</f>
        <v>19.916666666666668</v>
      </c>
      <c r="X32" s="39">
        <f>AVERAGEIFS('Cover Summary'!J$13:J$156,'Cover Summary'!$F$13:$F$156, "NG4936",'Cover Summary'!$E$13:$E$156, "FAO")</f>
        <v>38.083333333333336</v>
      </c>
      <c r="Y32" s="39">
        <f>AVERAGEIFS('Cover Summary'!K$13:K$156,'Cover Summary'!$F$13:$F$156, "NG4936",'Cover Summary'!$E$13:$E$156, "FAO")</f>
        <v>51.916666666666664</v>
      </c>
      <c r="Z32" s="39">
        <f>AVERAGEIFS('Cover Summary'!L$13:L$156,'Cover Summary'!$F$13:$F$156, "NG4936",'Cover Summary'!$E$13:$E$156, "FAO")</f>
        <v>64.916666666666671</v>
      </c>
      <c r="AA32" s="39">
        <f>AVERAGEIFS('Cover Summary'!M$13:M$156,'Cover Summary'!$F$13:$F$156, "NG4936",'Cover Summary'!$E$13:$E$156, "FAO")</f>
        <v>73.916666666666671</v>
      </c>
      <c r="AB32" s="39">
        <f>AVERAGEIFS('Cover Summary'!N$13:N$156,'Cover Summary'!$F$13:$F$156, "NG4936",'Cover Summary'!$E$13:$E$156, "FAO")</f>
        <v>88.272727272727266</v>
      </c>
      <c r="AC32" s="39">
        <f>AVERAGEIFS('Cover Summary'!O$13:O$156,'Cover Summary'!$F$13:$F$156, "NG4936",'Cover Summary'!$E$13:$E$156, "FAO")</f>
        <v>93.090909090909093</v>
      </c>
      <c r="AD32" s="39">
        <f>AVERAGEIFS('Cover Summary'!P$13:P$156,'Cover Summary'!$F$13:$F$156, "NG4936",'Cover Summary'!$E$13:$E$156, "FAO")</f>
        <v>94.888888888888886</v>
      </c>
      <c r="AE32" s="39">
        <f>AVERAGEIFS('Cover Summary'!Q$13:Q$156,'Cover Summary'!$F$13:$F$156, "NG4936",'Cover Summary'!$E$13:$E$156, "FAO")</f>
        <v>93.285714285714292</v>
      </c>
      <c r="AF32" s="39">
        <f>AVERAGEIFS('Cover Summary'!R$13:R$156,'Cover Summary'!$F$13:$F$156, "NG4936",'Cover Summary'!$E$13:$E$156, "FAO")</f>
        <v>88.5</v>
      </c>
    </row>
    <row r="33" spans="1:32" ht="21" x14ac:dyDescent="0.35">
      <c r="A33" s="104"/>
      <c r="B33" s="105"/>
      <c r="C33" s="25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4"/>
      <c r="S33" s="106"/>
      <c r="T33" s="105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</row>
    <row r="34" spans="1:32" ht="21" x14ac:dyDescent="0.35">
      <c r="A34" s="104"/>
      <c r="B34" s="105" t="s">
        <v>44</v>
      </c>
      <c r="C34" s="39"/>
      <c r="D34" s="39" t="e">
        <v>#VALUE!</v>
      </c>
      <c r="E34" s="39" t="e">
        <v>#VALUE!</v>
      </c>
      <c r="F34" s="39">
        <f>AVERAGEIFS('Cover Summary'!G$13:G$156,'Cover Summary'!$F$13:$F$156, "NG3195",'Cover Summary'!$E$13:$E$156, "FAO-N")</f>
        <v>12.833333333333334</v>
      </c>
      <c r="G34" s="39">
        <f>AVERAGEIFS('Cover Summary'!H$13:H$156,'Cover Summary'!$F$13:$F$156, "NG3195",'Cover Summary'!$E$13:$E$156, "FAO-N")</f>
        <v>19</v>
      </c>
      <c r="H34" s="39">
        <f>AVERAGEIFS('Cover Summary'!I$13:I$156,'Cover Summary'!$F$13:$F$156, "NG3195",'Cover Summary'!$E$13:$E$156, "FAO-N")</f>
        <v>25.75</v>
      </c>
      <c r="I34" s="39">
        <f>AVERAGEIFS('Cover Summary'!J$13:J$156,'Cover Summary'!$F$13:$F$156, "NG3195",'Cover Summary'!$E$13:$E$156, "FAO-N")</f>
        <v>51.5</v>
      </c>
      <c r="J34" s="39">
        <f>AVERAGEIFS('Cover Summary'!K$13:K$156,'Cover Summary'!$F$13:$F$156, "NG3195",'Cover Summary'!$E$13:$E$156, "FAO-N")</f>
        <v>62.916666666666664</v>
      </c>
      <c r="K34" s="39">
        <f>AVERAGEIFS('Cover Summary'!L$13:L$156,'Cover Summary'!$F$13:$F$156, "NG3195",'Cover Summary'!$E$13:$E$156, "FAO-N")</f>
        <v>72.333333333333329</v>
      </c>
      <c r="L34" s="39">
        <f>AVERAGEIFS('Cover Summary'!M$13:M$156,'Cover Summary'!$F$13:$F$156, "NG3195",'Cover Summary'!$E$13:$E$156, "FAO-N")</f>
        <v>77.916666666666671</v>
      </c>
      <c r="M34" s="39">
        <f>AVERAGEIFS('Cover Summary'!N$13:N$156,'Cover Summary'!$F$13:$F$156, "NG3195",'Cover Summary'!$E$13:$E$156, "FAO-N")</f>
        <v>83.8</v>
      </c>
      <c r="N34" s="39">
        <f>AVERAGEIFS('Cover Summary'!O$13:O$156,'Cover Summary'!$F$13:$F$156, "NG3195",'Cover Summary'!$E$13:$E$156, "FAO-N")</f>
        <v>87.111111111111114</v>
      </c>
      <c r="O34" s="39">
        <f>AVERAGEIFS('Cover Summary'!P$13:P$156,'Cover Summary'!$F$13:$F$156, "NG3195",'Cover Summary'!$E$13:$E$156, "FAO-N")</f>
        <v>89.333333333333329</v>
      </c>
      <c r="P34" s="39">
        <f>AVERAGEIFS('Cover Summary'!Q$13:Q$156,'Cover Summary'!$F$13:$F$156, "NG3195",'Cover Summary'!$E$13:$E$156, "FAO-N")</f>
        <v>89.75</v>
      </c>
      <c r="Q34" s="39">
        <f>AVERAGEIFS('Cover Summary'!R$13:R$156,'Cover Summary'!$F$13:$F$156, "NG3195",'Cover Summary'!$E$13:$E$156, "FAO-N")</f>
        <v>89.285714285714292</v>
      </c>
      <c r="R34" s="4"/>
      <c r="S34" s="106"/>
      <c r="T34" s="105" t="s">
        <v>44</v>
      </c>
      <c r="U34" s="39">
        <f>AVERAGEIFS('Cover Summary'!G$13:G$156,'Cover Summary'!$F$13:$F$156, "NG4936",'Cover Summary'!$E$13:$E$156, "FAO-N")</f>
        <v>7</v>
      </c>
      <c r="V34" s="39">
        <f>AVERAGEIFS('Cover Summary'!H$13:H$156,'Cover Summary'!$F$13:$F$156, "NG4936",'Cover Summary'!$E$13:$E$156, "FAO-N")</f>
        <v>13.5</v>
      </c>
      <c r="W34" s="39">
        <f>AVERAGEIFS('Cover Summary'!I$13:I$156,'Cover Summary'!$F$13:$F$156, "NG4936",'Cover Summary'!$E$13:$E$156, "FAO-N")</f>
        <v>18.333333333333332</v>
      </c>
      <c r="X34" s="39">
        <f>AVERAGEIFS('Cover Summary'!J$13:J$156,'Cover Summary'!$F$13:$F$156, "NG4936",'Cover Summary'!$E$13:$E$156, "FAO-N")</f>
        <v>39.333333333333336</v>
      </c>
      <c r="Y34" s="39">
        <f>AVERAGEIFS('Cover Summary'!K$13:K$156,'Cover Summary'!$F$13:$F$156, "NG4936",'Cover Summary'!$E$13:$E$156, "FAO-N")</f>
        <v>51.75</v>
      </c>
      <c r="Z34" s="39">
        <f>AVERAGEIFS('Cover Summary'!L$13:L$156,'Cover Summary'!$F$13:$F$156, "NG4936",'Cover Summary'!$E$13:$E$156, "FAO-N")</f>
        <v>62.25</v>
      </c>
      <c r="AA34" s="39">
        <f>AVERAGEIFS('Cover Summary'!M$13:M$156,'Cover Summary'!$F$13:$F$156, "NG4936",'Cover Summary'!$E$13:$E$156, "FAO-N")</f>
        <v>69.416666666666671</v>
      </c>
      <c r="AB34" s="39">
        <f>AVERAGEIFS('Cover Summary'!N$13:N$156,'Cover Summary'!$F$13:$F$156, "NG4936",'Cover Summary'!$E$13:$E$156, "FAO-N")</f>
        <v>74.818181818181813</v>
      </c>
      <c r="AC34" s="39">
        <f>AVERAGEIFS('Cover Summary'!O$13:O$156,'Cover Summary'!$F$13:$F$156, "NG4936",'Cover Summary'!$E$13:$E$156, "FAO-N")</f>
        <v>78.63636363636364</v>
      </c>
      <c r="AD34" s="39">
        <f>AVERAGEIFS('Cover Summary'!P$13:P$156,'Cover Summary'!$F$13:$F$156, "NG4936",'Cover Summary'!$E$13:$E$156, "FAO-N")</f>
        <v>83.090909090909093</v>
      </c>
      <c r="AE34" s="39">
        <f>AVERAGEIFS('Cover Summary'!Q$13:Q$156,'Cover Summary'!$F$13:$F$156, "NG4936",'Cover Summary'!$E$13:$E$156, "FAO-N")</f>
        <v>83</v>
      </c>
      <c r="AF34" s="39">
        <f>AVERAGEIFS('Cover Summary'!R$13:R$156,'Cover Summary'!$F$13:$F$156, "NG4936",'Cover Summary'!$E$13:$E$156, "FAO-N")</f>
        <v>86.222222222222229</v>
      </c>
    </row>
    <row r="35" spans="1:32" ht="21" x14ac:dyDescent="0.35">
      <c r="A35" s="104"/>
      <c r="B35" s="25"/>
      <c r="C35" s="25"/>
      <c r="G35" s="52"/>
      <c r="R35" s="4"/>
      <c r="S35" s="106"/>
      <c r="T35" s="25"/>
      <c r="X35" s="52"/>
    </row>
    <row r="36" spans="1:32" x14ac:dyDescent="0.2">
      <c r="B36" s="4"/>
      <c r="C36" s="39"/>
      <c r="D36" s="39"/>
      <c r="E36" s="32"/>
      <c r="F36" s="39"/>
      <c r="G36" s="39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spans="1:32" x14ac:dyDescent="0.2">
      <c r="B37" s="4"/>
      <c r="C37" s="39"/>
      <c r="D37" s="39"/>
      <c r="E37" s="32"/>
      <c r="F37" s="39"/>
      <c r="G37" s="39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spans="1:32" x14ac:dyDescent="0.2">
      <c r="B38" s="4"/>
      <c r="C38" s="39"/>
      <c r="D38" s="39"/>
      <c r="E38" s="32"/>
      <c r="F38" s="39"/>
      <c r="G38" s="39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  <row r="39" spans="1:32" x14ac:dyDescent="0.2">
      <c r="B39" s="4"/>
      <c r="C39" s="39"/>
      <c r="D39" s="39"/>
      <c r="E39" s="32"/>
      <c r="F39" s="39"/>
      <c r="G39" s="39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</row>
    <row r="40" spans="1:32" x14ac:dyDescent="0.2">
      <c r="B40" s="4"/>
      <c r="C40" s="39"/>
      <c r="D40" s="39"/>
      <c r="E40" s="32"/>
      <c r="F40" s="39"/>
      <c r="G40" s="39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</row>
    <row r="41" spans="1:32" x14ac:dyDescent="0.2">
      <c r="B41" s="4"/>
      <c r="C41" s="39"/>
      <c r="D41" s="39"/>
      <c r="E41" s="32"/>
      <c r="F41" s="39"/>
      <c r="G41" s="39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</row>
    <row r="42" spans="1:32" x14ac:dyDescent="0.2">
      <c r="B42" s="3"/>
      <c r="C42" s="25"/>
      <c r="D42" s="25"/>
    </row>
    <row r="43" spans="1:32" x14ac:dyDescent="0.2">
      <c r="C43" s="25"/>
    </row>
    <row r="44" spans="1:32" ht="18.75" x14ac:dyDescent="0.3">
      <c r="C44" s="34" t="s">
        <v>22</v>
      </c>
    </row>
    <row r="46" spans="1:32" s="44" customFormat="1" ht="12" x14ac:dyDescent="0.2">
      <c r="C46" s="46">
        <f>'Cover Summary'!F9</f>
        <v>0</v>
      </c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</row>
    <row r="47" spans="1:32" s="44" customFormat="1" ht="15.75" x14ac:dyDescent="0.2">
      <c r="A47" s="99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</row>
    <row r="48" spans="1:32" x14ac:dyDescent="0.2">
      <c r="B48" s="4"/>
      <c r="C48" s="39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</row>
    <row r="49" spans="2:20" x14ac:dyDescent="0.2"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</row>
    <row r="50" spans="2:20" x14ac:dyDescent="0.2">
      <c r="B50" s="4"/>
      <c r="C50" s="39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</row>
    <row r="51" spans="2:20" x14ac:dyDescent="0.2"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</row>
    <row r="52" spans="2:20" x14ac:dyDescent="0.2">
      <c r="B52" s="4"/>
      <c r="C52" s="39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2:20" x14ac:dyDescent="0.2"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</row>
    <row r="54" spans="2:20" x14ac:dyDescent="0.2">
      <c r="B54" s="4"/>
      <c r="C54" s="39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</row>
    <row r="55" spans="2:20" x14ac:dyDescent="0.2">
      <c r="B55" s="4"/>
      <c r="C55" s="25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</row>
    <row r="56" spans="2:20" x14ac:dyDescent="0.2">
      <c r="B56" s="4"/>
      <c r="C56" s="39"/>
    </row>
    <row r="57" spans="2:20" x14ac:dyDescent="0.2">
      <c r="B57" s="4"/>
      <c r="C57" s="25"/>
    </row>
    <row r="58" spans="2:20" x14ac:dyDescent="0.2">
      <c r="B58" s="4"/>
      <c r="C58" s="39"/>
    </row>
    <row r="59" spans="2:20" x14ac:dyDescent="0.2">
      <c r="B59" s="25"/>
      <c r="C59" s="25"/>
    </row>
    <row r="60" spans="2:20" x14ac:dyDescent="0.2">
      <c r="B60" s="25"/>
      <c r="C60" s="25"/>
    </row>
    <row r="61" spans="2:20" x14ac:dyDescent="0.2">
      <c r="B61" s="25"/>
      <c r="C61" s="25"/>
    </row>
    <row r="62" spans="2:20" x14ac:dyDescent="0.2">
      <c r="B62" s="25"/>
      <c r="C62" s="25"/>
    </row>
    <row r="63" spans="2:20" x14ac:dyDescent="0.2">
      <c r="B63" s="25"/>
      <c r="C63" s="25"/>
    </row>
    <row r="64" spans="2:20" x14ac:dyDescent="0.2">
      <c r="B64" s="25"/>
      <c r="C64" s="25"/>
    </row>
    <row r="65" spans="2:3" x14ac:dyDescent="0.2">
      <c r="B65" s="25"/>
      <c r="C65" s="25"/>
    </row>
    <row r="66" spans="2:3" x14ac:dyDescent="0.2">
      <c r="B66" s="25"/>
      <c r="C66" s="25"/>
    </row>
    <row r="67" spans="2:3" x14ac:dyDescent="0.2">
      <c r="B67" s="25"/>
      <c r="C67" s="25"/>
    </row>
    <row r="68" spans="2:3" x14ac:dyDescent="0.2">
      <c r="B68" s="25"/>
      <c r="C68" s="25"/>
    </row>
    <row r="69" spans="2:3" x14ac:dyDescent="0.2">
      <c r="B69" s="25"/>
      <c r="C69" s="25"/>
    </row>
    <row r="70" spans="2:3" x14ac:dyDescent="0.2">
      <c r="B70" s="25"/>
      <c r="C70" s="25"/>
    </row>
    <row r="71" spans="2:3" x14ac:dyDescent="0.2">
      <c r="B71" s="25"/>
      <c r="C71" s="25"/>
    </row>
    <row r="72" spans="2:3" x14ac:dyDescent="0.2">
      <c r="B72" s="25"/>
      <c r="C72" s="25"/>
    </row>
    <row r="73" spans="2:3" x14ac:dyDescent="0.2">
      <c r="C73" s="25"/>
    </row>
    <row r="74" spans="2:3" x14ac:dyDescent="0.2">
      <c r="C74" s="25"/>
    </row>
    <row r="75" spans="2:3" x14ac:dyDescent="0.2">
      <c r="C75" s="25"/>
    </row>
    <row r="76" spans="2:3" x14ac:dyDescent="0.2">
      <c r="C76" s="25"/>
    </row>
  </sheetData>
  <conditionalFormatting sqref="B7:B34">
    <cfRule type="endsWith" dxfId="17" priority="13" operator="endsWith" text="FAO">
      <formula>RIGHT(B7,LEN("FAO"))="FAO"</formula>
    </cfRule>
    <cfRule type="endsWith" dxfId="16" priority="14" operator="endsWith" text="AQC">
      <formula>RIGHT(B7,LEN("AQC"))="AQC"</formula>
    </cfRule>
    <cfRule type="endsWith" dxfId="15" priority="15" operator="endsWith" text="CSM-N">
      <formula>RIGHT(B7,LEN("CSM-N"))="CSM-N"</formula>
    </cfRule>
    <cfRule type="endsWith" dxfId="14" priority="16" operator="endsWith" text="FAO-N">
      <formula>RIGHT(B7,LEN("FAO-N"))="FAO-N"</formula>
    </cfRule>
    <cfRule type="endsWith" dxfId="13" priority="17" operator="endsWith" text="AQC-N">
      <formula>RIGHT(B7,LEN("AQC-N"))="AQC-N"</formula>
    </cfRule>
    <cfRule type="endsWith" dxfId="12" priority="18" operator="endsWith" text="CSM">
      <formula>RIGHT(B7,LEN("CSM"))="CSM"</formula>
    </cfRule>
  </conditionalFormatting>
  <conditionalFormatting sqref="T7:T18">
    <cfRule type="endsWith" dxfId="11" priority="7" operator="endsWith" text="FAO">
      <formula>RIGHT(T7,LEN("FAO"))="FAO"</formula>
    </cfRule>
    <cfRule type="endsWith" dxfId="10" priority="8" operator="endsWith" text="AQC">
      <formula>RIGHT(T7,LEN("AQC"))="AQC"</formula>
    </cfRule>
    <cfRule type="endsWith" dxfId="9" priority="9" operator="endsWith" text="CSM-N">
      <formula>RIGHT(T7,LEN("CSM-N"))="CSM-N"</formula>
    </cfRule>
    <cfRule type="endsWith" dxfId="8" priority="10" operator="endsWith" text="FAO-N">
      <formula>RIGHT(T7,LEN("FAO-N"))="FAO-N"</formula>
    </cfRule>
    <cfRule type="endsWith" dxfId="7" priority="11" operator="endsWith" text="AQC-N">
      <formula>RIGHT(T7,LEN("AQC-N"))="AQC-N"</formula>
    </cfRule>
    <cfRule type="endsWith" dxfId="6" priority="12" operator="endsWith" text="CSM">
      <formula>RIGHT(T7,LEN("CSM"))="CSM"</formula>
    </cfRule>
  </conditionalFormatting>
  <conditionalFormatting sqref="T20:T34">
    <cfRule type="endsWith" dxfId="5" priority="1" operator="endsWith" text="FAO">
      <formula>RIGHT(T20,LEN("FAO"))="FAO"</formula>
    </cfRule>
    <cfRule type="endsWith" dxfId="4" priority="2" operator="endsWith" text="AQC">
      <formula>RIGHT(T20,LEN("AQC"))="AQC"</formula>
    </cfRule>
    <cfRule type="endsWith" dxfId="3" priority="3" operator="endsWith" text="CSM-N">
      <formula>RIGHT(T20,LEN("CSM-N"))="CSM-N"</formula>
    </cfRule>
    <cfRule type="endsWith" dxfId="2" priority="4" operator="endsWith" text="FAO-N">
      <formula>RIGHT(T20,LEN("FAO-N"))="FAO-N"</formula>
    </cfRule>
    <cfRule type="endsWith" dxfId="1" priority="5" operator="endsWith" text="AQC-N">
      <formula>RIGHT(T20,LEN("AQC-N"))="AQC-N"</formula>
    </cfRule>
    <cfRule type="endsWith" dxfId="0" priority="6" operator="endsWith" text="CSM">
      <formula>RIGHT(T20,LEN("CSM"))="CSM"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Height</vt:lpstr>
      <vt:lpstr>Width</vt:lpstr>
      <vt:lpstr>Ordering</vt:lpstr>
      <vt:lpstr>Blank Data Sheet</vt:lpstr>
      <vt:lpstr>Height Summary</vt:lpstr>
      <vt:lpstr>Cover Summary</vt:lpstr>
      <vt:lpstr>Averages</vt:lpstr>
      <vt:lpstr>'Blank Data Sheet'!Print_Area</vt:lpstr>
      <vt:lpstr>'Cover Summary'!Print_Area</vt:lpstr>
      <vt:lpstr>'Height Summary'!Print_Area</vt:lpstr>
      <vt:lpstr>'Blank Data Sheet'!Print_Titles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2021-05-24T22:05:56Z</cp:lastPrinted>
  <dcterms:created xsi:type="dcterms:W3CDTF">2016-05-31T16:53:28Z</dcterms:created>
  <dcterms:modified xsi:type="dcterms:W3CDTF">2024-09-23T20:01:44Z</dcterms:modified>
</cp:coreProperties>
</file>