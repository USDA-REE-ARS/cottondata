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3_F013B4_CO_TILL\"/>
    </mc:Choice>
  </mc:AlternateContent>
  <xr:revisionPtr revIDLastSave="0" documentId="13_ncr:1_{2321DEA4-64CF-450C-9B85-A4E3D2CFBC47}" xr6:coauthVersionLast="47" xr6:coauthVersionMax="47" xr10:uidLastSave="{00000000-0000-0000-0000-000000000000}"/>
  <bookViews>
    <workbookView xWindow="13650" yWindow="-26580" windowWidth="17790" windowHeight="24810" xr2:uid="{A0C8E5E1-3BB8-481A-9E5C-615F618DEDC4}"/>
  </bookViews>
  <sheets>
    <sheet name="Raw Scale" sheetId="1" r:id="rId1"/>
    <sheet name="Plot Sca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E416" i="1" l="1"/>
  <c r="CD416" i="1"/>
  <c r="CC416" i="1"/>
  <c r="CA416" i="1"/>
  <c r="BZ416" i="1"/>
  <c r="BY416" i="1"/>
  <c r="BX416" i="1"/>
  <c r="BW416" i="1"/>
  <c r="BV416" i="1"/>
  <c r="BU416" i="1"/>
  <c r="CE386" i="1"/>
  <c r="CD386" i="1"/>
  <c r="CC386" i="1"/>
  <c r="CA386" i="1"/>
  <c r="BZ386" i="1"/>
  <c r="BY386" i="1"/>
  <c r="BX386" i="1"/>
  <c r="BW386" i="1"/>
  <c r="BV386" i="1"/>
  <c r="BU386" i="1"/>
  <c r="CE356" i="1"/>
  <c r="CD356" i="1"/>
  <c r="CC356" i="1"/>
  <c r="CA356" i="1"/>
  <c r="BZ356" i="1"/>
  <c r="BY356" i="1"/>
  <c r="BX356" i="1"/>
  <c r="BW356" i="1"/>
  <c r="BV356" i="1"/>
  <c r="BU356" i="1"/>
  <c r="CE326" i="1"/>
  <c r="CD326" i="1"/>
  <c r="CC326" i="1"/>
  <c r="CA326" i="1"/>
  <c r="BZ326" i="1"/>
  <c r="BY326" i="1"/>
  <c r="BX326" i="1"/>
  <c r="BW326" i="1"/>
  <c r="BV326" i="1"/>
  <c r="BU326" i="1"/>
  <c r="CE296" i="1"/>
  <c r="CD296" i="1"/>
  <c r="CC296" i="1"/>
  <c r="CA296" i="1"/>
  <c r="BZ296" i="1"/>
  <c r="BY296" i="1"/>
  <c r="BX296" i="1"/>
  <c r="BW296" i="1"/>
  <c r="BV296" i="1"/>
  <c r="BU296" i="1"/>
  <c r="CE266" i="1"/>
  <c r="CD266" i="1"/>
  <c r="CC266" i="1"/>
  <c r="CA266" i="1"/>
  <c r="BZ266" i="1"/>
  <c r="BY266" i="1"/>
  <c r="BX266" i="1"/>
  <c r="BW266" i="1"/>
  <c r="BV266" i="1"/>
  <c r="BU266" i="1"/>
  <c r="CE236" i="1"/>
  <c r="CD236" i="1"/>
  <c r="CC236" i="1"/>
  <c r="CA236" i="1"/>
  <c r="BZ236" i="1"/>
  <c r="BY236" i="1"/>
  <c r="BX236" i="1"/>
  <c r="BW236" i="1"/>
  <c r="BV236" i="1"/>
  <c r="BU236" i="1"/>
  <c r="CE206" i="1"/>
  <c r="CD206" i="1"/>
  <c r="CC206" i="1"/>
  <c r="CA206" i="1"/>
  <c r="BZ206" i="1"/>
  <c r="BY206" i="1"/>
  <c r="BX206" i="1"/>
  <c r="BW206" i="1"/>
  <c r="BV206" i="1"/>
  <c r="BU206" i="1"/>
  <c r="CE176" i="1"/>
  <c r="CD176" i="1"/>
  <c r="CC176" i="1"/>
  <c r="CA176" i="1"/>
  <c r="BZ176" i="1"/>
  <c r="BY176" i="1"/>
  <c r="BX176" i="1"/>
  <c r="BW176" i="1"/>
  <c r="BV176" i="1"/>
  <c r="BU176" i="1"/>
  <c r="CE146" i="1"/>
  <c r="CD146" i="1"/>
  <c r="CC146" i="1"/>
  <c r="CA146" i="1"/>
  <c r="BZ146" i="1"/>
  <c r="BY146" i="1"/>
  <c r="BX146" i="1"/>
  <c r="BW146" i="1"/>
  <c r="BV146" i="1"/>
  <c r="BU146" i="1"/>
  <c r="CE116" i="1"/>
  <c r="CD116" i="1"/>
  <c r="CC116" i="1"/>
  <c r="CA116" i="1"/>
  <c r="BZ116" i="1"/>
  <c r="BY116" i="1"/>
  <c r="BX116" i="1"/>
  <c r="BW116" i="1"/>
  <c r="BV116" i="1"/>
  <c r="BU116" i="1"/>
  <c r="CE86" i="1"/>
  <c r="CD86" i="1"/>
  <c r="CC86" i="1"/>
  <c r="CA86" i="1"/>
  <c r="BZ86" i="1"/>
  <c r="BY86" i="1"/>
  <c r="BX86" i="1"/>
  <c r="BW86" i="1"/>
  <c r="BV86" i="1"/>
  <c r="BU86" i="1"/>
  <c r="BI416" i="1" l="1"/>
  <c r="BH416" i="1"/>
  <c r="BG416" i="1"/>
  <c r="BI386" i="1"/>
  <c r="BH386" i="1"/>
  <c r="BG386" i="1"/>
  <c r="BI356" i="1"/>
  <c r="BH356" i="1"/>
  <c r="BG356" i="1"/>
  <c r="BI326" i="1"/>
  <c r="BH326" i="1"/>
  <c r="BG326" i="1"/>
  <c r="BI296" i="1"/>
  <c r="BH296" i="1"/>
  <c r="BG296" i="1"/>
  <c r="BI266" i="1"/>
  <c r="BH266" i="1"/>
  <c r="BG266" i="1"/>
  <c r="BI236" i="1"/>
  <c r="BH236" i="1"/>
  <c r="BG236" i="1"/>
  <c r="BI206" i="1"/>
  <c r="BH206" i="1"/>
  <c r="BG206" i="1"/>
  <c r="BI176" i="1"/>
  <c r="BH176" i="1"/>
  <c r="BG176" i="1"/>
  <c r="BI146" i="1"/>
  <c r="BH146" i="1"/>
  <c r="BG146" i="1"/>
  <c r="BI116" i="1"/>
  <c r="BH116" i="1"/>
  <c r="BG116" i="1"/>
  <c r="BI86" i="1"/>
  <c r="BH86" i="1"/>
  <c r="BG86" i="1"/>
  <c r="BC416" i="1"/>
  <c r="BB416" i="1"/>
  <c r="BA416" i="1"/>
  <c r="AZ416" i="1"/>
  <c r="BC386" i="1"/>
  <c r="BB386" i="1"/>
  <c r="BA386" i="1"/>
  <c r="AZ386" i="1"/>
  <c r="BC356" i="1"/>
  <c r="BB356" i="1"/>
  <c r="BA356" i="1"/>
  <c r="AZ356" i="1"/>
  <c r="BC326" i="1"/>
  <c r="BB326" i="1"/>
  <c r="BA326" i="1"/>
  <c r="AZ326" i="1"/>
  <c r="BC296" i="1"/>
  <c r="BB296" i="1"/>
  <c r="BA296" i="1"/>
  <c r="AZ296" i="1"/>
  <c r="BC266" i="1"/>
  <c r="BB266" i="1"/>
  <c r="BA266" i="1"/>
  <c r="AZ266" i="1"/>
  <c r="BC236" i="1"/>
  <c r="BB236" i="1"/>
  <c r="BA236" i="1"/>
  <c r="AZ236" i="1"/>
  <c r="BC206" i="1"/>
  <c r="BB206" i="1"/>
  <c r="BA206" i="1"/>
  <c r="AZ206" i="1"/>
  <c r="BC176" i="1"/>
  <c r="BB176" i="1"/>
  <c r="BA176" i="1"/>
  <c r="AZ176" i="1"/>
  <c r="BC146" i="1"/>
  <c r="BB146" i="1"/>
  <c r="BA146" i="1"/>
  <c r="AZ146" i="1"/>
  <c r="BC116" i="1"/>
  <c r="BB116" i="1"/>
  <c r="BA116" i="1"/>
  <c r="AZ116" i="1"/>
  <c r="BC86" i="1"/>
  <c r="BA86" i="1"/>
  <c r="BB86" i="1"/>
  <c r="AZ86" i="1"/>
  <c r="AV416" i="1"/>
  <c r="AW416" i="1" s="1"/>
  <c r="AV386" i="1"/>
  <c r="AW386" i="1" s="1"/>
  <c r="AV356" i="1"/>
  <c r="AW356" i="1" s="1"/>
  <c r="AV326" i="1"/>
  <c r="AW326" i="1" s="1"/>
  <c r="AV296" i="1"/>
  <c r="AW296" i="1" s="1"/>
  <c r="AV266" i="1"/>
  <c r="AW266" i="1" s="1"/>
  <c r="AV236" i="1"/>
  <c r="AW236" i="1" s="1"/>
  <c r="AV206" i="1"/>
  <c r="AW206" i="1" s="1"/>
  <c r="AV176" i="1"/>
  <c r="AW176" i="1" s="1"/>
  <c r="AV146" i="1"/>
  <c r="AW146" i="1" s="1"/>
  <c r="AV116" i="1"/>
  <c r="AW116" i="1" s="1"/>
  <c r="AV86" i="1"/>
  <c r="AW86" i="1" s="1"/>
  <c r="AU416" i="1"/>
  <c r="AT416" i="1"/>
  <c r="AU386" i="1"/>
  <c r="AT386" i="1"/>
  <c r="AU356" i="1"/>
  <c r="AT356" i="1"/>
  <c r="AU326" i="1"/>
  <c r="AT326" i="1"/>
  <c r="AU296" i="1"/>
  <c r="AT296" i="1"/>
  <c r="AU266" i="1"/>
  <c r="AT266" i="1"/>
  <c r="AU236" i="1"/>
  <c r="AT236" i="1"/>
  <c r="AU206" i="1"/>
  <c r="AT206" i="1"/>
  <c r="AU176" i="1"/>
  <c r="AT176" i="1"/>
  <c r="AU146" i="1"/>
  <c r="AT146" i="1"/>
  <c r="AU116" i="1"/>
  <c r="AT116" i="1"/>
  <c r="AU86" i="1"/>
  <c r="W438" i="1"/>
  <c r="V438" i="1"/>
  <c r="W423" i="1"/>
  <c r="V423" i="1"/>
  <c r="W408" i="1"/>
  <c r="V408" i="1"/>
  <c r="W393" i="1"/>
  <c r="V393" i="1"/>
  <c r="W378" i="1"/>
  <c r="V378" i="1"/>
  <c r="W363" i="1"/>
  <c r="V363" i="1"/>
  <c r="W348" i="1"/>
  <c r="V348" i="1"/>
  <c r="W333" i="1"/>
  <c r="V333" i="1"/>
  <c r="W318" i="1"/>
  <c r="V318" i="1"/>
  <c r="W303" i="1"/>
  <c r="V303" i="1"/>
  <c r="W288" i="1"/>
  <c r="V288" i="1"/>
  <c r="W273" i="1"/>
  <c r="V273" i="1"/>
  <c r="W258" i="1"/>
  <c r="V258" i="1"/>
  <c r="W243" i="1"/>
  <c r="V243" i="1"/>
  <c r="W228" i="1"/>
  <c r="V228" i="1"/>
  <c r="W213" i="1"/>
  <c r="V213" i="1"/>
  <c r="W198" i="1"/>
  <c r="V198" i="1"/>
  <c r="W183" i="1"/>
  <c r="V183" i="1"/>
  <c r="W168" i="1"/>
  <c r="V168" i="1"/>
  <c r="W153" i="1"/>
  <c r="V153" i="1"/>
  <c r="W138" i="1"/>
  <c r="V138" i="1"/>
  <c r="W123" i="1"/>
  <c r="V123" i="1"/>
  <c r="W108" i="1"/>
  <c r="V108" i="1"/>
  <c r="W93" i="1"/>
  <c r="V93" i="1"/>
  <c r="BD86" i="1" l="1"/>
  <c r="BD146" i="1"/>
  <c r="BD206" i="1"/>
  <c r="BK236" i="1"/>
  <c r="BD266" i="1"/>
  <c r="BJ266" i="1"/>
  <c r="BJ146" i="1"/>
  <c r="BD116" i="1"/>
  <c r="BD176" i="1"/>
  <c r="BD236" i="1"/>
  <c r="BD296" i="1"/>
  <c r="BD356" i="1"/>
  <c r="BD416" i="1"/>
  <c r="BJ386" i="1"/>
  <c r="BJ176" i="1"/>
  <c r="BK266" i="1"/>
  <c r="BJ416" i="1"/>
  <c r="BK176" i="1"/>
  <c r="BK416" i="1"/>
  <c r="BJ296" i="1"/>
  <c r="BJ236" i="1"/>
  <c r="BD326" i="1"/>
  <c r="BD386" i="1"/>
  <c r="BK296" i="1"/>
  <c r="BK86" i="1"/>
  <c r="BK326" i="1"/>
  <c r="BK116" i="1"/>
  <c r="BK356" i="1"/>
  <c r="BJ116" i="1"/>
  <c r="BJ356" i="1"/>
  <c r="BJ206" i="1"/>
  <c r="BK146" i="1"/>
  <c r="BK386" i="1"/>
  <c r="BK206" i="1"/>
  <c r="BJ86" i="1"/>
  <c r="BJ326" i="1"/>
  <c r="X258" i="1"/>
  <c r="X93" i="1"/>
  <c r="X318" i="1"/>
  <c r="X303" i="1"/>
  <c r="X378" i="1"/>
  <c r="X438" i="1"/>
  <c r="X423" i="1"/>
  <c r="X408" i="1"/>
  <c r="X393" i="1"/>
  <c r="X363" i="1"/>
  <c r="X348" i="1"/>
  <c r="X333" i="1"/>
  <c r="X288" i="1"/>
  <c r="X273" i="1"/>
  <c r="X243" i="1"/>
  <c r="X228" i="1"/>
  <c r="X213" i="1"/>
  <c r="X198" i="1"/>
  <c r="X183" i="1"/>
  <c r="X168" i="1"/>
  <c r="X153" i="1"/>
  <c r="X138" i="1"/>
  <c r="X123" i="1"/>
  <c r="X108" i="1"/>
  <c r="P438" i="1"/>
  <c r="P423" i="1"/>
  <c r="P408" i="1"/>
  <c r="P393" i="1"/>
  <c r="P378" i="1"/>
  <c r="P363" i="1"/>
  <c r="P348" i="1"/>
  <c r="P333" i="1"/>
  <c r="P318" i="1"/>
  <c r="P303" i="1"/>
  <c r="P288" i="1"/>
  <c r="P273" i="1"/>
  <c r="P258" i="1"/>
  <c r="P243" i="1"/>
  <c r="P228" i="1"/>
  <c r="P213" i="1"/>
  <c r="P198" i="1"/>
  <c r="P183" i="1"/>
  <c r="P168" i="1"/>
  <c r="P153" i="1"/>
  <c r="P138" i="1"/>
  <c r="P123" i="1"/>
  <c r="P108" i="1"/>
  <c r="P93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8" i="1"/>
  <c r="I390" i="1"/>
  <c r="I391" i="1"/>
  <c r="I392" i="1"/>
  <c r="I393" i="1"/>
  <c r="I394" i="1"/>
  <c r="I395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86" i="1"/>
  <c r="BL236" i="1" l="1"/>
  <c r="BL266" i="1"/>
  <c r="BL326" i="1"/>
  <c r="BL146" i="1"/>
  <c r="BL356" i="1"/>
  <c r="BL386" i="1"/>
  <c r="BL416" i="1"/>
  <c r="BL176" i="1"/>
  <c r="BL206" i="1"/>
  <c r="BL116" i="1"/>
  <c r="BL86" i="1"/>
  <c r="BL296" i="1"/>
  <c r="AT86" i="1"/>
  <c r="A49" i="1" l="1"/>
  <c r="A75" i="1" l="1"/>
  <c r="J437" i="1" l="1"/>
  <c r="K437" i="1" s="1"/>
  <c r="J445" i="1"/>
  <c r="K445" i="1" s="1"/>
  <c r="J423" i="1"/>
  <c r="K423" i="1" s="1"/>
  <c r="J416" i="1"/>
  <c r="J409" i="1"/>
  <c r="K409" i="1" s="1"/>
  <c r="J395" i="1"/>
  <c r="K395" i="1" s="1"/>
  <c r="J373" i="1"/>
  <c r="K373" i="1" s="1"/>
  <c r="J381" i="1"/>
  <c r="K381" i="1" s="1"/>
  <c r="J359" i="1"/>
  <c r="K359" i="1" s="1"/>
  <c r="J367" i="1"/>
  <c r="K367" i="1" s="1"/>
  <c r="J345" i="1"/>
  <c r="K345" i="1" s="1"/>
  <c r="J353" i="1"/>
  <c r="K353" i="1" s="1"/>
  <c r="J331" i="1"/>
  <c r="K331" i="1" s="1"/>
  <c r="J339" i="1"/>
  <c r="K339" i="1" s="1"/>
  <c r="J317" i="1"/>
  <c r="K317" i="1" s="1"/>
  <c r="J325" i="1"/>
  <c r="K325" i="1" s="1"/>
  <c r="J303" i="1"/>
  <c r="K303" i="1" s="1"/>
  <c r="J296" i="1"/>
  <c r="J289" i="1"/>
  <c r="K289" i="1" s="1"/>
  <c r="J267" i="1"/>
  <c r="K267" i="1" s="1"/>
  <c r="J275" i="1"/>
  <c r="K275" i="1" s="1"/>
  <c r="J253" i="1"/>
  <c r="K253" i="1" s="1"/>
  <c r="J261" i="1"/>
  <c r="K261" i="1" s="1"/>
  <c r="J438" i="1"/>
  <c r="K438" i="1" s="1"/>
  <c r="J431" i="1"/>
  <c r="K431" i="1" s="1"/>
  <c r="J424" i="1"/>
  <c r="K424" i="1" s="1"/>
  <c r="J402" i="1"/>
  <c r="K402" i="1" s="1"/>
  <c r="J410" i="1"/>
  <c r="K410" i="1" s="1"/>
  <c r="J388" i="1"/>
  <c r="K388" i="1" s="1"/>
  <c r="J374" i="1"/>
  <c r="K374" i="1" s="1"/>
  <c r="J382" i="1"/>
  <c r="K382" i="1" s="1"/>
  <c r="J360" i="1"/>
  <c r="K360" i="1" s="1"/>
  <c r="J368" i="1"/>
  <c r="K368" i="1" s="1"/>
  <c r="J346" i="1"/>
  <c r="K346" i="1" s="1"/>
  <c r="J354" i="1"/>
  <c r="K354" i="1" s="1"/>
  <c r="J332" i="1"/>
  <c r="K332" i="1" s="1"/>
  <c r="J340" i="1"/>
  <c r="K340" i="1" s="1"/>
  <c r="J318" i="1"/>
  <c r="K318" i="1" s="1"/>
  <c r="J311" i="1"/>
  <c r="K311" i="1" s="1"/>
  <c r="J304" i="1"/>
  <c r="K304" i="1" s="1"/>
  <c r="J282" i="1"/>
  <c r="K282" i="1" s="1"/>
  <c r="J290" i="1"/>
  <c r="K290" i="1" s="1"/>
  <c r="J268" i="1"/>
  <c r="K268" i="1" s="1"/>
  <c r="J276" i="1"/>
  <c r="K276" i="1" s="1"/>
  <c r="J254" i="1"/>
  <c r="K254" i="1" s="1"/>
  <c r="J262" i="1"/>
  <c r="K262" i="1" s="1"/>
  <c r="J439" i="1"/>
  <c r="K439" i="1" s="1"/>
  <c r="J417" i="1"/>
  <c r="K417" i="1" s="1"/>
  <c r="J425" i="1"/>
  <c r="K425" i="1" s="1"/>
  <c r="J403" i="1"/>
  <c r="K403" i="1" s="1"/>
  <c r="J411" i="1"/>
  <c r="K411" i="1" s="1"/>
  <c r="J397" i="1"/>
  <c r="K397" i="1" s="1"/>
  <c r="J375" i="1"/>
  <c r="K375" i="1" s="1"/>
  <c r="J383" i="1"/>
  <c r="K383" i="1" s="1"/>
  <c r="J361" i="1"/>
  <c r="K361" i="1" s="1"/>
  <c r="J369" i="1"/>
  <c r="K369" i="1" s="1"/>
  <c r="J347" i="1"/>
  <c r="K347" i="1" s="1"/>
  <c r="J355" i="1"/>
  <c r="K355" i="1" s="1"/>
  <c r="J333" i="1"/>
  <c r="K333" i="1" s="1"/>
  <c r="J326" i="1"/>
  <c r="J319" i="1"/>
  <c r="K319" i="1" s="1"/>
  <c r="J297" i="1"/>
  <c r="K297" i="1" s="1"/>
  <c r="J305" i="1"/>
  <c r="K305" i="1" s="1"/>
  <c r="J283" i="1"/>
  <c r="K283" i="1" s="1"/>
  <c r="J291" i="1"/>
  <c r="K291" i="1" s="1"/>
  <c r="J269" i="1"/>
  <c r="K269" i="1" s="1"/>
  <c r="J277" i="1"/>
  <c r="K277" i="1" s="1"/>
  <c r="J255" i="1"/>
  <c r="K255" i="1" s="1"/>
  <c r="J263" i="1"/>
  <c r="K263" i="1" s="1"/>
  <c r="J241" i="1"/>
  <c r="K241" i="1" s="1"/>
  <c r="J432" i="1"/>
  <c r="K432" i="1" s="1"/>
  <c r="J440" i="1"/>
  <c r="K440" i="1" s="1"/>
  <c r="J418" i="1"/>
  <c r="K418" i="1" s="1"/>
  <c r="J426" i="1"/>
  <c r="K426" i="1" s="1"/>
  <c r="J404" i="1"/>
  <c r="K404" i="1" s="1"/>
  <c r="J412" i="1"/>
  <c r="K412" i="1" s="1"/>
  <c r="J390" i="1"/>
  <c r="K390" i="1" s="1"/>
  <c r="J398" i="1"/>
  <c r="K398" i="1" s="1"/>
  <c r="J376" i="1"/>
  <c r="K376" i="1" s="1"/>
  <c r="J384" i="1"/>
  <c r="K384" i="1" s="1"/>
  <c r="J362" i="1"/>
  <c r="K362" i="1" s="1"/>
  <c r="J370" i="1"/>
  <c r="K370" i="1" s="1"/>
  <c r="J348" i="1"/>
  <c r="K348" i="1" s="1"/>
  <c r="J341" i="1"/>
  <c r="K341" i="1" s="1"/>
  <c r="J334" i="1"/>
  <c r="K334" i="1" s="1"/>
  <c r="J312" i="1"/>
  <c r="K312" i="1" s="1"/>
  <c r="J320" i="1"/>
  <c r="K320" i="1" s="1"/>
  <c r="J298" i="1"/>
  <c r="K298" i="1" s="1"/>
  <c r="J306" i="1"/>
  <c r="K306" i="1" s="1"/>
  <c r="J284" i="1"/>
  <c r="K284" i="1" s="1"/>
  <c r="J292" i="1"/>
  <c r="K292" i="1" s="1"/>
  <c r="J270" i="1"/>
  <c r="K270" i="1" s="1"/>
  <c r="J278" i="1"/>
  <c r="K278" i="1" s="1"/>
  <c r="J256" i="1"/>
  <c r="K256" i="1" s="1"/>
  <c r="J264" i="1"/>
  <c r="K264" i="1" s="1"/>
  <c r="J242" i="1"/>
  <c r="K242" i="1" s="1"/>
  <c r="J433" i="1"/>
  <c r="K433" i="1" s="1"/>
  <c r="J441" i="1"/>
  <c r="K441" i="1" s="1"/>
  <c r="J419" i="1"/>
  <c r="K419" i="1" s="1"/>
  <c r="J427" i="1"/>
  <c r="K427" i="1" s="1"/>
  <c r="J405" i="1"/>
  <c r="K405" i="1" s="1"/>
  <c r="J413" i="1"/>
  <c r="K413" i="1" s="1"/>
  <c r="J391" i="1"/>
  <c r="K391" i="1" s="1"/>
  <c r="J399" i="1"/>
  <c r="K399" i="1" s="1"/>
  <c r="J377" i="1"/>
  <c r="K377" i="1" s="1"/>
  <c r="J385" i="1"/>
  <c r="K385" i="1" s="1"/>
  <c r="J363" i="1"/>
  <c r="K363" i="1" s="1"/>
  <c r="J356" i="1"/>
  <c r="J349" i="1"/>
  <c r="K349" i="1" s="1"/>
  <c r="J327" i="1"/>
  <c r="K327" i="1" s="1"/>
  <c r="J335" i="1"/>
  <c r="K335" i="1" s="1"/>
  <c r="J313" i="1"/>
  <c r="K313" i="1" s="1"/>
  <c r="J321" i="1"/>
  <c r="K321" i="1" s="1"/>
  <c r="J299" i="1"/>
  <c r="K299" i="1" s="1"/>
  <c r="J307" i="1"/>
  <c r="K307" i="1" s="1"/>
  <c r="J285" i="1"/>
  <c r="K285" i="1" s="1"/>
  <c r="J293" i="1"/>
  <c r="K293" i="1" s="1"/>
  <c r="J271" i="1"/>
  <c r="K271" i="1" s="1"/>
  <c r="J279" i="1"/>
  <c r="K279" i="1" s="1"/>
  <c r="J257" i="1"/>
  <c r="K257" i="1" s="1"/>
  <c r="J265" i="1"/>
  <c r="K265" i="1" s="1"/>
  <c r="J434" i="1"/>
  <c r="K434" i="1" s="1"/>
  <c r="J442" i="1"/>
  <c r="K442" i="1" s="1"/>
  <c r="J420" i="1"/>
  <c r="K420" i="1" s="1"/>
  <c r="J428" i="1"/>
  <c r="K428" i="1" s="1"/>
  <c r="J406" i="1"/>
  <c r="K406" i="1" s="1"/>
  <c r="J414" i="1"/>
  <c r="K414" i="1" s="1"/>
  <c r="J392" i="1"/>
  <c r="K392" i="1" s="1"/>
  <c r="J400" i="1"/>
  <c r="K400" i="1" s="1"/>
  <c r="J378" i="1"/>
  <c r="K378" i="1" s="1"/>
  <c r="J371" i="1"/>
  <c r="K371" i="1" s="1"/>
  <c r="J364" i="1"/>
  <c r="K364" i="1" s="1"/>
  <c r="J342" i="1"/>
  <c r="K342" i="1" s="1"/>
  <c r="J350" i="1"/>
  <c r="K350" i="1" s="1"/>
  <c r="J328" i="1"/>
  <c r="K328" i="1" s="1"/>
  <c r="J336" i="1"/>
  <c r="K336" i="1" s="1"/>
  <c r="J314" i="1"/>
  <c r="K314" i="1" s="1"/>
  <c r="J322" i="1"/>
  <c r="K322" i="1" s="1"/>
  <c r="J300" i="1"/>
  <c r="K300" i="1" s="1"/>
  <c r="J308" i="1"/>
  <c r="K308" i="1" s="1"/>
  <c r="J286" i="1"/>
  <c r="K286" i="1" s="1"/>
  <c r="J294" i="1"/>
  <c r="K294" i="1" s="1"/>
  <c r="J272" i="1"/>
  <c r="K272" i="1" s="1"/>
  <c r="J280" i="1"/>
  <c r="K280" i="1" s="1"/>
  <c r="J258" i="1"/>
  <c r="K258" i="1" s="1"/>
  <c r="J251" i="1"/>
  <c r="K251" i="1" s="1"/>
  <c r="J435" i="1"/>
  <c r="K435" i="1" s="1"/>
  <c r="J443" i="1"/>
  <c r="K443" i="1" s="1"/>
  <c r="J421" i="1"/>
  <c r="K421" i="1" s="1"/>
  <c r="J429" i="1"/>
  <c r="K429" i="1" s="1"/>
  <c r="J407" i="1"/>
  <c r="K407" i="1" s="1"/>
  <c r="J415" i="1"/>
  <c r="K415" i="1" s="1"/>
  <c r="J393" i="1"/>
  <c r="K393" i="1" s="1"/>
  <c r="J386" i="1"/>
  <c r="J379" i="1"/>
  <c r="K379" i="1" s="1"/>
  <c r="J357" i="1"/>
  <c r="K357" i="1" s="1"/>
  <c r="J365" i="1"/>
  <c r="K365" i="1" s="1"/>
  <c r="J343" i="1"/>
  <c r="K343" i="1" s="1"/>
  <c r="J351" i="1"/>
  <c r="K351" i="1" s="1"/>
  <c r="J329" i="1"/>
  <c r="K329" i="1" s="1"/>
  <c r="J337" i="1"/>
  <c r="K337" i="1" s="1"/>
  <c r="J315" i="1"/>
  <c r="K315" i="1" s="1"/>
  <c r="J323" i="1"/>
  <c r="K323" i="1" s="1"/>
  <c r="J301" i="1"/>
  <c r="K301" i="1" s="1"/>
  <c r="J309" i="1"/>
  <c r="K309" i="1" s="1"/>
  <c r="J287" i="1"/>
  <c r="K287" i="1" s="1"/>
  <c r="J295" i="1"/>
  <c r="K295" i="1" s="1"/>
  <c r="J273" i="1"/>
  <c r="K273" i="1" s="1"/>
  <c r="J266" i="1"/>
  <c r="J259" i="1"/>
  <c r="K259" i="1" s="1"/>
  <c r="J237" i="1"/>
  <c r="K237" i="1" s="1"/>
  <c r="J245" i="1"/>
  <c r="K245" i="1" s="1"/>
  <c r="J408" i="1"/>
  <c r="K408" i="1" s="1"/>
  <c r="J352" i="1"/>
  <c r="K352" i="1" s="1"/>
  <c r="J281" i="1"/>
  <c r="K281" i="1" s="1"/>
  <c r="J244" i="1"/>
  <c r="K244" i="1" s="1"/>
  <c r="J223" i="1"/>
  <c r="K223" i="1" s="1"/>
  <c r="J231" i="1"/>
  <c r="K231" i="1" s="1"/>
  <c r="J209" i="1"/>
  <c r="K209" i="1" s="1"/>
  <c r="J217" i="1"/>
  <c r="K217" i="1" s="1"/>
  <c r="J195" i="1"/>
  <c r="K195" i="1" s="1"/>
  <c r="J203" i="1"/>
  <c r="K203" i="1" s="1"/>
  <c r="J181" i="1"/>
  <c r="K181" i="1" s="1"/>
  <c r="J189" i="1"/>
  <c r="K189" i="1" s="1"/>
  <c r="J167" i="1"/>
  <c r="K167" i="1" s="1"/>
  <c r="J175" i="1"/>
  <c r="K175" i="1" s="1"/>
  <c r="J153" i="1"/>
  <c r="K153" i="1" s="1"/>
  <c r="J146" i="1"/>
  <c r="J138" i="1"/>
  <c r="K138" i="1" s="1"/>
  <c r="J117" i="1"/>
  <c r="K117" i="1" s="1"/>
  <c r="J125" i="1"/>
  <c r="K125" i="1" s="1"/>
  <c r="J103" i="1"/>
  <c r="K103" i="1" s="1"/>
  <c r="J111" i="1"/>
  <c r="K111" i="1" s="1"/>
  <c r="J89" i="1"/>
  <c r="K89" i="1" s="1"/>
  <c r="J97" i="1"/>
  <c r="K97" i="1" s="1"/>
  <c r="J401" i="1"/>
  <c r="K401" i="1" s="1"/>
  <c r="J330" i="1"/>
  <c r="K330" i="1" s="1"/>
  <c r="J274" i="1"/>
  <c r="K274" i="1" s="1"/>
  <c r="J246" i="1"/>
  <c r="K246" i="1" s="1"/>
  <c r="J224" i="1"/>
  <c r="K224" i="1" s="1"/>
  <c r="J232" i="1"/>
  <c r="K232" i="1" s="1"/>
  <c r="J210" i="1"/>
  <c r="K210" i="1" s="1"/>
  <c r="J218" i="1"/>
  <c r="K218" i="1" s="1"/>
  <c r="J196" i="1"/>
  <c r="K196" i="1" s="1"/>
  <c r="J204" i="1"/>
  <c r="K204" i="1" s="1"/>
  <c r="J182" i="1"/>
  <c r="K182" i="1" s="1"/>
  <c r="J190" i="1"/>
  <c r="K190" i="1" s="1"/>
  <c r="J168" i="1"/>
  <c r="K168" i="1" s="1"/>
  <c r="J161" i="1"/>
  <c r="K161" i="1" s="1"/>
  <c r="J154" i="1"/>
  <c r="K154" i="1" s="1"/>
  <c r="J141" i="1"/>
  <c r="K141" i="1" s="1"/>
  <c r="J139" i="1"/>
  <c r="K139" i="1" s="1"/>
  <c r="J118" i="1"/>
  <c r="K118" i="1" s="1"/>
  <c r="J126" i="1"/>
  <c r="K126" i="1" s="1"/>
  <c r="J104" i="1"/>
  <c r="K104" i="1" s="1"/>
  <c r="J112" i="1"/>
  <c r="K112" i="1" s="1"/>
  <c r="J90" i="1"/>
  <c r="K90" i="1" s="1"/>
  <c r="J98" i="1"/>
  <c r="K98" i="1" s="1"/>
  <c r="J394" i="1"/>
  <c r="K394" i="1" s="1"/>
  <c r="J338" i="1"/>
  <c r="K338" i="1" s="1"/>
  <c r="J252" i="1"/>
  <c r="K252" i="1" s="1"/>
  <c r="J247" i="1"/>
  <c r="K247" i="1" s="1"/>
  <c r="J225" i="1"/>
  <c r="K225" i="1" s="1"/>
  <c r="J233" i="1"/>
  <c r="K233" i="1" s="1"/>
  <c r="J211" i="1"/>
  <c r="K211" i="1" s="1"/>
  <c r="J219" i="1"/>
  <c r="K219" i="1" s="1"/>
  <c r="J197" i="1"/>
  <c r="K197" i="1" s="1"/>
  <c r="J205" i="1"/>
  <c r="K205" i="1" s="1"/>
  <c r="J183" i="1"/>
  <c r="K183" i="1" s="1"/>
  <c r="J176" i="1"/>
  <c r="J169" i="1"/>
  <c r="K169" i="1" s="1"/>
  <c r="J147" i="1"/>
  <c r="K147" i="1" s="1"/>
  <c r="J155" i="1"/>
  <c r="K155" i="1" s="1"/>
  <c r="J132" i="1"/>
  <c r="K132" i="1" s="1"/>
  <c r="J140" i="1"/>
  <c r="K140" i="1" s="1"/>
  <c r="J119" i="1"/>
  <c r="K119" i="1" s="1"/>
  <c r="J127" i="1"/>
  <c r="K127" i="1" s="1"/>
  <c r="J105" i="1"/>
  <c r="K105" i="1" s="1"/>
  <c r="J113" i="1"/>
  <c r="K113" i="1" s="1"/>
  <c r="J91" i="1"/>
  <c r="K91" i="1" s="1"/>
  <c r="J99" i="1"/>
  <c r="K99" i="1" s="1"/>
  <c r="J372" i="1"/>
  <c r="K372" i="1" s="1"/>
  <c r="J316" i="1"/>
  <c r="K316" i="1" s="1"/>
  <c r="J260" i="1"/>
  <c r="K260" i="1" s="1"/>
  <c r="J248" i="1"/>
  <c r="K248" i="1" s="1"/>
  <c r="J226" i="1"/>
  <c r="K226" i="1" s="1"/>
  <c r="J234" i="1"/>
  <c r="K234" i="1" s="1"/>
  <c r="J212" i="1"/>
  <c r="K212" i="1" s="1"/>
  <c r="J220" i="1"/>
  <c r="K220" i="1" s="1"/>
  <c r="J198" i="1"/>
  <c r="K198" i="1" s="1"/>
  <c r="J191" i="1"/>
  <c r="K191" i="1" s="1"/>
  <c r="J184" i="1"/>
  <c r="K184" i="1" s="1"/>
  <c r="J162" i="1"/>
  <c r="K162" i="1" s="1"/>
  <c r="J170" i="1"/>
  <c r="K170" i="1" s="1"/>
  <c r="J148" i="1"/>
  <c r="K148" i="1" s="1"/>
  <c r="J156" i="1"/>
  <c r="K156" i="1" s="1"/>
  <c r="J133" i="1"/>
  <c r="K133" i="1" s="1"/>
  <c r="J142" i="1"/>
  <c r="K142" i="1" s="1"/>
  <c r="J120" i="1"/>
  <c r="K120" i="1" s="1"/>
  <c r="J128" i="1"/>
  <c r="K128" i="1" s="1"/>
  <c r="J106" i="1"/>
  <c r="K106" i="1" s="1"/>
  <c r="J114" i="1"/>
  <c r="K114" i="1" s="1"/>
  <c r="J92" i="1"/>
  <c r="K92" i="1" s="1"/>
  <c r="J100" i="1"/>
  <c r="K100" i="1" s="1"/>
  <c r="J436" i="1"/>
  <c r="K436" i="1" s="1"/>
  <c r="J380" i="1"/>
  <c r="K380" i="1" s="1"/>
  <c r="J324" i="1"/>
  <c r="K324" i="1" s="1"/>
  <c r="J238" i="1"/>
  <c r="K238" i="1" s="1"/>
  <c r="J249" i="1"/>
  <c r="K249" i="1" s="1"/>
  <c r="J227" i="1"/>
  <c r="K227" i="1" s="1"/>
  <c r="J235" i="1"/>
  <c r="K235" i="1" s="1"/>
  <c r="J213" i="1"/>
  <c r="K213" i="1" s="1"/>
  <c r="J206" i="1"/>
  <c r="J199" i="1"/>
  <c r="K199" i="1" s="1"/>
  <c r="J177" i="1"/>
  <c r="K177" i="1" s="1"/>
  <c r="J185" i="1"/>
  <c r="K185" i="1" s="1"/>
  <c r="J163" i="1"/>
  <c r="K163" i="1" s="1"/>
  <c r="J171" i="1"/>
  <c r="K171" i="1" s="1"/>
  <c r="J149" i="1"/>
  <c r="K149" i="1" s="1"/>
  <c r="J157" i="1"/>
  <c r="K157" i="1" s="1"/>
  <c r="J134" i="1"/>
  <c r="K134" i="1" s="1"/>
  <c r="J143" i="1"/>
  <c r="K143" i="1" s="1"/>
  <c r="J121" i="1"/>
  <c r="K121" i="1" s="1"/>
  <c r="J129" i="1"/>
  <c r="K129" i="1" s="1"/>
  <c r="J107" i="1"/>
  <c r="K107" i="1" s="1"/>
  <c r="J115" i="1"/>
  <c r="K115" i="1" s="1"/>
  <c r="J93" i="1"/>
  <c r="K93" i="1" s="1"/>
  <c r="J86" i="1"/>
  <c r="J444" i="1"/>
  <c r="K444" i="1" s="1"/>
  <c r="J358" i="1"/>
  <c r="K358" i="1" s="1"/>
  <c r="J302" i="1"/>
  <c r="K302" i="1" s="1"/>
  <c r="J239" i="1"/>
  <c r="K239" i="1" s="1"/>
  <c r="J250" i="1"/>
  <c r="K250" i="1" s="1"/>
  <c r="J228" i="1"/>
  <c r="K228" i="1" s="1"/>
  <c r="J221" i="1"/>
  <c r="K221" i="1" s="1"/>
  <c r="J214" i="1"/>
  <c r="K214" i="1" s="1"/>
  <c r="J192" i="1"/>
  <c r="K192" i="1" s="1"/>
  <c r="J200" i="1"/>
  <c r="K200" i="1" s="1"/>
  <c r="J178" i="1"/>
  <c r="K178" i="1" s="1"/>
  <c r="J186" i="1"/>
  <c r="K186" i="1" s="1"/>
  <c r="J164" i="1"/>
  <c r="K164" i="1" s="1"/>
  <c r="J172" i="1"/>
  <c r="K172" i="1" s="1"/>
  <c r="J150" i="1"/>
  <c r="K150" i="1" s="1"/>
  <c r="J158" i="1"/>
  <c r="K158" i="1" s="1"/>
  <c r="J135" i="1"/>
  <c r="K135" i="1" s="1"/>
  <c r="J144" i="1"/>
  <c r="K144" i="1" s="1"/>
  <c r="J122" i="1"/>
  <c r="K122" i="1" s="1"/>
  <c r="J130" i="1"/>
  <c r="K130" i="1" s="1"/>
  <c r="J108" i="1"/>
  <c r="K108" i="1" s="1"/>
  <c r="J101" i="1"/>
  <c r="K101" i="1" s="1"/>
  <c r="J94" i="1"/>
  <c r="K94" i="1" s="1"/>
  <c r="J422" i="1"/>
  <c r="K422" i="1" s="1"/>
  <c r="J366" i="1"/>
  <c r="K366" i="1" s="1"/>
  <c r="J310" i="1"/>
  <c r="K310" i="1" s="1"/>
  <c r="J240" i="1"/>
  <c r="K240" i="1" s="1"/>
  <c r="J236" i="1"/>
  <c r="J229" i="1"/>
  <c r="K229" i="1" s="1"/>
  <c r="J207" i="1"/>
  <c r="K207" i="1" s="1"/>
  <c r="J215" i="1"/>
  <c r="K215" i="1" s="1"/>
  <c r="J193" i="1"/>
  <c r="K193" i="1" s="1"/>
  <c r="J201" i="1"/>
  <c r="K201" i="1" s="1"/>
  <c r="J179" i="1"/>
  <c r="K179" i="1" s="1"/>
  <c r="J187" i="1"/>
  <c r="K187" i="1" s="1"/>
  <c r="J165" i="1"/>
  <c r="K165" i="1" s="1"/>
  <c r="J173" i="1"/>
  <c r="K173" i="1" s="1"/>
  <c r="J151" i="1"/>
  <c r="K151" i="1" s="1"/>
  <c r="J159" i="1"/>
  <c r="K159" i="1" s="1"/>
  <c r="J136" i="1"/>
  <c r="K136" i="1" s="1"/>
  <c r="J145" i="1"/>
  <c r="K145" i="1" s="1"/>
  <c r="J123" i="1"/>
  <c r="K123" i="1" s="1"/>
  <c r="J116" i="1"/>
  <c r="J109" i="1"/>
  <c r="K109" i="1" s="1"/>
  <c r="J87" i="1"/>
  <c r="K87" i="1" s="1"/>
  <c r="J95" i="1"/>
  <c r="K95" i="1" s="1"/>
  <c r="J430" i="1"/>
  <c r="K430" i="1" s="1"/>
  <c r="J344" i="1"/>
  <c r="K344" i="1" s="1"/>
  <c r="J288" i="1"/>
  <c r="K288" i="1" s="1"/>
  <c r="J243" i="1"/>
  <c r="K243" i="1" s="1"/>
  <c r="J222" i="1"/>
  <c r="K222" i="1" s="1"/>
  <c r="J230" i="1"/>
  <c r="K230" i="1" s="1"/>
  <c r="J208" i="1"/>
  <c r="K208" i="1" s="1"/>
  <c r="J216" i="1"/>
  <c r="K216" i="1" s="1"/>
  <c r="J194" i="1"/>
  <c r="K194" i="1" s="1"/>
  <c r="J202" i="1"/>
  <c r="K202" i="1" s="1"/>
  <c r="J180" i="1"/>
  <c r="K180" i="1" s="1"/>
  <c r="J188" i="1"/>
  <c r="K188" i="1" s="1"/>
  <c r="J166" i="1"/>
  <c r="K166" i="1" s="1"/>
  <c r="J174" i="1"/>
  <c r="K174" i="1" s="1"/>
  <c r="J152" i="1"/>
  <c r="K152" i="1" s="1"/>
  <c r="J160" i="1"/>
  <c r="K160" i="1" s="1"/>
  <c r="J137" i="1"/>
  <c r="K137" i="1" s="1"/>
  <c r="J131" i="1"/>
  <c r="K131" i="1" s="1"/>
  <c r="J124" i="1"/>
  <c r="K124" i="1" s="1"/>
  <c r="J102" i="1"/>
  <c r="K102" i="1" s="1"/>
  <c r="J110" i="1"/>
  <c r="K110" i="1" s="1"/>
  <c r="J88" i="1"/>
  <c r="K88" i="1" s="1"/>
  <c r="J96" i="1"/>
  <c r="K96" i="1" s="1"/>
  <c r="K86" i="1" l="1"/>
  <c r="AX86" i="1"/>
  <c r="AY86" i="1" s="1"/>
  <c r="K176" i="1"/>
  <c r="AX176" i="1"/>
  <c r="AY176" i="1" s="1"/>
  <c r="K236" i="1"/>
  <c r="AX236" i="1"/>
  <c r="AY236" i="1" s="1"/>
  <c r="K146" i="1"/>
  <c r="AX146" i="1"/>
  <c r="AY146" i="1" s="1"/>
  <c r="K356" i="1"/>
  <c r="AX356" i="1"/>
  <c r="AY356" i="1" s="1"/>
  <c r="K326" i="1"/>
  <c r="AX326" i="1"/>
  <c r="AY326" i="1" s="1"/>
  <c r="K416" i="1"/>
  <c r="AX416" i="1"/>
  <c r="AY416" i="1" s="1"/>
  <c r="K116" i="1"/>
  <c r="AX116" i="1"/>
  <c r="AY116" i="1" s="1"/>
  <c r="K386" i="1"/>
  <c r="AX386" i="1"/>
  <c r="AY386" i="1" s="1"/>
  <c r="K296" i="1"/>
  <c r="AX296" i="1"/>
  <c r="AY296" i="1" s="1"/>
  <c r="K206" i="1"/>
  <c r="AX206" i="1"/>
  <c r="AY206" i="1" s="1"/>
  <c r="K266" i="1"/>
  <c r="AX266" i="1"/>
  <c r="AY266" i="1" s="1"/>
  <c r="Y183" i="1"/>
  <c r="Z183" i="1"/>
  <c r="Q183" i="1"/>
  <c r="Y408" i="1"/>
  <c r="Z408" i="1"/>
  <c r="Q408" i="1"/>
  <c r="Y138" i="1"/>
  <c r="Z138" i="1"/>
  <c r="Q138" i="1"/>
  <c r="Y153" i="1"/>
  <c r="Z153" i="1"/>
  <c r="Q153" i="1"/>
  <c r="Y363" i="1"/>
  <c r="Z363" i="1"/>
  <c r="Q363" i="1"/>
  <c r="Z348" i="1"/>
  <c r="Y348" i="1"/>
  <c r="Q348" i="1"/>
  <c r="Y333" i="1"/>
  <c r="Z333" i="1"/>
  <c r="Q333" i="1"/>
  <c r="Y318" i="1"/>
  <c r="Z318" i="1"/>
  <c r="Q318" i="1"/>
  <c r="Y243" i="1"/>
  <c r="Z243" i="1"/>
  <c r="Q243" i="1"/>
  <c r="Y123" i="1"/>
  <c r="Z123" i="1"/>
  <c r="Q123" i="1"/>
  <c r="Y198" i="1"/>
  <c r="Z198" i="1"/>
  <c r="Q198" i="1"/>
  <c r="Z378" i="1"/>
  <c r="Y378" i="1"/>
  <c r="Q378" i="1"/>
  <c r="Z108" i="1"/>
  <c r="Y108" i="1"/>
  <c r="Q108" i="1"/>
  <c r="Q288" i="1"/>
  <c r="Y288" i="1"/>
  <c r="Z288" i="1"/>
  <c r="Z393" i="1"/>
  <c r="Y393" i="1"/>
  <c r="Q393" i="1"/>
  <c r="Z258" i="1"/>
  <c r="Y258" i="1"/>
  <c r="Q258" i="1"/>
  <c r="Y213" i="1"/>
  <c r="Z213" i="1"/>
  <c r="Q213" i="1"/>
  <c r="Y168" i="1"/>
  <c r="Z168" i="1"/>
  <c r="Q168" i="1"/>
  <c r="Z273" i="1"/>
  <c r="Y273" i="1"/>
  <c r="Q273" i="1"/>
  <c r="Y423" i="1"/>
  <c r="Z423" i="1"/>
  <c r="Q423" i="1"/>
  <c r="Z93" i="1"/>
  <c r="Y93" i="1"/>
  <c r="Q93" i="1"/>
  <c r="Y303" i="1"/>
  <c r="Z303" i="1"/>
  <c r="Q303" i="1"/>
  <c r="Y228" i="1"/>
  <c r="Z228" i="1"/>
  <c r="Q228" i="1"/>
  <c r="Y438" i="1"/>
  <c r="Z438" i="1"/>
  <c r="Q438" i="1"/>
  <c r="BN266" i="1" l="1"/>
  <c r="BM266" i="1"/>
  <c r="BE266" i="1"/>
  <c r="BN116" i="1"/>
  <c r="BM116" i="1"/>
  <c r="BE116" i="1"/>
  <c r="BM146" i="1"/>
  <c r="BN146" i="1"/>
  <c r="BE146" i="1"/>
  <c r="BM206" i="1"/>
  <c r="BN206" i="1"/>
  <c r="BE206" i="1"/>
  <c r="BN236" i="1"/>
  <c r="BM236" i="1"/>
  <c r="BO236" i="1" s="1"/>
  <c r="BE236" i="1"/>
  <c r="BE416" i="1"/>
  <c r="BN416" i="1"/>
  <c r="BM416" i="1"/>
  <c r="BN296" i="1"/>
  <c r="BM296" i="1"/>
  <c r="BE296" i="1"/>
  <c r="BM326" i="1"/>
  <c r="BN326" i="1"/>
  <c r="BE326" i="1"/>
  <c r="BN176" i="1"/>
  <c r="BM176" i="1"/>
  <c r="BE176" i="1"/>
  <c r="BN386" i="1"/>
  <c r="BM386" i="1"/>
  <c r="BE386" i="1"/>
  <c r="BN356" i="1"/>
  <c r="BM356" i="1"/>
  <c r="BE356" i="1"/>
  <c r="BN86" i="1"/>
  <c r="BM86" i="1"/>
  <c r="BE86" i="1"/>
  <c r="AA378" i="1"/>
  <c r="AA438" i="1"/>
  <c r="AA423" i="1"/>
  <c r="AA393" i="1"/>
  <c r="AA318" i="1"/>
  <c r="AA93" i="1"/>
  <c r="AA198" i="1"/>
  <c r="AA303" i="1"/>
  <c r="AB303" i="1"/>
  <c r="AC303" i="1"/>
  <c r="AC378" i="1"/>
  <c r="AB378" i="1"/>
  <c r="AA123" i="1"/>
  <c r="AB333" i="1"/>
  <c r="AC333" i="1"/>
  <c r="AA363" i="1"/>
  <c r="AA138" i="1"/>
  <c r="AB273" i="1"/>
  <c r="AC273" i="1"/>
  <c r="AA213" i="1"/>
  <c r="AC243" i="1"/>
  <c r="AB243" i="1"/>
  <c r="AB153" i="1"/>
  <c r="AC153" i="1"/>
  <c r="AB408" i="1"/>
  <c r="AC408" i="1"/>
  <c r="AA288" i="1"/>
  <c r="AA333" i="1"/>
  <c r="AC93" i="1"/>
  <c r="AB93" i="1"/>
  <c r="AA273" i="1"/>
  <c r="AC258" i="1"/>
  <c r="AB258" i="1"/>
  <c r="AB288" i="1"/>
  <c r="AC288" i="1"/>
  <c r="AC198" i="1"/>
  <c r="AB198" i="1"/>
  <c r="AA243" i="1"/>
  <c r="AB348" i="1"/>
  <c r="AC348" i="1"/>
  <c r="AA153" i="1"/>
  <c r="AA408" i="1"/>
  <c r="AB213" i="1"/>
  <c r="AC213" i="1"/>
  <c r="AC438" i="1"/>
  <c r="AB438" i="1"/>
  <c r="AB228" i="1"/>
  <c r="AC228" i="1"/>
  <c r="AB168" i="1"/>
  <c r="AC168" i="1"/>
  <c r="AA258" i="1"/>
  <c r="AA348" i="1"/>
  <c r="AC183" i="1"/>
  <c r="AB183" i="1"/>
  <c r="AB108" i="1"/>
  <c r="AC108" i="1"/>
  <c r="AC318" i="1"/>
  <c r="AB318" i="1"/>
  <c r="AA228" i="1"/>
  <c r="AB423" i="1"/>
  <c r="AC423" i="1"/>
  <c r="AA168" i="1"/>
  <c r="AC393" i="1"/>
  <c r="AB393" i="1"/>
  <c r="AA108" i="1"/>
  <c r="AC123" i="1"/>
  <c r="AB123" i="1"/>
  <c r="AC363" i="1"/>
  <c r="AB363" i="1"/>
  <c r="AB138" i="1"/>
  <c r="AC138" i="1"/>
  <c r="AA183" i="1"/>
  <c r="BO86" i="1" l="1"/>
  <c r="BO326" i="1"/>
  <c r="BO146" i="1"/>
  <c r="BO176" i="1"/>
  <c r="BO416" i="1"/>
  <c r="BO266" i="1"/>
  <c r="BO356" i="1"/>
  <c r="BQ326" i="1"/>
  <c r="BP326" i="1"/>
  <c r="BQ416" i="1"/>
  <c r="BP416" i="1"/>
  <c r="BQ236" i="1"/>
  <c r="BP236" i="1"/>
  <c r="BQ386" i="1"/>
  <c r="BP386" i="1"/>
  <c r="BQ116" i="1"/>
  <c r="BP116" i="1"/>
  <c r="BO386" i="1"/>
  <c r="BQ296" i="1"/>
  <c r="BP296" i="1"/>
  <c r="BO116" i="1"/>
  <c r="BQ86" i="1"/>
  <c r="BP86" i="1"/>
  <c r="BO296" i="1"/>
  <c r="BQ206" i="1"/>
  <c r="BP206" i="1"/>
  <c r="BQ176" i="1"/>
  <c r="BP176" i="1"/>
  <c r="BO206" i="1"/>
  <c r="BQ266" i="1"/>
  <c r="BP266" i="1"/>
  <c r="BQ356" i="1"/>
  <c r="BP356" i="1"/>
  <c r="BP146" i="1"/>
  <c r="BQ146" i="1"/>
  <c r="AD183" i="1"/>
  <c r="AD93" i="1"/>
  <c r="AD318" i="1"/>
  <c r="AD378" i="1"/>
  <c r="AD438" i="1"/>
  <c r="AD363" i="1"/>
  <c r="AD198" i="1"/>
  <c r="AD228" i="1"/>
  <c r="AD123" i="1"/>
  <c r="AD348" i="1"/>
  <c r="AD258" i="1"/>
  <c r="AD393" i="1"/>
  <c r="AD108" i="1"/>
  <c r="AD153" i="1"/>
  <c r="AD138" i="1"/>
  <c r="AD333" i="1"/>
  <c r="AD243" i="1"/>
  <c r="AD423" i="1"/>
  <c r="AD168" i="1"/>
  <c r="AD273" i="1"/>
  <c r="AD408" i="1"/>
  <c r="AD303" i="1"/>
  <c r="AD213" i="1"/>
  <c r="AD288" i="1"/>
  <c r="BR176" i="1" l="1"/>
  <c r="BR296" i="1"/>
  <c r="BR356" i="1"/>
  <c r="BR116" i="1"/>
  <c r="BR326" i="1"/>
  <c r="BR146" i="1"/>
  <c r="BR206" i="1"/>
  <c r="BR236" i="1"/>
  <c r="BR416" i="1"/>
  <c r="BR266" i="1"/>
  <c r="BR86" i="1"/>
  <c r="BR386" i="1"/>
</calcChain>
</file>

<file path=xl/sharedStrings.xml><?xml version="1.0" encoding="utf-8"?>
<sst xmlns="http://schemas.openxmlformats.org/spreadsheetml/2006/main" count="2261" uniqueCount="561">
  <si>
    <t>Range</t>
  </si>
  <si>
    <t>Column</t>
  </si>
  <si>
    <t>Harvest</t>
  </si>
  <si>
    <t>Area</t>
  </si>
  <si>
    <t>Field wt</t>
  </si>
  <si>
    <t>in bag</t>
  </si>
  <si>
    <t>(lbs)</t>
  </si>
  <si>
    <t>Picker pass</t>
  </si>
  <si>
    <t>number</t>
  </si>
  <si>
    <t>Gleaning weight over the full pass #01 length from a second pass of the picker (lbs)</t>
  </si>
  <si>
    <t>Gleaning weight over the full pass #02 length from a second pass of the picker (lbs)</t>
  </si>
  <si>
    <t>Gleaning weight over the full pass #03 length from a second pass of the picker (lbs)</t>
  </si>
  <si>
    <t>Gleaning weight over the full pass #04 length from a second pass of the picker (lbs)</t>
  </si>
  <si>
    <t>Column C - Harvest area label (6 harvest areas per plot)</t>
  </si>
  <si>
    <t>Parameters</t>
  </si>
  <si>
    <t>less bag</t>
  </si>
  <si>
    <t>kg per lb</t>
  </si>
  <si>
    <t>m2 per ha</t>
  </si>
  <si>
    <t>Fraction of gleaning weight per harvest area</t>
  </si>
  <si>
    <t>WBWAH</t>
  </si>
  <si>
    <t>(kg/ha)</t>
  </si>
  <si>
    <t>BWCAH</t>
  </si>
  <si>
    <t>DBWAH</t>
  </si>
  <si>
    <t>(%)</t>
  </si>
  <si>
    <t>FFRAC</t>
  </si>
  <si>
    <t>SFRAC</t>
  </si>
  <si>
    <t>TFRAC</t>
  </si>
  <si>
    <t>Moisture</t>
  </si>
  <si>
    <t>Ginning</t>
  </si>
  <si>
    <t>Bulk wt</t>
  </si>
  <si>
    <t>(kg)</t>
  </si>
  <si>
    <t>Seed wt</t>
  </si>
  <si>
    <t>Fiber wt</t>
  </si>
  <si>
    <t>(g/g)</t>
  </si>
  <si>
    <t>Weight of a single mesh harvest bag with tags (based on the average weight of 10 bags) (lbs)</t>
  </si>
  <si>
    <t>(g)</t>
  </si>
  <si>
    <t>Sample wt</t>
  </si>
  <si>
    <t>Sample</t>
  </si>
  <si>
    <t>weight</t>
  </si>
  <si>
    <t>Wet</t>
  </si>
  <si>
    <t>Dry</t>
  </si>
  <si>
    <t>Weight</t>
  </si>
  <si>
    <t>Bag</t>
  </si>
  <si>
    <t>WFWAH</t>
  </si>
  <si>
    <t>WSWAH</t>
  </si>
  <si>
    <t>WSCWAH</t>
  </si>
  <si>
    <t>Compute</t>
  </si>
  <si>
    <t>DFWAH</t>
  </si>
  <si>
    <t>DSWAH</t>
  </si>
  <si>
    <t>DSCWAH</t>
  </si>
  <si>
    <t>PID</t>
  </si>
  <si>
    <t>Column A - Column number from plot layout</t>
  </si>
  <si>
    <t>Column B - Range number from plot layout</t>
  </si>
  <si>
    <t>Size of harvest area (2 40-inch rows by 10 m) (m2)</t>
  </si>
  <si>
    <t>Plot-scale calculations</t>
  </si>
  <si>
    <t>FBMIC</t>
  </si>
  <si>
    <t>FBLTH</t>
  </si>
  <si>
    <t>FBUNI</t>
  </si>
  <si>
    <t>FBSTR</t>
  </si>
  <si>
    <t>FBELO</t>
  </si>
  <si>
    <t>FBCRD</t>
  </si>
  <si>
    <t>FBCLB</t>
  </si>
  <si>
    <t>FBTCT</t>
  </si>
  <si>
    <t>FBTAR</t>
  </si>
  <si>
    <t>FBSFI</t>
  </si>
  <si>
    <t>21-2</t>
  </si>
  <si>
    <t>FBCGR</t>
  </si>
  <si>
    <t>(g/tex)</t>
  </si>
  <si>
    <t>(% ref)</t>
  </si>
  <si>
    <t>Quality</t>
  </si>
  <si>
    <t>HVI Sample ID</t>
  </si>
  <si>
    <t>(inches)</t>
  </si>
  <si>
    <t>Glean wt</t>
  </si>
  <si>
    <t>GNDAT</t>
  </si>
  <si>
    <t>Date</t>
  </si>
  <si>
    <t>QLDAT</t>
  </si>
  <si>
    <t>Weight of white mesh bag for fiber (kg)</t>
  </si>
  <si>
    <t>in bin</t>
  </si>
  <si>
    <t>Weight of seed bin at MAC gin (kg)</t>
  </si>
  <si>
    <t>HID</t>
  </si>
  <si>
    <t>1</t>
  </si>
  <si>
    <t>2</t>
  </si>
  <si>
    <t>3</t>
  </si>
  <si>
    <t>4</t>
  </si>
  <si>
    <t>5</t>
  </si>
  <si>
    <t>6</t>
  </si>
  <si>
    <t>7</t>
  </si>
  <si>
    <t>8</t>
  </si>
  <si>
    <t>W</t>
  </si>
  <si>
    <t>E</t>
  </si>
  <si>
    <t>Column D - Harvest Area ID (HID)</t>
  </si>
  <si>
    <t>HARM</t>
  </si>
  <si>
    <t>HADAT</t>
  </si>
  <si>
    <t>Machine</t>
  </si>
  <si>
    <t>Column E - Harvest method (HARM)</t>
  </si>
  <si>
    <t>Column F - Harvest date (HADAT, mm/dd/yyyy)</t>
  </si>
  <si>
    <t>Column G - Count of picker passes across the field</t>
  </si>
  <si>
    <t>Column H - Field weight of bulk cotton in bag (lbs). Machine harvest 2 rows by 10 m into mesh bags. Weigh in field using IQ plus 300-DC scale.</t>
  </si>
  <si>
    <t>Column I - Field weight of bulk cotton minus bag weight (lbs)</t>
  </si>
  <si>
    <t>Column J - Gleaning weight (lbs) obtained from a second picker pass.</t>
  </si>
  <si>
    <t>Column K - Wet bulk weight at harvest (fiber + seed + trash) (WBWAH, kg/ha)</t>
  </si>
  <si>
    <t>Column L - Weight of Zip-lock plastic bag(s) for subsampling harvest bags for moisture content, only middle (M) harvest area bags were subsampled (g)</t>
  </si>
  <si>
    <t>Column M - Weight of bulk subsample for moisture content in plastic bag (g)</t>
  </si>
  <si>
    <t>Column N - Wet weight of bulk subsample prior to oven drying (g)</t>
  </si>
  <si>
    <t>Column O - Dry weight of bulk subsample after oven drying (g)</t>
  </si>
  <si>
    <t>Column P - Bulk water content at harvest (BWCAH, %)</t>
  </si>
  <si>
    <t>Column Q - Dry bulk weight at harvest (fiber + seed + trash) (0% water content) (DBWAH, kg/ha)</t>
  </si>
  <si>
    <t>Column R - Ginning Date (GNDAT, mm/dd/yyyy). Ginned using the MAC large gin with cleaners.</t>
  </si>
  <si>
    <t>Column S - Weight of bulk cotton in harvest bags prior to ginning, only middle (M) harvest areas were ginned (kg). Weigh using ALARC scale.</t>
  </si>
  <si>
    <t>Column V - Fiber fraction of bulk harvest after ginning (FFRAC, g/g)</t>
  </si>
  <si>
    <t>Column W - Seed fraction of bulk harvest after ginning (SFRAC, g/g)</t>
  </si>
  <si>
    <t>Column X - Trash fraction of bulk harvest after ginning (TFRAC, g/g)</t>
  </si>
  <si>
    <t>Column Y - Wet fiber weight at harvest (WFWAH, kg/ha)</t>
  </si>
  <si>
    <t>Column AA - Wet seed cotton weight at harvest (fiber + seed) (WSCWAH, kg/ha)</t>
  </si>
  <si>
    <t>Column AB - Dry fiber weight at harvest (DFWAH, kg/ha)</t>
  </si>
  <si>
    <t>Column AC - Dry seed weight at harvest (DSWAH, kg/ha)</t>
  </si>
  <si>
    <t>Column AD - Dry seed cotton weight at harvest (fiber + seed) (DSCWAH, kg/ha)</t>
  </si>
  <si>
    <t>Column AE - Sample ID for fiber samples sent to Cotton Incorporated HVI, only middle (M) harvest areas were tested.</t>
  </si>
  <si>
    <t>Column AF - Quality measurement date (QLDAT, mm/dd/yyyy)</t>
  </si>
  <si>
    <t>Column AG - Micronaire (FBMIC)</t>
  </si>
  <si>
    <t>Column AH - Upper half mean fiber length (FBLTH, inches)</t>
  </si>
  <si>
    <t>Column AI - Fiber uniformity (FBUNI, %)</t>
  </si>
  <si>
    <t>Column AJ - Fiber strength (FBSTR, g/tex)</t>
  </si>
  <si>
    <t>Column AK - Fiber elongation (FBELO, %)</t>
  </si>
  <si>
    <t>Column AL - Fiber Color Reflectance (FBCRD, % reflectance)</t>
  </si>
  <si>
    <t>Column AM - Fiber Color +b (FBCLB)</t>
  </si>
  <si>
    <t>Column AN - Fiber Color Grade (FBCGR)</t>
  </si>
  <si>
    <t>Column AO - Trash Area (FBTCT, number of particles)</t>
  </si>
  <si>
    <t>Column AP - Trash Area (FBTAR, % of surface covered by trash)</t>
  </si>
  <si>
    <t>Column AQ - Short Fiber Index (FBSFI, %)</t>
  </si>
  <si>
    <t>Column Z - Wet seed weight at harvest (WSWAH, kg/ha)</t>
  </si>
  <si>
    <t>Column T - Weight of fiber in bag after ginning (kg). Weigh using Diaa's Uline H-4593 scale.</t>
  </si>
  <si>
    <t>Column U - Weight of fuzzy seed in tub after ginning (kg). Weigh using Diaa's Uline H-4593 scale.</t>
  </si>
  <si>
    <t>21-1</t>
  </si>
  <si>
    <t>11-2</t>
  </si>
  <si>
    <t>31-1</t>
  </si>
  <si>
    <t>11-1</t>
  </si>
  <si>
    <t>9</t>
  </si>
  <si>
    <t>10</t>
  </si>
  <si>
    <t>11</t>
  </si>
  <si>
    <t>12</t>
  </si>
  <si>
    <t>13</t>
  </si>
  <si>
    <t>14</t>
  </si>
  <si>
    <t>15</t>
  </si>
  <si>
    <t>p01-01-W</t>
  </si>
  <si>
    <t>p01-02-W</t>
  </si>
  <si>
    <t>p01-03-W</t>
  </si>
  <si>
    <t>p01-04-W</t>
  </si>
  <si>
    <t>p01-05-W</t>
  </si>
  <si>
    <t>p01-06-W</t>
  </si>
  <si>
    <t>p01-07-W</t>
  </si>
  <si>
    <t>p01-08-W</t>
  </si>
  <si>
    <t>p01-09-W</t>
  </si>
  <si>
    <t>p01-10-W</t>
  </si>
  <si>
    <t>p01-11-W</t>
  </si>
  <si>
    <t>p01-12-W</t>
  </si>
  <si>
    <t>p01-13-W</t>
  </si>
  <si>
    <t>p01-14-W</t>
  </si>
  <si>
    <t>p01-15-W</t>
  </si>
  <si>
    <t>p01-01-E</t>
  </si>
  <si>
    <t>p01-02-E</t>
  </si>
  <si>
    <t>p01-03-E</t>
  </si>
  <si>
    <t>p01-04-E</t>
  </si>
  <si>
    <t>p01-05-E</t>
  </si>
  <si>
    <t>p01-06-E</t>
  </si>
  <si>
    <t>p01-07-E</t>
  </si>
  <si>
    <t>p01-08-E</t>
  </si>
  <si>
    <t>p01-09-E</t>
  </si>
  <si>
    <t>p01-10-E</t>
  </si>
  <si>
    <t>p01-11-E</t>
  </si>
  <si>
    <t>p01-12-E</t>
  </si>
  <si>
    <t>p01-13-E</t>
  </si>
  <si>
    <t>p01-14-E</t>
  </si>
  <si>
    <t>p01-15-E</t>
  </si>
  <si>
    <t>p02-01-W</t>
  </si>
  <si>
    <t>p02-02-W</t>
  </si>
  <si>
    <t>p02-03-W</t>
  </si>
  <si>
    <t>p02-04-W</t>
  </si>
  <si>
    <t>p02-05-W</t>
  </si>
  <si>
    <t>p02-06-W</t>
  </si>
  <si>
    <t>p02-07-W</t>
  </si>
  <si>
    <t>p02-08-W</t>
  </si>
  <si>
    <t>p02-09-W</t>
  </si>
  <si>
    <t>p02-10-W</t>
  </si>
  <si>
    <t>p02-11-W</t>
  </si>
  <si>
    <t>p02-12-W</t>
  </si>
  <si>
    <t>p02-13-W</t>
  </si>
  <si>
    <t>p02-14-W</t>
  </si>
  <si>
    <t>p02-15-W</t>
  </si>
  <si>
    <t>p02-01-E</t>
  </si>
  <si>
    <t>p02-02-E</t>
  </si>
  <si>
    <t>p02-03-E</t>
  </si>
  <si>
    <t>p02-04-E</t>
  </si>
  <si>
    <t>p02-05-E</t>
  </si>
  <si>
    <t>p02-06-E</t>
  </si>
  <si>
    <t>p02-07-E</t>
  </si>
  <si>
    <t>p02-08-E</t>
  </si>
  <si>
    <t>p02-09-E</t>
  </si>
  <si>
    <t>p02-10-E</t>
  </si>
  <si>
    <t>p02-11-E</t>
  </si>
  <si>
    <t>p02-12-E</t>
  </si>
  <si>
    <t>p02-13-E</t>
  </si>
  <si>
    <t>p02-14-E</t>
  </si>
  <si>
    <t>p02-15-E</t>
  </si>
  <si>
    <t>p03-01-W</t>
  </si>
  <si>
    <t>p03-02-W</t>
  </si>
  <si>
    <t>p03-03-W</t>
  </si>
  <si>
    <t>p03-04-W</t>
  </si>
  <si>
    <t>p03-05-W</t>
  </si>
  <si>
    <t>p03-06-W</t>
  </si>
  <si>
    <t>p03-07-W</t>
  </si>
  <si>
    <t>p03-08-W</t>
  </si>
  <si>
    <t>p03-09-W</t>
  </si>
  <si>
    <t>p03-10-W</t>
  </si>
  <si>
    <t>p03-11-W</t>
  </si>
  <si>
    <t>p03-12-W</t>
  </si>
  <si>
    <t>p03-13-W</t>
  </si>
  <si>
    <t>p03-14-W</t>
  </si>
  <si>
    <t>p03-15-W</t>
  </si>
  <si>
    <t>p03-01-E</t>
  </si>
  <si>
    <t>p03-02-E</t>
  </si>
  <si>
    <t>p03-03-E</t>
  </si>
  <si>
    <t>p03-04-E</t>
  </si>
  <si>
    <t>p03-05-E</t>
  </si>
  <si>
    <t>p03-06-E</t>
  </si>
  <si>
    <t>p03-07-E</t>
  </si>
  <si>
    <t>p03-08-E</t>
  </si>
  <si>
    <t>p03-09-E</t>
  </si>
  <si>
    <t>p03-10-E</t>
  </si>
  <si>
    <t>p03-11-E</t>
  </si>
  <si>
    <t>p03-12-E</t>
  </si>
  <si>
    <t>p03-13-E</t>
  </si>
  <si>
    <t>p03-14-E</t>
  </si>
  <si>
    <t>p03-15-E</t>
  </si>
  <si>
    <t>p04-01-W</t>
  </si>
  <si>
    <t>p04-02-W</t>
  </si>
  <si>
    <t>p04-03-W</t>
  </si>
  <si>
    <t>p04-04-W</t>
  </si>
  <si>
    <t>p04-05-W</t>
  </si>
  <si>
    <t>p04-06-W</t>
  </si>
  <si>
    <t>p04-07-W</t>
  </si>
  <si>
    <t>p04-08-W</t>
  </si>
  <si>
    <t>p04-09-W</t>
  </si>
  <si>
    <t>p04-10-W</t>
  </si>
  <si>
    <t>p04-11-W</t>
  </si>
  <si>
    <t>p04-12-W</t>
  </si>
  <si>
    <t>p04-13-W</t>
  </si>
  <si>
    <t>p04-14-W</t>
  </si>
  <si>
    <t>p04-15-W</t>
  </si>
  <si>
    <t>p04-01-E</t>
  </si>
  <si>
    <t>p04-02-E</t>
  </si>
  <si>
    <t>p04-03-E</t>
  </si>
  <si>
    <t>p04-04-E</t>
  </si>
  <si>
    <t>p04-05-E</t>
  </si>
  <si>
    <t>p04-06-E</t>
  </si>
  <si>
    <t>p04-07-E</t>
  </si>
  <si>
    <t>p04-08-E</t>
  </si>
  <si>
    <t>p04-09-E</t>
  </si>
  <si>
    <t>p04-10-E</t>
  </si>
  <si>
    <t>p04-11-E</t>
  </si>
  <si>
    <t>p04-12-E</t>
  </si>
  <si>
    <t>p04-13-E</t>
  </si>
  <si>
    <t>p04-14-E</t>
  </si>
  <si>
    <t>p04-15-E</t>
  </si>
  <si>
    <t>p05-01-W</t>
  </si>
  <si>
    <t>p05-02-W</t>
  </si>
  <si>
    <t>p05-03-W</t>
  </si>
  <si>
    <t>p05-04-W</t>
  </si>
  <si>
    <t>p05-05-W</t>
  </si>
  <si>
    <t>p05-06-W</t>
  </si>
  <si>
    <t>p05-07-W</t>
  </si>
  <si>
    <t>p05-08-W</t>
  </si>
  <si>
    <t>p05-09-W</t>
  </si>
  <si>
    <t>p05-10-W</t>
  </si>
  <si>
    <t>p05-11-W</t>
  </si>
  <si>
    <t>p05-12-W</t>
  </si>
  <si>
    <t>p05-13-W</t>
  </si>
  <si>
    <t>p05-14-W</t>
  </si>
  <si>
    <t>p05-15-W</t>
  </si>
  <si>
    <t>p05-01-E</t>
  </si>
  <si>
    <t>p05-02-E</t>
  </si>
  <si>
    <t>p05-03-E</t>
  </si>
  <si>
    <t>p05-04-E</t>
  </si>
  <si>
    <t>p05-05-E</t>
  </si>
  <si>
    <t>p05-06-E</t>
  </si>
  <si>
    <t>p05-07-E</t>
  </si>
  <si>
    <t>p05-08-E</t>
  </si>
  <si>
    <t>p05-09-E</t>
  </si>
  <si>
    <t>p05-10-E</t>
  </si>
  <si>
    <t>p05-11-E</t>
  </si>
  <si>
    <t>p05-12-E</t>
  </si>
  <si>
    <t>p05-13-E</t>
  </si>
  <si>
    <t>p05-14-E</t>
  </si>
  <si>
    <t>p05-15-E</t>
  </si>
  <si>
    <t>p06-01-W</t>
  </si>
  <si>
    <t>p06-02-W</t>
  </si>
  <si>
    <t>p06-03-W</t>
  </si>
  <si>
    <t>p06-04-W</t>
  </si>
  <si>
    <t>p06-05-W</t>
  </si>
  <si>
    <t>p06-06-W</t>
  </si>
  <si>
    <t>p06-07-W</t>
  </si>
  <si>
    <t>p06-08-W</t>
  </si>
  <si>
    <t>p06-09-W</t>
  </si>
  <si>
    <t>p06-10-W</t>
  </si>
  <si>
    <t>p06-11-W</t>
  </si>
  <si>
    <t>p06-12-W</t>
  </si>
  <si>
    <t>p06-13-W</t>
  </si>
  <si>
    <t>p06-14-W</t>
  </si>
  <si>
    <t>p06-15-W</t>
  </si>
  <si>
    <t>p06-01-E</t>
  </si>
  <si>
    <t>p06-02-E</t>
  </si>
  <si>
    <t>p06-03-E</t>
  </si>
  <si>
    <t>p06-04-E</t>
  </si>
  <si>
    <t>p06-05-E</t>
  </si>
  <si>
    <t>p06-06-E</t>
  </si>
  <si>
    <t>p06-07-E</t>
  </si>
  <si>
    <t>p06-08-E</t>
  </si>
  <si>
    <t>p06-09-E</t>
  </si>
  <si>
    <t>p06-10-E</t>
  </si>
  <si>
    <t>p06-11-E</t>
  </si>
  <si>
    <t>p06-12-E</t>
  </si>
  <si>
    <t>p06-13-E</t>
  </si>
  <si>
    <t>p06-14-E</t>
  </si>
  <si>
    <t>p06-15-E</t>
  </si>
  <si>
    <t>p07-01-W</t>
  </si>
  <si>
    <t>p07-02-W</t>
  </si>
  <si>
    <t>p07-03-W</t>
  </si>
  <si>
    <t>p07-04-W</t>
  </si>
  <si>
    <t>p07-05-W</t>
  </si>
  <si>
    <t>p07-06-W</t>
  </si>
  <si>
    <t>p07-07-W</t>
  </si>
  <si>
    <t>p07-08-W</t>
  </si>
  <si>
    <t>p07-09-W</t>
  </si>
  <si>
    <t>p07-10-W</t>
  </si>
  <si>
    <t>p07-11-W</t>
  </si>
  <si>
    <t>p07-12-W</t>
  </si>
  <si>
    <t>p07-13-W</t>
  </si>
  <si>
    <t>p07-14-W</t>
  </si>
  <si>
    <t>p07-15-W</t>
  </si>
  <si>
    <t>p07-01-E</t>
  </si>
  <si>
    <t>p07-02-E</t>
  </si>
  <si>
    <t>p07-03-E</t>
  </si>
  <si>
    <t>p07-04-E</t>
  </si>
  <si>
    <t>p07-05-E</t>
  </si>
  <si>
    <t>p07-06-E</t>
  </si>
  <si>
    <t>p07-07-E</t>
  </si>
  <si>
    <t>p07-08-E</t>
  </si>
  <si>
    <t>p07-09-E</t>
  </si>
  <si>
    <t>p07-10-E</t>
  </si>
  <si>
    <t>p07-11-E</t>
  </si>
  <si>
    <t>p07-12-E</t>
  </si>
  <si>
    <t>p07-13-E</t>
  </si>
  <si>
    <t>p07-14-E</t>
  </si>
  <si>
    <t>p07-15-E</t>
  </si>
  <si>
    <t>p08-01-W</t>
  </si>
  <si>
    <t>p08-02-W</t>
  </si>
  <si>
    <t>p08-03-W</t>
  </si>
  <si>
    <t>p08-04-W</t>
  </si>
  <si>
    <t>p08-05-W</t>
  </si>
  <si>
    <t>p08-06-W</t>
  </si>
  <si>
    <t>p08-07-W</t>
  </si>
  <si>
    <t>p08-08-W</t>
  </si>
  <si>
    <t>p08-09-W</t>
  </si>
  <si>
    <t>p08-10-W</t>
  </si>
  <si>
    <t>p08-11-W</t>
  </si>
  <si>
    <t>p08-12-W</t>
  </si>
  <si>
    <t>p08-13-W</t>
  </si>
  <si>
    <t>p08-14-W</t>
  </si>
  <si>
    <t>p08-15-W</t>
  </si>
  <si>
    <t>p08-01-E</t>
  </si>
  <si>
    <t>p08-02-E</t>
  </si>
  <si>
    <t>p08-03-E</t>
  </si>
  <si>
    <t>p08-04-E</t>
  </si>
  <si>
    <t>p08-05-E</t>
  </si>
  <si>
    <t>p08-06-E</t>
  </si>
  <si>
    <t>p08-07-E</t>
  </si>
  <si>
    <t>p08-08-E</t>
  </si>
  <si>
    <t>p08-09-E</t>
  </si>
  <si>
    <t>p08-10-E</t>
  </si>
  <si>
    <t>p08-11-E</t>
  </si>
  <si>
    <t>p08-12-E</t>
  </si>
  <si>
    <t>p08-13-E</t>
  </si>
  <si>
    <t>p08-14-E</t>
  </si>
  <si>
    <t>p08-15-E</t>
  </si>
  <si>
    <t>p09-01-W</t>
  </si>
  <si>
    <t>p09-02-W</t>
  </si>
  <si>
    <t>p09-03-W</t>
  </si>
  <si>
    <t>p09-04-W</t>
  </si>
  <si>
    <t>p09-05-W</t>
  </si>
  <si>
    <t>p09-06-W</t>
  </si>
  <si>
    <t>p09-07-W</t>
  </si>
  <si>
    <t>p09-08-W</t>
  </si>
  <si>
    <t>p09-09-W</t>
  </si>
  <si>
    <t>p09-10-W</t>
  </si>
  <si>
    <t>p09-11-W</t>
  </si>
  <si>
    <t>p09-12-W</t>
  </si>
  <si>
    <t>p09-13-W</t>
  </si>
  <si>
    <t>p09-14-W</t>
  </si>
  <si>
    <t>p09-15-W</t>
  </si>
  <si>
    <t>p09-01-E</t>
  </si>
  <si>
    <t>p09-02-E</t>
  </si>
  <si>
    <t>p09-03-E</t>
  </si>
  <si>
    <t>p09-04-E</t>
  </si>
  <si>
    <t>p09-05-E</t>
  </si>
  <si>
    <t>p09-06-E</t>
  </si>
  <si>
    <t>p09-07-E</t>
  </si>
  <si>
    <t>p09-08-E</t>
  </si>
  <si>
    <t>p09-09-E</t>
  </si>
  <si>
    <t>p09-10-E</t>
  </si>
  <si>
    <t>p09-11-E</t>
  </si>
  <si>
    <t>p09-12-E</t>
  </si>
  <si>
    <t>p09-13-E</t>
  </si>
  <si>
    <t>p09-14-E</t>
  </si>
  <si>
    <t>p09-15-E</t>
  </si>
  <si>
    <t>p10-01-W</t>
  </si>
  <si>
    <t>p10-02-W</t>
  </si>
  <si>
    <t>p10-03-W</t>
  </si>
  <si>
    <t>p10-04-W</t>
  </si>
  <si>
    <t>p10-05-W</t>
  </si>
  <si>
    <t>p10-06-W</t>
  </si>
  <si>
    <t>p10-07-W</t>
  </si>
  <si>
    <t>p10-08-W</t>
  </si>
  <si>
    <t>p10-09-W</t>
  </si>
  <si>
    <t>p10-10-W</t>
  </si>
  <si>
    <t>p10-11-W</t>
  </si>
  <si>
    <t>p10-12-W</t>
  </si>
  <si>
    <t>p10-13-W</t>
  </si>
  <si>
    <t>p10-14-W</t>
  </si>
  <si>
    <t>p10-15-W</t>
  </si>
  <si>
    <t>p10-01-E</t>
  </si>
  <si>
    <t>p10-02-E</t>
  </si>
  <si>
    <t>p10-03-E</t>
  </si>
  <si>
    <t>p10-04-E</t>
  </si>
  <si>
    <t>p10-05-E</t>
  </si>
  <si>
    <t>p10-06-E</t>
  </si>
  <si>
    <t>p10-07-E</t>
  </si>
  <si>
    <t>p10-08-E</t>
  </si>
  <si>
    <t>p10-09-E</t>
  </si>
  <si>
    <t>p10-10-E</t>
  </si>
  <si>
    <t>p10-11-E</t>
  </si>
  <si>
    <t>p10-12-E</t>
  </si>
  <si>
    <t>p10-13-E</t>
  </si>
  <si>
    <t>p10-14-E</t>
  </si>
  <si>
    <t>p10-15-E</t>
  </si>
  <si>
    <t>p11-01-W</t>
  </si>
  <si>
    <t>p11-02-W</t>
  </si>
  <si>
    <t>p11-03-W</t>
  </si>
  <si>
    <t>p11-04-W</t>
  </si>
  <si>
    <t>p11-05-W</t>
  </si>
  <si>
    <t>p11-06-W</t>
  </si>
  <si>
    <t>p11-07-W</t>
  </si>
  <si>
    <t>p11-08-W</t>
  </si>
  <si>
    <t>p11-09-W</t>
  </si>
  <si>
    <t>p11-10-W</t>
  </si>
  <si>
    <t>p11-11-W</t>
  </si>
  <si>
    <t>p11-12-W</t>
  </si>
  <si>
    <t>p11-13-W</t>
  </si>
  <si>
    <t>p11-14-W</t>
  </si>
  <si>
    <t>p11-15-W</t>
  </si>
  <si>
    <t>p11-01-E</t>
  </si>
  <si>
    <t>p11-02-E</t>
  </si>
  <si>
    <t>p11-03-E</t>
  </si>
  <si>
    <t>p11-04-E</t>
  </si>
  <si>
    <t>p11-05-E</t>
  </si>
  <si>
    <t>p11-06-E</t>
  </si>
  <si>
    <t>p11-07-E</t>
  </si>
  <si>
    <t>p11-08-E</t>
  </si>
  <si>
    <t>p11-09-E</t>
  </si>
  <si>
    <t>p11-10-E</t>
  </si>
  <si>
    <t>p11-11-E</t>
  </si>
  <si>
    <t>p11-12-E</t>
  </si>
  <si>
    <t>p11-13-E</t>
  </si>
  <si>
    <t>p11-14-E</t>
  </si>
  <si>
    <t>p11-15-E</t>
  </si>
  <si>
    <t>p12-01-W</t>
  </si>
  <si>
    <t>p12-02-W</t>
  </si>
  <si>
    <t>p12-03-W</t>
  </si>
  <si>
    <t>p12-04-W</t>
  </si>
  <si>
    <t>p12-05-W</t>
  </si>
  <si>
    <t>p12-06-W</t>
  </si>
  <si>
    <t>p12-07-W</t>
  </si>
  <si>
    <t>p12-08-W</t>
  </si>
  <si>
    <t>p12-09-W</t>
  </si>
  <si>
    <t>p12-10-W</t>
  </si>
  <si>
    <t>p12-11-W</t>
  </si>
  <si>
    <t>p12-12-W</t>
  </si>
  <si>
    <t>p12-13-W</t>
  </si>
  <si>
    <t>p12-14-W</t>
  </si>
  <si>
    <t>p12-15-W</t>
  </si>
  <si>
    <t>p12-01-E</t>
  </si>
  <si>
    <t>p12-02-E</t>
  </si>
  <si>
    <t>p12-03-E</t>
  </si>
  <si>
    <t>p12-04-E</t>
  </si>
  <si>
    <t>p12-05-E</t>
  </si>
  <si>
    <t>p12-06-E</t>
  </si>
  <si>
    <t>p12-07-E</t>
  </si>
  <si>
    <t>p12-08-E</t>
  </si>
  <si>
    <t>p12-09-E</t>
  </si>
  <si>
    <t>p12-10-E</t>
  </si>
  <si>
    <t>p12-11-E</t>
  </si>
  <si>
    <t>p12-12-E</t>
  </si>
  <si>
    <t>p12-13-E</t>
  </si>
  <si>
    <t>p12-14-E</t>
  </si>
  <si>
    <t>p12-15-E</t>
  </si>
  <si>
    <t>Gleaning weight over the full pass #05 length from a second pass of the picker (lbs)</t>
  </si>
  <si>
    <t>Gleaning weight over the full pass #06 length from a second pass of the picker (lbs)</t>
  </si>
  <si>
    <t>Gleaning weight over the full pass #07 length from a second pass of the picker (lbs)</t>
  </si>
  <si>
    <t>Gleaning weight over the full pass #08 length from a second pass of the picker (lbs)</t>
  </si>
  <si>
    <t>Gleaning weight over the full pass #09 length from a second pass of the picker (lbs)</t>
  </si>
  <si>
    <t>Gleaning weight over the full pass #10 length from a second pass of the picker (lbs)</t>
  </si>
  <si>
    <t>Gleaning weight over the full pass #11 length from a second pass of the picker (lbs)</t>
  </si>
  <si>
    <t>Gleaning weight over the full pass #12 length from a second pass of the picker (lbs)</t>
  </si>
  <si>
    <t>Gleaning weight over the full pass #13 length from a second pass of the picker (lbs)</t>
  </si>
  <si>
    <t>Gleaning weight over the full pass #14 length from a second pass of the picker (lbs)</t>
  </si>
  <si>
    <t>Gleaning weight over the full pass #15 length from a second pass of the picker (lbs)</t>
  </si>
  <si>
    <t>Gleaning weight over the full pass #16 length from a second pass of the picker (lbs)</t>
  </si>
  <si>
    <t>Gleaning weight over the full pass #17 length from a second pass of the picker (lbs)</t>
  </si>
  <si>
    <t>Gleaning weight over the full pass #18 length from a second pass of the picker (lbs)</t>
  </si>
  <si>
    <t>Gleaning weight over the full pass #19 length from a second pass of the picker (lbs)</t>
  </si>
  <si>
    <t>Gleaning weight over the full pass #20 length from a second pass of the picker (lbs)</t>
  </si>
  <si>
    <t>Gleaning weight over the full pass #21 length from a second pass of the picker (lbs)</t>
  </si>
  <si>
    <t>Gleaning weight over the full pass #22 length from a second pass of the picker (lbs)</t>
  </si>
  <si>
    <t>Gleaning weight over the full pass #23 length from a second pass of the picker (lbs)</t>
  </si>
  <si>
    <t>Gleaning weight over the full pass #24 length from a second pass of the picker (lbs)</t>
  </si>
  <si>
    <t>11-4</t>
  </si>
  <si>
    <t>p01</t>
  </si>
  <si>
    <t>p02</t>
  </si>
  <si>
    <t>p12</t>
  </si>
  <si>
    <t>p11</t>
  </si>
  <si>
    <t>p10</t>
  </si>
  <si>
    <t>p09</t>
  </si>
  <si>
    <t>p08</t>
  </si>
  <si>
    <t>p07</t>
  </si>
  <si>
    <t>p06</t>
  </si>
  <si>
    <t>p05</t>
  </si>
  <si>
    <t>p04</t>
  </si>
  <si>
    <t>p03</t>
  </si>
  <si>
    <t>990130181001</t>
  </si>
  <si>
    <t>990130182013</t>
  </si>
  <si>
    <t>990130281002</t>
  </si>
  <si>
    <t>990130282014</t>
  </si>
  <si>
    <t>990130381003</t>
  </si>
  <si>
    <t>990130382015</t>
  </si>
  <si>
    <t>990130481004</t>
  </si>
  <si>
    <t>990130482016</t>
  </si>
  <si>
    <t>990130581005</t>
  </si>
  <si>
    <t>990130582017</t>
  </si>
  <si>
    <t>990130681006</t>
  </si>
  <si>
    <t>990130682018</t>
  </si>
  <si>
    <t>990130781007</t>
  </si>
  <si>
    <t>990130782019</t>
  </si>
  <si>
    <t>990130881008</t>
  </si>
  <si>
    <t>990130882020</t>
  </si>
  <si>
    <t>990130981009</t>
  </si>
  <si>
    <t>990130982021</t>
  </si>
  <si>
    <t>990131081010</t>
  </si>
  <si>
    <t>990131082022</t>
  </si>
  <si>
    <t>990131181011</t>
  </si>
  <si>
    <t>990131182023</t>
  </si>
  <si>
    <t>990131281012</t>
  </si>
  <si>
    <t>990131282024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</si>
</sst>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mm/dd/yyyy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19">
    <xf numFmtId="0" fontId="0" fillId="0" borderId="0" xfId="0"/>
    <xf numFmtId="49" fontId="0" fillId="0" borderId="0" xfId="0" quotePrefix="1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" fontId="0" fillId="0" borderId="0" xfId="0" applyNumberFormat="1"/>
    <xf numFmtId="166" fontId="0" fillId="2" borderId="0" xfId="0" applyNumberFormat="1" applyFill="1"/>
    <xf numFmtId="1" fontId="0" fillId="2" borderId="0" xfId="0" applyNumberFormat="1" applyFill="1"/>
    <xf numFmtId="166" fontId="0" fillId="0" borderId="0" xfId="0" applyNumberFormat="1"/>
    <xf numFmtId="167" fontId="0" fillId="2" borderId="0" xfId="0" applyNumberFormat="1" applyFill="1"/>
    <xf numFmtId="167" fontId="0" fillId="0" borderId="0" xfId="0" applyNumberFormat="1"/>
    <xf numFmtId="49" fontId="0" fillId="2" borderId="0" xfId="0" applyNumberFormat="1" applyFill="1"/>
    <xf numFmtId="14" fontId="0" fillId="2" borderId="0" xfId="0" applyNumberFormat="1" applyFill="1"/>
    <xf numFmtId="1" fontId="0" fillId="0" borderId="0" xfId="0" applyNumberFormat="1" applyAlignment="1">
      <alignment horizontal="right"/>
    </xf>
  </cellXfs>
  <cellStyles count="4">
    <cellStyle name="Normal" xfId="0" builtinId="0"/>
    <cellStyle name="Normal 2" xfId="2" xr:uid="{9975BD0D-8745-4147-A5EC-15B99D8AB865}"/>
    <cellStyle name="Normal 2 2" xfId="3" xr:uid="{1DCF826F-6866-4B08-B170-B9FB9BC4F240}"/>
    <cellStyle name="Normal 3" xfId="1" xr:uid="{E9664043-597C-49BE-B574-A4C570FE3A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181E-168C-4CB2-BE56-FDC05C3116BF}">
  <dimension ref="A1:CE504"/>
  <sheetViews>
    <sheetView tabSelected="1" workbookViewId="0"/>
  </sheetViews>
  <sheetFormatPr defaultRowHeight="14.4" x14ac:dyDescent="0.3"/>
  <cols>
    <col min="4" max="4" width="9.88671875" bestFit="1" customWidth="1"/>
    <col min="5" max="5" width="9.88671875" customWidth="1"/>
    <col min="6" max="6" width="10.5546875" bestFit="1" customWidth="1"/>
    <col min="16" max="16" width="8.88671875" customWidth="1"/>
    <col min="18" max="18" width="10.5546875" bestFit="1" customWidth="1"/>
    <col min="28" max="28" width="9" customWidth="1"/>
    <col min="29" max="30" width="8.88671875" customWidth="1"/>
    <col min="31" max="31" width="13.21875" bestFit="1" customWidth="1"/>
    <col min="32" max="32" width="10.5546875" bestFit="1" customWidth="1"/>
    <col min="47" max="47" width="10.5546875" bestFit="1" customWidth="1"/>
    <col min="54" max="54" width="10.5546875" bestFit="1" customWidth="1"/>
    <col min="58" max="58" width="10.5546875" bestFit="1" customWidth="1"/>
    <col min="68" max="68" width="10.5546875" bestFit="1" customWidth="1"/>
    <col min="72" max="72" width="10.5546875" bestFit="1" customWidth="1"/>
  </cols>
  <sheetData>
    <row r="1" spans="1:1" x14ac:dyDescent="0.3">
      <c r="A1" t="s">
        <v>51</v>
      </c>
    </row>
    <row r="2" spans="1:1" x14ac:dyDescent="0.3">
      <c r="A2" t="s">
        <v>52</v>
      </c>
    </row>
    <row r="3" spans="1:1" x14ac:dyDescent="0.3">
      <c r="A3" t="s">
        <v>13</v>
      </c>
    </row>
    <row r="4" spans="1:1" x14ac:dyDescent="0.3">
      <c r="A4" t="s">
        <v>90</v>
      </c>
    </row>
    <row r="5" spans="1:1" x14ac:dyDescent="0.3">
      <c r="A5" t="s">
        <v>94</v>
      </c>
    </row>
    <row r="6" spans="1:1" x14ac:dyDescent="0.3">
      <c r="A6" t="s">
        <v>95</v>
      </c>
    </row>
    <row r="7" spans="1:1" x14ac:dyDescent="0.3">
      <c r="A7" t="s">
        <v>96</v>
      </c>
    </row>
    <row r="8" spans="1:1" x14ac:dyDescent="0.3">
      <c r="A8" t="s">
        <v>97</v>
      </c>
    </row>
    <row r="9" spans="1:1" x14ac:dyDescent="0.3">
      <c r="A9" t="s">
        <v>98</v>
      </c>
    </row>
    <row r="10" spans="1:1" x14ac:dyDescent="0.3">
      <c r="A10" t="s">
        <v>99</v>
      </c>
    </row>
    <row r="11" spans="1:1" x14ac:dyDescent="0.3">
      <c r="A11" t="s">
        <v>100</v>
      </c>
    </row>
    <row r="12" spans="1:1" x14ac:dyDescent="0.3">
      <c r="A12" t="s">
        <v>101</v>
      </c>
    </row>
    <row r="13" spans="1:1" x14ac:dyDescent="0.3">
      <c r="A13" t="s">
        <v>102</v>
      </c>
    </row>
    <row r="14" spans="1:1" x14ac:dyDescent="0.3">
      <c r="A14" t="s">
        <v>103</v>
      </c>
    </row>
    <row r="15" spans="1:1" x14ac:dyDescent="0.3">
      <c r="A15" t="s">
        <v>104</v>
      </c>
    </row>
    <row r="16" spans="1:1" x14ac:dyDescent="0.3">
      <c r="A16" t="s">
        <v>105</v>
      </c>
    </row>
    <row r="17" spans="1:1" x14ac:dyDescent="0.3">
      <c r="A17" t="s">
        <v>106</v>
      </c>
    </row>
    <row r="18" spans="1:1" x14ac:dyDescent="0.3">
      <c r="A18" t="s">
        <v>107</v>
      </c>
    </row>
    <row r="19" spans="1:1" x14ac:dyDescent="0.3">
      <c r="A19" t="s">
        <v>108</v>
      </c>
    </row>
    <row r="20" spans="1:1" x14ac:dyDescent="0.3">
      <c r="A20" t="s">
        <v>131</v>
      </c>
    </row>
    <row r="21" spans="1:1" x14ac:dyDescent="0.3">
      <c r="A21" t="s">
        <v>132</v>
      </c>
    </row>
    <row r="22" spans="1:1" x14ac:dyDescent="0.3">
      <c r="A22" t="s">
        <v>109</v>
      </c>
    </row>
    <row r="23" spans="1:1" x14ac:dyDescent="0.3">
      <c r="A23" t="s">
        <v>110</v>
      </c>
    </row>
    <row r="24" spans="1:1" x14ac:dyDescent="0.3">
      <c r="A24" t="s">
        <v>111</v>
      </c>
    </row>
    <row r="25" spans="1:1" x14ac:dyDescent="0.3">
      <c r="A25" t="s">
        <v>112</v>
      </c>
    </row>
    <row r="26" spans="1:1" x14ac:dyDescent="0.3">
      <c r="A26" t="s">
        <v>130</v>
      </c>
    </row>
    <row r="27" spans="1:1" x14ac:dyDescent="0.3">
      <c r="A27" t="s">
        <v>113</v>
      </c>
    </row>
    <row r="28" spans="1:1" x14ac:dyDescent="0.3">
      <c r="A28" t="s">
        <v>114</v>
      </c>
    </row>
    <row r="29" spans="1:1" x14ac:dyDescent="0.3">
      <c r="A29" t="s">
        <v>115</v>
      </c>
    </row>
    <row r="30" spans="1:1" x14ac:dyDescent="0.3">
      <c r="A30" t="s">
        <v>116</v>
      </c>
    </row>
    <row r="31" spans="1:1" x14ac:dyDescent="0.3">
      <c r="A31" t="s">
        <v>117</v>
      </c>
    </row>
    <row r="32" spans="1:1" x14ac:dyDescent="0.3">
      <c r="A32" t="s">
        <v>118</v>
      </c>
    </row>
    <row r="33" spans="1:2" x14ac:dyDescent="0.3">
      <c r="A33" t="s">
        <v>119</v>
      </c>
    </row>
    <row r="34" spans="1:2" x14ac:dyDescent="0.3">
      <c r="A34" t="s">
        <v>120</v>
      </c>
    </row>
    <row r="35" spans="1:2" x14ac:dyDescent="0.3">
      <c r="A35" t="s">
        <v>121</v>
      </c>
    </row>
    <row r="36" spans="1:2" x14ac:dyDescent="0.3">
      <c r="A36" t="s">
        <v>122</v>
      </c>
    </row>
    <row r="37" spans="1:2" x14ac:dyDescent="0.3">
      <c r="A37" t="s">
        <v>123</v>
      </c>
    </row>
    <row r="38" spans="1:2" x14ac:dyDescent="0.3">
      <c r="A38" t="s">
        <v>124</v>
      </c>
    </row>
    <row r="39" spans="1:2" x14ac:dyDescent="0.3">
      <c r="A39" t="s">
        <v>125</v>
      </c>
    </row>
    <row r="40" spans="1:2" x14ac:dyDescent="0.3">
      <c r="A40" t="s">
        <v>126</v>
      </c>
    </row>
    <row r="41" spans="1:2" x14ac:dyDescent="0.3">
      <c r="A41" t="s">
        <v>127</v>
      </c>
    </row>
    <row r="42" spans="1:2" x14ac:dyDescent="0.3">
      <c r="A42" t="s">
        <v>128</v>
      </c>
    </row>
    <row r="43" spans="1:2" x14ac:dyDescent="0.3">
      <c r="A43" t="s">
        <v>129</v>
      </c>
    </row>
    <row r="46" spans="1:2" x14ac:dyDescent="0.3">
      <c r="A46" t="s">
        <v>14</v>
      </c>
    </row>
    <row r="47" spans="1:2" x14ac:dyDescent="0.3">
      <c r="A47">
        <v>0.46</v>
      </c>
      <c r="B47" t="s">
        <v>34</v>
      </c>
    </row>
    <row r="48" spans="1:2" x14ac:dyDescent="0.3">
      <c r="A48">
        <v>0.453592</v>
      </c>
      <c r="B48" t="s">
        <v>16</v>
      </c>
    </row>
    <row r="49" spans="1:2" x14ac:dyDescent="0.3">
      <c r="A49">
        <f>10*1.016*2</f>
        <v>20.32</v>
      </c>
      <c r="B49" t="s">
        <v>53</v>
      </c>
    </row>
    <row r="50" spans="1:2" x14ac:dyDescent="0.3">
      <c r="A50">
        <v>10000</v>
      </c>
      <c r="B50" t="s">
        <v>17</v>
      </c>
    </row>
    <row r="51" spans="1:2" x14ac:dyDescent="0.3">
      <c r="A51" s="3">
        <v>19.5</v>
      </c>
      <c r="B51" t="s">
        <v>9</v>
      </c>
    </row>
    <row r="52" spans="1:2" x14ac:dyDescent="0.3">
      <c r="A52" s="3">
        <v>21.6</v>
      </c>
      <c r="B52" t="s">
        <v>10</v>
      </c>
    </row>
    <row r="53" spans="1:2" x14ac:dyDescent="0.3">
      <c r="A53" s="3">
        <v>20.399999999999999</v>
      </c>
      <c r="B53" t="s">
        <v>11</v>
      </c>
    </row>
    <row r="54" spans="1:2" x14ac:dyDescent="0.3">
      <c r="A54" s="3">
        <v>19.8</v>
      </c>
      <c r="B54" t="s">
        <v>12</v>
      </c>
    </row>
    <row r="55" spans="1:2" x14ac:dyDescent="0.3">
      <c r="A55" s="3">
        <v>21.7</v>
      </c>
      <c r="B55" t="s">
        <v>504</v>
      </c>
    </row>
    <row r="56" spans="1:2" x14ac:dyDescent="0.3">
      <c r="A56" s="3">
        <v>28.1</v>
      </c>
      <c r="B56" t="s">
        <v>505</v>
      </c>
    </row>
    <row r="57" spans="1:2" x14ac:dyDescent="0.3">
      <c r="A57" s="3">
        <v>19</v>
      </c>
      <c r="B57" t="s">
        <v>506</v>
      </c>
    </row>
    <row r="58" spans="1:2" x14ac:dyDescent="0.3">
      <c r="A58" s="3">
        <v>18.7</v>
      </c>
      <c r="B58" t="s">
        <v>507</v>
      </c>
    </row>
    <row r="59" spans="1:2" x14ac:dyDescent="0.3">
      <c r="A59" s="3">
        <v>20.2</v>
      </c>
      <c r="B59" t="s">
        <v>508</v>
      </c>
    </row>
    <row r="60" spans="1:2" x14ac:dyDescent="0.3">
      <c r="A60" s="3">
        <v>22.7</v>
      </c>
      <c r="B60" t="s">
        <v>509</v>
      </c>
    </row>
    <row r="61" spans="1:2" x14ac:dyDescent="0.3">
      <c r="A61" s="3">
        <v>21.2</v>
      </c>
      <c r="B61" t="s">
        <v>510</v>
      </c>
    </row>
    <row r="62" spans="1:2" x14ac:dyDescent="0.3">
      <c r="A62" s="3">
        <v>21.9</v>
      </c>
      <c r="B62" t="s">
        <v>511</v>
      </c>
    </row>
    <row r="63" spans="1:2" x14ac:dyDescent="0.3">
      <c r="A63" s="3">
        <v>25.5</v>
      </c>
      <c r="B63" t="s">
        <v>512</v>
      </c>
    </row>
    <row r="64" spans="1:2" x14ac:dyDescent="0.3">
      <c r="A64" s="3">
        <v>21.7</v>
      </c>
      <c r="B64" t="s">
        <v>513</v>
      </c>
    </row>
    <row r="65" spans="1:83" x14ac:dyDescent="0.3">
      <c r="A65" s="3">
        <v>27.3</v>
      </c>
      <c r="B65" t="s">
        <v>514</v>
      </c>
    </row>
    <row r="66" spans="1:83" x14ac:dyDescent="0.3">
      <c r="A66" s="3">
        <v>18.600000000000001</v>
      </c>
      <c r="B66" t="s">
        <v>515</v>
      </c>
    </row>
    <row r="67" spans="1:83" x14ac:dyDescent="0.3">
      <c r="A67" s="3">
        <v>20.399999999999999</v>
      </c>
      <c r="B67" t="s">
        <v>516</v>
      </c>
    </row>
    <row r="68" spans="1:83" x14ac:dyDescent="0.3">
      <c r="A68" s="3">
        <v>18.2</v>
      </c>
      <c r="B68" t="s">
        <v>517</v>
      </c>
    </row>
    <row r="69" spans="1:83" x14ac:dyDescent="0.3">
      <c r="A69" s="3">
        <v>13.6</v>
      </c>
      <c r="B69" t="s">
        <v>518</v>
      </c>
    </row>
    <row r="70" spans="1:83" x14ac:dyDescent="0.3">
      <c r="A70" s="3">
        <v>15.5</v>
      </c>
      <c r="B70" t="s">
        <v>519</v>
      </c>
    </row>
    <row r="71" spans="1:83" x14ac:dyDescent="0.3">
      <c r="A71" s="3">
        <v>20.399999999999999</v>
      </c>
      <c r="B71" t="s">
        <v>520</v>
      </c>
    </row>
    <row r="72" spans="1:83" x14ac:dyDescent="0.3">
      <c r="A72" s="3">
        <v>23</v>
      </c>
      <c r="B72" t="s">
        <v>521</v>
      </c>
    </row>
    <row r="73" spans="1:83" x14ac:dyDescent="0.3">
      <c r="A73" s="3">
        <v>15.4</v>
      </c>
      <c r="B73" t="s">
        <v>522</v>
      </c>
    </row>
    <row r="74" spans="1:83" x14ac:dyDescent="0.3">
      <c r="A74" s="3">
        <v>14.6</v>
      </c>
      <c r="B74" t="s">
        <v>523</v>
      </c>
    </row>
    <row r="75" spans="1:83" x14ac:dyDescent="0.3">
      <c r="A75">
        <f>1/16</f>
        <v>6.25E-2</v>
      </c>
      <c r="B75" t="s">
        <v>18</v>
      </c>
    </row>
    <row r="76" spans="1:83" x14ac:dyDescent="0.3">
      <c r="A76">
        <v>0.28199999999999997</v>
      </c>
      <c r="B76" t="s">
        <v>76</v>
      </c>
      <c r="M76" s="4"/>
    </row>
    <row r="77" spans="1:83" x14ac:dyDescent="0.3">
      <c r="A77">
        <v>1.7</v>
      </c>
      <c r="B77" t="s">
        <v>78</v>
      </c>
    </row>
    <row r="78" spans="1:83" x14ac:dyDescent="0.3">
      <c r="AS78" t="s">
        <v>54</v>
      </c>
    </row>
    <row r="79" spans="1:83" x14ac:dyDescent="0.3">
      <c r="A79" s="3"/>
    </row>
    <row r="80" spans="1:83" x14ac:dyDescent="0.3">
      <c r="D80" s="5"/>
      <c r="E80" s="5" t="s">
        <v>2</v>
      </c>
      <c r="F80" s="5" t="s">
        <v>2</v>
      </c>
      <c r="G80" t="s">
        <v>2</v>
      </c>
      <c r="H80" t="s">
        <v>2</v>
      </c>
      <c r="I80" t="s">
        <v>2</v>
      </c>
      <c r="J80" t="s">
        <v>2</v>
      </c>
      <c r="K80" s="5" t="s">
        <v>2</v>
      </c>
      <c r="L80" t="s">
        <v>27</v>
      </c>
      <c r="M80" t="s">
        <v>27</v>
      </c>
      <c r="N80" t="s">
        <v>27</v>
      </c>
      <c r="O80" t="s">
        <v>27</v>
      </c>
      <c r="P80" s="5" t="s">
        <v>27</v>
      </c>
      <c r="Q80" s="5" t="s">
        <v>27</v>
      </c>
      <c r="R80" s="5" t="s">
        <v>28</v>
      </c>
      <c r="S80" t="s">
        <v>28</v>
      </c>
      <c r="T80" t="s">
        <v>28</v>
      </c>
      <c r="U80" t="s">
        <v>28</v>
      </c>
      <c r="V80" s="5" t="s">
        <v>28</v>
      </c>
      <c r="W80" s="5" t="s">
        <v>28</v>
      </c>
      <c r="X80" s="5" t="s">
        <v>28</v>
      </c>
      <c r="Y80" s="5" t="s">
        <v>46</v>
      </c>
      <c r="Z80" s="5" t="s">
        <v>46</v>
      </c>
      <c r="AA80" s="5" t="s">
        <v>46</v>
      </c>
      <c r="AB80" s="5" t="s">
        <v>46</v>
      </c>
      <c r="AC80" s="5" t="s">
        <v>46</v>
      </c>
      <c r="AD80" s="5" t="s">
        <v>46</v>
      </c>
      <c r="AF80" s="5" t="s">
        <v>69</v>
      </c>
      <c r="AG80" s="5" t="s">
        <v>69</v>
      </c>
      <c r="AH80" s="5" t="s">
        <v>69</v>
      </c>
      <c r="AI80" s="5" t="s">
        <v>69</v>
      </c>
      <c r="AJ80" s="5" t="s">
        <v>69</v>
      </c>
      <c r="AK80" s="5" t="s">
        <v>69</v>
      </c>
      <c r="AL80" s="5" t="s">
        <v>69</v>
      </c>
      <c r="AM80" s="5" t="s">
        <v>69</v>
      </c>
      <c r="AN80" s="5" t="s">
        <v>69</v>
      </c>
      <c r="AO80" s="5" t="s">
        <v>69</v>
      </c>
      <c r="AP80" s="5" t="s">
        <v>69</v>
      </c>
      <c r="AQ80" s="5" t="s">
        <v>69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27</v>
      </c>
      <c r="BA80" t="s">
        <v>27</v>
      </c>
      <c r="BB80" t="s">
        <v>27</v>
      </c>
      <c r="BC80" t="s">
        <v>27</v>
      </c>
      <c r="BD80" t="s">
        <v>27</v>
      </c>
      <c r="BE80" t="s">
        <v>27</v>
      </c>
      <c r="BF80" t="s">
        <v>28</v>
      </c>
      <c r="BG80" t="s">
        <v>28</v>
      </c>
      <c r="BH80" t="s">
        <v>28</v>
      </c>
      <c r="BI80" t="s">
        <v>28</v>
      </c>
      <c r="BJ80" t="s">
        <v>28</v>
      </c>
      <c r="BK80" t="s">
        <v>28</v>
      </c>
      <c r="BL80" t="s">
        <v>28</v>
      </c>
      <c r="BM80" t="s">
        <v>46</v>
      </c>
      <c r="BN80" t="s">
        <v>46</v>
      </c>
      <c r="BO80" t="s">
        <v>46</v>
      </c>
      <c r="BP80" t="s">
        <v>46</v>
      </c>
      <c r="BQ80" t="s">
        <v>46</v>
      </c>
      <c r="BR80" t="s">
        <v>46</v>
      </c>
      <c r="BT80" t="s">
        <v>69</v>
      </c>
      <c r="BU80" t="s">
        <v>69</v>
      </c>
      <c r="BV80" t="s">
        <v>69</v>
      </c>
      <c r="BW80" t="s">
        <v>69</v>
      </c>
      <c r="BX80" t="s">
        <v>69</v>
      </c>
      <c r="BY80" t="s">
        <v>69</v>
      </c>
      <c r="BZ80" t="s">
        <v>69</v>
      </c>
      <c r="CA80" t="s">
        <v>69</v>
      </c>
      <c r="CB80" t="s">
        <v>69</v>
      </c>
      <c r="CC80" t="s">
        <v>69</v>
      </c>
      <c r="CD80" t="s">
        <v>69</v>
      </c>
      <c r="CE80" t="s">
        <v>69</v>
      </c>
    </row>
    <row r="81" spans="1:83" x14ac:dyDescent="0.3">
      <c r="D81" s="5"/>
      <c r="E81" s="5"/>
      <c r="F81" s="5"/>
      <c r="K81" s="5"/>
      <c r="M81" t="s">
        <v>36</v>
      </c>
      <c r="N81" t="s">
        <v>39</v>
      </c>
      <c r="O81" t="s">
        <v>40</v>
      </c>
      <c r="P81" s="5"/>
      <c r="Q81" s="5"/>
      <c r="R81" s="5"/>
      <c r="V81" s="5"/>
      <c r="W81" s="5"/>
      <c r="X81" s="5"/>
      <c r="Y81" s="5"/>
      <c r="Z81" s="5"/>
      <c r="AA81" s="5"/>
      <c r="AB81" s="5"/>
      <c r="AC81" s="5"/>
      <c r="AD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BA81" t="s">
        <v>36</v>
      </c>
      <c r="BB81" t="s">
        <v>39</v>
      </c>
      <c r="BC81" t="s">
        <v>40</v>
      </c>
    </row>
    <row r="82" spans="1:83" x14ac:dyDescent="0.3">
      <c r="C82" t="s">
        <v>2</v>
      </c>
      <c r="D82" s="5"/>
      <c r="E82" s="5"/>
      <c r="F82" s="5"/>
      <c r="G82" t="s">
        <v>7</v>
      </c>
      <c r="H82" t="s">
        <v>4</v>
      </c>
      <c r="I82" t="s">
        <v>4</v>
      </c>
      <c r="J82" t="s">
        <v>72</v>
      </c>
      <c r="K82" s="5"/>
      <c r="L82" t="s">
        <v>42</v>
      </c>
      <c r="M82" t="s">
        <v>38</v>
      </c>
      <c r="N82" t="s">
        <v>37</v>
      </c>
      <c r="O82" t="s">
        <v>37</v>
      </c>
      <c r="P82" s="5"/>
      <c r="Q82" s="5"/>
      <c r="R82" s="5" t="s">
        <v>74</v>
      </c>
      <c r="S82" t="s">
        <v>29</v>
      </c>
      <c r="T82" t="s">
        <v>32</v>
      </c>
      <c r="U82" t="s">
        <v>31</v>
      </c>
      <c r="V82" s="5"/>
      <c r="W82" s="5"/>
      <c r="X82" s="5"/>
      <c r="Y82" s="5"/>
      <c r="Z82" s="5"/>
      <c r="AA82" s="5"/>
      <c r="AB82" s="5"/>
      <c r="AC82" s="5"/>
      <c r="AD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V82" t="s">
        <v>4</v>
      </c>
      <c r="AW82" t="s">
        <v>4</v>
      </c>
      <c r="AX82" t="s">
        <v>72</v>
      </c>
      <c r="AZ82" t="s">
        <v>42</v>
      </c>
      <c r="BA82" t="s">
        <v>38</v>
      </c>
      <c r="BB82" t="s">
        <v>37</v>
      </c>
      <c r="BC82" t="s">
        <v>37</v>
      </c>
      <c r="BF82" t="s">
        <v>74</v>
      </c>
      <c r="BG82" t="s">
        <v>29</v>
      </c>
      <c r="BH82" t="s">
        <v>32</v>
      </c>
      <c r="BI82" t="s">
        <v>31</v>
      </c>
    </row>
    <row r="83" spans="1:83" x14ac:dyDescent="0.3">
      <c r="A83" t="s">
        <v>1</v>
      </c>
      <c r="B83" t="s">
        <v>0</v>
      </c>
      <c r="C83" t="s">
        <v>3</v>
      </c>
      <c r="D83" s="5" t="s">
        <v>79</v>
      </c>
      <c r="E83" s="5" t="s">
        <v>91</v>
      </c>
      <c r="F83" s="5" t="s">
        <v>92</v>
      </c>
      <c r="G83" t="s">
        <v>8</v>
      </c>
      <c r="H83" t="s">
        <v>5</v>
      </c>
      <c r="I83" t="s">
        <v>15</v>
      </c>
      <c r="J83" t="s">
        <v>15</v>
      </c>
      <c r="K83" s="5" t="s">
        <v>19</v>
      </c>
      <c r="L83" t="s">
        <v>38</v>
      </c>
      <c r="M83" t="s">
        <v>5</v>
      </c>
      <c r="N83" t="s">
        <v>41</v>
      </c>
      <c r="O83" t="s">
        <v>41</v>
      </c>
      <c r="P83" s="5" t="s">
        <v>21</v>
      </c>
      <c r="Q83" s="5" t="s">
        <v>22</v>
      </c>
      <c r="R83" s="5" t="s">
        <v>73</v>
      </c>
      <c r="S83" t="s">
        <v>5</v>
      </c>
      <c r="T83" t="s">
        <v>5</v>
      </c>
      <c r="U83" t="s">
        <v>77</v>
      </c>
      <c r="V83" s="5" t="s">
        <v>24</v>
      </c>
      <c r="W83" s="5" t="s">
        <v>25</v>
      </c>
      <c r="X83" s="5" t="s">
        <v>26</v>
      </c>
      <c r="Y83" s="5" t="s">
        <v>43</v>
      </c>
      <c r="Z83" s="5" t="s">
        <v>44</v>
      </c>
      <c r="AA83" s="5" t="s">
        <v>45</v>
      </c>
      <c r="AB83" s="5" t="s">
        <v>47</v>
      </c>
      <c r="AC83" s="5" t="s">
        <v>48</v>
      </c>
      <c r="AD83" s="5" t="s">
        <v>49</v>
      </c>
      <c r="AE83" t="s">
        <v>70</v>
      </c>
      <c r="AF83" s="5" t="s">
        <v>75</v>
      </c>
      <c r="AG83" s="5" t="s">
        <v>55</v>
      </c>
      <c r="AH83" s="5" t="s">
        <v>56</v>
      </c>
      <c r="AI83" s="5" t="s">
        <v>57</v>
      </c>
      <c r="AJ83" s="5" t="s">
        <v>58</v>
      </c>
      <c r="AK83" s="5" t="s">
        <v>59</v>
      </c>
      <c r="AL83" s="5" t="s">
        <v>60</v>
      </c>
      <c r="AM83" s="5" t="s">
        <v>61</v>
      </c>
      <c r="AN83" s="5" t="s">
        <v>66</v>
      </c>
      <c r="AO83" s="5" t="s">
        <v>62</v>
      </c>
      <c r="AP83" s="5" t="s">
        <v>63</v>
      </c>
      <c r="AQ83" s="5" t="s">
        <v>64</v>
      </c>
      <c r="AS83" t="s">
        <v>50</v>
      </c>
      <c r="AT83" t="s">
        <v>91</v>
      </c>
      <c r="AU83" t="s">
        <v>92</v>
      </c>
      <c r="AV83" t="s">
        <v>5</v>
      </c>
      <c r="AW83" t="s">
        <v>15</v>
      </c>
      <c r="AX83" t="s">
        <v>15</v>
      </c>
      <c r="AY83" t="s">
        <v>19</v>
      </c>
      <c r="AZ83" t="s">
        <v>38</v>
      </c>
      <c r="BA83" t="s">
        <v>5</v>
      </c>
      <c r="BB83" t="s">
        <v>41</v>
      </c>
      <c r="BC83" t="s">
        <v>41</v>
      </c>
      <c r="BD83" t="s">
        <v>21</v>
      </c>
      <c r="BE83" t="s">
        <v>22</v>
      </c>
      <c r="BF83" t="s">
        <v>73</v>
      </c>
      <c r="BG83" t="s">
        <v>5</v>
      </c>
      <c r="BH83" t="s">
        <v>5</v>
      </c>
      <c r="BI83" t="s">
        <v>77</v>
      </c>
      <c r="BJ83" t="s">
        <v>24</v>
      </c>
      <c r="BK83" t="s">
        <v>25</v>
      </c>
      <c r="BL83" t="s">
        <v>26</v>
      </c>
      <c r="BM83" t="s">
        <v>43</v>
      </c>
      <c r="BN83" t="s">
        <v>44</v>
      </c>
      <c r="BO83" t="s">
        <v>45</v>
      </c>
      <c r="BP83" t="s">
        <v>47</v>
      </c>
      <c r="BQ83" t="s">
        <v>48</v>
      </c>
      <c r="BR83" t="s">
        <v>49</v>
      </c>
      <c r="BS83" t="s">
        <v>70</v>
      </c>
      <c r="BT83" t="s">
        <v>75</v>
      </c>
      <c r="BU83" t="s">
        <v>55</v>
      </c>
      <c r="BV83" t="s">
        <v>56</v>
      </c>
      <c r="BW83" t="s">
        <v>57</v>
      </c>
      <c r="BX83" t="s">
        <v>58</v>
      </c>
      <c r="BY83" t="s">
        <v>59</v>
      </c>
      <c r="BZ83" t="s">
        <v>60</v>
      </c>
      <c r="CA83" t="s">
        <v>61</v>
      </c>
      <c r="CB83" t="s">
        <v>66</v>
      </c>
      <c r="CC83" t="s">
        <v>62</v>
      </c>
      <c r="CD83" t="s">
        <v>63</v>
      </c>
      <c r="CE83" t="s">
        <v>64</v>
      </c>
    </row>
    <row r="84" spans="1:83" x14ac:dyDescent="0.3">
      <c r="D84" s="5"/>
      <c r="E84" s="5"/>
      <c r="F84" s="5"/>
      <c r="H84" t="s">
        <v>6</v>
      </c>
      <c r="I84" t="s">
        <v>6</v>
      </c>
      <c r="J84" t="s">
        <v>6</v>
      </c>
      <c r="K84" s="5" t="s">
        <v>20</v>
      </c>
      <c r="L84" t="s">
        <v>35</v>
      </c>
      <c r="M84" t="s">
        <v>35</v>
      </c>
      <c r="N84" t="s">
        <v>35</v>
      </c>
      <c r="O84" t="s">
        <v>35</v>
      </c>
      <c r="P84" s="5" t="s">
        <v>23</v>
      </c>
      <c r="Q84" s="5" t="s">
        <v>20</v>
      </c>
      <c r="R84" s="5"/>
      <c r="S84" s="4" t="s">
        <v>30</v>
      </c>
      <c r="T84" s="4" t="s">
        <v>30</v>
      </c>
      <c r="U84" s="4" t="s">
        <v>30</v>
      </c>
      <c r="V84" s="7" t="s">
        <v>33</v>
      </c>
      <c r="W84" s="7" t="s">
        <v>33</v>
      </c>
      <c r="X84" s="7" t="s">
        <v>33</v>
      </c>
      <c r="Y84" s="7" t="s">
        <v>20</v>
      </c>
      <c r="Z84" s="7" t="s">
        <v>20</v>
      </c>
      <c r="AA84" s="7" t="s">
        <v>20</v>
      </c>
      <c r="AB84" s="7" t="s">
        <v>20</v>
      </c>
      <c r="AC84" s="7" t="s">
        <v>20</v>
      </c>
      <c r="AD84" s="7" t="s">
        <v>20</v>
      </c>
      <c r="AE84" s="4"/>
      <c r="AF84" s="7"/>
      <c r="AG84" s="7"/>
      <c r="AH84" s="7" t="s">
        <v>71</v>
      </c>
      <c r="AI84" s="7" t="s">
        <v>23</v>
      </c>
      <c r="AJ84" s="7" t="s">
        <v>67</v>
      </c>
      <c r="AK84" s="7" t="s">
        <v>23</v>
      </c>
      <c r="AL84" s="7" t="s">
        <v>68</v>
      </c>
      <c r="AM84" s="7"/>
      <c r="AN84" s="7"/>
      <c r="AO84" s="7"/>
      <c r="AP84" s="7" t="s">
        <v>23</v>
      </c>
      <c r="AQ84" s="7" t="s">
        <v>23</v>
      </c>
      <c r="AV84" t="s">
        <v>6</v>
      </c>
      <c r="AW84" t="s">
        <v>6</v>
      </c>
      <c r="AX84" t="s">
        <v>6</v>
      </c>
      <c r="AY84" t="s">
        <v>20</v>
      </c>
      <c r="AZ84" t="s">
        <v>35</v>
      </c>
      <c r="BA84" s="4" t="s">
        <v>35</v>
      </c>
      <c r="BB84" s="4" t="s">
        <v>35</v>
      </c>
      <c r="BC84" s="4" t="s">
        <v>35</v>
      </c>
      <c r="BD84" s="4" t="s">
        <v>23</v>
      </c>
      <c r="BE84" s="4" t="s">
        <v>20</v>
      </c>
      <c r="BF84" s="4"/>
      <c r="BG84" s="4" t="s">
        <v>30</v>
      </c>
      <c r="BH84" s="4" t="s">
        <v>30</v>
      </c>
      <c r="BI84" s="4" t="s">
        <v>30</v>
      </c>
      <c r="BJ84" s="4" t="s">
        <v>33</v>
      </c>
      <c r="BK84" s="4" t="s">
        <v>33</v>
      </c>
      <c r="BL84" s="4" t="s">
        <v>33</v>
      </c>
      <c r="BM84" s="4" t="s">
        <v>20</v>
      </c>
      <c r="BN84" s="4" t="s">
        <v>20</v>
      </c>
      <c r="BO84" s="4" t="s">
        <v>20</v>
      </c>
      <c r="BP84" s="4" t="s">
        <v>20</v>
      </c>
      <c r="BQ84" s="4" t="s">
        <v>20</v>
      </c>
      <c r="BR84" s="4" t="s">
        <v>20</v>
      </c>
      <c r="BS84" s="4"/>
      <c r="BT84" s="4"/>
      <c r="BU84" s="4"/>
      <c r="BV84" s="4" t="s">
        <v>71</v>
      </c>
      <c r="BW84" s="4" t="s">
        <v>23</v>
      </c>
      <c r="BX84" s="4" t="s">
        <v>67</v>
      </c>
      <c r="BY84" t="s">
        <v>23</v>
      </c>
      <c r="BZ84" t="s">
        <v>68</v>
      </c>
      <c r="CD84" t="s">
        <v>23</v>
      </c>
      <c r="CE84" t="s">
        <v>23</v>
      </c>
    </row>
    <row r="85" spans="1:83" x14ac:dyDescent="0.3">
      <c r="A85" t="s">
        <v>1</v>
      </c>
      <c r="B85" t="s">
        <v>0</v>
      </c>
      <c r="C85" t="s">
        <v>3</v>
      </c>
      <c r="D85" s="5" t="s">
        <v>79</v>
      </c>
      <c r="E85" s="5" t="s">
        <v>91</v>
      </c>
      <c r="F85" s="5" t="s">
        <v>92</v>
      </c>
      <c r="K85" s="5" t="s">
        <v>19</v>
      </c>
      <c r="P85" s="5" t="s">
        <v>21</v>
      </c>
      <c r="Q85" s="5" t="s">
        <v>22</v>
      </c>
      <c r="R85" s="5" t="s">
        <v>73</v>
      </c>
      <c r="S85" s="4"/>
      <c r="V85" s="5" t="s">
        <v>24</v>
      </c>
      <c r="W85" s="5" t="s">
        <v>25</v>
      </c>
      <c r="X85" s="5" t="s">
        <v>26</v>
      </c>
      <c r="Y85" s="5" t="s">
        <v>43</v>
      </c>
      <c r="Z85" s="5" t="s">
        <v>44</v>
      </c>
      <c r="AA85" s="5" t="s">
        <v>45</v>
      </c>
      <c r="AB85" s="5" t="s">
        <v>47</v>
      </c>
      <c r="AC85" s="5" t="s">
        <v>48</v>
      </c>
      <c r="AD85" s="5" t="s">
        <v>49</v>
      </c>
      <c r="AF85" s="5" t="s">
        <v>75</v>
      </c>
      <c r="AG85" s="5" t="s">
        <v>55</v>
      </c>
      <c r="AH85" s="5" t="s">
        <v>56</v>
      </c>
      <c r="AI85" s="5" t="s">
        <v>57</v>
      </c>
      <c r="AJ85" s="5" t="s">
        <v>58</v>
      </c>
      <c r="AK85" s="5" t="s">
        <v>59</v>
      </c>
      <c r="AL85" s="5" t="s">
        <v>60</v>
      </c>
      <c r="AM85" s="5" t="s">
        <v>61</v>
      </c>
      <c r="AN85" s="5" t="s">
        <v>66</v>
      </c>
      <c r="AO85" s="5" t="s">
        <v>62</v>
      </c>
      <c r="AP85" s="5" t="s">
        <v>63</v>
      </c>
      <c r="AQ85" s="5" t="s">
        <v>64</v>
      </c>
      <c r="AS85" t="s">
        <v>50</v>
      </c>
      <c r="AT85" t="s">
        <v>91</v>
      </c>
      <c r="AU85" t="s">
        <v>92</v>
      </c>
      <c r="AY85" t="s">
        <v>19</v>
      </c>
      <c r="BD85" t="s">
        <v>21</v>
      </c>
      <c r="BE85" t="s">
        <v>22</v>
      </c>
      <c r="BF85" t="s">
        <v>73</v>
      </c>
      <c r="BJ85" t="s">
        <v>24</v>
      </c>
      <c r="BK85" t="s">
        <v>25</v>
      </c>
      <c r="BL85" t="s">
        <v>26</v>
      </c>
      <c r="BM85" t="s">
        <v>43</v>
      </c>
      <c r="BN85" t="s">
        <v>44</v>
      </c>
      <c r="BO85" t="s">
        <v>45</v>
      </c>
      <c r="BP85" t="s">
        <v>47</v>
      </c>
      <c r="BQ85" t="s">
        <v>48</v>
      </c>
      <c r="BR85" t="s">
        <v>49</v>
      </c>
      <c r="BT85" t="s">
        <v>75</v>
      </c>
      <c r="BU85" t="s">
        <v>55</v>
      </c>
      <c r="BV85" t="s">
        <v>56</v>
      </c>
      <c r="BW85" t="s">
        <v>57</v>
      </c>
      <c r="BX85" t="s">
        <v>58</v>
      </c>
      <c r="BY85" t="s">
        <v>59</v>
      </c>
      <c r="BZ85" t="s">
        <v>60</v>
      </c>
      <c r="CA85" t="s">
        <v>61</v>
      </c>
      <c r="CB85" t="s">
        <v>66</v>
      </c>
      <c r="CC85" t="s">
        <v>62</v>
      </c>
      <c r="CD85" t="s">
        <v>63</v>
      </c>
      <c r="CE85" t="s">
        <v>64</v>
      </c>
    </row>
    <row r="86" spans="1:83" x14ac:dyDescent="0.3">
      <c r="A86" s="1" t="s">
        <v>80</v>
      </c>
      <c r="B86" s="2" t="s">
        <v>80</v>
      </c>
      <c r="C86" t="s">
        <v>88</v>
      </c>
      <c r="D86" s="5" t="s">
        <v>144</v>
      </c>
      <c r="E86" s="5" t="s">
        <v>93</v>
      </c>
      <c r="F86" s="17">
        <v>45243</v>
      </c>
      <c r="G86">
        <v>1</v>
      </c>
      <c r="H86" s="3">
        <v>7.1</v>
      </c>
      <c r="I86" s="3">
        <f>H86-$A$47</f>
        <v>6.64</v>
      </c>
      <c r="J86" s="3">
        <f>($A$51-$A$47)*$A$75</f>
        <v>1.19</v>
      </c>
      <c r="K86" s="6">
        <f>(I86+J86)*$A$48/$A$49*$A$50</f>
        <v>1747.847125984252</v>
      </c>
      <c r="L86" s="4"/>
      <c r="M86" s="4"/>
      <c r="N86" s="4"/>
      <c r="O86" s="4"/>
      <c r="P86" s="7"/>
      <c r="Q86" s="6"/>
      <c r="R86" s="14"/>
      <c r="S86" s="4"/>
      <c r="T86" s="13"/>
      <c r="U86" s="13"/>
      <c r="V86" s="8"/>
      <c r="W86" s="8"/>
      <c r="X86" s="8"/>
      <c r="Y86" s="6"/>
      <c r="Z86" s="6"/>
      <c r="AA86" s="6"/>
      <c r="AB86" s="6"/>
      <c r="AC86" s="6"/>
      <c r="AD86" s="6"/>
      <c r="AE86" s="18"/>
      <c r="AF86" s="14"/>
      <c r="AG86" s="6"/>
      <c r="AH86" s="11"/>
      <c r="AI86" s="6"/>
      <c r="AJ86" s="6"/>
      <c r="AK86" s="6"/>
      <c r="AL86" s="6"/>
      <c r="AM86" s="6"/>
      <c r="AN86" s="16"/>
      <c r="AO86" s="12"/>
      <c r="AP86" s="7"/>
      <c r="AQ86" s="6"/>
      <c r="AS86" s="4" t="s">
        <v>525</v>
      </c>
      <c r="AT86" s="4" t="str">
        <f>E86</f>
        <v>Machine</v>
      </c>
      <c r="AU86" s="15">
        <f>F86</f>
        <v>45243</v>
      </c>
      <c r="AV86" s="3">
        <f>SUM(H86:H115)</f>
        <v>338.29999999999995</v>
      </c>
      <c r="AW86" s="3">
        <f>AV86-24*$A$47</f>
        <v>327.25999999999993</v>
      </c>
      <c r="AX86" s="3">
        <f>SUM(J86:J115)</f>
        <v>41.324999999999996</v>
      </c>
      <c r="AY86" s="3">
        <f>(AW86+AX86)*$A$48/(30*$A$49)*$A$50</f>
        <v>2742.5722985564298</v>
      </c>
      <c r="AZ86" s="4">
        <f>SUM(L86:L115)</f>
        <v>17.649999999999999</v>
      </c>
      <c r="BA86" s="4">
        <f t="shared" ref="BA86:BB86" si="0">SUM(M86:M115)</f>
        <v>388.99</v>
      </c>
      <c r="BB86" s="4">
        <f t="shared" si="0"/>
        <v>371.34000000000003</v>
      </c>
      <c r="BC86" s="4">
        <f>SUM(O86:O115)</f>
        <v>351.27</v>
      </c>
      <c r="BD86" s="4">
        <f>(BB86-BC86)/BB86*100</f>
        <v>5.404750363548243</v>
      </c>
      <c r="BE86" s="3">
        <f>AY86*(1-BD86/100)</f>
        <v>2594.3431122796278</v>
      </c>
      <c r="BF86" s="15">
        <v>45244</v>
      </c>
      <c r="BG86" s="4">
        <f>SUM(S86:S115)</f>
        <v>10.399999999999999</v>
      </c>
      <c r="BH86" s="13">
        <f>SUM(T86:T115)</f>
        <v>4.01</v>
      </c>
      <c r="BI86" s="13">
        <f>SUM(U86:U115)</f>
        <v>7.9649999999999999</v>
      </c>
      <c r="BJ86" s="9">
        <f>(BH86-2*$A$76)/(BG86-2*$A$47*$A$48)</f>
        <v>0.34519735158982151</v>
      </c>
      <c r="BK86" s="9">
        <f>(BI86-2*$A$77)/(BG86-2*$A$47*$A$48)</f>
        <v>0.45729132617746232</v>
      </c>
      <c r="BL86" s="9">
        <f>1-BJ86-BK86</f>
        <v>0.19751132223271622</v>
      </c>
      <c r="BM86" s="3">
        <f>AY86*BJ86</f>
        <v>946.72869400528884</v>
      </c>
      <c r="BN86" s="3">
        <f>AY86*BK86</f>
        <v>1254.154523544441</v>
      </c>
      <c r="BO86" s="3">
        <f>SUM(BM86:BN86)</f>
        <v>2200.88321754973</v>
      </c>
      <c r="BP86" s="3">
        <f>BE86*BJ86</f>
        <v>895.56037147422251</v>
      </c>
      <c r="BQ86" s="3">
        <f>BE86*BK86</f>
        <v>1186.3706023737161</v>
      </c>
      <c r="BR86" s="3">
        <f>SUM(BP86:BQ86)</f>
        <v>2081.9309738479387</v>
      </c>
      <c r="BS86" s="3"/>
      <c r="BT86" s="15">
        <v>45295</v>
      </c>
      <c r="BU86" s="3">
        <f>AVERAGE(AG86:AG115)</f>
        <v>50.2</v>
      </c>
      <c r="BV86" s="13">
        <f>AVERAGE(AH86:AH115)</f>
        <v>1.0865</v>
      </c>
      <c r="BW86" s="3">
        <f>AVERAGE(AI86:AI115)</f>
        <v>81</v>
      </c>
      <c r="BX86" s="3">
        <f>AVERAGE(AJ86:AJ115)</f>
        <v>27.8</v>
      </c>
      <c r="BY86" s="3">
        <f>AVERAGE(AK86:AK115)</f>
        <v>5.2</v>
      </c>
      <c r="BZ86" s="3">
        <f>AVERAGE(AL86:AL115)</f>
        <v>78.95</v>
      </c>
      <c r="CA86" s="3">
        <f>AVERAGE(AM86:AM115)</f>
        <v>9</v>
      </c>
      <c r="CB86" s="3"/>
      <c r="CC86" s="10">
        <f>AVERAGE(AO86:AO115)</f>
        <v>12.5</v>
      </c>
      <c r="CD86" s="4">
        <f>AVERAGE(AP86:AP115)</f>
        <v>0.28999999999999998</v>
      </c>
      <c r="CE86" s="3">
        <f>AVERAGE(AQ86:AQ115)</f>
        <v>11.05</v>
      </c>
    </row>
    <row r="87" spans="1:83" x14ac:dyDescent="0.3">
      <c r="A87" s="1" t="s">
        <v>80</v>
      </c>
      <c r="B87" s="2" t="s">
        <v>81</v>
      </c>
      <c r="C87" t="s">
        <v>88</v>
      </c>
      <c r="D87" s="5" t="s">
        <v>145</v>
      </c>
      <c r="E87" s="5" t="s">
        <v>93</v>
      </c>
      <c r="F87" s="17">
        <v>45243</v>
      </c>
      <c r="G87">
        <v>1</v>
      </c>
      <c r="H87" s="3">
        <v>12.1</v>
      </c>
      <c r="I87" s="3">
        <f t="shared" ref="I87:I150" si="1">H87-$A$47</f>
        <v>11.639999999999999</v>
      </c>
      <c r="J87" s="3">
        <f t="shared" ref="J87:J100" si="2">($A$51-$A$47)*$A$75</f>
        <v>1.19</v>
      </c>
      <c r="K87" s="6">
        <f t="shared" ref="K87:K150" si="3">(I87+J87)*$A$48/$A$49*$A$50</f>
        <v>2863.9691732283463</v>
      </c>
      <c r="L87" s="4"/>
      <c r="M87" s="4"/>
      <c r="N87" s="4"/>
      <c r="O87" s="4"/>
      <c r="P87" s="7"/>
      <c r="Q87" s="6"/>
      <c r="R87" s="14"/>
      <c r="S87" s="4"/>
      <c r="T87" s="13"/>
      <c r="U87" s="13"/>
      <c r="V87" s="8"/>
      <c r="W87" s="8"/>
      <c r="X87" s="8"/>
      <c r="Y87" s="6"/>
      <c r="Z87" s="6"/>
      <c r="AA87" s="6"/>
      <c r="AB87" s="6"/>
      <c r="AC87" s="6"/>
      <c r="AD87" s="6"/>
      <c r="AE87" s="18"/>
      <c r="AF87" s="14"/>
      <c r="AG87" s="6"/>
      <c r="AH87" s="11"/>
      <c r="AI87" s="6"/>
      <c r="AJ87" s="6"/>
      <c r="AK87" s="6"/>
      <c r="AL87" s="6"/>
      <c r="AM87" s="6"/>
      <c r="AN87" s="16"/>
      <c r="AO87" s="12"/>
      <c r="AP87" s="7"/>
      <c r="AQ87" s="6"/>
      <c r="AV87" s="3"/>
      <c r="AW87" s="3"/>
      <c r="AX87" s="3"/>
      <c r="AY87" s="3"/>
      <c r="AZ87" s="4"/>
      <c r="BA87" s="4"/>
      <c r="BB87" s="4"/>
      <c r="BC87" s="4"/>
      <c r="BD87" s="4"/>
      <c r="BE87" s="3"/>
      <c r="BF87" s="3"/>
      <c r="BG87" s="4"/>
      <c r="BH87" s="13"/>
      <c r="BI87" s="13"/>
      <c r="BJ87" s="9"/>
      <c r="BK87" s="9"/>
      <c r="BL87" s="9"/>
      <c r="BM87" s="3"/>
      <c r="BN87" s="3"/>
      <c r="BO87" s="3"/>
      <c r="BP87" s="3"/>
      <c r="BQ87" s="3"/>
      <c r="BR87" s="3"/>
      <c r="BT87" s="15"/>
      <c r="BU87" s="3"/>
      <c r="BV87" s="13"/>
      <c r="BW87" s="3"/>
      <c r="BX87" s="3"/>
      <c r="BY87" s="3"/>
      <c r="BZ87" s="3"/>
      <c r="CA87" s="3"/>
      <c r="CB87" s="10"/>
      <c r="CC87" s="10"/>
      <c r="CD87" s="4"/>
      <c r="CE87" s="3"/>
    </row>
    <row r="88" spans="1:83" x14ac:dyDescent="0.3">
      <c r="A88" s="1" t="s">
        <v>80</v>
      </c>
      <c r="B88" s="2" t="s">
        <v>82</v>
      </c>
      <c r="C88" t="s">
        <v>88</v>
      </c>
      <c r="D88" s="5" t="s">
        <v>146</v>
      </c>
      <c r="E88" s="5" t="s">
        <v>93</v>
      </c>
      <c r="F88" s="17">
        <v>45243</v>
      </c>
      <c r="G88">
        <v>1</v>
      </c>
      <c r="H88" s="3">
        <v>9.4</v>
      </c>
      <c r="I88" s="3">
        <f t="shared" si="1"/>
        <v>8.94</v>
      </c>
      <c r="J88" s="3">
        <f t="shared" si="2"/>
        <v>1.19</v>
      </c>
      <c r="K88" s="6">
        <f t="shared" si="3"/>
        <v>2261.2632677165352</v>
      </c>
      <c r="L88" s="4"/>
      <c r="M88" s="4"/>
      <c r="N88" s="4"/>
      <c r="O88" s="4"/>
      <c r="P88" s="7"/>
      <c r="Q88" s="6"/>
      <c r="R88" s="14"/>
      <c r="S88" s="4"/>
      <c r="T88" s="13"/>
      <c r="U88" s="13"/>
      <c r="V88" s="8"/>
      <c r="W88" s="8"/>
      <c r="X88" s="8"/>
      <c r="Y88" s="6"/>
      <c r="Z88" s="6"/>
      <c r="AA88" s="6"/>
      <c r="AB88" s="6"/>
      <c r="AC88" s="6"/>
      <c r="AD88" s="6"/>
      <c r="AE88" s="18"/>
      <c r="AF88" s="14"/>
      <c r="AG88" s="6"/>
      <c r="AH88" s="11"/>
      <c r="AI88" s="6"/>
      <c r="AJ88" s="6"/>
      <c r="AK88" s="6"/>
      <c r="AL88" s="6"/>
      <c r="AM88" s="6"/>
      <c r="AN88" s="16"/>
      <c r="AO88" s="12"/>
      <c r="AP88" s="7"/>
      <c r="AQ88" s="6"/>
      <c r="AT88" s="4"/>
      <c r="AU88" s="15"/>
      <c r="AV88" s="3"/>
      <c r="AW88" s="3"/>
      <c r="AX88" s="3"/>
      <c r="AY88" s="3"/>
      <c r="AZ88" s="4"/>
      <c r="BA88" s="4"/>
      <c r="BB88" s="4"/>
      <c r="BC88" s="4"/>
      <c r="BD88" s="4"/>
      <c r="BE88" s="3"/>
      <c r="BF88" s="15"/>
      <c r="BG88" s="4"/>
      <c r="BH88" s="13"/>
      <c r="BI88" s="13"/>
      <c r="BJ88" s="9"/>
      <c r="BK88" s="9"/>
      <c r="BL88" s="9"/>
      <c r="BM88" s="3"/>
      <c r="BN88" s="3"/>
      <c r="BO88" s="3"/>
      <c r="BP88" s="3"/>
      <c r="BQ88" s="3"/>
      <c r="BR88" s="3"/>
      <c r="BS88" s="3"/>
      <c r="BT88" s="15"/>
      <c r="BU88" s="3"/>
      <c r="BV88" s="13"/>
      <c r="BW88" s="3"/>
      <c r="BX88" s="3"/>
      <c r="BY88" s="3"/>
      <c r="BZ88" s="3"/>
      <c r="CA88" s="3"/>
      <c r="CB88" s="3"/>
      <c r="CC88" s="10"/>
      <c r="CD88" s="4"/>
      <c r="CE88" s="3"/>
    </row>
    <row r="89" spans="1:83" x14ac:dyDescent="0.3">
      <c r="A89" s="1" t="s">
        <v>80</v>
      </c>
      <c r="B89" s="2" t="s">
        <v>83</v>
      </c>
      <c r="C89" t="s">
        <v>88</v>
      </c>
      <c r="D89" s="5" t="s">
        <v>147</v>
      </c>
      <c r="E89" s="5" t="s">
        <v>93</v>
      </c>
      <c r="F89" s="17">
        <v>45243</v>
      </c>
      <c r="G89">
        <v>1</v>
      </c>
      <c r="H89" s="3">
        <v>11.4</v>
      </c>
      <c r="I89" s="3">
        <f t="shared" si="1"/>
        <v>10.94</v>
      </c>
      <c r="J89" s="3">
        <f t="shared" si="2"/>
        <v>1.19</v>
      </c>
      <c r="K89" s="6">
        <f t="shared" si="3"/>
        <v>2707.7120866141731</v>
      </c>
      <c r="L89" s="4"/>
      <c r="M89" s="4"/>
      <c r="N89" s="4"/>
      <c r="O89" s="4"/>
      <c r="P89" s="7"/>
      <c r="Q89" s="6"/>
      <c r="R89" s="14"/>
      <c r="S89" s="4"/>
      <c r="T89" s="13"/>
      <c r="U89" s="13"/>
      <c r="V89" s="8"/>
      <c r="W89" s="8"/>
      <c r="X89" s="8"/>
      <c r="Y89" s="6"/>
      <c r="Z89" s="6"/>
      <c r="AA89" s="6"/>
      <c r="AB89" s="6"/>
      <c r="AC89" s="6"/>
      <c r="AD89" s="6"/>
      <c r="AE89" s="18"/>
      <c r="AF89" s="14"/>
      <c r="AG89" s="6"/>
      <c r="AH89" s="11"/>
      <c r="AI89" s="6"/>
      <c r="AJ89" s="6"/>
      <c r="AK89" s="6"/>
      <c r="AL89" s="6"/>
      <c r="AM89" s="6"/>
      <c r="AN89" s="16"/>
      <c r="AO89" s="12"/>
      <c r="AP89" s="7"/>
      <c r="AQ89" s="6"/>
      <c r="AV89" s="3"/>
      <c r="AW89" s="3"/>
      <c r="AX89" s="3"/>
      <c r="AY89" s="3"/>
      <c r="AZ89" s="4"/>
      <c r="BA89" s="4"/>
      <c r="BB89" s="4"/>
      <c r="BC89" s="4"/>
      <c r="BD89" s="4"/>
      <c r="BE89" s="3"/>
      <c r="BF89" s="3"/>
      <c r="BG89" s="4"/>
      <c r="BH89" s="13"/>
      <c r="BI89" s="13"/>
      <c r="BJ89" s="9"/>
      <c r="BK89" s="9"/>
      <c r="BL89" s="9"/>
      <c r="BM89" s="3"/>
      <c r="BN89" s="3"/>
      <c r="BO89" s="3"/>
      <c r="BP89" s="3"/>
      <c r="BQ89" s="3"/>
      <c r="BR89" s="3"/>
      <c r="BT89" s="15"/>
      <c r="BU89" s="3"/>
      <c r="BV89" s="13"/>
      <c r="BW89" s="3"/>
      <c r="BX89" s="3"/>
      <c r="BY89" s="3"/>
      <c r="BZ89" s="3"/>
      <c r="CA89" s="3"/>
      <c r="CB89" s="10"/>
      <c r="CC89" s="10"/>
      <c r="CD89" s="4"/>
      <c r="CE89" s="3"/>
    </row>
    <row r="90" spans="1:83" x14ac:dyDescent="0.3">
      <c r="A90" s="1" t="s">
        <v>80</v>
      </c>
      <c r="B90" s="2" t="s">
        <v>84</v>
      </c>
      <c r="C90" t="s">
        <v>88</v>
      </c>
      <c r="D90" s="5" t="s">
        <v>148</v>
      </c>
      <c r="E90" s="5" t="s">
        <v>93</v>
      </c>
      <c r="F90" s="17">
        <v>45243</v>
      </c>
      <c r="G90">
        <v>1</v>
      </c>
      <c r="H90" s="3">
        <v>9.8000000000000007</v>
      </c>
      <c r="I90" s="3">
        <f t="shared" si="1"/>
        <v>9.34</v>
      </c>
      <c r="J90" s="3">
        <f t="shared" si="2"/>
        <v>1.19</v>
      </c>
      <c r="K90" s="6">
        <f t="shared" si="3"/>
        <v>2350.5530314960624</v>
      </c>
      <c r="L90" s="4"/>
      <c r="M90" s="4"/>
      <c r="N90" s="4"/>
      <c r="O90" s="4"/>
      <c r="P90" s="7"/>
      <c r="Q90" s="6"/>
      <c r="R90" s="14"/>
      <c r="S90" s="4"/>
      <c r="T90" s="13"/>
      <c r="U90" s="13"/>
      <c r="V90" s="8"/>
      <c r="W90" s="8"/>
      <c r="X90" s="8"/>
      <c r="Y90" s="6"/>
      <c r="Z90" s="6"/>
      <c r="AA90" s="6"/>
      <c r="AB90" s="6"/>
      <c r="AC90" s="6"/>
      <c r="AD90" s="6"/>
      <c r="AE90" s="18"/>
      <c r="AF90" s="14"/>
      <c r="AG90" s="6"/>
      <c r="AH90" s="11"/>
      <c r="AI90" s="6"/>
      <c r="AJ90" s="6"/>
      <c r="AK90" s="6"/>
      <c r="AL90" s="6"/>
      <c r="AM90" s="6"/>
      <c r="AN90" s="16"/>
      <c r="AO90" s="12"/>
      <c r="AP90" s="7"/>
      <c r="AQ90" s="6"/>
      <c r="AT90" s="4"/>
      <c r="AU90" s="15"/>
      <c r="AV90" s="3"/>
      <c r="AW90" s="3"/>
      <c r="AX90" s="3"/>
      <c r="AY90" s="3"/>
      <c r="AZ90" s="4"/>
      <c r="BA90" s="4"/>
      <c r="BB90" s="4"/>
      <c r="BC90" s="4"/>
      <c r="BD90" s="4"/>
      <c r="BE90" s="3"/>
      <c r="BF90" s="15"/>
      <c r="BG90" s="4"/>
      <c r="BH90" s="13"/>
      <c r="BI90" s="13"/>
      <c r="BJ90" s="9"/>
      <c r="BK90" s="9"/>
      <c r="BL90" s="9"/>
      <c r="BM90" s="3"/>
      <c r="BN90" s="3"/>
      <c r="BO90" s="3"/>
      <c r="BP90" s="3"/>
      <c r="BQ90" s="3"/>
      <c r="BR90" s="3"/>
      <c r="BS90" s="3"/>
      <c r="BT90" s="15"/>
      <c r="BU90" s="3"/>
      <c r="BV90" s="13"/>
      <c r="BW90" s="3"/>
      <c r="BX90" s="3"/>
      <c r="BY90" s="3"/>
      <c r="BZ90" s="3"/>
      <c r="CA90" s="3"/>
      <c r="CB90" s="3"/>
      <c r="CC90" s="10"/>
      <c r="CD90" s="4"/>
      <c r="CE90" s="3"/>
    </row>
    <row r="91" spans="1:83" x14ac:dyDescent="0.3">
      <c r="A91" s="1" t="s">
        <v>80</v>
      </c>
      <c r="B91" s="2" t="s">
        <v>85</v>
      </c>
      <c r="C91" t="s">
        <v>88</v>
      </c>
      <c r="D91" s="5" t="s">
        <v>149</v>
      </c>
      <c r="E91" s="5" t="s">
        <v>93</v>
      </c>
      <c r="F91" s="17">
        <v>45243</v>
      </c>
      <c r="G91">
        <v>1</v>
      </c>
      <c r="H91" s="3">
        <v>10.5</v>
      </c>
      <c r="I91" s="3">
        <f t="shared" si="1"/>
        <v>10.039999999999999</v>
      </c>
      <c r="J91" s="3">
        <f t="shared" si="2"/>
        <v>1.19</v>
      </c>
      <c r="K91" s="6">
        <f t="shared" si="3"/>
        <v>2506.8101181102361</v>
      </c>
      <c r="L91" s="4"/>
      <c r="M91" s="4"/>
      <c r="N91" s="4"/>
      <c r="O91" s="4"/>
      <c r="P91" s="7"/>
      <c r="Q91" s="6"/>
      <c r="R91" s="14"/>
      <c r="S91" s="4"/>
      <c r="T91" s="13"/>
      <c r="U91" s="13"/>
      <c r="V91" s="8"/>
      <c r="W91" s="8"/>
      <c r="X91" s="8"/>
      <c r="Y91" s="6"/>
      <c r="Z91" s="6"/>
      <c r="AA91" s="6"/>
      <c r="AB91" s="6"/>
      <c r="AC91" s="6"/>
      <c r="AD91" s="6"/>
      <c r="AE91" s="18"/>
      <c r="AF91" s="14"/>
      <c r="AG91" s="6"/>
      <c r="AH91" s="11"/>
      <c r="AI91" s="6"/>
      <c r="AJ91" s="6"/>
      <c r="AK91" s="6"/>
      <c r="AL91" s="6"/>
      <c r="AM91" s="6"/>
      <c r="AN91" s="16"/>
      <c r="AO91" s="12"/>
      <c r="AP91" s="7"/>
      <c r="AQ91" s="6"/>
      <c r="AV91" s="3"/>
      <c r="AW91" s="3"/>
      <c r="AX91" s="3"/>
      <c r="AY91" s="3"/>
      <c r="AZ91" s="4"/>
      <c r="BA91" s="4"/>
      <c r="BB91" s="4"/>
      <c r="BC91" s="4"/>
      <c r="BD91" s="4"/>
      <c r="BE91" s="3"/>
      <c r="BF91" s="3"/>
      <c r="BG91" s="4"/>
      <c r="BH91" s="13"/>
      <c r="BI91" s="13"/>
      <c r="BJ91" s="9"/>
      <c r="BK91" s="9"/>
      <c r="BL91" s="9"/>
      <c r="BM91" s="3"/>
      <c r="BN91" s="3"/>
      <c r="BO91" s="3"/>
      <c r="BP91" s="3"/>
      <c r="BQ91" s="3"/>
      <c r="BR91" s="3"/>
      <c r="BT91" s="15"/>
      <c r="BU91" s="3"/>
      <c r="BV91" s="13"/>
      <c r="BW91" s="3"/>
      <c r="BX91" s="3"/>
      <c r="BY91" s="3"/>
      <c r="BZ91" s="3"/>
      <c r="CA91" s="3"/>
      <c r="CB91" s="10"/>
      <c r="CC91" s="10"/>
      <c r="CD91" s="4"/>
      <c r="CE91" s="3"/>
    </row>
    <row r="92" spans="1:83" x14ac:dyDescent="0.3">
      <c r="A92" s="1" t="s">
        <v>80</v>
      </c>
      <c r="B92" s="2" t="s">
        <v>86</v>
      </c>
      <c r="C92" t="s">
        <v>88</v>
      </c>
      <c r="D92" s="5" t="s">
        <v>150</v>
      </c>
      <c r="E92" s="5" t="s">
        <v>93</v>
      </c>
      <c r="F92" s="17">
        <v>45243</v>
      </c>
      <c r="G92">
        <v>1</v>
      </c>
      <c r="H92" s="3">
        <v>8.3000000000000007</v>
      </c>
      <c r="I92" s="3">
        <f t="shared" si="1"/>
        <v>7.8400000000000007</v>
      </c>
      <c r="J92" s="3">
        <f t="shared" si="2"/>
        <v>1.19</v>
      </c>
      <c r="K92" s="6">
        <f t="shared" si="3"/>
        <v>2015.7164173228348</v>
      </c>
      <c r="L92" s="4"/>
      <c r="M92" s="4"/>
      <c r="N92" s="4"/>
      <c r="O92" s="4"/>
      <c r="P92" s="7"/>
      <c r="Q92" s="6"/>
      <c r="R92" s="14"/>
      <c r="S92" s="4"/>
      <c r="T92" s="13"/>
      <c r="U92" s="13"/>
      <c r="V92" s="8"/>
      <c r="W92" s="8"/>
      <c r="X92" s="8"/>
      <c r="Y92" s="6"/>
      <c r="Z92" s="6"/>
      <c r="AA92" s="6"/>
      <c r="AB92" s="6"/>
      <c r="AC92" s="6"/>
      <c r="AD92" s="6"/>
      <c r="AE92" s="18"/>
      <c r="AF92" s="14"/>
      <c r="AG92" s="6"/>
      <c r="AH92" s="11"/>
      <c r="AI92" s="6"/>
      <c r="AJ92" s="6"/>
      <c r="AK92" s="6"/>
      <c r="AL92" s="6"/>
      <c r="AM92" s="6"/>
      <c r="AN92" s="16"/>
      <c r="AO92" s="12"/>
      <c r="AP92" s="7"/>
      <c r="AQ92" s="6"/>
      <c r="AT92" s="4"/>
      <c r="AU92" s="15"/>
      <c r="AV92" s="3"/>
      <c r="AW92" s="3"/>
      <c r="AX92" s="3"/>
      <c r="AY92" s="3"/>
      <c r="AZ92" s="4"/>
      <c r="BA92" s="4"/>
      <c r="BB92" s="4"/>
      <c r="BC92" s="4"/>
      <c r="BD92" s="4"/>
      <c r="BE92" s="3"/>
      <c r="BF92" s="15"/>
      <c r="BG92" s="4"/>
      <c r="BH92" s="13"/>
      <c r="BI92" s="13"/>
      <c r="BJ92" s="9"/>
      <c r="BK92" s="9"/>
      <c r="BL92" s="9"/>
      <c r="BM92" s="3"/>
      <c r="BN92" s="3"/>
      <c r="BO92" s="3"/>
      <c r="BP92" s="3"/>
      <c r="BQ92" s="3"/>
      <c r="BR92" s="3"/>
      <c r="BS92" s="3"/>
      <c r="BT92" s="15"/>
      <c r="BU92" s="3"/>
      <c r="BV92" s="13"/>
      <c r="BW92" s="3"/>
      <c r="BX92" s="3"/>
      <c r="BY92" s="3"/>
      <c r="BZ92" s="3"/>
      <c r="CA92" s="3"/>
      <c r="CB92" s="3"/>
      <c r="CC92" s="10"/>
      <c r="CD92" s="4"/>
      <c r="CE92" s="3"/>
    </row>
    <row r="93" spans="1:83" x14ac:dyDescent="0.3">
      <c r="A93" s="1" t="s">
        <v>80</v>
      </c>
      <c r="B93" s="2" t="s">
        <v>87</v>
      </c>
      <c r="C93" t="s">
        <v>88</v>
      </c>
      <c r="D93" s="5" t="s">
        <v>151</v>
      </c>
      <c r="E93" s="5" t="s">
        <v>93</v>
      </c>
      <c r="F93" s="17">
        <v>45243</v>
      </c>
      <c r="G93">
        <v>1</v>
      </c>
      <c r="H93" s="3">
        <v>9.8000000000000007</v>
      </c>
      <c r="I93" s="3">
        <f t="shared" si="1"/>
        <v>9.34</v>
      </c>
      <c r="J93" s="3">
        <f t="shared" si="2"/>
        <v>1.19</v>
      </c>
      <c r="K93" s="6">
        <f t="shared" si="3"/>
        <v>2350.5530314960624</v>
      </c>
      <c r="L93" s="4">
        <v>8.76</v>
      </c>
      <c r="M93" s="4">
        <v>199.78</v>
      </c>
      <c r="N93" s="4">
        <v>191.02</v>
      </c>
      <c r="O93" s="4">
        <v>178.56</v>
      </c>
      <c r="P93" s="7">
        <f>(N93-O93)/N93*100</f>
        <v>6.5228771856350161</v>
      </c>
      <c r="Q93" s="6">
        <f>K93*(1-P93/100)</f>
        <v>2197.2293440683538</v>
      </c>
      <c r="R93" s="14">
        <v>45244</v>
      </c>
      <c r="S93" s="4">
        <v>4.18</v>
      </c>
      <c r="T93" s="13">
        <v>1.5449999999999999</v>
      </c>
      <c r="U93" s="13">
        <v>3.415</v>
      </c>
      <c r="V93" s="8">
        <f>(T93-$A$76)/(S93-$A$47*$A$48)</f>
        <v>0.31802806043917065</v>
      </c>
      <c r="W93" s="8">
        <f>(U93-$A$77)/(S93-$A$47*$A$48)</f>
        <v>0.43184332830813754</v>
      </c>
      <c r="X93" s="8">
        <f>1-V93-W93</f>
        <v>0.25012861125269181</v>
      </c>
      <c r="Y93" s="6">
        <f>K93*V93</f>
        <v>747.54182156610557</v>
      </c>
      <c r="Z93" s="6">
        <f>K93*W93</f>
        <v>1015.0706444860421</v>
      </c>
      <c r="AA93" s="6">
        <f>SUM(Y93:Z93)</f>
        <v>1762.6124660521477</v>
      </c>
      <c r="AB93" s="6">
        <f>Q93*V93</f>
        <v>698.78058663408967</v>
      </c>
      <c r="AC93" s="6">
        <f>Q93*W93</f>
        <v>948.85883299878378</v>
      </c>
      <c r="AD93" s="6">
        <f>SUM(AB93:AC93)</f>
        <v>1647.6394196328733</v>
      </c>
      <c r="AE93" t="s">
        <v>537</v>
      </c>
      <c r="AF93" s="14">
        <v>45295</v>
      </c>
      <c r="AG93" s="6">
        <v>48.6</v>
      </c>
      <c r="AH93" s="11">
        <v>1.1040000000000001</v>
      </c>
      <c r="AI93" s="6">
        <v>81.7</v>
      </c>
      <c r="AJ93" s="6">
        <v>28.5</v>
      </c>
      <c r="AK93" s="6">
        <v>5</v>
      </c>
      <c r="AL93" s="6">
        <v>78.2</v>
      </c>
      <c r="AM93" s="6">
        <v>8.8000000000000007</v>
      </c>
      <c r="AN93" s="6" t="s">
        <v>135</v>
      </c>
      <c r="AO93" s="12">
        <v>18</v>
      </c>
      <c r="AP93" s="7">
        <v>0.47</v>
      </c>
      <c r="AQ93" s="6">
        <v>9.6</v>
      </c>
      <c r="AV93" s="3"/>
      <c r="AW93" s="3"/>
      <c r="AX93" s="3"/>
      <c r="AY93" s="3"/>
      <c r="AZ93" s="4"/>
      <c r="BA93" s="4"/>
      <c r="BB93" s="4"/>
      <c r="BC93" s="4"/>
      <c r="BD93" s="4"/>
      <c r="BE93" s="3"/>
      <c r="BF93" s="3"/>
      <c r="BG93" s="4"/>
      <c r="BH93" s="13"/>
      <c r="BI93" s="13"/>
      <c r="BJ93" s="9"/>
      <c r="BK93" s="9"/>
      <c r="BL93" s="9"/>
      <c r="BM93" s="3"/>
      <c r="BN93" s="3"/>
      <c r="BO93" s="3"/>
      <c r="BP93" s="3"/>
      <c r="BQ93" s="3"/>
      <c r="BR93" s="3"/>
      <c r="BT93" s="15"/>
      <c r="BU93" s="3"/>
      <c r="BV93" s="13"/>
      <c r="BW93" s="3"/>
      <c r="BX93" s="3"/>
      <c r="BY93" s="3"/>
      <c r="BZ93" s="3"/>
      <c r="CA93" s="3"/>
      <c r="CB93" s="10"/>
      <c r="CC93" s="10"/>
      <c r="CD93" s="4"/>
      <c r="CE93" s="3"/>
    </row>
    <row r="94" spans="1:83" x14ac:dyDescent="0.3">
      <c r="A94" s="1" t="s">
        <v>80</v>
      </c>
      <c r="B94" s="2" t="s">
        <v>137</v>
      </c>
      <c r="C94" t="s">
        <v>88</v>
      </c>
      <c r="D94" s="5" t="s">
        <v>152</v>
      </c>
      <c r="E94" s="5" t="s">
        <v>93</v>
      </c>
      <c r="F94" s="17">
        <v>45243</v>
      </c>
      <c r="G94">
        <v>1</v>
      </c>
      <c r="H94" s="3">
        <v>8.8000000000000007</v>
      </c>
      <c r="I94" s="3">
        <f t="shared" si="1"/>
        <v>8.34</v>
      </c>
      <c r="J94" s="3">
        <f t="shared" si="2"/>
        <v>1.19</v>
      </c>
      <c r="K94" s="6">
        <f t="shared" si="3"/>
        <v>2127.3286220472442</v>
      </c>
      <c r="L94" s="4"/>
      <c r="M94" s="4"/>
      <c r="N94" s="4"/>
      <c r="O94" s="4"/>
      <c r="P94" s="7"/>
      <c r="Q94" s="6"/>
      <c r="R94" s="14"/>
      <c r="S94" s="4"/>
      <c r="T94" s="13"/>
      <c r="U94" s="13"/>
      <c r="V94" s="8"/>
      <c r="W94" s="8"/>
      <c r="X94" s="8"/>
      <c r="Y94" s="6"/>
      <c r="Z94" s="6"/>
      <c r="AA94" s="6"/>
      <c r="AB94" s="6"/>
      <c r="AC94" s="6"/>
      <c r="AD94" s="6"/>
      <c r="AF94" s="14"/>
      <c r="AG94" s="6"/>
      <c r="AH94" s="11"/>
      <c r="AI94" s="6"/>
      <c r="AJ94" s="6"/>
      <c r="AK94" s="6"/>
      <c r="AL94" s="6"/>
      <c r="AM94" s="6"/>
      <c r="AN94" s="6"/>
      <c r="AO94" s="12"/>
      <c r="AP94" s="7"/>
      <c r="AQ94" s="6"/>
      <c r="AT94" s="4"/>
      <c r="AU94" s="15"/>
      <c r="AV94" s="3"/>
      <c r="AW94" s="3"/>
      <c r="AX94" s="3"/>
      <c r="AY94" s="3"/>
      <c r="AZ94" s="4"/>
      <c r="BA94" s="4"/>
      <c r="BB94" s="4"/>
      <c r="BC94" s="4"/>
      <c r="BD94" s="4"/>
      <c r="BE94" s="3"/>
      <c r="BF94" s="15"/>
      <c r="BG94" s="4"/>
      <c r="BH94" s="13"/>
      <c r="BI94" s="13"/>
      <c r="BJ94" s="9"/>
      <c r="BK94" s="9"/>
      <c r="BL94" s="9"/>
      <c r="BM94" s="3"/>
      <c r="BN94" s="3"/>
      <c r="BO94" s="3"/>
      <c r="BP94" s="3"/>
      <c r="BQ94" s="3"/>
      <c r="BR94" s="3"/>
      <c r="BS94" s="3"/>
      <c r="BT94" s="15"/>
      <c r="BU94" s="3"/>
      <c r="BV94" s="13"/>
      <c r="BW94" s="3"/>
      <c r="BX94" s="3"/>
      <c r="BY94" s="3"/>
      <c r="BZ94" s="3"/>
      <c r="CA94" s="3"/>
      <c r="CB94" s="3"/>
      <c r="CC94" s="10"/>
      <c r="CD94" s="4"/>
      <c r="CE94" s="3"/>
    </row>
    <row r="95" spans="1:83" x14ac:dyDescent="0.3">
      <c r="A95" s="1" t="s">
        <v>80</v>
      </c>
      <c r="B95" s="2" t="s">
        <v>138</v>
      </c>
      <c r="C95" t="s">
        <v>88</v>
      </c>
      <c r="D95" s="5" t="s">
        <v>153</v>
      </c>
      <c r="E95" s="5" t="s">
        <v>93</v>
      </c>
      <c r="F95" s="17">
        <v>45243</v>
      </c>
      <c r="G95">
        <v>1</v>
      </c>
      <c r="H95" s="3">
        <v>10.1</v>
      </c>
      <c r="I95" s="3">
        <f t="shared" si="1"/>
        <v>9.6399999999999988</v>
      </c>
      <c r="J95" s="3">
        <f t="shared" si="2"/>
        <v>1.19</v>
      </c>
      <c r="K95" s="6">
        <f t="shared" si="3"/>
        <v>2417.5203543307084</v>
      </c>
      <c r="L95" s="4"/>
      <c r="M95" s="4"/>
      <c r="N95" s="4"/>
      <c r="O95" s="4"/>
      <c r="P95" s="7"/>
      <c r="Q95" s="6"/>
      <c r="R95" s="14"/>
      <c r="S95" s="4"/>
      <c r="T95" s="13"/>
      <c r="U95" s="13"/>
      <c r="V95" s="8"/>
      <c r="W95" s="8"/>
      <c r="X95" s="8"/>
      <c r="Y95" s="6"/>
      <c r="Z95" s="6"/>
      <c r="AA95" s="6"/>
      <c r="AB95" s="6"/>
      <c r="AC95" s="6"/>
      <c r="AD95" s="6"/>
      <c r="AF95" s="14"/>
      <c r="AG95" s="6"/>
      <c r="AH95" s="11"/>
      <c r="AI95" s="6"/>
      <c r="AJ95" s="6"/>
      <c r="AK95" s="6"/>
      <c r="AL95" s="6"/>
      <c r="AM95" s="6"/>
      <c r="AN95" s="6"/>
      <c r="AO95" s="12"/>
      <c r="AP95" s="7"/>
      <c r="AQ95" s="6"/>
      <c r="AV95" s="3"/>
      <c r="AW95" s="3"/>
      <c r="AX95" s="3"/>
      <c r="AY95" s="3"/>
      <c r="AZ95" s="4"/>
      <c r="BA95" s="4"/>
      <c r="BB95" s="4"/>
      <c r="BC95" s="4"/>
      <c r="BD95" s="4"/>
      <c r="BE95" s="3"/>
      <c r="BF95" s="3"/>
      <c r="BG95" s="4"/>
      <c r="BH95" s="13"/>
      <c r="BI95" s="13"/>
      <c r="BJ95" s="9"/>
      <c r="BK95" s="9"/>
      <c r="BL95" s="9"/>
      <c r="BM95" s="3"/>
      <c r="BN95" s="3"/>
      <c r="BO95" s="3"/>
      <c r="BP95" s="3"/>
      <c r="BQ95" s="3"/>
      <c r="BR95" s="3"/>
      <c r="BT95" s="15"/>
      <c r="BU95" s="3"/>
      <c r="BV95" s="13"/>
      <c r="BW95" s="3"/>
      <c r="BX95" s="3"/>
      <c r="BY95" s="3"/>
      <c r="BZ95" s="3"/>
      <c r="CA95" s="3"/>
      <c r="CB95" s="10"/>
      <c r="CC95" s="10"/>
      <c r="CD95" s="4"/>
      <c r="CE95" s="3"/>
    </row>
    <row r="96" spans="1:83" x14ac:dyDescent="0.3">
      <c r="A96" s="1" t="s">
        <v>80</v>
      </c>
      <c r="B96" s="2" t="s">
        <v>139</v>
      </c>
      <c r="C96" t="s">
        <v>88</v>
      </c>
      <c r="D96" s="5" t="s">
        <v>154</v>
      </c>
      <c r="E96" s="5" t="s">
        <v>93</v>
      </c>
      <c r="F96" s="17">
        <v>45243</v>
      </c>
      <c r="G96">
        <v>1</v>
      </c>
      <c r="H96" s="3">
        <v>8.4</v>
      </c>
      <c r="I96" s="3">
        <f t="shared" si="1"/>
        <v>7.94</v>
      </c>
      <c r="J96" s="3">
        <f t="shared" si="2"/>
        <v>1.19</v>
      </c>
      <c r="K96" s="6">
        <f t="shared" si="3"/>
        <v>2038.0388582677167</v>
      </c>
      <c r="L96" s="4"/>
      <c r="M96" s="4"/>
      <c r="N96" s="4"/>
      <c r="O96" s="4"/>
      <c r="P96" s="7"/>
      <c r="Q96" s="6"/>
      <c r="R96" s="14"/>
      <c r="S96" s="4"/>
      <c r="T96" s="13"/>
      <c r="U96" s="13"/>
      <c r="V96" s="8"/>
      <c r="W96" s="8"/>
      <c r="X96" s="8"/>
      <c r="Y96" s="6"/>
      <c r="Z96" s="6"/>
      <c r="AA96" s="6"/>
      <c r="AB96" s="6"/>
      <c r="AC96" s="6"/>
      <c r="AD96" s="6"/>
      <c r="AF96" s="14"/>
      <c r="AG96" s="6"/>
      <c r="AH96" s="11"/>
      <c r="AI96" s="6"/>
      <c r="AJ96" s="6"/>
      <c r="AK96" s="6"/>
      <c r="AL96" s="6"/>
      <c r="AM96" s="6"/>
      <c r="AN96" s="6"/>
      <c r="AO96" s="12"/>
      <c r="AP96" s="7"/>
      <c r="AQ96" s="6"/>
      <c r="AT96" s="4"/>
      <c r="AU96" s="15"/>
      <c r="AV96" s="3"/>
      <c r="AW96" s="3"/>
      <c r="AX96" s="3"/>
      <c r="AY96" s="3"/>
      <c r="AZ96" s="4"/>
      <c r="BA96" s="4"/>
      <c r="BB96" s="4"/>
      <c r="BC96" s="4"/>
      <c r="BD96" s="4"/>
      <c r="BE96" s="3"/>
      <c r="BF96" s="15"/>
      <c r="BG96" s="4"/>
      <c r="BH96" s="13"/>
      <c r="BI96" s="13"/>
      <c r="BJ96" s="9"/>
      <c r="BK96" s="9"/>
      <c r="BL96" s="9"/>
      <c r="BM96" s="3"/>
      <c r="BN96" s="3"/>
      <c r="BO96" s="3"/>
      <c r="BP96" s="3"/>
      <c r="BQ96" s="3"/>
      <c r="BR96" s="3"/>
      <c r="BS96" s="3"/>
      <c r="BT96" s="15"/>
      <c r="BU96" s="3"/>
      <c r="BV96" s="13"/>
      <c r="BW96" s="3"/>
      <c r="BX96" s="3"/>
      <c r="BY96" s="3"/>
      <c r="BZ96" s="3"/>
      <c r="CA96" s="3"/>
      <c r="CB96" s="3"/>
      <c r="CC96" s="10"/>
      <c r="CD96" s="4"/>
      <c r="CE96" s="3"/>
    </row>
    <row r="97" spans="1:83" x14ac:dyDescent="0.3">
      <c r="A97" s="1" t="s">
        <v>80</v>
      </c>
      <c r="B97" s="2" t="s">
        <v>140</v>
      </c>
      <c r="C97" t="s">
        <v>88</v>
      </c>
      <c r="D97" s="5" t="s">
        <v>155</v>
      </c>
      <c r="E97" s="5" t="s">
        <v>93</v>
      </c>
      <c r="F97" s="17">
        <v>45243</v>
      </c>
      <c r="G97">
        <v>1</v>
      </c>
      <c r="H97" s="3">
        <v>14.4</v>
      </c>
      <c r="I97" s="3">
        <f t="shared" si="1"/>
        <v>13.94</v>
      </c>
      <c r="J97" s="3">
        <f t="shared" si="2"/>
        <v>1.19</v>
      </c>
      <c r="K97" s="6">
        <f t="shared" si="3"/>
        <v>3377.3853149606298</v>
      </c>
      <c r="L97" s="4"/>
      <c r="M97" s="4"/>
      <c r="N97" s="4"/>
      <c r="O97" s="4"/>
      <c r="P97" s="7"/>
      <c r="Q97" s="6"/>
      <c r="R97" s="14"/>
      <c r="S97" s="4"/>
      <c r="T97" s="13"/>
      <c r="U97" s="13"/>
      <c r="V97" s="8"/>
      <c r="W97" s="8"/>
      <c r="X97" s="8"/>
      <c r="Y97" s="6"/>
      <c r="Z97" s="6"/>
      <c r="AA97" s="6"/>
      <c r="AB97" s="6"/>
      <c r="AC97" s="6"/>
      <c r="AD97" s="6"/>
      <c r="AF97" s="14"/>
      <c r="AG97" s="6"/>
      <c r="AH97" s="11"/>
      <c r="AI97" s="6"/>
      <c r="AJ97" s="6"/>
      <c r="AK97" s="6"/>
      <c r="AL97" s="6"/>
      <c r="AM97" s="6"/>
      <c r="AN97" s="6"/>
      <c r="AO97" s="12"/>
      <c r="AP97" s="7"/>
      <c r="AQ97" s="6"/>
      <c r="AV97" s="3"/>
      <c r="AW97" s="3"/>
      <c r="AX97" s="3"/>
      <c r="AY97" s="3"/>
      <c r="AZ97" s="4"/>
      <c r="BA97" s="4"/>
      <c r="BB97" s="4"/>
      <c r="BC97" s="4"/>
      <c r="BD97" s="4"/>
      <c r="BE97" s="3"/>
      <c r="BF97" s="3"/>
      <c r="BG97" s="4"/>
      <c r="BH97" s="13"/>
      <c r="BI97" s="13"/>
      <c r="BJ97" s="9"/>
      <c r="BK97" s="9"/>
      <c r="BL97" s="9"/>
      <c r="BM97" s="3"/>
      <c r="BN97" s="3"/>
      <c r="BO97" s="3"/>
      <c r="BP97" s="3"/>
      <c r="BQ97" s="3"/>
      <c r="BR97" s="3"/>
      <c r="BT97" s="15"/>
      <c r="BU97" s="3"/>
      <c r="BV97" s="13"/>
      <c r="BW97" s="3"/>
      <c r="BX97" s="3"/>
      <c r="BY97" s="3"/>
      <c r="BZ97" s="3"/>
      <c r="CA97" s="3"/>
      <c r="CB97" s="10"/>
      <c r="CC97" s="10"/>
      <c r="CD97" s="4"/>
      <c r="CE97" s="3"/>
    </row>
    <row r="98" spans="1:83" x14ac:dyDescent="0.3">
      <c r="A98" s="1" t="s">
        <v>80</v>
      </c>
      <c r="B98" s="2" t="s">
        <v>141</v>
      </c>
      <c r="C98" t="s">
        <v>88</v>
      </c>
      <c r="D98" s="5" t="s">
        <v>156</v>
      </c>
      <c r="E98" s="5" t="s">
        <v>93</v>
      </c>
      <c r="F98" s="17">
        <v>45243</v>
      </c>
      <c r="G98">
        <v>1</v>
      </c>
      <c r="H98" s="3">
        <v>6.4</v>
      </c>
      <c r="I98" s="3">
        <f t="shared" si="1"/>
        <v>5.94</v>
      </c>
      <c r="J98" s="3">
        <f t="shared" si="2"/>
        <v>1.19</v>
      </c>
      <c r="K98" s="6">
        <f t="shared" si="3"/>
        <v>1591.5900393700788</v>
      </c>
      <c r="L98" s="4"/>
      <c r="M98" s="4"/>
      <c r="N98" s="4"/>
      <c r="O98" s="4"/>
      <c r="P98" s="7"/>
      <c r="Q98" s="6"/>
      <c r="R98" s="14"/>
      <c r="S98" s="4"/>
      <c r="T98" s="13"/>
      <c r="U98" s="13"/>
      <c r="V98" s="8"/>
      <c r="W98" s="8"/>
      <c r="X98" s="8"/>
      <c r="Y98" s="6"/>
      <c r="Z98" s="6"/>
      <c r="AA98" s="6"/>
      <c r="AB98" s="6"/>
      <c r="AC98" s="6"/>
      <c r="AD98" s="6"/>
      <c r="AF98" s="14"/>
      <c r="AG98" s="6"/>
      <c r="AH98" s="11"/>
      <c r="AI98" s="6"/>
      <c r="AJ98" s="6"/>
      <c r="AK98" s="6"/>
      <c r="AL98" s="6"/>
      <c r="AM98" s="6"/>
      <c r="AN98" s="6"/>
      <c r="AO98" s="12"/>
      <c r="AP98" s="7"/>
      <c r="AQ98" s="6"/>
      <c r="AT98" s="4"/>
      <c r="AU98" s="15"/>
      <c r="AV98" s="3"/>
      <c r="AW98" s="3"/>
      <c r="AX98" s="3"/>
      <c r="AY98" s="3"/>
      <c r="AZ98" s="4"/>
      <c r="BA98" s="4"/>
      <c r="BB98" s="4"/>
      <c r="BC98" s="4"/>
      <c r="BD98" s="4"/>
      <c r="BE98" s="3"/>
      <c r="BF98" s="15"/>
      <c r="BG98" s="4"/>
      <c r="BH98" s="13"/>
      <c r="BI98" s="13"/>
      <c r="BJ98" s="9"/>
      <c r="BK98" s="9"/>
      <c r="BL98" s="9"/>
      <c r="BM98" s="3"/>
      <c r="BN98" s="3"/>
      <c r="BO98" s="3"/>
      <c r="BP98" s="3"/>
      <c r="BQ98" s="3"/>
      <c r="BR98" s="3"/>
      <c r="BS98" s="3"/>
      <c r="BT98" s="15"/>
      <c r="BU98" s="3"/>
      <c r="BV98" s="13"/>
      <c r="BW98" s="3"/>
      <c r="BX98" s="3"/>
      <c r="BY98" s="3"/>
      <c r="BZ98" s="3"/>
      <c r="CA98" s="3"/>
      <c r="CB98" s="3"/>
      <c r="CC98" s="10"/>
      <c r="CD98" s="4"/>
      <c r="CE98" s="3"/>
    </row>
    <row r="99" spans="1:83" x14ac:dyDescent="0.3">
      <c r="A99" s="1" t="s">
        <v>80</v>
      </c>
      <c r="B99" s="2" t="s">
        <v>142</v>
      </c>
      <c r="C99" t="s">
        <v>88</v>
      </c>
      <c r="D99" s="5" t="s">
        <v>157</v>
      </c>
      <c r="E99" s="5" t="s">
        <v>93</v>
      </c>
      <c r="F99" s="17">
        <v>45243</v>
      </c>
      <c r="G99">
        <v>1</v>
      </c>
      <c r="H99" s="3">
        <v>12.5</v>
      </c>
      <c r="I99" s="3">
        <f t="shared" si="1"/>
        <v>12.04</v>
      </c>
      <c r="J99" s="3">
        <f t="shared" si="2"/>
        <v>1.19</v>
      </c>
      <c r="K99" s="6">
        <f t="shared" si="3"/>
        <v>2953.2589370078731</v>
      </c>
      <c r="L99" s="4"/>
      <c r="M99" s="4"/>
      <c r="N99" s="4"/>
      <c r="O99" s="4"/>
      <c r="P99" s="7"/>
      <c r="Q99" s="6"/>
      <c r="R99" s="14"/>
      <c r="S99" s="4"/>
      <c r="T99" s="13"/>
      <c r="U99" s="13"/>
      <c r="V99" s="8"/>
      <c r="W99" s="8"/>
      <c r="X99" s="8"/>
      <c r="Y99" s="6"/>
      <c r="Z99" s="6"/>
      <c r="AA99" s="6"/>
      <c r="AB99" s="6"/>
      <c r="AC99" s="6"/>
      <c r="AD99" s="6"/>
      <c r="AF99" s="14"/>
      <c r="AG99" s="6"/>
      <c r="AH99" s="11"/>
      <c r="AI99" s="6"/>
      <c r="AJ99" s="6"/>
      <c r="AK99" s="6"/>
      <c r="AL99" s="6"/>
      <c r="AM99" s="6"/>
      <c r="AN99" s="6"/>
      <c r="AO99" s="12"/>
      <c r="AP99" s="7"/>
      <c r="AQ99" s="6"/>
      <c r="AV99" s="3"/>
      <c r="AW99" s="3"/>
      <c r="AX99" s="3"/>
      <c r="AY99" s="3"/>
      <c r="AZ99" s="4"/>
      <c r="BA99" s="4"/>
      <c r="BB99" s="4"/>
      <c r="BC99" s="4"/>
      <c r="BD99" s="4"/>
      <c r="BE99" s="3"/>
      <c r="BF99" s="3"/>
      <c r="BG99" s="4"/>
      <c r="BH99" s="13"/>
      <c r="BI99" s="13"/>
      <c r="BJ99" s="9"/>
      <c r="BK99" s="9"/>
      <c r="BL99" s="9"/>
      <c r="BM99" s="3"/>
      <c r="BN99" s="3"/>
      <c r="BO99" s="3"/>
      <c r="BP99" s="3"/>
      <c r="BQ99" s="3"/>
      <c r="BR99" s="3"/>
      <c r="BT99" s="15"/>
      <c r="BU99" s="3"/>
      <c r="BV99" s="13"/>
      <c r="BW99" s="3"/>
      <c r="BX99" s="3"/>
      <c r="BY99" s="3"/>
      <c r="BZ99" s="3"/>
      <c r="CA99" s="3"/>
      <c r="CB99" s="10"/>
      <c r="CC99" s="10"/>
      <c r="CD99" s="4"/>
      <c r="CE99" s="3"/>
    </row>
    <row r="100" spans="1:83" x14ac:dyDescent="0.3">
      <c r="A100" s="1" t="s">
        <v>80</v>
      </c>
      <c r="B100" s="2" t="s">
        <v>143</v>
      </c>
      <c r="C100" t="s">
        <v>88</v>
      </c>
      <c r="D100" s="5" t="s">
        <v>158</v>
      </c>
      <c r="E100" s="5" t="s">
        <v>93</v>
      </c>
      <c r="F100" s="17">
        <v>45243</v>
      </c>
      <c r="G100">
        <v>1</v>
      </c>
      <c r="H100" s="3">
        <v>7.1</v>
      </c>
      <c r="I100" s="3">
        <f t="shared" si="1"/>
        <v>6.64</v>
      </c>
      <c r="J100" s="3">
        <f t="shared" si="2"/>
        <v>1.19</v>
      </c>
      <c r="K100" s="6">
        <f t="shared" si="3"/>
        <v>1747.847125984252</v>
      </c>
      <c r="L100" s="4"/>
      <c r="M100" s="4"/>
      <c r="N100" s="4"/>
      <c r="O100" s="4"/>
      <c r="P100" s="7"/>
      <c r="Q100" s="6"/>
      <c r="R100" s="14"/>
      <c r="S100" s="4"/>
      <c r="T100" s="13"/>
      <c r="U100" s="13"/>
      <c r="V100" s="8"/>
      <c r="W100" s="8"/>
      <c r="X100" s="8"/>
      <c r="Y100" s="6"/>
      <c r="Z100" s="6"/>
      <c r="AA100" s="6"/>
      <c r="AB100" s="6"/>
      <c r="AC100" s="6"/>
      <c r="AD100" s="6"/>
      <c r="AF100" s="14"/>
      <c r="AG100" s="6"/>
      <c r="AH100" s="11"/>
      <c r="AI100" s="6"/>
      <c r="AJ100" s="6"/>
      <c r="AK100" s="6"/>
      <c r="AL100" s="6"/>
      <c r="AM100" s="6"/>
      <c r="AN100" s="6"/>
      <c r="AO100" s="12"/>
      <c r="AP100" s="7"/>
      <c r="AQ100" s="6"/>
      <c r="AT100" s="4"/>
      <c r="AU100" s="15"/>
      <c r="AV100" s="3"/>
      <c r="AW100" s="3"/>
      <c r="AX100" s="3"/>
      <c r="AY100" s="3"/>
      <c r="AZ100" s="4"/>
      <c r="BA100" s="4"/>
      <c r="BB100" s="4"/>
      <c r="BC100" s="4"/>
      <c r="BD100" s="4"/>
      <c r="BE100" s="3"/>
      <c r="BF100" s="15"/>
      <c r="BG100" s="4"/>
      <c r="BH100" s="13"/>
      <c r="BI100" s="13"/>
      <c r="BJ100" s="9"/>
      <c r="BK100" s="9"/>
      <c r="BL100" s="9"/>
      <c r="BM100" s="3"/>
      <c r="BN100" s="3"/>
      <c r="BO100" s="3"/>
      <c r="BP100" s="3"/>
      <c r="BQ100" s="3"/>
      <c r="BR100" s="3"/>
      <c r="BS100" s="3"/>
      <c r="BT100" s="15"/>
      <c r="BU100" s="3"/>
      <c r="BV100" s="13"/>
      <c r="BW100" s="3"/>
      <c r="BX100" s="3"/>
      <c r="BY100" s="3"/>
      <c r="BZ100" s="3"/>
      <c r="CA100" s="3"/>
      <c r="CB100" s="3"/>
      <c r="CC100" s="10"/>
      <c r="CD100" s="4"/>
      <c r="CE100" s="3"/>
    </row>
    <row r="101" spans="1:83" x14ac:dyDescent="0.3">
      <c r="A101" s="1" t="s">
        <v>80</v>
      </c>
      <c r="B101" s="2" t="s">
        <v>80</v>
      </c>
      <c r="C101" t="s">
        <v>89</v>
      </c>
      <c r="D101" s="5" t="s">
        <v>159</v>
      </c>
      <c r="E101" s="5" t="s">
        <v>93</v>
      </c>
      <c r="F101" s="17">
        <v>45243</v>
      </c>
      <c r="G101">
        <v>13</v>
      </c>
      <c r="H101" s="3">
        <v>6.4</v>
      </c>
      <c r="I101" s="3">
        <f t="shared" si="1"/>
        <v>5.94</v>
      </c>
      <c r="J101" s="3">
        <f>($A$63-$A$47)*$A$75</f>
        <v>1.5649999999999999</v>
      </c>
      <c r="K101" s="6">
        <f t="shared" si="3"/>
        <v>1675.2991929133859</v>
      </c>
      <c r="L101" s="4"/>
      <c r="M101" s="4"/>
      <c r="N101" s="4"/>
      <c r="O101" s="4"/>
      <c r="P101" s="7"/>
      <c r="Q101" s="6"/>
      <c r="R101" s="14"/>
      <c r="S101" s="4"/>
      <c r="T101" s="13"/>
      <c r="U101" s="13"/>
      <c r="V101" s="8"/>
      <c r="W101" s="8"/>
      <c r="X101" s="8"/>
      <c r="Y101" s="6"/>
      <c r="Z101" s="6"/>
      <c r="AA101" s="6"/>
      <c r="AB101" s="6"/>
      <c r="AC101" s="6"/>
      <c r="AD101" s="6"/>
      <c r="AF101" s="14"/>
      <c r="AG101" s="6"/>
      <c r="AH101" s="11"/>
      <c r="AI101" s="6"/>
      <c r="AJ101" s="6"/>
      <c r="AK101" s="6"/>
      <c r="AL101" s="6"/>
      <c r="AM101" s="6"/>
      <c r="AN101" s="6"/>
      <c r="AO101" s="12"/>
      <c r="AP101" s="7"/>
      <c r="AQ101" s="6"/>
      <c r="AT101" s="4"/>
      <c r="AU101" s="15"/>
      <c r="AV101" s="3"/>
      <c r="AW101" s="3"/>
      <c r="AX101" s="3"/>
      <c r="AY101" s="3"/>
      <c r="AZ101" s="4"/>
      <c r="BA101" s="4"/>
      <c r="BB101" s="4"/>
      <c r="BC101" s="4"/>
      <c r="BD101" s="4"/>
      <c r="BE101" s="3"/>
      <c r="BF101" s="15"/>
      <c r="BG101" s="4"/>
      <c r="BH101" s="13"/>
      <c r="BI101" s="13"/>
      <c r="BJ101" s="9"/>
      <c r="BK101" s="9"/>
      <c r="BL101" s="9"/>
      <c r="BM101" s="3"/>
      <c r="BN101" s="3"/>
      <c r="BO101" s="3"/>
      <c r="BP101" s="3"/>
      <c r="BQ101" s="3"/>
      <c r="BR101" s="3"/>
      <c r="BS101" s="3"/>
      <c r="BT101" s="15"/>
      <c r="BU101" s="3"/>
      <c r="BV101" s="13"/>
      <c r="BW101" s="3"/>
      <c r="BX101" s="3"/>
      <c r="BY101" s="3"/>
      <c r="BZ101" s="3"/>
      <c r="CA101" s="3"/>
      <c r="CB101" s="3"/>
      <c r="CC101" s="10"/>
      <c r="CD101" s="4"/>
      <c r="CE101" s="3"/>
    </row>
    <row r="102" spans="1:83" x14ac:dyDescent="0.3">
      <c r="A102" s="1" t="s">
        <v>80</v>
      </c>
      <c r="B102" s="2" t="s">
        <v>81</v>
      </c>
      <c r="C102" t="s">
        <v>89</v>
      </c>
      <c r="D102" s="5" t="s">
        <v>160</v>
      </c>
      <c r="E102" s="5" t="s">
        <v>93</v>
      </c>
      <c r="F102" s="17">
        <v>45243</v>
      </c>
      <c r="G102">
        <v>13</v>
      </c>
      <c r="H102" s="3">
        <v>16</v>
      </c>
      <c r="I102" s="3">
        <f t="shared" si="1"/>
        <v>15.54</v>
      </c>
      <c r="J102" s="3">
        <f t="shared" ref="J102:J115" si="4">($A$63-$A$47)*$A$75</f>
        <v>1.5649999999999999</v>
      </c>
      <c r="K102" s="6">
        <f t="shared" si="3"/>
        <v>3818.2535236220474</v>
      </c>
      <c r="L102" s="4"/>
      <c r="M102" s="4"/>
      <c r="N102" s="4"/>
      <c r="O102" s="4"/>
      <c r="P102" s="7"/>
      <c r="Q102" s="6"/>
      <c r="R102" s="14"/>
      <c r="S102" s="4"/>
      <c r="T102" s="13"/>
      <c r="U102" s="13"/>
      <c r="V102" s="8"/>
      <c r="W102" s="8"/>
      <c r="X102" s="8"/>
      <c r="Y102" s="6"/>
      <c r="Z102" s="6"/>
      <c r="AA102" s="6"/>
      <c r="AB102" s="6"/>
      <c r="AC102" s="6"/>
      <c r="AD102" s="6"/>
      <c r="AF102" s="14"/>
      <c r="AG102" s="6"/>
      <c r="AH102" s="11"/>
      <c r="AI102" s="6"/>
      <c r="AJ102" s="6"/>
      <c r="AK102" s="6"/>
      <c r="AL102" s="6"/>
      <c r="AM102" s="6"/>
      <c r="AN102" s="6"/>
      <c r="AO102" s="12"/>
      <c r="AP102" s="7"/>
      <c r="AQ102" s="6"/>
      <c r="AV102" s="3"/>
      <c r="AW102" s="3"/>
      <c r="AX102" s="3"/>
      <c r="AY102" s="3"/>
      <c r="AZ102" s="4"/>
      <c r="BA102" s="4"/>
      <c r="BB102" s="4"/>
      <c r="BC102" s="4"/>
      <c r="BD102" s="4"/>
      <c r="BE102" s="3"/>
      <c r="BF102" s="3"/>
      <c r="BG102" s="4"/>
      <c r="BH102" s="13"/>
      <c r="BI102" s="13"/>
      <c r="BJ102" s="9"/>
      <c r="BK102" s="9"/>
      <c r="BL102" s="9"/>
      <c r="BM102" s="3"/>
      <c r="BN102" s="3"/>
      <c r="BO102" s="3"/>
      <c r="BP102" s="3"/>
      <c r="BQ102" s="3"/>
      <c r="BR102" s="3"/>
      <c r="BT102" s="15"/>
      <c r="BU102" s="3"/>
      <c r="BV102" s="13"/>
      <c r="BW102" s="3"/>
      <c r="BX102" s="3"/>
      <c r="BY102" s="3"/>
      <c r="BZ102" s="3"/>
      <c r="CA102" s="3"/>
      <c r="CB102" s="10"/>
      <c r="CC102" s="10"/>
      <c r="CD102" s="4"/>
      <c r="CE102" s="3"/>
    </row>
    <row r="103" spans="1:83" x14ac:dyDescent="0.3">
      <c r="A103" s="1" t="s">
        <v>80</v>
      </c>
      <c r="B103" s="2" t="s">
        <v>82</v>
      </c>
      <c r="C103" t="s">
        <v>89</v>
      </c>
      <c r="D103" s="5" t="s">
        <v>161</v>
      </c>
      <c r="E103" s="5" t="s">
        <v>93</v>
      </c>
      <c r="F103" s="17">
        <v>45243</v>
      </c>
      <c r="G103">
        <v>13</v>
      </c>
      <c r="H103" s="3">
        <v>13.6</v>
      </c>
      <c r="I103" s="3">
        <f t="shared" si="1"/>
        <v>13.139999999999999</v>
      </c>
      <c r="J103" s="3">
        <f t="shared" si="4"/>
        <v>1.5649999999999999</v>
      </c>
      <c r="K103" s="6">
        <f t="shared" si="3"/>
        <v>3282.5149409448818</v>
      </c>
      <c r="L103" s="4"/>
      <c r="M103" s="4"/>
      <c r="N103" s="4"/>
      <c r="O103" s="4"/>
      <c r="P103" s="7"/>
      <c r="Q103" s="6"/>
      <c r="R103" s="14"/>
      <c r="S103" s="4"/>
      <c r="T103" s="13"/>
      <c r="U103" s="13"/>
      <c r="V103" s="8"/>
      <c r="W103" s="8"/>
      <c r="X103" s="8"/>
      <c r="Y103" s="6"/>
      <c r="Z103" s="6"/>
      <c r="AA103" s="6"/>
      <c r="AB103" s="6"/>
      <c r="AC103" s="6"/>
      <c r="AD103" s="6"/>
      <c r="AF103" s="14"/>
      <c r="AG103" s="6"/>
      <c r="AH103" s="11"/>
      <c r="AI103" s="6"/>
      <c r="AJ103" s="6"/>
      <c r="AK103" s="6"/>
      <c r="AL103" s="6"/>
      <c r="AM103" s="6"/>
      <c r="AN103" s="6"/>
      <c r="AO103" s="12"/>
      <c r="AP103" s="7"/>
      <c r="AQ103" s="6"/>
      <c r="AT103" s="4"/>
      <c r="AU103" s="15"/>
      <c r="AV103" s="3"/>
      <c r="AW103" s="3"/>
      <c r="AX103" s="3"/>
      <c r="AY103" s="3"/>
      <c r="AZ103" s="4"/>
      <c r="BA103" s="4"/>
      <c r="BB103" s="4"/>
      <c r="BC103" s="4"/>
      <c r="BD103" s="4"/>
      <c r="BE103" s="3"/>
      <c r="BF103" s="15"/>
      <c r="BG103" s="4"/>
      <c r="BH103" s="13"/>
      <c r="BI103" s="13"/>
      <c r="BJ103" s="9"/>
      <c r="BK103" s="9"/>
      <c r="BL103" s="9"/>
      <c r="BM103" s="3"/>
      <c r="BN103" s="3"/>
      <c r="BO103" s="3"/>
      <c r="BP103" s="3"/>
      <c r="BQ103" s="3"/>
      <c r="BR103" s="3"/>
      <c r="BS103" s="3"/>
      <c r="BT103" s="15"/>
      <c r="BU103" s="3"/>
      <c r="BV103" s="13"/>
      <c r="BW103" s="3"/>
      <c r="BX103" s="3"/>
      <c r="BY103" s="3"/>
      <c r="BZ103" s="3"/>
      <c r="CA103" s="3"/>
      <c r="CB103" s="3"/>
      <c r="CC103" s="10"/>
      <c r="CD103" s="4"/>
      <c r="CE103" s="3"/>
    </row>
    <row r="104" spans="1:83" x14ac:dyDescent="0.3">
      <c r="A104" s="1" t="s">
        <v>80</v>
      </c>
      <c r="B104" s="2" t="s">
        <v>83</v>
      </c>
      <c r="C104" t="s">
        <v>89</v>
      </c>
      <c r="D104" s="5" t="s">
        <v>162</v>
      </c>
      <c r="E104" s="5" t="s">
        <v>93</v>
      </c>
      <c r="F104" s="17">
        <v>45243</v>
      </c>
      <c r="G104">
        <v>13</v>
      </c>
      <c r="H104" s="3">
        <v>13.1</v>
      </c>
      <c r="I104" s="3">
        <f t="shared" si="1"/>
        <v>12.639999999999999</v>
      </c>
      <c r="J104" s="3">
        <f t="shared" si="4"/>
        <v>1.5649999999999999</v>
      </c>
      <c r="K104" s="6">
        <f t="shared" si="3"/>
        <v>3170.9027362204724</v>
      </c>
      <c r="L104" s="4"/>
      <c r="M104" s="4"/>
      <c r="N104" s="4"/>
      <c r="O104" s="4"/>
      <c r="P104" s="7"/>
      <c r="Q104" s="6"/>
      <c r="R104" s="14"/>
      <c r="S104" s="4"/>
      <c r="T104" s="13"/>
      <c r="U104" s="13"/>
      <c r="V104" s="8"/>
      <c r="W104" s="8"/>
      <c r="X104" s="8"/>
      <c r="Y104" s="6"/>
      <c r="Z104" s="6"/>
      <c r="AA104" s="6"/>
      <c r="AB104" s="6"/>
      <c r="AC104" s="6"/>
      <c r="AD104" s="6"/>
      <c r="AF104" s="14"/>
      <c r="AG104" s="6"/>
      <c r="AH104" s="11"/>
      <c r="AI104" s="6"/>
      <c r="AJ104" s="6"/>
      <c r="AK104" s="6"/>
      <c r="AL104" s="6"/>
      <c r="AM104" s="6"/>
      <c r="AN104" s="6"/>
      <c r="AO104" s="12"/>
      <c r="AP104" s="7"/>
      <c r="AQ104" s="6"/>
      <c r="AV104" s="3"/>
      <c r="AW104" s="3"/>
      <c r="AX104" s="3"/>
      <c r="AY104" s="3"/>
      <c r="AZ104" s="4"/>
      <c r="BA104" s="4"/>
      <c r="BB104" s="4"/>
      <c r="BC104" s="4"/>
      <c r="BD104" s="4"/>
      <c r="BE104" s="3"/>
      <c r="BF104" s="3"/>
      <c r="BG104" s="4"/>
      <c r="BH104" s="13"/>
      <c r="BI104" s="13"/>
      <c r="BJ104" s="9"/>
      <c r="BK104" s="9"/>
      <c r="BL104" s="9"/>
      <c r="BM104" s="3"/>
      <c r="BN104" s="3"/>
      <c r="BO104" s="3"/>
      <c r="BP104" s="3"/>
      <c r="BQ104" s="3"/>
      <c r="BR104" s="3"/>
      <c r="BT104" s="15"/>
      <c r="BU104" s="3"/>
      <c r="BV104" s="13"/>
      <c r="BW104" s="3"/>
      <c r="BX104" s="3"/>
      <c r="BY104" s="3"/>
      <c r="BZ104" s="3"/>
      <c r="CA104" s="3"/>
      <c r="CB104" s="10"/>
      <c r="CC104" s="10"/>
      <c r="CD104" s="4"/>
      <c r="CE104" s="3"/>
    </row>
    <row r="105" spans="1:83" x14ac:dyDescent="0.3">
      <c r="A105" s="1" t="s">
        <v>80</v>
      </c>
      <c r="B105" s="2" t="s">
        <v>84</v>
      </c>
      <c r="C105" t="s">
        <v>89</v>
      </c>
      <c r="D105" s="5" t="s">
        <v>163</v>
      </c>
      <c r="E105" s="5" t="s">
        <v>93</v>
      </c>
      <c r="F105" s="17">
        <v>45243</v>
      </c>
      <c r="G105">
        <v>13</v>
      </c>
      <c r="H105" s="3">
        <v>12.9</v>
      </c>
      <c r="I105" s="3">
        <f t="shared" si="1"/>
        <v>12.44</v>
      </c>
      <c r="J105" s="3">
        <f t="shared" si="4"/>
        <v>1.5649999999999999</v>
      </c>
      <c r="K105" s="6">
        <f t="shared" si="3"/>
        <v>3126.2578543307086</v>
      </c>
      <c r="L105" s="4"/>
      <c r="M105" s="4"/>
      <c r="N105" s="4"/>
      <c r="O105" s="4"/>
      <c r="P105" s="7"/>
      <c r="Q105" s="6"/>
      <c r="R105" s="14"/>
      <c r="S105" s="4"/>
      <c r="T105" s="13"/>
      <c r="U105" s="13"/>
      <c r="V105" s="8"/>
      <c r="W105" s="8"/>
      <c r="X105" s="8"/>
      <c r="Y105" s="6"/>
      <c r="Z105" s="6"/>
      <c r="AA105" s="6"/>
      <c r="AB105" s="6"/>
      <c r="AC105" s="6"/>
      <c r="AD105" s="6"/>
      <c r="AF105" s="14"/>
      <c r="AG105" s="6"/>
      <c r="AH105" s="11"/>
      <c r="AI105" s="6"/>
      <c r="AJ105" s="6"/>
      <c r="AK105" s="6"/>
      <c r="AL105" s="6"/>
      <c r="AM105" s="6"/>
      <c r="AN105" s="6"/>
      <c r="AO105" s="12"/>
      <c r="AP105" s="7"/>
      <c r="AQ105" s="6"/>
      <c r="AT105" s="4"/>
      <c r="AU105" s="15"/>
      <c r="AV105" s="3"/>
      <c r="AW105" s="3"/>
      <c r="AX105" s="3"/>
      <c r="AY105" s="3"/>
      <c r="AZ105" s="4"/>
      <c r="BA105" s="4"/>
      <c r="BB105" s="4"/>
      <c r="BC105" s="4"/>
      <c r="BD105" s="4"/>
      <c r="BE105" s="3"/>
      <c r="BF105" s="15"/>
      <c r="BG105" s="4"/>
      <c r="BH105" s="13"/>
      <c r="BI105" s="13"/>
      <c r="BJ105" s="9"/>
      <c r="BK105" s="9"/>
      <c r="BL105" s="9"/>
      <c r="BM105" s="3"/>
      <c r="BN105" s="3"/>
      <c r="BO105" s="3"/>
      <c r="BP105" s="3"/>
      <c r="BQ105" s="3"/>
      <c r="BR105" s="3"/>
      <c r="BS105" s="3"/>
      <c r="BT105" s="15"/>
      <c r="BU105" s="3"/>
      <c r="BV105" s="13"/>
      <c r="BW105" s="3"/>
      <c r="BX105" s="3"/>
      <c r="BY105" s="3"/>
      <c r="BZ105" s="3"/>
      <c r="CA105" s="3"/>
      <c r="CB105" s="3"/>
      <c r="CC105" s="10"/>
      <c r="CD105" s="4"/>
      <c r="CE105" s="3"/>
    </row>
    <row r="106" spans="1:83" x14ac:dyDescent="0.3">
      <c r="A106" s="1" t="s">
        <v>80</v>
      </c>
      <c r="B106" s="2" t="s">
        <v>85</v>
      </c>
      <c r="C106" t="s">
        <v>89</v>
      </c>
      <c r="D106" s="5" t="s">
        <v>164</v>
      </c>
      <c r="E106" s="5" t="s">
        <v>93</v>
      </c>
      <c r="F106" s="17">
        <v>45243</v>
      </c>
      <c r="G106">
        <v>13</v>
      </c>
      <c r="H106" s="3">
        <v>14.3</v>
      </c>
      <c r="I106" s="3">
        <f t="shared" si="1"/>
        <v>13.84</v>
      </c>
      <c r="J106" s="3">
        <f t="shared" si="4"/>
        <v>1.5649999999999999</v>
      </c>
      <c r="K106" s="6">
        <f t="shared" si="3"/>
        <v>3438.772027559055</v>
      </c>
      <c r="L106" s="4"/>
      <c r="M106" s="4"/>
      <c r="N106" s="4"/>
      <c r="O106" s="4"/>
      <c r="P106" s="7"/>
      <c r="Q106" s="6"/>
      <c r="R106" s="14"/>
      <c r="S106" s="4"/>
      <c r="T106" s="13"/>
      <c r="U106" s="13"/>
      <c r="V106" s="8"/>
      <c r="W106" s="8"/>
      <c r="X106" s="8"/>
      <c r="Y106" s="6"/>
      <c r="Z106" s="6"/>
      <c r="AA106" s="6"/>
      <c r="AB106" s="6"/>
      <c r="AC106" s="6"/>
      <c r="AD106" s="6"/>
      <c r="AF106" s="14"/>
      <c r="AG106" s="6"/>
      <c r="AH106" s="11"/>
      <c r="AI106" s="6"/>
      <c r="AJ106" s="6"/>
      <c r="AK106" s="6"/>
      <c r="AL106" s="6"/>
      <c r="AM106" s="6"/>
      <c r="AN106" s="6"/>
      <c r="AO106" s="12"/>
      <c r="AP106" s="7"/>
      <c r="AQ106" s="6"/>
      <c r="AV106" s="3"/>
      <c r="AW106" s="3"/>
      <c r="AX106" s="3"/>
      <c r="AY106" s="3"/>
      <c r="AZ106" s="4"/>
      <c r="BA106" s="4"/>
      <c r="BB106" s="4"/>
      <c r="BC106" s="4"/>
      <c r="BD106" s="4"/>
      <c r="BE106" s="3"/>
      <c r="BF106" s="3"/>
      <c r="BG106" s="4"/>
      <c r="BH106" s="13"/>
      <c r="BI106" s="13"/>
      <c r="BJ106" s="9"/>
      <c r="BK106" s="9"/>
      <c r="BL106" s="9"/>
      <c r="BM106" s="3"/>
      <c r="BN106" s="3"/>
      <c r="BO106" s="3"/>
      <c r="BP106" s="3"/>
      <c r="BQ106" s="3"/>
      <c r="BR106" s="3"/>
      <c r="BT106" s="15"/>
      <c r="BU106" s="3"/>
      <c r="BV106" s="13"/>
      <c r="BW106" s="3"/>
      <c r="BX106" s="3"/>
      <c r="BY106" s="3"/>
      <c r="BZ106" s="3"/>
      <c r="CA106" s="3"/>
      <c r="CB106" s="10"/>
      <c r="CC106" s="10"/>
      <c r="CD106" s="4"/>
      <c r="CE106" s="3"/>
    </row>
    <row r="107" spans="1:83" x14ac:dyDescent="0.3">
      <c r="A107" s="1" t="s">
        <v>80</v>
      </c>
      <c r="B107" s="2" t="s">
        <v>86</v>
      </c>
      <c r="C107" t="s">
        <v>89</v>
      </c>
      <c r="D107" s="5" t="s">
        <v>165</v>
      </c>
      <c r="E107" s="5" t="s">
        <v>93</v>
      </c>
      <c r="F107" s="17">
        <v>45243</v>
      </c>
      <c r="G107">
        <v>13</v>
      </c>
      <c r="H107" s="3">
        <v>13</v>
      </c>
      <c r="I107" s="3">
        <f t="shared" si="1"/>
        <v>12.54</v>
      </c>
      <c r="J107" s="3">
        <f t="shared" si="4"/>
        <v>1.5649999999999999</v>
      </c>
      <c r="K107" s="6">
        <f t="shared" si="3"/>
        <v>3148.5802952755903</v>
      </c>
      <c r="L107" s="4"/>
      <c r="M107" s="4"/>
      <c r="N107" s="4"/>
      <c r="O107" s="4"/>
      <c r="P107" s="7"/>
      <c r="Q107" s="6"/>
      <c r="R107" s="14"/>
      <c r="S107" s="4"/>
      <c r="T107" s="13"/>
      <c r="U107" s="13"/>
      <c r="V107" s="8"/>
      <c r="W107" s="8"/>
      <c r="X107" s="8"/>
      <c r="Y107" s="6"/>
      <c r="Z107" s="6"/>
      <c r="AA107" s="6"/>
      <c r="AB107" s="6"/>
      <c r="AC107" s="6"/>
      <c r="AD107" s="6"/>
      <c r="AF107" s="14"/>
      <c r="AG107" s="6"/>
      <c r="AH107" s="11"/>
      <c r="AI107" s="6"/>
      <c r="AJ107" s="6"/>
      <c r="AK107" s="6"/>
      <c r="AL107" s="6"/>
      <c r="AM107" s="6"/>
      <c r="AN107" s="6"/>
      <c r="AO107" s="12"/>
      <c r="AP107" s="7"/>
      <c r="AQ107" s="6"/>
      <c r="AT107" s="4"/>
      <c r="AU107" s="15"/>
      <c r="AV107" s="3"/>
      <c r="AW107" s="3"/>
      <c r="AX107" s="3"/>
      <c r="AY107" s="3"/>
      <c r="AZ107" s="4"/>
      <c r="BA107" s="4"/>
      <c r="BB107" s="4"/>
      <c r="BC107" s="4"/>
      <c r="BD107" s="4"/>
      <c r="BE107" s="3"/>
      <c r="BF107" s="15"/>
      <c r="BG107" s="4"/>
      <c r="BH107" s="13"/>
      <c r="BI107" s="13"/>
      <c r="BJ107" s="9"/>
      <c r="BK107" s="9"/>
      <c r="BL107" s="9"/>
      <c r="BM107" s="3"/>
      <c r="BN107" s="3"/>
      <c r="BO107" s="3"/>
      <c r="BP107" s="3"/>
      <c r="BQ107" s="3"/>
      <c r="BR107" s="3"/>
      <c r="BS107" s="3"/>
      <c r="BT107" s="15"/>
      <c r="BU107" s="3"/>
      <c r="BV107" s="13"/>
      <c r="BW107" s="3"/>
      <c r="BX107" s="3"/>
      <c r="BY107" s="3"/>
      <c r="BZ107" s="3"/>
      <c r="CA107" s="3"/>
      <c r="CB107" s="3"/>
      <c r="CC107" s="10"/>
      <c r="CD107" s="4"/>
      <c r="CE107" s="3"/>
    </row>
    <row r="108" spans="1:83" x14ac:dyDescent="0.3">
      <c r="A108" s="1" t="s">
        <v>80</v>
      </c>
      <c r="B108" s="2" t="s">
        <v>87</v>
      </c>
      <c r="C108" t="s">
        <v>89</v>
      </c>
      <c r="D108" s="5" t="s">
        <v>166</v>
      </c>
      <c r="E108" s="5" t="s">
        <v>93</v>
      </c>
      <c r="F108" s="17">
        <v>45243</v>
      </c>
      <c r="G108">
        <v>13</v>
      </c>
      <c r="H108" s="3">
        <v>14.1</v>
      </c>
      <c r="I108" s="3">
        <f t="shared" si="1"/>
        <v>13.639999999999999</v>
      </c>
      <c r="J108" s="3">
        <f t="shared" si="4"/>
        <v>1.5649999999999999</v>
      </c>
      <c r="K108" s="6">
        <f t="shared" si="3"/>
        <v>3394.1271456692907</v>
      </c>
      <c r="L108" s="4">
        <v>8.89</v>
      </c>
      <c r="M108" s="4">
        <v>189.21</v>
      </c>
      <c r="N108" s="4">
        <v>180.32</v>
      </c>
      <c r="O108" s="4">
        <v>172.71</v>
      </c>
      <c r="P108" s="7">
        <f>(N108-O108)/N108*100</f>
        <v>4.2202750665483508</v>
      </c>
      <c r="Q108" s="6">
        <f>K108*(1-P108/100)</f>
        <v>3250.8856440136606</v>
      </c>
      <c r="R108" s="14">
        <v>45244</v>
      </c>
      <c r="S108" s="4">
        <v>6.22</v>
      </c>
      <c r="T108" s="13">
        <v>2.4649999999999999</v>
      </c>
      <c r="U108" s="13">
        <v>4.55</v>
      </c>
      <c r="V108" s="8">
        <f>(T108-$A$76)/(S108-$A$47*$A$48)</f>
        <v>0.36314652157999949</v>
      </c>
      <c r="W108" s="8">
        <f>(U108-$A$77)/(S108-$A$47*$A$48)</f>
        <v>0.47410333783921138</v>
      </c>
      <c r="X108" s="8">
        <f>1-V108-W108</f>
        <v>0.16275014058078913</v>
      </c>
      <c r="Y108" s="6">
        <f>K108*V108</f>
        <v>1232.5654667500551</v>
      </c>
      <c r="Z108" s="6">
        <f>K108*W108</f>
        <v>1609.1670088124858</v>
      </c>
      <c r="AA108" s="6">
        <f>SUM(Y108:Z108)</f>
        <v>2841.7324755625409</v>
      </c>
      <c r="AB108" s="6">
        <f>Q108*V108</f>
        <v>1180.5478136779172</v>
      </c>
      <c r="AC108" s="6">
        <f>Q108*W108</f>
        <v>1541.2557347604509</v>
      </c>
      <c r="AD108" s="6">
        <f>SUM(AB108:AC108)</f>
        <v>2721.8035484383681</v>
      </c>
      <c r="AE108" t="s">
        <v>538</v>
      </c>
      <c r="AF108" s="14">
        <v>45295</v>
      </c>
      <c r="AG108" s="6">
        <v>51.8</v>
      </c>
      <c r="AH108" s="11">
        <v>1.069</v>
      </c>
      <c r="AI108" s="6">
        <v>80.3</v>
      </c>
      <c r="AJ108" s="6">
        <v>27.1</v>
      </c>
      <c r="AK108" s="6">
        <v>5.4</v>
      </c>
      <c r="AL108" s="6">
        <v>79.7</v>
      </c>
      <c r="AM108" s="6">
        <v>9.1999999999999993</v>
      </c>
      <c r="AN108" s="6" t="s">
        <v>133</v>
      </c>
      <c r="AO108" s="12">
        <v>7</v>
      </c>
      <c r="AP108" s="7">
        <v>0.11</v>
      </c>
      <c r="AQ108" s="6">
        <v>12.5</v>
      </c>
      <c r="AV108" s="3"/>
      <c r="AW108" s="3"/>
      <c r="AX108" s="3"/>
      <c r="AY108" s="3"/>
      <c r="AZ108" s="4"/>
      <c r="BA108" s="4"/>
      <c r="BB108" s="4"/>
      <c r="BC108" s="4"/>
      <c r="BD108" s="4"/>
      <c r="BE108" s="3"/>
      <c r="BF108" s="3"/>
      <c r="BG108" s="4"/>
      <c r="BH108" s="13"/>
      <c r="BI108" s="13"/>
      <c r="BJ108" s="9"/>
      <c r="BK108" s="9"/>
      <c r="BL108" s="9"/>
      <c r="BM108" s="3"/>
      <c r="BN108" s="3"/>
      <c r="BO108" s="3"/>
      <c r="BP108" s="3"/>
      <c r="BQ108" s="3"/>
      <c r="BR108" s="3"/>
      <c r="BT108" s="15"/>
      <c r="BU108" s="3"/>
      <c r="BV108" s="13"/>
      <c r="BW108" s="3"/>
      <c r="BX108" s="3"/>
      <c r="BY108" s="3"/>
      <c r="BZ108" s="3"/>
      <c r="CA108" s="3"/>
      <c r="CB108" s="10"/>
      <c r="CC108" s="10"/>
      <c r="CD108" s="4"/>
      <c r="CE108" s="3"/>
    </row>
    <row r="109" spans="1:83" x14ac:dyDescent="0.3">
      <c r="A109" s="1" t="s">
        <v>80</v>
      </c>
      <c r="B109" s="2" t="s">
        <v>137</v>
      </c>
      <c r="C109" t="s">
        <v>89</v>
      </c>
      <c r="D109" s="5" t="s">
        <v>167</v>
      </c>
      <c r="E109" s="5" t="s">
        <v>93</v>
      </c>
      <c r="F109" s="17">
        <v>45243</v>
      </c>
      <c r="G109">
        <v>13</v>
      </c>
      <c r="H109" s="3">
        <v>15.7</v>
      </c>
      <c r="I109" s="3">
        <f t="shared" si="1"/>
        <v>15.239999999999998</v>
      </c>
      <c r="J109" s="3">
        <f t="shared" si="4"/>
        <v>1.5649999999999999</v>
      </c>
      <c r="K109" s="6">
        <f t="shared" si="3"/>
        <v>3751.2862007874014</v>
      </c>
      <c r="L109" s="4"/>
      <c r="M109" s="4"/>
      <c r="N109" s="4"/>
      <c r="O109" s="4"/>
      <c r="P109" s="7"/>
      <c r="Q109" s="6"/>
      <c r="R109" s="14"/>
      <c r="S109" s="4"/>
      <c r="T109" s="13"/>
      <c r="U109" s="13"/>
      <c r="V109" s="8"/>
      <c r="W109" s="8"/>
      <c r="X109" s="8"/>
      <c r="Y109" s="6"/>
      <c r="Z109" s="6"/>
      <c r="AA109" s="6"/>
      <c r="AB109" s="6"/>
      <c r="AC109" s="6"/>
      <c r="AD109" s="6"/>
      <c r="AF109" s="14"/>
      <c r="AG109" s="6"/>
      <c r="AH109" s="11"/>
      <c r="AI109" s="6"/>
      <c r="AJ109" s="6"/>
      <c r="AK109" s="6"/>
      <c r="AL109" s="6"/>
      <c r="AM109" s="6"/>
      <c r="AN109" s="6"/>
      <c r="AO109" s="12"/>
      <c r="AP109" s="7"/>
      <c r="AQ109" s="6"/>
      <c r="AS109" s="4"/>
      <c r="AT109" s="4"/>
      <c r="AU109" s="15"/>
      <c r="AV109" s="3"/>
      <c r="AW109" s="3"/>
      <c r="AX109" s="3"/>
      <c r="AY109" s="3"/>
      <c r="AZ109" s="4"/>
      <c r="BA109" s="4"/>
      <c r="BB109" s="4"/>
      <c r="BC109" s="4"/>
      <c r="BD109" s="4"/>
      <c r="BE109" s="3"/>
      <c r="BF109" s="15"/>
      <c r="BG109" s="4"/>
      <c r="BH109" s="13"/>
      <c r="BI109" s="13"/>
      <c r="BJ109" s="9"/>
      <c r="BK109" s="9"/>
      <c r="BL109" s="9"/>
      <c r="BM109" s="3"/>
      <c r="BN109" s="3"/>
      <c r="BO109" s="3"/>
      <c r="BP109" s="3"/>
      <c r="BQ109" s="3"/>
      <c r="BR109" s="3"/>
      <c r="BS109" s="3"/>
      <c r="BT109" s="15"/>
      <c r="BU109" s="3"/>
      <c r="BV109" s="13"/>
      <c r="BW109" s="3"/>
      <c r="BX109" s="3"/>
      <c r="BY109" s="3"/>
      <c r="BZ109" s="3"/>
      <c r="CA109" s="3"/>
      <c r="CB109" s="3"/>
      <c r="CC109" s="10"/>
      <c r="CD109" s="4"/>
      <c r="CE109" s="3"/>
    </row>
    <row r="110" spans="1:83" x14ac:dyDescent="0.3">
      <c r="A110" s="1" t="s">
        <v>80</v>
      </c>
      <c r="B110" s="2" t="s">
        <v>138</v>
      </c>
      <c r="C110" t="s">
        <v>89</v>
      </c>
      <c r="D110" s="5" t="s">
        <v>168</v>
      </c>
      <c r="E110" s="5" t="s">
        <v>93</v>
      </c>
      <c r="F110" s="17">
        <v>45243</v>
      </c>
      <c r="G110">
        <v>13</v>
      </c>
      <c r="H110" s="3">
        <v>13</v>
      </c>
      <c r="I110" s="3">
        <f t="shared" si="1"/>
        <v>12.54</v>
      </c>
      <c r="J110" s="3">
        <f t="shared" si="4"/>
        <v>1.5649999999999999</v>
      </c>
      <c r="K110" s="6">
        <f t="shared" si="3"/>
        <v>3148.5802952755903</v>
      </c>
      <c r="L110" s="4"/>
      <c r="M110" s="4"/>
      <c r="N110" s="4"/>
      <c r="O110" s="4"/>
      <c r="P110" s="7"/>
      <c r="Q110" s="6"/>
      <c r="R110" s="14"/>
      <c r="S110" s="4"/>
      <c r="T110" s="13"/>
      <c r="U110" s="13"/>
      <c r="V110" s="8"/>
      <c r="W110" s="8"/>
      <c r="X110" s="8"/>
      <c r="Y110" s="6"/>
      <c r="Z110" s="6"/>
      <c r="AA110" s="6"/>
      <c r="AB110" s="6"/>
      <c r="AC110" s="6"/>
      <c r="AD110" s="6"/>
      <c r="AF110" s="14"/>
      <c r="AG110" s="6"/>
      <c r="AH110" s="11"/>
      <c r="AI110" s="6"/>
      <c r="AJ110" s="6"/>
      <c r="AK110" s="6"/>
      <c r="AL110" s="6"/>
      <c r="AM110" s="6"/>
      <c r="AN110" s="6"/>
      <c r="AO110" s="12"/>
      <c r="AP110" s="7"/>
      <c r="AQ110" s="6"/>
      <c r="AV110" s="3"/>
      <c r="AW110" s="3"/>
      <c r="AX110" s="3"/>
      <c r="AY110" s="3"/>
      <c r="AZ110" s="4"/>
      <c r="BA110" s="4"/>
      <c r="BB110" s="4"/>
      <c r="BC110" s="4"/>
      <c r="BD110" s="4"/>
      <c r="BE110" s="3"/>
      <c r="BF110" s="3"/>
      <c r="BG110" s="4"/>
      <c r="BH110" s="13"/>
      <c r="BI110" s="13"/>
      <c r="BJ110" s="9"/>
      <c r="BK110" s="9"/>
      <c r="BL110" s="9"/>
      <c r="BM110" s="3"/>
      <c r="BN110" s="3"/>
      <c r="BO110" s="3"/>
      <c r="BP110" s="3"/>
      <c r="BQ110" s="3"/>
      <c r="BR110" s="3"/>
      <c r="BT110" s="15"/>
      <c r="BU110" s="3"/>
      <c r="BV110" s="13"/>
      <c r="BW110" s="3"/>
      <c r="BX110" s="3"/>
      <c r="BY110" s="3"/>
      <c r="BZ110" s="3"/>
      <c r="CA110" s="3"/>
      <c r="CB110" s="10"/>
      <c r="CC110" s="10"/>
      <c r="CD110" s="4"/>
      <c r="CE110" s="3"/>
    </row>
    <row r="111" spans="1:83" x14ac:dyDescent="0.3">
      <c r="A111" s="1" t="s">
        <v>80</v>
      </c>
      <c r="B111" s="2" t="s">
        <v>139</v>
      </c>
      <c r="C111" t="s">
        <v>89</v>
      </c>
      <c r="D111" s="5" t="s">
        <v>169</v>
      </c>
      <c r="E111" s="5" t="s">
        <v>93</v>
      </c>
      <c r="F111" s="17">
        <v>45243</v>
      </c>
      <c r="G111">
        <v>13</v>
      </c>
      <c r="H111" s="3">
        <v>10.7</v>
      </c>
      <c r="I111" s="3">
        <f t="shared" si="1"/>
        <v>10.239999999999998</v>
      </c>
      <c r="J111" s="3">
        <f t="shared" si="4"/>
        <v>1.5649999999999999</v>
      </c>
      <c r="K111" s="6">
        <f t="shared" si="3"/>
        <v>2635.1641535433068</v>
      </c>
      <c r="L111" s="4"/>
      <c r="M111" s="4"/>
      <c r="N111" s="4"/>
      <c r="O111" s="4"/>
      <c r="P111" s="7"/>
      <c r="Q111" s="6"/>
      <c r="R111" s="14"/>
      <c r="S111" s="4"/>
      <c r="T111" s="13"/>
      <c r="U111" s="13"/>
      <c r="V111" s="8"/>
      <c r="W111" s="8"/>
      <c r="X111" s="8"/>
      <c r="Y111" s="6"/>
      <c r="Z111" s="6"/>
      <c r="AA111" s="6"/>
      <c r="AB111" s="6"/>
      <c r="AC111" s="6"/>
      <c r="AD111" s="6"/>
      <c r="AF111" s="14"/>
      <c r="AG111" s="6"/>
      <c r="AH111" s="11"/>
      <c r="AI111" s="6"/>
      <c r="AJ111" s="6"/>
      <c r="AK111" s="6"/>
      <c r="AL111" s="6"/>
      <c r="AM111" s="6"/>
      <c r="AN111" s="6"/>
      <c r="AO111" s="12"/>
      <c r="AP111" s="7"/>
      <c r="AQ111" s="6"/>
      <c r="AT111" s="4"/>
      <c r="AU111" s="15"/>
      <c r="AV111" s="3"/>
      <c r="AW111" s="3"/>
      <c r="AX111" s="3"/>
      <c r="AY111" s="3"/>
      <c r="AZ111" s="4"/>
      <c r="BA111" s="4"/>
      <c r="BB111" s="4"/>
      <c r="BC111" s="4"/>
      <c r="BD111" s="4"/>
      <c r="BE111" s="3"/>
      <c r="BF111" s="15"/>
      <c r="BG111" s="4"/>
      <c r="BH111" s="13"/>
      <c r="BI111" s="13"/>
      <c r="BJ111" s="9"/>
      <c r="BK111" s="9"/>
      <c r="BL111" s="9"/>
      <c r="BM111" s="3"/>
      <c r="BN111" s="3"/>
      <c r="BO111" s="3"/>
      <c r="BP111" s="3"/>
      <c r="BQ111" s="3"/>
      <c r="BR111" s="3"/>
      <c r="BS111" s="3"/>
      <c r="BT111" s="15"/>
      <c r="BU111" s="3"/>
      <c r="BV111" s="13"/>
      <c r="BW111" s="3"/>
      <c r="BX111" s="3"/>
      <c r="BY111" s="3"/>
      <c r="BZ111" s="3"/>
      <c r="CA111" s="3"/>
      <c r="CB111" s="3"/>
      <c r="CC111" s="10"/>
      <c r="CD111" s="4"/>
      <c r="CE111" s="3"/>
    </row>
    <row r="112" spans="1:83" x14ac:dyDescent="0.3">
      <c r="A112" s="1" t="s">
        <v>80</v>
      </c>
      <c r="B112" s="2" t="s">
        <v>140</v>
      </c>
      <c r="C112" t="s">
        <v>89</v>
      </c>
      <c r="D112" s="5" t="s">
        <v>170</v>
      </c>
      <c r="E112" s="5" t="s">
        <v>93</v>
      </c>
      <c r="F112" s="17">
        <v>45243</v>
      </c>
      <c r="G112">
        <v>13</v>
      </c>
      <c r="H112" s="3">
        <v>15.5</v>
      </c>
      <c r="I112" s="3">
        <f t="shared" si="1"/>
        <v>15.04</v>
      </c>
      <c r="J112" s="3">
        <f t="shared" si="4"/>
        <v>1.5649999999999999</v>
      </c>
      <c r="K112" s="6">
        <f t="shared" si="3"/>
        <v>3706.6413188976376</v>
      </c>
      <c r="L112" s="4"/>
      <c r="M112" s="4"/>
      <c r="N112" s="4"/>
      <c r="O112" s="4"/>
      <c r="P112" s="7"/>
      <c r="Q112" s="6"/>
      <c r="R112" s="14"/>
      <c r="S112" s="4"/>
      <c r="T112" s="13"/>
      <c r="U112" s="13"/>
      <c r="V112" s="8"/>
      <c r="W112" s="8"/>
      <c r="X112" s="8"/>
      <c r="Y112" s="6"/>
      <c r="Z112" s="6"/>
      <c r="AA112" s="6"/>
      <c r="AB112" s="6"/>
      <c r="AC112" s="6"/>
      <c r="AD112" s="6"/>
      <c r="AF112" s="14"/>
      <c r="AG112" s="6"/>
      <c r="AH112" s="11"/>
      <c r="AI112" s="6"/>
      <c r="AJ112" s="6"/>
      <c r="AK112" s="6"/>
      <c r="AL112" s="6"/>
      <c r="AM112" s="6"/>
      <c r="AN112" s="6"/>
      <c r="AO112" s="12"/>
      <c r="AP112" s="7"/>
      <c r="AQ112" s="6"/>
      <c r="AV112" s="3"/>
      <c r="AW112" s="3"/>
      <c r="AX112" s="3"/>
      <c r="AY112" s="3"/>
      <c r="AZ112" s="4"/>
      <c r="BA112" s="4"/>
      <c r="BB112" s="4"/>
      <c r="BC112" s="4"/>
      <c r="BD112" s="4"/>
      <c r="BE112" s="3"/>
      <c r="BF112" s="3"/>
      <c r="BG112" s="4"/>
      <c r="BH112" s="13"/>
      <c r="BI112" s="13"/>
      <c r="BJ112" s="9"/>
      <c r="BK112" s="9"/>
      <c r="BL112" s="9"/>
      <c r="BM112" s="3"/>
      <c r="BN112" s="3"/>
      <c r="BO112" s="3"/>
      <c r="BP112" s="3"/>
      <c r="BQ112" s="3"/>
      <c r="BR112" s="3"/>
      <c r="BT112" s="15"/>
      <c r="BU112" s="3"/>
      <c r="BV112" s="13"/>
      <c r="BW112" s="3"/>
      <c r="BX112" s="3"/>
      <c r="BY112" s="3"/>
      <c r="BZ112" s="3"/>
      <c r="CA112" s="3"/>
      <c r="CB112" s="10"/>
      <c r="CC112" s="10"/>
      <c r="CD112" s="4"/>
      <c r="CE112" s="3"/>
    </row>
    <row r="113" spans="1:83" x14ac:dyDescent="0.3">
      <c r="A113" s="1" t="s">
        <v>80</v>
      </c>
      <c r="B113" s="2" t="s">
        <v>141</v>
      </c>
      <c r="C113" t="s">
        <v>89</v>
      </c>
      <c r="D113" s="5" t="s">
        <v>171</v>
      </c>
      <c r="E113" s="5" t="s">
        <v>93</v>
      </c>
      <c r="F113" s="17">
        <v>45243</v>
      </c>
      <c r="G113">
        <v>13</v>
      </c>
      <c r="H113" s="3">
        <v>11.6</v>
      </c>
      <c r="I113" s="3">
        <f t="shared" si="1"/>
        <v>11.139999999999999</v>
      </c>
      <c r="J113" s="3">
        <f t="shared" si="4"/>
        <v>1.5649999999999999</v>
      </c>
      <c r="K113" s="6">
        <f t="shared" si="3"/>
        <v>2836.0661220472439</v>
      </c>
      <c r="L113" s="4"/>
      <c r="M113" s="4"/>
      <c r="N113" s="4"/>
      <c r="O113" s="4"/>
      <c r="P113" s="7"/>
      <c r="Q113" s="6"/>
      <c r="R113" s="14"/>
      <c r="S113" s="4"/>
      <c r="T113" s="13"/>
      <c r="U113" s="13"/>
      <c r="V113" s="8"/>
      <c r="W113" s="8"/>
      <c r="X113" s="8"/>
      <c r="Y113" s="6"/>
      <c r="Z113" s="6"/>
      <c r="AA113" s="6"/>
      <c r="AB113" s="6"/>
      <c r="AC113" s="6"/>
      <c r="AD113" s="6"/>
      <c r="AF113" s="14"/>
      <c r="AG113" s="6"/>
      <c r="AH113" s="11"/>
      <c r="AI113" s="6"/>
      <c r="AJ113" s="6"/>
      <c r="AK113" s="6"/>
      <c r="AL113" s="6"/>
      <c r="AM113" s="6"/>
      <c r="AN113" s="6"/>
      <c r="AO113" s="12"/>
      <c r="AP113" s="7"/>
      <c r="AQ113" s="6"/>
      <c r="AT113" s="4"/>
      <c r="AU113" s="15"/>
      <c r="AV113" s="3"/>
      <c r="AW113" s="3"/>
      <c r="AX113" s="3"/>
      <c r="AY113" s="3"/>
      <c r="AZ113" s="4"/>
      <c r="BA113" s="4"/>
      <c r="BB113" s="4"/>
      <c r="BC113" s="4"/>
      <c r="BD113" s="4"/>
      <c r="BE113" s="3"/>
      <c r="BF113" s="15"/>
      <c r="BG113" s="4"/>
      <c r="BH113" s="13"/>
      <c r="BI113" s="13"/>
      <c r="BJ113" s="9"/>
      <c r="BK113" s="9"/>
      <c r="BL113" s="9"/>
      <c r="BM113" s="3"/>
      <c r="BN113" s="3"/>
      <c r="BO113" s="3"/>
      <c r="BP113" s="3"/>
      <c r="BQ113" s="3"/>
      <c r="BR113" s="3"/>
      <c r="BS113" s="3"/>
      <c r="BT113" s="15"/>
      <c r="BU113" s="3"/>
      <c r="BV113" s="13"/>
      <c r="BW113" s="3"/>
      <c r="BX113" s="3"/>
      <c r="BY113" s="3"/>
      <c r="BZ113" s="3"/>
      <c r="CA113" s="3"/>
      <c r="CB113" s="3"/>
      <c r="CC113" s="10"/>
      <c r="CD113" s="4"/>
      <c r="CE113" s="3"/>
    </row>
    <row r="114" spans="1:83" x14ac:dyDescent="0.3">
      <c r="A114" s="1" t="s">
        <v>80</v>
      </c>
      <c r="B114" s="2" t="s">
        <v>142</v>
      </c>
      <c r="C114" t="s">
        <v>89</v>
      </c>
      <c r="D114" s="5" t="s">
        <v>172</v>
      </c>
      <c r="E114" s="5" t="s">
        <v>93</v>
      </c>
      <c r="F114" s="17">
        <v>45243</v>
      </c>
      <c r="G114">
        <v>13</v>
      </c>
      <c r="H114" s="3">
        <v>14.4</v>
      </c>
      <c r="I114" s="3">
        <f t="shared" si="1"/>
        <v>13.94</v>
      </c>
      <c r="J114" s="3">
        <f t="shared" si="4"/>
        <v>1.5649999999999999</v>
      </c>
      <c r="K114" s="6">
        <f t="shared" si="3"/>
        <v>3461.0944685039367</v>
      </c>
      <c r="L114" s="4"/>
      <c r="M114" s="4"/>
      <c r="N114" s="4"/>
      <c r="O114" s="4"/>
      <c r="P114" s="7"/>
      <c r="Q114" s="6"/>
      <c r="R114" s="14"/>
      <c r="S114" s="4"/>
      <c r="T114" s="13"/>
      <c r="U114" s="13"/>
      <c r="V114" s="8"/>
      <c r="W114" s="8"/>
      <c r="X114" s="8"/>
      <c r="Y114" s="6"/>
      <c r="Z114" s="6"/>
      <c r="AA114" s="6"/>
      <c r="AB114" s="6"/>
      <c r="AC114" s="6"/>
      <c r="AD114" s="6"/>
      <c r="AF114" s="14"/>
      <c r="AG114" s="6"/>
      <c r="AH114" s="11"/>
      <c r="AI114" s="6"/>
      <c r="AJ114" s="6"/>
      <c r="AK114" s="6"/>
      <c r="AL114" s="6"/>
      <c r="AM114" s="6"/>
      <c r="AN114" s="6"/>
      <c r="AO114" s="12"/>
      <c r="AP114" s="7"/>
      <c r="AQ114" s="6"/>
      <c r="AV114" s="3"/>
      <c r="AW114" s="3"/>
      <c r="AX114" s="3"/>
      <c r="AY114" s="3"/>
      <c r="AZ114" s="4"/>
      <c r="BA114" s="4"/>
      <c r="BB114" s="4"/>
      <c r="BC114" s="4"/>
      <c r="BD114" s="4"/>
      <c r="BE114" s="3"/>
      <c r="BF114" s="3"/>
      <c r="BG114" s="4"/>
      <c r="BH114" s="13"/>
      <c r="BI114" s="13"/>
      <c r="BJ114" s="9"/>
      <c r="BK114" s="9"/>
      <c r="BL114" s="9"/>
      <c r="BM114" s="3"/>
      <c r="BN114" s="3"/>
      <c r="BO114" s="3"/>
      <c r="BP114" s="3"/>
      <c r="BQ114" s="3"/>
      <c r="BR114" s="3"/>
      <c r="BT114" s="15"/>
      <c r="BU114" s="3"/>
      <c r="BV114" s="13"/>
      <c r="BW114" s="3"/>
      <c r="BX114" s="3"/>
      <c r="BY114" s="3"/>
      <c r="BZ114" s="3"/>
      <c r="CA114" s="3"/>
      <c r="CB114" s="10"/>
      <c r="CC114" s="10"/>
      <c r="CD114" s="4"/>
      <c r="CE114" s="3"/>
    </row>
    <row r="115" spans="1:83" x14ac:dyDescent="0.3">
      <c r="A115" s="1" t="s">
        <v>80</v>
      </c>
      <c r="B115" s="2" t="s">
        <v>143</v>
      </c>
      <c r="C115" t="s">
        <v>89</v>
      </c>
      <c r="D115" s="5" t="s">
        <v>173</v>
      </c>
      <c r="E115" s="5" t="s">
        <v>93</v>
      </c>
      <c r="F115" s="17">
        <v>45243</v>
      </c>
      <c r="G115">
        <v>13</v>
      </c>
      <c r="H115" s="3">
        <v>7.9</v>
      </c>
      <c r="I115" s="3">
        <f t="shared" si="1"/>
        <v>7.44</v>
      </c>
      <c r="J115" s="3">
        <f t="shared" si="4"/>
        <v>1.5649999999999999</v>
      </c>
      <c r="K115" s="6">
        <f t="shared" si="3"/>
        <v>2010.1358070866142</v>
      </c>
      <c r="L115" s="4"/>
      <c r="M115" s="4"/>
      <c r="N115" s="4"/>
      <c r="O115" s="4"/>
      <c r="P115" s="7"/>
      <c r="Q115" s="6"/>
      <c r="R115" s="14"/>
      <c r="S115" s="4"/>
      <c r="T115" s="13"/>
      <c r="U115" s="13"/>
      <c r="V115" s="8"/>
      <c r="W115" s="8"/>
      <c r="X115" s="8"/>
      <c r="Y115" s="6"/>
      <c r="Z115" s="6"/>
      <c r="AA115" s="6"/>
      <c r="AB115" s="6"/>
      <c r="AC115" s="6"/>
      <c r="AD115" s="6"/>
      <c r="AF115" s="14"/>
      <c r="AG115" s="6"/>
      <c r="AH115" s="11"/>
      <c r="AI115" s="6"/>
      <c r="AJ115" s="6"/>
      <c r="AK115" s="6"/>
      <c r="AL115" s="6"/>
      <c r="AM115" s="6"/>
      <c r="AN115" s="6"/>
      <c r="AO115" s="12"/>
      <c r="AP115" s="7"/>
      <c r="AQ115" s="6"/>
      <c r="AT115" s="4"/>
      <c r="AU115" s="15"/>
      <c r="AV115" s="3"/>
      <c r="AW115" s="3"/>
      <c r="AX115" s="3"/>
      <c r="AY115" s="3"/>
      <c r="AZ115" s="4"/>
      <c r="BA115" s="4"/>
      <c r="BB115" s="4"/>
      <c r="BC115" s="4"/>
      <c r="BD115" s="4"/>
      <c r="BE115" s="3"/>
      <c r="BF115" s="15"/>
      <c r="BG115" s="4"/>
      <c r="BH115" s="13"/>
      <c r="BI115" s="13"/>
      <c r="BJ115" s="9"/>
      <c r="BK115" s="9"/>
      <c r="BL115" s="9"/>
      <c r="BM115" s="3"/>
      <c r="BN115" s="3"/>
      <c r="BO115" s="3"/>
      <c r="BP115" s="3"/>
      <c r="BQ115" s="3"/>
      <c r="BR115" s="3"/>
      <c r="BS115" s="3"/>
      <c r="BT115" s="15"/>
      <c r="BU115" s="3"/>
      <c r="BV115" s="13"/>
      <c r="BW115" s="3"/>
      <c r="BX115" s="3"/>
      <c r="BY115" s="3"/>
      <c r="BZ115" s="3"/>
      <c r="CA115" s="3"/>
      <c r="CB115" s="3"/>
      <c r="CC115" s="10"/>
      <c r="CD115" s="4"/>
      <c r="CE115" s="3"/>
    </row>
    <row r="116" spans="1:83" x14ac:dyDescent="0.3">
      <c r="A116" s="1" t="s">
        <v>81</v>
      </c>
      <c r="B116" s="2" t="s">
        <v>80</v>
      </c>
      <c r="C116" t="s">
        <v>88</v>
      </c>
      <c r="D116" s="5" t="s">
        <v>174</v>
      </c>
      <c r="E116" s="5" t="s">
        <v>93</v>
      </c>
      <c r="F116" s="17">
        <v>45243</v>
      </c>
      <c r="G116">
        <v>2</v>
      </c>
      <c r="H116" s="3">
        <v>15.4</v>
      </c>
      <c r="I116" s="3">
        <f t="shared" si="1"/>
        <v>14.94</v>
      </c>
      <c r="J116" s="3">
        <f>($A$52-$A$47)*$A$75</f>
        <v>1.32125</v>
      </c>
      <c r="K116" s="6">
        <f t="shared" si="3"/>
        <v>3629.9079281496061</v>
      </c>
      <c r="L116" s="4"/>
      <c r="M116" s="4"/>
      <c r="N116" s="4"/>
      <c r="O116" s="4"/>
      <c r="P116" s="7"/>
      <c r="Q116" s="6"/>
      <c r="R116" s="7"/>
      <c r="S116" s="4"/>
      <c r="T116" s="13"/>
      <c r="U116" s="13"/>
      <c r="V116" s="5"/>
      <c r="W116" s="5"/>
      <c r="X116" s="5"/>
      <c r="Y116" s="5"/>
      <c r="Z116" s="5"/>
      <c r="AA116" s="5"/>
      <c r="AB116" s="5"/>
      <c r="AC116" s="6"/>
      <c r="AD116" s="6"/>
      <c r="AF116" s="6"/>
      <c r="AG116" s="6"/>
      <c r="AH116" s="11"/>
      <c r="AI116" s="6"/>
      <c r="AJ116" s="6"/>
      <c r="AK116" s="6"/>
      <c r="AL116" s="6"/>
      <c r="AM116" s="6"/>
      <c r="AN116" s="6"/>
      <c r="AO116" s="12"/>
      <c r="AP116" s="7"/>
      <c r="AQ116" s="6"/>
      <c r="AS116" s="4" t="s">
        <v>526</v>
      </c>
      <c r="AT116" s="4" t="str">
        <f>E116</f>
        <v>Machine</v>
      </c>
      <c r="AU116" s="15">
        <f>F116</f>
        <v>45243</v>
      </c>
      <c r="AV116" s="3">
        <f>SUM(H116:H145)</f>
        <v>512.4</v>
      </c>
      <c r="AW116" s="3">
        <f>AV116-24*$A$47</f>
        <v>501.35999999999996</v>
      </c>
      <c r="AX116" s="3">
        <f>SUM(J116:J145)</f>
        <v>39.731250000000003</v>
      </c>
      <c r="AY116" s="3">
        <f>(AW116+AX116)*$A$48/(30*$A$49)*$A$50</f>
        <v>4026.1591579724404</v>
      </c>
      <c r="AZ116" s="4">
        <f>SUM(L116:L145)</f>
        <v>17.64</v>
      </c>
      <c r="BA116" s="4">
        <f t="shared" ref="BA116" si="5">SUM(M116:M145)</f>
        <v>384.29999999999995</v>
      </c>
      <c r="BB116" s="4">
        <f t="shared" ref="BB116" si="6">SUM(N116:N145)</f>
        <v>366.65999999999997</v>
      </c>
      <c r="BC116" s="4">
        <f>SUM(O116:O145)</f>
        <v>346.25</v>
      </c>
      <c r="BD116" s="4">
        <f>(BB116-BC116)/BB116*100</f>
        <v>5.5664648448153518</v>
      </c>
      <c r="BE116" s="3">
        <f>AY116*(1-BD116/100)</f>
        <v>3802.0444238475907</v>
      </c>
      <c r="BF116" s="15">
        <v>45244</v>
      </c>
      <c r="BG116" s="4">
        <f>SUM(S116:S145)</f>
        <v>15.78</v>
      </c>
      <c r="BH116" s="13">
        <f>SUM(T116:T145)</f>
        <v>6.2750000000000004</v>
      </c>
      <c r="BI116" s="13">
        <f>SUM(U116:U145)</f>
        <v>10.425000000000001</v>
      </c>
      <c r="BJ116" s="9">
        <f>(BH116-2*$A$76)/(BG116-2*$A$47*$A$48)</f>
        <v>0.37174466238976439</v>
      </c>
      <c r="BK116" s="9">
        <f>(BI116-2*$A$77)/(BG116-2*$A$47*$A$48)</f>
        <v>0.4572765283292059</v>
      </c>
      <c r="BL116" s="9">
        <f>1-BJ116-BK116</f>
        <v>0.17097880928102965</v>
      </c>
      <c r="BM116" s="3">
        <f>AY116*BJ116</f>
        <v>1496.7031769079229</v>
      </c>
      <c r="BN116" s="3">
        <f>AY116*BK116</f>
        <v>1841.0680822584764</v>
      </c>
      <c r="BO116" s="3">
        <f>SUM(BM116:BN116)</f>
        <v>3337.7712591663994</v>
      </c>
      <c r="BP116" s="3">
        <f>BE116*BJ116</f>
        <v>1413.3897207341088</v>
      </c>
      <c r="BQ116" s="3">
        <f>BE116*BK116</f>
        <v>1738.5856746904421</v>
      </c>
      <c r="BR116" s="3">
        <f>SUM(BP116:BQ116)</f>
        <v>3151.9753954245507</v>
      </c>
      <c r="BT116" s="15">
        <v>45295</v>
      </c>
      <c r="BU116" s="3">
        <f>AVERAGE(AG116:AG145)</f>
        <v>48.45</v>
      </c>
      <c r="BV116" s="13">
        <f>AVERAGE(AH116:AH145)</f>
        <v>1.0880000000000001</v>
      </c>
      <c r="BW116" s="3">
        <f>AVERAGE(AI116:AI145)</f>
        <v>79.849999999999994</v>
      </c>
      <c r="BX116" s="3">
        <f>AVERAGE(AJ116:AJ145)</f>
        <v>28.5</v>
      </c>
      <c r="BY116" s="3">
        <f>AVERAGE(AK116:AK145)</f>
        <v>5.2</v>
      </c>
      <c r="BZ116" s="3">
        <f>AVERAGE(AL116:AL145)</f>
        <v>79.5</v>
      </c>
      <c r="CA116" s="3">
        <f>AVERAGE(AM116:AM145)</f>
        <v>9.0500000000000007</v>
      </c>
      <c r="CB116" s="3"/>
      <c r="CC116" s="10">
        <f>AVERAGE(AO116:AO145)</f>
        <v>12</v>
      </c>
      <c r="CD116" s="4">
        <f>AVERAGE(AP116:AP145)</f>
        <v>0.21500000000000002</v>
      </c>
      <c r="CE116" s="3">
        <f>AVERAGE(AQ116:AQ145)</f>
        <v>12.7</v>
      </c>
    </row>
    <row r="117" spans="1:83" x14ac:dyDescent="0.3">
      <c r="A117" s="1" t="s">
        <v>81</v>
      </c>
      <c r="B117" s="2" t="s">
        <v>81</v>
      </c>
      <c r="C117" t="s">
        <v>88</v>
      </c>
      <c r="D117" s="5" t="s">
        <v>175</v>
      </c>
      <c r="E117" s="5" t="s">
        <v>93</v>
      </c>
      <c r="F117" s="17">
        <v>45243</v>
      </c>
      <c r="G117">
        <v>2</v>
      </c>
      <c r="H117" s="3">
        <v>20.7</v>
      </c>
      <c r="I117" s="3">
        <f t="shared" si="1"/>
        <v>20.239999999999998</v>
      </c>
      <c r="J117" s="3">
        <f t="shared" ref="J117:J130" si="7">($A$52-$A$47)*$A$75</f>
        <v>1.32125</v>
      </c>
      <c r="K117" s="6">
        <f t="shared" si="3"/>
        <v>4812.9972982283462</v>
      </c>
      <c r="L117" s="4"/>
      <c r="M117" s="4"/>
      <c r="N117" s="4"/>
      <c r="O117" s="4"/>
      <c r="P117" s="7"/>
      <c r="Q117" s="6"/>
      <c r="R117" s="7"/>
      <c r="S117" s="4"/>
      <c r="T117" s="13"/>
      <c r="U117" s="13"/>
      <c r="V117" s="5"/>
      <c r="W117" s="5"/>
      <c r="X117" s="5"/>
      <c r="Y117" s="5"/>
      <c r="Z117" s="5"/>
      <c r="AA117" s="5"/>
      <c r="AB117" s="5"/>
      <c r="AC117" s="6"/>
      <c r="AD117" s="6"/>
      <c r="AF117" s="6"/>
      <c r="AG117" s="6"/>
      <c r="AH117" s="11"/>
      <c r="AI117" s="6"/>
      <c r="AJ117" s="6"/>
      <c r="AK117" s="6"/>
      <c r="AL117" s="6"/>
      <c r="AM117" s="6"/>
      <c r="AN117" s="6"/>
      <c r="AO117" s="12"/>
      <c r="AP117" s="7"/>
      <c r="AQ117" s="6"/>
      <c r="AV117" s="3"/>
      <c r="AW117" s="3"/>
      <c r="AX117" s="3"/>
      <c r="AY117" s="3"/>
      <c r="AZ117" s="4"/>
      <c r="BA117" s="4"/>
      <c r="BB117" s="4"/>
      <c r="BC117" s="4"/>
      <c r="BD117" s="4"/>
      <c r="BE117" s="3"/>
      <c r="BJ117" s="9"/>
      <c r="BK117" s="9"/>
      <c r="BL117" s="9"/>
      <c r="BM117" s="3"/>
      <c r="BN117" s="3"/>
      <c r="BO117" s="3"/>
      <c r="BP117" s="3"/>
      <c r="BQ117" s="3"/>
      <c r="BR117" s="3"/>
    </row>
    <row r="118" spans="1:83" x14ac:dyDescent="0.3">
      <c r="A118" s="1" t="s">
        <v>81</v>
      </c>
      <c r="B118" s="2" t="s">
        <v>82</v>
      </c>
      <c r="C118" t="s">
        <v>88</v>
      </c>
      <c r="D118" s="5" t="s">
        <v>176</v>
      </c>
      <c r="E118" s="5" t="s">
        <v>93</v>
      </c>
      <c r="F118" s="17">
        <v>45243</v>
      </c>
      <c r="G118">
        <v>2</v>
      </c>
      <c r="H118" s="3">
        <v>17.2</v>
      </c>
      <c r="I118" s="3">
        <f t="shared" si="1"/>
        <v>16.739999999999998</v>
      </c>
      <c r="J118" s="3">
        <f t="shared" si="7"/>
        <v>1.32125</v>
      </c>
      <c r="K118" s="6">
        <f t="shared" si="3"/>
        <v>4031.7118651574797</v>
      </c>
      <c r="L118" s="4"/>
      <c r="M118" s="4"/>
      <c r="N118" s="4"/>
      <c r="O118" s="4"/>
      <c r="P118" s="7"/>
      <c r="Q118" s="6"/>
      <c r="R118" s="7"/>
      <c r="S118" s="4"/>
      <c r="T118" s="13"/>
      <c r="U118" s="13"/>
      <c r="V118" s="5"/>
      <c r="W118" s="5"/>
      <c r="X118" s="5"/>
      <c r="Y118" s="5"/>
      <c r="Z118" s="5"/>
      <c r="AA118" s="5"/>
      <c r="AB118" s="5"/>
      <c r="AC118" s="6"/>
      <c r="AD118" s="6"/>
      <c r="AF118" s="6"/>
      <c r="AG118" s="6"/>
      <c r="AH118" s="11"/>
      <c r="AI118" s="6"/>
      <c r="AJ118" s="6"/>
      <c r="AK118" s="6"/>
      <c r="AL118" s="6"/>
      <c r="AM118" s="6"/>
      <c r="AN118" s="6"/>
      <c r="AO118" s="12"/>
      <c r="AP118" s="7"/>
      <c r="AQ118" s="6"/>
      <c r="AV118" s="3"/>
      <c r="AW118" s="3"/>
      <c r="AX118" s="3"/>
      <c r="AY118" s="3"/>
      <c r="AZ118" s="4"/>
      <c r="BA118" s="4"/>
      <c r="BB118" s="4"/>
      <c r="BC118" s="4"/>
      <c r="BD118" s="4"/>
      <c r="BE118" s="3"/>
      <c r="BJ118" s="9"/>
      <c r="BK118" s="9"/>
      <c r="BL118" s="9"/>
      <c r="BM118" s="3"/>
      <c r="BN118" s="3"/>
      <c r="BO118" s="3"/>
      <c r="BP118" s="3"/>
      <c r="BQ118" s="3"/>
      <c r="BR118" s="3"/>
    </row>
    <row r="119" spans="1:83" x14ac:dyDescent="0.3">
      <c r="A119" s="1" t="s">
        <v>81</v>
      </c>
      <c r="B119" s="2" t="s">
        <v>83</v>
      </c>
      <c r="C119" t="s">
        <v>88</v>
      </c>
      <c r="D119" s="5" t="s">
        <v>177</v>
      </c>
      <c r="E119" s="5" t="s">
        <v>93</v>
      </c>
      <c r="F119" s="17">
        <v>45243</v>
      </c>
      <c r="G119">
        <v>2</v>
      </c>
      <c r="H119" s="3">
        <v>16.399999999999999</v>
      </c>
      <c r="I119" s="3">
        <f t="shared" si="1"/>
        <v>15.939999999999998</v>
      </c>
      <c r="J119" s="3">
        <f t="shared" si="7"/>
        <v>1.32125</v>
      </c>
      <c r="K119" s="6">
        <f t="shared" si="3"/>
        <v>3853.1323375984243</v>
      </c>
      <c r="L119" s="4"/>
      <c r="M119" s="4"/>
      <c r="N119" s="4"/>
      <c r="O119" s="4"/>
      <c r="P119" s="7"/>
      <c r="Q119" s="6"/>
      <c r="R119" s="7"/>
      <c r="S119" s="4"/>
      <c r="T119" s="13"/>
      <c r="U119" s="13"/>
      <c r="V119" s="5"/>
      <c r="W119" s="5"/>
      <c r="X119" s="5"/>
      <c r="Y119" s="5"/>
      <c r="Z119" s="5"/>
      <c r="AA119" s="5"/>
      <c r="AB119" s="5"/>
      <c r="AC119" s="6"/>
      <c r="AD119" s="6"/>
      <c r="AF119" s="6"/>
      <c r="AG119" s="6"/>
      <c r="AH119" s="11"/>
      <c r="AI119" s="6"/>
      <c r="AJ119" s="6"/>
      <c r="AK119" s="6"/>
      <c r="AL119" s="6"/>
      <c r="AM119" s="6"/>
      <c r="AN119" s="6"/>
      <c r="AO119" s="12"/>
      <c r="AP119" s="7"/>
      <c r="AQ119" s="6"/>
      <c r="AV119" s="3"/>
      <c r="AW119" s="3"/>
      <c r="AX119" s="3"/>
      <c r="AY119" s="3"/>
      <c r="AZ119" s="4"/>
      <c r="BA119" s="4"/>
      <c r="BB119" s="4"/>
      <c r="BC119" s="4"/>
      <c r="BD119" s="4"/>
      <c r="BE119" s="3"/>
      <c r="BJ119" s="9"/>
      <c r="BK119" s="9"/>
      <c r="BL119" s="9"/>
      <c r="BM119" s="3"/>
      <c r="BN119" s="3"/>
      <c r="BO119" s="3"/>
      <c r="BP119" s="3"/>
      <c r="BQ119" s="3"/>
      <c r="BR119" s="3"/>
    </row>
    <row r="120" spans="1:83" x14ac:dyDescent="0.3">
      <c r="A120" s="1" t="s">
        <v>81</v>
      </c>
      <c r="B120" s="2" t="s">
        <v>84</v>
      </c>
      <c r="C120" t="s">
        <v>88</v>
      </c>
      <c r="D120" s="5" t="s">
        <v>178</v>
      </c>
      <c r="E120" s="5" t="s">
        <v>93</v>
      </c>
      <c r="F120" s="17">
        <v>45243</v>
      </c>
      <c r="G120">
        <v>2</v>
      </c>
      <c r="H120" s="3">
        <v>16</v>
      </c>
      <c r="I120" s="3">
        <f t="shared" si="1"/>
        <v>15.54</v>
      </c>
      <c r="J120" s="3">
        <f t="shared" si="7"/>
        <v>1.32125</v>
      </c>
      <c r="K120" s="6">
        <f t="shared" si="3"/>
        <v>3763.8425738188976</v>
      </c>
      <c r="L120" s="4"/>
      <c r="M120" s="4"/>
      <c r="N120" s="4"/>
      <c r="O120" s="4"/>
      <c r="P120" s="7"/>
      <c r="Q120" s="6"/>
      <c r="R120" s="7"/>
      <c r="S120" s="4"/>
      <c r="T120" s="13"/>
      <c r="U120" s="13"/>
      <c r="V120" s="5"/>
      <c r="W120" s="5"/>
      <c r="X120" s="5"/>
      <c r="Y120" s="5"/>
      <c r="Z120" s="5"/>
      <c r="AA120" s="5"/>
      <c r="AB120" s="5"/>
      <c r="AC120" s="6"/>
      <c r="AD120" s="6"/>
      <c r="AF120" s="6"/>
      <c r="AG120" s="6"/>
      <c r="AH120" s="11"/>
      <c r="AI120" s="6"/>
      <c r="AJ120" s="6"/>
      <c r="AK120" s="6"/>
      <c r="AL120" s="6"/>
      <c r="AM120" s="6"/>
      <c r="AN120" s="6"/>
      <c r="AO120" s="12"/>
      <c r="AP120" s="7"/>
      <c r="AQ120" s="6"/>
      <c r="AV120" s="3"/>
      <c r="AW120" s="3"/>
      <c r="AX120" s="3"/>
      <c r="AY120" s="3"/>
      <c r="AZ120" s="4"/>
      <c r="BA120" s="4"/>
      <c r="BB120" s="4"/>
      <c r="BC120" s="4"/>
      <c r="BD120" s="4"/>
      <c r="BE120" s="3"/>
      <c r="BJ120" s="9"/>
      <c r="BK120" s="9"/>
      <c r="BL120" s="9"/>
      <c r="BM120" s="3"/>
      <c r="BN120" s="3"/>
      <c r="BO120" s="3"/>
      <c r="BP120" s="3"/>
      <c r="BQ120" s="3"/>
      <c r="BR120" s="3"/>
    </row>
    <row r="121" spans="1:83" x14ac:dyDescent="0.3">
      <c r="A121" s="1" t="s">
        <v>81</v>
      </c>
      <c r="B121" s="2" t="s">
        <v>85</v>
      </c>
      <c r="C121" t="s">
        <v>88</v>
      </c>
      <c r="D121" s="5" t="s">
        <v>179</v>
      </c>
      <c r="E121" s="5" t="s">
        <v>93</v>
      </c>
      <c r="F121" s="17">
        <v>45243</v>
      </c>
      <c r="G121">
        <v>2</v>
      </c>
      <c r="H121" s="3">
        <v>13.4</v>
      </c>
      <c r="I121" s="3">
        <f t="shared" si="1"/>
        <v>12.94</v>
      </c>
      <c r="J121" s="3">
        <f t="shared" si="7"/>
        <v>1.32125</v>
      </c>
      <c r="K121" s="6">
        <f t="shared" si="3"/>
        <v>3183.4591092519681</v>
      </c>
      <c r="L121" s="4"/>
      <c r="M121" s="4"/>
      <c r="N121" s="4"/>
      <c r="O121" s="4"/>
      <c r="P121" s="7"/>
      <c r="Q121" s="6"/>
      <c r="R121" s="7"/>
      <c r="S121" s="4"/>
      <c r="T121" s="13"/>
      <c r="U121" s="13"/>
      <c r="V121" s="5"/>
      <c r="W121" s="5"/>
      <c r="X121" s="5"/>
      <c r="Y121" s="5"/>
      <c r="Z121" s="5"/>
      <c r="AA121" s="5"/>
      <c r="AB121" s="5"/>
      <c r="AC121" s="6"/>
      <c r="AD121" s="6"/>
      <c r="AF121" s="6"/>
      <c r="AG121" s="6"/>
      <c r="AH121" s="11"/>
      <c r="AI121" s="6"/>
      <c r="AJ121" s="6"/>
      <c r="AK121" s="6"/>
      <c r="AL121" s="6"/>
      <c r="AM121" s="6"/>
      <c r="AN121" s="6"/>
      <c r="AO121" s="12"/>
      <c r="AP121" s="7"/>
      <c r="AQ121" s="6"/>
      <c r="AV121" s="3"/>
      <c r="AW121" s="3"/>
      <c r="AX121" s="3"/>
      <c r="AY121" s="3"/>
      <c r="AZ121" s="4"/>
      <c r="BA121" s="4"/>
      <c r="BB121" s="4"/>
      <c r="BC121" s="4"/>
      <c r="BD121" s="4"/>
      <c r="BE121" s="3"/>
      <c r="BJ121" s="9"/>
      <c r="BK121" s="9"/>
      <c r="BL121" s="9"/>
      <c r="BM121" s="3"/>
      <c r="BN121" s="3"/>
      <c r="BO121" s="3"/>
      <c r="BP121" s="3"/>
      <c r="BQ121" s="3"/>
      <c r="BR121" s="3"/>
    </row>
    <row r="122" spans="1:83" x14ac:dyDescent="0.3">
      <c r="A122" s="1" t="s">
        <v>81</v>
      </c>
      <c r="B122" s="2" t="s">
        <v>86</v>
      </c>
      <c r="C122" t="s">
        <v>88</v>
      </c>
      <c r="D122" s="5" t="s">
        <v>180</v>
      </c>
      <c r="E122" s="5" t="s">
        <v>93</v>
      </c>
      <c r="F122" s="17">
        <v>45243</v>
      </c>
      <c r="G122">
        <v>2</v>
      </c>
      <c r="H122" s="3">
        <v>18.100000000000001</v>
      </c>
      <c r="I122" s="3">
        <f t="shared" si="1"/>
        <v>17.64</v>
      </c>
      <c r="J122" s="3">
        <f t="shared" si="7"/>
        <v>1.32125</v>
      </c>
      <c r="K122" s="6">
        <f t="shared" si="3"/>
        <v>4232.6138336614167</v>
      </c>
      <c r="L122" s="4"/>
      <c r="M122" s="4"/>
      <c r="N122" s="4"/>
      <c r="O122" s="4"/>
      <c r="P122" s="7"/>
      <c r="Q122" s="6"/>
      <c r="R122" s="7"/>
      <c r="S122" s="4"/>
      <c r="T122" s="13"/>
      <c r="U122" s="13"/>
      <c r="V122" s="5"/>
      <c r="W122" s="5"/>
      <c r="X122" s="5"/>
      <c r="Y122" s="5"/>
      <c r="Z122" s="5"/>
      <c r="AA122" s="5"/>
      <c r="AB122" s="5"/>
      <c r="AC122" s="6"/>
      <c r="AD122" s="6"/>
      <c r="AF122" s="6"/>
      <c r="AG122" s="6"/>
      <c r="AH122" s="11"/>
      <c r="AI122" s="6"/>
      <c r="AJ122" s="6"/>
      <c r="AK122" s="6"/>
      <c r="AL122" s="6"/>
      <c r="AM122" s="6"/>
      <c r="AN122" s="6"/>
      <c r="AO122" s="12"/>
      <c r="AP122" s="7"/>
      <c r="AQ122" s="6"/>
      <c r="AV122" s="3"/>
      <c r="AW122" s="3"/>
      <c r="AX122" s="3"/>
      <c r="AY122" s="3"/>
      <c r="AZ122" s="4"/>
      <c r="BA122" s="4"/>
      <c r="BB122" s="4"/>
      <c r="BC122" s="4"/>
      <c r="BD122" s="4"/>
      <c r="BE122" s="3"/>
      <c r="BJ122" s="9"/>
      <c r="BK122" s="9"/>
      <c r="BL122" s="9"/>
      <c r="BM122" s="3"/>
      <c r="BN122" s="3"/>
      <c r="BO122" s="3"/>
      <c r="BP122" s="3"/>
      <c r="BQ122" s="3"/>
      <c r="BR122" s="3"/>
    </row>
    <row r="123" spans="1:83" x14ac:dyDescent="0.3">
      <c r="A123" s="1" t="s">
        <v>81</v>
      </c>
      <c r="B123" s="2" t="s">
        <v>87</v>
      </c>
      <c r="C123" t="s">
        <v>88</v>
      </c>
      <c r="D123" s="5" t="s">
        <v>181</v>
      </c>
      <c r="E123" s="5" t="s">
        <v>93</v>
      </c>
      <c r="F123" s="17">
        <v>45243</v>
      </c>
      <c r="G123">
        <v>2</v>
      </c>
      <c r="H123" s="3">
        <v>15.3</v>
      </c>
      <c r="I123" s="3">
        <f t="shared" si="1"/>
        <v>14.84</v>
      </c>
      <c r="J123" s="3">
        <f t="shared" si="7"/>
        <v>1.32125</v>
      </c>
      <c r="K123" s="6">
        <f t="shared" si="3"/>
        <v>3607.5854872047244</v>
      </c>
      <c r="L123" s="4">
        <v>8.76</v>
      </c>
      <c r="M123" s="4">
        <v>227.85</v>
      </c>
      <c r="N123" s="4">
        <v>219.09</v>
      </c>
      <c r="O123" s="4">
        <v>205.71</v>
      </c>
      <c r="P123" s="7">
        <f>(N123-O123)/N123*100</f>
        <v>6.1070792824866471</v>
      </c>
      <c r="Q123" s="6">
        <f>K123*(1-P123/100)</f>
        <v>3387.2673813176498</v>
      </c>
      <c r="R123" s="14">
        <v>45244</v>
      </c>
      <c r="S123" s="4">
        <v>6.67</v>
      </c>
      <c r="T123" s="13">
        <v>2.6949999999999998</v>
      </c>
      <c r="U123" s="13">
        <v>4.6050000000000004</v>
      </c>
      <c r="V123" s="8">
        <f>(T123-$A$76)/(S123-$A$47*$A$48)</f>
        <v>0.37345150261284188</v>
      </c>
      <c r="W123" s="8">
        <f>(U123-$A$77)/(S123-$A$47*$A$48)</f>
        <v>0.44959660799432483</v>
      </c>
      <c r="X123" s="8">
        <f>1-V123-W123</f>
        <v>0.17695188939283329</v>
      </c>
      <c r="Y123" s="6">
        <f>K123*V123</f>
        <v>1347.2582210008857</v>
      </c>
      <c r="Z123" s="6">
        <f>K123*W123</f>
        <v>1621.9581980967978</v>
      </c>
      <c r="AA123" s="6">
        <f>SUM(Y123:Z123)</f>
        <v>2969.2164190976837</v>
      </c>
      <c r="AB123" s="6">
        <f>Q123*V123</f>
        <v>1264.9800933045424</v>
      </c>
      <c r="AC123" s="6">
        <f>Q123*W123</f>
        <v>1522.9039250102346</v>
      </c>
      <c r="AD123" s="6">
        <f>SUM(AB123:AC123)</f>
        <v>2787.8840183147768</v>
      </c>
      <c r="AE123" t="s">
        <v>539</v>
      </c>
      <c r="AF123" s="14">
        <v>45295</v>
      </c>
      <c r="AG123" s="6">
        <v>46.2</v>
      </c>
      <c r="AH123" s="11">
        <v>1.1499999999999999</v>
      </c>
      <c r="AI123" s="6">
        <v>82.2</v>
      </c>
      <c r="AJ123" s="6">
        <v>31</v>
      </c>
      <c r="AK123" s="6">
        <v>4.9000000000000004</v>
      </c>
      <c r="AL123" s="6">
        <v>80</v>
      </c>
      <c r="AM123" s="6">
        <v>8.4</v>
      </c>
      <c r="AN123" s="6" t="s">
        <v>65</v>
      </c>
      <c r="AO123" s="12">
        <v>16</v>
      </c>
      <c r="AP123" s="7">
        <v>0.33</v>
      </c>
      <c r="AQ123" s="6">
        <v>8.5</v>
      </c>
      <c r="AV123" s="3"/>
      <c r="AW123" s="3"/>
      <c r="AX123" s="3"/>
      <c r="AY123" s="3"/>
      <c r="AZ123" s="4"/>
      <c r="BA123" s="4"/>
      <c r="BB123" s="4"/>
      <c r="BC123" s="4"/>
      <c r="BD123" s="4"/>
      <c r="BE123" s="3"/>
      <c r="BJ123" s="9"/>
      <c r="BK123" s="9"/>
      <c r="BL123" s="9"/>
      <c r="BM123" s="3"/>
      <c r="BN123" s="3"/>
      <c r="BO123" s="3"/>
      <c r="BP123" s="3"/>
      <c r="BQ123" s="3"/>
      <c r="BR123" s="3"/>
    </row>
    <row r="124" spans="1:83" x14ac:dyDescent="0.3">
      <c r="A124" s="1" t="s">
        <v>81</v>
      </c>
      <c r="B124" s="2" t="s">
        <v>137</v>
      </c>
      <c r="C124" t="s">
        <v>88</v>
      </c>
      <c r="D124" s="5" t="s">
        <v>182</v>
      </c>
      <c r="E124" s="5" t="s">
        <v>93</v>
      </c>
      <c r="F124" s="17">
        <v>45243</v>
      </c>
      <c r="G124">
        <v>2</v>
      </c>
      <c r="H124" s="3">
        <v>16.5</v>
      </c>
      <c r="I124" s="3">
        <f t="shared" si="1"/>
        <v>16.04</v>
      </c>
      <c r="J124" s="3">
        <f t="shared" si="7"/>
        <v>1.32125</v>
      </c>
      <c r="K124" s="6">
        <f t="shared" si="3"/>
        <v>3875.4547785433069</v>
      </c>
      <c r="L124" s="4"/>
      <c r="M124" s="4"/>
      <c r="N124" s="4"/>
      <c r="O124" s="4"/>
      <c r="P124" s="7"/>
      <c r="Q124" s="6"/>
      <c r="R124" s="7"/>
      <c r="S124" s="4"/>
      <c r="T124" s="13"/>
      <c r="U124" s="13"/>
      <c r="V124" s="5"/>
      <c r="W124" s="5"/>
      <c r="X124" s="5"/>
      <c r="Y124" s="5"/>
      <c r="Z124" s="5"/>
      <c r="AA124" s="5"/>
      <c r="AB124" s="5"/>
      <c r="AC124" s="6"/>
      <c r="AD124" s="6"/>
      <c r="AF124" s="6"/>
      <c r="AG124" s="6"/>
      <c r="AH124" s="11"/>
      <c r="AI124" s="6"/>
      <c r="AJ124" s="6"/>
      <c r="AK124" s="6"/>
      <c r="AL124" s="6"/>
      <c r="AM124" s="6"/>
      <c r="AN124" s="6"/>
      <c r="AO124" s="12"/>
      <c r="AP124" s="7"/>
      <c r="AQ124" s="6"/>
      <c r="AV124" s="3"/>
      <c r="AW124" s="3"/>
      <c r="AX124" s="3"/>
      <c r="AY124" s="3"/>
      <c r="AZ124" s="4"/>
      <c r="BA124" s="4"/>
      <c r="BB124" s="4"/>
      <c r="BC124" s="4"/>
      <c r="BD124" s="4"/>
      <c r="BE124" s="3"/>
      <c r="BJ124" s="9"/>
      <c r="BK124" s="9"/>
      <c r="BL124" s="9"/>
      <c r="BM124" s="3"/>
      <c r="BN124" s="3"/>
      <c r="BO124" s="3"/>
      <c r="BP124" s="3"/>
      <c r="BQ124" s="3"/>
      <c r="BR124" s="3"/>
    </row>
    <row r="125" spans="1:83" x14ac:dyDescent="0.3">
      <c r="A125" s="1" t="s">
        <v>81</v>
      </c>
      <c r="B125" s="2" t="s">
        <v>138</v>
      </c>
      <c r="C125" t="s">
        <v>88</v>
      </c>
      <c r="D125" s="5" t="s">
        <v>183</v>
      </c>
      <c r="E125" s="5" t="s">
        <v>93</v>
      </c>
      <c r="F125" s="17">
        <v>45243</v>
      </c>
      <c r="G125">
        <v>2</v>
      </c>
      <c r="H125" s="3">
        <v>13</v>
      </c>
      <c r="I125" s="3">
        <f t="shared" si="1"/>
        <v>12.54</v>
      </c>
      <c r="J125" s="3">
        <f t="shared" si="7"/>
        <v>1.32125</v>
      </c>
      <c r="K125" s="6">
        <f t="shared" si="3"/>
        <v>3094.16934547244</v>
      </c>
      <c r="L125" s="4"/>
      <c r="M125" s="4"/>
      <c r="N125" s="4"/>
      <c r="O125" s="4"/>
      <c r="P125" s="7"/>
      <c r="Q125" s="6"/>
      <c r="R125" s="7"/>
      <c r="S125" s="4"/>
      <c r="T125" s="13"/>
      <c r="U125" s="13"/>
      <c r="V125" s="5"/>
      <c r="W125" s="5"/>
      <c r="X125" s="5"/>
      <c r="Y125" s="5"/>
      <c r="Z125" s="5"/>
      <c r="AA125" s="5"/>
      <c r="AB125" s="5"/>
      <c r="AC125" s="6"/>
      <c r="AD125" s="6"/>
      <c r="AF125" s="6"/>
      <c r="AG125" s="6"/>
      <c r="AH125" s="11"/>
      <c r="AI125" s="6"/>
      <c r="AJ125" s="6"/>
      <c r="AK125" s="6"/>
      <c r="AL125" s="6"/>
      <c r="AM125" s="6"/>
      <c r="AN125" s="6"/>
      <c r="AO125" s="12"/>
      <c r="AP125" s="7"/>
      <c r="AQ125" s="6"/>
      <c r="AV125" s="3"/>
      <c r="AW125" s="3"/>
      <c r="AX125" s="3"/>
      <c r="AY125" s="3"/>
      <c r="AZ125" s="4"/>
      <c r="BA125" s="4"/>
      <c r="BB125" s="4"/>
      <c r="BC125" s="4"/>
      <c r="BD125" s="4"/>
      <c r="BE125" s="3"/>
      <c r="BJ125" s="9"/>
      <c r="BK125" s="9"/>
      <c r="BL125" s="9"/>
      <c r="BM125" s="3"/>
      <c r="BN125" s="3"/>
      <c r="BO125" s="3"/>
      <c r="BP125" s="3"/>
      <c r="BQ125" s="3"/>
      <c r="BR125" s="3"/>
    </row>
    <row r="126" spans="1:83" x14ac:dyDescent="0.3">
      <c r="A126" s="1" t="s">
        <v>81</v>
      </c>
      <c r="B126" s="2" t="s">
        <v>139</v>
      </c>
      <c r="C126" t="s">
        <v>88</v>
      </c>
      <c r="D126" s="5" t="s">
        <v>184</v>
      </c>
      <c r="E126" s="5" t="s">
        <v>93</v>
      </c>
      <c r="F126" s="17">
        <v>45243</v>
      </c>
      <c r="G126">
        <v>2</v>
      </c>
      <c r="H126" s="3">
        <v>17.7</v>
      </c>
      <c r="I126" s="3">
        <f t="shared" si="1"/>
        <v>17.239999999999998</v>
      </c>
      <c r="J126" s="3">
        <f t="shared" si="7"/>
        <v>1.32125</v>
      </c>
      <c r="K126" s="6">
        <f t="shared" si="3"/>
        <v>4143.324069881889</v>
      </c>
      <c r="L126" s="4"/>
      <c r="M126" s="4"/>
      <c r="N126" s="4"/>
      <c r="O126" s="4"/>
      <c r="P126" s="7"/>
      <c r="Q126" s="6"/>
      <c r="R126" s="7"/>
      <c r="S126" s="4"/>
      <c r="T126" s="13"/>
      <c r="U126" s="13"/>
      <c r="V126" s="5"/>
      <c r="W126" s="5"/>
      <c r="X126" s="5"/>
      <c r="Y126" s="5"/>
      <c r="Z126" s="5"/>
      <c r="AA126" s="5"/>
      <c r="AB126" s="5"/>
      <c r="AC126" s="6"/>
      <c r="AD126" s="6"/>
      <c r="AF126" s="6"/>
      <c r="AG126" s="6"/>
      <c r="AH126" s="11"/>
      <c r="AI126" s="6"/>
      <c r="AJ126" s="6"/>
      <c r="AK126" s="6"/>
      <c r="AL126" s="6"/>
      <c r="AM126" s="6"/>
      <c r="AN126" s="6"/>
      <c r="AO126" s="12"/>
      <c r="AP126" s="7"/>
      <c r="AQ126" s="6"/>
      <c r="AV126" s="3"/>
      <c r="AW126" s="3"/>
      <c r="AX126" s="3"/>
      <c r="AY126" s="3"/>
      <c r="AZ126" s="4"/>
      <c r="BA126" s="4"/>
      <c r="BB126" s="4"/>
      <c r="BC126" s="4"/>
      <c r="BD126" s="4"/>
      <c r="BE126" s="3"/>
      <c r="BJ126" s="9"/>
      <c r="BK126" s="9"/>
      <c r="BL126" s="9"/>
      <c r="BM126" s="3"/>
      <c r="BN126" s="3"/>
      <c r="BO126" s="3"/>
      <c r="BP126" s="3"/>
      <c r="BQ126" s="3"/>
      <c r="BR126" s="3"/>
    </row>
    <row r="127" spans="1:83" x14ac:dyDescent="0.3">
      <c r="A127" s="1" t="s">
        <v>81</v>
      </c>
      <c r="B127" s="2" t="s">
        <v>140</v>
      </c>
      <c r="C127" t="s">
        <v>88</v>
      </c>
      <c r="D127" s="5" t="s">
        <v>185</v>
      </c>
      <c r="E127" s="5" t="s">
        <v>93</v>
      </c>
      <c r="F127" s="17">
        <v>45243</v>
      </c>
      <c r="G127">
        <v>2</v>
      </c>
      <c r="H127" s="3">
        <v>17.7</v>
      </c>
      <c r="I127" s="3">
        <f t="shared" si="1"/>
        <v>17.239999999999998</v>
      </c>
      <c r="J127" s="3">
        <f t="shared" si="7"/>
        <v>1.32125</v>
      </c>
      <c r="K127" s="6">
        <f t="shared" si="3"/>
        <v>4143.324069881889</v>
      </c>
      <c r="L127" s="4"/>
      <c r="M127" s="4"/>
      <c r="N127" s="4"/>
      <c r="O127" s="4"/>
      <c r="P127" s="7"/>
      <c r="Q127" s="6"/>
      <c r="R127" s="7"/>
      <c r="S127" s="4"/>
      <c r="T127" s="13"/>
      <c r="U127" s="13"/>
      <c r="V127" s="5"/>
      <c r="W127" s="5"/>
      <c r="X127" s="5"/>
      <c r="Y127" s="5"/>
      <c r="Z127" s="5"/>
      <c r="AA127" s="5"/>
      <c r="AB127" s="5"/>
      <c r="AC127" s="6"/>
      <c r="AD127" s="6"/>
      <c r="AF127" s="6"/>
      <c r="AG127" s="6"/>
      <c r="AH127" s="11"/>
      <c r="AI127" s="6"/>
      <c r="AJ127" s="6"/>
      <c r="AK127" s="6"/>
      <c r="AL127" s="6"/>
      <c r="AM127" s="6"/>
      <c r="AN127" s="6"/>
      <c r="AO127" s="12"/>
      <c r="AP127" s="7"/>
      <c r="AQ127" s="6"/>
      <c r="AV127" s="3"/>
      <c r="AW127" s="3"/>
      <c r="AX127" s="3"/>
      <c r="AY127" s="3"/>
      <c r="AZ127" s="4"/>
      <c r="BA127" s="4"/>
      <c r="BB127" s="4"/>
      <c r="BC127" s="4"/>
      <c r="BD127" s="4"/>
      <c r="BE127" s="3"/>
      <c r="BJ127" s="9"/>
      <c r="BK127" s="9"/>
      <c r="BL127" s="9"/>
      <c r="BM127" s="3"/>
      <c r="BN127" s="3"/>
      <c r="BO127" s="3"/>
      <c r="BP127" s="3"/>
      <c r="BQ127" s="3"/>
      <c r="BR127" s="3"/>
    </row>
    <row r="128" spans="1:83" x14ac:dyDescent="0.3">
      <c r="A128" s="1" t="s">
        <v>81</v>
      </c>
      <c r="B128" s="2" t="s">
        <v>141</v>
      </c>
      <c r="C128" t="s">
        <v>88</v>
      </c>
      <c r="D128" s="5" t="s">
        <v>186</v>
      </c>
      <c r="E128" s="5" t="s">
        <v>93</v>
      </c>
      <c r="F128" s="17">
        <v>45243</v>
      </c>
      <c r="G128">
        <v>2</v>
      </c>
      <c r="H128" s="3">
        <v>17.8</v>
      </c>
      <c r="I128" s="3">
        <f t="shared" si="1"/>
        <v>17.34</v>
      </c>
      <c r="J128" s="3">
        <f t="shared" si="7"/>
        <v>1.32125</v>
      </c>
      <c r="K128" s="6">
        <f t="shared" si="3"/>
        <v>4165.6465108267712</v>
      </c>
      <c r="L128" s="4"/>
      <c r="M128" s="4"/>
      <c r="N128" s="4"/>
      <c r="O128" s="4"/>
      <c r="P128" s="7"/>
      <c r="Q128" s="6"/>
      <c r="R128" s="7"/>
      <c r="S128" s="4"/>
      <c r="T128" s="13"/>
      <c r="U128" s="13"/>
      <c r="V128" s="5"/>
      <c r="W128" s="5"/>
      <c r="X128" s="5"/>
      <c r="Y128" s="5"/>
      <c r="Z128" s="5"/>
      <c r="AA128" s="5"/>
      <c r="AB128" s="5"/>
      <c r="AC128" s="6"/>
      <c r="AD128" s="6"/>
      <c r="AF128" s="6"/>
      <c r="AG128" s="6"/>
      <c r="AH128" s="11"/>
      <c r="AI128" s="6"/>
      <c r="AJ128" s="6"/>
      <c r="AK128" s="6"/>
      <c r="AL128" s="6"/>
      <c r="AM128" s="6"/>
      <c r="AN128" s="6"/>
      <c r="AO128" s="12"/>
      <c r="AP128" s="7"/>
      <c r="AQ128" s="6"/>
      <c r="AV128" s="3"/>
      <c r="AW128" s="3"/>
      <c r="AX128" s="3"/>
      <c r="AY128" s="3"/>
      <c r="AZ128" s="4"/>
      <c r="BA128" s="4"/>
      <c r="BB128" s="4"/>
      <c r="BC128" s="4"/>
      <c r="BD128" s="4"/>
      <c r="BE128" s="3"/>
      <c r="BJ128" s="9"/>
      <c r="BK128" s="9"/>
      <c r="BL128" s="9"/>
      <c r="BM128" s="3"/>
      <c r="BN128" s="3"/>
      <c r="BO128" s="3"/>
      <c r="BP128" s="3"/>
      <c r="BQ128" s="3"/>
      <c r="BR128" s="3"/>
    </row>
    <row r="129" spans="1:70" x14ac:dyDescent="0.3">
      <c r="A129" s="1" t="s">
        <v>81</v>
      </c>
      <c r="B129" s="2" t="s">
        <v>142</v>
      </c>
      <c r="C129" t="s">
        <v>88</v>
      </c>
      <c r="D129" s="5" t="s">
        <v>187</v>
      </c>
      <c r="E129" s="5" t="s">
        <v>93</v>
      </c>
      <c r="F129" s="17">
        <v>45243</v>
      </c>
      <c r="G129">
        <v>2</v>
      </c>
      <c r="H129" s="3">
        <v>18.7</v>
      </c>
      <c r="I129" s="3">
        <f t="shared" si="1"/>
        <v>18.239999999999998</v>
      </c>
      <c r="J129" s="3">
        <f t="shared" si="7"/>
        <v>1.32125</v>
      </c>
      <c r="K129" s="6">
        <f t="shared" si="3"/>
        <v>4366.5484793307087</v>
      </c>
      <c r="L129" s="4"/>
      <c r="M129" s="4"/>
      <c r="N129" s="4"/>
      <c r="O129" s="4"/>
      <c r="P129" s="7"/>
      <c r="Q129" s="6"/>
      <c r="R129" s="7"/>
      <c r="S129" s="4"/>
      <c r="T129" s="13"/>
      <c r="U129" s="13"/>
      <c r="V129" s="5"/>
      <c r="W129" s="5"/>
      <c r="X129" s="5"/>
      <c r="Y129" s="5"/>
      <c r="Z129" s="5"/>
      <c r="AA129" s="5"/>
      <c r="AB129" s="5"/>
      <c r="AC129" s="6"/>
      <c r="AD129" s="6"/>
      <c r="AF129" s="6"/>
      <c r="AG129" s="6"/>
      <c r="AH129" s="11"/>
      <c r="AI129" s="6"/>
      <c r="AJ129" s="6"/>
      <c r="AK129" s="6"/>
      <c r="AL129" s="6"/>
      <c r="AM129" s="6"/>
      <c r="AN129" s="6"/>
      <c r="AO129" s="12"/>
      <c r="AP129" s="7"/>
      <c r="AQ129" s="6"/>
      <c r="AV129" s="3"/>
      <c r="AW129" s="3"/>
      <c r="AX129" s="3"/>
      <c r="AY129" s="3"/>
      <c r="AZ129" s="4"/>
      <c r="BA129" s="4"/>
      <c r="BB129" s="4"/>
      <c r="BC129" s="4"/>
      <c r="BD129" s="4"/>
      <c r="BE129" s="3"/>
      <c r="BJ129" s="9"/>
      <c r="BK129" s="9"/>
      <c r="BL129" s="9"/>
      <c r="BM129" s="3"/>
      <c r="BN129" s="3"/>
      <c r="BO129" s="3"/>
      <c r="BP129" s="3"/>
      <c r="BQ129" s="3"/>
      <c r="BR129" s="3"/>
    </row>
    <row r="130" spans="1:70" x14ac:dyDescent="0.3">
      <c r="A130" s="1" t="s">
        <v>81</v>
      </c>
      <c r="B130" s="2" t="s">
        <v>143</v>
      </c>
      <c r="C130" t="s">
        <v>88</v>
      </c>
      <c r="D130" s="5" t="s">
        <v>188</v>
      </c>
      <c r="E130" s="5" t="s">
        <v>93</v>
      </c>
      <c r="F130" s="17">
        <v>45243</v>
      </c>
      <c r="G130">
        <v>2</v>
      </c>
      <c r="H130" s="3">
        <v>9.5</v>
      </c>
      <c r="I130" s="3">
        <f t="shared" si="1"/>
        <v>9.0399999999999991</v>
      </c>
      <c r="J130" s="3">
        <f t="shared" si="7"/>
        <v>1.32125</v>
      </c>
      <c r="K130" s="6">
        <f t="shared" si="3"/>
        <v>2312.8839124015744</v>
      </c>
      <c r="L130" s="4"/>
      <c r="M130" s="4"/>
      <c r="N130" s="4"/>
      <c r="O130" s="4"/>
      <c r="P130" s="7"/>
      <c r="Q130" s="6"/>
      <c r="R130" s="7"/>
      <c r="S130" s="4"/>
      <c r="T130" s="13"/>
      <c r="U130" s="13"/>
      <c r="V130" s="5"/>
      <c r="W130" s="5"/>
      <c r="X130" s="5"/>
      <c r="Y130" s="5"/>
      <c r="Z130" s="5"/>
      <c r="AA130" s="5"/>
      <c r="AB130" s="5"/>
      <c r="AC130" s="6"/>
      <c r="AD130" s="6"/>
      <c r="AF130" s="6"/>
      <c r="AG130" s="6"/>
      <c r="AH130" s="11"/>
      <c r="AI130" s="6"/>
      <c r="AJ130" s="6"/>
      <c r="AK130" s="6"/>
      <c r="AL130" s="6"/>
      <c r="AM130" s="6"/>
      <c r="AN130" s="6"/>
      <c r="AO130" s="12"/>
      <c r="AP130" s="7"/>
      <c r="AQ130" s="6"/>
      <c r="AV130" s="3"/>
      <c r="AW130" s="3"/>
      <c r="AX130" s="3"/>
      <c r="AY130" s="3"/>
      <c r="AZ130" s="4"/>
      <c r="BA130" s="4"/>
      <c r="BB130" s="4"/>
      <c r="BC130" s="4"/>
      <c r="BD130" s="4"/>
      <c r="BE130" s="3"/>
      <c r="BJ130" s="9"/>
      <c r="BK130" s="9"/>
      <c r="BL130" s="9"/>
      <c r="BM130" s="3"/>
      <c r="BN130" s="3"/>
      <c r="BO130" s="3"/>
      <c r="BP130" s="3"/>
      <c r="BQ130" s="3"/>
      <c r="BR130" s="3"/>
    </row>
    <row r="131" spans="1:70" x14ac:dyDescent="0.3">
      <c r="A131" s="1" t="s">
        <v>81</v>
      </c>
      <c r="B131" s="2" t="s">
        <v>80</v>
      </c>
      <c r="C131" t="s">
        <v>89</v>
      </c>
      <c r="D131" s="5" t="s">
        <v>189</v>
      </c>
      <c r="E131" s="5" t="s">
        <v>93</v>
      </c>
      <c r="F131" s="17">
        <v>45243</v>
      </c>
      <c r="G131">
        <v>14</v>
      </c>
      <c r="H131" s="3">
        <v>15.9</v>
      </c>
      <c r="I131" s="3">
        <f t="shared" si="1"/>
        <v>15.44</v>
      </c>
      <c r="J131" s="3">
        <f>($A$64-$A$47)*$A$75</f>
        <v>1.3274999999999999</v>
      </c>
      <c r="K131" s="6">
        <f t="shared" si="3"/>
        <v>3742.9152854330705</v>
      </c>
      <c r="L131" s="4"/>
      <c r="M131" s="4"/>
      <c r="N131" s="4"/>
      <c r="O131" s="4"/>
      <c r="P131" s="7"/>
      <c r="Q131" s="6"/>
      <c r="R131" s="5"/>
      <c r="S131" s="4"/>
      <c r="T131" s="13"/>
      <c r="U131" s="13"/>
      <c r="V131" s="5"/>
      <c r="W131" s="5"/>
      <c r="X131" s="5"/>
      <c r="Y131" s="5"/>
      <c r="Z131" s="5"/>
      <c r="AA131" s="5"/>
      <c r="AB131" s="5"/>
      <c r="AC131" s="6"/>
      <c r="AD131" s="6"/>
      <c r="AF131" s="6"/>
      <c r="AG131" s="6"/>
      <c r="AH131" s="11"/>
      <c r="AI131" s="6"/>
      <c r="AJ131" s="6"/>
      <c r="AK131" s="6"/>
      <c r="AL131" s="6"/>
      <c r="AM131" s="6"/>
      <c r="AN131" s="6"/>
      <c r="AO131" s="12"/>
      <c r="AP131" s="7"/>
      <c r="AQ131" s="6"/>
      <c r="AV131" s="3"/>
      <c r="AW131" s="3"/>
      <c r="AX131" s="3"/>
      <c r="AY131" s="3"/>
      <c r="AZ131" s="4"/>
      <c r="BA131" s="4"/>
      <c r="BB131" s="4"/>
      <c r="BC131" s="4"/>
      <c r="BD131" s="4"/>
      <c r="BE131" s="3"/>
      <c r="BJ131" s="9"/>
      <c r="BK131" s="9"/>
      <c r="BL131" s="9"/>
      <c r="BM131" s="3"/>
      <c r="BN131" s="3"/>
      <c r="BO131" s="3"/>
      <c r="BP131" s="3"/>
      <c r="BQ131" s="3"/>
      <c r="BR131" s="3"/>
    </row>
    <row r="132" spans="1:70" x14ac:dyDescent="0.3">
      <c r="A132" s="1" t="s">
        <v>81</v>
      </c>
      <c r="B132" s="2" t="s">
        <v>81</v>
      </c>
      <c r="C132" t="s">
        <v>89</v>
      </c>
      <c r="D132" s="5" t="s">
        <v>190</v>
      </c>
      <c r="E132" s="5" t="s">
        <v>93</v>
      </c>
      <c r="F132" s="17">
        <v>45243</v>
      </c>
      <c r="G132">
        <v>14</v>
      </c>
      <c r="H132" s="3">
        <v>20.100000000000001</v>
      </c>
      <c r="I132" s="3">
        <f t="shared" si="1"/>
        <v>19.64</v>
      </c>
      <c r="J132" s="3">
        <f t="shared" ref="J132:J145" si="8">($A$64-$A$47)*$A$75</f>
        <v>1.3274999999999999</v>
      </c>
      <c r="K132" s="6">
        <f t="shared" si="3"/>
        <v>4680.4578051181106</v>
      </c>
      <c r="L132" s="4"/>
      <c r="M132" s="4"/>
      <c r="N132" s="4"/>
      <c r="O132" s="4"/>
      <c r="P132" s="7"/>
      <c r="Q132" s="6"/>
      <c r="R132" s="5"/>
      <c r="S132" s="4"/>
      <c r="T132" s="13"/>
      <c r="U132" s="13"/>
      <c r="V132" s="5"/>
      <c r="W132" s="5"/>
      <c r="X132" s="5"/>
      <c r="Y132" s="5"/>
      <c r="Z132" s="5"/>
      <c r="AA132" s="5"/>
      <c r="AB132" s="5"/>
      <c r="AC132" s="6"/>
      <c r="AD132" s="6"/>
      <c r="AF132" s="6"/>
      <c r="AG132" s="6"/>
      <c r="AH132" s="11"/>
      <c r="AI132" s="6"/>
      <c r="AJ132" s="6"/>
      <c r="AK132" s="6"/>
      <c r="AL132" s="6"/>
      <c r="AM132" s="6"/>
      <c r="AN132" s="6"/>
      <c r="AO132" s="12"/>
      <c r="AP132" s="7"/>
      <c r="AQ132" s="6"/>
      <c r="AV132" s="3"/>
      <c r="AW132" s="3"/>
      <c r="AX132" s="3"/>
      <c r="AY132" s="3"/>
      <c r="AZ132" s="4"/>
      <c r="BA132" s="4"/>
      <c r="BB132" s="4"/>
      <c r="BC132" s="4"/>
      <c r="BD132" s="4"/>
      <c r="BE132" s="3"/>
      <c r="BJ132" s="9"/>
      <c r="BK132" s="9"/>
      <c r="BL132" s="9"/>
      <c r="BM132" s="3"/>
      <c r="BN132" s="3"/>
      <c r="BO132" s="3"/>
      <c r="BP132" s="3"/>
      <c r="BQ132" s="3"/>
      <c r="BR132" s="3"/>
    </row>
    <row r="133" spans="1:70" x14ac:dyDescent="0.3">
      <c r="A133" s="1" t="s">
        <v>81</v>
      </c>
      <c r="B133" s="2" t="s">
        <v>82</v>
      </c>
      <c r="C133" t="s">
        <v>89</v>
      </c>
      <c r="D133" s="5" t="s">
        <v>191</v>
      </c>
      <c r="E133" s="5" t="s">
        <v>93</v>
      </c>
      <c r="F133" s="17">
        <v>45243</v>
      </c>
      <c r="G133">
        <v>14</v>
      </c>
      <c r="H133" s="3">
        <v>18</v>
      </c>
      <c r="I133" s="3">
        <f t="shared" si="1"/>
        <v>17.54</v>
      </c>
      <c r="J133" s="3">
        <f t="shared" si="8"/>
        <v>1.3274999999999999</v>
      </c>
      <c r="K133" s="6">
        <f t="shared" si="3"/>
        <v>4211.6865452755901</v>
      </c>
      <c r="L133" s="4"/>
      <c r="M133" s="4"/>
      <c r="N133" s="4"/>
      <c r="O133" s="4"/>
      <c r="P133" s="7"/>
      <c r="Q133" s="6"/>
      <c r="R133" s="5"/>
      <c r="S133" s="4"/>
      <c r="T133" s="13"/>
      <c r="U133" s="13"/>
      <c r="V133" s="5"/>
      <c r="W133" s="5"/>
      <c r="X133" s="5"/>
      <c r="Y133" s="5"/>
      <c r="Z133" s="5"/>
      <c r="AA133" s="5"/>
      <c r="AB133" s="5"/>
      <c r="AC133" s="6"/>
      <c r="AD133" s="6"/>
      <c r="AF133" s="6"/>
      <c r="AG133" s="6"/>
      <c r="AH133" s="11"/>
      <c r="AI133" s="6"/>
      <c r="AJ133" s="6"/>
      <c r="AK133" s="6"/>
      <c r="AL133" s="6"/>
      <c r="AM133" s="6"/>
      <c r="AN133" s="6"/>
      <c r="AO133" s="12"/>
      <c r="AP133" s="7"/>
      <c r="AQ133" s="6"/>
      <c r="AV133" s="3"/>
      <c r="AW133" s="3"/>
      <c r="AX133" s="3"/>
      <c r="AY133" s="3"/>
      <c r="AZ133" s="4"/>
      <c r="BA133" s="4"/>
      <c r="BB133" s="4"/>
      <c r="BC133" s="4"/>
      <c r="BD133" s="4"/>
      <c r="BE133" s="3"/>
      <c r="BJ133" s="9"/>
      <c r="BK133" s="9"/>
      <c r="BL133" s="9"/>
      <c r="BM133" s="3"/>
      <c r="BN133" s="3"/>
      <c r="BO133" s="3"/>
      <c r="BP133" s="3"/>
      <c r="BQ133" s="3"/>
      <c r="BR133" s="3"/>
    </row>
    <row r="134" spans="1:70" x14ac:dyDescent="0.3">
      <c r="A134" s="1" t="s">
        <v>81</v>
      </c>
      <c r="B134" s="2" t="s">
        <v>83</v>
      </c>
      <c r="C134" t="s">
        <v>89</v>
      </c>
      <c r="D134" s="5" t="s">
        <v>192</v>
      </c>
      <c r="E134" s="5" t="s">
        <v>93</v>
      </c>
      <c r="F134" s="17">
        <v>45243</v>
      </c>
      <c r="G134">
        <v>14</v>
      </c>
      <c r="H134" s="3">
        <v>20</v>
      </c>
      <c r="I134" s="3">
        <f t="shared" si="1"/>
        <v>19.54</v>
      </c>
      <c r="J134" s="3">
        <f t="shared" si="8"/>
        <v>1.3274999999999999</v>
      </c>
      <c r="K134" s="6">
        <f t="shared" si="3"/>
        <v>4658.1353641732285</v>
      </c>
      <c r="L134" s="4"/>
      <c r="M134" s="4"/>
      <c r="N134" s="4"/>
      <c r="O134" s="4"/>
      <c r="P134" s="7"/>
      <c r="Q134" s="6"/>
      <c r="R134" s="5"/>
      <c r="S134" s="4"/>
      <c r="T134" s="13"/>
      <c r="U134" s="13"/>
      <c r="V134" s="5"/>
      <c r="W134" s="5"/>
      <c r="X134" s="5"/>
      <c r="Y134" s="5"/>
      <c r="Z134" s="5"/>
      <c r="AA134" s="5"/>
      <c r="AB134" s="5"/>
      <c r="AC134" s="6"/>
      <c r="AD134" s="6"/>
      <c r="AF134" s="6"/>
      <c r="AG134" s="6"/>
      <c r="AH134" s="11"/>
      <c r="AI134" s="6"/>
      <c r="AJ134" s="6"/>
      <c r="AK134" s="6"/>
      <c r="AL134" s="6"/>
      <c r="AM134" s="6"/>
      <c r="AN134" s="6"/>
      <c r="AO134" s="12"/>
      <c r="AP134" s="7"/>
      <c r="AQ134" s="6"/>
      <c r="AV134" s="3"/>
      <c r="AW134" s="3"/>
      <c r="AX134" s="3"/>
      <c r="AY134" s="3"/>
      <c r="AZ134" s="4"/>
      <c r="BA134" s="4"/>
      <c r="BB134" s="4"/>
      <c r="BC134" s="4"/>
      <c r="BD134" s="4"/>
      <c r="BE134" s="3"/>
      <c r="BJ134" s="9"/>
      <c r="BK134" s="9"/>
      <c r="BL134" s="9"/>
      <c r="BM134" s="3"/>
      <c r="BN134" s="3"/>
      <c r="BO134" s="3"/>
      <c r="BP134" s="3"/>
      <c r="BQ134" s="3"/>
      <c r="BR134" s="3"/>
    </row>
    <row r="135" spans="1:70" x14ac:dyDescent="0.3">
      <c r="A135" s="1" t="s">
        <v>81</v>
      </c>
      <c r="B135" s="2" t="s">
        <v>84</v>
      </c>
      <c r="C135" t="s">
        <v>89</v>
      </c>
      <c r="D135" s="5" t="s">
        <v>193</v>
      </c>
      <c r="E135" s="5" t="s">
        <v>93</v>
      </c>
      <c r="F135" s="17">
        <v>45243</v>
      </c>
      <c r="G135">
        <v>14</v>
      </c>
      <c r="H135" s="3">
        <v>18.3</v>
      </c>
      <c r="I135" s="3">
        <f t="shared" si="1"/>
        <v>17.84</v>
      </c>
      <c r="J135" s="3">
        <f t="shared" si="8"/>
        <v>1.3274999999999999</v>
      </c>
      <c r="K135" s="6">
        <f t="shared" si="3"/>
        <v>4278.6538681102356</v>
      </c>
      <c r="L135" s="4"/>
      <c r="M135" s="4"/>
      <c r="N135" s="4"/>
      <c r="O135" s="4"/>
      <c r="P135" s="7"/>
      <c r="Q135" s="6"/>
      <c r="R135" s="5"/>
      <c r="S135" s="4"/>
      <c r="T135" s="13"/>
      <c r="U135" s="13"/>
      <c r="V135" s="5"/>
      <c r="W135" s="5"/>
      <c r="X135" s="5"/>
      <c r="Y135" s="5"/>
      <c r="Z135" s="5"/>
      <c r="AA135" s="5"/>
      <c r="AB135" s="5"/>
      <c r="AC135" s="6"/>
      <c r="AD135" s="6"/>
      <c r="AF135" s="6"/>
      <c r="AG135" s="6"/>
      <c r="AH135" s="11"/>
      <c r="AI135" s="6"/>
      <c r="AJ135" s="6"/>
      <c r="AK135" s="6"/>
      <c r="AL135" s="6"/>
      <c r="AM135" s="6"/>
      <c r="AN135" s="6"/>
      <c r="AO135" s="12"/>
      <c r="AP135" s="7"/>
      <c r="AQ135" s="6"/>
      <c r="AV135" s="3"/>
      <c r="AW135" s="3"/>
      <c r="AX135" s="3"/>
      <c r="AY135" s="3"/>
      <c r="AZ135" s="4"/>
      <c r="BA135" s="4"/>
      <c r="BB135" s="4"/>
      <c r="BC135" s="4"/>
      <c r="BD135" s="4"/>
      <c r="BE135" s="3"/>
      <c r="BJ135" s="9"/>
      <c r="BK135" s="9"/>
      <c r="BL135" s="9"/>
      <c r="BM135" s="3"/>
      <c r="BN135" s="3"/>
      <c r="BO135" s="3"/>
      <c r="BP135" s="3"/>
      <c r="BQ135" s="3"/>
      <c r="BR135" s="3"/>
    </row>
    <row r="136" spans="1:70" x14ac:dyDescent="0.3">
      <c r="A136" s="1" t="s">
        <v>81</v>
      </c>
      <c r="B136" s="2" t="s">
        <v>85</v>
      </c>
      <c r="C136" t="s">
        <v>89</v>
      </c>
      <c r="D136" s="5" t="s">
        <v>194</v>
      </c>
      <c r="E136" s="5" t="s">
        <v>93</v>
      </c>
      <c r="F136" s="17">
        <v>45243</v>
      </c>
      <c r="G136">
        <v>14</v>
      </c>
      <c r="H136" s="3">
        <v>17.3</v>
      </c>
      <c r="I136" s="3">
        <f t="shared" si="1"/>
        <v>16.84</v>
      </c>
      <c r="J136" s="3">
        <f t="shared" si="8"/>
        <v>1.3274999999999999</v>
      </c>
      <c r="K136" s="6">
        <f t="shared" si="3"/>
        <v>4055.4294586614169</v>
      </c>
      <c r="L136" s="4"/>
      <c r="M136" s="4"/>
      <c r="N136" s="4"/>
      <c r="O136" s="4"/>
      <c r="P136" s="7"/>
      <c r="Q136" s="6"/>
      <c r="R136" s="5"/>
      <c r="S136" s="4"/>
      <c r="T136" s="13"/>
      <c r="U136" s="13"/>
      <c r="V136" s="5"/>
      <c r="W136" s="5"/>
      <c r="X136" s="5"/>
      <c r="Y136" s="5"/>
      <c r="Z136" s="5"/>
      <c r="AA136" s="5"/>
      <c r="AB136" s="5"/>
      <c r="AC136" s="6"/>
      <c r="AD136" s="6"/>
      <c r="AF136" s="6"/>
      <c r="AG136" s="6"/>
      <c r="AH136" s="11"/>
      <c r="AI136" s="6"/>
      <c r="AJ136" s="6"/>
      <c r="AK136" s="6"/>
      <c r="AL136" s="6"/>
      <c r="AM136" s="6"/>
      <c r="AN136" s="6"/>
      <c r="AO136" s="12"/>
      <c r="AP136" s="7"/>
      <c r="AQ136" s="6"/>
      <c r="AV136" s="3"/>
      <c r="AW136" s="3"/>
      <c r="AX136" s="3"/>
      <c r="AY136" s="3"/>
      <c r="AZ136" s="4"/>
      <c r="BA136" s="4"/>
      <c r="BB136" s="4"/>
      <c r="BC136" s="4"/>
      <c r="BD136" s="4"/>
      <c r="BE136" s="3"/>
      <c r="BJ136" s="9"/>
      <c r="BK136" s="9"/>
      <c r="BL136" s="9"/>
      <c r="BM136" s="3"/>
      <c r="BN136" s="3"/>
      <c r="BO136" s="3"/>
      <c r="BP136" s="3"/>
      <c r="BQ136" s="3"/>
      <c r="BR136" s="3"/>
    </row>
    <row r="137" spans="1:70" x14ac:dyDescent="0.3">
      <c r="A137" s="1" t="s">
        <v>81</v>
      </c>
      <c r="B137" s="2" t="s">
        <v>86</v>
      </c>
      <c r="C137" t="s">
        <v>89</v>
      </c>
      <c r="D137" s="5" t="s">
        <v>195</v>
      </c>
      <c r="E137" s="5" t="s">
        <v>93</v>
      </c>
      <c r="F137" s="17">
        <v>45243</v>
      </c>
      <c r="G137">
        <v>14</v>
      </c>
      <c r="H137" s="3">
        <v>17.8</v>
      </c>
      <c r="I137" s="3">
        <f t="shared" si="1"/>
        <v>17.34</v>
      </c>
      <c r="J137" s="3">
        <f t="shared" si="8"/>
        <v>1.3274999999999999</v>
      </c>
      <c r="K137" s="6">
        <f t="shared" si="3"/>
        <v>4167.0416633858267</v>
      </c>
      <c r="L137" s="4"/>
      <c r="M137" s="4"/>
      <c r="N137" s="4"/>
      <c r="O137" s="4"/>
      <c r="P137" s="7"/>
      <c r="Q137" s="6"/>
      <c r="R137" s="5"/>
      <c r="S137" s="4"/>
      <c r="T137" s="13"/>
      <c r="U137" s="13"/>
      <c r="V137" s="5"/>
      <c r="W137" s="5"/>
      <c r="X137" s="5"/>
      <c r="Y137" s="5"/>
      <c r="Z137" s="5"/>
      <c r="AA137" s="5"/>
      <c r="AB137" s="5"/>
      <c r="AC137" s="6"/>
      <c r="AD137" s="6"/>
      <c r="AF137" s="6"/>
      <c r="AG137" s="6"/>
      <c r="AH137" s="11"/>
      <c r="AI137" s="6"/>
      <c r="AJ137" s="6"/>
      <c r="AK137" s="6"/>
      <c r="AL137" s="6"/>
      <c r="AM137" s="6"/>
      <c r="AN137" s="6"/>
      <c r="AO137" s="12"/>
      <c r="AP137" s="7"/>
      <c r="AQ137" s="6"/>
      <c r="AV137" s="3"/>
      <c r="AW137" s="3"/>
      <c r="AX137" s="3"/>
      <c r="AY137" s="3"/>
      <c r="AZ137" s="4"/>
      <c r="BA137" s="4"/>
      <c r="BB137" s="4"/>
      <c r="BC137" s="4"/>
      <c r="BD137" s="4"/>
      <c r="BE137" s="3"/>
      <c r="BJ137" s="9"/>
      <c r="BK137" s="9"/>
      <c r="BL137" s="9"/>
      <c r="BM137" s="3"/>
      <c r="BN137" s="3"/>
      <c r="BO137" s="3"/>
      <c r="BP137" s="3"/>
      <c r="BQ137" s="3"/>
      <c r="BR137" s="3"/>
    </row>
    <row r="138" spans="1:70" x14ac:dyDescent="0.3">
      <c r="A138" s="1" t="s">
        <v>81</v>
      </c>
      <c r="B138" s="2" t="s">
        <v>87</v>
      </c>
      <c r="C138" t="s">
        <v>89</v>
      </c>
      <c r="D138" s="5" t="s">
        <v>196</v>
      </c>
      <c r="E138" s="5" t="s">
        <v>93</v>
      </c>
      <c r="F138" s="17">
        <v>45243</v>
      </c>
      <c r="G138">
        <v>14</v>
      </c>
      <c r="H138" s="3">
        <v>20.5</v>
      </c>
      <c r="I138" s="3">
        <f t="shared" si="1"/>
        <v>20.04</v>
      </c>
      <c r="J138" s="3">
        <f t="shared" si="8"/>
        <v>1.3274999999999999</v>
      </c>
      <c r="K138" s="6">
        <f t="shared" si="3"/>
        <v>4769.7475688976374</v>
      </c>
      <c r="L138" s="4">
        <v>8.8800000000000008</v>
      </c>
      <c r="M138" s="4">
        <v>156.44999999999999</v>
      </c>
      <c r="N138" s="4">
        <v>147.57</v>
      </c>
      <c r="O138" s="4">
        <v>140.54</v>
      </c>
      <c r="P138" s="7">
        <f>(N138-O138)/N138*100</f>
        <v>4.7638408890695949</v>
      </c>
      <c r="Q138" s="6">
        <f>K138*(1-P138/100)</f>
        <v>4542.5243839050891</v>
      </c>
      <c r="R138" s="14">
        <v>45244</v>
      </c>
      <c r="S138" s="4">
        <v>9.11</v>
      </c>
      <c r="T138" s="13">
        <v>3.58</v>
      </c>
      <c r="U138" s="13">
        <v>5.82</v>
      </c>
      <c r="V138" s="8">
        <f>(T138-$A$76)/(S138-$A$47*$A$48)</f>
        <v>0.37050569403216488</v>
      </c>
      <c r="W138" s="8">
        <f>(U138-$A$77)/(S138-$A$47*$A$48)</f>
        <v>0.46285126119239517</v>
      </c>
      <c r="X138" s="8">
        <f>1-V138-W138</f>
        <v>0.1666430447754399</v>
      </c>
      <c r="Y138" s="6">
        <f>K138*V138</f>
        <v>1767.2186333726504</v>
      </c>
      <c r="Z138" s="6">
        <f>K138*W138</f>
        <v>2207.6836778336324</v>
      </c>
      <c r="AA138" s="6">
        <f>SUM(Y138:Z138)</f>
        <v>3974.9023112062828</v>
      </c>
      <c r="AB138" s="6">
        <f>Q138*V138</f>
        <v>1683.0311495167871</v>
      </c>
      <c r="AC138" s="6">
        <f>Q138*W138</f>
        <v>2102.5131400876785</v>
      </c>
      <c r="AD138" s="6">
        <f>SUM(AB138:AC138)</f>
        <v>3785.5442896044656</v>
      </c>
      <c r="AE138" t="s">
        <v>540</v>
      </c>
      <c r="AF138" s="14">
        <v>45295</v>
      </c>
      <c r="AG138" s="6">
        <v>50.7</v>
      </c>
      <c r="AH138" s="11">
        <v>1.026</v>
      </c>
      <c r="AI138" s="6">
        <v>77.5</v>
      </c>
      <c r="AJ138" s="6">
        <v>26</v>
      </c>
      <c r="AK138" s="6">
        <v>5.5</v>
      </c>
      <c r="AL138" s="6">
        <v>79</v>
      </c>
      <c r="AM138" s="6">
        <v>9.6999999999999993</v>
      </c>
      <c r="AN138" s="6" t="s">
        <v>524</v>
      </c>
      <c r="AO138" s="12">
        <v>8</v>
      </c>
      <c r="AP138" s="7">
        <v>0.1</v>
      </c>
      <c r="AQ138" s="6">
        <v>16.899999999999999</v>
      </c>
      <c r="AV138" s="3"/>
      <c r="AW138" s="3"/>
      <c r="AX138" s="3"/>
      <c r="AY138" s="3"/>
      <c r="AZ138" s="4"/>
      <c r="BA138" s="4"/>
      <c r="BB138" s="4"/>
      <c r="BC138" s="4"/>
      <c r="BD138" s="4"/>
      <c r="BE138" s="3"/>
      <c r="BJ138" s="9"/>
      <c r="BK138" s="9"/>
      <c r="BL138" s="9"/>
      <c r="BM138" s="3"/>
      <c r="BN138" s="3"/>
      <c r="BO138" s="3"/>
      <c r="BP138" s="3"/>
      <c r="BQ138" s="3"/>
      <c r="BR138" s="3"/>
    </row>
    <row r="139" spans="1:70" x14ac:dyDescent="0.3">
      <c r="A139" s="1" t="s">
        <v>81</v>
      </c>
      <c r="B139" s="2" t="s">
        <v>137</v>
      </c>
      <c r="C139" t="s">
        <v>89</v>
      </c>
      <c r="D139" s="5" t="s">
        <v>197</v>
      </c>
      <c r="E139" s="5" t="s">
        <v>93</v>
      </c>
      <c r="F139" s="17">
        <v>45243</v>
      </c>
      <c r="G139">
        <v>14</v>
      </c>
      <c r="H139" s="3">
        <v>19.5</v>
      </c>
      <c r="I139" s="3">
        <f t="shared" si="1"/>
        <v>19.04</v>
      </c>
      <c r="J139" s="3">
        <f t="shared" si="8"/>
        <v>1.3274999999999999</v>
      </c>
      <c r="K139" s="6">
        <f t="shared" si="3"/>
        <v>4546.5231594488187</v>
      </c>
      <c r="L139" s="4"/>
      <c r="M139" s="4"/>
      <c r="N139" s="4"/>
      <c r="O139" s="4"/>
      <c r="P139" s="7"/>
      <c r="Q139" s="6"/>
      <c r="R139" s="5"/>
      <c r="S139" s="4"/>
      <c r="T139" s="13"/>
      <c r="U139" s="13"/>
      <c r="V139" s="5"/>
      <c r="W139" s="5"/>
      <c r="X139" s="5"/>
      <c r="Y139" s="5"/>
      <c r="Z139" s="5"/>
      <c r="AA139" s="5"/>
      <c r="AB139" s="5"/>
      <c r="AC139" s="6"/>
      <c r="AD139" s="6"/>
      <c r="AF139" s="6"/>
      <c r="AG139" s="6"/>
      <c r="AH139" s="11"/>
      <c r="AI139" s="6"/>
      <c r="AJ139" s="6"/>
      <c r="AK139" s="6"/>
      <c r="AL139" s="6"/>
      <c r="AM139" s="6"/>
      <c r="AN139" s="6"/>
      <c r="AO139" s="12"/>
      <c r="AP139" s="7"/>
      <c r="AQ139" s="6"/>
      <c r="AS139" s="4"/>
      <c r="AV139" s="3"/>
      <c r="AW139" s="3"/>
      <c r="AX139" s="3"/>
      <c r="AY139" s="3"/>
      <c r="AZ139" s="4"/>
      <c r="BA139" s="4"/>
      <c r="BB139" s="4"/>
      <c r="BC139" s="4"/>
      <c r="BD139" s="4"/>
      <c r="BE139" s="3"/>
      <c r="BJ139" s="9"/>
      <c r="BK139" s="9"/>
      <c r="BL139" s="9"/>
      <c r="BM139" s="3"/>
      <c r="BN139" s="3"/>
      <c r="BO139" s="3"/>
      <c r="BP139" s="3"/>
      <c r="BQ139" s="3"/>
      <c r="BR139" s="3"/>
    </row>
    <row r="140" spans="1:70" x14ac:dyDescent="0.3">
      <c r="A140" s="1" t="s">
        <v>81</v>
      </c>
      <c r="B140" s="2" t="s">
        <v>138</v>
      </c>
      <c r="C140" t="s">
        <v>89</v>
      </c>
      <c r="D140" s="5" t="s">
        <v>198</v>
      </c>
      <c r="E140" s="5" t="s">
        <v>93</v>
      </c>
      <c r="F140" s="17">
        <v>45243</v>
      </c>
      <c r="G140">
        <v>14</v>
      </c>
      <c r="H140" s="3">
        <v>21.5</v>
      </c>
      <c r="I140" s="3">
        <f t="shared" si="1"/>
        <v>21.04</v>
      </c>
      <c r="J140" s="3">
        <f t="shared" si="8"/>
        <v>1.3274999999999999</v>
      </c>
      <c r="K140" s="6">
        <f t="shared" si="3"/>
        <v>4992.9719783464561</v>
      </c>
      <c r="L140" s="4"/>
      <c r="M140" s="4"/>
      <c r="N140" s="4"/>
      <c r="O140" s="4"/>
      <c r="P140" s="7"/>
      <c r="Q140" s="6"/>
      <c r="R140" s="5"/>
      <c r="S140" s="4"/>
      <c r="T140" s="13"/>
      <c r="U140" s="13"/>
      <c r="V140" s="5"/>
      <c r="W140" s="5"/>
      <c r="X140" s="5"/>
      <c r="Y140" s="5"/>
      <c r="Z140" s="5"/>
      <c r="AA140" s="5"/>
      <c r="AB140" s="5"/>
      <c r="AC140" s="6"/>
      <c r="AD140" s="6"/>
      <c r="AF140" s="6"/>
      <c r="AG140" s="6"/>
      <c r="AH140" s="11"/>
      <c r="AI140" s="6"/>
      <c r="AJ140" s="6"/>
      <c r="AK140" s="6"/>
      <c r="AL140" s="6"/>
      <c r="AM140" s="6"/>
      <c r="AN140" s="6"/>
      <c r="AO140" s="12"/>
      <c r="AP140" s="7"/>
      <c r="AQ140" s="6"/>
      <c r="AV140" s="3"/>
      <c r="AW140" s="3"/>
      <c r="AX140" s="3"/>
      <c r="AY140" s="3"/>
      <c r="AZ140" s="4"/>
      <c r="BA140" s="4"/>
      <c r="BB140" s="4"/>
      <c r="BC140" s="4"/>
      <c r="BD140" s="4"/>
      <c r="BE140" s="3"/>
      <c r="BJ140" s="9"/>
      <c r="BK140" s="9"/>
      <c r="BL140" s="9"/>
      <c r="BM140" s="3"/>
      <c r="BN140" s="3"/>
      <c r="BO140" s="3"/>
      <c r="BP140" s="3"/>
      <c r="BQ140" s="3"/>
      <c r="BR140" s="3"/>
    </row>
    <row r="141" spans="1:70" x14ac:dyDescent="0.3">
      <c r="A141" s="1" t="s">
        <v>81</v>
      </c>
      <c r="B141" s="2" t="s">
        <v>139</v>
      </c>
      <c r="C141" t="s">
        <v>89</v>
      </c>
      <c r="D141" s="5" t="s">
        <v>199</v>
      </c>
      <c r="E141" s="5" t="s">
        <v>93</v>
      </c>
      <c r="F141" s="17">
        <v>45243</v>
      </c>
      <c r="G141">
        <v>14</v>
      </c>
      <c r="H141" s="3">
        <v>8.9</v>
      </c>
      <c r="I141" s="3">
        <f t="shared" si="1"/>
        <v>8.44</v>
      </c>
      <c r="J141" s="3">
        <f>($A$64-$A$47)*$A$75</f>
        <v>1.3274999999999999</v>
      </c>
      <c r="K141" s="6">
        <f t="shared" si="3"/>
        <v>2180.3444192913385</v>
      </c>
      <c r="L141" s="4"/>
      <c r="M141" s="4"/>
      <c r="N141" s="4"/>
      <c r="O141" s="4"/>
      <c r="P141" s="7"/>
      <c r="Q141" s="6"/>
      <c r="R141" s="5"/>
      <c r="S141" s="4"/>
      <c r="T141" s="13"/>
      <c r="U141" s="13"/>
      <c r="V141" s="5"/>
      <c r="W141" s="5"/>
      <c r="X141" s="5"/>
      <c r="Y141" s="5"/>
      <c r="Z141" s="5"/>
      <c r="AA141" s="5"/>
      <c r="AB141" s="5"/>
      <c r="AC141" s="6"/>
      <c r="AD141" s="6"/>
      <c r="AF141" s="6"/>
      <c r="AG141" s="6"/>
      <c r="AH141" s="11"/>
      <c r="AI141" s="6"/>
      <c r="AJ141" s="6"/>
      <c r="AK141" s="6"/>
      <c r="AL141" s="6"/>
      <c r="AM141" s="6"/>
      <c r="AN141" s="6"/>
      <c r="AO141" s="12"/>
      <c r="AP141" s="7"/>
      <c r="AQ141" s="6"/>
      <c r="AV141" s="3"/>
      <c r="AW141" s="3"/>
      <c r="AX141" s="3"/>
      <c r="AY141" s="3"/>
      <c r="AZ141" s="4"/>
      <c r="BA141" s="4"/>
      <c r="BB141" s="4"/>
      <c r="BC141" s="4"/>
      <c r="BD141" s="4"/>
      <c r="BE141" s="3"/>
      <c r="BJ141" s="9"/>
      <c r="BK141" s="9"/>
      <c r="BL141" s="9"/>
      <c r="BM141" s="3"/>
      <c r="BN141" s="3"/>
      <c r="BO141" s="3"/>
      <c r="BP141" s="3"/>
      <c r="BQ141" s="3"/>
      <c r="BR141" s="3"/>
    </row>
    <row r="142" spans="1:70" x14ac:dyDescent="0.3">
      <c r="A142" s="1" t="s">
        <v>81</v>
      </c>
      <c r="B142" s="2" t="s">
        <v>140</v>
      </c>
      <c r="C142" t="s">
        <v>89</v>
      </c>
      <c r="D142" s="5" t="s">
        <v>200</v>
      </c>
      <c r="E142" s="5" t="s">
        <v>93</v>
      </c>
      <c r="F142" s="17">
        <v>45243</v>
      </c>
      <c r="G142">
        <v>14</v>
      </c>
      <c r="H142" s="3">
        <v>17.899999999999999</v>
      </c>
      <c r="I142" s="3">
        <f t="shared" si="1"/>
        <v>17.439999999999998</v>
      </c>
      <c r="J142" s="3">
        <f t="shared" si="8"/>
        <v>1.3274999999999999</v>
      </c>
      <c r="K142" s="6">
        <f t="shared" si="3"/>
        <v>4189.364104330708</v>
      </c>
      <c r="L142" s="4"/>
      <c r="M142" s="4"/>
      <c r="N142" s="4"/>
      <c r="O142" s="4"/>
      <c r="P142" s="7"/>
      <c r="Q142" s="6"/>
      <c r="R142" s="5"/>
      <c r="S142" s="4"/>
      <c r="T142" s="13"/>
      <c r="U142" s="13"/>
      <c r="V142" s="5"/>
      <c r="W142" s="5"/>
      <c r="X142" s="5"/>
      <c r="Y142" s="5"/>
      <c r="Z142" s="5"/>
      <c r="AA142" s="5"/>
      <c r="AB142" s="5"/>
      <c r="AC142" s="6"/>
      <c r="AD142" s="6"/>
      <c r="AF142" s="6"/>
      <c r="AG142" s="6"/>
      <c r="AH142" s="11"/>
      <c r="AI142" s="6"/>
      <c r="AJ142" s="6"/>
      <c r="AK142" s="6"/>
      <c r="AL142" s="6"/>
      <c r="AM142" s="6"/>
      <c r="AN142" s="6"/>
      <c r="AO142" s="12"/>
      <c r="AP142" s="7"/>
      <c r="AQ142" s="6"/>
      <c r="AV142" s="3"/>
      <c r="AW142" s="3"/>
      <c r="AX142" s="3"/>
      <c r="AY142" s="3"/>
      <c r="AZ142" s="4"/>
      <c r="BA142" s="4"/>
      <c r="BB142" s="4"/>
      <c r="BC142" s="4"/>
      <c r="BD142" s="4"/>
      <c r="BE142" s="3"/>
      <c r="BJ142" s="9"/>
      <c r="BK142" s="9"/>
      <c r="BL142" s="9"/>
      <c r="BM142" s="3"/>
      <c r="BN142" s="3"/>
      <c r="BO142" s="3"/>
      <c r="BP142" s="3"/>
      <c r="BQ142" s="3"/>
      <c r="BR142" s="3"/>
    </row>
    <row r="143" spans="1:70" x14ac:dyDescent="0.3">
      <c r="A143" s="1" t="s">
        <v>81</v>
      </c>
      <c r="B143" s="2" t="s">
        <v>141</v>
      </c>
      <c r="C143" t="s">
        <v>89</v>
      </c>
      <c r="D143" s="5" t="s">
        <v>201</v>
      </c>
      <c r="E143" s="5" t="s">
        <v>93</v>
      </c>
      <c r="F143" s="17">
        <v>45243</v>
      </c>
      <c r="G143">
        <v>14</v>
      </c>
      <c r="H143" s="3">
        <v>19.3</v>
      </c>
      <c r="I143" s="3">
        <f t="shared" si="1"/>
        <v>18.84</v>
      </c>
      <c r="J143" s="3">
        <f t="shared" si="8"/>
        <v>1.3274999999999999</v>
      </c>
      <c r="K143" s="6">
        <f t="shared" si="3"/>
        <v>4501.8782775590553</v>
      </c>
      <c r="L143" s="4"/>
      <c r="M143" s="4"/>
      <c r="N143" s="4"/>
      <c r="O143" s="4"/>
      <c r="P143" s="7"/>
      <c r="Q143" s="6"/>
      <c r="R143" s="5"/>
      <c r="S143" s="4"/>
      <c r="T143" s="13"/>
      <c r="U143" s="13"/>
      <c r="V143" s="5"/>
      <c r="W143" s="5"/>
      <c r="X143" s="5"/>
      <c r="Y143" s="5"/>
      <c r="Z143" s="5"/>
      <c r="AA143" s="5"/>
      <c r="AB143" s="5"/>
      <c r="AC143" s="6"/>
      <c r="AD143" s="6"/>
      <c r="AF143" s="6"/>
      <c r="AG143" s="6"/>
      <c r="AH143" s="11"/>
      <c r="AI143" s="6"/>
      <c r="AJ143" s="6"/>
      <c r="AK143" s="6"/>
      <c r="AL143" s="6"/>
      <c r="AM143" s="6"/>
      <c r="AN143" s="6"/>
      <c r="AO143" s="12"/>
      <c r="AP143" s="7"/>
      <c r="AQ143" s="6"/>
      <c r="AV143" s="3"/>
      <c r="AW143" s="3"/>
      <c r="AX143" s="3"/>
      <c r="AY143" s="3"/>
      <c r="AZ143" s="4"/>
      <c r="BA143" s="4"/>
      <c r="BB143" s="4"/>
      <c r="BC143" s="4"/>
      <c r="BD143" s="4"/>
      <c r="BE143" s="3"/>
      <c r="BJ143" s="9"/>
      <c r="BK143" s="9"/>
      <c r="BL143" s="9"/>
      <c r="BM143" s="3"/>
      <c r="BN143" s="3"/>
      <c r="BO143" s="3"/>
      <c r="BP143" s="3"/>
      <c r="BQ143" s="3"/>
      <c r="BR143" s="3"/>
    </row>
    <row r="144" spans="1:70" x14ac:dyDescent="0.3">
      <c r="A144" s="1" t="s">
        <v>81</v>
      </c>
      <c r="B144" s="2" t="s">
        <v>142</v>
      </c>
      <c r="C144" t="s">
        <v>89</v>
      </c>
      <c r="D144" s="5" t="s">
        <v>202</v>
      </c>
      <c r="E144" s="5" t="s">
        <v>93</v>
      </c>
      <c r="F144" s="17">
        <v>45243</v>
      </c>
      <c r="G144">
        <v>14</v>
      </c>
      <c r="H144" s="3">
        <v>21.2</v>
      </c>
      <c r="I144" s="3">
        <f t="shared" si="1"/>
        <v>20.74</v>
      </c>
      <c r="J144" s="3">
        <f t="shared" si="8"/>
        <v>1.3274999999999999</v>
      </c>
      <c r="K144" s="6">
        <f t="shared" si="3"/>
        <v>4926.0046555118106</v>
      </c>
      <c r="L144" s="4"/>
      <c r="M144" s="4"/>
      <c r="N144" s="4"/>
      <c r="O144" s="4"/>
      <c r="P144" s="7"/>
      <c r="Q144" s="6"/>
      <c r="R144" s="5"/>
      <c r="S144" s="4"/>
      <c r="T144" s="13"/>
      <c r="U144" s="13"/>
      <c r="V144" s="5"/>
      <c r="W144" s="5"/>
      <c r="X144" s="5"/>
      <c r="Y144" s="5"/>
      <c r="Z144" s="5"/>
      <c r="AA144" s="5"/>
      <c r="AB144" s="5"/>
      <c r="AC144" s="6"/>
      <c r="AD144" s="6"/>
      <c r="AF144" s="6"/>
      <c r="AG144" s="6"/>
      <c r="AH144" s="11"/>
      <c r="AI144" s="6"/>
      <c r="AJ144" s="6"/>
      <c r="AK144" s="6"/>
      <c r="AL144" s="6"/>
      <c r="AM144" s="6"/>
      <c r="AN144" s="6"/>
      <c r="AO144" s="12"/>
      <c r="AP144" s="7"/>
      <c r="AQ144" s="6"/>
      <c r="AV144" s="3"/>
      <c r="AW144" s="3"/>
      <c r="AX144" s="3"/>
      <c r="AY144" s="3"/>
      <c r="AZ144" s="4"/>
      <c r="BA144" s="4"/>
      <c r="BB144" s="4"/>
      <c r="BC144" s="4"/>
      <c r="BD144" s="4"/>
      <c r="BE144" s="3"/>
      <c r="BJ144" s="9"/>
      <c r="BK144" s="9"/>
      <c r="BL144" s="9"/>
      <c r="BM144" s="3"/>
      <c r="BN144" s="3"/>
      <c r="BO144" s="3"/>
      <c r="BP144" s="3"/>
      <c r="BQ144" s="3"/>
      <c r="BR144" s="3"/>
    </row>
    <row r="145" spans="1:83" x14ac:dyDescent="0.3">
      <c r="A145" s="1" t="s">
        <v>81</v>
      </c>
      <c r="B145" s="2" t="s">
        <v>143</v>
      </c>
      <c r="C145" t="s">
        <v>89</v>
      </c>
      <c r="D145" s="5" t="s">
        <v>203</v>
      </c>
      <c r="E145" s="5" t="s">
        <v>93</v>
      </c>
      <c r="F145" s="17">
        <v>45243</v>
      </c>
      <c r="G145">
        <v>14</v>
      </c>
      <c r="H145" s="3">
        <v>12.8</v>
      </c>
      <c r="I145" s="3">
        <f t="shared" si="1"/>
        <v>12.34</v>
      </c>
      <c r="J145" s="3">
        <f t="shared" si="8"/>
        <v>1.3274999999999999</v>
      </c>
      <c r="K145" s="6">
        <f t="shared" si="3"/>
        <v>3050.9196161417321</v>
      </c>
      <c r="L145" s="4"/>
      <c r="M145" s="4"/>
      <c r="N145" s="4"/>
      <c r="O145" s="4"/>
      <c r="P145" s="7"/>
      <c r="Q145" s="6"/>
      <c r="R145" s="5"/>
      <c r="S145" s="4"/>
      <c r="T145" s="13"/>
      <c r="U145" s="13"/>
      <c r="V145" s="5"/>
      <c r="W145" s="5"/>
      <c r="X145" s="5"/>
      <c r="Y145" s="5"/>
      <c r="Z145" s="5"/>
      <c r="AA145" s="5"/>
      <c r="AB145" s="5"/>
      <c r="AC145" s="6"/>
      <c r="AD145" s="6"/>
      <c r="AF145" s="6"/>
      <c r="AG145" s="6"/>
      <c r="AH145" s="11"/>
      <c r="AI145" s="6"/>
      <c r="AJ145" s="6"/>
      <c r="AK145" s="6"/>
      <c r="AL145" s="6"/>
      <c r="AM145" s="6"/>
      <c r="AN145" s="6"/>
      <c r="AO145" s="12"/>
      <c r="AP145" s="7"/>
      <c r="AQ145" s="6"/>
      <c r="AV145" s="3"/>
      <c r="AW145" s="3"/>
      <c r="AX145" s="3"/>
      <c r="AY145" s="3"/>
      <c r="AZ145" s="4"/>
      <c r="BA145" s="4"/>
      <c r="BB145" s="4"/>
      <c r="BC145" s="4"/>
      <c r="BD145" s="4"/>
      <c r="BE145" s="3"/>
      <c r="BJ145" s="9"/>
      <c r="BK145" s="9"/>
      <c r="BL145" s="9"/>
      <c r="BM145" s="3"/>
      <c r="BN145" s="3"/>
      <c r="BO145" s="3"/>
      <c r="BP145" s="3"/>
      <c r="BQ145" s="3"/>
      <c r="BR145" s="3"/>
    </row>
    <row r="146" spans="1:83" x14ac:dyDescent="0.3">
      <c r="A146" s="2" t="s">
        <v>82</v>
      </c>
      <c r="B146" s="2" t="s">
        <v>80</v>
      </c>
      <c r="C146" t="s">
        <v>88</v>
      </c>
      <c r="D146" s="5" t="s">
        <v>204</v>
      </c>
      <c r="E146" s="5" t="s">
        <v>93</v>
      </c>
      <c r="F146" s="17">
        <v>45243</v>
      </c>
      <c r="G146">
        <v>3</v>
      </c>
      <c r="H146" s="3">
        <v>20.6</v>
      </c>
      <c r="I146" s="3">
        <f t="shared" si="1"/>
        <v>20.14</v>
      </c>
      <c r="J146" s="3">
        <f>($A$53-$A$47)*$A$75</f>
        <v>1.2462499999999999</v>
      </c>
      <c r="K146" s="6">
        <f t="shared" si="3"/>
        <v>4773.9330265748031</v>
      </c>
      <c r="L146" s="4"/>
      <c r="M146" s="4"/>
      <c r="N146" s="4"/>
      <c r="O146" s="4"/>
      <c r="P146" s="7"/>
      <c r="Q146" s="6"/>
      <c r="R146" s="5"/>
      <c r="S146" s="4"/>
      <c r="T146" s="13"/>
      <c r="U146" s="13"/>
      <c r="V146" s="5"/>
      <c r="W146" s="5"/>
      <c r="X146" s="5"/>
      <c r="Y146" s="5"/>
      <c r="Z146" s="5"/>
      <c r="AA146" s="5"/>
      <c r="AB146" s="5"/>
      <c r="AC146" s="6"/>
      <c r="AD146" s="6"/>
      <c r="AF146" s="6"/>
      <c r="AG146" s="6"/>
      <c r="AH146" s="11"/>
      <c r="AI146" s="6"/>
      <c r="AJ146" s="6"/>
      <c r="AK146" s="6"/>
      <c r="AL146" s="6"/>
      <c r="AM146" s="6"/>
      <c r="AN146" s="6"/>
      <c r="AO146" s="12"/>
      <c r="AP146" s="7"/>
      <c r="AQ146" s="6"/>
      <c r="AS146" s="4" t="s">
        <v>536</v>
      </c>
      <c r="AT146" s="4" t="str">
        <f>E146</f>
        <v>Machine</v>
      </c>
      <c r="AU146" s="15">
        <f>F146</f>
        <v>45243</v>
      </c>
      <c r="AV146" s="3">
        <f>SUM(H146:H175)</f>
        <v>580.70000000000005</v>
      </c>
      <c r="AW146" s="3">
        <f>AV146-24*$A$47</f>
        <v>569.66000000000008</v>
      </c>
      <c r="AX146" s="3">
        <f>SUM(J146:J175)</f>
        <v>43.856250000000003</v>
      </c>
      <c r="AY146" s="3">
        <f>(AW146+AX146)*$A$48/(30*$A$49)*$A$50</f>
        <v>4565.0600864501321</v>
      </c>
      <c r="AZ146" s="4">
        <f>SUM(L146:L175)</f>
        <v>17.649999999999999</v>
      </c>
      <c r="BA146" s="4">
        <f t="shared" ref="BA146" si="9">SUM(M146:M175)</f>
        <v>389.85</v>
      </c>
      <c r="BB146" s="4">
        <f t="shared" ref="BB146" si="10">SUM(N146:N175)</f>
        <v>372.2</v>
      </c>
      <c r="BC146" s="4">
        <f>SUM(O146:O175)</f>
        <v>352.08000000000004</v>
      </c>
      <c r="BD146" s="4">
        <f>(BB146-BC146)/BB146*100</f>
        <v>5.4056958624395346</v>
      </c>
      <c r="BE146" s="3">
        <f>AY146*(1-BD146/100)</f>
        <v>4318.2868222390189</v>
      </c>
      <c r="BF146" s="15">
        <v>45244</v>
      </c>
      <c r="BG146" s="4">
        <f>SUM(S146:S175)</f>
        <v>16.77</v>
      </c>
      <c r="BH146" s="13">
        <f>SUM(T146:T175)</f>
        <v>6.6549999999999994</v>
      </c>
      <c r="BI146" s="13">
        <f>SUM(U146:U175)</f>
        <v>10.96</v>
      </c>
      <c r="BJ146" s="9">
        <f>(BH146-2*$A$76)/(BG146-2*$A$47*$A$48)</f>
        <v>0.3724768220717346</v>
      </c>
      <c r="BK146" s="9">
        <f>(BI146-2*$A$77)/(BG146-2*$A$47*$A$48)</f>
        <v>0.46230910767728023</v>
      </c>
      <c r="BL146" s="9">
        <f>1-BJ146-BK146</f>
        <v>0.16521407025098517</v>
      </c>
      <c r="BM146" s="3">
        <f>AY146*BJ146</f>
        <v>1700.3790735674631</v>
      </c>
      <c r="BN146" s="3">
        <f>AY146*BK146</f>
        <v>2110.4688550599285</v>
      </c>
      <c r="BO146" s="3">
        <f>SUM(BM146:BN146)</f>
        <v>3810.8479286273914</v>
      </c>
      <c r="BP146" s="3">
        <f>BE146*BJ146</f>
        <v>1608.4617523418392</v>
      </c>
      <c r="BQ146" s="3">
        <f>BE146*BK146</f>
        <v>1996.3833274838789</v>
      </c>
      <c r="BR146" s="3">
        <f>SUM(BP146:BQ146)</f>
        <v>3604.8450798257181</v>
      </c>
      <c r="BT146" s="15">
        <v>45295</v>
      </c>
      <c r="BU146" s="3">
        <f>AVERAGE(AG146:AG175)</f>
        <v>48.3</v>
      </c>
      <c r="BV146" s="13">
        <f>AVERAGE(AH146:AH175)</f>
        <v>1.1145</v>
      </c>
      <c r="BW146" s="3">
        <f>AVERAGE(AI146:AI175)</f>
        <v>81.5</v>
      </c>
      <c r="BX146" s="3">
        <f>AVERAGE(AJ146:AJ175)</f>
        <v>29.049999999999997</v>
      </c>
      <c r="BY146" s="3">
        <f>AVERAGE(AK146:AK175)</f>
        <v>5.05</v>
      </c>
      <c r="BZ146" s="3">
        <f>AVERAGE(AL146:AL175)</f>
        <v>80.5</v>
      </c>
      <c r="CA146" s="3">
        <f>AVERAGE(AM146:AM175)</f>
        <v>8.6999999999999993</v>
      </c>
      <c r="CB146" s="3"/>
      <c r="CC146" s="10">
        <f>AVERAGE(AO146:AO175)</f>
        <v>12.5</v>
      </c>
      <c r="CD146" s="4">
        <f>AVERAGE(AP146:AP175)</f>
        <v>0.13</v>
      </c>
      <c r="CE146" s="3">
        <f>AVERAGE(AQ146:AQ175)</f>
        <v>10.15</v>
      </c>
    </row>
    <row r="147" spans="1:83" x14ac:dyDescent="0.3">
      <c r="A147" s="2" t="s">
        <v>82</v>
      </c>
      <c r="B147" s="2" t="s">
        <v>81</v>
      </c>
      <c r="C147" t="s">
        <v>88</v>
      </c>
      <c r="D147" s="5" t="s">
        <v>205</v>
      </c>
      <c r="E147" s="5" t="s">
        <v>93</v>
      </c>
      <c r="F147" s="17">
        <v>45243</v>
      </c>
      <c r="G147">
        <v>3</v>
      </c>
      <c r="H147" s="3">
        <v>17.399999999999999</v>
      </c>
      <c r="I147" s="3">
        <f t="shared" si="1"/>
        <v>16.939999999999998</v>
      </c>
      <c r="J147" s="3">
        <f t="shared" ref="J147:J160" si="11">($A$53-$A$47)*$A$75</f>
        <v>1.2462499999999999</v>
      </c>
      <c r="K147" s="6">
        <f t="shared" si="3"/>
        <v>4059.6149163385821</v>
      </c>
      <c r="L147" s="4"/>
      <c r="M147" s="4"/>
      <c r="N147" s="4"/>
      <c r="O147" s="4"/>
      <c r="P147" s="7"/>
      <c r="Q147" s="6"/>
      <c r="R147" s="5"/>
      <c r="S147" s="4"/>
      <c r="T147" s="13"/>
      <c r="U147" s="13"/>
      <c r="V147" s="5"/>
      <c r="W147" s="5"/>
      <c r="X147" s="5"/>
      <c r="Y147" s="5"/>
      <c r="Z147" s="5"/>
      <c r="AA147" s="5"/>
      <c r="AB147" s="5"/>
      <c r="AC147" s="6"/>
      <c r="AD147" s="6"/>
      <c r="AF147" s="6"/>
      <c r="AG147" s="6"/>
      <c r="AH147" s="11"/>
      <c r="AI147" s="6"/>
      <c r="AJ147" s="6"/>
      <c r="AK147" s="6"/>
      <c r="AL147" s="6"/>
      <c r="AM147" s="6"/>
      <c r="AN147" s="6"/>
      <c r="AO147" s="12"/>
      <c r="AP147" s="7"/>
      <c r="AQ147" s="6"/>
      <c r="AV147" s="3"/>
      <c r="AW147" s="3"/>
      <c r="AX147" s="3"/>
      <c r="AY147" s="3"/>
      <c r="AZ147" s="4"/>
      <c r="BA147" s="4"/>
      <c r="BB147" s="4"/>
      <c r="BC147" s="4"/>
      <c r="BD147" s="4"/>
      <c r="BE147" s="3"/>
      <c r="BJ147" s="9"/>
      <c r="BK147" s="9"/>
      <c r="BL147" s="9"/>
      <c r="BM147" s="3"/>
      <c r="BN147" s="3"/>
      <c r="BO147" s="3"/>
      <c r="BP147" s="3"/>
      <c r="BQ147" s="3"/>
      <c r="BR147" s="3"/>
    </row>
    <row r="148" spans="1:83" x14ac:dyDescent="0.3">
      <c r="A148" s="2" t="s">
        <v>82</v>
      </c>
      <c r="B148" s="2" t="s">
        <v>82</v>
      </c>
      <c r="C148" t="s">
        <v>88</v>
      </c>
      <c r="D148" s="5" t="s">
        <v>206</v>
      </c>
      <c r="E148" s="5" t="s">
        <v>93</v>
      </c>
      <c r="F148" s="17">
        <v>45243</v>
      </c>
      <c r="G148">
        <v>3</v>
      </c>
      <c r="H148" s="3">
        <v>21</v>
      </c>
      <c r="I148" s="3">
        <f t="shared" si="1"/>
        <v>20.54</v>
      </c>
      <c r="J148" s="3">
        <f t="shared" si="11"/>
        <v>1.2462499999999999</v>
      </c>
      <c r="K148" s="6">
        <f t="shared" si="3"/>
        <v>4863.2227903543298</v>
      </c>
      <c r="L148" s="4"/>
      <c r="M148" s="4"/>
      <c r="N148" s="4"/>
      <c r="O148" s="4"/>
      <c r="P148" s="7"/>
      <c r="Q148" s="6"/>
      <c r="R148" s="5"/>
      <c r="S148" s="4"/>
      <c r="T148" s="13"/>
      <c r="U148" s="13"/>
      <c r="V148" s="5"/>
      <c r="W148" s="5"/>
      <c r="X148" s="5"/>
      <c r="Y148" s="5"/>
      <c r="Z148" s="5"/>
      <c r="AA148" s="5"/>
      <c r="AB148" s="5"/>
      <c r="AC148" s="6"/>
      <c r="AD148" s="6"/>
      <c r="AF148" s="6"/>
      <c r="AG148" s="6"/>
      <c r="AH148" s="11"/>
      <c r="AI148" s="6"/>
      <c r="AJ148" s="6"/>
      <c r="AK148" s="6"/>
      <c r="AL148" s="6"/>
      <c r="AM148" s="6"/>
      <c r="AN148" s="6"/>
      <c r="AO148" s="12"/>
      <c r="AP148" s="7"/>
      <c r="AQ148" s="6"/>
      <c r="AV148" s="3"/>
      <c r="AW148" s="3"/>
      <c r="AX148" s="3"/>
      <c r="AY148" s="3"/>
      <c r="AZ148" s="4"/>
      <c r="BA148" s="4"/>
      <c r="BB148" s="4"/>
      <c r="BC148" s="4"/>
      <c r="BD148" s="4"/>
      <c r="BE148" s="3"/>
      <c r="BJ148" s="9"/>
      <c r="BK148" s="9"/>
      <c r="BL148" s="9"/>
      <c r="BM148" s="3"/>
      <c r="BN148" s="3"/>
      <c r="BO148" s="3"/>
      <c r="BP148" s="3"/>
      <c r="BQ148" s="3"/>
      <c r="BR148" s="3"/>
    </row>
    <row r="149" spans="1:83" x14ac:dyDescent="0.3">
      <c r="A149" s="2" t="s">
        <v>82</v>
      </c>
      <c r="B149" s="2" t="s">
        <v>83</v>
      </c>
      <c r="C149" t="s">
        <v>88</v>
      </c>
      <c r="D149" s="5" t="s">
        <v>207</v>
      </c>
      <c r="E149" s="5" t="s">
        <v>93</v>
      </c>
      <c r="F149" s="17">
        <v>45243</v>
      </c>
      <c r="G149">
        <v>3</v>
      </c>
      <c r="H149" s="3">
        <v>18.3</v>
      </c>
      <c r="I149" s="3">
        <f t="shared" si="1"/>
        <v>17.84</v>
      </c>
      <c r="J149" s="3">
        <f t="shared" si="11"/>
        <v>1.2462499999999999</v>
      </c>
      <c r="K149" s="6">
        <f t="shared" si="3"/>
        <v>4260.5168848425192</v>
      </c>
      <c r="L149" s="4"/>
      <c r="M149" s="4"/>
      <c r="N149" s="4"/>
      <c r="O149" s="4"/>
      <c r="P149" s="7"/>
      <c r="Q149" s="6"/>
      <c r="R149" s="5"/>
      <c r="S149" s="4"/>
      <c r="T149" s="13"/>
      <c r="U149" s="13"/>
      <c r="V149" s="5"/>
      <c r="W149" s="5"/>
      <c r="X149" s="5"/>
      <c r="Y149" s="5"/>
      <c r="Z149" s="5"/>
      <c r="AA149" s="5"/>
      <c r="AB149" s="5"/>
      <c r="AC149" s="6"/>
      <c r="AD149" s="6"/>
      <c r="AF149" s="6"/>
      <c r="AG149" s="6"/>
      <c r="AH149" s="11"/>
      <c r="AI149" s="6"/>
      <c r="AJ149" s="6"/>
      <c r="AK149" s="6"/>
      <c r="AL149" s="6"/>
      <c r="AM149" s="6"/>
      <c r="AN149" s="6"/>
      <c r="AO149" s="12"/>
      <c r="AP149" s="7"/>
      <c r="AQ149" s="6"/>
      <c r="AV149" s="3"/>
      <c r="AW149" s="3"/>
      <c r="AX149" s="3"/>
      <c r="AY149" s="3"/>
      <c r="AZ149" s="4"/>
      <c r="BA149" s="4"/>
      <c r="BB149" s="4"/>
      <c r="BC149" s="4"/>
      <c r="BD149" s="4"/>
      <c r="BE149" s="3"/>
      <c r="BJ149" s="9"/>
      <c r="BK149" s="9"/>
      <c r="BL149" s="9"/>
      <c r="BM149" s="3"/>
      <c r="BN149" s="3"/>
      <c r="BO149" s="3"/>
      <c r="BP149" s="3"/>
      <c r="BQ149" s="3"/>
      <c r="BR149" s="3"/>
    </row>
    <row r="150" spans="1:83" x14ac:dyDescent="0.3">
      <c r="A150" s="2" t="s">
        <v>82</v>
      </c>
      <c r="B150" s="2" t="s">
        <v>84</v>
      </c>
      <c r="C150" t="s">
        <v>88</v>
      </c>
      <c r="D150" s="5" t="s">
        <v>208</v>
      </c>
      <c r="E150" s="5" t="s">
        <v>93</v>
      </c>
      <c r="F150" s="17">
        <v>45243</v>
      </c>
      <c r="G150">
        <v>3</v>
      </c>
      <c r="H150" s="3">
        <v>20.9</v>
      </c>
      <c r="I150" s="3">
        <f t="shared" si="1"/>
        <v>20.439999999999998</v>
      </c>
      <c r="J150" s="3">
        <f t="shared" si="11"/>
        <v>1.2462499999999999</v>
      </c>
      <c r="K150" s="6">
        <f t="shared" si="3"/>
        <v>4840.9003494094486</v>
      </c>
      <c r="L150" s="4"/>
      <c r="M150" s="4"/>
      <c r="N150" s="4"/>
      <c r="O150" s="4"/>
      <c r="P150" s="7"/>
      <c r="Q150" s="6"/>
      <c r="R150" s="5"/>
      <c r="S150" s="4"/>
      <c r="T150" s="13"/>
      <c r="U150" s="13"/>
      <c r="V150" s="5"/>
      <c r="W150" s="5"/>
      <c r="X150" s="5"/>
      <c r="Y150" s="5"/>
      <c r="Z150" s="5"/>
      <c r="AA150" s="5"/>
      <c r="AB150" s="5"/>
      <c r="AC150" s="6"/>
      <c r="AD150" s="6"/>
      <c r="AF150" s="6"/>
      <c r="AG150" s="6"/>
      <c r="AH150" s="11"/>
      <c r="AI150" s="6"/>
      <c r="AJ150" s="6"/>
      <c r="AK150" s="6"/>
      <c r="AL150" s="6"/>
      <c r="AM150" s="6"/>
      <c r="AN150" s="6"/>
      <c r="AO150" s="12"/>
      <c r="AP150" s="7"/>
      <c r="AQ150" s="6"/>
      <c r="AV150" s="3"/>
      <c r="AW150" s="3"/>
      <c r="AX150" s="3"/>
      <c r="AY150" s="3"/>
      <c r="AZ150" s="4"/>
      <c r="BA150" s="4"/>
      <c r="BB150" s="4"/>
      <c r="BC150" s="4"/>
      <c r="BD150" s="4"/>
      <c r="BE150" s="3"/>
      <c r="BJ150" s="9"/>
      <c r="BK150" s="9"/>
      <c r="BL150" s="9"/>
      <c r="BM150" s="3"/>
      <c r="BN150" s="3"/>
      <c r="BO150" s="3"/>
      <c r="BP150" s="3"/>
      <c r="BQ150" s="3"/>
      <c r="BR150" s="3"/>
    </row>
    <row r="151" spans="1:83" x14ac:dyDescent="0.3">
      <c r="A151" s="2" t="s">
        <v>82</v>
      </c>
      <c r="B151" s="2" t="s">
        <v>85</v>
      </c>
      <c r="C151" t="s">
        <v>88</v>
      </c>
      <c r="D151" s="5" t="s">
        <v>209</v>
      </c>
      <c r="E151" s="5" t="s">
        <v>93</v>
      </c>
      <c r="F151" s="17">
        <v>45243</v>
      </c>
      <c r="G151">
        <v>3</v>
      </c>
      <c r="H151" s="3">
        <v>18.8</v>
      </c>
      <c r="I151" s="3">
        <f t="shared" ref="I151:I214" si="12">H151-$A$47</f>
        <v>18.34</v>
      </c>
      <c r="J151" s="3">
        <f t="shared" si="11"/>
        <v>1.2462499999999999</v>
      </c>
      <c r="K151" s="6">
        <f t="shared" ref="K151:K214" si="13">(I151+J151)*$A$48/$A$49*$A$50</f>
        <v>4372.129089566929</v>
      </c>
      <c r="L151" s="4"/>
      <c r="M151" s="4"/>
      <c r="N151" s="4"/>
      <c r="O151" s="4"/>
      <c r="P151" s="7"/>
      <c r="Q151" s="6"/>
      <c r="R151" s="5"/>
      <c r="S151" s="4"/>
      <c r="T151" s="13"/>
      <c r="U151" s="13"/>
      <c r="V151" s="5"/>
      <c r="W151" s="5"/>
      <c r="X151" s="5"/>
      <c r="Y151" s="5"/>
      <c r="Z151" s="5"/>
      <c r="AA151" s="5"/>
      <c r="AB151" s="5"/>
      <c r="AC151" s="6"/>
      <c r="AD151" s="6"/>
      <c r="AF151" s="6"/>
      <c r="AG151" s="6"/>
      <c r="AH151" s="11"/>
      <c r="AI151" s="6"/>
      <c r="AJ151" s="6"/>
      <c r="AK151" s="6"/>
      <c r="AL151" s="6"/>
      <c r="AM151" s="6"/>
      <c r="AN151" s="6"/>
      <c r="AO151" s="12"/>
      <c r="AP151" s="7"/>
      <c r="AQ151" s="6"/>
      <c r="AV151" s="3"/>
      <c r="AW151" s="3"/>
      <c r="AX151" s="3"/>
      <c r="AY151" s="3"/>
      <c r="AZ151" s="4"/>
      <c r="BA151" s="4"/>
      <c r="BB151" s="4"/>
      <c r="BC151" s="4"/>
      <c r="BD151" s="4"/>
      <c r="BE151" s="3"/>
      <c r="BJ151" s="9"/>
      <c r="BK151" s="9"/>
      <c r="BL151" s="9"/>
      <c r="BM151" s="3"/>
      <c r="BN151" s="3"/>
      <c r="BO151" s="3"/>
      <c r="BP151" s="3"/>
      <c r="BQ151" s="3"/>
      <c r="BR151" s="3"/>
    </row>
    <row r="152" spans="1:83" x14ac:dyDescent="0.3">
      <c r="A152" s="2" t="s">
        <v>82</v>
      </c>
      <c r="B152" s="2" t="s">
        <v>86</v>
      </c>
      <c r="C152" t="s">
        <v>88</v>
      </c>
      <c r="D152" s="5" t="s">
        <v>210</v>
      </c>
      <c r="E152" s="5" t="s">
        <v>93</v>
      </c>
      <c r="F152" s="17">
        <v>45243</v>
      </c>
      <c r="G152">
        <v>3</v>
      </c>
      <c r="H152" s="3">
        <v>20.2</v>
      </c>
      <c r="I152" s="3">
        <f t="shared" si="12"/>
        <v>19.739999999999998</v>
      </c>
      <c r="J152" s="3">
        <f t="shared" si="11"/>
        <v>1.2462499999999999</v>
      </c>
      <c r="K152" s="6">
        <f t="shared" si="13"/>
        <v>4684.6432627952745</v>
      </c>
      <c r="L152" s="4"/>
      <c r="M152" s="4"/>
      <c r="N152" s="4"/>
      <c r="O152" s="4"/>
      <c r="P152" s="7"/>
      <c r="Q152" s="6"/>
      <c r="R152" s="5"/>
      <c r="S152" s="4"/>
      <c r="T152" s="13"/>
      <c r="U152" s="13"/>
      <c r="V152" s="5"/>
      <c r="W152" s="5"/>
      <c r="X152" s="5"/>
      <c r="Y152" s="5"/>
      <c r="Z152" s="5"/>
      <c r="AA152" s="5"/>
      <c r="AB152" s="5"/>
      <c r="AC152" s="6"/>
      <c r="AD152" s="6"/>
      <c r="AF152" s="6"/>
      <c r="AG152" s="6"/>
      <c r="AH152" s="11"/>
      <c r="AI152" s="6"/>
      <c r="AJ152" s="6"/>
      <c r="AK152" s="6"/>
      <c r="AL152" s="6"/>
      <c r="AM152" s="6"/>
      <c r="AN152" s="6"/>
      <c r="AO152" s="12"/>
      <c r="AP152" s="7"/>
      <c r="AQ152" s="6"/>
      <c r="AV152" s="3"/>
      <c r="AW152" s="3"/>
      <c r="AX152" s="3"/>
      <c r="AY152" s="3"/>
      <c r="AZ152" s="4"/>
      <c r="BA152" s="4"/>
      <c r="BB152" s="4"/>
      <c r="BC152" s="4"/>
      <c r="BD152" s="4"/>
      <c r="BE152" s="3"/>
      <c r="BJ152" s="9"/>
      <c r="BK152" s="9"/>
      <c r="BL152" s="9"/>
      <c r="BM152" s="3"/>
      <c r="BN152" s="3"/>
      <c r="BO152" s="3"/>
      <c r="BP152" s="3"/>
      <c r="BQ152" s="3"/>
      <c r="BR152" s="3"/>
    </row>
    <row r="153" spans="1:83" x14ac:dyDescent="0.3">
      <c r="A153" s="2" t="s">
        <v>82</v>
      </c>
      <c r="B153" s="2" t="s">
        <v>87</v>
      </c>
      <c r="C153" t="s">
        <v>88</v>
      </c>
      <c r="D153" s="5" t="s">
        <v>211</v>
      </c>
      <c r="E153" s="5" t="s">
        <v>93</v>
      </c>
      <c r="F153" s="17">
        <v>45243</v>
      </c>
      <c r="G153">
        <v>3</v>
      </c>
      <c r="H153" s="3">
        <v>17.8</v>
      </c>
      <c r="I153" s="3">
        <f t="shared" si="12"/>
        <v>17.34</v>
      </c>
      <c r="J153" s="3">
        <f t="shared" si="11"/>
        <v>1.2462499999999999</v>
      </c>
      <c r="K153" s="6">
        <f t="shared" si="13"/>
        <v>4148.9046801181094</v>
      </c>
      <c r="L153" s="4">
        <v>8.84</v>
      </c>
      <c r="M153" s="4">
        <v>194.93</v>
      </c>
      <c r="N153" s="4">
        <v>186.09</v>
      </c>
      <c r="O153" s="4">
        <v>174.74</v>
      </c>
      <c r="P153" s="7">
        <f>(N153-O153)/N153*100</f>
        <v>6.0991993121607795</v>
      </c>
      <c r="Q153" s="6">
        <f>K153*(1-P153/100)</f>
        <v>3895.8547144061395</v>
      </c>
      <c r="R153" s="14">
        <v>45244</v>
      </c>
      <c r="S153" s="4">
        <v>7.84</v>
      </c>
      <c r="T153" s="13">
        <v>3.11</v>
      </c>
      <c r="U153" s="13">
        <v>5.1749999999999998</v>
      </c>
      <c r="V153" s="8">
        <f>(T153-$A$76)/(S153-$A$47*$A$48)</f>
        <v>0.37057674719912642</v>
      </c>
      <c r="W153" s="8">
        <f>(U153-$A$77)/(S153-$A$47*$A$48)</f>
        <v>0.4553586267740326</v>
      </c>
      <c r="X153" s="8">
        <f>1-V153-W153</f>
        <v>0.17406462602684103</v>
      </c>
      <c r="Y153" s="6">
        <f>K153*V153</f>
        <v>1537.487600797401</v>
      </c>
      <c r="Z153" s="6">
        <f>K153*W153</f>
        <v>1889.2395377549392</v>
      </c>
      <c r="AA153" s="6">
        <f>SUM(Y153:Z153)</f>
        <v>3426.72713855234</v>
      </c>
      <c r="AB153" s="6">
        <f>Q153*V153</f>
        <v>1443.7131676250087</v>
      </c>
      <c r="AC153" s="6">
        <f>Q153*W153</f>
        <v>1774.0110528631205</v>
      </c>
      <c r="AD153" s="6">
        <f>SUM(AB153:AC153)</f>
        <v>3217.7242204881295</v>
      </c>
      <c r="AE153" t="s">
        <v>541</v>
      </c>
      <c r="AF153" s="14">
        <v>45295</v>
      </c>
      <c r="AG153" s="6">
        <v>48.099999999999994</v>
      </c>
      <c r="AH153" s="11">
        <v>1.119</v>
      </c>
      <c r="AI153" s="6">
        <v>81.5</v>
      </c>
      <c r="AJ153" s="6">
        <v>29.4</v>
      </c>
      <c r="AK153" s="6">
        <v>5</v>
      </c>
      <c r="AL153" s="6">
        <v>80.3</v>
      </c>
      <c r="AM153" s="6">
        <v>8.8000000000000007</v>
      </c>
      <c r="AN153" s="6" t="s">
        <v>133</v>
      </c>
      <c r="AO153" s="12">
        <v>9</v>
      </c>
      <c r="AP153" s="7">
        <v>0.11</v>
      </c>
      <c r="AQ153" s="6">
        <v>9.8000000000000007</v>
      </c>
      <c r="AV153" s="3"/>
      <c r="AW153" s="3"/>
      <c r="AX153" s="3"/>
      <c r="AY153" s="3"/>
      <c r="AZ153" s="4"/>
      <c r="BA153" s="4"/>
      <c r="BB153" s="4"/>
      <c r="BC153" s="4"/>
      <c r="BD153" s="4"/>
      <c r="BE153" s="3"/>
      <c r="BJ153" s="9"/>
      <c r="BK153" s="9"/>
      <c r="BL153" s="9"/>
      <c r="BM153" s="3"/>
      <c r="BN153" s="3"/>
      <c r="BO153" s="3"/>
      <c r="BP153" s="3"/>
      <c r="BQ153" s="3"/>
      <c r="BR153" s="3"/>
    </row>
    <row r="154" spans="1:83" x14ac:dyDescent="0.3">
      <c r="A154" s="2" t="s">
        <v>82</v>
      </c>
      <c r="B154" s="2" t="s">
        <v>137</v>
      </c>
      <c r="C154" t="s">
        <v>88</v>
      </c>
      <c r="D154" s="5" t="s">
        <v>212</v>
      </c>
      <c r="E154" s="5" t="s">
        <v>93</v>
      </c>
      <c r="F154" s="17">
        <v>45243</v>
      </c>
      <c r="G154">
        <v>3</v>
      </c>
      <c r="H154" s="3">
        <v>17.8</v>
      </c>
      <c r="I154" s="3">
        <f t="shared" si="12"/>
        <v>17.34</v>
      </c>
      <c r="J154" s="3">
        <f t="shared" si="11"/>
        <v>1.2462499999999999</v>
      </c>
      <c r="K154" s="6">
        <f t="shared" si="13"/>
        <v>4148.9046801181094</v>
      </c>
      <c r="L154" s="4"/>
      <c r="M154" s="4"/>
      <c r="N154" s="4"/>
      <c r="O154" s="4"/>
      <c r="P154" s="7"/>
      <c r="Q154" s="6"/>
      <c r="R154" s="5"/>
      <c r="S154" s="4"/>
      <c r="T154" s="13"/>
      <c r="U154" s="13"/>
      <c r="V154" s="5"/>
      <c r="W154" s="5"/>
      <c r="X154" s="5"/>
      <c r="Y154" s="5"/>
      <c r="Z154" s="5"/>
      <c r="AA154" s="5"/>
      <c r="AB154" s="5"/>
      <c r="AC154" s="6"/>
      <c r="AD154" s="6"/>
      <c r="AF154" s="6"/>
      <c r="AG154" s="6"/>
      <c r="AH154" s="11"/>
      <c r="AI154" s="6"/>
      <c r="AJ154" s="6"/>
      <c r="AK154" s="6"/>
      <c r="AL154" s="6"/>
      <c r="AM154" s="6"/>
      <c r="AN154" s="6"/>
      <c r="AO154" s="12"/>
      <c r="AP154" s="7"/>
      <c r="AQ154" s="6"/>
      <c r="AV154" s="3"/>
      <c r="AW154" s="3"/>
      <c r="AX154" s="3"/>
      <c r="AY154" s="3"/>
      <c r="AZ154" s="4"/>
      <c r="BA154" s="4"/>
      <c r="BB154" s="4"/>
      <c r="BC154" s="4"/>
      <c r="BD154" s="4"/>
      <c r="BE154" s="3"/>
      <c r="BJ154" s="9"/>
      <c r="BK154" s="9"/>
      <c r="BL154" s="9"/>
      <c r="BM154" s="3"/>
      <c r="BN154" s="3"/>
      <c r="BO154" s="3"/>
      <c r="BP154" s="3"/>
      <c r="BQ154" s="3"/>
      <c r="BR154" s="3"/>
    </row>
    <row r="155" spans="1:83" x14ac:dyDescent="0.3">
      <c r="A155" s="2" t="s">
        <v>82</v>
      </c>
      <c r="B155" s="2" t="s">
        <v>138</v>
      </c>
      <c r="C155" t="s">
        <v>88</v>
      </c>
      <c r="D155" s="5" t="s">
        <v>213</v>
      </c>
      <c r="E155" s="5" t="s">
        <v>93</v>
      </c>
      <c r="F155" s="17">
        <v>45243</v>
      </c>
      <c r="G155">
        <v>3</v>
      </c>
      <c r="H155" s="3">
        <v>20.7</v>
      </c>
      <c r="I155" s="3">
        <f t="shared" si="12"/>
        <v>20.239999999999998</v>
      </c>
      <c r="J155" s="3">
        <f t="shared" si="11"/>
        <v>1.2462499999999999</v>
      </c>
      <c r="K155" s="6">
        <f t="shared" si="13"/>
        <v>4796.2554675196843</v>
      </c>
      <c r="L155" s="4"/>
      <c r="M155" s="4"/>
      <c r="N155" s="4"/>
      <c r="O155" s="4"/>
      <c r="P155" s="7"/>
      <c r="Q155" s="6"/>
      <c r="R155" s="5"/>
      <c r="S155" s="4"/>
      <c r="T155" s="13"/>
      <c r="U155" s="13"/>
      <c r="V155" s="5"/>
      <c r="W155" s="5"/>
      <c r="X155" s="5"/>
      <c r="Y155" s="5"/>
      <c r="Z155" s="5"/>
      <c r="AA155" s="5"/>
      <c r="AB155" s="5"/>
      <c r="AC155" s="6"/>
      <c r="AD155" s="6"/>
      <c r="AF155" s="6"/>
      <c r="AG155" s="6"/>
      <c r="AH155" s="11"/>
      <c r="AI155" s="6"/>
      <c r="AJ155" s="6"/>
      <c r="AK155" s="6"/>
      <c r="AL155" s="6"/>
      <c r="AM155" s="6"/>
      <c r="AN155" s="6"/>
      <c r="AO155" s="12"/>
      <c r="AP155" s="7"/>
      <c r="AQ155" s="6"/>
      <c r="AV155" s="3"/>
      <c r="AW155" s="3"/>
      <c r="AX155" s="3"/>
      <c r="AY155" s="3"/>
      <c r="AZ155" s="4"/>
      <c r="BA155" s="4"/>
      <c r="BB155" s="4"/>
      <c r="BC155" s="4"/>
      <c r="BD155" s="4"/>
      <c r="BE155" s="3"/>
      <c r="BJ155" s="9"/>
      <c r="BK155" s="9"/>
      <c r="BL155" s="9"/>
      <c r="BM155" s="3"/>
      <c r="BN155" s="3"/>
      <c r="BO155" s="3"/>
      <c r="BP155" s="3"/>
      <c r="BQ155" s="3"/>
      <c r="BR155" s="3"/>
    </row>
    <row r="156" spans="1:83" x14ac:dyDescent="0.3">
      <c r="A156" s="2" t="s">
        <v>82</v>
      </c>
      <c r="B156" s="2" t="s">
        <v>139</v>
      </c>
      <c r="C156" t="s">
        <v>88</v>
      </c>
      <c r="D156" s="5" t="s">
        <v>214</v>
      </c>
      <c r="E156" s="5" t="s">
        <v>93</v>
      </c>
      <c r="F156" s="17">
        <v>45243</v>
      </c>
      <c r="G156">
        <v>3</v>
      </c>
      <c r="H156" s="3">
        <v>17.399999999999999</v>
      </c>
      <c r="I156" s="3">
        <f t="shared" si="12"/>
        <v>16.939999999999998</v>
      </c>
      <c r="J156" s="3">
        <f t="shared" si="11"/>
        <v>1.2462499999999999</v>
      </c>
      <c r="K156" s="6">
        <f t="shared" si="13"/>
        <v>4059.6149163385821</v>
      </c>
      <c r="L156" s="4"/>
      <c r="M156" s="4"/>
      <c r="N156" s="4"/>
      <c r="O156" s="4"/>
      <c r="P156" s="7"/>
      <c r="Q156" s="6"/>
      <c r="R156" s="5"/>
      <c r="S156" s="4"/>
      <c r="T156" s="13"/>
      <c r="U156" s="13"/>
      <c r="V156" s="5"/>
      <c r="W156" s="5"/>
      <c r="X156" s="5"/>
      <c r="Y156" s="5"/>
      <c r="Z156" s="5"/>
      <c r="AA156" s="5"/>
      <c r="AB156" s="5"/>
      <c r="AC156" s="6"/>
      <c r="AD156" s="6"/>
      <c r="AF156" s="6"/>
      <c r="AG156" s="6"/>
      <c r="AH156" s="11"/>
      <c r="AI156" s="6"/>
      <c r="AJ156" s="6"/>
      <c r="AK156" s="6"/>
      <c r="AL156" s="6"/>
      <c r="AM156" s="6"/>
      <c r="AN156" s="6"/>
      <c r="AO156" s="12"/>
      <c r="AP156" s="7"/>
      <c r="AQ156" s="6"/>
      <c r="AV156" s="3"/>
      <c r="AW156" s="3"/>
      <c r="AX156" s="3"/>
      <c r="AY156" s="3"/>
      <c r="AZ156" s="4"/>
      <c r="BA156" s="4"/>
      <c r="BB156" s="4"/>
      <c r="BC156" s="4"/>
      <c r="BD156" s="4"/>
      <c r="BE156" s="3"/>
      <c r="BJ156" s="9"/>
      <c r="BK156" s="9"/>
      <c r="BL156" s="9"/>
      <c r="BM156" s="3"/>
      <c r="BN156" s="3"/>
      <c r="BO156" s="3"/>
      <c r="BP156" s="3"/>
      <c r="BQ156" s="3"/>
      <c r="BR156" s="3"/>
    </row>
    <row r="157" spans="1:83" x14ac:dyDescent="0.3">
      <c r="A157" s="2" t="s">
        <v>82</v>
      </c>
      <c r="B157" s="2" t="s">
        <v>140</v>
      </c>
      <c r="C157" t="s">
        <v>88</v>
      </c>
      <c r="D157" s="5" t="s">
        <v>215</v>
      </c>
      <c r="E157" s="5" t="s">
        <v>93</v>
      </c>
      <c r="F157" s="17">
        <v>45243</v>
      </c>
      <c r="G157">
        <v>3</v>
      </c>
      <c r="H157" s="3">
        <v>22</v>
      </c>
      <c r="I157" s="3">
        <f t="shared" si="12"/>
        <v>21.54</v>
      </c>
      <c r="J157" s="3">
        <f t="shared" si="11"/>
        <v>1.2462499999999999</v>
      </c>
      <c r="K157" s="6">
        <f t="shared" si="13"/>
        <v>5086.4471998031495</v>
      </c>
      <c r="L157" s="4"/>
      <c r="M157" s="4"/>
      <c r="N157" s="4"/>
      <c r="O157" s="4"/>
      <c r="P157" s="7"/>
      <c r="Q157" s="6"/>
      <c r="R157" s="5"/>
      <c r="S157" s="4"/>
      <c r="T157" s="13"/>
      <c r="U157" s="13"/>
      <c r="V157" s="5"/>
      <c r="W157" s="5"/>
      <c r="X157" s="5"/>
      <c r="Y157" s="5"/>
      <c r="Z157" s="5"/>
      <c r="AA157" s="5"/>
      <c r="AB157" s="5"/>
      <c r="AC157" s="6"/>
      <c r="AD157" s="6"/>
      <c r="AF157" s="6"/>
      <c r="AG157" s="6"/>
      <c r="AH157" s="11"/>
      <c r="AI157" s="6"/>
      <c r="AJ157" s="6"/>
      <c r="AK157" s="6"/>
      <c r="AL157" s="6"/>
      <c r="AM157" s="6"/>
      <c r="AN157" s="6"/>
      <c r="AO157" s="12"/>
      <c r="AP157" s="7"/>
      <c r="AQ157" s="6"/>
      <c r="AV157" s="3"/>
      <c r="AW157" s="3"/>
      <c r="AX157" s="3"/>
      <c r="AY157" s="3"/>
      <c r="AZ157" s="4"/>
      <c r="BA157" s="4"/>
      <c r="BB157" s="4"/>
      <c r="BC157" s="4"/>
      <c r="BD157" s="4"/>
      <c r="BE157" s="3"/>
      <c r="BJ157" s="9"/>
      <c r="BK157" s="9"/>
      <c r="BL157" s="9"/>
      <c r="BM157" s="3"/>
      <c r="BN157" s="3"/>
      <c r="BO157" s="3"/>
      <c r="BP157" s="3"/>
      <c r="BQ157" s="3"/>
      <c r="BR157" s="3"/>
    </row>
    <row r="158" spans="1:83" x14ac:dyDescent="0.3">
      <c r="A158" s="2" t="s">
        <v>82</v>
      </c>
      <c r="B158" s="2" t="s">
        <v>141</v>
      </c>
      <c r="C158" t="s">
        <v>88</v>
      </c>
      <c r="D158" s="5" t="s">
        <v>216</v>
      </c>
      <c r="E158" s="5" t="s">
        <v>93</v>
      </c>
      <c r="F158" s="17">
        <v>45243</v>
      </c>
      <c r="G158">
        <v>3</v>
      </c>
      <c r="H158" s="3">
        <v>19.8</v>
      </c>
      <c r="I158" s="3">
        <f t="shared" si="12"/>
        <v>19.34</v>
      </c>
      <c r="J158" s="3">
        <f t="shared" si="11"/>
        <v>1.2462499999999999</v>
      </c>
      <c r="K158" s="6">
        <f t="shared" si="13"/>
        <v>4595.3534990157477</v>
      </c>
      <c r="L158" s="4"/>
      <c r="M158" s="4"/>
      <c r="N158" s="4"/>
      <c r="O158" s="4"/>
      <c r="P158" s="7"/>
      <c r="Q158" s="6"/>
      <c r="R158" s="5"/>
      <c r="S158" s="4"/>
      <c r="T158" s="13"/>
      <c r="U158" s="13"/>
      <c r="V158" s="5"/>
      <c r="W158" s="5"/>
      <c r="X158" s="5"/>
      <c r="Y158" s="5"/>
      <c r="Z158" s="5"/>
      <c r="AA158" s="5"/>
      <c r="AB158" s="5"/>
      <c r="AC158" s="6"/>
      <c r="AD158" s="6"/>
      <c r="AF158" s="6"/>
      <c r="AG158" s="6"/>
      <c r="AH158" s="11"/>
      <c r="AI158" s="6"/>
      <c r="AJ158" s="6"/>
      <c r="AK158" s="6"/>
      <c r="AL158" s="6"/>
      <c r="AM158" s="6"/>
      <c r="AN158" s="6"/>
      <c r="AO158" s="12"/>
      <c r="AP158" s="7"/>
      <c r="AQ158" s="6"/>
      <c r="AV158" s="3"/>
      <c r="AW158" s="3"/>
      <c r="AX158" s="3"/>
      <c r="AY158" s="3"/>
      <c r="AZ158" s="4"/>
      <c r="BA158" s="4"/>
      <c r="BB158" s="4"/>
      <c r="BC158" s="4"/>
      <c r="BD158" s="4"/>
      <c r="BE158" s="3"/>
      <c r="BJ158" s="9"/>
      <c r="BK158" s="9"/>
      <c r="BL158" s="9"/>
      <c r="BM158" s="3"/>
      <c r="BN158" s="3"/>
      <c r="BO158" s="3"/>
      <c r="BP158" s="3"/>
      <c r="BQ158" s="3"/>
      <c r="BR158" s="3"/>
    </row>
    <row r="159" spans="1:83" x14ac:dyDescent="0.3">
      <c r="A159" s="2" t="s">
        <v>82</v>
      </c>
      <c r="B159" s="2" t="s">
        <v>142</v>
      </c>
      <c r="C159" t="s">
        <v>88</v>
      </c>
      <c r="D159" s="5" t="s">
        <v>217</v>
      </c>
      <c r="E159" s="5" t="s">
        <v>93</v>
      </c>
      <c r="F159" s="17">
        <v>45243</v>
      </c>
      <c r="G159">
        <v>3</v>
      </c>
      <c r="H159" s="3">
        <v>19.5</v>
      </c>
      <c r="I159" s="3">
        <f t="shared" si="12"/>
        <v>19.04</v>
      </c>
      <c r="J159" s="3">
        <f t="shared" si="11"/>
        <v>1.2462499999999999</v>
      </c>
      <c r="K159" s="6">
        <f t="shared" si="13"/>
        <v>4528.3861761811022</v>
      </c>
      <c r="L159" s="4"/>
      <c r="M159" s="4"/>
      <c r="N159" s="4"/>
      <c r="O159" s="4"/>
      <c r="P159" s="7"/>
      <c r="Q159" s="6"/>
      <c r="R159" s="5"/>
      <c r="S159" s="4"/>
      <c r="T159" s="13"/>
      <c r="U159" s="13"/>
      <c r="V159" s="5"/>
      <c r="W159" s="5"/>
      <c r="X159" s="5"/>
      <c r="Y159" s="5"/>
      <c r="Z159" s="5"/>
      <c r="AA159" s="5"/>
      <c r="AB159" s="5"/>
      <c r="AC159" s="6"/>
      <c r="AD159" s="6"/>
      <c r="AF159" s="6"/>
      <c r="AG159" s="6"/>
      <c r="AH159" s="11"/>
      <c r="AI159" s="6"/>
      <c r="AJ159" s="6"/>
      <c r="AK159" s="6"/>
      <c r="AL159" s="6"/>
      <c r="AM159" s="6"/>
      <c r="AN159" s="6"/>
      <c r="AO159" s="12"/>
      <c r="AP159" s="7"/>
      <c r="AQ159" s="6"/>
      <c r="AV159" s="3"/>
      <c r="AW159" s="3"/>
      <c r="AX159" s="3"/>
      <c r="AY159" s="3"/>
      <c r="AZ159" s="4"/>
      <c r="BA159" s="4"/>
      <c r="BB159" s="4"/>
      <c r="BC159" s="4"/>
      <c r="BD159" s="4"/>
      <c r="BE159" s="3"/>
      <c r="BJ159" s="9"/>
      <c r="BK159" s="9"/>
      <c r="BL159" s="9"/>
      <c r="BM159" s="3"/>
      <c r="BN159" s="3"/>
      <c r="BO159" s="3"/>
      <c r="BP159" s="3"/>
      <c r="BQ159" s="3"/>
      <c r="BR159" s="3"/>
    </row>
    <row r="160" spans="1:83" x14ac:dyDescent="0.3">
      <c r="A160" s="2" t="s">
        <v>82</v>
      </c>
      <c r="B160" s="2" t="s">
        <v>143</v>
      </c>
      <c r="C160" t="s">
        <v>88</v>
      </c>
      <c r="D160" s="5" t="s">
        <v>218</v>
      </c>
      <c r="E160" s="5" t="s">
        <v>93</v>
      </c>
      <c r="F160" s="17">
        <v>45243</v>
      </c>
      <c r="G160">
        <v>3</v>
      </c>
      <c r="H160" s="3">
        <v>19.5</v>
      </c>
      <c r="I160" s="3">
        <f t="shared" si="12"/>
        <v>19.04</v>
      </c>
      <c r="J160" s="3">
        <f t="shared" si="11"/>
        <v>1.2462499999999999</v>
      </c>
      <c r="K160" s="6">
        <f t="shared" si="13"/>
        <v>4528.3861761811022</v>
      </c>
      <c r="L160" s="4"/>
      <c r="M160" s="4"/>
      <c r="N160" s="4"/>
      <c r="O160" s="4"/>
      <c r="P160" s="7"/>
      <c r="Q160" s="6"/>
      <c r="R160" s="5"/>
      <c r="S160" s="4"/>
      <c r="T160" s="13"/>
      <c r="U160" s="13"/>
      <c r="V160" s="5"/>
      <c r="W160" s="5"/>
      <c r="X160" s="5"/>
      <c r="Y160" s="5"/>
      <c r="Z160" s="5"/>
      <c r="AA160" s="5"/>
      <c r="AB160" s="5"/>
      <c r="AC160" s="6"/>
      <c r="AD160" s="6"/>
      <c r="AF160" s="6"/>
      <c r="AG160" s="6"/>
      <c r="AH160" s="11"/>
      <c r="AI160" s="6"/>
      <c r="AJ160" s="6"/>
      <c r="AK160" s="6"/>
      <c r="AL160" s="6"/>
      <c r="AM160" s="6"/>
      <c r="AN160" s="6"/>
      <c r="AO160" s="12"/>
      <c r="AP160" s="7"/>
      <c r="AQ160" s="6"/>
      <c r="AV160" s="3"/>
      <c r="AW160" s="3"/>
      <c r="AX160" s="3"/>
      <c r="AY160" s="3"/>
      <c r="AZ160" s="4"/>
      <c r="BA160" s="4"/>
      <c r="BB160" s="4"/>
      <c r="BC160" s="4"/>
      <c r="BD160" s="4"/>
      <c r="BE160" s="3"/>
      <c r="BJ160" s="9"/>
      <c r="BK160" s="9"/>
      <c r="BL160" s="9"/>
      <c r="BM160" s="3"/>
      <c r="BN160" s="3"/>
      <c r="BO160" s="3"/>
      <c r="BP160" s="3"/>
      <c r="BQ160" s="3"/>
      <c r="BR160" s="3"/>
    </row>
    <row r="161" spans="1:83" x14ac:dyDescent="0.3">
      <c r="A161" s="2" t="s">
        <v>82</v>
      </c>
      <c r="B161" s="2" t="s">
        <v>80</v>
      </c>
      <c r="C161" t="s">
        <v>89</v>
      </c>
      <c r="D161" s="5" t="s">
        <v>219</v>
      </c>
      <c r="E161" s="5" t="s">
        <v>93</v>
      </c>
      <c r="F161" s="17">
        <v>45243</v>
      </c>
      <c r="G161">
        <v>15</v>
      </c>
      <c r="H161" s="3">
        <v>20.5</v>
      </c>
      <c r="I161" s="3">
        <f t="shared" si="12"/>
        <v>20.04</v>
      </c>
      <c r="J161" s="3">
        <f>($A$65-$A$47)*$A$75</f>
        <v>1.6775</v>
      </c>
      <c r="K161" s="6">
        <f t="shared" si="13"/>
        <v>4847.8761122047235</v>
      </c>
      <c r="L161" s="4"/>
      <c r="M161" s="4"/>
      <c r="N161" s="4"/>
      <c r="O161" s="4"/>
      <c r="P161" s="7"/>
      <c r="Q161" s="6"/>
      <c r="R161" s="5"/>
      <c r="S161" s="4"/>
      <c r="T161" s="13"/>
      <c r="U161" s="13"/>
      <c r="V161" s="5"/>
      <c r="W161" s="5"/>
      <c r="X161" s="5"/>
      <c r="Y161" s="5"/>
      <c r="Z161" s="5"/>
      <c r="AA161" s="5"/>
      <c r="AB161" s="5"/>
      <c r="AC161" s="6"/>
      <c r="AD161" s="6"/>
      <c r="AF161" s="6"/>
      <c r="AG161" s="6"/>
      <c r="AH161" s="11"/>
      <c r="AI161" s="6"/>
      <c r="AJ161" s="6"/>
      <c r="AK161" s="6"/>
      <c r="AL161" s="6"/>
      <c r="AM161" s="6"/>
      <c r="AN161" s="6"/>
      <c r="AO161" s="12"/>
      <c r="AP161" s="7"/>
      <c r="AQ161" s="6"/>
      <c r="AV161" s="3"/>
      <c r="AW161" s="3"/>
      <c r="AX161" s="3"/>
      <c r="AY161" s="3"/>
      <c r="AZ161" s="4"/>
      <c r="BA161" s="4"/>
      <c r="BB161" s="4"/>
      <c r="BC161" s="4"/>
      <c r="BD161" s="4"/>
      <c r="BE161" s="3"/>
      <c r="BJ161" s="9"/>
      <c r="BK161" s="9"/>
      <c r="BL161" s="9"/>
      <c r="BM161" s="3"/>
      <c r="BN161" s="3"/>
      <c r="BO161" s="3"/>
      <c r="BP161" s="3"/>
      <c r="BQ161" s="3"/>
      <c r="BR161" s="3"/>
    </row>
    <row r="162" spans="1:83" x14ac:dyDescent="0.3">
      <c r="A162" s="2" t="s">
        <v>82</v>
      </c>
      <c r="B162" s="2" t="s">
        <v>81</v>
      </c>
      <c r="C162" t="s">
        <v>89</v>
      </c>
      <c r="D162" s="5" t="s">
        <v>220</v>
      </c>
      <c r="E162" s="5" t="s">
        <v>93</v>
      </c>
      <c r="F162" s="17">
        <v>45243</v>
      </c>
      <c r="G162">
        <v>15</v>
      </c>
      <c r="H162" s="3">
        <v>17.100000000000001</v>
      </c>
      <c r="I162" s="3">
        <f t="shared" si="12"/>
        <v>16.64</v>
      </c>
      <c r="J162" s="3">
        <f t="shared" ref="J162:J175" si="14">($A$65-$A$47)*$A$75</f>
        <v>1.6775</v>
      </c>
      <c r="K162" s="6">
        <f t="shared" si="13"/>
        <v>4088.9131200787397</v>
      </c>
      <c r="L162" s="4"/>
      <c r="M162" s="4"/>
      <c r="N162" s="4"/>
      <c r="O162" s="4"/>
      <c r="P162" s="7"/>
      <c r="Q162" s="6"/>
      <c r="R162" s="5"/>
      <c r="S162" s="4"/>
      <c r="T162" s="13"/>
      <c r="U162" s="13"/>
      <c r="V162" s="5"/>
      <c r="W162" s="5"/>
      <c r="X162" s="5"/>
      <c r="Y162" s="5"/>
      <c r="Z162" s="5"/>
      <c r="AA162" s="5"/>
      <c r="AB162" s="5"/>
      <c r="AC162" s="6"/>
      <c r="AD162" s="6"/>
      <c r="AF162" s="6"/>
      <c r="AG162" s="6"/>
      <c r="AH162" s="11"/>
      <c r="AI162" s="6"/>
      <c r="AJ162" s="6"/>
      <c r="AK162" s="6"/>
      <c r="AL162" s="6"/>
      <c r="AM162" s="6"/>
      <c r="AN162" s="6"/>
      <c r="AO162" s="12"/>
      <c r="AP162" s="7"/>
      <c r="AQ162" s="6"/>
      <c r="AV162" s="3"/>
      <c r="AW162" s="3"/>
      <c r="AX162" s="3"/>
      <c r="AY162" s="3"/>
      <c r="AZ162" s="4"/>
      <c r="BA162" s="4"/>
      <c r="BB162" s="4"/>
      <c r="BC162" s="4"/>
      <c r="BD162" s="4"/>
      <c r="BE162" s="3"/>
      <c r="BJ162" s="9"/>
      <c r="BK162" s="9"/>
      <c r="BL162" s="9"/>
      <c r="BM162" s="3"/>
      <c r="BN162" s="3"/>
      <c r="BO162" s="3"/>
      <c r="BP162" s="3"/>
      <c r="BQ162" s="3"/>
      <c r="BR162" s="3"/>
    </row>
    <row r="163" spans="1:83" x14ac:dyDescent="0.3">
      <c r="A163" s="2" t="s">
        <v>82</v>
      </c>
      <c r="B163" s="2" t="s">
        <v>82</v>
      </c>
      <c r="C163" t="s">
        <v>89</v>
      </c>
      <c r="D163" s="5" t="s">
        <v>221</v>
      </c>
      <c r="E163" s="5" t="s">
        <v>93</v>
      </c>
      <c r="F163" s="17">
        <v>45243</v>
      </c>
      <c r="G163">
        <v>15</v>
      </c>
      <c r="H163" s="3">
        <v>19</v>
      </c>
      <c r="I163" s="3">
        <f t="shared" si="12"/>
        <v>18.54</v>
      </c>
      <c r="J163" s="3">
        <f t="shared" si="14"/>
        <v>1.6775</v>
      </c>
      <c r="K163" s="6">
        <f t="shared" si="13"/>
        <v>4513.039498031495</v>
      </c>
      <c r="L163" s="4"/>
      <c r="M163" s="4"/>
      <c r="N163" s="4"/>
      <c r="O163" s="4"/>
      <c r="P163" s="7"/>
      <c r="Q163" s="6"/>
      <c r="R163" s="5"/>
      <c r="S163" s="4"/>
      <c r="T163" s="13"/>
      <c r="U163" s="13"/>
      <c r="V163" s="5"/>
      <c r="W163" s="5"/>
      <c r="X163" s="5"/>
      <c r="Y163" s="5"/>
      <c r="Z163" s="5"/>
      <c r="AA163" s="5"/>
      <c r="AB163" s="5"/>
      <c r="AC163" s="6"/>
      <c r="AD163" s="6"/>
      <c r="AF163" s="6"/>
      <c r="AG163" s="6"/>
      <c r="AH163" s="11"/>
      <c r="AI163" s="6"/>
      <c r="AJ163" s="6"/>
      <c r="AK163" s="6"/>
      <c r="AL163" s="6"/>
      <c r="AM163" s="6"/>
      <c r="AN163" s="6"/>
      <c r="AO163" s="12"/>
      <c r="AP163" s="7"/>
      <c r="AQ163" s="6"/>
      <c r="AV163" s="3"/>
      <c r="AW163" s="3"/>
      <c r="AX163" s="3"/>
      <c r="AY163" s="3"/>
      <c r="AZ163" s="4"/>
      <c r="BA163" s="4"/>
      <c r="BB163" s="4"/>
      <c r="BC163" s="4"/>
      <c r="BD163" s="4"/>
      <c r="BE163" s="3"/>
      <c r="BJ163" s="9"/>
      <c r="BK163" s="9"/>
      <c r="BL163" s="9"/>
      <c r="BM163" s="3"/>
      <c r="BN163" s="3"/>
      <c r="BO163" s="3"/>
      <c r="BP163" s="3"/>
      <c r="BQ163" s="3"/>
      <c r="BR163" s="3"/>
    </row>
    <row r="164" spans="1:83" x14ac:dyDescent="0.3">
      <c r="A164" s="2" t="s">
        <v>82</v>
      </c>
      <c r="B164" s="2" t="s">
        <v>83</v>
      </c>
      <c r="C164" t="s">
        <v>89</v>
      </c>
      <c r="D164" s="5" t="s">
        <v>222</v>
      </c>
      <c r="E164" s="5" t="s">
        <v>93</v>
      </c>
      <c r="F164" s="17">
        <v>45243</v>
      </c>
      <c r="G164">
        <v>15</v>
      </c>
      <c r="H164" s="3">
        <v>23.4</v>
      </c>
      <c r="I164" s="3">
        <f t="shared" si="12"/>
        <v>22.939999999999998</v>
      </c>
      <c r="J164" s="3">
        <f t="shared" si="14"/>
        <v>1.6775</v>
      </c>
      <c r="K164" s="6">
        <f t="shared" si="13"/>
        <v>5495.2268996062985</v>
      </c>
      <c r="L164" s="4"/>
      <c r="M164" s="4"/>
      <c r="N164" s="4"/>
      <c r="O164" s="4"/>
      <c r="P164" s="7"/>
      <c r="Q164" s="6"/>
      <c r="R164" s="5"/>
      <c r="S164" s="4"/>
      <c r="T164" s="13"/>
      <c r="U164" s="13"/>
      <c r="V164" s="5"/>
      <c r="W164" s="5"/>
      <c r="X164" s="5"/>
      <c r="Y164" s="5"/>
      <c r="Z164" s="5"/>
      <c r="AA164" s="5"/>
      <c r="AB164" s="5"/>
      <c r="AC164" s="6"/>
      <c r="AD164" s="6"/>
      <c r="AF164" s="6"/>
      <c r="AG164" s="6"/>
      <c r="AH164" s="11"/>
      <c r="AI164" s="6"/>
      <c r="AJ164" s="6"/>
      <c r="AK164" s="6"/>
      <c r="AL164" s="6"/>
      <c r="AM164" s="6"/>
      <c r="AN164" s="6"/>
      <c r="AO164" s="12"/>
      <c r="AP164" s="7"/>
      <c r="AQ164" s="6"/>
      <c r="AV164" s="3"/>
      <c r="AW164" s="3"/>
      <c r="AX164" s="3"/>
      <c r="AY164" s="3"/>
      <c r="AZ164" s="4"/>
      <c r="BA164" s="4"/>
      <c r="BB164" s="4"/>
      <c r="BC164" s="4"/>
      <c r="BD164" s="4"/>
      <c r="BE164" s="3"/>
      <c r="BJ164" s="9"/>
      <c r="BK164" s="9"/>
      <c r="BL164" s="9"/>
      <c r="BM164" s="3"/>
      <c r="BN164" s="3"/>
      <c r="BO164" s="3"/>
      <c r="BP164" s="3"/>
      <c r="BQ164" s="3"/>
      <c r="BR164" s="3"/>
    </row>
    <row r="165" spans="1:83" x14ac:dyDescent="0.3">
      <c r="A165" s="2" t="s">
        <v>82</v>
      </c>
      <c r="B165" s="2" t="s">
        <v>84</v>
      </c>
      <c r="C165" t="s">
        <v>89</v>
      </c>
      <c r="D165" s="5" t="s">
        <v>223</v>
      </c>
      <c r="E165" s="5" t="s">
        <v>93</v>
      </c>
      <c r="F165" s="17">
        <v>45243</v>
      </c>
      <c r="G165">
        <v>15</v>
      </c>
      <c r="H165" s="3">
        <v>20.9</v>
      </c>
      <c r="I165" s="3">
        <f t="shared" si="12"/>
        <v>20.439999999999998</v>
      </c>
      <c r="J165" s="3">
        <f t="shared" si="14"/>
        <v>1.6775</v>
      </c>
      <c r="K165" s="6">
        <f t="shared" si="13"/>
        <v>4937.1658759842503</v>
      </c>
      <c r="L165" s="4"/>
      <c r="M165" s="4"/>
      <c r="N165" s="4"/>
      <c r="O165" s="4"/>
      <c r="P165" s="7"/>
      <c r="Q165" s="6"/>
      <c r="R165" s="5"/>
      <c r="S165" s="4"/>
      <c r="T165" s="13"/>
      <c r="U165" s="13"/>
      <c r="V165" s="5"/>
      <c r="W165" s="5"/>
      <c r="X165" s="5"/>
      <c r="Y165" s="5"/>
      <c r="Z165" s="5"/>
      <c r="AA165" s="5"/>
      <c r="AB165" s="5"/>
      <c r="AC165" s="6"/>
      <c r="AD165" s="6"/>
      <c r="AF165" s="6"/>
      <c r="AG165" s="6"/>
      <c r="AH165" s="11"/>
      <c r="AI165" s="6"/>
      <c r="AJ165" s="6"/>
      <c r="AK165" s="6"/>
      <c r="AL165" s="6"/>
      <c r="AM165" s="6"/>
      <c r="AN165" s="6"/>
      <c r="AO165" s="12"/>
      <c r="AP165" s="7"/>
      <c r="AQ165" s="6"/>
      <c r="AV165" s="3"/>
      <c r="AW165" s="3"/>
      <c r="AX165" s="3"/>
      <c r="AY165" s="3"/>
      <c r="AZ165" s="4"/>
      <c r="BA165" s="4"/>
      <c r="BB165" s="4"/>
      <c r="BC165" s="4"/>
      <c r="BD165" s="4"/>
      <c r="BE165" s="3"/>
      <c r="BJ165" s="9"/>
      <c r="BK165" s="9"/>
      <c r="BL165" s="9"/>
      <c r="BM165" s="3"/>
      <c r="BN165" s="3"/>
      <c r="BO165" s="3"/>
      <c r="BP165" s="3"/>
      <c r="BQ165" s="3"/>
      <c r="BR165" s="3"/>
    </row>
    <row r="166" spans="1:83" x14ac:dyDescent="0.3">
      <c r="A166" s="2" t="s">
        <v>82</v>
      </c>
      <c r="B166" s="2" t="s">
        <v>85</v>
      </c>
      <c r="C166" t="s">
        <v>89</v>
      </c>
      <c r="D166" s="5" t="s">
        <v>224</v>
      </c>
      <c r="E166" s="5" t="s">
        <v>93</v>
      </c>
      <c r="F166" s="17">
        <v>45243</v>
      </c>
      <c r="G166">
        <v>15</v>
      </c>
      <c r="H166" s="3">
        <v>18.8</v>
      </c>
      <c r="I166" s="3">
        <f t="shared" si="12"/>
        <v>18.34</v>
      </c>
      <c r="J166" s="3">
        <f t="shared" si="14"/>
        <v>1.6775</v>
      </c>
      <c r="K166" s="6">
        <f t="shared" si="13"/>
        <v>4468.3946161417316</v>
      </c>
      <c r="L166" s="4"/>
      <c r="M166" s="4"/>
      <c r="N166" s="4"/>
      <c r="O166" s="4"/>
      <c r="P166" s="7"/>
      <c r="Q166" s="6"/>
      <c r="R166" s="5"/>
      <c r="S166" s="4"/>
      <c r="T166" s="13"/>
      <c r="U166" s="13"/>
      <c r="V166" s="5"/>
      <c r="W166" s="5"/>
      <c r="X166" s="5"/>
      <c r="Y166" s="5"/>
      <c r="Z166" s="5"/>
      <c r="AA166" s="5"/>
      <c r="AB166" s="5"/>
      <c r="AC166" s="6"/>
      <c r="AD166" s="6"/>
      <c r="AF166" s="6"/>
      <c r="AG166" s="6"/>
      <c r="AH166" s="11"/>
      <c r="AI166" s="6"/>
      <c r="AJ166" s="6"/>
      <c r="AK166" s="6"/>
      <c r="AL166" s="6"/>
      <c r="AM166" s="6"/>
      <c r="AN166" s="6"/>
      <c r="AO166" s="12"/>
      <c r="AP166" s="7"/>
      <c r="AQ166" s="6"/>
      <c r="AV166" s="3"/>
      <c r="AW166" s="3"/>
      <c r="AX166" s="3"/>
      <c r="AY166" s="3"/>
      <c r="AZ166" s="4"/>
      <c r="BA166" s="4"/>
      <c r="BB166" s="4"/>
      <c r="BC166" s="4"/>
      <c r="BD166" s="4"/>
      <c r="BE166" s="3"/>
      <c r="BJ166" s="9"/>
      <c r="BK166" s="9"/>
      <c r="BL166" s="9"/>
      <c r="BM166" s="3"/>
      <c r="BN166" s="3"/>
      <c r="BO166" s="3"/>
      <c r="BP166" s="3"/>
      <c r="BQ166" s="3"/>
      <c r="BR166" s="3"/>
    </row>
    <row r="167" spans="1:83" x14ac:dyDescent="0.3">
      <c r="A167" s="2" t="s">
        <v>82</v>
      </c>
      <c r="B167" s="2" t="s">
        <v>86</v>
      </c>
      <c r="C167" t="s">
        <v>89</v>
      </c>
      <c r="D167" s="5" t="s">
        <v>225</v>
      </c>
      <c r="E167" s="5" t="s">
        <v>93</v>
      </c>
      <c r="F167" s="17">
        <v>45243</v>
      </c>
      <c r="G167">
        <v>15</v>
      </c>
      <c r="H167" s="3">
        <v>19.5</v>
      </c>
      <c r="I167" s="3">
        <f t="shared" si="12"/>
        <v>19.04</v>
      </c>
      <c r="J167" s="3">
        <f t="shared" si="14"/>
        <v>1.6775</v>
      </c>
      <c r="K167" s="6">
        <f t="shared" si="13"/>
        <v>4624.6517027559048</v>
      </c>
      <c r="L167" s="4"/>
      <c r="M167" s="4"/>
      <c r="N167" s="4"/>
      <c r="O167" s="4"/>
      <c r="P167" s="7"/>
      <c r="Q167" s="6"/>
      <c r="R167" s="5"/>
      <c r="S167" s="4"/>
      <c r="T167" s="13"/>
      <c r="U167" s="13"/>
      <c r="V167" s="5"/>
      <c r="W167" s="5"/>
      <c r="X167" s="5"/>
      <c r="Y167" s="5"/>
      <c r="Z167" s="5"/>
      <c r="AA167" s="5"/>
      <c r="AB167" s="5"/>
      <c r="AC167" s="6"/>
      <c r="AD167" s="6"/>
      <c r="AF167" s="6"/>
      <c r="AG167" s="6"/>
      <c r="AH167" s="11"/>
      <c r="AI167" s="6"/>
      <c r="AJ167" s="6"/>
      <c r="AK167" s="6"/>
      <c r="AL167" s="6"/>
      <c r="AM167" s="6"/>
      <c r="AN167" s="6"/>
      <c r="AO167" s="12"/>
      <c r="AP167" s="7"/>
      <c r="AQ167" s="6"/>
      <c r="AV167" s="3"/>
      <c r="AW167" s="3"/>
      <c r="AX167" s="3"/>
      <c r="AY167" s="3"/>
      <c r="AZ167" s="4"/>
      <c r="BA167" s="4"/>
      <c r="BB167" s="4"/>
      <c r="BC167" s="4"/>
      <c r="BD167" s="4"/>
      <c r="BE167" s="3"/>
      <c r="BJ167" s="9"/>
      <c r="BK167" s="9"/>
      <c r="BL167" s="9"/>
      <c r="BM167" s="3"/>
      <c r="BN167" s="3"/>
      <c r="BO167" s="3"/>
      <c r="BP167" s="3"/>
      <c r="BQ167" s="3"/>
      <c r="BR167" s="3"/>
    </row>
    <row r="168" spans="1:83" x14ac:dyDescent="0.3">
      <c r="A168" s="2" t="s">
        <v>82</v>
      </c>
      <c r="B168" s="2" t="s">
        <v>87</v>
      </c>
      <c r="C168" t="s">
        <v>89</v>
      </c>
      <c r="D168" s="5" t="s">
        <v>226</v>
      </c>
      <c r="E168" s="5" t="s">
        <v>93</v>
      </c>
      <c r="F168" s="17">
        <v>45243</v>
      </c>
      <c r="G168">
        <v>15</v>
      </c>
      <c r="H168" s="3">
        <v>20</v>
      </c>
      <c r="I168" s="3">
        <f t="shared" si="12"/>
        <v>19.54</v>
      </c>
      <c r="J168" s="3">
        <f t="shared" si="14"/>
        <v>1.6775</v>
      </c>
      <c r="K168" s="6">
        <f t="shared" si="13"/>
        <v>4736.2639074803146</v>
      </c>
      <c r="L168" s="4">
        <v>8.81</v>
      </c>
      <c r="M168" s="4">
        <v>194.92</v>
      </c>
      <c r="N168" s="4">
        <v>186.10999999999999</v>
      </c>
      <c r="O168" s="4">
        <v>177.34</v>
      </c>
      <c r="P168" s="7">
        <f>(N168-O168)/N168*100</f>
        <v>4.7122669389070886</v>
      </c>
      <c r="Q168" s="6">
        <f>K168*(1-P168/100)</f>
        <v>4513.0785092287306</v>
      </c>
      <c r="R168" s="14">
        <v>45244</v>
      </c>
      <c r="S168" s="4">
        <v>8.93</v>
      </c>
      <c r="T168" s="13">
        <v>3.5449999999999999</v>
      </c>
      <c r="U168" s="13">
        <v>5.7850000000000001</v>
      </c>
      <c r="V168" s="8">
        <f>(T168-$A$76)/(S168-$A$47*$A$48)</f>
        <v>0.37413942428677494</v>
      </c>
      <c r="W168" s="8">
        <f>(U168-$A$77)/(S168-$A$47*$A$48)</f>
        <v>0.46839091272187422</v>
      </c>
      <c r="X168" s="8">
        <f>1-V168-W168</f>
        <v>0.15746966299135084</v>
      </c>
      <c r="Y168" s="6">
        <f>K168*V168</f>
        <v>1772.0230516149161</v>
      </c>
      <c r="Z168" s="6">
        <f>K168*W168</f>
        <v>2218.4229745163748</v>
      </c>
      <c r="AA168" s="6">
        <f>SUM(Y168:Z168)</f>
        <v>3990.4460261312906</v>
      </c>
      <c r="AB168" s="6">
        <f>Q168*V168</f>
        <v>1688.5205952038536</v>
      </c>
      <c r="AC168" s="6">
        <f>Q168*W168</f>
        <v>2113.8849621231207</v>
      </c>
      <c r="AD168" s="6">
        <f>SUM(AB168:AC168)</f>
        <v>3802.4055573269743</v>
      </c>
      <c r="AE168" t="s">
        <v>542</v>
      </c>
      <c r="AF168" s="14">
        <v>45295</v>
      </c>
      <c r="AG168" s="6">
        <v>48.5</v>
      </c>
      <c r="AH168" s="11">
        <v>1.1100000000000001</v>
      </c>
      <c r="AI168" s="6">
        <v>81.5</v>
      </c>
      <c r="AJ168" s="6">
        <v>28.7</v>
      </c>
      <c r="AK168" s="6">
        <v>5.0999999999999996</v>
      </c>
      <c r="AL168" s="6">
        <v>80.7</v>
      </c>
      <c r="AM168" s="6">
        <v>8.6</v>
      </c>
      <c r="AN168" s="6" t="s">
        <v>133</v>
      </c>
      <c r="AO168" s="12">
        <v>16</v>
      </c>
      <c r="AP168" s="7">
        <v>0.15</v>
      </c>
      <c r="AQ168" s="6">
        <v>10.5</v>
      </c>
      <c r="AV168" s="3"/>
      <c r="AW168" s="3"/>
      <c r="AX168" s="3"/>
      <c r="AY168" s="3"/>
      <c r="AZ168" s="4"/>
      <c r="BA168" s="4"/>
      <c r="BB168" s="4"/>
      <c r="BC168" s="4"/>
      <c r="BD168" s="4"/>
      <c r="BE168" s="3"/>
      <c r="BJ168" s="9"/>
      <c r="BK168" s="9"/>
      <c r="BL168" s="9"/>
      <c r="BM168" s="3"/>
      <c r="BN168" s="3"/>
      <c r="BO168" s="3"/>
      <c r="BP168" s="3"/>
      <c r="BQ168" s="3"/>
      <c r="BR168" s="3"/>
    </row>
    <row r="169" spans="1:83" x14ac:dyDescent="0.3">
      <c r="A169" s="2" t="s">
        <v>82</v>
      </c>
      <c r="B169" s="2" t="s">
        <v>137</v>
      </c>
      <c r="C169" t="s">
        <v>89</v>
      </c>
      <c r="D169" s="5" t="s">
        <v>227</v>
      </c>
      <c r="E169" s="5" t="s">
        <v>93</v>
      </c>
      <c r="F169" s="17">
        <v>45243</v>
      </c>
      <c r="G169">
        <v>15</v>
      </c>
      <c r="H169" s="3">
        <v>21</v>
      </c>
      <c r="I169" s="3">
        <f t="shared" si="12"/>
        <v>20.54</v>
      </c>
      <c r="J169" s="3">
        <f t="shared" si="14"/>
        <v>1.6775</v>
      </c>
      <c r="K169" s="6">
        <f t="shared" si="13"/>
        <v>4959.4883169291334</v>
      </c>
      <c r="L169" s="4"/>
      <c r="M169" s="4"/>
      <c r="N169" s="4"/>
      <c r="O169" s="4"/>
      <c r="P169" s="7"/>
      <c r="Q169" s="6"/>
      <c r="R169" s="5"/>
      <c r="S169" s="4"/>
      <c r="T169" s="13"/>
      <c r="U169" s="13"/>
      <c r="V169" s="5"/>
      <c r="W169" s="5"/>
      <c r="X169" s="5"/>
      <c r="Y169" s="5"/>
      <c r="Z169" s="5"/>
      <c r="AA169" s="5"/>
      <c r="AB169" s="5"/>
      <c r="AC169" s="6"/>
      <c r="AD169" s="6"/>
      <c r="AF169" s="6"/>
      <c r="AG169" s="6"/>
      <c r="AH169" s="11"/>
      <c r="AI169" s="6"/>
      <c r="AJ169" s="6"/>
      <c r="AK169" s="6"/>
      <c r="AL169" s="6"/>
      <c r="AM169" s="6"/>
      <c r="AN169" s="6"/>
      <c r="AO169" s="12"/>
      <c r="AP169" s="7"/>
      <c r="AQ169" s="6"/>
      <c r="AS169" s="4"/>
      <c r="AV169" s="3"/>
      <c r="AW169" s="3"/>
      <c r="AX169" s="3"/>
      <c r="AY169" s="3"/>
      <c r="AZ169" s="4"/>
      <c r="BA169" s="4"/>
      <c r="BB169" s="4"/>
      <c r="BC169" s="4"/>
      <c r="BD169" s="4"/>
      <c r="BE169" s="3"/>
      <c r="BJ169" s="9"/>
      <c r="BK169" s="9"/>
      <c r="BL169" s="9"/>
      <c r="BM169" s="3"/>
      <c r="BN169" s="3"/>
      <c r="BO169" s="3"/>
      <c r="BP169" s="3"/>
      <c r="BQ169" s="3"/>
      <c r="BR169" s="3"/>
    </row>
    <row r="170" spans="1:83" x14ac:dyDescent="0.3">
      <c r="A170" s="2" t="s">
        <v>82</v>
      </c>
      <c r="B170" s="2" t="s">
        <v>138</v>
      </c>
      <c r="C170" t="s">
        <v>89</v>
      </c>
      <c r="D170" s="5" t="s">
        <v>228</v>
      </c>
      <c r="E170" s="5" t="s">
        <v>93</v>
      </c>
      <c r="F170" s="17">
        <v>45243</v>
      </c>
      <c r="G170">
        <v>15</v>
      </c>
      <c r="H170" s="3">
        <v>19.8</v>
      </c>
      <c r="I170" s="3">
        <f t="shared" si="12"/>
        <v>19.34</v>
      </c>
      <c r="J170" s="3">
        <f t="shared" si="14"/>
        <v>1.6775</v>
      </c>
      <c r="K170" s="6">
        <f t="shared" si="13"/>
        <v>4691.6190255905503</v>
      </c>
      <c r="L170" s="4"/>
      <c r="M170" s="4"/>
      <c r="N170" s="4"/>
      <c r="O170" s="4"/>
      <c r="P170" s="7"/>
      <c r="Q170" s="6"/>
      <c r="R170" s="5"/>
      <c r="S170" s="4"/>
      <c r="T170" s="13"/>
      <c r="U170" s="13"/>
      <c r="V170" s="5"/>
      <c r="W170" s="5"/>
      <c r="X170" s="5"/>
      <c r="Y170" s="5"/>
      <c r="Z170" s="5"/>
      <c r="AA170" s="5"/>
      <c r="AB170" s="5"/>
      <c r="AC170" s="6"/>
      <c r="AD170" s="6"/>
      <c r="AF170" s="6"/>
      <c r="AG170" s="6"/>
      <c r="AH170" s="11"/>
      <c r="AI170" s="6"/>
      <c r="AJ170" s="6"/>
      <c r="AK170" s="6"/>
      <c r="AL170" s="6"/>
      <c r="AM170" s="6"/>
      <c r="AN170" s="6"/>
      <c r="AO170" s="12"/>
      <c r="AP170" s="7"/>
      <c r="AQ170" s="6"/>
      <c r="AV170" s="3"/>
      <c r="AW170" s="3"/>
      <c r="AX170" s="3"/>
      <c r="AY170" s="3"/>
      <c r="AZ170" s="4"/>
      <c r="BA170" s="4"/>
      <c r="BB170" s="4"/>
      <c r="BC170" s="4"/>
      <c r="BD170" s="4"/>
      <c r="BE170" s="3"/>
      <c r="BJ170" s="9"/>
      <c r="BK170" s="9"/>
      <c r="BL170" s="9"/>
      <c r="BM170" s="3"/>
      <c r="BN170" s="3"/>
      <c r="BO170" s="3"/>
      <c r="BP170" s="3"/>
      <c r="BQ170" s="3"/>
      <c r="BR170" s="3"/>
    </row>
    <row r="171" spans="1:83" x14ac:dyDescent="0.3">
      <c r="A171" s="2" t="s">
        <v>82</v>
      </c>
      <c r="B171" s="2" t="s">
        <v>139</v>
      </c>
      <c r="C171" t="s">
        <v>89</v>
      </c>
      <c r="D171" s="5" t="s">
        <v>229</v>
      </c>
      <c r="E171" s="5" t="s">
        <v>93</v>
      </c>
      <c r="F171" s="17">
        <v>45243</v>
      </c>
      <c r="G171">
        <v>15</v>
      </c>
      <c r="H171" s="3">
        <v>16.7</v>
      </c>
      <c r="I171" s="3">
        <f t="shared" si="12"/>
        <v>16.239999999999998</v>
      </c>
      <c r="J171" s="3">
        <f t="shared" si="14"/>
        <v>1.6775</v>
      </c>
      <c r="K171" s="6">
        <f t="shared" si="13"/>
        <v>3999.6233562992124</v>
      </c>
      <c r="L171" s="4"/>
      <c r="M171" s="4"/>
      <c r="N171" s="4"/>
      <c r="O171" s="4"/>
      <c r="P171" s="7"/>
      <c r="Q171" s="6"/>
      <c r="R171" s="5"/>
      <c r="S171" s="4"/>
      <c r="T171" s="13"/>
      <c r="U171" s="13"/>
      <c r="V171" s="5"/>
      <c r="W171" s="5"/>
      <c r="X171" s="5"/>
      <c r="Y171" s="5"/>
      <c r="Z171" s="5"/>
      <c r="AA171" s="5"/>
      <c r="AB171" s="5"/>
      <c r="AC171" s="6"/>
      <c r="AD171" s="6"/>
      <c r="AF171" s="6"/>
      <c r="AG171" s="6"/>
      <c r="AH171" s="11"/>
      <c r="AI171" s="6"/>
      <c r="AJ171" s="6"/>
      <c r="AK171" s="6"/>
      <c r="AL171" s="6"/>
      <c r="AM171" s="6"/>
      <c r="AN171" s="6"/>
      <c r="AO171" s="12"/>
      <c r="AP171" s="7"/>
      <c r="AQ171" s="6"/>
      <c r="AV171" s="3"/>
      <c r="AW171" s="3"/>
      <c r="AX171" s="3"/>
      <c r="AY171" s="3"/>
      <c r="AZ171" s="4"/>
      <c r="BA171" s="4"/>
      <c r="BB171" s="4"/>
      <c r="BC171" s="4"/>
      <c r="BD171" s="4"/>
      <c r="BE171" s="3"/>
      <c r="BJ171" s="9"/>
      <c r="BK171" s="9"/>
      <c r="BL171" s="9"/>
      <c r="BM171" s="3"/>
      <c r="BN171" s="3"/>
      <c r="BO171" s="3"/>
      <c r="BP171" s="3"/>
      <c r="BQ171" s="3"/>
      <c r="BR171" s="3"/>
    </row>
    <row r="172" spans="1:83" x14ac:dyDescent="0.3">
      <c r="A172" s="2" t="s">
        <v>82</v>
      </c>
      <c r="B172" s="2" t="s">
        <v>140</v>
      </c>
      <c r="C172" t="s">
        <v>89</v>
      </c>
      <c r="D172" s="5" t="s">
        <v>230</v>
      </c>
      <c r="E172" s="5" t="s">
        <v>93</v>
      </c>
      <c r="F172" s="17">
        <v>45243</v>
      </c>
      <c r="G172">
        <v>15</v>
      </c>
      <c r="H172" s="3">
        <v>19.8</v>
      </c>
      <c r="I172" s="3">
        <f t="shared" si="12"/>
        <v>19.34</v>
      </c>
      <c r="J172" s="3">
        <f t="shared" si="14"/>
        <v>1.6775</v>
      </c>
      <c r="K172" s="6">
        <f t="shared" si="13"/>
        <v>4691.6190255905503</v>
      </c>
      <c r="L172" s="4"/>
      <c r="M172" s="4"/>
      <c r="N172" s="4"/>
      <c r="O172" s="4"/>
      <c r="P172" s="7"/>
      <c r="Q172" s="6"/>
      <c r="R172" s="5"/>
      <c r="S172" s="4"/>
      <c r="T172" s="13"/>
      <c r="U172" s="13"/>
      <c r="V172" s="5"/>
      <c r="W172" s="5"/>
      <c r="X172" s="5"/>
      <c r="Y172" s="5"/>
      <c r="Z172" s="5"/>
      <c r="AA172" s="5"/>
      <c r="AB172" s="5"/>
      <c r="AC172" s="6"/>
      <c r="AD172" s="6"/>
      <c r="AF172" s="6"/>
      <c r="AG172" s="6"/>
      <c r="AH172" s="11"/>
      <c r="AI172" s="6"/>
      <c r="AJ172" s="6"/>
      <c r="AK172" s="6"/>
      <c r="AL172" s="6"/>
      <c r="AM172" s="6"/>
      <c r="AN172" s="6"/>
      <c r="AO172" s="12"/>
      <c r="AP172" s="7"/>
      <c r="AQ172" s="6"/>
      <c r="AV172" s="3"/>
      <c r="AW172" s="3"/>
      <c r="AX172" s="3"/>
      <c r="AY172" s="3"/>
      <c r="AZ172" s="4"/>
      <c r="BA172" s="4"/>
      <c r="BB172" s="4"/>
      <c r="BC172" s="4"/>
      <c r="BD172" s="4"/>
      <c r="BE172" s="3"/>
      <c r="BJ172" s="9"/>
      <c r="BK172" s="9"/>
      <c r="BL172" s="9"/>
      <c r="BM172" s="3"/>
      <c r="BN172" s="3"/>
      <c r="BO172" s="3"/>
      <c r="BP172" s="3"/>
      <c r="BQ172" s="3"/>
      <c r="BR172" s="3"/>
    </row>
    <row r="173" spans="1:83" x14ac:dyDescent="0.3">
      <c r="A173" s="2" t="s">
        <v>82</v>
      </c>
      <c r="B173" s="2" t="s">
        <v>141</v>
      </c>
      <c r="C173" t="s">
        <v>89</v>
      </c>
      <c r="D173" s="5" t="s">
        <v>231</v>
      </c>
      <c r="E173" s="5" t="s">
        <v>93</v>
      </c>
      <c r="F173" s="17">
        <v>45243</v>
      </c>
      <c r="G173">
        <v>15</v>
      </c>
      <c r="H173" s="3">
        <v>18.399999999999999</v>
      </c>
      <c r="I173" s="3">
        <f t="shared" si="12"/>
        <v>17.939999999999998</v>
      </c>
      <c r="J173" s="3">
        <f t="shared" si="14"/>
        <v>1.6775</v>
      </c>
      <c r="K173" s="6">
        <f t="shared" si="13"/>
        <v>4379.1048523622039</v>
      </c>
      <c r="L173" s="4"/>
      <c r="M173" s="4"/>
      <c r="N173" s="4"/>
      <c r="O173" s="4"/>
      <c r="P173" s="7"/>
      <c r="Q173" s="6"/>
      <c r="R173" s="5"/>
      <c r="S173" s="4"/>
      <c r="T173" s="13"/>
      <c r="U173" s="13"/>
      <c r="V173" s="5"/>
      <c r="W173" s="5"/>
      <c r="X173" s="5"/>
      <c r="Y173" s="5"/>
      <c r="Z173" s="5"/>
      <c r="AA173" s="5"/>
      <c r="AB173" s="5"/>
      <c r="AC173" s="6"/>
      <c r="AD173" s="6"/>
      <c r="AF173" s="6"/>
      <c r="AG173" s="6"/>
      <c r="AH173" s="11"/>
      <c r="AI173" s="6"/>
      <c r="AJ173" s="6"/>
      <c r="AK173" s="6"/>
      <c r="AL173" s="6"/>
      <c r="AM173" s="6"/>
      <c r="AN173" s="6"/>
      <c r="AO173" s="12"/>
      <c r="AP173" s="7"/>
      <c r="AQ173" s="6"/>
      <c r="AV173" s="3"/>
      <c r="AW173" s="3"/>
      <c r="AX173" s="3"/>
      <c r="AY173" s="3"/>
      <c r="AZ173" s="4"/>
      <c r="BA173" s="4"/>
      <c r="BB173" s="4"/>
      <c r="BC173" s="4"/>
      <c r="BD173" s="4"/>
      <c r="BE173" s="3"/>
      <c r="BJ173" s="9"/>
      <c r="BK173" s="9"/>
      <c r="BL173" s="9"/>
      <c r="BM173" s="3"/>
      <c r="BN173" s="3"/>
      <c r="BO173" s="3"/>
      <c r="BP173" s="3"/>
      <c r="BQ173" s="3"/>
      <c r="BR173" s="3"/>
    </row>
    <row r="174" spans="1:83" x14ac:dyDescent="0.3">
      <c r="A174" s="2" t="s">
        <v>82</v>
      </c>
      <c r="B174" s="2" t="s">
        <v>142</v>
      </c>
      <c r="C174" t="s">
        <v>89</v>
      </c>
      <c r="D174" s="5" t="s">
        <v>232</v>
      </c>
      <c r="E174" s="5" t="s">
        <v>93</v>
      </c>
      <c r="F174" s="17">
        <v>45243</v>
      </c>
      <c r="G174">
        <v>15</v>
      </c>
      <c r="H174" s="3">
        <v>22</v>
      </c>
      <c r="I174" s="3">
        <f t="shared" si="12"/>
        <v>21.54</v>
      </c>
      <c r="J174" s="3">
        <f t="shared" si="14"/>
        <v>1.6775</v>
      </c>
      <c r="K174" s="6">
        <f t="shared" si="13"/>
        <v>5182.7127263779512</v>
      </c>
      <c r="L174" s="4"/>
      <c r="M174" s="4"/>
      <c r="N174" s="4"/>
      <c r="O174" s="4"/>
      <c r="P174" s="7"/>
      <c r="Q174" s="6"/>
      <c r="R174" s="5"/>
      <c r="S174" s="4"/>
      <c r="T174" s="13"/>
      <c r="U174" s="13"/>
      <c r="V174" s="5"/>
      <c r="W174" s="5"/>
      <c r="X174" s="5"/>
      <c r="Y174" s="5"/>
      <c r="Z174" s="5"/>
      <c r="AA174" s="5"/>
      <c r="AB174" s="5"/>
      <c r="AC174" s="6"/>
      <c r="AD174" s="6"/>
      <c r="AF174" s="6"/>
      <c r="AG174" s="6"/>
      <c r="AH174" s="11"/>
      <c r="AI174" s="6"/>
      <c r="AJ174" s="6"/>
      <c r="AK174" s="6"/>
      <c r="AL174" s="6"/>
      <c r="AM174" s="6"/>
      <c r="AN174" s="6"/>
      <c r="AO174" s="12"/>
      <c r="AP174" s="7"/>
      <c r="AQ174" s="6"/>
      <c r="AV174" s="3"/>
      <c r="AW174" s="3"/>
      <c r="AX174" s="3"/>
      <c r="AY174" s="3"/>
      <c r="AZ174" s="4"/>
      <c r="BA174" s="4"/>
      <c r="BB174" s="4"/>
      <c r="BC174" s="4"/>
      <c r="BD174" s="4"/>
      <c r="BE174" s="3"/>
      <c r="BJ174" s="9"/>
      <c r="BK174" s="9"/>
      <c r="BL174" s="9"/>
      <c r="BM174" s="3"/>
      <c r="BN174" s="3"/>
      <c r="BO174" s="3"/>
      <c r="BP174" s="3"/>
      <c r="BQ174" s="3"/>
      <c r="BR174" s="3"/>
    </row>
    <row r="175" spans="1:83" x14ac:dyDescent="0.3">
      <c r="A175" s="2" t="s">
        <v>82</v>
      </c>
      <c r="B175" s="2" t="s">
        <v>143</v>
      </c>
      <c r="C175" t="s">
        <v>89</v>
      </c>
      <c r="D175" s="5" t="s">
        <v>233</v>
      </c>
      <c r="E175" s="5" t="s">
        <v>93</v>
      </c>
      <c r="F175" s="17">
        <v>45243</v>
      </c>
      <c r="G175">
        <v>15</v>
      </c>
      <c r="H175" s="3">
        <v>12.1</v>
      </c>
      <c r="I175" s="3">
        <f t="shared" si="12"/>
        <v>11.639999999999999</v>
      </c>
      <c r="J175" s="3">
        <f t="shared" si="14"/>
        <v>1.6775</v>
      </c>
      <c r="K175" s="6">
        <f t="shared" si="13"/>
        <v>2972.7910728346455</v>
      </c>
      <c r="L175" s="4"/>
      <c r="M175" s="4"/>
      <c r="N175" s="4"/>
      <c r="O175" s="4"/>
      <c r="P175" s="7"/>
      <c r="Q175" s="6"/>
      <c r="R175" s="5"/>
      <c r="S175" s="4"/>
      <c r="T175" s="13"/>
      <c r="U175" s="13"/>
      <c r="V175" s="5"/>
      <c r="W175" s="5"/>
      <c r="X175" s="5"/>
      <c r="Y175" s="5"/>
      <c r="Z175" s="5"/>
      <c r="AA175" s="5"/>
      <c r="AB175" s="5"/>
      <c r="AC175" s="6"/>
      <c r="AD175" s="6"/>
      <c r="AF175" s="6"/>
      <c r="AG175" s="6"/>
      <c r="AH175" s="11"/>
      <c r="AI175" s="6"/>
      <c r="AJ175" s="6"/>
      <c r="AK175" s="6"/>
      <c r="AL175" s="6"/>
      <c r="AM175" s="6"/>
      <c r="AN175" s="6"/>
      <c r="AO175" s="12"/>
      <c r="AP175" s="7"/>
      <c r="AQ175" s="6"/>
      <c r="AV175" s="3"/>
      <c r="AW175" s="3"/>
      <c r="AX175" s="3"/>
      <c r="AY175" s="3"/>
      <c r="AZ175" s="4"/>
      <c r="BA175" s="4"/>
      <c r="BB175" s="4"/>
      <c r="BC175" s="4"/>
      <c r="BD175" s="4"/>
      <c r="BE175" s="3"/>
      <c r="BJ175" s="9"/>
      <c r="BK175" s="9"/>
      <c r="BL175" s="9"/>
      <c r="BM175" s="3"/>
      <c r="BN175" s="3"/>
      <c r="BO175" s="3"/>
      <c r="BP175" s="3"/>
      <c r="BQ175" s="3"/>
      <c r="BR175" s="3"/>
    </row>
    <row r="176" spans="1:83" x14ac:dyDescent="0.3">
      <c r="A176" s="2" t="s">
        <v>83</v>
      </c>
      <c r="B176" s="2" t="s">
        <v>80</v>
      </c>
      <c r="C176" t="s">
        <v>88</v>
      </c>
      <c r="D176" s="5" t="s">
        <v>234</v>
      </c>
      <c r="E176" s="5" t="s">
        <v>93</v>
      </c>
      <c r="F176" s="17">
        <v>45243</v>
      </c>
      <c r="G176">
        <v>4</v>
      </c>
      <c r="H176" s="3">
        <v>18.600000000000001</v>
      </c>
      <c r="I176" s="3">
        <f t="shared" si="12"/>
        <v>18.14</v>
      </c>
      <c r="J176" s="3">
        <f>($A$54-$A$47)*$A$75</f>
        <v>1.20875</v>
      </c>
      <c r="K176" s="6">
        <f t="shared" si="13"/>
        <v>4319.1132923228352</v>
      </c>
      <c r="L176" s="4"/>
      <c r="M176" s="4"/>
      <c r="N176" s="4"/>
      <c r="O176" s="4"/>
      <c r="P176" s="7"/>
      <c r="Q176" s="6"/>
      <c r="R176" s="5"/>
      <c r="S176" s="4"/>
      <c r="T176" s="13"/>
      <c r="U176" s="13"/>
      <c r="V176" s="5"/>
      <c r="W176" s="5"/>
      <c r="X176" s="5"/>
      <c r="Y176" s="5"/>
      <c r="Z176" s="5"/>
      <c r="AA176" s="5"/>
      <c r="AB176" s="5"/>
      <c r="AC176" s="6"/>
      <c r="AD176" s="6"/>
      <c r="AF176" s="6"/>
      <c r="AG176" s="6"/>
      <c r="AH176" s="11"/>
      <c r="AI176" s="6"/>
      <c r="AJ176" s="6"/>
      <c r="AK176" s="6"/>
      <c r="AL176" s="6"/>
      <c r="AM176" s="6"/>
      <c r="AN176" s="6"/>
      <c r="AO176" s="12"/>
      <c r="AP176" s="7"/>
      <c r="AQ176" s="6"/>
      <c r="AS176" s="4" t="s">
        <v>535</v>
      </c>
      <c r="AT176" s="4" t="str">
        <f>E176</f>
        <v>Machine</v>
      </c>
      <c r="AU176" s="15">
        <f>F176</f>
        <v>45243</v>
      </c>
      <c r="AV176" s="3">
        <f>SUM(H176:H205)</f>
        <v>518.40000000000009</v>
      </c>
      <c r="AW176" s="3">
        <f>AV176-24*$A$47</f>
        <v>507.36000000000007</v>
      </c>
      <c r="AX176" s="3">
        <f>SUM(J176:J205)</f>
        <v>35.137499999999989</v>
      </c>
      <c r="AY176" s="3">
        <f>(AW176+AX176)*$A$48/(30*$A$49)*$A$50</f>
        <v>4036.6228021653542</v>
      </c>
      <c r="AZ176" s="4">
        <f>SUM(L176:L205)</f>
        <v>17.72</v>
      </c>
      <c r="BA176" s="4">
        <f t="shared" ref="BA176" si="15">SUM(M176:M205)</f>
        <v>424.25</v>
      </c>
      <c r="BB176" s="4">
        <f t="shared" ref="BB176" si="16">SUM(N176:N205)</f>
        <v>406.53</v>
      </c>
      <c r="BC176" s="4">
        <f>SUM(O176:O205)</f>
        <v>384.74</v>
      </c>
      <c r="BD176" s="4">
        <f>(BB176-BC176)/BB176*100</f>
        <v>5.3599980321255414</v>
      </c>
      <c r="BE176" s="3">
        <f>AY176*(1-BD176/100)</f>
        <v>3820.2598994049599</v>
      </c>
      <c r="BF176" s="15">
        <v>45244</v>
      </c>
      <c r="BG176" s="4">
        <f>SUM(S176:S205)</f>
        <v>15.39</v>
      </c>
      <c r="BH176" s="13">
        <f>SUM(T176:T205)</f>
        <v>6.0600000000000005</v>
      </c>
      <c r="BI176" s="13">
        <f>SUM(U176:U205)</f>
        <v>10.39</v>
      </c>
      <c r="BJ176" s="9">
        <f>(BH176-2*$A$76)/(BG176-2*$A$47*$A$48)</f>
        <v>0.367068177629709</v>
      </c>
      <c r="BK176" s="9">
        <f>(BI176-2*$A$77)/(BG176-2*$A$47*$A$48)</f>
        <v>0.4668498110683526</v>
      </c>
      <c r="BL176" s="9">
        <f>1-BJ176-BK176</f>
        <v>0.16608201130193839</v>
      </c>
      <c r="BM176" s="3">
        <f>AY176*BJ176</f>
        <v>1481.715775769366</v>
      </c>
      <c r="BN176" s="3">
        <f>AY176*BK176</f>
        <v>1884.4965925450997</v>
      </c>
      <c r="BO176" s="3">
        <f>SUM(BM176:BN176)</f>
        <v>3366.2123683144655</v>
      </c>
      <c r="BP176" s="3">
        <f>BE176*BJ176</f>
        <v>1402.2958393464341</v>
      </c>
      <c r="BQ176" s="3">
        <f>BE176*BK176</f>
        <v>1783.4876122692092</v>
      </c>
      <c r="BR176" s="3">
        <f>SUM(BP176:BQ176)</f>
        <v>3185.7834516156436</v>
      </c>
      <c r="BT176" s="15">
        <v>45295</v>
      </c>
      <c r="BU176" s="3">
        <f>AVERAGE(AG176:AG205)</f>
        <v>47.95</v>
      </c>
      <c r="BV176" s="13">
        <f>AVERAGE(AH176:AH205)</f>
        <v>1.1404999999999998</v>
      </c>
      <c r="BW176" s="3">
        <f>AVERAGE(AI176:AI205)</f>
        <v>81.75</v>
      </c>
      <c r="BX176" s="3">
        <f>AVERAGE(AJ176:AJ205)</f>
        <v>30.1</v>
      </c>
      <c r="BY176" s="3">
        <f>AVERAGE(AK176:AK205)</f>
        <v>5.25</v>
      </c>
      <c r="BZ176" s="3">
        <f>AVERAGE(AL176:AL205)</f>
        <v>80.55</v>
      </c>
      <c r="CA176" s="3">
        <f>AVERAGE(AM176:AM205)</f>
        <v>8.75</v>
      </c>
      <c r="CB176" s="3"/>
      <c r="CC176" s="10">
        <f>AVERAGE(AO176:AO205)</f>
        <v>10</v>
      </c>
      <c r="CD176" s="4">
        <f>AVERAGE(AP176:AP205)</f>
        <v>0.18</v>
      </c>
      <c r="CE176" s="3">
        <f>AVERAGE(AQ176:AQ205)</f>
        <v>9.3000000000000007</v>
      </c>
    </row>
    <row r="177" spans="1:70" x14ac:dyDescent="0.3">
      <c r="A177" s="2" t="s">
        <v>83</v>
      </c>
      <c r="B177" s="2" t="s">
        <v>81</v>
      </c>
      <c r="C177" t="s">
        <v>88</v>
      </c>
      <c r="D177" s="5" t="s">
        <v>235</v>
      </c>
      <c r="E177" s="5" t="s">
        <v>93</v>
      </c>
      <c r="F177" s="17">
        <v>45243</v>
      </c>
      <c r="G177">
        <v>4</v>
      </c>
      <c r="H177" s="3">
        <v>18.399999999999999</v>
      </c>
      <c r="I177" s="3">
        <f t="shared" si="12"/>
        <v>17.939999999999998</v>
      </c>
      <c r="J177" s="3">
        <f t="shared" ref="J177:J190" si="17">($A$54-$A$47)*$A$75</f>
        <v>1.20875</v>
      </c>
      <c r="K177" s="6">
        <f t="shared" si="13"/>
        <v>4274.4684104330699</v>
      </c>
      <c r="L177" s="4"/>
      <c r="M177" s="4"/>
      <c r="N177" s="4"/>
      <c r="O177" s="4"/>
      <c r="P177" s="7"/>
      <c r="Q177" s="6"/>
      <c r="R177" s="5"/>
      <c r="S177" s="4"/>
      <c r="T177" s="13"/>
      <c r="U177" s="13"/>
      <c r="V177" s="5"/>
      <c r="W177" s="5"/>
      <c r="X177" s="5"/>
      <c r="Y177" s="5"/>
      <c r="Z177" s="5"/>
      <c r="AA177" s="5"/>
      <c r="AB177" s="5"/>
      <c r="AC177" s="6"/>
      <c r="AD177" s="6"/>
      <c r="AF177" s="6"/>
      <c r="AG177" s="6"/>
      <c r="AH177" s="11"/>
      <c r="AI177" s="6"/>
      <c r="AJ177" s="6"/>
      <c r="AK177" s="6"/>
      <c r="AL177" s="6"/>
      <c r="AM177" s="6"/>
      <c r="AN177" s="6"/>
      <c r="AO177" s="12"/>
      <c r="AP177" s="7"/>
      <c r="AQ177" s="6"/>
      <c r="AV177" s="3"/>
      <c r="AW177" s="3"/>
      <c r="AX177" s="3"/>
      <c r="AY177" s="3"/>
      <c r="AZ177" s="4"/>
      <c r="BA177" s="4"/>
      <c r="BB177" s="4"/>
      <c r="BC177" s="4"/>
      <c r="BD177" s="4"/>
      <c r="BE177" s="3"/>
      <c r="BJ177" s="9"/>
      <c r="BK177" s="9"/>
      <c r="BL177" s="9"/>
      <c r="BM177" s="3"/>
      <c r="BN177" s="3"/>
      <c r="BO177" s="3"/>
      <c r="BP177" s="3"/>
      <c r="BQ177" s="3"/>
      <c r="BR177" s="3"/>
    </row>
    <row r="178" spans="1:70" x14ac:dyDescent="0.3">
      <c r="A178" s="2" t="s">
        <v>83</v>
      </c>
      <c r="B178" s="2" t="s">
        <v>82</v>
      </c>
      <c r="C178" t="s">
        <v>88</v>
      </c>
      <c r="D178" s="5" t="s">
        <v>236</v>
      </c>
      <c r="E178" s="5" t="s">
        <v>93</v>
      </c>
      <c r="F178" s="17">
        <v>45243</v>
      </c>
      <c r="G178">
        <v>4</v>
      </c>
      <c r="H178" s="3">
        <v>18.899999999999999</v>
      </c>
      <c r="I178" s="3">
        <f t="shared" si="12"/>
        <v>18.439999999999998</v>
      </c>
      <c r="J178" s="3">
        <f t="shared" si="17"/>
        <v>1.20875</v>
      </c>
      <c r="K178" s="6">
        <f t="shared" si="13"/>
        <v>4386.0806151574798</v>
      </c>
      <c r="L178" s="4"/>
      <c r="M178" s="4"/>
      <c r="N178" s="4"/>
      <c r="O178" s="4"/>
      <c r="P178" s="7"/>
      <c r="Q178" s="6"/>
      <c r="R178" s="5"/>
      <c r="S178" s="4"/>
      <c r="T178" s="13"/>
      <c r="U178" s="13"/>
      <c r="V178" s="5"/>
      <c r="W178" s="5"/>
      <c r="X178" s="5"/>
      <c r="Y178" s="5"/>
      <c r="Z178" s="5"/>
      <c r="AA178" s="5"/>
      <c r="AB178" s="5"/>
      <c r="AC178" s="6"/>
      <c r="AD178" s="6"/>
      <c r="AF178" s="6"/>
      <c r="AG178" s="6"/>
      <c r="AH178" s="11"/>
      <c r="AI178" s="6"/>
      <c r="AJ178" s="6"/>
      <c r="AK178" s="6"/>
      <c r="AL178" s="6"/>
      <c r="AM178" s="6"/>
      <c r="AN178" s="6"/>
      <c r="AO178" s="12"/>
      <c r="AP178" s="7"/>
      <c r="AQ178" s="6"/>
      <c r="AV178" s="3"/>
      <c r="AW178" s="3"/>
      <c r="AX178" s="3"/>
      <c r="AY178" s="3"/>
      <c r="AZ178" s="4"/>
      <c r="BA178" s="4"/>
      <c r="BB178" s="4"/>
      <c r="BC178" s="4"/>
      <c r="BD178" s="4"/>
      <c r="BE178" s="3"/>
      <c r="BJ178" s="9"/>
      <c r="BK178" s="9"/>
      <c r="BL178" s="9"/>
      <c r="BM178" s="3"/>
      <c r="BN178" s="3"/>
      <c r="BO178" s="3"/>
      <c r="BP178" s="3"/>
      <c r="BQ178" s="3"/>
      <c r="BR178" s="3"/>
    </row>
    <row r="179" spans="1:70" x14ac:dyDescent="0.3">
      <c r="A179" s="2" t="s">
        <v>83</v>
      </c>
      <c r="B179" s="2" t="s">
        <v>83</v>
      </c>
      <c r="C179" t="s">
        <v>88</v>
      </c>
      <c r="D179" s="5" t="s">
        <v>237</v>
      </c>
      <c r="E179" s="5" t="s">
        <v>93</v>
      </c>
      <c r="F179" s="17">
        <v>45243</v>
      </c>
      <c r="G179">
        <v>4</v>
      </c>
      <c r="H179" s="3">
        <v>21.1</v>
      </c>
      <c r="I179" s="3">
        <f t="shared" si="12"/>
        <v>20.64</v>
      </c>
      <c r="J179" s="3">
        <f t="shared" si="17"/>
        <v>1.20875</v>
      </c>
      <c r="K179" s="6">
        <f t="shared" si="13"/>
        <v>4877.1743159448815</v>
      </c>
      <c r="L179" s="4"/>
      <c r="M179" s="4"/>
      <c r="N179" s="4"/>
      <c r="O179" s="4"/>
      <c r="P179" s="7"/>
      <c r="Q179" s="6"/>
      <c r="R179" s="5"/>
      <c r="S179" s="4"/>
      <c r="T179" s="13"/>
      <c r="U179" s="13"/>
      <c r="V179" s="5"/>
      <c r="W179" s="5"/>
      <c r="X179" s="5"/>
      <c r="Y179" s="5"/>
      <c r="Z179" s="5"/>
      <c r="AA179" s="5"/>
      <c r="AB179" s="5"/>
      <c r="AC179" s="6"/>
      <c r="AD179" s="6"/>
      <c r="AF179" s="6"/>
      <c r="AG179" s="6"/>
      <c r="AH179" s="11"/>
      <c r="AI179" s="6"/>
      <c r="AJ179" s="6"/>
      <c r="AK179" s="6"/>
      <c r="AL179" s="6"/>
      <c r="AM179" s="6"/>
      <c r="AN179" s="6"/>
      <c r="AO179" s="12"/>
      <c r="AP179" s="7"/>
      <c r="AQ179" s="6"/>
      <c r="AV179" s="3"/>
      <c r="AW179" s="3"/>
      <c r="AX179" s="3"/>
      <c r="AY179" s="3"/>
      <c r="AZ179" s="4"/>
      <c r="BA179" s="4"/>
      <c r="BB179" s="4"/>
      <c r="BC179" s="4"/>
      <c r="BD179" s="4"/>
      <c r="BE179" s="3"/>
      <c r="BJ179" s="9"/>
      <c r="BK179" s="9"/>
      <c r="BL179" s="9"/>
      <c r="BM179" s="3"/>
      <c r="BN179" s="3"/>
      <c r="BO179" s="3"/>
      <c r="BP179" s="3"/>
      <c r="BQ179" s="3"/>
      <c r="BR179" s="3"/>
    </row>
    <row r="180" spans="1:70" x14ac:dyDescent="0.3">
      <c r="A180" s="2" t="s">
        <v>83</v>
      </c>
      <c r="B180" s="2" t="s">
        <v>84</v>
      </c>
      <c r="C180" t="s">
        <v>88</v>
      </c>
      <c r="D180" s="5" t="s">
        <v>238</v>
      </c>
      <c r="E180" s="5" t="s">
        <v>93</v>
      </c>
      <c r="F180" s="17">
        <v>45243</v>
      </c>
      <c r="G180">
        <v>4</v>
      </c>
      <c r="H180" s="3">
        <v>17.100000000000001</v>
      </c>
      <c r="I180" s="3">
        <f t="shared" si="12"/>
        <v>16.64</v>
      </c>
      <c r="J180" s="3">
        <f t="shared" si="17"/>
        <v>1.20875</v>
      </c>
      <c r="K180" s="6">
        <f t="shared" si="13"/>
        <v>3984.2766781496057</v>
      </c>
      <c r="L180" s="4"/>
      <c r="M180" s="4"/>
      <c r="N180" s="4"/>
      <c r="O180" s="4"/>
      <c r="P180" s="7"/>
      <c r="Q180" s="6"/>
      <c r="R180" s="5"/>
      <c r="S180" s="4"/>
      <c r="T180" s="13"/>
      <c r="U180" s="13"/>
      <c r="V180" s="5"/>
      <c r="W180" s="5"/>
      <c r="X180" s="5"/>
      <c r="Y180" s="5"/>
      <c r="Z180" s="5"/>
      <c r="AA180" s="5"/>
      <c r="AB180" s="5"/>
      <c r="AC180" s="6"/>
      <c r="AD180" s="6"/>
      <c r="AF180" s="6"/>
      <c r="AG180" s="6"/>
      <c r="AH180" s="11"/>
      <c r="AI180" s="6"/>
      <c r="AJ180" s="6"/>
      <c r="AK180" s="6"/>
      <c r="AL180" s="6"/>
      <c r="AM180" s="6"/>
      <c r="AN180" s="6"/>
      <c r="AO180" s="12"/>
      <c r="AP180" s="7"/>
      <c r="AQ180" s="6"/>
      <c r="AV180" s="3"/>
      <c r="AW180" s="3"/>
      <c r="AX180" s="3"/>
      <c r="AY180" s="3"/>
      <c r="AZ180" s="4"/>
      <c r="BA180" s="4"/>
      <c r="BB180" s="4"/>
      <c r="BC180" s="4"/>
      <c r="BD180" s="4"/>
      <c r="BE180" s="3"/>
      <c r="BJ180" s="9"/>
      <c r="BK180" s="9"/>
      <c r="BL180" s="9"/>
      <c r="BM180" s="3"/>
      <c r="BN180" s="3"/>
      <c r="BO180" s="3"/>
      <c r="BP180" s="3"/>
      <c r="BQ180" s="3"/>
      <c r="BR180" s="3"/>
    </row>
    <row r="181" spans="1:70" x14ac:dyDescent="0.3">
      <c r="A181" s="2" t="s">
        <v>83</v>
      </c>
      <c r="B181" s="2" t="s">
        <v>85</v>
      </c>
      <c r="C181" t="s">
        <v>88</v>
      </c>
      <c r="D181" s="5" t="s">
        <v>239</v>
      </c>
      <c r="E181" s="5" t="s">
        <v>93</v>
      </c>
      <c r="F181" s="17">
        <v>45243</v>
      </c>
      <c r="G181">
        <v>4</v>
      </c>
      <c r="H181" s="3">
        <v>17.8</v>
      </c>
      <c r="I181" s="3">
        <f t="shared" si="12"/>
        <v>17.34</v>
      </c>
      <c r="J181" s="3">
        <f t="shared" si="17"/>
        <v>1.20875</v>
      </c>
      <c r="K181" s="6">
        <f t="shared" si="13"/>
        <v>4140.5337647637798</v>
      </c>
      <c r="L181" s="4"/>
      <c r="M181" s="4"/>
      <c r="N181" s="4"/>
      <c r="O181" s="4"/>
      <c r="P181" s="7"/>
      <c r="Q181" s="6"/>
      <c r="R181" s="5"/>
      <c r="S181" s="4"/>
      <c r="T181" s="13"/>
      <c r="U181" s="13"/>
      <c r="V181" s="5"/>
      <c r="W181" s="5"/>
      <c r="X181" s="5"/>
      <c r="Y181" s="5"/>
      <c r="Z181" s="5"/>
      <c r="AA181" s="5"/>
      <c r="AB181" s="5"/>
      <c r="AC181" s="6"/>
      <c r="AD181" s="6"/>
      <c r="AF181" s="6"/>
      <c r="AG181" s="6"/>
      <c r="AH181" s="11"/>
      <c r="AI181" s="6"/>
      <c r="AJ181" s="6"/>
      <c r="AK181" s="6"/>
      <c r="AL181" s="6"/>
      <c r="AM181" s="6"/>
      <c r="AN181" s="6"/>
      <c r="AO181" s="12"/>
      <c r="AP181" s="7"/>
      <c r="AQ181" s="6"/>
      <c r="AV181" s="3"/>
      <c r="AW181" s="3"/>
      <c r="AX181" s="3"/>
      <c r="AY181" s="3"/>
      <c r="AZ181" s="4"/>
      <c r="BA181" s="4"/>
      <c r="BB181" s="4"/>
      <c r="BC181" s="4"/>
      <c r="BD181" s="4"/>
      <c r="BE181" s="3"/>
      <c r="BJ181" s="9"/>
      <c r="BK181" s="9"/>
      <c r="BL181" s="9"/>
      <c r="BM181" s="3"/>
      <c r="BN181" s="3"/>
      <c r="BO181" s="3"/>
      <c r="BP181" s="3"/>
      <c r="BQ181" s="3"/>
      <c r="BR181" s="3"/>
    </row>
    <row r="182" spans="1:70" x14ac:dyDescent="0.3">
      <c r="A182" s="2" t="s">
        <v>83</v>
      </c>
      <c r="B182" s="2" t="s">
        <v>86</v>
      </c>
      <c r="C182" t="s">
        <v>88</v>
      </c>
      <c r="D182" s="5" t="s">
        <v>240</v>
      </c>
      <c r="E182" s="5" t="s">
        <v>93</v>
      </c>
      <c r="F182" s="17">
        <v>45243</v>
      </c>
      <c r="G182">
        <v>4</v>
      </c>
      <c r="H182" s="3">
        <v>14.7</v>
      </c>
      <c r="I182" s="3">
        <f t="shared" si="12"/>
        <v>14.239999999999998</v>
      </c>
      <c r="J182" s="3">
        <f t="shared" si="17"/>
        <v>1.20875</v>
      </c>
      <c r="K182" s="6">
        <f t="shared" si="13"/>
        <v>3448.5380954724405</v>
      </c>
      <c r="L182" s="4"/>
      <c r="M182" s="4"/>
      <c r="N182" s="4"/>
      <c r="O182" s="4"/>
      <c r="P182" s="7"/>
      <c r="Q182" s="6"/>
      <c r="R182" s="5"/>
      <c r="S182" s="4"/>
      <c r="T182" s="13"/>
      <c r="U182" s="13"/>
      <c r="V182" s="5"/>
      <c r="W182" s="5"/>
      <c r="X182" s="5"/>
      <c r="Y182" s="5"/>
      <c r="Z182" s="5"/>
      <c r="AA182" s="5"/>
      <c r="AB182" s="5"/>
      <c r="AC182" s="6"/>
      <c r="AD182" s="6"/>
      <c r="AF182" s="6"/>
      <c r="AG182" s="6"/>
      <c r="AH182" s="11"/>
      <c r="AI182" s="6"/>
      <c r="AJ182" s="6"/>
      <c r="AK182" s="6"/>
      <c r="AL182" s="6"/>
      <c r="AM182" s="6"/>
      <c r="AN182" s="6"/>
      <c r="AO182" s="12"/>
      <c r="AP182" s="7"/>
      <c r="AQ182" s="6"/>
      <c r="AV182" s="3"/>
      <c r="AW182" s="3"/>
      <c r="AX182" s="3"/>
      <c r="AY182" s="3"/>
      <c r="AZ182" s="4"/>
      <c r="BA182" s="4"/>
      <c r="BB182" s="4"/>
      <c r="BC182" s="4"/>
      <c r="BD182" s="4"/>
      <c r="BE182" s="3"/>
      <c r="BJ182" s="9"/>
      <c r="BK182" s="9"/>
      <c r="BL182" s="9"/>
      <c r="BM182" s="3"/>
      <c r="BN182" s="3"/>
      <c r="BO182" s="3"/>
      <c r="BP182" s="3"/>
      <c r="BQ182" s="3"/>
      <c r="BR182" s="3"/>
    </row>
    <row r="183" spans="1:70" x14ac:dyDescent="0.3">
      <c r="A183" s="2" t="s">
        <v>83</v>
      </c>
      <c r="B183" s="2" t="s">
        <v>87</v>
      </c>
      <c r="C183" t="s">
        <v>88</v>
      </c>
      <c r="D183" s="5" t="s">
        <v>241</v>
      </c>
      <c r="E183" s="5" t="s">
        <v>93</v>
      </c>
      <c r="F183" s="17">
        <v>45243</v>
      </c>
      <c r="G183">
        <v>4</v>
      </c>
      <c r="H183" s="3">
        <v>15.8</v>
      </c>
      <c r="I183" s="3">
        <f t="shared" si="12"/>
        <v>15.34</v>
      </c>
      <c r="J183" s="3">
        <f t="shared" si="17"/>
        <v>1.20875</v>
      </c>
      <c r="K183" s="6">
        <f t="shared" si="13"/>
        <v>3694.0849458661414</v>
      </c>
      <c r="L183" s="4">
        <v>8.8000000000000007</v>
      </c>
      <c r="M183" s="4">
        <v>242.91</v>
      </c>
      <c r="N183" s="4">
        <v>234.10999999999999</v>
      </c>
      <c r="O183" s="4">
        <v>220.54</v>
      </c>
      <c r="P183" s="7">
        <f>(N183-O183)/N183*100</f>
        <v>5.7964204860962774</v>
      </c>
      <c r="Q183" s="6">
        <f>K183*(1-P183/100)</f>
        <v>3479.9602492901577</v>
      </c>
      <c r="R183" s="14">
        <v>45244</v>
      </c>
      <c r="S183" s="4">
        <v>6.88</v>
      </c>
      <c r="T183" s="13">
        <v>2.71</v>
      </c>
      <c r="U183" s="13">
        <v>4.7750000000000004</v>
      </c>
      <c r="V183" s="8">
        <f>(T183-$A$76)/(S183-$A$47*$A$48)</f>
        <v>0.36394445567256056</v>
      </c>
      <c r="W183" s="8">
        <f>(U183-$A$77)/(S183-$A$47*$A$48)</f>
        <v>0.46092635963472978</v>
      </c>
      <c r="X183" s="8">
        <f>1-V183-W183</f>
        <v>0.17512918469270961</v>
      </c>
      <c r="Y183" s="6">
        <f>K183*V183</f>
        <v>1344.4417348314532</v>
      </c>
      <c r="Z183" s="6">
        <f>K183*W183</f>
        <v>1702.7011262795384</v>
      </c>
      <c r="AA183" s="6">
        <f>SUM(Y183:Z183)</f>
        <v>3047.1428611109914</v>
      </c>
      <c r="AB183" s="6">
        <f>Q183*V183</f>
        <v>1266.5122386900546</v>
      </c>
      <c r="AC183" s="6">
        <f>Q183*W183</f>
        <v>1604.005409378879</v>
      </c>
      <c r="AD183" s="6">
        <f>SUM(AB183:AC183)</f>
        <v>2870.5176480689333</v>
      </c>
      <c r="AE183" t="s">
        <v>543</v>
      </c>
      <c r="AF183" s="14">
        <v>45295</v>
      </c>
      <c r="AG183" s="6">
        <v>47.1</v>
      </c>
      <c r="AH183" s="11">
        <v>1.1459999999999999</v>
      </c>
      <c r="AI183" s="6">
        <v>82.8</v>
      </c>
      <c r="AJ183" s="6">
        <v>30.6</v>
      </c>
      <c r="AK183" s="6">
        <v>5.2</v>
      </c>
      <c r="AL183" s="6">
        <v>80.5</v>
      </c>
      <c r="AM183" s="6">
        <v>8.6999999999999993</v>
      </c>
      <c r="AN183" s="6" t="s">
        <v>133</v>
      </c>
      <c r="AO183" s="12">
        <v>8</v>
      </c>
      <c r="AP183" s="7">
        <v>0.15</v>
      </c>
      <c r="AQ183" s="6">
        <v>8.9</v>
      </c>
      <c r="AV183" s="3"/>
      <c r="AW183" s="3"/>
      <c r="AX183" s="3"/>
      <c r="AY183" s="3"/>
      <c r="AZ183" s="4"/>
      <c r="BA183" s="4"/>
      <c r="BB183" s="4"/>
      <c r="BC183" s="4"/>
      <c r="BD183" s="4"/>
      <c r="BE183" s="3"/>
      <c r="BJ183" s="9"/>
      <c r="BK183" s="9"/>
      <c r="BL183" s="9"/>
      <c r="BM183" s="3"/>
      <c r="BN183" s="3"/>
      <c r="BO183" s="3"/>
      <c r="BP183" s="3"/>
      <c r="BQ183" s="3"/>
      <c r="BR183" s="3"/>
    </row>
    <row r="184" spans="1:70" x14ac:dyDescent="0.3">
      <c r="A184" s="2" t="s">
        <v>83</v>
      </c>
      <c r="B184" s="2" t="s">
        <v>137</v>
      </c>
      <c r="C184" t="s">
        <v>88</v>
      </c>
      <c r="D184" s="5" t="s">
        <v>242</v>
      </c>
      <c r="E184" s="5" t="s">
        <v>93</v>
      </c>
      <c r="F184" s="17">
        <v>45243</v>
      </c>
      <c r="G184">
        <v>4</v>
      </c>
      <c r="H184" s="3">
        <v>18.399999999999999</v>
      </c>
      <c r="I184" s="3">
        <f t="shared" si="12"/>
        <v>17.939999999999998</v>
      </c>
      <c r="J184" s="3">
        <f t="shared" si="17"/>
        <v>1.20875</v>
      </c>
      <c r="K184" s="6">
        <f t="shared" si="13"/>
        <v>4274.4684104330699</v>
      </c>
      <c r="L184" s="4"/>
      <c r="M184" s="4"/>
      <c r="N184" s="4"/>
      <c r="O184" s="4"/>
      <c r="P184" s="7"/>
      <c r="Q184" s="6"/>
      <c r="R184" s="5"/>
      <c r="S184" s="4"/>
      <c r="T184" s="13"/>
      <c r="U184" s="13"/>
      <c r="V184" s="5"/>
      <c r="W184" s="5"/>
      <c r="X184" s="5"/>
      <c r="Y184" s="5"/>
      <c r="Z184" s="5"/>
      <c r="AA184" s="5"/>
      <c r="AB184" s="5"/>
      <c r="AC184" s="5"/>
      <c r="AD184" s="5"/>
      <c r="AF184" s="5"/>
      <c r="AG184" s="6"/>
      <c r="AH184" s="11"/>
      <c r="AI184" s="6"/>
      <c r="AJ184" s="6"/>
      <c r="AK184" s="6"/>
      <c r="AL184" s="6"/>
      <c r="AM184" s="6"/>
      <c r="AN184" s="6"/>
      <c r="AO184" s="12"/>
      <c r="AP184" s="7"/>
      <c r="AQ184" s="6"/>
      <c r="AV184" s="3"/>
      <c r="AW184" s="3"/>
      <c r="AX184" s="3"/>
      <c r="AY184" s="3"/>
      <c r="AZ184" s="4"/>
      <c r="BA184" s="4"/>
      <c r="BB184" s="4"/>
      <c r="BC184" s="4"/>
      <c r="BD184" s="4"/>
      <c r="BE184" s="3"/>
      <c r="BJ184" s="9"/>
      <c r="BK184" s="9"/>
      <c r="BL184" s="9"/>
      <c r="BM184" s="3"/>
      <c r="BN184" s="3"/>
      <c r="BO184" s="3"/>
      <c r="BP184" s="3"/>
      <c r="BQ184" s="3"/>
      <c r="BR184" s="3"/>
    </row>
    <row r="185" spans="1:70" x14ac:dyDescent="0.3">
      <c r="A185" s="2" t="s">
        <v>83</v>
      </c>
      <c r="B185" s="2" t="s">
        <v>138</v>
      </c>
      <c r="C185" t="s">
        <v>88</v>
      </c>
      <c r="D185" s="5" t="s">
        <v>243</v>
      </c>
      <c r="E185" s="5" t="s">
        <v>93</v>
      </c>
      <c r="F185" s="17">
        <v>45243</v>
      </c>
      <c r="G185">
        <v>4</v>
      </c>
      <c r="H185" s="3">
        <v>15.1</v>
      </c>
      <c r="I185" s="3">
        <f t="shared" si="12"/>
        <v>14.639999999999999</v>
      </c>
      <c r="J185" s="3">
        <f t="shared" si="17"/>
        <v>1.20875</v>
      </c>
      <c r="K185" s="6">
        <f t="shared" si="13"/>
        <v>3537.8278592519687</v>
      </c>
      <c r="L185" s="4"/>
      <c r="M185" s="4"/>
      <c r="N185" s="4"/>
      <c r="O185" s="4"/>
      <c r="P185" s="7"/>
      <c r="Q185" s="6"/>
      <c r="R185" s="5"/>
      <c r="S185" s="4"/>
      <c r="T185" s="13"/>
      <c r="U185" s="13"/>
      <c r="V185" s="5"/>
      <c r="W185" s="5"/>
      <c r="X185" s="5"/>
      <c r="Y185" s="5"/>
      <c r="Z185" s="5"/>
      <c r="AA185" s="5"/>
      <c r="AB185" s="5"/>
      <c r="AC185" s="5"/>
      <c r="AD185" s="5"/>
      <c r="AF185" s="5"/>
      <c r="AG185" s="6"/>
      <c r="AH185" s="11"/>
      <c r="AI185" s="6"/>
      <c r="AJ185" s="6"/>
      <c r="AK185" s="6"/>
      <c r="AL185" s="6"/>
      <c r="AM185" s="6"/>
      <c r="AN185" s="6"/>
      <c r="AO185" s="12"/>
      <c r="AP185" s="7"/>
      <c r="AQ185" s="6"/>
      <c r="AV185" s="3"/>
      <c r="AW185" s="3"/>
      <c r="AX185" s="3"/>
      <c r="AY185" s="3"/>
      <c r="AZ185" s="4"/>
      <c r="BA185" s="4"/>
      <c r="BB185" s="4"/>
      <c r="BC185" s="4"/>
      <c r="BD185" s="4"/>
      <c r="BE185" s="3"/>
      <c r="BJ185" s="9"/>
      <c r="BK185" s="9"/>
      <c r="BL185" s="9"/>
      <c r="BM185" s="3"/>
      <c r="BN185" s="3"/>
      <c r="BO185" s="3"/>
      <c r="BP185" s="3"/>
      <c r="BQ185" s="3"/>
      <c r="BR185" s="3"/>
    </row>
    <row r="186" spans="1:70" x14ac:dyDescent="0.3">
      <c r="A186" s="2" t="s">
        <v>83</v>
      </c>
      <c r="B186" s="2" t="s">
        <v>139</v>
      </c>
      <c r="C186" t="s">
        <v>88</v>
      </c>
      <c r="D186" s="5" t="s">
        <v>244</v>
      </c>
      <c r="E186" s="5" t="s">
        <v>93</v>
      </c>
      <c r="F186" s="17">
        <v>45243</v>
      </c>
      <c r="G186">
        <v>4</v>
      </c>
      <c r="H186" s="3">
        <v>17.600000000000001</v>
      </c>
      <c r="I186" s="3">
        <f t="shared" si="12"/>
        <v>17.14</v>
      </c>
      <c r="J186" s="3">
        <f t="shared" si="17"/>
        <v>1.20875</v>
      </c>
      <c r="K186" s="6">
        <f t="shared" si="13"/>
        <v>4095.888882874016</v>
      </c>
      <c r="L186" s="4"/>
      <c r="M186" s="4"/>
      <c r="N186" s="4"/>
      <c r="O186" s="4"/>
      <c r="P186" s="7"/>
      <c r="Q186" s="6"/>
      <c r="R186" s="5"/>
      <c r="S186" s="4"/>
      <c r="T186" s="13"/>
      <c r="U186" s="13"/>
      <c r="V186" s="5"/>
      <c r="W186" s="5"/>
      <c r="X186" s="5"/>
      <c r="Y186" s="5"/>
      <c r="Z186" s="5"/>
      <c r="AA186" s="5"/>
      <c r="AB186" s="5"/>
      <c r="AC186" s="5"/>
      <c r="AD186" s="5"/>
      <c r="AF186" s="5"/>
      <c r="AG186" s="6"/>
      <c r="AH186" s="11"/>
      <c r="AI186" s="6"/>
      <c r="AJ186" s="6"/>
      <c r="AK186" s="6"/>
      <c r="AL186" s="6"/>
      <c r="AM186" s="6"/>
      <c r="AN186" s="6"/>
      <c r="AO186" s="12"/>
      <c r="AP186" s="7"/>
      <c r="AQ186" s="6"/>
      <c r="AV186" s="3"/>
      <c r="AW186" s="3"/>
      <c r="AX186" s="3"/>
      <c r="AY186" s="3"/>
      <c r="AZ186" s="4"/>
      <c r="BA186" s="4"/>
      <c r="BB186" s="4"/>
      <c r="BC186" s="4"/>
      <c r="BD186" s="4"/>
      <c r="BE186" s="3"/>
      <c r="BJ186" s="9"/>
      <c r="BK186" s="9"/>
      <c r="BL186" s="9"/>
      <c r="BM186" s="3"/>
      <c r="BN186" s="3"/>
      <c r="BO186" s="3"/>
      <c r="BP186" s="3"/>
      <c r="BQ186" s="3"/>
      <c r="BR186" s="3"/>
    </row>
    <row r="187" spans="1:70" x14ac:dyDescent="0.3">
      <c r="A187" s="2" t="s">
        <v>83</v>
      </c>
      <c r="B187" s="2" t="s">
        <v>140</v>
      </c>
      <c r="C187" t="s">
        <v>88</v>
      </c>
      <c r="D187" s="5" t="s">
        <v>245</v>
      </c>
      <c r="E187" s="5" t="s">
        <v>93</v>
      </c>
      <c r="F187" s="17">
        <v>45243</v>
      </c>
      <c r="G187">
        <v>4</v>
      </c>
      <c r="H187" s="3">
        <v>15.6</v>
      </c>
      <c r="I187" s="3">
        <f t="shared" si="12"/>
        <v>15.139999999999999</v>
      </c>
      <c r="J187" s="3">
        <f t="shared" si="17"/>
        <v>1.20875</v>
      </c>
      <c r="K187" s="6">
        <f t="shared" si="13"/>
        <v>3649.440063976378</v>
      </c>
      <c r="L187" s="4"/>
      <c r="M187" s="4"/>
      <c r="N187" s="4"/>
      <c r="O187" s="4"/>
      <c r="P187" s="7"/>
      <c r="Q187" s="6"/>
      <c r="R187" s="5"/>
      <c r="S187" s="4"/>
      <c r="T187" s="13"/>
      <c r="U187" s="13"/>
      <c r="V187" s="5"/>
      <c r="W187" s="5"/>
      <c r="X187" s="5"/>
      <c r="Y187" s="5"/>
      <c r="Z187" s="5"/>
      <c r="AA187" s="5"/>
      <c r="AB187" s="5"/>
      <c r="AC187" s="5"/>
      <c r="AD187" s="5"/>
      <c r="AF187" s="5"/>
      <c r="AG187" s="6"/>
      <c r="AH187" s="11"/>
      <c r="AI187" s="6"/>
      <c r="AJ187" s="6"/>
      <c r="AK187" s="6"/>
      <c r="AL187" s="6"/>
      <c r="AM187" s="6"/>
      <c r="AN187" s="6"/>
      <c r="AO187" s="12"/>
      <c r="AP187" s="7"/>
      <c r="AQ187" s="6"/>
      <c r="AV187" s="3"/>
      <c r="AW187" s="3"/>
      <c r="AX187" s="3"/>
      <c r="AY187" s="3"/>
      <c r="AZ187" s="4"/>
      <c r="BA187" s="4"/>
      <c r="BB187" s="4"/>
      <c r="BC187" s="4"/>
      <c r="BD187" s="4"/>
      <c r="BE187" s="3"/>
      <c r="BJ187" s="9"/>
      <c r="BK187" s="9"/>
      <c r="BL187" s="9"/>
      <c r="BM187" s="3"/>
      <c r="BN187" s="3"/>
      <c r="BO187" s="3"/>
      <c r="BP187" s="3"/>
      <c r="BQ187" s="3"/>
      <c r="BR187" s="3"/>
    </row>
    <row r="188" spans="1:70" x14ac:dyDescent="0.3">
      <c r="A188" s="2" t="s">
        <v>83</v>
      </c>
      <c r="B188" s="2" t="s">
        <v>141</v>
      </c>
      <c r="C188" t="s">
        <v>88</v>
      </c>
      <c r="D188" s="5" t="s">
        <v>246</v>
      </c>
      <c r="E188" s="5" t="s">
        <v>93</v>
      </c>
      <c r="F188" s="17">
        <v>45243</v>
      </c>
      <c r="G188">
        <v>4</v>
      </c>
      <c r="H188" s="3">
        <v>16.5</v>
      </c>
      <c r="I188" s="3">
        <f t="shared" si="12"/>
        <v>16.04</v>
      </c>
      <c r="J188" s="3">
        <f t="shared" si="17"/>
        <v>1.20875</v>
      </c>
      <c r="K188" s="6">
        <f t="shared" si="13"/>
        <v>3850.3420324803137</v>
      </c>
      <c r="L188" s="4"/>
      <c r="M188" s="4"/>
      <c r="N188" s="4"/>
      <c r="O188" s="4"/>
      <c r="P188" s="7"/>
      <c r="Q188" s="6"/>
      <c r="R188" s="5"/>
      <c r="S188" s="4"/>
      <c r="T188" s="13"/>
      <c r="U188" s="13"/>
      <c r="V188" s="5"/>
      <c r="W188" s="5"/>
      <c r="X188" s="5"/>
      <c r="Y188" s="5"/>
      <c r="Z188" s="5"/>
      <c r="AA188" s="5"/>
      <c r="AB188" s="5"/>
      <c r="AC188" s="5"/>
      <c r="AD188" s="5"/>
      <c r="AF188" s="5"/>
      <c r="AG188" s="6"/>
      <c r="AH188" s="11"/>
      <c r="AI188" s="6"/>
      <c r="AJ188" s="6"/>
      <c r="AK188" s="6"/>
      <c r="AL188" s="6"/>
      <c r="AM188" s="6"/>
      <c r="AN188" s="6"/>
      <c r="AO188" s="12"/>
      <c r="AP188" s="7"/>
      <c r="AQ188" s="6"/>
      <c r="AV188" s="3"/>
      <c r="AW188" s="3"/>
      <c r="AX188" s="3"/>
      <c r="AY188" s="3"/>
      <c r="AZ188" s="4"/>
      <c r="BA188" s="4"/>
      <c r="BB188" s="4"/>
      <c r="BC188" s="4"/>
      <c r="BD188" s="4"/>
      <c r="BE188" s="3"/>
      <c r="BJ188" s="9"/>
      <c r="BK188" s="9"/>
      <c r="BL188" s="9"/>
      <c r="BM188" s="3"/>
      <c r="BN188" s="3"/>
      <c r="BO188" s="3"/>
      <c r="BP188" s="3"/>
      <c r="BQ188" s="3"/>
      <c r="BR188" s="3"/>
    </row>
    <row r="189" spans="1:70" x14ac:dyDescent="0.3">
      <c r="A189" s="2" t="s">
        <v>83</v>
      </c>
      <c r="B189" s="2" t="s">
        <v>142</v>
      </c>
      <c r="C189" t="s">
        <v>88</v>
      </c>
      <c r="D189" s="5" t="s">
        <v>247</v>
      </c>
      <c r="E189" s="5" t="s">
        <v>93</v>
      </c>
      <c r="F189" s="17">
        <v>45243</v>
      </c>
      <c r="G189">
        <v>4</v>
      </c>
      <c r="H189" s="3">
        <v>15.3</v>
      </c>
      <c r="I189" s="3">
        <f t="shared" si="12"/>
        <v>14.84</v>
      </c>
      <c r="J189" s="3">
        <f t="shared" si="17"/>
        <v>1.20875</v>
      </c>
      <c r="K189" s="6">
        <f t="shared" si="13"/>
        <v>3582.4727411417316</v>
      </c>
      <c r="L189" s="4"/>
      <c r="M189" s="4"/>
      <c r="N189" s="4"/>
      <c r="O189" s="4"/>
      <c r="P189" s="7"/>
      <c r="Q189" s="6"/>
      <c r="R189" s="5"/>
      <c r="S189" s="4"/>
      <c r="T189" s="13"/>
      <c r="U189" s="13"/>
      <c r="V189" s="5"/>
      <c r="W189" s="5"/>
      <c r="X189" s="5"/>
      <c r="Y189" s="5"/>
      <c r="Z189" s="5"/>
      <c r="AA189" s="5"/>
      <c r="AB189" s="5"/>
      <c r="AC189" s="5"/>
      <c r="AD189" s="5"/>
      <c r="AF189" s="5"/>
      <c r="AG189" s="6"/>
      <c r="AH189" s="11"/>
      <c r="AI189" s="6"/>
      <c r="AJ189" s="6"/>
      <c r="AK189" s="6"/>
      <c r="AL189" s="6"/>
      <c r="AM189" s="6"/>
      <c r="AN189" s="6"/>
      <c r="AO189" s="12"/>
      <c r="AP189" s="7"/>
      <c r="AQ189" s="6"/>
      <c r="AV189" s="3"/>
      <c r="AW189" s="3"/>
      <c r="AX189" s="3"/>
      <c r="AY189" s="3"/>
      <c r="AZ189" s="4"/>
      <c r="BA189" s="4"/>
      <c r="BB189" s="4"/>
      <c r="BC189" s="4"/>
      <c r="BD189" s="4"/>
      <c r="BE189" s="3"/>
      <c r="BJ189" s="9"/>
      <c r="BK189" s="9"/>
      <c r="BL189" s="9"/>
      <c r="BM189" s="3"/>
      <c r="BN189" s="3"/>
      <c r="BO189" s="3"/>
      <c r="BP189" s="3"/>
      <c r="BQ189" s="3"/>
      <c r="BR189" s="3"/>
    </row>
    <row r="190" spans="1:70" x14ac:dyDescent="0.3">
      <c r="A190" s="2" t="s">
        <v>83</v>
      </c>
      <c r="B190" s="2" t="s">
        <v>143</v>
      </c>
      <c r="C190" t="s">
        <v>88</v>
      </c>
      <c r="D190" s="5" t="s">
        <v>248</v>
      </c>
      <c r="E190" s="5" t="s">
        <v>93</v>
      </c>
      <c r="F190" s="17">
        <v>45243</v>
      </c>
      <c r="G190">
        <v>4</v>
      </c>
      <c r="H190" s="3">
        <v>15.4</v>
      </c>
      <c r="I190" s="3">
        <f t="shared" si="12"/>
        <v>14.94</v>
      </c>
      <c r="J190" s="3">
        <f t="shared" si="17"/>
        <v>1.20875</v>
      </c>
      <c r="K190" s="6">
        <f t="shared" si="13"/>
        <v>3604.7951820866142</v>
      </c>
      <c r="L190" s="4"/>
      <c r="M190" s="4"/>
      <c r="N190" s="4"/>
      <c r="O190" s="4"/>
      <c r="P190" s="7"/>
      <c r="Q190" s="6"/>
      <c r="R190" s="5"/>
      <c r="S190" s="4"/>
      <c r="T190" s="13"/>
      <c r="U190" s="13"/>
      <c r="V190" s="5"/>
      <c r="W190" s="5"/>
      <c r="X190" s="5"/>
      <c r="Y190" s="5"/>
      <c r="Z190" s="5"/>
      <c r="AA190" s="5"/>
      <c r="AB190" s="5"/>
      <c r="AC190" s="5"/>
      <c r="AD190" s="5"/>
      <c r="AF190" s="5"/>
      <c r="AG190" s="6"/>
      <c r="AH190" s="11"/>
      <c r="AI190" s="6"/>
      <c r="AJ190" s="6"/>
      <c r="AK190" s="6"/>
      <c r="AL190" s="6"/>
      <c r="AM190" s="6"/>
      <c r="AN190" s="6"/>
      <c r="AO190" s="12"/>
      <c r="AP190" s="7"/>
      <c r="AQ190" s="6"/>
      <c r="AV190" s="3"/>
      <c r="AW190" s="3"/>
      <c r="AX190" s="3"/>
      <c r="AY190" s="3"/>
      <c r="AZ190" s="4"/>
      <c r="BA190" s="4"/>
      <c r="BB190" s="4"/>
      <c r="BC190" s="4"/>
      <c r="BD190" s="4"/>
      <c r="BE190" s="3"/>
      <c r="BJ190" s="9"/>
      <c r="BK190" s="9"/>
      <c r="BL190" s="9"/>
      <c r="BM190" s="3"/>
      <c r="BN190" s="3"/>
      <c r="BO190" s="3"/>
      <c r="BP190" s="3"/>
      <c r="BQ190" s="3"/>
      <c r="BR190" s="3"/>
    </row>
    <row r="191" spans="1:70" x14ac:dyDescent="0.3">
      <c r="A191" s="2" t="s">
        <v>83</v>
      </c>
      <c r="B191" s="2" t="s">
        <v>80</v>
      </c>
      <c r="C191" t="s">
        <v>89</v>
      </c>
      <c r="D191" s="5" t="s">
        <v>249</v>
      </c>
      <c r="E191" s="5" t="s">
        <v>93</v>
      </c>
      <c r="F191" s="17">
        <v>45243</v>
      </c>
      <c r="G191">
        <v>16</v>
      </c>
      <c r="H191" s="3">
        <v>15.1</v>
      </c>
      <c r="I191" s="3">
        <f t="shared" si="12"/>
        <v>14.639999999999999</v>
      </c>
      <c r="J191" s="3">
        <f>($A$66-$A$47)*$A$75</f>
        <v>1.13375</v>
      </c>
      <c r="K191" s="6">
        <f t="shared" si="13"/>
        <v>3521.0860285433064</v>
      </c>
      <c r="L191" s="4"/>
      <c r="M191" s="4"/>
      <c r="N191" s="4"/>
      <c r="O191" s="4"/>
      <c r="P191" s="7"/>
      <c r="Q191" s="6"/>
      <c r="R191" s="5"/>
      <c r="S191" s="4"/>
      <c r="T191" s="13"/>
      <c r="U191" s="13"/>
      <c r="V191" s="5"/>
      <c r="W191" s="5"/>
      <c r="X191" s="5"/>
      <c r="Y191" s="5"/>
      <c r="Z191" s="5"/>
      <c r="AA191" s="5"/>
      <c r="AB191" s="5"/>
      <c r="AC191" s="5"/>
      <c r="AD191" s="5"/>
      <c r="AF191" s="5"/>
      <c r="AG191" s="6"/>
      <c r="AH191" s="11"/>
      <c r="AI191" s="6"/>
      <c r="AJ191" s="6"/>
      <c r="AK191" s="6"/>
      <c r="AL191" s="6"/>
      <c r="AM191" s="6"/>
      <c r="AN191" s="6"/>
      <c r="AO191" s="12"/>
      <c r="AP191" s="7"/>
      <c r="AQ191" s="6"/>
      <c r="AV191" s="3"/>
      <c r="AW191" s="3"/>
      <c r="AX191" s="3"/>
      <c r="AY191" s="3"/>
      <c r="AZ191" s="4"/>
      <c r="BA191" s="4"/>
      <c r="BB191" s="4"/>
      <c r="BC191" s="4"/>
      <c r="BD191" s="4"/>
      <c r="BE191" s="3"/>
      <c r="BJ191" s="9"/>
      <c r="BK191" s="9"/>
      <c r="BL191" s="9"/>
      <c r="BM191" s="3"/>
      <c r="BN191" s="3"/>
      <c r="BO191" s="3"/>
      <c r="BP191" s="3"/>
      <c r="BQ191" s="3"/>
      <c r="BR191" s="3"/>
    </row>
    <row r="192" spans="1:70" x14ac:dyDescent="0.3">
      <c r="A192" s="2" t="s">
        <v>83</v>
      </c>
      <c r="B192" s="2" t="s">
        <v>81</v>
      </c>
      <c r="C192" t="s">
        <v>89</v>
      </c>
      <c r="D192" s="5" t="s">
        <v>250</v>
      </c>
      <c r="E192" s="5" t="s">
        <v>93</v>
      </c>
      <c r="F192" s="17">
        <v>45243</v>
      </c>
      <c r="G192">
        <v>16</v>
      </c>
      <c r="H192" s="3">
        <v>14</v>
      </c>
      <c r="I192" s="3">
        <f t="shared" si="12"/>
        <v>13.54</v>
      </c>
      <c r="J192" s="3">
        <f t="shared" ref="J192:J205" si="18">($A$66-$A$47)*$A$75</f>
        <v>1.13375</v>
      </c>
      <c r="K192" s="6">
        <f t="shared" si="13"/>
        <v>3275.5391781496055</v>
      </c>
      <c r="L192" s="4"/>
      <c r="M192" s="4"/>
      <c r="N192" s="4"/>
      <c r="O192" s="4"/>
      <c r="P192" s="7"/>
      <c r="Q192" s="6"/>
      <c r="R192" s="5"/>
      <c r="S192" s="4"/>
      <c r="T192" s="13"/>
      <c r="U192" s="13"/>
      <c r="V192" s="5"/>
      <c r="W192" s="5"/>
      <c r="X192" s="5"/>
      <c r="Y192" s="5"/>
      <c r="Z192" s="5"/>
      <c r="AA192" s="5"/>
      <c r="AB192" s="5"/>
      <c r="AC192" s="5"/>
      <c r="AD192" s="5"/>
      <c r="AF192" s="5"/>
      <c r="AG192" s="6"/>
      <c r="AH192" s="11"/>
      <c r="AI192" s="6"/>
      <c r="AJ192" s="6"/>
      <c r="AK192" s="6"/>
      <c r="AL192" s="6"/>
      <c r="AM192" s="6"/>
      <c r="AN192" s="6"/>
      <c r="AO192" s="12"/>
      <c r="AP192" s="7"/>
      <c r="AQ192" s="6"/>
      <c r="AV192" s="3"/>
      <c r="AW192" s="3"/>
      <c r="AX192" s="3"/>
      <c r="AY192" s="3"/>
      <c r="AZ192" s="4"/>
      <c r="BA192" s="4"/>
      <c r="BB192" s="4"/>
      <c r="BC192" s="4"/>
      <c r="BD192" s="4"/>
      <c r="BE192" s="3"/>
      <c r="BJ192" s="9"/>
      <c r="BK192" s="9"/>
      <c r="BL192" s="9"/>
      <c r="BM192" s="3"/>
      <c r="BN192" s="3"/>
      <c r="BO192" s="3"/>
      <c r="BP192" s="3"/>
      <c r="BQ192" s="3"/>
      <c r="BR192" s="3"/>
    </row>
    <row r="193" spans="1:83" x14ac:dyDescent="0.3">
      <c r="A193" s="2" t="s">
        <v>83</v>
      </c>
      <c r="B193" s="2" t="s">
        <v>82</v>
      </c>
      <c r="C193" t="s">
        <v>89</v>
      </c>
      <c r="D193" s="5" t="s">
        <v>251</v>
      </c>
      <c r="E193" s="5" t="s">
        <v>93</v>
      </c>
      <c r="F193" s="17">
        <v>45243</v>
      </c>
      <c r="G193">
        <v>16</v>
      </c>
      <c r="H193" s="3">
        <v>20.100000000000001</v>
      </c>
      <c r="I193" s="3">
        <f t="shared" si="12"/>
        <v>19.64</v>
      </c>
      <c r="J193" s="3">
        <f t="shared" si="18"/>
        <v>1.13375</v>
      </c>
      <c r="K193" s="6">
        <f t="shared" si="13"/>
        <v>4637.208075787401</v>
      </c>
      <c r="L193" s="4"/>
      <c r="M193" s="4"/>
      <c r="N193" s="4"/>
      <c r="O193" s="4"/>
      <c r="P193" s="7"/>
      <c r="Q193" s="6"/>
      <c r="R193" s="5"/>
      <c r="S193" s="4"/>
      <c r="T193" s="13"/>
      <c r="U193" s="13"/>
      <c r="V193" s="5"/>
      <c r="W193" s="5"/>
      <c r="X193" s="5"/>
      <c r="Y193" s="5"/>
      <c r="Z193" s="5"/>
      <c r="AA193" s="5"/>
      <c r="AB193" s="5"/>
      <c r="AC193" s="5"/>
      <c r="AD193" s="5"/>
      <c r="AF193" s="5"/>
      <c r="AG193" s="6"/>
      <c r="AH193" s="11"/>
      <c r="AI193" s="6"/>
      <c r="AJ193" s="6"/>
      <c r="AK193" s="6"/>
      <c r="AL193" s="6"/>
      <c r="AM193" s="6"/>
      <c r="AN193" s="6"/>
      <c r="AO193" s="12"/>
      <c r="AP193" s="7"/>
      <c r="AQ193" s="6"/>
      <c r="AV193" s="3"/>
      <c r="AW193" s="3"/>
      <c r="AX193" s="3"/>
      <c r="AY193" s="3"/>
      <c r="AZ193" s="4"/>
      <c r="BA193" s="4"/>
      <c r="BB193" s="4"/>
      <c r="BC193" s="4"/>
      <c r="BD193" s="4"/>
      <c r="BE193" s="3"/>
      <c r="BJ193" s="9"/>
      <c r="BK193" s="9"/>
      <c r="BL193" s="9"/>
      <c r="BM193" s="3"/>
      <c r="BN193" s="3"/>
      <c r="BO193" s="3"/>
      <c r="BP193" s="3"/>
      <c r="BQ193" s="3"/>
      <c r="BR193" s="3"/>
    </row>
    <row r="194" spans="1:83" x14ac:dyDescent="0.3">
      <c r="A194" s="2" t="s">
        <v>83</v>
      </c>
      <c r="B194" s="2" t="s">
        <v>83</v>
      </c>
      <c r="C194" t="s">
        <v>89</v>
      </c>
      <c r="D194" s="5" t="s">
        <v>252</v>
      </c>
      <c r="E194" s="5" t="s">
        <v>93</v>
      </c>
      <c r="F194" s="17">
        <v>45243</v>
      </c>
      <c r="G194">
        <v>16</v>
      </c>
      <c r="H194" s="3">
        <v>21.1</v>
      </c>
      <c r="I194" s="3">
        <f t="shared" si="12"/>
        <v>20.64</v>
      </c>
      <c r="J194" s="3">
        <f t="shared" si="18"/>
        <v>1.13375</v>
      </c>
      <c r="K194" s="6">
        <f t="shared" si="13"/>
        <v>4860.4324852362206</v>
      </c>
      <c r="L194" s="4"/>
      <c r="M194" s="4"/>
      <c r="N194" s="4"/>
      <c r="O194" s="4"/>
      <c r="P194" s="7"/>
      <c r="Q194" s="6"/>
      <c r="R194" s="5"/>
      <c r="S194" s="4"/>
      <c r="T194" s="13"/>
      <c r="U194" s="13"/>
      <c r="V194" s="5"/>
      <c r="W194" s="5"/>
      <c r="X194" s="5"/>
      <c r="Y194" s="5"/>
      <c r="Z194" s="5"/>
      <c r="AA194" s="5"/>
      <c r="AB194" s="5"/>
      <c r="AC194" s="5"/>
      <c r="AD194" s="5"/>
      <c r="AF194" s="5"/>
      <c r="AG194" s="6"/>
      <c r="AH194" s="11"/>
      <c r="AI194" s="6"/>
      <c r="AJ194" s="6"/>
      <c r="AK194" s="6"/>
      <c r="AL194" s="6"/>
      <c r="AM194" s="6"/>
      <c r="AN194" s="6"/>
      <c r="AO194" s="12"/>
      <c r="AP194" s="7"/>
      <c r="AQ194" s="6"/>
      <c r="AV194" s="3"/>
      <c r="AW194" s="3"/>
      <c r="AX194" s="3"/>
      <c r="AY194" s="3"/>
      <c r="AZ194" s="4"/>
      <c r="BA194" s="4"/>
      <c r="BB194" s="4"/>
      <c r="BC194" s="4"/>
      <c r="BD194" s="4"/>
      <c r="BE194" s="3"/>
      <c r="BJ194" s="9"/>
      <c r="BK194" s="9"/>
      <c r="BL194" s="9"/>
      <c r="BM194" s="3"/>
      <c r="BN194" s="3"/>
      <c r="BO194" s="3"/>
      <c r="BP194" s="3"/>
      <c r="BQ194" s="3"/>
      <c r="BR194" s="3"/>
    </row>
    <row r="195" spans="1:83" x14ac:dyDescent="0.3">
      <c r="A195" s="2" t="s">
        <v>83</v>
      </c>
      <c r="B195" s="2" t="s">
        <v>84</v>
      </c>
      <c r="C195" t="s">
        <v>89</v>
      </c>
      <c r="D195" s="5" t="s">
        <v>253</v>
      </c>
      <c r="E195" s="5" t="s">
        <v>93</v>
      </c>
      <c r="F195" s="17">
        <v>45243</v>
      </c>
      <c r="G195">
        <v>16</v>
      </c>
      <c r="H195" s="3">
        <v>16.399999999999999</v>
      </c>
      <c r="I195" s="3">
        <f t="shared" si="12"/>
        <v>15.939999999999998</v>
      </c>
      <c r="J195" s="3">
        <f t="shared" si="18"/>
        <v>1.13375</v>
      </c>
      <c r="K195" s="6">
        <f t="shared" si="13"/>
        <v>3811.2777608267706</v>
      </c>
      <c r="L195" s="4"/>
      <c r="M195" s="4"/>
      <c r="N195" s="4"/>
      <c r="O195" s="4"/>
      <c r="P195" s="7"/>
      <c r="Q195" s="6"/>
      <c r="R195" s="5"/>
      <c r="S195" s="4"/>
      <c r="T195" s="13"/>
      <c r="U195" s="13"/>
      <c r="V195" s="5"/>
      <c r="W195" s="5"/>
      <c r="X195" s="5"/>
      <c r="Y195" s="5"/>
      <c r="Z195" s="5"/>
      <c r="AA195" s="5"/>
      <c r="AB195" s="5"/>
      <c r="AC195" s="5"/>
      <c r="AD195" s="5"/>
      <c r="AF195" s="5"/>
      <c r="AG195" s="6"/>
      <c r="AH195" s="11"/>
      <c r="AI195" s="6"/>
      <c r="AJ195" s="6"/>
      <c r="AK195" s="6"/>
      <c r="AL195" s="6"/>
      <c r="AM195" s="6"/>
      <c r="AN195" s="6"/>
      <c r="AO195" s="12"/>
      <c r="AP195" s="7"/>
      <c r="AQ195" s="6"/>
      <c r="AV195" s="3"/>
      <c r="AW195" s="3"/>
      <c r="AX195" s="3"/>
      <c r="AY195" s="3"/>
      <c r="AZ195" s="4"/>
      <c r="BA195" s="4"/>
      <c r="BB195" s="4"/>
      <c r="BC195" s="4"/>
      <c r="BD195" s="4"/>
      <c r="BE195" s="3"/>
      <c r="BJ195" s="9"/>
      <c r="BK195" s="9"/>
      <c r="BL195" s="9"/>
      <c r="BM195" s="3"/>
      <c r="BN195" s="3"/>
      <c r="BO195" s="3"/>
      <c r="BP195" s="3"/>
      <c r="BQ195" s="3"/>
      <c r="BR195" s="3"/>
    </row>
    <row r="196" spans="1:83" x14ac:dyDescent="0.3">
      <c r="A196" s="2" t="s">
        <v>83</v>
      </c>
      <c r="B196" s="2" t="s">
        <v>85</v>
      </c>
      <c r="C196" t="s">
        <v>89</v>
      </c>
      <c r="D196" s="5" t="s">
        <v>254</v>
      </c>
      <c r="E196" s="5" t="s">
        <v>93</v>
      </c>
      <c r="F196" s="17">
        <v>45243</v>
      </c>
      <c r="G196">
        <v>16</v>
      </c>
      <c r="H196" s="3">
        <v>19.7</v>
      </c>
      <c r="I196" s="3">
        <f t="shared" si="12"/>
        <v>19.239999999999998</v>
      </c>
      <c r="J196" s="3">
        <f t="shared" si="18"/>
        <v>1.13375</v>
      </c>
      <c r="K196" s="6">
        <f t="shared" si="13"/>
        <v>4547.9183120078733</v>
      </c>
      <c r="L196" s="4"/>
      <c r="M196" s="4"/>
      <c r="N196" s="4"/>
      <c r="O196" s="4"/>
      <c r="P196" s="7"/>
      <c r="Q196" s="6"/>
      <c r="R196" s="5"/>
      <c r="S196" s="4"/>
      <c r="T196" s="13"/>
      <c r="U196" s="13"/>
      <c r="V196" s="5"/>
      <c r="W196" s="5"/>
      <c r="X196" s="5"/>
      <c r="Y196" s="5"/>
      <c r="Z196" s="5"/>
      <c r="AA196" s="5"/>
      <c r="AB196" s="5"/>
      <c r="AC196" s="5"/>
      <c r="AD196" s="5"/>
      <c r="AF196" s="5"/>
      <c r="AG196" s="6"/>
      <c r="AH196" s="11"/>
      <c r="AI196" s="6"/>
      <c r="AJ196" s="6"/>
      <c r="AK196" s="6"/>
      <c r="AL196" s="6"/>
      <c r="AM196" s="6"/>
      <c r="AN196" s="6"/>
      <c r="AO196" s="12"/>
      <c r="AP196" s="7"/>
      <c r="AQ196" s="6"/>
      <c r="AV196" s="3"/>
      <c r="AW196" s="3"/>
      <c r="AX196" s="3"/>
      <c r="AY196" s="3"/>
      <c r="AZ196" s="4"/>
      <c r="BA196" s="4"/>
      <c r="BB196" s="4"/>
      <c r="BC196" s="4"/>
      <c r="BD196" s="4"/>
      <c r="BE196" s="3"/>
      <c r="BJ196" s="9"/>
      <c r="BK196" s="9"/>
      <c r="BL196" s="9"/>
      <c r="BM196" s="3"/>
      <c r="BN196" s="3"/>
      <c r="BO196" s="3"/>
      <c r="BP196" s="3"/>
      <c r="BQ196" s="3"/>
      <c r="BR196" s="3"/>
    </row>
    <row r="197" spans="1:83" x14ac:dyDescent="0.3">
      <c r="A197" s="2" t="s">
        <v>83</v>
      </c>
      <c r="B197" s="2" t="s">
        <v>86</v>
      </c>
      <c r="C197" t="s">
        <v>89</v>
      </c>
      <c r="D197" s="5" t="s">
        <v>255</v>
      </c>
      <c r="E197" s="5" t="s">
        <v>93</v>
      </c>
      <c r="F197" s="17">
        <v>45243</v>
      </c>
      <c r="G197">
        <v>16</v>
      </c>
      <c r="H197" s="3">
        <v>16.399999999999999</v>
      </c>
      <c r="I197" s="3">
        <f t="shared" si="12"/>
        <v>15.939999999999998</v>
      </c>
      <c r="J197" s="3">
        <f t="shared" si="18"/>
        <v>1.13375</v>
      </c>
      <c r="K197" s="6">
        <f t="shared" si="13"/>
        <v>3811.2777608267706</v>
      </c>
      <c r="L197" s="4"/>
      <c r="M197" s="4"/>
      <c r="N197" s="4"/>
      <c r="O197" s="4"/>
      <c r="P197" s="7"/>
      <c r="Q197" s="6"/>
      <c r="R197" s="5"/>
      <c r="S197" s="4"/>
      <c r="T197" s="13"/>
      <c r="U197" s="13"/>
      <c r="V197" s="5"/>
      <c r="W197" s="5"/>
      <c r="X197" s="5"/>
      <c r="Y197" s="5"/>
      <c r="Z197" s="5"/>
      <c r="AA197" s="5"/>
      <c r="AB197" s="5"/>
      <c r="AC197" s="5"/>
      <c r="AD197" s="5"/>
      <c r="AF197" s="5"/>
      <c r="AG197" s="6"/>
      <c r="AH197" s="11"/>
      <c r="AI197" s="6"/>
      <c r="AJ197" s="6"/>
      <c r="AK197" s="6"/>
      <c r="AL197" s="6"/>
      <c r="AM197" s="6"/>
      <c r="AN197" s="6"/>
      <c r="AO197" s="12"/>
      <c r="AP197" s="7"/>
      <c r="AQ197" s="6"/>
      <c r="AV197" s="3"/>
      <c r="AW197" s="3"/>
      <c r="AX197" s="3"/>
      <c r="AY197" s="3"/>
      <c r="AZ197" s="4"/>
      <c r="BA197" s="4"/>
      <c r="BB197" s="4"/>
      <c r="BC197" s="4"/>
      <c r="BD197" s="4"/>
      <c r="BE197" s="3"/>
      <c r="BJ197" s="9"/>
      <c r="BK197" s="9"/>
      <c r="BL197" s="9"/>
      <c r="BM197" s="3"/>
      <c r="BN197" s="3"/>
      <c r="BO197" s="3"/>
      <c r="BP197" s="3"/>
      <c r="BQ197" s="3"/>
      <c r="BR197" s="3"/>
    </row>
    <row r="198" spans="1:83" x14ac:dyDescent="0.3">
      <c r="A198" s="2" t="s">
        <v>83</v>
      </c>
      <c r="B198" s="2" t="s">
        <v>87</v>
      </c>
      <c r="C198" t="s">
        <v>89</v>
      </c>
      <c r="D198" s="5" t="s">
        <v>256</v>
      </c>
      <c r="E198" s="5" t="s">
        <v>93</v>
      </c>
      <c r="F198" s="17">
        <v>45243</v>
      </c>
      <c r="G198">
        <v>16</v>
      </c>
      <c r="H198" s="3">
        <v>19.2</v>
      </c>
      <c r="I198" s="3">
        <f t="shared" si="12"/>
        <v>18.739999999999998</v>
      </c>
      <c r="J198" s="3">
        <f t="shared" si="18"/>
        <v>1.13375</v>
      </c>
      <c r="K198" s="6">
        <f t="shared" si="13"/>
        <v>4436.3061072834635</v>
      </c>
      <c r="L198" s="4">
        <v>8.92</v>
      </c>
      <c r="M198" s="4">
        <v>181.34</v>
      </c>
      <c r="N198" s="4">
        <v>172.42000000000002</v>
      </c>
      <c r="O198" s="4">
        <v>164.2</v>
      </c>
      <c r="P198" s="7">
        <f>(N198-O198)/N198*100</f>
        <v>4.7674283725786024</v>
      </c>
      <c r="Q198" s="6">
        <f>K198*(1-P198/100)</f>
        <v>4224.8083912303946</v>
      </c>
      <c r="R198" s="14">
        <v>45244</v>
      </c>
      <c r="S198" s="4">
        <v>8.51</v>
      </c>
      <c r="T198" s="13">
        <v>3.35</v>
      </c>
      <c r="U198" s="13">
        <v>5.6150000000000002</v>
      </c>
      <c r="V198" s="8">
        <f>(T198-$A$76)/(S198-$A$47*$A$48)</f>
        <v>0.36957854534771156</v>
      </c>
      <c r="W198" s="8">
        <f>(U198-$A$77)/(S198-$A$47*$A$48)</f>
        <v>0.47161017113308046</v>
      </c>
      <c r="X198" s="8">
        <f>1-V198-W198</f>
        <v>0.15881128351920792</v>
      </c>
      <c r="Y198" s="6">
        <f>K198*V198</f>
        <v>1639.5635578469912</v>
      </c>
      <c r="Z198" s="6">
        <f>K198*W198</f>
        <v>2092.207082454684</v>
      </c>
      <c r="AA198" s="6">
        <f>SUM(Y198:Z198)</f>
        <v>3731.7706403016755</v>
      </c>
      <c r="AB198" s="6">
        <f>Q198*V198</f>
        <v>1561.3985396037347</v>
      </c>
      <c r="AC198" s="6">
        <f>Q198*W198</f>
        <v>1992.4626083926407</v>
      </c>
      <c r="AD198" s="6">
        <f>SUM(AB198:AC198)</f>
        <v>3553.8611479963756</v>
      </c>
      <c r="AE198" t="s">
        <v>544</v>
      </c>
      <c r="AF198" s="14">
        <v>45295</v>
      </c>
      <c r="AG198" s="6">
        <v>48.8</v>
      </c>
      <c r="AH198" s="11">
        <v>1.135</v>
      </c>
      <c r="AI198" s="6">
        <v>80.7</v>
      </c>
      <c r="AJ198" s="6">
        <v>29.6</v>
      </c>
      <c r="AK198" s="6">
        <v>5.3</v>
      </c>
      <c r="AL198" s="6">
        <v>80.599999999999994</v>
      </c>
      <c r="AM198" s="6">
        <v>8.8000000000000007</v>
      </c>
      <c r="AN198" s="6" t="s">
        <v>134</v>
      </c>
      <c r="AO198" s="12">
        <v>12</v>
      </c>
      <c r="AP198" s="7">
        <v>0.21</v>
      </c>
      <c r="AQ198" s="6">
        <v>9.6999999999999993</v>
      </c>
      <c r="AV198" s="3"/>
      <c r="AW198" s="3"/>
      <c r="AX198" s="3"/>
      <c r="AY198" s="3"/>
      <c r="AZ198" s="4"/>
      <c r="BA198" s="4"/>
      <c r="BB198" s="4"/>
      <c r="BC198" s="4"/>
      <c r="BD198" s="4"/>
      <c r="BE198" s="3"/>
      <c r="BJ198" s="9"/>
      <c r="BK198" s="9"/>
      <c r="BL198" s="9"/>
      <c r="BM198" s="3"/>
      <c r="BN198" s="3"/>
      <c r="BO198" s="3"/>
      <c r="BP198" s="3"/>
      <c r="BQ198" s="3"/>
      <c r="BR198" s="3"/>
    </row>
    <row r="199" spans="1:83" x14ac:dyDescent="0.3">
      <c r="A199" s="2" t="s">
        <v>83</v>
      </c>
      <c r="B199" s="2" t="s">
        <v>137</v>
      </c>
      <c r="C199" t="s">
        <v>89</v>
      </c>
      <c r="D199" s="5" t="s">
        <v>257</v>
      </c>
      <c r="E199" s="5" t="s">
        <v>93</v>
      </c>
      <c r="F199" s="17">
        <v>45243</v>
      </c>
      <c r="G199">
        <v>16</v>
      </c>
      <c r="H199" s="3">
        <v>18.100000000000001</v>
      </c>
      <c r="I199" s="3">
        <f t="shared" si="12"/>
        <v>17.64</v>
      </c>
      <c r="J199" s="3">
        <f t="shared" si="18"/>
        <v>1.13375</v>
      </c>
      <c r="K199" s="6">
        <f t="shared" si="13"/>
        <v>4190.7592568897635</v>
      </c>
      <c r="L199" s="4"/>
      <c r="M199" s="4"/>
      <c r="N199" s="4"/>
      <c r="O199" s="4"/>
      <c r="P199" s="7"/>
      <c r="Q199" s="6"/>
      <c r="R199" s="5"/>
      <c r="S199" s="4"/>
      <c r="T199" s="13"/>
      <c r="U199" s="13"/>
      <c r="V199" s="5"/>
      <c r="W199" s="5"/>
      <c r="X199" s="5"/>
      <c r="Y199" s="5"/>
      <c r="Z199" s="5"/>
      <c r="AA199" s="5"/>
      <c r="AB199" s="5"/>
      <c r="AC199" s="5"/>
      <c r="AD199" s="5"/>
      <c r="AF199" s="5"/>
      <c r="AG199" s="6"/>
      <c r="AH199" s="11"/>
      <c r="AI199" s="6"/>
      <c r="AJ199" s="6"/>
      <c r="AK199" s="6"/>
      <c r="AL199" s="6"/>
      <c r="AM199" s="6"/>
      <c r="AN199" s="6"/>
      <c r="AO199" s="12"/>
      <c r="AP199" s="7"/>
      <c r="AQ199" s="6"/>
      <c r="AS199" s="4"/>
      <c r="AV199" s="3"/>
      <c r="AW199" s="3"/>
      <c r="AX199" s="3"/>
      <c r="AY199" s="3"/>
      <c r="AZ199" s="4"/>
      <c r="BA199" s="4"/>
      <c r="BB199" s="4"/>
      <c r="BC199" s="4"/>
      <c r="BD199" s="4"/>
      <c r="BE199" s="3"/>
      <c r="BJ199" s="9"/>
      <c r="BK199" s="9"/>
      <c r="BL199" s="9"/>
      <c r="BM199" s="3"/>
      <c r="BN199" s="3"/>
      <c r="BO199" s="3"/>
      <c r="BP199" s="3"/>
      <c r="BQ199" s="3"/>
      <c r="BR199" s="3"/>
    </row>
    <row r="200" spans="1:83" x14ac:dyDescent="0.3">
      <c r="A200" s="2" t="s">
        <v>83</v>
      </c>
      <c r="B200" s="2" t="s">
        <v>138</v>
      </c>
      <c r="C200" t="s">
        <v>89</v>
      </c>
      <c r="D200" s="5" t="s">
        <v>258</v>
      </c>
      <c r="E200" s="5" t="s">
        <v>93</v>
      </c>
      <c r="F200" s="17">
        <v>45243</v>
      </c>
      <c r="G200">
        <v>16</v>
      </c>
      <c r="H200" s="3">
        <v>19</v>
      </c>
      <c r="I200" s="3">
        <f t="shared" si="12"/>
        <v>18.54</v>
      </c>
      <c r="J200" s="3">
        <f t="shared" si="18"/>
        <v>1.13375</v>
      </c>
      <c r="K200" s="6">
        <f t="shared" si="13"/>
        <v>4391.6612253937001</v>
      </c>
      <c r="L200" s="4"/>
      <c r="M200" s="4"/>
      <c r="N200" s="4"/>
      <c r="O200" s="4"/>
      <c r="P200" s="7"/>
      <c r="Q200" s="6"/>
      <c r="R200" s="5"/>
      <c r="S200" s="4"/>
      <c r="T200" s="13"/>
      <c r="U200" s="13"/>
      <c r="V200" s="5"/>
      <c r="W200" s="5"/>
      <c r="X200" s="5"/>
      <c r="Y200" s="5"/>
      <c r="Z200" s="5"/>
      <c r="AA200" s="5"/>
      <c r="AB200" s="5"/>
      <c r="AC200" s="5"/>
      <c r="AD200" s="5"/>
      <c r="AF200" s="5"/>
      <c r="AG200" s="6"/>
      <c r="AH200" s="11"/>
      <c r="AI200" s="6"/>
      <c r="AJ200" s="6"/>
      <c r="AK200" s="6"/>
      <c r="AL200" s="6"/>
      <c r="AM200" s="6"/>
      <c r="AN200" s="6"/>
      <c r="AO200" s="12"/>
      <c r="AP200" s="7"/>
      <c r="AQ200" s="6"/>
      <c r="AV200" s="3"/>
      <c r="AW200" s="3"/>
      <c r="AX200" s="3"/>
      <c r="AY200" s="3"/>
      <c r="AZ200" s="4"/>
      <c r="BA200" s="4"/>
      <c r="BB200" s="4"/>
      <c r="BC200" s="4"/>
      <c r="BD200" s="4"/>
      <c r="BE200" s="3"/>
      <c r="BJ200" s="9"/>
      <c r="BK200" s="9"/>
      <c r="BL200" s="9"/>
      <c r="BM200" s="3"/>
      <c r="BN200" s="3"/>
      <c r="BO200" s="3"/>
      <c r="BP200" s="3"/>
      <c r="BQ200" s="3"/>
      <c r="BR200" s="3"/>
    </row>
    <row r="201" spans="1:83" x14ac:dyDescent="0.3">
      <c r="A201" s="2" t="s">
        <v>83</v>
      </c>
      <c r="B201" s="2" t="s">
        <v>139</v>
      </c>
      <c r="C201" t="s">
        <v>89</v>
      </c>
      <c r="D201" s="5" t="s">
        <v>259</v>
      </c>
      <c r="E201" s="5" t="s">
        <v>93</v>
      </c>
      <c r="F201" s="17">
        <v>45243</v>
      </c>
      <c r="G201">
        <v>16</v>
      </c>
      <c r="H201" s="3">
        <v>19.8</v>
      </c>
      <c r="I201" s="3">
        <f t="shared" si="12"/>
        <v>19.34</v>
      </c>
      <c r="J201" s="3">
        <f t="shared" si="18"/>
        <v>1.13375</v>
      </c>
      <c r="K201" s="6">
        <f t="shared" si="13"/>
        <v>4570.2407529527554</v>
      </c>
      <c r="L201" s="4"/>
      <c r="M201" s="4"/>
      <c r="N201" s="4"/>
      <c r="O201" s="4"/>
      <c r="P201" s="7"/>
      <c r="Q201" s="6"/>
      <c r="R201" s="5"/>
      <c r="S201" s="4"/>
      <c r="T201" s="13"/>
      <c r="U201" s="13"/>
      <c r="V201" s="5"/>
      <c r="W201" s="5"/>
      <c r="X201" s="5"/>
      <c r="Y201" s="5"/>
      <c r="Z201" s="5"/>
      <c r="AA201" s="5"/>
      <c r="AB201" s="5"/>
      <c r="AC201" s="5"/>
      <c r="AD201" s="5"/>
      <c r="AF201" s="5"/>
      <c r="AG201" s="6"/>
      <c r="AH201" s="11"/>
      <c r="AI201" s="6"/>
      <c r="AJ201" s="6"/>
      <c r="AK201" s="6"/>
      <c r="AL201" s="6"/>
      <c r="AM201" s="6"/>
      <c r="AN201" s="6"/>
      <c r="AO201" s="12"/>
      <c r="AP201" s="7"/>
      <c r="AQ201" s="6"/>
      <c r="AV201" s="3"/>
      <c r="AW201" s="3"/>
      <c r="AX201" s="3"/>
      <c r="AY201" s="3"/>
      <c r="AZ201" s="4"/>
      <c r="BA201" s="4"/>
      <c r="BB201" s="4"/>
      <c r="BC201" s="4"/>
      <c r="BD201" s="4"/>
      <c r="BE201" s="3"/>
      <c r="BJ201" s="9"/>
      <c r="BK201" s="9"/>
      <c r="BL201" s="9"/>
      <c r="BM201" s="3"/>
      <c r="BN201" s="3"/>
      <c r="BO201" s="3"/>
      <c r="BP201" s="3"/>
      <c r="BQ201" s="3"/>
      <c r="BR201" s="3"/>
    </row>
    <row r="202" spans="1:83" x14ac:dyDescent="0.3">
      <c r="A202" s="2" t="s">
        <v>83</v>
      </c>
      <c r="B202" s="2" t="s">
        <v>140</v>
      </c>
      <c r="C202" t="s">
        <v>89</v>
      </c>
      <c r="D202" s="5" t="s">
        <v>260</v>
      </c>
      <c r="E202" s="5" t="s">
        <v>93</v>
      </c>
      <c r="F202" s="17">
        <v>45243</v>
      </c>
      <c r="G202">
        <v>16</v>
      </c>
      <c r="H202" s="3">
        <v>17.899999999999999</v>
      </c>
      <c r="I202" s="3">
        <f t="shared" si="12"/>
        <v>17.439999999999998</v>
      </c>
      <c r="J202" s="3">
        <f t="shared" si="18"/>
        <v>1.13375</v>
      </c>
      <c r="K202" s="6">
        <f t="shared" si="13"/>
        <v>4146.1143749999992</v>
      </c>
      <c r="L202" s="4"/>
      <c r="M202" s="4"/>
      <c r="N202" s="4"/>
      <c r="O202" s="4"/>
      <c r="P202" s="7"/>
      <c r="Q202" s="6"/>
      <c r="R202" s="5"/>
      <c r="S202" s="4"/>
      <c r="T202" s="13"/>
      <c r="U202" s="13"/>
      <c r="V202" s="5"/>
      <c r="W202" s="5"/>
      <c r="X202" s="5"/>
      <c r="Y202" s="5"/>
      <c r="Z202" s="5"/>
      <c r="AA202" s="5"/>
      <c r="AB202" s="5"/>
      <c r="AC202" s="5"/>
      <c r="AD202" s="5"/>
      <c r="AF202" s="5"/>
      <c r="AG202" s="6"/>
      <c r="AH202" s="11"/>
      <c r="AI202" s="6"/>
      <c r="AJ202" s="6"/>
      <c r="AK202" s="6"/>
      <c r="AL202" s="6"/>
      <c r="AM202" s="6"/>
      <c r="AN202" s="6"/>
      <c r="AO202" s="12"/>
      <c r="AP202" s="7"/>
      <c r="AQ202" s="6"/>
      <c r="AV202" s="3"/>
      <c r="AW202" s="3"/>
      <c r="AX202" s="3"/>
      <c r="AY202" s="3"/>
      <c r="AZ202" s="4"/>
      <c r="BA202" s="4"/>
      <c r="BB202" s="4"/>
      <c r="BC202" s="4"/>
      <c r="BD202" s="4"/>
      <c r="BE202" s="3"/>
      <c r="BJ202" s="9"/>
      <c r="BK202" s="9"/>
      <c r="BL202" s="9"/>
      <c r="BM202" s="3"/>
      <c r="BN202" s="3"/>
      <c r="BO202" s="3"/>
      <c r="BP202" s="3"/>
      <c r="BQ202" s="3"/>
      <c r="BR202" s="3"/>
    </row>
    <row r="203" spans="1:83" x14ac:dyDescent="0.3">
      <c r="A203" s="2" t="s">
        <v>83</v>
      </c>
      <c r="B203" s="2" t="s">
        <v>141</v>
      </c>
      <c r="C203" t="s">
        <v>89</v>
      </c>
      <c r="D203" s="5" t="s">
        <v>261</v>
      </c>
      <c r="E203" s="5" t="s">
        <v>93</v>
      </c>
      <c r="F203" s="17">
        <v>45243</v>
      </c>
      <c r="G203">
        <v>16</v>
      </c>
      <c r="H203" s="3">
        <v>18.100000000000001</v>
      </c>
      <c r="I203" s="3">
        <f t="shared" si="12"/>
        <v>17.64</v>
      </c>
      <c r="J203" s="3">
        <f t="shared" si="18"/>
        <v>1.13375</v>
      </c>
      <c r="K203" s="6">
        <f t="shared" si="13"/>
        <v>4190.7592568897635</v>
      </c>
      <c r="L203" s="4"/>
      <c r="M203" s="4"/>
      <c r="N203" s="4"/>
      <c r="O203" s="4"/>
      <c r="P203" s="7"/>
      <c r="Q203" s="6"/>
      <c r="R203" s="5"/>
      <c r="S203" s="4"/>
      <c r="T203" s="13"/>
      <c r="U203" s="13"/>
      <c r="V203" s="5"/>
      <c r="W203" s="5"/>
      <c r="X203" s="5"/>
      <c r="Y203" s="5"/>
      <c r="Z203" s="5"/>
      <c r="AA203" s="5"/>
      <c r="AB203" s="5"/>
      <c r="AC203" s="5"/>
      <c r="AD203" s="5"/>
      <c r="AF203" s="5"/>
      <c r="AG203" s="6"/>
      <c r="AH203" s="11"/>
      <c r="AI203" s="6"/>
      <c r="AJ203" s="6"/>
      <c r="AK203" s="6"/>
      <c r="AL203" s="6"/>
      <c r="AM203" s="6"/>
      <c r="AN203" s="6"/>
      <c r="AO203" s="12"/>
      <c r="AP203" s="7"/>
      <c r="AQ203" s="6"/>
      <c r="AV203" s="3"/>
      <c r="AW203" s="3"/>
      <c r="AX203" s="3"/>
      <c r="AY203" s="3"/>
      <c r="AZ203" s="4"/>
      <c r="BA203" s="4"/>
      <c r="BB203" s="4"/>
      <c r="BC203" s="4"/>
      <c r="BD203" s="4"/>
      <c r="BE203" s="3"/>
      <c r="BJ203" s="9"/>
      <c r="BK203" s="9"/>
      <c r="BL203" s="9"/>
      <c r="BM203" s="3"/>
      <c r="BN203" s="3"/>
      <c r="BO203" s="3"/>
      <c r="BP203" s="3"/>
      <c r="BQ203" s="3"/>
      <c r="BR203" s="3"/>
    </row>
    <row r="204" spans="1:83" x14ac:dyDescent="0.3">
      <c r="A204" s="2" t="s">
        <v>83</v>
      </c>
      <c r="B204" s="2" t="s">
        <v>142</v>
      </c>
      <c r="C204" t="s">
        <v>89</v>
      </c>
      <c r="D204" s="5" t="s">
        <v>262</v>
      </c>
      <c r="E204" s="5" t="s">
        <v>93</v>
      </c>
      <c r="F204" s="17">
        <v>45243</v>
      </c>
      <c r="G204">
        <v>16</v>
      </c>
      <c r="H204" s="3">
        <v>16.2</v>
      </c>
      <c r="I204" s="3">
        <f t="shared" si="12"/>
        <v>15.739999999999998</v>
      </c>
      <c r="J204" s="3">
        <f t="shared" si="18"/>
        <v>1.13375</v>
      </c>
      <c r="K204" s="6">
        <f t="shared" si="13"/>
        <v>3766.6328789370073</v>
      </c>
      <c r="L204" s="4"/>
      <c r="M204" s="4"/>
      <c r="N204" s="4"/>
      <c r="O204" s="4"/>
      <c r="P204" s="7"/>
      <c r="Q204" s="6"/>
      <c r="R204" s="5"/>
      <c r="S204" s="4"/>
      <c r="T204" s="13"/>
      <c r="U204" s="13"/>
      <c r="V204" s="5"/>
      <c r="W204" s="5"/>
      <c r="X204" s="5"/>
      <c r="Y204" s="5"/>
      <c r="Z204" s="5"/>
      <c r="AA204" s="5"/>
      <c r="AB204" s="5"/>
      <c r="AC204" s="5"/>
      <c r="AD204" s="5"/>
      <c r="AF204" s="5"/>
      <c r="AG204" s="6"/>
      <c r="AH204" s="11"/>
      <c r="AI204" s="6"/>
      <c r="AJ204" s="6"/>
      <c r="AK204" s="6"/>
      <c r="AL204" s="6"/>
      <c r="AM204" s="6"/>
      <c r="AN204" s="6"/>
      <c r="AO204" s="12"/>
      <c r="AP204" s="7"/>
      <c r="AQ204" s="6"/>
      <c r="AV204" s="3"/>
      <c r="AW204" s="3"/>
      <c r="AX204" s="3"/>
      <c r="AY204" s="3"/>
      <c r="AZ204" s="4"/>
      <c r="BA204" s="4"/>
      <c r="BB204" s="4"/>
      <c r="BC204" s="4"/>
      <c r="BD204" s="4"/>
      <c r="BE204" s="3"/>
      <c r="BJ204" s="9"/>
      <c r="BK204" s="9"/>
      <c r="BL204" s="9"/>
      <c r="BM204" s="3"/>
      <c r="BN204" s="3"/>
      <c r="BO204" s="3"/>
      <c r="BP204" s="3"/>
      <c r="BQ204" s="3"/>
      <c r="BR204" s="3"/>
    </row>
    <row r="205" spans="1:83" x14ac:dyDescent="0.3">
      <c r="A205" s="2" t="s">
        <v>83</v>
      </c>
      <c r="B205" s="2" t="s">
        <v>143</v>
      </c>
      <c r="C205" t="s">
        <v>89</v>
      </c>
      <c r="D205" s="5" t="s">
        <v>263</v>
      </c>
      <c r="E205" s="5" t="s">
        <v>93</v>
      </c>
      <c r="F205" s="17">
        <v>45243</v>
      </c>
      <c r="G205">
        <v>16</v>
      </c>
      <c r="H205" s="3">
        <v>11</v>
      </c>
      <c r="I205" s="3">
        <f t="shared" si="12"/>
        <v>10.54</v>
      </c>
      <c r="J205" s="3">
        <f t="shared" si="18"/>
        <v>1.13375</v>
      </c>
      <c r="K205" s="6">
        <f t="shared" si="13"/>
        <v>2605.8659498031493</v>
      </c>
      <c r="L205" s="4"/>
      <c r="M205" s="4"/>
      <c r="N205" s="4"/>
      <c r="O205" s="4"/>
      <c r="P205" s="7"/>
      <c r="Q205" s="6"/>
      <c r="R205" s="5"/>
      <c r="S205" s="4"/>
      <c r="T205" s="13"/>
      <c r="U205" s="13"/>
      <c r="V205" s="5"/>
      <c r="W205" s="5"/>
      <c r="X205" s="5"/>
      <c r="Y205" s="5"/>
      <c r="Z205" s="5"/>
      <c r="AA205" s="5"/>
      <c r="AB205" s="5"/>
      <c r="AC205" s="5"/>
      <c r="AD205" s="5"/>
      <c r="AF205" s="5"/>
      <c r="AG205" s="6"/>
      <c r="AH205" s="11"/>
      <c r="AI205" s="6"/>
      <c r="AJ205" s="6"/>
      <c r="AK205" s="6"/>
      <c r="AL205" s="6"/>
      <c r="AM205" s="6"/>
      <c r="AN205" s="6"/>
      <c r="AO205" s="12"/>
      <c r="AP205" s="7"/>
      <c r="AQ205" s="6"/>
      <c r="AV205" s="3"/>
      <c r="AW205" s="3"/>
      <c r="AX205" s="3"/>
      <c r="AY205" s="3"/>
      <c r="AZ205" s="4"/>
      <c r="BA205" s="4"/>
      <c r="BB205" s="4"/>
      <c r="BC205" s="4"/>
      <c r="BD205" s="4"/>
      <c r="BE205" s="3"/>
      <c r="BJ205" s="9"/>
      <c r="BK205" s="9"/>
      <c r="BL205" s="9"/>
      <c r="BM205" s="3"/>
      <c r="BN205" s="3"/>
      <c r="BO205" s="3"/>
      <c r="BP205" s="3"/>
      <c r="BQ205" s="3"/>
      <c r="BR205" s="3"/>
    </row>
    <row r="206" spans="1:83" x14ac:dyDescent="0.3">
      <c r="A206" s="2" t="s">
        <v>84</v>
      </c>
      <c r="B206" s="2" t="s">
        <v>80</v>
      </c>
      <c r="C206" t="s">
        <v>88</v>
      </c>
      <c r="D206" s="5" t="s">
        <v>264</v>
      </c>
      <c r="E206" s="5" t="s">
        <v>93</v>
      </c>
      <c r="F206" s="17">
        <v>45243</v>
      </c>
      <c r="G206">
        <v>5</v>
      </c>
      <c r="H206" s="3">
        <v>17.100000000000001</v>
      </c>
      <c r="I206" s="3">
        <f t="shared" si="12"/>
        <v>16.64</v>
      </c>
      <c r="J206" s="3">
        <f>($A$55-$A$47)*$A$75</f>
        <v>1.3274999999999999</v>
      </c>
      <c r="K206" s="6">
        <f t="shared" si="13"/>
        <v>4010.784576771654</v>
      </c>
      <c r="L206" s="4"/>
      <c r="M206" s="4"/>
      <c r="N206" s="4"/>
      <c r="O206" s="4"/>
      <c r="P206" s="7"/>
      <c r="Q206" s="6"/>
      <c r="R206" s="5"/>
      <c r="S206" s="4"/>
      <c r="T206" s="13"/>
      <c r="U206" s="13"/>
      <c r="V206" s="5"/>
      <c r="W206" s="5"/>
      <c r="X206" s="5"/>
      <c r="Y206" s="5"/>
      <c r="Z206" s="5"/>
      <c r="AA206" s="5"/>
      <c r="AB206" s="5"/>
      <c r="AC206" s="5"/>
      <c r="AD206" s="5"/>
      <c r="AF206" s="5"/>
      <c r="AG206" s="6"/>
      <c r="AH206" s="11"/>
      <c r="AI206" s="6"/>
      <c r="AJ206" s="6"/>
      <c r="AK206" s="6"/>
      <c r="AL206" s="6"/>
      <c r="AM206" s="6"/>
      <c r="AN206" s="6"/>
      <c r="AO206" s="12"/>
      <c r="AP206" s="7"/>
      <c r="AQ206" s="6"/>
      <c r="AS206" s="4" t="s">
        <v>534</v>
      </c>
      <c r="AT206" s="4" t="str">
        <f>E206</f>
        <v>Machine</v>
      </c>
      <c r="AU206" s="15">
        <f>F206</f>
        <v>45243</v>
      </c>
      <c r="AV206" s="3">
        <f>SUM(H206:H235)</f>
        <v>552.9</v>
      </c>
      <c r="AW206" s="3">
        <f>AV206-24*$A$47</f>
        <v>541.86</v>
      </c>
      <c r="AX206" s="3">
        <f>SUM(J206:J235)</f>
        <v>38.606250000000017</v>
      </c>
      <c r="AY206" s="3">
        <f>(AW206+AX206)*$A$48/(30*$A$49)*$A$50</f>
        <v>4319.1411953740162</v>
      </c>
      <c r="AZ206" s="4">
        <f>SUM(L206:L235)</f>
        <v>17.75</v>
      </c>
      <c r="BA206" s="4">
        <f t="shared" ref="BA206" si="19">SUM(M206:M235)</f>
        <v>397.5</v>
      </c>
      <c r="BB206" s="4">
        <f t="shared" ref="BB206" si="20">SUM(N206:N235)</f>
        <v>379.75</v>
      </c>
      <c r="BC206" s="4">
        <f>SUM(O206:O235)</f>
        <v>359.73</v>
      </c>
      <c r="BD206" s="4">
        <f>(BB206-BC206)/BB206*100</f>
        <v>5.2718894009216539</v>
      </c>
      <c r="BE206" s="3">
        <f>AY206*(1-BD206/100)</f>
        <v>4091.4408484842525</v>
      </c>
      <c r="BF206" s="15">
        <v>45244</v>
      </c>
      <c r="BG206" s="4">
        <f>SUM(S206:S235)</f>
        <v>19.39</v>
      </c>
      <c r="BH206" s="13">
        <f>SUM(T206:T235)</f>
        <v>7.68</v>
      </c>
      <c r="BI206" s="13">
        <f>SUM(U206:U235)</f>
        <v>12.32</v>
      </c>
      <c r="BJ206" s="9">
        <f>(BH206-2*$A$76)/(BG206-2*$A$47*$A$48)</f>
        <v>0.37506531702409623</v>
      </c>
      <c r="BK206" s="9">
        <f>(BI206-2*$A$77)/(BG206-2*$A$47*$A$48)</f>
        <v>0.47014932937815329</v>
      </c>
      <c r="BL206" s="9">
        <f>1-BJ206-BK206</f>
        <v>0.15478535359775042</v>
      </c>
      <c r="BM206" s="3">
        <f>AY206*BJ206</f>
        <v>1619.9600617147894</v>
      </c>
      <c r="BN206" s="3">
        <f>AY206*BK206</f>
        <v>2030.6413364946491</v>
      </c>
      <c r="BO206" s="3">
        <f>SUM(BM206:BN206)</f>
        <v>3650.6013982094382</v>
      </c>
      <c r="BP206" s="3">
        <f>BE206*BJ206</f>
        <v>1534.5575589220834</v>
      </c>
      <c r="BQ206" s="3">
        <f>BE206*BK206</f>
        <v>1923.5881711052539</v>
      </c>
      <c r="BR206" s="3">
        <f>SUM(BP206:BQ206)</f>
        <v>3458.1457300273373</v>
      </c>
      <c r="BT206" s="15">
        <v>45295</v>
      </c>
      <c r="BU206" s="3">
        <f>AVERAGE(AG206:AG235)</f>
        <v>49.5</v>
      </c>
      <c r="BV206" s="13">
        <f>AVERAGE(AH206:AH235)</f>
        <v>1.1265000000000001</v>
      </c>
      <c r="BW206" s="3">
        <f>AVERAGE(AI206:AI235)</f>
        <v>81.2</v>
      </c>
      <c r="BX206" s="3">
        <f>AVERAGE(AJ206:AJ235)</f>
        <v>29.5</v>
      </c>
      <c r="BY206" s="3">
        <f>AVERAGE(AK206:AK235)</f>
        <v>5.3</v>
      </c>
      <c r="BZ206" s="3">
        <f>AVERAGE(AL206:AL235)</f>
        <v>80.5</v>
      </c>
      <c r="CA206" s="3">
        <f>AVERAGE(AM206:AM235)</f>
        <v>8.6999999999999993</v>
      </c>
      <c r="CB206" s="3"/>
      <c r="CC206" s="10">
        <f>AVERAGE(AO206:AO235)</f>
        <v>11</v>
      </c>
      <c r="CD206" s="4">
        <f>AVERAGE(AP206:AP235)</f>
        <v>0.115</v>
      </c>
      <c r="CE206" s="3">
        <f>AVERAGE(AQ206:AQ235)</f>
        <v>11.05</v>
      </c>
    </row>
    <row r="207" spans="1:83" x14ac:dyDescent="0.3">
      <c r="A207" s="2" t="s">
        <v>84</v>
      </c>
      <c r="B207" s="2" t="s">
        <v>81</v>
      </c>
      <c r="C207" t="s">
        <v>88</v>
      </c>
      <c r="D207" s="5" t="s">
        <v>265</v>
      </c>
      <c r="E207" s="5" t="s">
        <v>93</v>
      </c>
      <c r="F207" s="17">
        <v>45243</v>
      </c>
      <c r="G207">
        <v>5</v>
      </c>
      <c r="H207" s="3">
        <v>18</v>
      </c>
      <c r="I207" s="3">
        <f t="shared" si="12"/>
        <v>17.54</v>
      </c>
      <c r="J207" s="3">
        <f t="shared" ref="J207:J220" si="21">($A$55-$A$47)*$A$75</f>
        <v>1.3274999999999999</v>
      </c>
      <c r="K207" s="6">
        <f t="shared" si="13"/>
        <v>4211.6865452755901</v>
      </c>
      <c r="L207" s="4"/>
      <c r="M207" s="4"/>
      <c r="N207" s="4"/>
      <c r="O207" s="4"/>
      <c r="P207" s="7"/>
      <c r="Q207" s="6"/>
      <c r="R207" s="5"/>
      <c r="S207" s="4"/>
      <c r="T207" s="13"/>
      <c r="U207" s="13"/>
      <c r="V207" s="5"/>
      <c r="W207" s="5"/>
      <c r="X207" s="5"/>
      <c r="Y207" s="5"/>
      <c r="Z207" s="5"/>
      <c r="AA207" s="5"/>
      <c r="AB207" s="5"/>
      <c r="AC207" s="5"/>
      <c r="AD207" s="5"/>
      <c r="AF207" s="5"/>
      <c r="AG207" s="6"/>
      <c r="AH207" s="11"/>
      <c r="AI207" s="6"/>
      <c r="AJ207" s="6"/>
      <c r="AK207" s="6"/>
      <c r="AL207" s="6"/>
      <c r="AM207" s="6"/>
      <c r="AN207" s="6"/>
      <c r="AO207" s="12"/>
      <c r="AP207" s="7"/>
      <c r="AQ207" s="6"/>
      <c r="AV207" s="3"/>
      <c r="AW207" s="3"/>
      <c r="AX207" s="3"/>
      <c r="AY207" s="3"/>
      <c r="AZ207" s="4"/>
      <c r="BA207" s="4"/>
      <c r="BB207" s="4"/>
      <c r="BC207" s="4"/>
      <c r="BD207" s="4"/>
      <c r="BE207" s="3"/>
      <c r="BJ207" s="9"/>
      <c r="BK207" s="9"/>
      <c r="BL207" s="9"/>
      <c r="BM207" s="3"/>
      <c r="BN207" s="3"/>
      <c r="BO207" s="3"/>
      <c r="BP207" s="3"/>
      <c r="BQ207" s="3"/>
      <c r="BR207" s="3"/>
    </row>
    <row r="208" spans="1:83" x14ac:dyDescent="0.3">
      <c r="A208" s="2" t="s">
        <v>84</v>
      </c>
      <c r="B208" s="2" t="s">
        <v>82</v>
      </c>
      <c r="C208" t="s">
        <v>88</v>
      </c>
      <c r="D208" s="5" t="s">
        <v>266</v>
      </c>
      <c r="E208" s="5" t="s">
        <v>93</v>
      </c>
      <c r="F208" s="17">
        <v>45243</v>
      </c>
      <c r="G208">
        <v>5</v>
      </c>
      <c r="H208" s="3">
        <v>16.100000000000001</v>
      </c>
      <c r="I208" s="3">
        <f t="shared" si="12"/>
        <v>15.64</v>
      </c>
      <c r="J208" s="3">
        <f t="shared" si="21"/>
        <v>1.3274999999999999</v>
      </c>
      <c r="K208" s="6">
        <f t="shared" si="13"/>
        <v>3787.5601673228348</v>
      </c>
      <c r="L208" s="4"/>
      <c r="M208" s="4"/>
      <c r="N208" s="4"/>
      <c r="O208" s="4"/>
      <c r="P208" s="7"/>
      <c r="Q208" s="6"/>
      <c r="R208" s="5"/>
      <c r="S208" s="4"/>
      <c r="T208" s="13"/>
      <c r="U208" s="13"/>
      <c r="V208" s="5"/>
      <c r="W208" s="5"/>
      <c r="X208" s="5"/>
      <c r="Y208" s="5"/>
      <c r="Z208" s="5"/>
      <c r="AA208" s="5"/>
      <c r="AB208" s="5"/>
      <c r="AC208" s="5"/>
      <c r="AD208" s="5"/>
      <c r="AF208" s="5"/>
      <c r="AG208" s="6"/>
      <c r="AH208" s="11"/>
      <c r="AI208" s="6"/>
      <c r="AJ208" s="6"/>
      <c r="AK208" s="6"/>
      <c r="AL208" s="6"/>
      <c r="AM208" s="6"/>
      <c r="AN208" s="6"/>
      <c r="AO208" s="12"/>
      <c r="AP208" s="7"/>
      <c r="AQ208" s="6"/>
      <c r="AV208" s="3"/>
      <c r="AW208" s="3"/>
      <c r="AX208" s="3"/>
      <c r="AY208" s="3"/>
      <c r="AZ208" s="4"/>
      <c r="BA208" s="4"/>
      <c r="BB208" s="4"/>
      <c r="BC208" s="4"/>
      <c r="BD208" s="4"/>
      <c r="BE208" s="3"/>
      <c r="BJ208" s="9"/>
      <c r="BK208" s="9"/>
      <c r="BL208" s="9"/>
      <c r="BM208" s="3"/>
      <c r="BN208" s="3"/>
      <c r="BO208" s="3"/>
      <c r="BP208" s="3"/>
      <c r="BQ208" s="3"/>
      <c r="BR208" s="3"/>
    </row>
    <row r="209" spans="1:70" x14ac:dyDescent="0.3">
      <c r="A209" s="2" t="s">
        <v>84</v>
      </c>
      <c r="B209" s="2" t="s">
        <v>83</v>
      </c>
      <c r="C209" t="s">
        <v>88</v>
      </c>
      <c r="D209" s="5" t="s">
        <v>267</v>
      </c>
      <c r="E209" s="5" t="s">
        <v>93</v>
      </c>
      <c r="F209" s="17">
        <v>45243</v>
      </c>
      <c r="G209">
        <v>5</v>
      </c>
      <c r="H209" s="3">
        <v>15.9</v>
      </c>
      <c r="I209" s="3">
        <f t="shared" si="12"/>
        <v>15.44</v>
      </c>
      <c r="J209" s="3">
        <f t="shared" si="21"/>
        <v>1.3274999999999999</v>
      </c>
      <c r="K209" s="6">
        <f t="shared" si="13"/>
        <v>3742.9152854330705</v>
      </c>
      <c r="L209" s="4"/>
      <c r="M209" s="4"/>
      <c r="N209" s="4"/>
      <c r="O209" s="4"/>
      <c r="P209" s="7"/>
      <c r="Q209" s="6"/>
      <c r="R209" s="5"/>
      <c r="S209" s="4"/>
      <c r="T209" s="13"/>
      <c r="U209" s="13"/>
      <c r="V209" s="5"/>
      <c r="W209" s="5"/>
      <c r="X209" s="5"/>
      <c r="Y209" s="5"/>
      <c r="Z209" s="5"/>
      <c r="AA209" s="5"/>
      <c r="AB209" s="5"/>
      <c r="AC209" s="5"/>
      <c r="AD209" s="5"/>
      <c r="AF209" s="5"/>
      <c r="AG209" s="6"/>
      <c r="AH209" s="11"/>
      <c r="AI209" s="6"/>
      <c r="AJ209" s="6"/>
      <c r="AK209" s="6"/>
      <c r="AL209" s="6"/>
      <c r="AM209" s="6"/>
      <c r="AN209" s="6"/>
      <c r="AO209" s="12"/>
      <c r="AP209" s="7"/>
      <c r="AQ209" s="6"/>
      <c r="AV209" s="3"/>
      <c r="AW209" s="3"/>
      <c r="AX209" s="3"/>
      <c r="AY209" s="3"/>
      <c r="AZ209" s="4"/>
      <c r="BA209" s="4"/>
      <c r="BB209" s="4"/>
      <c r="BC209" s="4"/>
      <c r="BD209" s="4"/>
      <c r="BE209" s="3"/>
      <c r="BJ209" s="9"/>
      <c r="BK209" s="9"/>
      <c r="BL209" s="9"/>
      <c r="BM209" s="3"/>
      <c r="BN209" s="3"/>
      <c r="BO209" s="3"/>
      <c r="BP209" s="3"/>
      <c r="BQ209" s="3"/>
      <c r="BR209" s="3"/>
    </row>
    <row r="210" spans="1:70" x14ac:dyDescent="0.3">
      <c r="A210" s="2" t="s">
        <v>84</v>
      </c>
      <c r="B210" s="2" t="s">
        <v>84</v>
      </c>
      <c r="C210" t="s">
        <v>88</v>
      </c>
      <c r="D210" s="5" t="s">
        <v>268</v>
      </c>
      <c r="E210" s="5" t="s">
        <v>93</v>
      </c>
      <c r="F210" s="17">
        <v>45243</v>
      </c>
      <c r="G210">
        <v>5</v>
      </c>
      <c r="H210" s="3">
        <v>23.2</v>
      </c>
      <c r="I210" s="3">
        <f t="shared" si="12"/>
        <v>22.74</v>
      </c>
      <c r="J210" s="3">
        <f t="shared" si="21"/>
        <v>1.3274999999999999</v>
      </c>
      <c r="K210" s="6">
        <f t="shared" si="13"/>
        <v>5372.453474409449</v>
      </c>
      <c r="L210" s="4"/>
      <c r="M210" s="4"/>
      <c r="N210" s="4"/>
      <c r="O210" s="4"/>
      <c r="P210" s="7"/>
      <c r="Q210" s="6"/>
      <c r="R210" s="5"/>
      <c r="S210" s="4"/>
      <c r="T210" s="13"/>
      <c r="U210" s="13"/>
      <c r="V210" s="5"/>
      <c r="W210" s="5"/>
      <c r="X210" s="5"/>
      <c r="Y210" s="5"/>
      <c r="Z210" s="5"/>
      <c r="AA210" s="5"/>
      <c r="AB210" s="5"/>
      <c r="AC210" s="5"/>
      <c r="AD210" s="5"/>
      <c r="AF210" s="5"/>
      <c r="AG210" s="6"/>
      <c r="AH210" s="11"/>
      <c r="AI210" s="6"/>
      <c r="AJ210" s="6"/>
      <c r="AK210" s="6"/>
      <c r="AL210" s="6"/>
      <c r="AM210" s="6"/>
      <c r="AN210" s="6"/>
      <c r="AO210" s="12"/>
      <c r="AP210" s="7"/>
      <c r="AQ210" s="6"/>
      <c r="AV210" s="3"/>
      <c r="AW210" s="3"/>
      <c r="AX210" s="3"/>
      <c r="AY210" s="3"/>
      <c r="AZ210" s="4"/>
      <c r="BA210" s="4"/>
      <c r="BB210" s="4"/>
      <c r="BC210" s="4"/>
      <c r="BD210" s="4"/>
      <c r="BE210" s="3"/>
      <c r="BJ210" s="9"/>
      <c r="BK210" s="9"/>
      <c r="BL210" s="9"/>
      <c r="BM210" s="3"/>
      <c r="BN210" s="3"/>
      <c r="BO210" s="3"/>
      <c r="BP210" s="3"/>
      <c r="BQ210" s="3"/>
      <c r="BR210" s="3"/>
    </row>
    <row r="211" spans="1:70" x14ac:dyDescent="0.3">
      <c r="A211" s="2" t="s">
        <v>84</v>
      </c>
      <c r="B211" s="2" t="s">
        <v>85</v>
      </c>
      <c r="C211" t="s">
        <v>88</v>
      </c>
      <c r="D211" s="5" t="s">
        <v>269</v>
      </c>
      <c r="E211" s="5" t="s">
        <v>93</v>
      </c>
      <c r="F211" s="17">
        <v>45243</v>
      </c>
      <c r="G211">
        <v>5</v>
      </c>
      <c r="H211" s="3">
        <v>20.7</v>
      </c>
      <c r="I211" s="3">
        <f t="shared" si="12"/>
        <v>20.239999999999998</v>
      </c>
      <c r="J211" s="3">
        <f t="shared" si="21"/>
        <v>1.3274999999999999</v>
      </c>
      <c r="K211" s="6">
        <f t="shared" si="13"/>
        <v>4814.3924507874008</v>
      </c>
      <c r="L211" s="4"/>
      <c r="M211" s="4"/>
      <c r="N211" s="4"/>
      <c r="O211" s="4"/>
      <c r="P211" s="7"/>
      <c r="Q211" s="6"/>
      <c r="R211" s="5"/>
      <c r="S211" s="4"/>
      <c r="T211" s="13"/>
      <c r="U211" s="13"/>
      <c r="V211" s="5"/>
      <c r="W211" s="5"/>
      <c r="X211" s="5"/>
      <c r="Y211" s="5"/>
      <c r="Z211" s="5"/>
      <c r="AA211" s="5"/>
      <c r="AB211" s="5"/>
      <c r="AC211" s="5"/>
      <c r="AD211" s="5"/>
      <c r="AF211" s="5"/>
      <c r="AG211" s="6"/>
      <c r="AH211" s="11"/>
      <c r="AI211" s="6"/>
      <c r="AJ211" s="6"/>
      <c r="AK211" s="6"/>
      <c r="AL211" s="6"/>
      <c r="AM211" s="6"/>
      <c r="AN211" s="6"/>
      <c r="AO211" s="12"/>
      <c r="AP211" s="7"/>
      <c r="AQ211" s="6"/>
      <c r="AV211" s="3"/>
      <c r="AW211" s="3"/>
      <c r="AX211" s="3"/>
      <c r="AY211" s="3"/>
      <c r="AZ211" s="4"/>
      <c r="BA211" s="4"/>
      <c r="BB211" s="4"/>
      <c r="BC211" s="4"/>
      <c r="BD211" s="4"/>
      <c r="BE211" s="3"/>
      <c r="BJ211" s="9"/>
      <c r="BK211" s="9"/>
      <c r="BL211" s="9"/>
      <c r="BM211" s="3"/>
      <c r="BN211" s="3"/>
      <c r="BO211" s="3"/>
      <c r="BP211" s="3"/>
      <c r="BQ211" s="3"/>
      <c r="BR211" s="3"/>
    </row>
    <row r="212" spans="1:70" x14ac:dyDescent="0.3">
      <c r="A212" s="2" t="s">
        <v>84</v>
      </c>
      <c r="B212" s="2" t="s">
        <v>86</v>
      </c>
      <c r="C212" t="s">
        <v>88</v>
      </c>
      <c r="D212" s="5" t="s">
        <v>270</v>
      </c>
      <c r="E212" s="5" t="s">
        <v>93</v>
      </c>
      <c r="F212" s="17">
        <v>45243</v>
      </c>
      <c r="G212">
        <v>5</v>
      </c>
      <c r="H212" s="3">
        <v>15.3</v>
      </c>
      <c r="I212" s="3">
        <f t="shared" si="12"/>
        <v>14.84</v>
      </c>
      <c r="J212" s="3">
        <f t="shared" si="21"/>
        <v>1.3274999999999999</v>
      </c>
      <c r="K212" s="6">
        <f t="shared" si="13"/>
        <v>3608.9806397637799</v>
      </c>
      <c r="L212" s="4"/>
      <c r="M212" s="4"/>
      <c r="N212" s="4"/>
      <c r="O212" s="4"/>
      <c r="P212" s="7"/>
      <c r="Q212" s="6"/>
      <c r="R212" s="5"/>
      <c r="S212" s="4"/>
      <c r="T212" s="13"/>
      <c r="U212" s="13"/>
      <c r="V212" s="5"/>
      <c r="W212" s="5"/>
      <c r="X212" s="5"/>
      <c r="Y212" s="5"/>
      <c r="Z212" s="5"/>
      <c r="AA212" s="5"/>
      <c r="AB212" s="5"/>
      <c r="AC212" s="5"/>
      <c r="AD212" s="5"/>
      <c r="AF212" s="5"/>
      <c r="AG212" s="6"/>
      <c r="AH212" s="11"/>
      <c r="AI212" s="6"/>
      <c r="AJ212" s="6"/>
      <c r="AK212" s="6"/>
      <c r="AL212" s="6"/>
      <c r="AM212" s="6"/>
      <c r="AN212" s="6"/>
      <c r="AO212" s="12"/>
      <c r="AP212" s="7"/>
      <c r="AQ212" s="6"/>
      <c r="AV212" s="3"/>
      <c r="AW212" s="3"/>
      <c r="AX212" s="3"/>
      <c r="AY212" s="3"/>
      <c r="AZ212" s="4"/>
      <c r="BA212" s="4"/>
      <c r="BB212" s="4"/>
      <c r="BC212" s="4"/>
      <c r="BD212" s="4"/>
      <c r="BE212" s="3"/>
      <c r="BJ212" s="9"/>
      <c r="BK212" s="9"/>
      <c r="BL212" s="9"/>
      <c r="BM212" s="3"/>
      <c r="BN212" s="3"/>
      <c r="BO212" s="3"/>
      <c r="BP212" s="3"/>
      <c r="BQ212" s="3"/>
      <c r="BR212" s="3"/>
    </row>
    <row r="213" spans="1:70" x14ac:dyDescent="0.3">
      <c r="A213" s="2" t="s">
        <v>84</v>
      </c>
      <c r="B213" s="2" t="s">
        <v>87</v>
      </c>
      <c r="C213" t="s">
        <v>88</v>
      </c>
      <c r="D213" s="5" t="s">
        <v>271</v>
      </c>
      <c r="E213" s="5" t="s">
        <v>93</v>
      </c>
      <c r="F213" s="17">
        <v>45243</v>
      </c>
      <c r="G213">
        <v>5</v>
      </c>
      <c r="H213" s="3">
        <v>19.899999999999999</v>
      </c>
      <c r="I213" s="3">
        <f t="shared" si="12"/>
        <v>19.439999999999998</v>
      </c>
      <c r="J213" s="3">
        <f t="shared" si="21"/>
        <v>1.3274999999999999</v>
      </c>
      <c r="K213" s="6">
        <f t="shared" si="13"/>
        <v>4635.8129232283454</v>
      </c>
      <c r="L213" s="4">
        <v>8.83</v>
      </c>
      <c r="M213" s="4">
        <v>194.11</v>
      </c>
      <c r="N213" s="4">
        <v>185.28</v>
      </c>
      <c r="O213" s="4">
        <v>174.48</v>
      </c>
      <c r="P213" s="7">
        <f>(N213-O213)/N213*100</f>
        <v>5.8290155440414573</v>
      </c>
      <c r="Q213" s="6">
        <f>K213*(1-P213/100)</f>
        <v>4365.5906673406826</v>
      </c>
      <c r="R213" s="14">
        <v>45244</v>
      </c>
      <c r="S213" s="4">
        <v>8.84</v>
      </c>
      <c r="T213" s="13">
        <v>3.51</v>
      </c>
      <c r="U213" s="13">
        <v>5.7450000000000001</v>
      </c>
      <c r="V213" s="8">
        <f>(T213-$A$76)/(S213-$A$47*$A$48)</f>
        <v>0.3739856300169338</v>
      </c>
      <c r="W213" s="8">
        <f>(U213-$A$77)/(S213-$A$47*$A$48)</f>
        <v>0.46864060514823336</v>
      </c>
      <c r="X213" s="8">
        <f>1-V213-W213</f>
        <v>0.1573737648348329</v>
      </c>
      <c r="Y213" s="6">
        <f>K213*V213</f>
        <v>1733.7274167341964</v>
      </c>
      <c r="Z213" s="6">
        <f>K213*W213</f>
        <v>2172.5301736957326</v>
      </c>
      <c r="AA213" s="6">
        <f>SUM(Y213:Z213)</f>
        <v>3906.2575904299292</v>
      </c>
      <c r="AB213" s="6">
        <f>Q213*V213</f>
        <v>1632.6681761214516</v>
      </c>
      <c r="AC213" s="6">
        <f>Q213*W213</f>
        <v>2045.8930521720174</v>
      </c>
      <c r="AD213" s="6">
        <f>SUM(AB213:AC213)</f>
        <v>3678.561228293469</v>
      </c>
      <c r="AE213" t="s">
        <v>545</v>
      </c>
      <c r="AF213" s="14">
        <v>45295</v>
      </c>
      <c r="AG213" s="6">
        <v>48.6</v>
      </c>
      <c r="AH213" s="11">
        <v>1.1299999999999999</v>
      </c>
      <c r="AI213" s="6">
        <v>82</v>
      </c>
      <c r="AJ213" s="6">
        <v>30.6</v>
      </c>
      <c r="AK213" s="6">
        <v>5</v>
      </c>
      <c r="AL213" s="6">
        <v>80.8</v>
      </c>
      <c r="AM213" s="6">
        <v>8.5</v>
      </c>
      <c r="AN213" s="6" t="s">
        <v>133</v>
      </c>
      <c r="AO213" s="12">
        <v>13</v>
      </c>
      <c r="AP213" s="7">
        <v>0.14000000000000001</v>
      </c>
      <c r="AQ213" s="6">
        <v>10</v>
      </c>
      <c r="AV213" s="3"/>
      <c r="AW213" s="3"/>
      <c r="AX213" s="3"/>
      <c r="AY213" s="3"/>
      <c r="AZ213" s="4"/>
      <c r="BA213" s="4"/>
      <c r="BB213" s="4"/>
      <c r="BC213" s="4"/>
      <c r="BD213" s="4"/>
      <c r="BE213" s="3"/>
      <c r="BJ213" s="9"/>
      <c r="BK213" s="9"/>
      <c r="BL213" s="9"/>
      <c r="BM213" s="3"/>
      <c r="BN213" s="3"/>
      <c r="BO213" s="3"/>
      <c r="BP213" s="3"/>
      <c r="BQ213" s="3"/>
      <c r="BR213" s="3"/>
    </row>
    <row r="214" spans="1:70" x14ac:dyDescent="0.3">
      <c r="A214" s="2" t="s">
        <v>84</v>
      </c>
      <c r="B214" s="2" t="s">
        <v>137</v>
      </c>
      <c r="C214" t="s">
        <v>88</v>
      </c>
      <c r="D214" s="5" t="s">
        <v>272</v>
      </c>
      <c r="E214" s="5" t="s">
        <v>93</v>
      </c>
      <c r="F214" s="17">
        <v>45243</v>
      </c>
      <c r="G214">
        <v>5</v>
      </c>
      <c r="H214" s="3">
        <v>16.399999999999999</v>
      </c>
      <c r="I214" s="3">
        <f t="shared" si="12"/>
        <v>15.939999999999998</v>
      </c>
      <c r="J214" s="3">
        <f t="shared" si="21"/>
        <v>1.3274999999999999</v>
      </c>
      <c r="K214" s="6">
        <f t="shared" si="13"/>
        <v>3854.5274901574799</v>
      </c>
      <c r="L214" s="4"/>
      <c r="M214" s="4"/>
      <c r="N214" s="4"/>
      <c r="O214" s="4"/>
      <c r="P214" s="7"/>
      <c r="Q214" s="6"/>
      <c r="R214" s="5"/>
      <c r="S214" s="4"/>
      <c r="T214" s="13"/>
      <c r="U214" s="13"/>
      <c r="V214" s="5"/>
      <c r="W214" s="5"/>
      <c r="X214" s="5"/>
      <c r="Y214" s="5"/>
      <c r="Z214" s="5"/>
      <c r="AA214" s="5"/>
      <c r="AB214" s="5"/>
      <c r="AC214" s="5"/>
      <c r="AD214" s="5"/>
      <c r="AF214" s="5"/>
      <c r="AG214" s="6"/>
      <c r="AH214" s="11"/>
      <c r="AI214" s="6"/>
      <c r="AJ214" s="6"/>
      <c r="AK214" s="6"/>
      <c r="AL214" s="6"/>
      <c r="AM214" s="6"/>
      <c r="AN214" s="6"/>
      <c r="AO214" s="12"/>
      <c r="AP214" s="7"/>
      <c r="AQ214" s="6"/>
      <c r="AV214" s="3"/>
      <c r="AW214" s="3"/>
      <c r="AX214" s="3"/>
      <c r="AY214" s="3"/>
      <c r="AZ214" s="4"/>
      <c r="BA214" s="4"/>
      <c r="BB214" s="4"/>
      <c r="BC214" s="4"/>
      <c r="BD214" s="4"/>
      <c r="BE214" s="3"/>
      <c r="BJ214" s="9"/>
      <c r="BK214" s="9"/>
      <c r="BL214" s="9"/>
      <c r="BM214" s="3"/>
      <c r="BN214" s="3"/>
      <c r="BO214" s="3"/>
      <c r="BP214" s="3"/>
      <c r="BQ214" s="3"/>
      <c r="BR214" s="3"/>
    </row>
    <row r="215" spans="1:70" x14ac:dyDescent="0.3">
      <c r="A215" s="2" t="s">
        <v>84</v>
      </c>
      <c r="B215" s="2" t="s">
        <v>138</v>
      </c>
      <c r="C215" t="s">
        <v>88</v>
      </c>
      <c r="D215" s="5" t="s">
        <v>273</v>
      </c>
      <c r="E215" s="5" t="s">
        <v>93</v>
      </c>
      <c r="F215" s="17">
        <v>45243</v>
      </c>
      <c r="G215">
        <v>5</v>
      </c>
      <c r="H215" s="3">
        <v>14.2</v>
      </c>
      <c r="I215" s="3">
        <f t="shared" ref="I215:I278" si="22">H215-$A$47</f>
        <v>13.739999999999998</v>
      </c>
      <c r="J215" s="3">
        <f t="shared" si="21"/>
        <v>1.3274999999999999</v>
      </c>
      <c r="K215" s="6">
        <f t="shared" ref="K215:K278" si="23">(I215+J215)*$A$48/$A$49*$A$50</f>
        <v>3363.4337893700781</v>
      </c>
      <c r="L215" s="4"/>
      <c r="M215" s="4"/>
      <c r="N215" s="4"/>
      <c r="O215" s="4"/>
      <c r="P215" s="7"/>
      <c r="Q215" s="6"/>
      <c r="R215" s="5"/>
      <c r="S215" s="4"/>
      <c r="T215" s="13"/>
      <c r="U215" s="13"/>
      <c r="V215" s="5"/>
      <c r="W215" s="5"/>
      <c r="X215" s="5"/>
      <c r="Y215" s="5"/>
      <c r="Z215" s="5"/>
      <c r="AA215" s="5"/>
      <c r="AB215" s="5"/>
      <c r="AC215" s="5"/>
      <c r="AD215" s="5"/>
      <c r="AF215" s="5"/>
      <c r="AG215" s="6"/>
      <c r="AH215" s="11"/>
      <c r="AI215" s="6"/>
      <c r="AJ215" s="6"/>
      <c r="AK215" s="6"/>
      <c r="AL215" s="6"/>
      <c r="AM215" s="6"/>
      <c r="AN215" s="6"/>
      <c r="AO215" s="12"/>
      <c r="AP215" s="7"/>
      <c r="AQ215" s="6"/>
      <c r="AV215" s="3"/>
      <c r="AW215" s="3"/>
      <c r="AX215" s="3"/>
      <c r="AY215" s="3"/>
      <c r="AZ215" s="4"/>
      <c r="BA215" s="4"/>
      <c r="BB215" s="4"/>
      <c r="BC215" s="4"/>
      <c r="BD215" s="4"/>
      <c r="BE215" s="3"/>
      <c r="BJ215" s="9"/>
      <c r="BK215" s="9"/>
      <c r="BL215" s="9"/>
      <c r="BM215" s="3"/>
      <c r="BN215" s="3"/>
      <c r="BO215" s="3"/>
      <c r="BP215" s="3"/>
      <c r="BQ215" s="3"/>
      <c r="BR215" s="3"/>
    </row>
    <row r="216" spans="1:70" x14ac:dyDescent="0.3">
      <c r="A216" s="2" t="s">
        <v>84</v>
      </c>
      <c r="B216" s="2" t="s">
        <v>139</v>
      </c>
      <c r="C216" t="s">
        <v>88</v>
      </c>
      <c r="D216" s="5" t="s">
        <v>274</v>
      </c>
      <c r="E216" s="5" t="s">
        <v>93</v>
      </c>
      <c r="F216" s="17">
        <v>45243</v>
      </c>
      <c r="G216">
        <v>5</v>
      </c>
      <c r="H216" s="3">
        <v>16.8</v>
      </c>
      <c r="I216" s="3">
        <f t="shared" si="22"/>
        <v>16.34</v>
      </c>
      <c r="J216" s="3">
        <f t="shared" si="21"/>
        <v>1.3274999999999999</v>
      </c>
      <c r="K216" s="6">
        <f t="shared" si="23"/>
        <v>3943.817253937008</v>
      </c>
      <c r="L216" s="4"/>
      <c r="M216" s="4"/>
      <c r="N216" s="4"/>
      <c r="O216" s="4"/>
      <c r="P216" s="7"/>
      <c r="Q216" s="6"/>
      <c r="R216" s="5"/>
      <c r="S216" s="4"/>
      <c r="T216" s="13"/>
      <c r="U216" s="13"/>
      <c r="V216" s="5"/>
      <c r="W216" s="5"/>
      <c r="X216" s="5"/>
      <c r="Y216" s="5"/>
      <c r="Z216" s="5"/>
      <c r="AA216" s="5"/>
      <c r="AB216" s="5"/>
      <c r="AC216" s="5"/>
      <c r="AD216" s="5"/>
      <c r="AF216" s="5"/>
      <c r="AG216" s="6"/>
      <c r="AH216" s="11"/>
      <c r="AI216" s="6"/>
      <c r="AJ216" s="6"/>
      <c r="AK216" s="6"/>
      <c r="AL216" s="6"/>
      <c r="AM216" s="6"/>
      <c r="AN216" s="6"/>
      <c r="AO216" s="12"/>
      <c r="AP216" s="7"/>
      <c r="AQ216" s="6"/>
      <c r="AV216" s="3"/>
      <c r="AW216" s="3"/>
      <c r="AX216" s="3"/>
      <c r="AY216" s="3"/>
      <c r="AZ216" s="4"/>
      <c r="BA216" s="4"/>
      <c r="BB216" s="4"/>
      <c r="BC216" s="4"/>
      <c r="BD216" s="4"/>
      <c r="BE216" s="3"/>
      <c r="BJ216" s="9"/>
      <c r="BK216" s="9"/>
      <c r="BL216" s="9"/>
      <c r="BM216" s="3"/>
      <c r="BN216" s="3"/>
      <c r="BO216" s="3"/>
      <c r="BP216" s="3"/>
      <c r="BQ216" s="3"/>
      <c r="BR216" s="3"/>
    </row>
    <row r="217" spans="1:70" x14ac:dyDescent="0.3">
      <c r="A217" s="2" t="s">
        <v>84</v>
      </c>
      <c r="B217" s="2" t="s">
        <v>140</v>
      </c>
      <c r="C217" t="s">
        <v>88</v>
      </c>
      <c r="D217" s="5" t="s">
        <v>275</v>
      </c>
      <c r="E217" s="5" t="s">
        <v>93</v>
      </c>
      <c r="F217" s="17">
        <v>45243</v>
      </c>
      <c r="G217">
        <v>5</v>
      </c>
      <c r="H217" s="3">
        <v>16.8</v>
      </c>
      <c r="I217" s="3">
        <f t="shared" si="22"/>
        <v>16.34</v>
      </c>
      <c r="J217" s="3">
        <f t="shared" si="21"/>
        <v>1.3274999999999999</v>
      </c>
      <c r="K217" s="6">
        <f t="shared" si="23"/>
        <v>3943.817253937008</v>
      </c>
      <c r="L217" s="4"/>
      <c r="M217" s="4"/>
      <c r="N217" s="4"/>
      <c r="O217" s="4"/>
      <c r="P217" s="7"/>
      <c r="Q217" s="6"/>
      <c r="R217" s="5"/>
      <c r="S217" s="4"/>
      <c r="T217" s="13"/>
      <c r="U217" s="13"/>
      <c r="V217" s="5"/>
      <c r="W217" s="5"/>
      <c r="X217" s="5"/>
      <c r="Y217" s="5"/>
      <c r="Z217" s="5"/>
      <c r="AA217" s="5"/>
      <c r="AB217" s="5"/>
      <c r="AC217" s="5"/>
      <c r="AD217" s="5"/>
      <c r="AF217" s="5"/>
      <c r="AG217" s="6"/>
      <c r="AH217" s="11"/>
      <c r="AI217" s="6"/>
      <c r="AJ217" s="6"/>
      <c r="AK217" s="6"/>
      <c r="AL217" s="6"/>
      <c r="AM217" s="6"/>
      <c r="AN217" s="6"/>
      <c r="AO217" s="12"/>
      <c r="AP217" s="7"/>
      <c r="AQ217" s="6"/>
      <c r="AV217" s="3"/>
      <c r="AW217" s="3"/>
      <c r="AX217" s="3"/>
      <c r="AY217" s="3"/>
      <c r="AZ217" s="4"/>
      <c r="BA217" s="4"/>
      <c r="BB217" s="4"/>
      <c r="BC217" s="4"/>
      <c r="BD217" s="4"/>
      <c r="BE217" s="3"/>
      <c r="BJ217" s="9"/>
      <c r="BK217" s="9"/>
      <c r="BL217" s="9"/>
      <c r="BM217" s="3"/>
      <c r="BN217" s="3"/>
      <c r="BO217" s="3"/>
      <c r="BP217" s="3"/>
      <c r="BQ217" s="3"/>
      <c r="BR217" s="3"/>
    </row>
    <row r="218" spans="1:70" x14ac:dyDescent="0.3">
      <c r="A218" s="2" t="s">
        <v>84</v>
      </c>
      <c r="B218" s="2" t="s">
        <v>141</v>
      </c>
      <c r="C218" t="s">
        <v>88</v>
      </c>
      <c r="D218" s="5" t="s">
        <v>276</v>
      </c>
      <c r="E218" s="5" t="s">
        <v>93</v>
      </c>
      <c r="F218" s="17">
        <v>45243</v>
      </c>
      <c r="G218">
        <v>5</v>
      </c>
      <c r="H218" s="3">
        <v>19.7</v>
      </c>
      <c r="I218" s="3">
        <f t="shared" si="22"/>
        <v>19.239999999999998</v>
      </c>
      <c r="J218" s="3">
        <f t="shared" si="21"/>
        <v>1.3274999999999999</v>
      </c>
      <c r="K218" s="6">
        <f t="shared" si="23"/>
        <v>4591.168041338583</v>
      </c>
      <c r="L218" s="4"/>
      <c r="M218" s="4"/>
      <c r="N218" s="4"/>
      <c r="O218" s="4"/>
      <c r="P218" s="7"/>
      <c r="Q218" s="6"/>
      <c r="R218" s="5"/>
      <c r="S218" s="4"/>
      <c r="T218" s="13"/>
      <c r="U218" s="13"/>
      <c r="V218" s="5"/>
      <c r="W218" s="5"/>
      <c r="X218" s="5"/>
      <c r="Y218" s="5"/>
      <c r="Z218" s="5"/>
      <c r="AA218" s="5"/>
      <c r="AB218" s="5"/>
      <c r="AC218" s="5"/>
      <c r="AD218" s="5"/>
      <c r="AF218" s="5"/>
      <c r="AG218" s="6"/>
      <c r="AH218" s="11"/>
      <c r="AI218" s="6"/>
      <c r="AJ218" s="6"/>
      <c r="AK218" s="6"/>
      <c r="AL218" s="6"/>
      <c r="AM218" s="6"/>
      <c r="AN218" s="6"/>
      <c r="AO218" s="12"/>
      <c r="AP218" s="7"/>
      <c r="AQ218" s="6"/>
      <c r="AV218" s="3"/>
      <c r="AW218" s="3"/>
      <c r="AX218" s="3"/>
      <c r="AY218" s="3"/>
      <c r="AZ218" s="4"/>
      <c r="BA218" s="4"/>
      <c r="BB218" s="4"/>
      <c r="BC218" s="4"/>
      <c r="BD218" s="4"/>
      <c r="BE218" s="3"/>
      <c r="BJ218" s="9"/>
      <c r="BK218" s="9"/>
      <c r="BL218" s="9"/>
      <c r="BM218" s="3"/>
      <c r="BN218" s="3"/>
      <c r="BO218" s="3"/>
      <c r="BP218" s="3"/>
      <c r="BQ218" s="3"/>
      <c r="BR218" s="3"/>
    </row>
    <row r="219" spans="1:70" x14ac:dyDescent="0.3">
      <c r="A219" s="2" t="s">
        <v>84</v>
      </c>
      <c r="B219" s="2" t="s">
        <v>142</v>
      </c>
      <c r="C219" t="s">
        <v>88</v>
      </c>
      <c r="D219" s="5" t="s">
        <v>277</v>
      </c>
      <c r="E219" s="5" t="s">
        <v>93</v>
      </c>
      <c r="F219" s="17">
        <v>45243</v>
      </c>
      <c r="G219">
        <v>5</v>
      </c>
      <c r="H219" s="3">
        <v>15.5</v>
      </c>
      <c r="I219" s="3">
        <f t="shared" si="22"/>
        <v>15.04</v>
      </c>
      <c r="J219" s="3">
        <f t="shared" si="21"/>
        <v>1.3274999999999999</v>
      </c>
      <c r="K219" s="6">
        <f t="shared" si="23"/>
        <v>3653.6255216535428</v>
      </c>
      <c r="L219" s="4"/>
      <c r="M219" s="4"/>
      <c r="N219" s="4"/>
      <c r="O219" s="4"/>
      <c r="P219" s="7"/>
      <c r="Q219" s="6"/>
      <c r="R219" s="5"/>
      <c r="S219" s="4"/>
      <c r="T219" s="13"/>
      <c r="U219" s="13"/>
      <c r="V219" s="5"/>
      <c r="W219" s="5"/>
      <c r="X219" s="5"/>
      <c r="Y219" s="5"/>
      <c r="Z219" s="5"/>
      <c r="AA219" s="5"/>
      <c r="AB219" s="5"/>
      <c r="AC219" s="5"/>
      <c r="AD219" s="5"/>
      <c r="AF219" s="5"/>
      <c r="AG219" s="6"/>
      <c r="AH219" s="11"/>
      <c r="AI219" s="6"/>
      <c r="AJ219" s="6"/>
      <c r="AK219" s="6"/>
      <c r="AL219" s="6"/>
      <c r="AM219" s="6"/>
      <c r="AN219" s="6"/>
      <c r="AO219" s="12"/>
      <c r="AP219" s="7"/>
      <c r="AQ219" s="6"/>
      <c r="AV219" s="3"/>
      <c r="AW219" s="3"/>
      <c r="AX219" s="3"/>
      <c r="AY219" s="3"/>
      <c r="AZ219" s="4"/>
      <c r="BA219" s="4"/>
      <c r="BB219" s="4"/>
      <c r="BC219" s="4"/>
      <c r="BD219" s="4"/>
      <c r="BE219" s="3"/>
      <c r="BJ219" s="9"/>
      <c r="BK219" s="9"/>
      <c r="BL219" s="9"/>
      <c r="BM219" s="3"/>
      <c r="BN219" s="3"/>
      <c r="BO219" s="3"/>
      <c r="BP219" s="3"/>
      <c r="BQ219" s="3"/>
      <c r="BR219" s="3"/>
    </row>
    <row r="220" spans="1:70" x14ac:dyDescent="0.3">
      <c r="A220" s="2" t="s">
        <v>84</v>
      </c>
      <c r="B220" s="2" t="s">
        <v>143</v>
      </c>
      <c r="C220" t="s">
        <v>88</v>
      </c>
      <c r="D220" s="5" t="s">
        <v>278</v>
      </c>
      <c r="E220" s="5" t="s">
        <v>93</v>
      </c>
      <c r="F220" s="17">
        <v>45243</v>
      </c>
      <c r="G220">
        <v>5</v>
      </c>
      <c r="H220" s="3">
        <v>13.5</v>
      </c>
      <c r="I220" s="3">
        <f t="shared" si="22"/>
        <v>13.04</v>
      </c>
      <c r="J220" s="3">
        <f t="shared" si="21"/>
        <v>1.3274999999999999</v>
      </c>
      <c r="K220" s="6">
        <f t="shared" si="23"/>
        <v>3207.1767027559049</v>
      </c>
      <c r="L220" s="4"/>
      <c r="M220" s="4"/>
      <c r="N220" s="4"/>
      <c r="O220" s="4"/>
      <c r="P220" s="7"/>
      <c r="Q220" s="6"/>
      <c r="R220" s="5"/>
      <c r="S220" s="4"/>
      <c r="T220" s="13"/>
      <c r="U220" s="13"/>
      <c r="V220" s="5"/>
      <c r="W220" s="5"/>
      <c r="X220" s="5"/>
      <c r="Y220" s="5"/>
      <c r="Z220" s="5"/>
      <c r="AA220" s="5"/>
      <c r="AB220" s="5"/>
      <c r="AC220" s="5"/>
      <c r="AD220" s="5"/>
      <c r="AF220" s="5"/>
      <c r="AG220" s="6"/>
      <c r="AH220" s="11"/>
      <c r="AI220" s="6"/>
      <c r="AJ220" s="6"/>
      <c r="AK220" s="6"/>
      <c r="AL220" s="6"/>
      <c r="AM220" s="6"/>
      <c r="AN220" s="6"/>
      <c r="AO220" s="12"/>
      <c r="AP220" s="7"/>
      <c r="AQ220" s="6"/>
      <c r="AV220" s="3"/>
      <c r="AW220" s="3"/>
      <c r="AX220" s="3"/>
      <c r="AY220" s="3"/>
      <c r="AZ220" s="4"/>
      <c r="BA220" s="4"/>
      <c r="BB220" s="4"/>
      <c r="BC220" s="4"/>
      <c r="BD220" s="4"/>
      <c r="BE220" s="3"/>
      <c r="BJ220" s="9"/>
      <c r="BK220" s="9"/>
      <c r="BL220" s="9"/>
      <c r="BM220" s="3"/>
      <c r="BN220" s="3"/>
      <c r="BO220" s="3"/>
      <c r="BP220" s="3"/>
      <c r="BQ220" s="3"/>
      <c r="BR220" s="3"/>
    </row>
    <row r="221" spans="1:70" x14ac:dyDescent="0.3">
      <c r="A221" s="2" t="s">
        <v>84</v>
      </c>
      <c r="B221" s="2" t="s">
        <v>80</v>
      </c>
      <c r="C221" t="s">
        <v>89</v>
      </c>
      <c r="D221" s="5" t="s">
        <v>279</v>
      </c>
      <c r="E221" s="5" t="s">
        <v>93</v>
      </c>
      <c r="F221" s="17">
        <v>45243</v>
      </c>
      <c r="G221">
        <v>17</v>
      </c>
      <c r="H221" s="3">
        <v>23.3</v>
      </c>
      <c r="I221" s="3">
        <f t="shared" si="22"/>
        <v>22.84</v>
      </c>
      <c r="J221" s="3">
        <f>($A$67-$A$47)*$A$75</f>
        <v>1.2462499999999999</v>
      </c>
      <c r="K221" s="6">
        <f t="shared" si="23"/>
        <v>5376.6389320866137</v>
      </c>
      <c r="L221" s="4"/>
      <c r="M221" s="4"/>
      <c r="N221" s="4"/>
      <c r="O221" s="4"/>
      <c r="P221" s="7"/>
      <c r="Q221" s="6"/>
      <c r="R221" s="5"/>
      <c r="S221" s="4"/>
      <c r="T221" s="13"/>
      <c r="U221" s="13"/>
      <c r="V221" s="5"/>
      <c r="W221" s="5"/>
      <c r="X221" s="5"/>
      <c r="Y221" s="5"/>
      <c r="Z221" s="5"/>
      <c r="AA221" s="5"/>
      <c r="AB221" s="5"/>
      <c r="AC221" s="5"/>
      <c r="AD221" s="5"/>
      <c r="AF221" s="5"/>
      <c r="AG221" s="6"/>
      <c r="AH221" s="11"/>
      <c r="AI221" s="6"/>
      <c r="AJ221" s="6"/>
      <c r="AK221" s="6"/>
      <c r="AL221" s="6"/>
      <c r="AM221" s="6"/>
      <c r="AN221" s="6"/>
      <c r="AO221" s="12"/>
      <c r="AP221" s="7"/>
      <c r="AQ221" s="6"/>
      <c r="AV221" s="3"/>
      <c r="AW221" s="3"/>
      <c r="AX221" s="3"/>
      <c r="AY221" s="3"/>
      <c r="AZ221" s="4"/>
      <c r="BA221" s="4"/>
      <c r="BB221" s="4"/>
      <c r="BC221" s="4"/>
      <c r="BD221" s="4"/>
      <c r="BE221" s="3"/>
      <c r="BJ221" s="9"/>
      <c r="BK221" s="9"/>
      <c r="BL221" s="9"/>
      <c r="BM221" s="3"/>
      <c r="BN221" s="3"/>
      <c r="BO221" s="3"/>
      <c r="BP221" s="3"/>
      <c r="BQ221" s="3"/>
      <c r="BR221" s="3"/>
    </row>
    <row r="222" spans="1:70" x14ac:dyDescent="0.3">
      <c r="A222" s="2" t="s">
        <v>84</v>
      </c>
      <c r="B222" s="2" t="s">
        <v>81</v>
      </c>
      <c r="C222" t="s">
        <v>89</v>
      </c>
      <c r="D222" s="5" t="s">
        <v>280</v>
      </c>
      <c r="E222" s="5" t="s">
        <v>93</v>
      </c>
      <c r="F222" s="17">
        <v>45243</v>
      </c>
      <c r="G222">
        <v>17</v>
      </c>
      <c r="H222" s="3">
        <v>23.4</v>
      </c>
      <c r="I222" s="3">
        <f t="shared" si="22"/>
        <v>22.939999999999998</v>
      </c>
      <c r="J222" s="3">
        <f t="shared" ref="J222:J235" si="24">($A$67-$A$47)*$A$75</f>
        <v>1.2462499999999999</v>
      </c>
      <c r="K222" s="6">
        <f t="shared" si="23"/>
        <v>5398.9613730314941</v>
      </c>
      <c r="L222" s="4"/>
      <c r="M222" s="4"/>
      <c r="N222" s="4"/>
      <c r="O222" s="4"/>
      <c r="P222" s="7"/>
      <c r="Q222" s="6"/>
      <c r="R222" s="5"/>
      <c r="S222" s="4"/>
      <c r="T222" s="13"/>
      <c r="U222" s="13"/>
      <c r="V222" s="5"/>
      <c r="W222" s="5"/>
      <c r="X222" s="5"/>
      <c r="Y222" s="5"/>
      <c r="Z222" s="5"/>
      <c r="AA222" s="5"/>
      <c r="AB222" s="5"/>
      <c r="AC222" s="5"/>
      <c r="AD222" s="5"/>
      <c r="AF222" s="5"/>
      <c r="AG222" s="6"/>
      <c r="AH222" s="11"/>
      <c r="AI222" s="6"/>
      <c r="AJ222" s="6"/>
      <c r="AK222" s="6"/>
      <c r="AL222" s="6"/>
      <c r="AM222" s="6"/>
      <c r="AN222" s="6"/>
      <c r="AO222" s="12"/>
      <c r="AP222" s="7"/>
      <c r="AQ222" s="6"/>
      <c r="AV222" s="3"/>
      <c r="AW222" s="3"/>
      <c r="AX222" s="3"/>
      <c r="AY222" s="3"/>
      <c r="AZ222" s="4"/>
      <c r="BA222" s="4"/>
      <c r="BB222" s="4"/>
      <c r="BC222" s="4"/>
      <c r="BD222" s="4"/>
      <c r="BE222" s="3"/>
      <c r="BJ222" s="9"/>
      <c r="BK222" s="9"/>
      <c r="BL222" s="9"/>
      <c r="BM222" s="3"/>
      <c r="BN222" s="3"/>
      <c r="BO222" s="3"/>
      <c r="BP222" s="3"/>
      <c r="BQ222" s="3"/>
      <c r="BR222" s="3"/>
    </row>
    <row r="223" spans="1:70" x14ac:dyDescent="0.3">
      <c r="A223" s="2" t="s">
        <v>84</v>
      </c>
      <c r="B223" s="2" t="s">
        <v>82</v>
      </c>
      <c r="C223" t="s">
        <v>89</v>
      </c>
      <c r="D223" s="5" t="s">
        <v>281</v>
      </c>
      <c r="E223" s="5" t="s">
        <v>93</v>
      </c>
      <c r="F223" s="17">
        <v>45243</v>
      </c>
      <c r="G223">
        <v>17</v>
      </c>
      <c r="H223" s="3">
        <v>21.9</v>
      </c>
      <c r="I223" s="3">
        <f t="shared" si="22"/>
        <v>21.439999999999998</v>
      </c>
      <c r="J223" s="3">
        <f t="shared" si="24"/>
        <v>1.2462499999999999</v>
      </c>
      <c r="K223" s="6">
        <f t="shared" si="23"/>
        <v>5064.1247588582673</v>
      </c>
      <c r="L223" s="4"/>
      <c r="M223" s="4"/>
      <c r="N223" s="4"/>
      <c r="O223" s="4"/>
      <c r="P223" s="7"/>
      <c r="Q223" s="6"/>
      <c r="R223" s="5"/>
      <c r="S223" s="4"/>
      <c r="T223" s="13"/>
      <c r="U223" s="13"/>
      <c r="V223" s="5"/>
      <c r="W223" s="5"/>
      <c r="X223" s="5"/>
      <c r="Y223" s="5"/>
      <c r="Z223" s="5"/>
      <c r="AA223" s="5"/>
      <c r="AB223" s="5"/>
      <c r="AC223" s="5"/>
      <c r="AD223" s="5"/>
      <c r="AF223" s="5"/>
      <c r="AG223" s="6"/>
      <c r="AH223" s="11"/>
      <c r="AI223" s="6"/>
      <c r="AJ223" s="6"/>
      <c r="AK223" s="6"/>
      <c r="AL223" s="6"/>
      <c r="AM223" s="6"/>
      <c r="AN223" s="6"/>
      <c r="AO223" s="12"/>
      <c r="AP223" s="7"/>
      <c r="AQ223" s="6"/>
      <c r="AV223" s="3"/>
      <c r="AW223" s="3"/>
      <c r="AX223" s="3"/>
      <c r="AY223" s="3"/>
      <c r="AZ223" s="4"/>
      <c r="BA223" s="4"/>
      <c r="BB223" s="4"/>
      <c r="BC223" s="4"/>
      <c r="BD223" s="4"/>
      <c r="BE223" s="3"/>
      <c r="BJ223" s="9"/>
      <c r="BK223" s="9"/>
      <c r="BL223" s="9"/>
      <c r="BM223" s="3"/>
      <c r="BN223" s="3"/>
      <c r="BO223" s="3"/>
      <c r="BP223" s="3"/>
      <c r="BQ223" s="3"/>
      <c r="BR223" s="3"/>
    </row>
    <row r="224" spans="1:70" x14ac:dyDescent="0.3">
      <c r="A224" s="2" t="s">
        <v>84</v>
      </c>
      <c r="B224" s="2" t="s">
        <v>83</v>
      </c>
      <c r="C224" t="s">
        <v>89</v>
      </c>
      <c r="D224" s="5" t="s">
        <v>282</v>
      </c>
      <c r="E224" s="5" t="s">
        <v>93</v>
      </c>
      <c r="F224" s="17">
        <v>45243</v>
      </c>
      <c r="G224">
        <v>17</v>
      </c>
      <c r="H224" s="3">
        <v>20.6</v>
      </c>
      <c r="I224" s="3">
        <f t="shared" si="22"/>
        <v>20.14</v>
      </c>
      <c r="J224" s="3">
        <f t="shared" si="24"/>
        <v>1.2462499999999999</v>
      </c>
      <c r="K224" s="6">
        <f t="shared" si="23"/>
        <v>4773.9330265748031</v>
      </c>
      <c r="L224" s="4"/>
      <c r="M224" s="4"/>
      <c r="N224" s="4"/>
      <c r="O224" s="4"/>
      <c r="P224" s="7"/>
      <c r="Q224" s="6"/>
      <c r="R224" s="5"/>
      <c r="S224" s="4"/>
      <c r="T224" s="13"/>
      <c r="U224" s="13"/>
      <c r="V224" s="5"/>
      <c r="W224" s="5"/>
      <c r="X224" s="5"/>
      <c r="Y224" s="5"/>
      <c r="Z224" s="5"/>
      <c r="AA224" s="5"/>
      <c r="AB224" s="5"/>
      <c r="AC224" s="5"/>
      <c r="AD224" s="5"/>
      <c r="AF224" s="5"/>
      <c r="AG224" s="6"/>
      <c r="AH224" s="11"/>
      <c r="AI224" s="6"/>
      <c r="AJ224" s="6"/>
      <c r="AK224" s="6"/>
      <c r="AL224" s="6"/>
      <c r="AM224" s="6"/>
      <c r="AN224" s="6"/>
      <c r="AO224" s="12"/>
      <c r="AP224" s="7"/>
      <c r="AQ224" s="6"/>
      <c r="AV224" s="3"/>
      <c r="AW224" s="3"/>
      <c r="AX224" s="3"/>
      <c r="AY224" s="3"/>
      <c r="AZ224" s="4"/>
      <c r="BA224" s="4"/>
      <c r="BB224" s="4"/>
      <c r="BC224" s="4"/>
      <c r="BD224" s="4"/>
      <c r="BE224" s="3"/>
      <c r="BJ224" s="9"/>
      <c r="BK224" s="9"/>
      <c r="BL224" s="9"/>
      <c r="BM224" s="3"/>
      <c r="BN224" s="3"/>
      <c r="BO224" s="3"/>
      <c r="BP224" s="3"/>
      <c r="BQ224" s="3"/>
      <c r="BR224" s="3"/>
    </row>
    <row r="225" spans="1:83" x14ac:dyDescent="0.3">
      <c r="A225" s="2" t="s">
        <v>84</v>
      </c>
      <c r="B225" s="2" t="s">
        <v>84</v>
      </c>
      <c r="C225" t="s">
        <v>89</v>
      </c>
      <c r="D225" s="5" t="s">
        <v>283</v>
      </c>
      <c r="E225" s="5" t="s">
        <v>93</v>
      </c>
      <c r="F225" s="17">
        <v>45243</v>
      </c>
      <c r="G225">
        <v>17</v>
      </c>
      <c r="H225" s="3">
        <v>18</v>
      </c>
      <c r="I225" s="3">
        <f t="shared" si="22"/>
        <v>17.54</v>
      </c>
      <c r="J225" s="3">
        <f t="shared" si="24"/>
        <v>1.2462499999999999</v>
      </c>
      <c r="K225" s="6">
        <f t="shared" si="23"/>
        <v>4193.5495620078736</v>
      </c>
      <c r="L225" s="4"/>
      <c r="M225" s="4"/>
      <c r="N225" s="4"/>
      <c r="O225" s="4"/>
      <c r="P225" s="7"/>
      <c r="Q225" s="6"/>
      <c r="R225" s="5"/>
      <c r="S225" s="4"/>
      <c r="T225" s="13"/>
      <c r="U225" s="13"/>
      <c r="V225" s="5"/>
      <c r="W225" s="5"/>
      <c r="X225" s="5"/>
      <c r="Y225" s="5"/>
      <c r="Z225" s="5"/>
      <c r="AA225" s="5"/>
      <c r="AB225" s="5"/>
      <c r="AC225" s="5"/>
      <c r="AD225" s="5"/>
      <c r="AF225" s="5"/>
      <c r="AG225" s="6"/>
      <c r="AH225" s="11"/>
      <c r="AI225" s="6"/>
      <c r="AJ225" s="6"/>
      <c r="AK225" s="6"/>
      <c r="AL225" s="6"/>
      <c r="AM225" s="6"/>
      <c r="AN225" s="6"/>
      <c r="AO225" s="12"/>
      <c r="AP225" s="7"/>
      <c r="AQ225" s="6"/>
      <c r="AV225" s="3"/>
      <c r="AW225" s="3"/>
      <c r="AX225" s="3"/>
      <c r="AY225" s="3"/>
      <c r="AZ225" s="4"/>
      <c r="BA225" s="4"/>
      <c r="BB225" s="4"/>
      <c r="BC225" s="4"/>
      <c r="BD225" s="4"/>
      <c r="BE225" s="3"/>
      <c r="BJ225" s="9"/>
      <c r="BK225" s="9"/>
      <c r="BL225" s="9"/>
      <c r="BM225" s="3"/>
      <c r="BN225" s="3"/>
      <c r="BO225" s="3"/>
      <c r="BP225" s="3"/>
      <c r="BQ225" s="3"/>
      <c r="BR225" s="3"/>
    </row>
    <row r="226" spans="1:83" x14ac:dyDescent="0.3">
      <c r="A226" s="2" t="s">
        <v>84</v>
      </c>
      <c r="B226" s="2" t="s">
        <v>85</v>
      </c>
      <c r="C226" t="s">
        <v>89</v>
      </c>
      <c r="D226" s="5" t="s">
        <v>284</v>
      </c>
      <c r="E226" s="5" t="s">
        <v>93</v>
      </c>
      <c r="F226" s="17">
        <v>45243</v>
      </c>
      <c r="G226">
        <v>17</v>
      </c>
      <c r="H226" s="3">
        <v>22.7</v>
      </c>
      <c r="I226" s="3">
        <f t="shared" si="22"/>
        <v>22.24</v>
      </c>
      <c r="J226" s="3">
        <f t="shared" si="24"/>
        <v>1.2462499999999999</v>
      </c>
      <c r="K226" s="6">
        <f t="shared" si="23"/>
        <v>5242.7042864173227</v>
      </c>
      <c r="L226" s="4"/>
      <c r="M226" s="4"/>
      <c r="N226" s="4"/>
      <c r="O226" s="4"/>
      <c r="P226" s="7"/>
      <c r="Q226" s="6"/>
      <c r="R226" s="5"/>
      <c r="S226" s="4"/>
      <c r="T226" s="13"/>
      <c r="U226" s="13"/>
      <c r="V226" s="5"/>
      <c r="W226" s="5"/>
      <c r="X226" s="5"/>
      <c r="Y226" s="5"/>
      <c r="Z226" s="5"/>
      <c r="AA226" s="5"/>
      <c r="AB226" s="5"/>
      <c r="AC226" s="5"/>
      <c r="AD226" s="5"/>
      <c r="AF226" s="5"/>
      <c r="AG226" s="6"/>
      <c r="AH226" s="11"/>
      <c r="AI226" s="6"/>
      <c r="AJ226" s="6"/>
      <c r="AK226" s="6"/>
      <c r="AL226" s="6"/>
      <c r="AM226" s="6"/>
      <c r="AN226" s="6"/>
      <c r="AO226" s="12"/>
      <c r="AP226" s="7"/>
      <c r="AQ226" s="6"/>
      <c r="AV226" s="3"/>
      <c r="AW226" s="3"/>
      <c r="AX226" s="3"/>
      <c r="AY226" s="3"/>
      <c r="AZ226" s="4"/>
      <c r="BA226" s="4"/>
      <c r="BB226" s="4"/>
      <c r="BC226" s="4"/>
      <c r="BD226" s="4"/>
      <c r="BE226" s="3"/>
      <c r="BJ226" s="9"/>
      <c r="BK226" s="9"/>
      <c r="BL226" s="9"/>
      <c r="BM226" s="3"/>
      <c r="BN226" s="3"/>
      <c r="BO226" s="3"/>
      <c r="BP226" s="3"/>
      <c r="BQ226" s="3"/>
      <c r="BR226" s="3"/>
    </row>
    <row r="227" spans="1:83" x14ac:dyDescent="0.3">
      <c r="A227" s="2" t="s">
        <v>84</v>
      </c>
      <c r="B227" s="2" t="s">
        <v>86</v>
      </c>
      <c r="C227" t="s">
        <v>89</v>
      </c>
      <c r="D227" s="5" t="s">
        <v>285</v>
      </c>
      <c r="E227" s="5" t="s">
        <v>93</v>
      </c>
      <c r="F227" s="17">
        <v>45243</v>
      </c>
      <c r="G227">
        <v>17</v>
      </c>
      <c r="H227" s="3">
        <v>17.3</v>
      </c>
      <c r="I227" s="3">
        <f t="shared" si="22"/>
        <v>16.84</v>
      </c>
      <c r="J227" s="3">
        <f t="shared" si="24"/>
        <v>1.2462499999999999</v>
      </c>
      <c r="K227" s="6">
        <f t="shared" si="23"/>
        <v>4037.2924753937014</v>
      </c>
      <c r="L227" s="4"/>
      <c r="M227" s="4"/>
      <c r="N227" s="4"/>
      <c r="O227" s="4"/>
      <c r="P227" s="7"/>
      <c r="Q227" s="6"/>
      <c r="R227" s="5"/>
      <c r="S227" s="4"/>
      <c r="T227" s="13"/>
      <c r="U227" s="13"/>
      <c r="V227" s="5"/>
      <c r="W227" s="5"/>
      <c r="X227" s="5"/>
      <c r="Y227" s="5"/>
      <c r="Z227" s="5"/>
      <c r="AA227" s="5"/>
      <c r="AB227" s="5"/>
      <c r="AC227" s="5"/>
      <c r="AD227" s="5"/>
      <c r="AF227" s="5"/>
      <c r="AG227" s="6"/>
      <c r="AH227" s="11"/>
      <c r="AI227" s="6"/>
      <c r="AJ227" s="6"/>
      <c r="AK227" s="6"/>
      <c r="AL227" s="6"/>
      <c r="AM227" s="6"/>
      <c r="AN227" s="6"/>
      <c r="AO227" s="12"/>
      <c r="AP227" s="7"/>
      <c r="AQ227" s="6"/>
      <c r="AV227" s="3"/>
      <c r="AW227" s="3"/>
      <c r="AX227" s="3"/>
      <c r="AY227" s="3"/>
      <c r="AZ227" s="4"/>
      <c r="BA227" s="4"/>
      <c r="BB227" s="4"/>
      <c r="BC227" s="4"/>
      <c r="BD227" s="4"/>
      <c r="BE227" s="3"/>
      <c r="BJ227" s="9"/>
      <c r="BK227" s="9"/>
      <c r="BL227" s="9"/>
      <c r="BM227" s="3"/>
      <c r="BN227" s="3"/>
      <c r="BO227" s="3"/>
      <c r="BP227" s="3"/>
      <c r="BQ227" s="3"/>
      <c r="BR227" s="3"/>
    </row>
    <row r="228" spans="1:83" x14ac:dyDescent="0.3">
      <c r="A228" s="2" t="s">
        <v>84</v>
      </c>
      <c r="B228" s="2" t="s">
        <v>87</v>
      </c>
      <c r="C228" t="s">
        <v>89</v>
      </c>
      <c r="D228" s="5" t="s">
        <v>286</v>
      </c>
      <c r="E228" s="5" t="s">
        <v>93</v>
      </c>
      <c r="F228" s="17">
        <v>45243</v>
      </c>
      <c r="G228">
        <v>17</v>
      </c>
      <c r="H228" s="3">
        <v>23.7</v>
      </c>
      <c r="I228" s="3">
        <f t="shared" si="22"/>
        <v>23.24</v>
      </c>
      <c r="J228" s="3">
        <f t="shared" si="24"/>
        <v>1.2462499999999999</v>
      </c>
      <c r="K228" s="6">
        <f t="shared" si="23"/>
        <v>5465.9286958661414</v>
      </c>
      <c r="L228" s="4">
        <v>8.92</v>
      </c>
      <c r="M228" s="4">
        <v>203.39</v>
      </c>
      <c r="N228" s="4">
        <v>194.47</v>
      </c>
      <c r="O228" s="4">
        <v>185.25</v>
      </c>
      <c r="P228" s="7">
        <f>(N228-O228)/N228*100</f>
        <v>4.741091170874685</v>
      </c>
      <c r="Q228" s="6">
        <f>K228*(1-P228/100)</f>
        <v>5206.7840330601257</v>
      </c>
      <c r="R228" s="14">
        <v>45244</v>
      </c>
      <c r="S228" s="4">
        <v>10.55</v>
      </c>
      <c r="T228" s="13">
        <v>4.17</v>
      </c>
      <c r="U228" s="13">
        <v>6.5750000000000002</v>
      </c>
      <c r="V228" s="8">
        <f>(T228-$A$76)/(S228-$A$47*$A$48)</f>
        <v>0.37596647171232134</v>
      </c>
      <c r="W228" s="8">
        <f>(U228-$A$77)/(S228-$A$47*$A$48)</f>
        <v>0.4714085775713906</v>
      </c>
      <c r="X228" s="8">
        <f>1-V228-W228</f>
        <v>0.15262495071628807</v>
      </c>
      <c r="Y228" s="6">
        <f>K228*V228</f>
        <v>2055.0059264159231</v>
      </c>
      <c r="Z228" s="6">
        <f>K228*W228</f>
        <v>2576.685671624904</v>
      </c>
      <c r="AA228" s="6">
        <f>SUM(Y228:Z228)</f>
        <v>4631.6915980408266</v>
      </c>
      <c r="AB228" s="6">
        <f>Q228*V228</f>
        <v>1957.5762218776661</v>
      </c>
      <c r="AC228" s="6">
        <f>Q228*W228</f>
        <v>2454.5226547463021</v>
      </c>
      <c r="AD228" s="6">
        <f>SUM(AB228:AC228)</f>
        <v>4412.098876623968</v>
      </c>
      <c r="AE228" t="s">
        <v>546</v>
      </c>
      <c r="AF228" s="14">
        <v>45295</v>
      </c>
      <c r="AG228" s="6">
        <v>50.4</v>
      </c>
      <c r="AH228" s="11">
        <v>1.123</v>
      </c>
      <c r="AI228" s="6">
        <v>80.400000000000006</v>
      </c>
      <c r="AJ228" s="6">
        <v>28.4</v>
      </c>
      <c r="AK228" s="6">
        <v>5.6</v>
      </c>
      <c r="AL228" s="6">
        <v>80.2</v>
      </c>
      <c r="AM228" s="6">
        <v>8.9</v>
      </c>
      <c r="AN228" s="6" t="s">
        <v>133</v>
      </c>
      <c r="AO228" s="12">
        <v>9</v>
      </c>
      <c r="AP228" s="7">
        <v>0.09</v>
      </c>
      <c r="AQ228" s="6">
        <v>12.1</v>
      </c>
      <c r="AV228" s="3"/>
      <c r="AW228" s="3"/>
      <c r="AX228" s="3"/>
      <c r="AY228" s="3"/>
      <c r="AZ228" s="4"/>
      <c r="BA228" s="4"/>
      <c r="BB228" s="4"/>
      <c r="BC228" s="4"/>
      <c r="BD228" s="4"/>
      <c r="BE228" s="3"/>
      <c r="BJ228" s="9"/>
      <c r="BK228" s="9"/>
      <c r="BL228" s="9"/>
      <c r="BM228" s="3"/>
      <c r="BN228" s="3"/>
      <c r="BO228" s="3"/>
      <c r="BP228" s="3"/>
      <c r="BQ228" s="3"/>
      <c r="BR228" s="3"/>
    </row>
    <row r="229" spans="1:83" x14ac:dyDescent="0.3">
      <c r="A229" s="2" t="s">
        <v>84</v>
      </c>
      <c r="B229" s="2" t="s">
        <v>137</v>
      </c>
      <c r="C229" t="s">
        <v>89</v>
      </c>
      <c r="D229" s="5" t="s">
        <v>287</v>
      </c>
      <c r="E229" s="5" t="s">
        <v>93</v>
      </c>
      <c r="F229" s="17">
        <v>45243</v>
      </c>
      <c r="G229">
        <v>17</v>
      </c>
      <c r="H229" s="3">
        <v>21.2</v>
      </c>
      <c r="I229" s="3">
        <f t="shared" si="22"/>
        <v>20.74</v>
      </c>
      <c r="J229" s="3">
        <f t="shared" si="24"/>
        <v>1.2462499999999999</v>
      </c>
      <c r="K229" s="6">
        <f t="shared" si="23"/>
        <v>4907.8676722440941</v>
      </c>
      <c r="L229" s="4"/>
      <c r="M229" s="4"/>
      <c r="N229" s="4"/>
      <c r="O229" s="4"/>
      <c r="P229" s="7"/>
      <c r="Q229" s="6"/>
      <c r="R229" s="5"/>
      <c r="S229" s="4"/>
      <c r="T229" s="13"/>
      <c r="U229" s="13"/>
      <c r="V229" s="5"/>
      <c r="W229" s="5"/>
      <c r="X229" s="5"/>
      <c r="Y229" s="5"/>
      <c r="Z229" s="5"/>
      <c r="AA229" s="5"/>
      <c r="AB229" s="5"/>
      <c r="AC229" s="5"/>
      <c r="AD229" s="5"/>
      <c r="AF229" s="5"/>
      <c r="AG229" s="6"/>
      <c r="AH229" s="11"/>
      <c r="AI229" s="6"/>
      <c r="AJ229" s="6"/>
      <c r="AK229" s="6"/>
      <c r="AL229" s="6"/>
      <c r="AM229" s="6"/>
      <c r="AN229" s="6"/>
      <c r="AO229" s="12"/>
      <c r="AP229" s="7"/>
      <c r="AQ229" s="6"/>
      <c r="AS229" s="4"/>
      <c r="AV229" s="3"/>
      <c r="AW229" s="3"/>
      <c r="AX229" s="3"/>
      <c r="AY229" s="3"/>
      <c r="AZ229" s="4"/>
      <c r="BA229" s="4"/>
      <c r="BB229" s="4"/>
      <c r="BC229" s="4"/>
      <c r="BD229" s="4"/>
      <c r="BE229" s="3"/>
      <c r="BJ229" s="9"/>
      <c r="BK229" s="9"/>
      <c r="BL229" s="9"/>
      <c r="BM229" s="3"/>
      <c r="BN229" s="3"/>
      <c r="BO229" s="3"/>
      <c r="BP229" s="3"/>
      <c r="BQ229" s="3"/>
      <c r="BR229" s="3"/>
    </row>
    <row r="230" spans="1:83" x14ac:dyDescent="0.3">
      <c r="A230" s="2" t="s">
        <v>84</v>
      </c>
      <c r="B230" s="2" t="s">
        <v>138</v>
      </c>
      <c r="C230" t="s">
        <v>89</v>
      </c>
      <c r="D230" s="5" t="s">
        <v>288</v>
      </c>
      <c r="E230" s="5" t="s">
        <v>93</v>
      </c>
      <c r="F230" s="17">
        <v>45243</v>
      </c>
      <c r="G230">
        <v>17</v>
      </c>
      <c r="H230" s="3">
        <v>14.7</v>
      </c>
      <c r="I230" s="3">
        <f t="shared" si="22"/>
        <v>14.239999999999998</v>
      </c>
      <c r="J230" s="3">
        <f t="shared" si="24"/>
        <v>1.2462499999999999</v>
      </c>
      <c r="K230" s="6">
        <f t="shared" si="23"/>
        <v>3456.9090108267715</v>
      </c>
      <c r="L230" s="4"/>
      <c r="M230" s="4"/>
      <c r="N230" s="4"/>
      <c r="O230" s="4"/>
      <c r="P230" s="7"/>
      <c r="Q230" s="6"/>
      <c r="R230" s="5"/>
      <c r="S230" s="4"/>
      <c r="T230" s="13"/>
      <c r="U230" s="13"/>
      <c r="V230" s="5"/>
      <c r="W230" s="5"/>
      <c r="X230" s="5"/>
      <c r="Y230" s="5"/>
      <c r="Z230" s="5"/>
      <c r="AA230" s="5"/>
      <c r="AB230" s="5"/>
      <c r="AC230" s="5"/>
      <c r="AD230" s="5"/>
      <c r="AF230" s="5"/>
      <c r="AG230" s="6"/>
      <c r="AH230" s="11"/>
      <c r="AI230" s="6"/>
      <c r="AJ230" s="6"/>
      <c r="AK230" s="6"/>
      <c r="AL230" s="6"/>
      <c r="AM230" s="6"/>
      <c r="AN230" s="6"/>
      <c r="AO230" s="12"/>
      <c r="AP230" s="7"/>
      <c r="AQ230" s="6"/>
      <c r="AV230" s="3"/>
      <c r="AW230" s="3"/>
      <c r="AX230" s="3"/>
      <c r="AY230" s="3"/>
      <c r="AZ230" s="4"/>
      <c r="BA230" s="4"/>
      <c r="BB230" s="4"/>
      <c r="BC230" s="4"/>
      <c r="BD230" s="4"/>
      <c r="BE230" s="3"/>
      <c r="BJ230" s="9"/>
      <c r="BK230" s="9"/>
      <c r="BL230" s="9"/>
      <c r="BM230" s="3"/>
      <c r="BN230" s="3"/>
      <c r="BO230" s="3"/>
      <c r="BP230" s="3"/>
      <c r="BQ230" s="3"/>
      <c r="BR230" s="3"/>
    </row>
    <row r="231" spans="1:83" x14ac:dyDescent="0.3">
      <c r="A231" s="2" t="s">
        <v>84</v>
      </c>
      <c r="B231" s="2" t="s">
        <v>139</v>
      </c>
      <c r="C231" t="s">
        <v>89</v>
      </c>
      <c r="D231" s="5" t="s">
        <v>289</v>
      </c>
      <c r="E231" s="5" t="s">
        <v>93</v>
      </c>
      <c r="F231" s="17">
        <v>45243</v>
      </c>
      <c r="G231">
        <v>17</v>
      </c>
      <c r="H231" s="3">
        <v>17.8</v>
      </c>
      <c r="I231" s="3">
        <f t="shared" si="22"/>
        <v>17.34</v>
      </c>
      <c r="J231" s="3">
        <f t="shared" si="24"/>
        <v>1.2462499999999999</v>
      </c>
      <c r="K231" s="6">
        <f t="shared" si="23"/>
        <v>4148.9046801181094</v>
      </c>
      <c r="L231" s="4"/>
      <c r="M231" s="4"/>
      <c r="N231" s="4"/>
      <c r="O231" s="4"/>
      <c r="P231" s="7"/>
      <c r="Q231" s="6"/>
      <c r="R231" s="5"/>
      <c r="S231" s="4"/>
      <c r="T231" s="13"/>
      <c r="U231" s="13"/>
      <c r="V231" s="5"/>
      <c r="W231" s="5"/>
      <c r="X231" s="5"/>
      <c r="Y231" s="5"/>
      <c r="Z231" s="5"/>
      <c r="AA231" s="5"/>
      <c r="AB231" s="5"/>
      <c r="AC231" s="5"/>
      <c r="AD231" s="5"/>
      <c r="AF231" s="5"/>
      <c r="AG231" s="6"/>
      <c r="AH231" s="11"/>
      <c r="AI231" s="6"/>
      <c r="AJ231" s="6"/>
      <c r="AK231" s="6"/>
      <c r="AL231" s="6"/>
      <c r="AM231" s="6"/>
      <c r="AN231" s="6"/>
      <c r="AO231" s="12"/>
      <c r="AP231" s="7"/>
      <c r="AQ231" s="6"/>
      <c r="AV231" s="3"/>
      <c r="AW231" s="3"/>
      <c r="AX231" s="3"/>
      <c r="AY231" s="3"/>
      <c r="AZ231" s="4"/>
      <c r="BA231" s="4"/>
      <c r="BB231" s="4"/>
      <c r="BC231" s="4"/>
      <c r="BD231" s="4"/>
      <c r="BE231" s="3"/>
      <c r="BJ231" s="9"/>
      <c r="BK231" s="9"/>
      <c r="BL231" s="9"/>
      <c r="BM231" s="3"/>
      <c r="BN231" s="3"/>
      <c r="BO231" s="3"/>
      <c r="BP231" s="3"/>
      <c r="BQ231" s="3"/>
      <c r="BR231" s="3"/>
    </row>
    <row r="232" spans="1:83" x14ac:dyDescent="0.3">
      <c r="A232" s="2" t="s">
        <v>84</v>
      </c>
      <c r="B232" s="2" t="s">
        <v>140</v>
      </c>
      <c r="C232" t="s">
        <v>89</v>
      </c>
      <c r="D232" s="5" t="s">
        <v>290</v>
      </c>
      <c r="E232" s="5" t="s">
        <v>93</v>
      </c>
      <c r="F232" s="17">
        <v>45243</v>
      </c>
      <c r="G232">
        <v>17</v>
      </c>
      <c r="H232" s="3">
        <v>19.2</v>
      </c>
      <c r="I232" s="3">
        <f t="shared" si="22"/>
        <v>18.739999999999998</v>
      </c>
      <c r="J232" s="3">
        <f t="shared" si="24"/>
        <v>1.2462499999999999</v>
      </c>
      <c r="K232" s="6">
        <f t="shared" si="23"/>
        <v>4461.4188533464567</v>
      </c>
      <c r="L232" s="4"/>
      <c r="M232" s="4"/>
      <c r="N232" s="4"/>
      <c r="O232" s="4"/>
      <c r="P232" s="7"/>
      <c r="Q232" s="6"/>
      <c r="R232" s="5"/>
      <c r="S232" s="4"/>
      <c r="T232" s="13"/>
      <c r="U232" s="13"/>
      <c r="V232" s="5"/>
      <c r="W232" s="5"/>
      <c r="X232" s="5"/>
      <c r="Y232" s="5"/>
      <c r="Z232" s="5"/>
      <c r="AA232" s="5"/>
      <c r="AB232" s="5"/>
      <c r="AC232" s="5"/>
      <c r="AD232" s="5"/>
      <c r="AF232" s="5"/>
      <c r="AG232" s="6"/>
      <c r="AH232" s="11"/>
      <c r="AI232" s="6"/>
      <c r="AJ232" s="6"/>
      <c r="AK232" s="6"/>
      <c r="AL232" s="6"/>
      <c r="AM232" s="6"/>
      <c r="AN232" s="6"/>
      <c r="AO232" s="12"/>
      <c r="AP232" s="7"/>
      <c r="AQ232" s="6"/>
      <c r="AV232" s="3"/>
      <c r="AW232" s="3"/>
      <c r="AX232" s="3"/>
      <c r="AY232" s="3"/>
      <c r="AZ232" s="4"/>
      <c r="BA232" s="4"/>
      <c r="BB232" s="4"/>
      <c r="BC232" s="4"/>
      <c r="BD232" s="4"/>
      <c r="BE232" s="3"/>
      <c r="BJ232" s="9"/>
      <c r="BK232" s="9"/>
      <c r="BL232" s="9"/>
      <c r="BM232" s="3"/>
      <c r="BN232" s="3"/>
      <c r="BO232" s="3"/>
      <c r="BP232" s="3"/>
      <c r="BQ232" s="3"/>
      <c r="BR232" s="3"/>
    </row>
    <row r="233" spans="1:83" x14ac:dyDescent="0.3">
      <c r="A233" s="2" t="s">
        <v>84</v>
      </c>
      <c r="B233" s="2" t="s">
        <v>141</v>
      </c>
      <c r="C233" t="s">
        <v>89</v>
      </c>
      <c r="D233" s="5" t="s">
        <v>291</v>
      </c>
      <c r="E233" s="5" t="s">
        <v>93</v>
      </c>
      <c r="F233" s="17">
        <v>45243</v>
      </c>
      <c r="G233">
        <v>17</v>
      </c>
      <c r="H233" s="3">
        <v>17.5</v>
      </c>
      <c r="I233" s="3">
        <f t="shared" si="22"/>
        <v>17.04</v>
      </c>
      <c r="J233" s="3">
        <f t="shared" si="24"/>
        <v>1.2462499999999999</v>
      </c>
      <c r="K233" s="6">
        <f t="shared" si="23"/>
        <v>4081.9373572834638</v>
      </c>
      <c r="L233" s="4"/>
      <c r="M233" s="4"/>
      <c r="N233" s="4"/>
      <c r="O233" s="4"/>
      <c r="P233" s="7"/>
      <c r="Q233" s="6"/>
      <c r="R233" s="5"/>
      <c r="S233" s="4"/>
      <c r="T233" s="13"/>
      <c r="U233" s="13"/>
      <c r="V233" s="5"/>
      <c r="W233" s="5"/>
      <c r="X233" s="5"/>
      <c r="Y233" s="5"/>
      <c r="Z233" s="5"/>
      <c r="AA233" s="5"/>
      <c r="AB233" s="5"/>
      <c r="AC233" s="5"/>
      <c r="AD233" s="5"/>
      <c r="AF233" s="5"/>
      <c r="AG233" s="6"/>
      <c r="AH233" s="11"/>
      <c r="AI233" s="6"/>
      <c r="AJ233" s="6"/>
      <c r="AK233" s="6"/>
      <c r="AL233" s="6"/>
      <c r="AM233" s="6"/>
      <c r="AN233" s="6"/>
      <c r="AO233" s="12"/>
      <c r="AP233" s="7"/>
      <c r="AQ233" s="6"/>
      <c r="AV233" s="3"/>
      <c r="AW233" s="3"/>
      <c r="AX233" s="3"/>
      <c r="AY233" s="3"/>
      <c r="AZ233" s="4"/>
      <c r="BA233" s="4"/>
      <c r="BB233" s="4"/>
      <c r="BC233" s="4"/>
      <c r="BD233" s="4"/>
      <c r="BE233" s="3"/>
      <c r="BJ233" s="9"/>
      <c r="BK233" s="9"/>
      <c r="BL233" s="9"/>
      <c r="BM233" s="3"/>
      <c r="BN233" s="3"/>
      <c r="BO233" s="3"/>
      <c r="BP233" s="3"/>
      <c r="BQ233" s="3"/>
      <c r="BR233" s="3"/>
    </row>
    <row r="234" spans="1:83" x14ac:dyDescent="0.3">
      <c r="A234" s="2" t="s">
        <v>84</v>
      </c>
      <c r="B234" s="2" t="s">
        <v>142</v>
      </c>
      <c r="C234" t="s">
        <v>89</v>
      </c>
      <c r="D234" s="5" t="s">
        <v>292</v>
      </c>
      <c r="E234" s="5" t="s">
        <v>93</v>
      </c>
      <c r="F234" s="17">
        <v>45243</v>
      </c>
      <c r="G234">
        <v>17</v>
      </c>
      <c r="H234" s="3">
        <v>17.399999999999999</v>
      </c>
      <c r="I234" s="3">
        <f t="shared" si="22"/>
        <v>16.939999999999998</v>
      </c>
      <c r="J234" s="3">
        <f t="shared" si="24"/>
        <v>1.2462499999999999</v>
      </c>
      <c r="K234" s="6">
        <f t="shared" si="23"/>
        <v>4059.6149163385821</v>
      </c>
      <c r="L234" s="4"/>
      <c r="M234" s="4"/>
      <c r="N234" s="4"/>
      <c r="O234" s="4"/>
      <c r="P234" s="7"/>
      <c r="Q234" s="6"/>
      <c r="R234" s="5"/>
      <c r="S234" s="4"/>
      <c r="T234" s="13"/>
      <c r="U234" s="13"/>
      <c r="V234" s="5"/>
      <c r="W234" s="5"/>
      <c r="X234" s="5"/>
      <c r="Y234" s="5"/>
      <c r="Z234" s="5"/>
      <c r="AA234" s="5"/>
      <c r="AB234" s="5"/>
      <c r="AC234" s="5"/>
      <c r="AD234" s="5"/>
      <c r="AF234" s="5"/>
      <c r="AG234" s="6"/>
      <c r="AH234" s="11"/>
      <c r="AI234" s="6"/>
      <c r="AJ234" s="6"/>
      <c r="AK234" s="6"/>
      <c r="AL234" s="6"/>
      <c r="AM234" s="6"/>
      <c r="AN234" s="6"/>
      <c r="AO234" s="12"/>
      <c r="AP234" s="7"/>
      <c r="AQ234" s="6"/>
      <c r="AV234" s="3"/>
      <c r="AW234" s="3"/>
      <c r="AX234" s="3"/>
      <c r="AY234" s="3"/>
      <c r="AZ234" s="4"/>
      <c r="BA234" s="4"/>
      <c r="BB234" s="4"/>
      <c r="BC234" s="4"/>
      <c r="BD234" s="4"/>
      <c r="BE234" s="3"/>
      <c r="BJ234" s="9"/>
      <c r="BK234" s="9"/>
      <c r="BL234" s="9"/>
      <c r="BM234" s="3"/>
      <c r="BN234" s="3"/>
      <c r="BO234" s="3"/>
      <c r="BP234" s="3"/>
      <c r="BQ234" s="3"/>
      <c r="BR234" s="3"/>
    </row>
    <row r="235" spans="1:83" x14ac:dyDescent="0.3">
      <c r="A235" s="2" t="s">
        <v>84</v>
      </c>
      <c r="B235" s="2" t="s">
        <v>143</v>
      </c>
      <c r="C235" t="s">
        <v>89</v>
      </c>
      <c r="D235" s="5" t="s">
        <v>293</v>
      </c>
      <c r="E235" s="5" t="s">
        <v>93</v>
      </c>
      <c r="F235" s="17">
        <v>45243</v>
      </c>
      <c r="G235">
        <v>17</v>
      </c>
      <c r="H235" s="3">
        <v>15.1</v>
      </c>
      <c r="I235" s="3">
        <f t="shared" si="22"/>
        <v>14.639999999999999</v>
      </c>
      <c r="J235" s="3">
        <f t="shared" si="24"/>
        <v>1.2462499999999999</v>
      </c>
      <c r="K235" s="6">
        <f t="shared" si="23"/>
        <v>3546.1987746062991</v>
      </c>
      <c r="L235" s="4"/>
      <c r="M235" s="4"/>
      <c r="N235" s="4"/>
      <c r="O235" s="4"/>
      <c r="P235" s="7"/>
      <c r="Q235" s="6"/>
      <c r="R235" s="5"/>
      <c r="S235" s="4"/>
      <c r="T235" s="13"/>
      <c r="U235" s="13"/>
      <c r="V235" s="5"/>
      <c r="W235" s="5"/>
      <c r="X235" s="5"/>
      <c r="Y235" s="5"/>
      <c r="Z235" s="5"/>
      <c r="AA235" s="5"/>
      <c r="AB235" s="5"/>
      <c r="AC235" s="5"/>
      <c r="AD235" s="5"/>
      <c r="AF235" s="5"/>
      <c r="AG235" s="6"/>
      <c r="AH235" s="11"/>
      <c r="AI235" s="6"/>
      <c r="AJ235" s="6"/>
      <c r="AK235" s="6"/>
      <c r="AL235" s="6"/>
      <c r="AM235" s="6"/>
      <c r="AN235" s="6"/>
      <c r="AO235" s="12"/>
      <c r="AP235" s="7"/>
      <c r="AQ235" s="6"/>
      <c r="AV235" s="3"/>
      <c r="AW235" s="3"/>
      <c r="AX235" s="3"/>
      <c r="AY235" s="3"/>
      <c r="AZ235" s="4"/>
      <c r="BA235" s="4"/>
      <c r="BB235" s="4"/>
      <c r="BC235" s="4"/>
      <c r="BD235" s="4"/>
      <c r="BE235" s="3"/>
      <c r="BJ235" s="9"/>
      <c r="BK235" s="9"/>
      <c r="BL235" s="9"/>
      <c r="BM235" s="3"/>
      <c r="BN235" s="3"/>
      <c r="BO235" s="3"/>
      <c r="BP235" s="3"/>
      <c r="BQ235" s="3"/>
      <c r="BR235" s="3"/>
    </row>
    <row r="236" spans="1:83" x14ac:dyDescent="0.3">
      <c r="A236" s="2" t="s">
        <v>85</v>
      </c>
      <c r="B236" s="2" t="s">
        <v>80</v>
      </c>
      <c r="C236" t="s">
        <v>88</v>
      </c>
      <c r="D236" s="5" t="s">
        <v>294</v>
      </c>
      <c r="E236" s="5" t="s">
        <v>93</v>
      </c>
      <c r="F236" s="17">
        <v>45243</v>
      </c>
      <c r="G236">
        <v>6</v>
      </c>
      <c r="H236" s="3">
        <v>15</v>
      </c>
      <c r="I236" s="3">
        <f t="shared" si="22"/>
        <v>14.54</v>
      </c>
      <c r="J236" s="3">
        <f>($A$56-$A$47)*$A$75</f>
        <v>1.7275</v>
      </c>
      <c r="K236" s="6">
        <f t="shared" si="23"/>
        <v>3631.3030807086611</v>
      </c>
      <c r="L236" s="4"/>
      <c r="M236" s="4"/>
      <c r="N236" s="4"/>
      <c r="O236" s="4"/>
      <c r="P236" s="7"/>
      <c r="Q236" s="6"/>
      <c r="R236" s="5"/>
      <c r="S236" s="4"/>
      <c r="T236" s="13"/>
      <c r="U236" s="13"/>
      <c r="V236" s="5"/>
      <c r="W236" s="5"/>
      <c r="X236" s="5"/>
      <c r="Y236" s="5"/>
      <c r="Z236" s="5"/>
      <c r="AA236" s="5"/>
      <c r="AB236" s="5"/>
      <c r="AC236" s="5"/>
      <c r="AD236" s="5"/>
      <c r="AF236" s="5"/>
      <c r="AG236" s="6"/>
      <c r="AH236" s="11"/>
      <c r="AI236" s="6"/>
      <c r="AJ236" s="6"/>
      <c r="AK236" s="6"/>
      <c r="AL236" s="6"/>
      <c r="AM236" s="6"/>
      <c r="AN236" s="6"/>
      <c r="AO236" s="12"/>
      <c r="AP236" s="7"/>
      <c r="AQ236" s="6"/>
      <c r="AS236" s="4" t="s">
        <v>533</v>
      </c>
      <c r="AT236" s="4" t="str">
        <f>E236</f>
        <v>Machine</v>
      </c>
      <c r="AU236" s="15">
        <f>F236</f>
        <v>45243</v>
      </c>
      <c r="AV236" s="3">
        <f>SUM(H236:H265)</f>
        <v>521.20000000000005</v>
      </c>
      <c r="AW236" s="3">
        <f>AV236-24*$A$47</f>
        <v>510.16</v>
      </c>
      <c r="AX236" s="3">
        <f>SUM(J236:J265)</f>
        <v>42.543749999999996</v>
      </c>
      <c r="AY236" s="3">
        <f>(AW236+AX236)*$A$48/(30*$A$49)*$A$50</f>
        <v>4112.5656064632549</v>
      </c>
      <c r="AZ236" s="4">
        <f>SUM(L236:L265)</f>
        <v>19.510000000000002</v>
      </c>
      <c r="BA236" s="4">
        <f t="shared" ref="BA236" si="25">SUM(M236:M265)</f>
        <v>385.42</v>
      </c>
      <c r="BB236" s="4">
        <f t="shared" ref="BB236" si="26">SUM(N236:N265)</f>
        <v>365.91</v>
      </c>
      <c r="BC236" s="4">
        <f>SUM(O236:O265)</f>
        <v>347.37</v>
      </c>
      <c r="BD236" s="4">
        <f>(BB236-BC236)/BB236*100</f>
        <v>5.066819709764701</v>
      </c>
      <c r="BE236" s="3">
        <f>AY236*(1-BD236/100)</f>
        <v>3904.1893217379702</v>
      </c>
      <c r="BF236" s="15">
        <v>45244</v>
      </c>
      <c r="BG236" s="4">
        <f>SUM(S236:S265)</f>
        <v>17.12</v>
      </c>
      <c r="BH236" s="13">
        <f>SUM(T236:T265)</f>
        <v>6.7</v>
      </c>
      <c r="BI236" s="13">
        <f>SUM(U236:U265)</f>
        <v>11.295</v>
      </c>
      <c r="BJ236" s="9">
        <f>(BH236-2*$A$76)/(BG236-2*$A$47*$A$48)</f>
        <v>0.36736585729119114</v>
      </c>
      <c r="BK236" s="9">
        <f>(BI236-2*$A$77)/(BG236-2*$A$47*$A$48)</f>
        <v>0.47267820132235228</v>
      </c>
      <c r="BL236" s="9">
        <f>1-BJ236-BK236</f>
        <v>0.15995594138645663</v>
      </c>
      <c r="BM236" s="3">
        <f>AY236*BJ236</f>
        <v>1510.8161896846411</v>
      </c>
      <c r="BN236" s="3">
        <f>AY236*BK236</f>
        <v>1943.9201136832203</v>
      </c>
      <c r="BO236" s="3">
        <f>SUM(BM236:BN236)</f>
        <v>3454.7363033678612</v>
      </c>
      <c r="BP236" s="3">
        <f>BE236*BJ236</f>
        <v>1434.2658572073835</v>
      </c>
      <c r="BQ236" s="3">
        <f>BE236*BK236</f>
        <v>1845.4251862210383</v>
      </c>
      <c r="BR236" s="3">
        <f>SUM(BP236:BQ236)</f>
        <v>3279.6910434284218</v>
      </c>
      <c r="BT236" s="15">
        <v>45295</v>
      </c>
      <c r="BU236" s="3">
        <f>AVERAGE(AG236:AG265)</f>
        <v>46.900000000000006</v>
      </c>
      <c r="BV236" s="13">
        <f>AVERAGE(AH236:AH265)</f>
        <v>1.1325000000000001</v>
      </c>
      <c r="BW236" s="3">
        <f>AVERAGE(AI236:AI265)</f>
        <v>81.650000000000006</v>
      </c>
      <c r="BX236" s="3">
        <f>AVERAGE(AJ236:AJ265)</f>
        <v>29.549999999999997</v>
      </c>
      <c r="BY236" s="3">
        <f>AVERAGE(AK236:AK265)</f>
        <v>5.35</v>
      </c>
      <c r="BZ236" s="3">
        <f>AVERAGE(AL236:AL265)</f>
        <v>81.050000000000011</v>
      </c>
      <c r="CA236" s="3">
        <f>AVERAGE(AM236:AM265)</f>
        <v>8.75</v>
      </c>
      <c r="CB236" s="3"/>
      <c r="CC236" s="10">
        <f>AVERAGE(AO236:AO265)</f>
        <v>11</v>
      </c>
      <c r="CD236" s="4">
        <f>AVERAGE(AP236:AP265)</f>
        <v>0.16999999999999998</v>
      </c>
      <c r="CE236" s="3">
        <f>AVERAGE(AQ236:AQ265)</f>
        <v>10.3</v>
      </c>
    </row>
    <row r="237" spans="1:83" x14ac:dyDescent="0.3">
      <c r="A237" s="2" t="s">
        <v>85</v>
      </c>
      <c r="B237" s="2" t="s">
        <v>81</v>
      </c>
      <c r="C237" t="s">
        <v>88</v>
      </c>
      <c r="D237" s="5" t="s">
        <v>295</v>
      </c>
      <c r="E237" s="5" t="s">
        <v>93</v>
      </c>
      <c r="F237" s="17">
        <v>45243</v>
      </c>
      <c r="G237">
        <v>6</v>
      </c>
      <c r="H237" s="3">
        <v>19.399999999999999</v>
      </c>
      <c r="I237" s="3">
        <f t="shared" si="22"/>
        <v>18.939999999999998</v>
      </c>
      <c r="J237" s="3">
        <f t="shared" ref="J237:J250" si="27">($A$56-$A$47)*$A$75</f>
        <v>1.7275</v>
      </c>
      <c r="K237" s="6">
        <f t="shared" si="23"/>
        <v>4613.4904822834642</v>
      </c>
      <c r="L237" s="4"/>
      <c r="M237" s="4"/>
      <c r="N237" s="4"/>
      <c r="O237" s="4"/>
      <c r="P237" s="7"/>
      <c r="Q237" s="6"/>
      <c r="R237" s="5"/>
      <c r="S237" s="4"/>
      <c r="T237" s="13"/>
      <c r="U237" s="13"/>
      <c r="V237" s="5"/>
      <c r="W237" s="5"/>
      <c r="X237" s="5"/>
      <c r="Y237" s="5"/>
      <c r="Z237" s="5"/>
      <c r="AA237" s="5"/>
      <c r="AB237" s="5"/>
      <c r="AC237" s="5"/>
      <c r="AD237" s="5"/>
      <c r="AF237" s="5"/>
      <c r="AG237" s="6"/>
      <c r="AH237" s="11"/>
      <c r="AI237" s="6"/>
      <c r="AJ237" s="6"/>
      <c r="AK237" s="6"/>
      <c r="AL237" s="6"/>
      <c r="AM237" s="6"/>
      <c r="AN237" s="6"/>
      <c r="AO237" s="12"/>
      <c r="AP237" s="7"/>
      <c r="AQ237" s="6"/>
      <c r="AV237" s="3"/>
      <c r="AW237" s="3"/>
      <c r="AX237" s="3"/>
      <c r="AY237" s="3"/>
      <c r="AZ237" s="4"/>
      <c r="BA237" s="4"/>
      <c r="BB237" s="4"/>
      <c r="BC237" s="4"/>
      <c r="BD237" s="4"/>
      <c r="BE237" s="3"/>
      <c r="BJ237" s="9"/>
      <c r="BK237" s="9"/>
      <c r="BL237" s="9"/>
      <c r="BM237" s="3"/>
      <c r="BN237" s="3"/>
      <c r="BO237" s="3"/>
      <c r="BP237" s="3"/>
      <c r="BQ237" s="3"/>
      <c r="BR237" s="3"/>
    </row>
    <row r="238" spans="1:83" x14ac:dyDescent="0.3">
      <c r="A238" s="2" t="s">
        <v>85</v>
      </c>
      <c r="B238" s="2" t="s">
        <v>82</v>
      </c>
      <c r="C238" t="s">
        <v>88</v>
      </c>
      <c r="D238" s="5" t="s">
        <v>296</v>
      </c>
      <c r="E238" s="5" t="s">
        <v>93</v>
      </c>
      <c r="F238" s="17">
        <v>45243</v>
      </c>
      <c r="G238">
        <v>6</v>
      </c>
      <c r="H238" s="3">
        <v>19.5</v>
      </c>
      <c r="I238" s="3">
        <f t="shared" si="22"/>
        <v>19.04</v>
      </c>
      <c r="J238" s="3">
        <f t="shared" si="27"/>
        <v>1.7275</v>
      </c>
      <c r="K238" s="6">
        <f t="shared" si="23"/>
        <v>4635.8129232283454</v>
      </c>
      <c r="L238" s="4"/>
      <c r="M238" s="4"/>
      <c r="N238" s="4"/>
      <c r="O238" s="4"/>
      <c r="P238" s="7"/>
      <c r="Q238" s="6"/>
      <c r="R238" s="5"/>
      <c r="S238" s="4"/>
      <c r="T238" s="13"/>
      <c r="U238" s="13"/>
      <c r="V238" s="5"/>
      <c r="W238" s="5"/>
      <c r="X238" s="5"/>
      <c r="Y238" s="5"/>
      <c r="Z238" s="5"/>
      <c r="AA238" s="5"/>
      <c r="AB238" s="5"/>
      <c r="AC238" s="5"/>
      <c r="AD238" s="5"/>
      <c r="AF238" s="5"/>
      <c r="AG238" s="6"/>
      <c r="AH238" s="11"/>
      <c r="AI238" s="6"/>
      <c r="AJ238" s="6"/>
      <c r="AK238" s="6"/>
      <c r="AL238" s="6"/>
      <c r="AM238" s="6"/>
      <c r="AN238" s="6"/>
      <c r="AO238" s="12"/>
      <c r="AP238" s="7"/>
      <c r="AQ238" s="6"/>
      <c r="AV238" s="3"/>
      <c r="AW238" s="3"/>
      <c r="AX238" s="3"/>
      <c r="AY238" s="3"/>
      <c r="AZ238" s="4"/>
      <c r="BA238" s="4"/>
      <c r="BB238" s="4"/>
      <c r="BC238" s="4"/>
      <c r="BD238" s="4"/>
      <c r="BE238" s="3"/>
      <c r="BJ238" s="9"/>
      <c r="BK238" s="9"/>
      <c r="BL238" s="9"/>
      <c r="BM238" s="3"/>
      <c r="BN238" s="3"/>
      <c r="BO238" s="3"/>
      <c r="BP238" s="3"/>
      <c r="BQ238" s="3"/>
      <c r="BR238" s="3"/>
    </row>
    <row r="239" spans="1:83" x14ac:dyDescent="0.3">
      <c r="A239" s="2" t="s">
        <v>85</v>
      </c>
      <c r="B239" s="2" t="s">
        <v>83</v>
      </c>
      <c r="C239" t="s">
        <v>88</v>
      </c>
      <c r="D239" s="5" t="s">
        <v>297</v>
      </c>
      <c r="E239" s="5" t="s">
        <v>93</v>
      </c>
      <c r="F239" s="17">
        <v>45243</v>
      </c>
      <c r="G239">
        <v>6</v>
      </c>
      <c r="H239" s="3">
        <v>19.899999999999999</v>
      </c>
      <c r="I239" s="3">
        <f t="shared" si="22"/>
        <v>19.439999999999998</v>
      </c>
      <c r="J239" s="3">
        <f t="shared" si="27"/>
        <v>1.7275</v>
      </c>
      <c r="K239" s="6">
        <f t="shared" si="23"/>
        <v>4725.1026870078731</v>
      </c>
      <c r="L239" s="4"/>
      <c r="M239" s="4"/>
      <c r="N239" s="4"/>
      <c r="O239" s="4"/>
      <c r="P239" s="7"/>
      <c r="Q239" s="6"/>
      <c r="R239" s="5"/>
      <c r="S239" s="4"/>
      <c r="T239" s="13"/>
      <c r="U239" s="13"/>
      <c r="V239" s="5"/>
      <c r="W239" s="5"/>
      <c r="X239" s="5"/>
      <c r="Y239" s="5"/>
      <c r="Z239" s="5"/>
      <c r="AA239" s="5"/>
      <c r="AB239" s="5"/>
      <c r="AC239" s="5"/>
      <c r="AD239" s="5"/>
      <c r="AF239" s="5"/>
      <c r="AG239" s="6"/>
      <c r="AH239" s="11"/>
      <c r="AI239" s="6"/>
      <c r="AJ239" s="6"/>
      <c r="AK239" s="6"/>
      <c r="AL239" s="6"/>
      <c r="AM239" s="6"/>
      <c r="AN239" s="6"/>
      <c r="AO239" s="12"/>
      <c r="AP239" s="7"/>
      <c r="AQ239" s="6"/>
      <c r="AV239" s="3"/>
      <c r="AW239" s="3"/>
      <c r="AX239" s="3"/>
      <c r="AY239" s="3"/>
      <c r="AZ239" s="4"/>
      <c r="BA239" s="4"/>
      <c r="BB239" s="4"/>
      <c r="BC239" s="4"/>
      <c r="BD239" s="4"/>
      <c r="BE239" s="3"/>
      <c r="BJ239" s="9"/>
      <c r="BK239" s="9"/>
      <c r="BL239" s="9"/>
      <c r="BM239" s="3"/>
      <c r="BN239" s="3"/>
      <c r="BO239" s="3"/>
      <c r="BP239" s="3"/>
      <c r="BQ239" s="3"/>
      <c r="BR239" s="3"/>
    </row>
    <row r="240" spans="1:83" x14ac:dyDescent="0.3">
      <c r="A240" s="2" t="s">
        <v>85</v>
      </c>
      <c r="B240" s="2" t="s">
        <v>84</v>
      </c>
      <c r="C240" t="s">
        <v>88</v>
      </c>
      <c r="D240" s="5" t="s">
        <v>298</v>
      </c>
      <c r="E240" s="5" t="s">
        <v>93</v>
      </c>
      <c r="F240" s="17">
        <v>45243</v>
      </c>
      <c r="G240">
        <v>6</v>
      </c>
      <c r="H240" s="3">
        <v>15.9</v>
      </c>
      <c r="I240" s="3">
        <f t="shared" si="22"/>
        <v>15.44</v>
      </c>
      <c r="J240" s="3">
        <f t="shared" si="27"/>
        <v>1.7275</v>
      </c>
      <c r="K240" s="6">
        <f t="shared" si="23"/>
        <v>3832.2050492125982</v>
      </c>
      <c r="L240" s="4"/>
      <c r="M240" s="4"/>
      <c r="N240" s="4"/>
      <c r="O240" s="4"/>
      <c r="P240" s="7"/>
      <c r="Q240" s="6"/>
      <c r="R240" s="5"/>
      <c r="S240" s="4"/>
      <c r="T240" s="13"/>
      <c r="U240" s="13"/>
      <c r="V240" s="5"/>
      <c r="W240" s="5"/>
      <c r="X240" s="5"/>
      <c r="Y240" s="5"/>
      <c r="Z240" s="5"/>
      <c r="AA240" s="5"/>
      <c r="AB240" s="5"/>
      <c r="AC240" s="5"/>
      <c r="AD240" s="5"/>
      <c r="AF240" s="5"/>
      <c r="AG240" s="6"/>
      <c r="AH240" s="11"/>
      <c r="AI240" s="6"/>
      <c r="AJ240" s="6"/>
      <c r="AK240" s="6"/>
      <c r="AL240" s="6"/>
      <c r="AM240" s="6"/>
      <c r="AN240" s="6"/>
      <c r="AO240" s="12"/>
      <c r="AP240" s="7"/>
      <c r="AQ240" s="6"/>
      <c r="AV240" s="3"/>
      <c r="AW240" s="3"/>
      <c r="AX240" s="3"/>
      <c r="AY240" s="3"/>
      <c r="AZ240" s="4"/>
      <c r="BA240" s="4"/>
      <c r="BB240" s="4"/>
      <c r="BC240" s="4"/>
      <c r="BD240" s="4"/>
      <c r="BE240" s="3"/>
      <c r="BJ240" s="9"/>
      <c r="BK240" s="9"/>
      <c r="BL240" s="9"/>
      <c r="BM240" s="3"/>
      <c r="BN240" s="3"/>
      <c r="BO240" s="3"/>
      <c r="BP240" s="3"/>
      <c r="BQ240" s="3"/>
      <c r="BR240" s="3"/>
    </row>
    <row r="241" spans="1:70" x14ac:dyDescent="0.3">
      <c r="A241" s="2" t="s">
        <v>85</v>
      </c>
      <c r="B241" s="2" t="s">
        <v>85</v>
      </c>
      <c r="C241" t="s">
        <v>88</v>
      </c>
      <c r="D241" s="5" t="s">
        <v>299</v>
      </c>
      <c r="E241" s="5" t="s">
        <v>93</v>
      </c>
      <c r="F241" s="17">
        <v>45243</v>
      </c>
      <c r="G241">
        <v>6</v>
      </c>
      <c r="H241" s="3">
        <v>18.600000000000001</v>
      </c>
      <c r="I241" s="3">
        <f t="shared" si="22"/>
        <v>18.14</v>
      </c>
      <c r="J241" s="3">
        <f t="shared" si="27"/>
        <v>1.7275</v>
      </c>
      <c r="K241" s="6">
        <f t="shared" si="23"/>
        <v>4434.9109547244088</v>
      </c>
      <c r="L241" s="4"/>
      <c r="M241" s="4"/>
      <c r="N241" s="4"/>
      <c r="O241" s="4"/>
      <c r="P241" s="7"/>
      <c r="Q241" s="6"/>
      <c r="R241" s="5"/>
      <c r="S241" s="4"/>
      <c r="T241" s="13"/>
      <c r="U241" s="13"/>
      <c r="V241" s="5"/>
      <c r="W241" s="5"/>
      <c r="X241" s="5"/>
      <c r="Y241" s="5"/>
      <c r="Z241" s="5"/>
      <c r="AA241" s="5"/>
      <c r="AB241" s="5"/>
      <c r="AC241" s="5"/>
      <c r="AD241" s="5"/>
      <c r="AF241" s="5"/>
      <c r="AG241" s="6"/>
      <c r="AH241" s="11"/>
      <c r="AI241" s="6"/>
      <c r="AJ241" s="6"/>
      <c r="AK241" s="6"/>
      <c r="AL241" s="6"/>
      <c r="AM241" s="6"/>
      <c r="AN241" s="6"/>
      <c r="AO241" s="12"/>
      <c r="AP241" s="7"/>
      <c r="AQ241" s="6"/>
      <c r="AV241" s="3"/>
      <c r="AW241" s="3"/>
      <c r="AX241" s="3"/>
      <c r="AY241" s="3"/>
      <c r="AZ241" s="4"/>
      <c r="BA241" s="4"/>
      <c r="BB241" s="4"/>
      <c r="BC241" s="4"/>
      <c r="BD241" s="4"/>
      <c r="BE241" s="3"/>
      <c r="BJ241" s="9"/>
      <c r="BK241" s="9"/>
      <c r="BL241" s="9"/>
      <c r="BM241" s="3"/>
      <c r="BN241" s="3"/>
      <c r="BO241" s="3"/>
      <c r="BP241" s="3"/>
      <c r="BQ241" s="3"/>
      <c r="BR241" s="3"/>
    </row>
    <row r="242" spans="1:70" x14ac:dyDescent="0.3">
      <c r="A242" s="2" t="s">
        <v>85</v>
      </c>
      <c r="B242" s="2" t="s">
        <v>86</v>
      </c>
      <c r="C242" t="s">
        <v>88</v>
      </c>
      <c r="D242" s="5" t="s">
        <v>300</v>
      </c>
      <c r="E242" s="5" t="s">
        <v>93</v>
      </c>
      <c r="F242" s="17">
        <v>45243</v>
      </c>
      <c r="G242">
        <v>6</v>
      </c>
      <c r="H242" s="3">
        <v>18.8</v>
      </c>
      <c r="I242" s="3">
        <f t="shared" si="22"/>
        <v>18.34</v>
      </c>
      <c r="J242" s="3">
        <f t="shared" si="27"/>
        <v>1.7275</v>
      </c>
      <c r="K242" s="6">
        <f t="shared" si="23"/>
        <v>4479.5558366141731</v>
      </c>
      <c r="L242" s="4"/>
      <c r="M242" s="4"/>
      <c r="N242" s="4"/>
      <c r="O242" s="4"/>
      <c r="P242" s="7"/>
      <c r="Q242" s="6"/>
      <c r="R242" s="5"/>
      <c r="S242" s="4"/>
      <c r="T242" s="13"/>
      <c r="U242" s="13"/>
      <c r="V242" s="5"/>
      <c r="W242" s="5"/>
      <c r="X242" s="5"/>
      <c r="Y242" s="5"/>
      <c r="Z242" s="5"/>
      <c r="AA242" s="5"/>
      <c r="AB242" s="5"/>
      <c r="AC242" s="5"/>
      <c r="AD242" s="5"/>
      <c r="AF242" s="5"/>
      <c r="AG242" s="6"/>
      <c r="AH242" s="11"/>
      <c r="AI242" s="6"/>
      <c r="AJ242" s="6"/>
      <c r="AK242" s="6"/>
      <c r="AL242" s="6"/>
      <c r="AM242" s="6"/>
      <c r="AN242" s="6"/>
      <c r="AO242" s="12"/>
      <c r="AP242" s="7"/>
      <c r="AQ242" s="6"/>
      <c r="AV242" s="3"/>
      <c r="AW242" s="3"/>
      <c r="AX242" s="3"/>
      <c r="AY242" s="3"/>
      <c r="AZ242" s="4"/>
      <c r="BA242" s="4"/>
      <c r="BB242" s="4"/>
      <c r="BC242" s="4"/>
      <c r="BD242" s="4"/>
      <c r="BE242" s="3"/>
      <c r="BJ242" s="9"/>
      <c r="BK242" s="9"/>
      <c r="BL242" s="9"/>
      <c r="BM242" s="3"/>
      <c r="BN242" s="3"/>
      <c r="BO242" s="3"/>
      <c r="BP242" s="3"/>
      <c r="BQ242" s="3"/>
      <c r="BR242" s="3"/>
    </row>
    <row r="243" spans="1:70" x14ac:dyDescent="0.3">
      <c r="A243" s="2" t="s">
        <v>85</v>
      </c>
      <c r="B243" s="2" t="s">
        <v>87</v>
      </c>
      <c r="C243" t="s">
        <v>88</v>
      </c>
      <c r="D243" s="5" t="s">
        <v>301</v>
      </c>
      <c r="E243" s="5" t="s">
        <v>93</v>
      </c>
      <c r="F243" s="17">
        <v>45243</v>
      </c>
      <c r="G243">
        <v>6</v>
      </c>
      <c r="H243" s="3">
        <v>17.8</v>
      </c>
      <c r="I243" s="3">
        <f t="shared" si="22"/>
        <v>17.34</v>
      </c>
      <c r="J243" s="3">
        <f t="shared" si="27"/>
        <v>1.7275</v>
      </c>
      <c r="K243" s="6">
        <f t="shared" si="23"/>
        <v>4256.3314271653544</v>
      </c>
      <c r="L243" s="4">
        <v>8.8800000000000008</v>
      </c>
      <c r="M243" s="4">
        <v>172.36</v>
      </c>
      <c r="N243" s="4">
        <v>163.48000000000002</v>
      </c>
      <c r="O243" s="4">
        <v>154.27000000000001</v>
      </c>
      <c r="P243" s="7">
        <f>(N243-O243)/N243*100</f>
        <v>5.6337166625887001</v>
      </c>
      <c r="Q243" s="6">
        <f>K243*(1-P243/100)</f>
        <v>4016.5417743381408</v>
      </c>
      <c r="R243" s="14">
        <v>45244</v>
      </c>
      <c r="S243" s="4">
        <v>7.82</v>
      </c>
      <c r="T243" s="13">
        <v>3.1</v>
      </c>
      <c r="U243" s="13">
        <v>5.2850000000000001</v>
      </c>
      <c r="V243" s="8">
        <f>(T243-$A$76)/(S243-$A$47*$A$48)</f>
        <v>0.3702366674701687</v>
      </c>
      <c r="W243" s="8">
        <f>(U243-$A$77)/(S243-$A$47*$A$48)</f>
        <v>0.47100725794199955</v>
      </c>
      <c r="X243" s="8">
        <f>1-V243-W243</f>
        <v>0.15875607458783175</v>
      </c>
      <c r="Y243" s="6">
        <f>K243*V243</f>
        <v>1575.8499632422479</v>
      </c>
      <c r="Z243" s="6">
        <f>K243*W243</f>
        <v>2004.7629944015112</v>
      </c>
      <c r="AA243" s="6">
        <f>SUM(Y243:Z243)</f>
        <v>3580.6129576437588</v>
      </c>
      <c r="AB243" s="6">
        <f>Q243*V243</f>
        <v>1487.0710412856715</v>
      </c>
      <c r="AC243" s="6">
        <f>Q243*W243</f>
        <v>1891.8203275405012</v>
      </c>
      <c r="AD243" s="6">
        <f>SUM(AB243:AC243)</f>
        <v>3378.8913688261728</v>
      </c>
      <c r="AE243" t="s">
        <v>547</v>
      </c>
      <c r="AF243" s="14">
        <v>45295</v>
      </c>
      <c r="AG243" s="6">
        <v>47.300000000000004</v>
      </c>
      <c r="AH243" s="11">
        <v>1.1220000000000001</v>
      </c>
      <c r="AI243" s="6">
        <v>81.8</v>
      </c>
      <c r="AJ243" s="6">
        <v>29.2</v>
      </c>
      <c r="AK243" s="6">
        <v>5.2</v>
      </c>
      <c r="AL243" s="6">
        <v>80.7</v>
      </c>
      <c r="AM243" s="6">
        <v>8.6999999999999993</v>
      </c>
      <c r="AN243" s="6" t="s">
        <v>133</v>
      </c>
      <c r="AO243" s="12">
        <v>10</v>
      </c>
      <c r="AP243" s="7">
        <v>0.22</v>
      </c>
      <c r="AQ243" s="6">
        <v>10.3</v>
      </c>
      <c r="AV243" s="3"/>
      <c r="AW243" s="3"/>
      <c r="AX243" s="3"/>
      <c r="AY243" s="3"/>
      <c r="AZ243" s="4"/>
      <c r="BA243" s="4"/>
      <c r="BB243" s="4"/>
      <c r="BC243" s="4"/>
      <c r="BD243" s="4"/>
      <c r="BE243" s="3"/>
      <c r="BJ243" s="9"/>
      <c r="BK243" s="9"/>
      <c r="BL243" s="9"/>
      <c r="BM243" s="3"/>
      <c r="BN243" s="3"/>
      <c r="BO243" s="3"/>
      <c r="BP243" s="3"/>
      <c r="BQ243" s="3"/>
      <c r="BR243" s="3"/>
    </row>
    <row r="244" spans="1:70" x14ac:dyDescent="0.3">
      <c r="A244" s="2" t="s">
        <v>85</v>
      </c>
      <c r="B244" s="2" t="s">
        <v>137</v>
      </c>
      <c r="C244" t="s">
        <v>88</v>
      </c>
      <c r="D244" s="5" t="s">
        <v>302</v>
      </c>
      <c r="E244" s="5" t="s">
        <v>93</v>
      </c>
      <c r="F244" s="17">
        <v>45243</v>
      </c>
      <c r="G244">
        <v>6</v>
      </c>
      <c r="H244" s="3">
        <v>15.6</v>
      </c>
      <c r="I244" s="3">
        <f t="shared" si="22"/>
        <v>15.139999999999999</v>
      </c>
      <c r="J244" s="3">
        <f t="shared" si="27"/>
        <v>1.7275</v>
      </c>
      <c r="K244" s="6">
        <f t="shared" si="23"/>
        <v>3765.2377263779522</v>
      </c>
      <c r="L244" s="4"/>
      <c r="M244" s="4"/>
      <c r="N244" s="4"/>
      <c r="O244" s="4"/>
      <c r="P244" s="7"/>
      <c r="Q244" s="6"/>
      <c r="R244" s="5"/>
      <c r="S244" s="4"/>
      <c r="T244" s="13"/>
      <c r="U244" s="13"/>
      <c r="V244" s="5"/>
      <c r="W244" s="5"/>
      <c r="X244" s="5"/>
      <c r="Y244" s="5"/>
      <c r="Z244" s="5"/>
      <c r="AA244" s="5"/>
      <c r="AB244" s="5"/>
      <c r="AC244" s="5"/>
      <c r="AD244" s="5"/>
      <c r="AF244" s="5"/>
      <c r="AG244" s="6"/>
      <c r="AH244" s="11"/>
      <c r="AI244" s="6"/>
      <c r="AJ244" s="6"/>
      <c r="AK244" s="6"/>
      <c r="AL244" s="6"/>
      <c r="AM244" s="6"/>
      <c r="AN244" s="6"/>
      <c r="AO244" s="12"/>
      <c r="AP244" s="7"/>
      <c r="AQ244" s="6"/>
      <c r="AV244" s="3"/>
      <c r="AW244" s="3"/>
      <c r="AX244" s="3"/>
      <c r="AY244" s="3"/>
      <c r="AZ244" s="4"/>
      <c r="BA244" s="4"/>
      <c r="BB244" s="4"/>
      <c r="BC244" s="4"/>
      <c r="BD244" s="4"/>
      <c r="BE244" s="3"/>
      <c r="BJ244" s="9"/>
      <c r="BK244" s="9"/>
      <c r="BL244" s="9"/>
      <c r="BM244" s="3"/>
      <c r="BN244" s="3"/>
      <c r="BO244" s="3"/>
      <c r="BP244" s="3"/>
      <c r="BQ244" s="3"/>
      <c r="BR244" s="3"/>
    </row>
    <row r="245" spans="1:70" x14ac:dyDescent="0.3">
      <c r="A245" s="2" t="s">
        <v>85</v>
      </c>
      <c r="B245" s="2" t="s">
        <v>138</v>
      </c>
      <c r="C245" t="s">
        <v>88</v>
      </c>
      <c r="D245" s="5" t="s">
        <v>303</v>
      </c>
      <c r="E245" s="5" t="s">
        <v>93</v>
      </c>
      <c r="F245" s="17">
        <v>45243</v>
      </c>
      <c r="G245">
        <v>6</v>
      </c>
      <c r="H245" s="3">
        <v>17</v>
      </c>
      <c r="I245" s="3">
        <f t="shared" si="22"/>
        <v>16.54</v>
      </c>
      <c r="J245" s="3">
        <f t="shared" si="27"/>
        <v>1.7275</v>
      </c>
      <c r="K245" s="6">
        <f t="shared" si="23"/>
        <v>4077.751899606299</v>
      </c>
      <c r="L245" s="4"/>
      <c r="M245" s="4"/>
      <c r="N245" s="4"/>
      <c r="O245" s="4"/>
      <c r="P245" s="7"/>
      <c r="Q245" s="6"/>
      <c r="R245" s="5"/>
      <c r="S245" s="4"/>
      <c r="T245" s="13"/>
      <c r="U245" s="13"/>
      <c r="V245" s="5"/>
      <c r="W245" s="5"/>
      <c r="X245" s="5"/>
      <c r="Y245" s="5"/>
      <c r="Z245" s="5"/>
      <c r="AA245" s="5"/>
      <c r="AB245" s="5"/>
      <c r="AC245" s="5"/>
      <c r="AD245" s="5"/>
      <c r="AF245" s="5"/>
      <c r="AG245" s="6"/>
      <c r="AH245" s="11"/>
      <c r="AI245" s="6"/>
      <c r="AJ245" s="6"/>
      <c r="AK245" s="6"/>
      <c r="AL245" s="6"/>
      <c r="AM245" s="6"/>
      <c r="AN245" s="6"/>
      <c r="AO245" s="12"/>
      <c r="AP245" s="7"/>
      <c r="AQ245" s="6"/>
      <c r="AV245" s="3"/>
      <c r="AW245" s="3"/>
      <c r="AX245" s="3"/>
      <c r="AY245" s="3"/>
      <c r="AZ245" s="4"/>
      <c r="BA245" s="4"/>
      <c r="BB245" s="4"/>
      <c r="BC245" s="4"/>
      <c r="BD245" s="4"/>
      <c r="BE245" s="3"/>
      <c r="BJ245" s="9"/>
      <c r="BK245" s="9"/>
      <c r="BL245" s="9"/>
      <c r="BM245" s="3"/>
      <c r="BN245" s="3"/>
      <c r="BO245" s="3"/>
      <c r="BP245" s="3"/>
      <c r="BQ245" s="3"/>
      <c r="BR245" s="3"/>
    </row>
    <row r="246" spans="1:70" x14ac:dyDescent="0.3">
      <c r="A246" s="2" t="s">
        <v>85</v>
      </c>
      <c r="B246" s="2" t="s">
        <v>139</v>
      </c>
      <c r="C246" t="s">
        <v>88</v>
      </c>
      <c r="D246" s="5" t="s">
        <v>304</v>
      </c>
      <c r="E246" s="5" t="s">
        <v>93</v>
      </c>
      <c r="F246" s="17">
        <v>45243</v>
      </c>
      <c r="G246">
        <v>6</v>
      </c>
      <c r="H246" s="3">
        <v>15.8</v>
      </c>
      <c r="I246" s="3">
        <f t="shared" si="22"/>
        <v>15.34</v>
      </c>
      <c r="J246" s="3">
        <f t="shared" si="27"/>
        <v>1.7275</v>
      </c>
      <c r="K246" s="6">
        <f t="shared" si="23"/>
        <v>3809.882608267716</v>
      </c>
      <c r="L246" s="4"/>
      <c r="M246" s="4"/>
      <c r="N246" s="4"/>
      <c r="O246" s="4"/>
      <c r="P246" s="7"/>
      <c r="Q246" s="6"/>
      <c r="R246" s="5"/>
      <c r="S246" s="4"/>
      <c r="T246" s="13"/>
      <c r="U246" s="13"/>
      <c r="V246" s="5"/>
      <c r="W246" s="5"/>
      <c r="X246" s="5"/>
      <c r="Y246" s="5"/>
      <c r="Z246" s="5"/>
      <c r="AA246" s="5"/>
      <c r="AB246" s="5"/>
      <c r="AC246" s="5"/>
      <c r="AD246" s="5"/>
      <c r="AF246" s="5"/>
      <c r="AG246" s="6"/>
      <c r="AH246" s="11"/>
      <c r="AI246" s="6"/>
      <c r="AJ246" s="6"/>
      <c r="AK246" s="6"/>
      <c r="AL246" s="6"/>
      <c r="AM246" s="6"/>
      <c r="AN246" s="6"/>
      <c r="AO246" s="12"/>
      <c r="AP246" s="7"/>
      <c r="AQ246" s="6"/>
      <c r="AV246" s="3"/>
      <c r="AW246" s="3"/>
      <c r="AX246" s="3"/>
      <c r="AY246" s="3"/>
      <c r="AZ246" s="4"/>
      <c r="BA246" s="4"/>
      <c r="BB246" s="4"/>
      <c r="BC246" s="4"/>
      <c r="BD246" s="4"/>
      <c r="BE246" s="3"/>
      <c r="BJ246" s="9"/>
      <c r="BK246" s="9"/>
      <c r="BL246" s="9"/>
      <c r="BM246" s="3"/>
      <c r="BN246" s="3"/>
      <c r="BO246" s="3"/>
      <c r="BP246" s="3"/>
      <c r="BQ246" s="3"/>
      <c r="BR246" s="3"/>
    </row>
    <row r="247" spans="1:70" x14ac:dyDescent="0.3">
      <c r="A247" s="2" t="s">
        <v>85</v>
      </c>
      <c r="B247" s="2" t="s">
        <v>140</v>
      </c>
      <c r="C247" t="s">
        <v>88</v>
      </c>
      <c r="D247" s="5" t="s">
        <v>305</v>
      </c>
      <c r="E247" s="5" t="s">
        <v>93</v>
      </c>
      <c r="F247" s="17">
        <v>45243</v>
      </c>
      <c r="G247">
        <v>6</v>
      </c>
      <c r="H247" s="3">
        <v>16.5</v>
      </c>
      <c r="I247" s="3">
        <f t="shared" si="22"/>
        <v>16.04</v>
      </c>
      <c r="J247" s="3">
        <f t="shared" si="27"/>
        <v>1.7275</v>
      </c>
      <c r="K247" s="6">
        <f t="shared" si="23"/>
        <v>3966.1396948818892</v>
      </c>
      <c r="L247" s="4"/>
      <c r="M247" s="4"/>
      <c r="N247" s="4"/>
      <c r="O247" s="4"/>
      <c r="P247" s="7"/>
      <c r="Q247" s="6"/>
      <c r="R247" s="5"/>
      <c r="S247" s="4"/>
      <c r="T247" s="13"/>
      <c r="U247" s="13"/>
      <c r="V247" s="5"/>
      <c r="W247" s="5"/>
      <c r="X247" s="5"/>
      <c r="Y247" s="5"/>
      <c r="Z247" s="5"/>
      <c r="AA247" s="5"/>
      <c r="AB247" s="5"/>
      <c r="AC247" s="5"/>
      <c r="AD247" s="5"/>
      <c r="AF247" s="5"/>
      <c r="AG247" s="6"/>
      <c r="AH247" s="11"/>
      <c r="AI247" s="6"/>
      <c r="AJ247" s="6"/>
      <c r="AK247" s="6"/>
      <c r="AL247" s="6"/>
      <c r="AM247" s="6"/>
      <c r="AN247" s="6"/>
      <c r="AO247" s="12"/>
      <c r="AP247" s="7"/>
      <c r="AQ247" s="6"/>
      <c r="AV247" s="3"/>
      <c r="AW247" s="3"/>
      <c r="AX247" s="3"/>
      <c r="AY247" s="3"/>
      <c r="AZ247" s="4"/>
      <c r="BA247" s="4"/>
      <c r="BB247" s="4"/>
      <c r="BC247" s="4"/>
      <c r="BD247" s="4"/>
      <c r="BE247" s="3"/>
      <c r="BJ247" s="9"/>
      <c r="BK247" s="9"/>
      <c r="BL247" s="9"/>
      <c r="BM247" s="3"/>
      <c r="BN247" s="3"/>
      <c r="BO247" s="3"/>
      <c r="BP247" s="3"/>
      <c r="BQ247" s="3"/>
      <c r="BR247" s="3"/>
    </row>
    <row r="248" spans="1:70" x14ac:dyDescent="0.3">
      <c r="A248" s="2" t="s">
        <v>85</v>
      </c>
      <c r="B248" s="2" t="s">
        <v>141</v>
      </c>
      <c r="C248" t="s">
        <v>88</v>
      </c>
      <c r="D248" s="5" t="s">
        <v>306</v>
      </c>
      <c r="E248" s="5" t="s">
        <v>93</v>
      </c>
      <c r="F248" s="17">
        <v>45243</v>
      </c>
      <c r="G248">
        <v>6</v>
      </c>
      <c r="H248" s="3">
        <v>17.5</v>
      </c>
      <c r="I248" s="3">
        <f t="shared" si="22"/>
        <v>17.04</v>
      </c>
      <c r="J248" s="3">
        <f t="shared" si="27"/>
        <v>1.7275</v>
      </c>
      <c r="K248" s="6">
        <f t="shared" si="23"/>
        <v>4189.364104330708</v>
      </c>
      <c r="L248" s="4"/>
      <c r="M248" s="4"/>
      <c r="N248" s="4"/>
      <c r="O248" s="4"/>
      <c r="P248" s="7"/>
      <c r="Q248" s="6"/>
      <c r="R248" s="5"/>
      <c r="S248" s="4"/>
      <c r="T248" s="13"/>
      <c r="U248" s="13"/>
      <c r="V248" s="5"/>
      <c r="W248" s="5"/>
      <c r="X248" s="5"/>
      <c r="Y248" s="5"/>
      <c r="Z248" s="5"/>
      <c r="AA248" s="5"/>
      <c r="AB248" s="5"/>
      <c r="AC248" s="5"/>
      <c r="AD248" s="5"/>
      <c r="AF248" s="5"/>
      <c r="AG248" s="6"/>
      <c r="AH248" s="11"/>
      <c r="AI248" s="6"/>
      <c r="AJ248" s="6"/>
      <c r="AK248" s="6"/>
      <c r="AL248" s="6"/>
      <c r="AM248" s="6"/>
      <c r="AN248" s="6"/>
      <c r="AO248" s="12"/>
      <c r="AP248" s="7"/>
      <c r="AQ248" s="6"/>
      <c r="AV248" s="3"/>
      <c r="AW248" s="3"/>
      <c r="AX248" s="3"/>
      <c r="AY248" s="3"/>
      <c r="AZ248" s="4"/>
      <c r="BA248" s="4"/>
      <c r="BB248" s="4"/>
      <c r="BC248" s="4"/>
      <c r="BD248" s="4"/>
      <c r="BE248" s="3"/>
      <c r="BJ248" s="9"/>
      <c r="BK248" s="9"/>
      <c r="BL248" s="9"/>
      <c r="BM248" s="3"/>
      <c r="BN248" s="3"/>
      <c r="BO248" s="3"/>
      <c r="BP248" s="3"/>
      <c r="BQ248" s="3"/>
      <c r="BR248" s="3"/>
    </row>
    <row r="249" spans="1:70" x14ac:dyDescent="0.3">
      <c r="A249" s="2" t="s">
        <v>85</v>
      </c>
      <c r="B249" s="2" t="s">
        <v>142</v>
      </c>
      <c r="C249" t="s">
        <v>88</v>
      </c>
      <c r="D249" s="5" t="s">
        <v>307</v>
      </c>
      <c r="E249" s="5" t="s">
        <v>93</v>
      </c>
      <c r="F249" s="17">
        <v>45243</v>
      </c>
      <c r="G249">
        <v>6</v>
      </c>
      <c r="H249" s="3">
        <v>13.5</v>
      </c>
      <c r="I249" s="3">
        <f t="shared" si="22"/>
        <v>13.04</v>
      </c>
      <c r="J249" s="3">
        <f t="shared" si="27"/>
        <v>1.7275</v>
      </c>
      <c r="K249" s="6">
        <f t="shared" si="23"/>
        <v>3296.4664665354326</v>
      </c>
      <c r="L249" s="4"/>
      <c r="M249" s="4"/>
      <c r="N249" s="4"/>
      <c r="O249" s="4"/>
      <c r="P249" s="7"/>
      <c r="Q249" s="6"/>
      <c r="R249" s="5"/>
      <c r="S249" s="4"/>
      <c r="T249" s="13"/>
      <c r="U249" s="13"/>
      <c r="V249" s="5"/>
      <c r="W249" s="5"/>
      <c r="X249" s="5"/>
      <c r="Y249" s="5"/>
      <c r="Z249" s="5"/>
      <c r="AA249" s="5"/>
      <c r="AB249" s="5"/>
      <c r="AC249" s="5"/>
      <c r="AD249" s="5"/>
      <c r="AF249" s="5"/>
      <c r="AG249" s="6"/>
      <c r="AH249" s="11"/>
      <c r="AI249" s="6"/>
      <c r="AJ249" s="6"/>
      <c r="AK249" s="6"/>
      <c r="AL249" s="6"/>
      <c r="AM249" s="6"/>
      <c r="AN249" s="6"/>
      <c r="AO249" s="12"/>
      <c r="AP249" s="7"/>
      <c r="AQ249" s="6"/>
      <c r="AV249" s="3"/>
      <c r="AW249" s="3"/>
      <c r="AX249" s="3"/>
      <c r="AY249" s="3"/>
      <c r="AZ249" s="4"/>
      <c r="BA249" s="4"/>
      <c r="BB249" s="4"/>
      <c r="BC249" s="4"/>
      <c r="BD249" s="4"/>
      <c r="BE249" s="3"/>
      <c r="BJ249" s="9"/>
      <c r="BK249" s="9"/>
      <c r="BL249" s="9"/>
      <c r="BM249" s="3"/>
      <c r="BN249" s="3"/>
      <c r="BO249" s="3"/>
      <c r="BP249" s="3"/>
      <c r="BQ249" s="3"/>
      <c r="BR249" s="3"/>
    </row>
    <row r="250" spans="1:70" x14ac:dyDescent="0.3">
      <c r="A250" s="2" t="s">
        <v>85</v>
      </c>
      <c r="B250" s="2" t="s">
        <v>143</v>
      </c>
      <c r="C250" t="s">
        <v>88</v>
      </c>
      <c r="D250" s="5" t="s">
        <v>308</v>
      </c>
      <c r="E250" s="5" t="s">
        <v>93</v>
      </c>
      <c r="F250" s="17">
        <v>45243</v>
      </c>
      <c r="G250">
        <v>6</v>
      </c>
      <c r="H250" s="3">
        <v>9.3000000000000007</v>
      </c>
      <c r="I250" s="3">
        <f t="shared" si="22"/>
        <v>8.84</v>
      </c>
      <c r="J250" s="3">
        <f t="shared" si="27"/>
        <v>1.7275</v>
      </c>
      <c r="K250" s="6">
        <f t="shared" si="23"/>
        <v>2358.9239468503933</v>
      </c>
      <c r="L250" s="4"/>
      <c r="M250" s="4"/>
      <c r="N250" s="4"/>
      <c r="O250" s="4"/>
      <c r="P250" s="7"/>
      <c r="Q250" s="6"/>
      <c r="R250" s="5"/>
      <c r="S250" s="4"/>
      <c r="T250" s="13"/>
      <c r="U250" s="13"/>
      <c r="V250" s="5"/>
      <c r="W250" s="5"/>
      <c r="X250" s="5"/>
      <c r="Y250" s="5"/>
      <c r="Z250" s="5"/>
      <c r="AA250" s="5"/>
      <c r="AB250" s="5"/>
      <c r="AC250" s="5"/>
      <c r="AD250" s="5"/>
      <c r="AF250" s="5"/>
      <c r="AG250" s="6"/>
      <c r="AH250" s="11"/>
      <c r="AI250" s="6"/>
      <c r="AJ250" s="6"/>
      <c r="AK250" s="6"/>
      <c r="AL250" s="6"/>
      <c r="AM250" s="6"/>
      <c r="AN250" s="6"/>
      <c r="AO250" s="12"/>
      <c r="AP250" s="7"/>
      <c r="AQ250" s="6"/>
      <c r="AV250" s="3"/>
      <c r="AW250" s="3"/>
      <c r="AX250" s="3"/>
      <c r="AY250" s="3"/>
      <c r="AZ250" s="4"/>
      <c r="BA250" s="4"/>
      <c r="BB250" s="4"/>
      <c r="BC250" s="4"/>
      <c r="BD250" s="4"/>
      <c r="BE250" s="3"/>
      <c r="BJ250" s="9"/>
      <c r="BK250" s="9"/>
      <c r="BL250" s="9"/>
      <c r="BM250" s="3"/>
      <c r="BN250" s="3"/>
      <c r="BO250" s="3"/>
      <c r="BP250" s="3"/>
      <c r="BQ250" s="3"/>
      <c r="BR250" s="3"/>
    </row>
    <row r="251" spans="1:70" x14ac:dyDescent="0.3">
      <c r="A251" s="2" t="s">
        <v>85</v>
      </c>
      <c r="B251" s="2" t="s">
        <v>80</v>
      </c>
      <c r="C251" t="s">
        <v>89</v>
      </c>
      <c r="D251" s="5" t="s">
        <v>309</v>
      </c>
      <c r="E251" s="5" t="s">
        <v>93</v>
      </c>
      <c r="F251" s="17">
        <v>45243</v>
      </c>
      <c r="G251">
        <v>18</v>
      </c>
      <c r="H251" s="3">
        <v>16</v>
      </c>
      <c r="I251" s="3">
        <f t="shared" si="22"/>
        <v>15.54</v>
      </c>
      <c r="J251" s="3">
        <f>($A$68-$A$47)*$A$75</f>
        <v>1.1087499999999999</v>
      </c>
      <c r="K251" s="6">
        <f t="shared" si="23"/>
        <v>3716.4073868110236</v>
      </c>
      <c r="L251" s="4"/>
      <c r="M251" s="4"/>
      <c r="N251" s="4"/>
      <c r="O251" s="4"/>
      <c r="P251" s="7"/>
      <c r="Q251" s="6"/>
      <c r="R251" s="5"/>
      <c r="S251" s="4"/>
      <c r="T251" s="13"/>
      <c r="U251" s="13"/>
      <c r="V251" s="5"/>
      <c r="W251" s="5"/>
      <c r="X251" s="5"/>
      <c r="Y251" s="5"/>
      <c r="Z251" s="5"/>
      <c r="AA251" s="5"/>
      <c r="AB251" s="5"/>
      <c r="AC251" s="5"/>
      <c r="AD251" s="5"/>
      <c r="AF251" s="5"/>
      <c r="AG251" s="6"/>
      <c r="AH251" s="11"/>
      <c r="AI251" s="6"/>
      <c r="AJ251" s="6"/>
      <c r="AK251" s="6"/>
      <c r="AL251" s="6"/>
      <c r="AM251" s="6"/>
      <c r="AN251" s="6"/>
      <c r="AO251" s="12"/>
      <c r="AP251" s="7"/>
      <c r="AQ251" s="6"/>
      <c r="AV251" s="3"/>
      <c r="AW251" s="3"/>
      <c r="AX251" s="3"/>
      <c r="AY251" s="3"/>
      <c r="AZ251" s="4"/>
      <c r="BA251" s="4"/>
      <c r="BB251" s="4"/>
      <c r="BC251" s="4"/>
      <c r="BD251" s="4"/>
      <c r="BE251" s="3"/>
      <c r="BJ251" s="9"/>
      <c r="BK251" s="9"/>
      <c r="BL251" s="9"/>
      <c r="BM251" s="3"/>
      <c r="BN251" s="3"/>
      <c r="BO251" s="3"/>
      <c r="BP251" s="3"/>
      <c r="BQ251" s="3"/>
      <c r="BR251" s="3"/>
    </row>
    <row r="252" spans="1:70" x14ac:dyDescent="0.3">
      <c r="A252" s="2" t="s">
        <v>85</v>
      </c>
      <c r="B252" s="2" t="s">
        <v>81</v>
      </c>
      <c r="C252" t="s">
        <v>89</v>
      </c>
      <c r="D252" s="5" t="s">
        <v>310</v>
      </c>
      <c r="E252" s="5" t="s">
        <v>93</v>
      </c>
      <c r="F252" s="17">
        <v>45243</v>
      </c>
      <c r="G252">
        <v>18</v>
      </c>
      <c r="H252" s="3">
        <v>20.5</v>
      </c>
      <c r="I252" s="3">
        <f t="shared" si="22"/>
        <v>20.04</v>
      </c>
      <c r="J252" s="3">
        <f t="shared" ref="J252:J265" si="28">($A$68-$A$47)*$A$75</f>
        <v>1.1087499999999999</v>
      </c>
      <c r="K252" s="6">
        <f t="shared" si="23"/>
        <v>4720.9172293307083</v>
      </c>
      <c r="L252" s="4"/>
      <c r="M252" s="4"/>
      <c r="N252" s="4"/>
      <c r="O252" s="4"/>
      <c r="P252" s="7"/>
      <c r="Q252" s="6"/>
      <c r="R252" s="5"/>
      <c r="S252" s="4"/>
      <c r="T252" s="13"/>
      <c r="U252" s="13"/>
      <c r="V252" s="5"/>
      <c r="W252" s="5"/>
      <c r="X252" s="5"/>
      <c r="Y252" s="5"/>
      <c r="Z252" s="5"/>
      <c r="AA252" s="5"/>
      <c r="AB252" s="5"/>
      <c r="AC252" s="5"/>
      <c r="AD252" s="5"/>
      <c r="AF252" s="5"/>
      <c r="AG252" s="6"/>
      <c r="AH252" s="11"/>
      <c r="AI252" s="6"/>
      <c r="AJ252" s="6"/>
      <c r="AK252" s="6"/>
      <c r="AL252" s="6"/>
      <c r="AM252" s="6"/>
      <c r="AN252" s="6"/>
      <c r="AO252" s="12"/>
      <c r="AP252" s="7"/>
      <c r="AQ252" s="6"/>
      <c r="AV252" s="3"/>
      <c r="AW252" s="3"/>
      <c r="AX252" s="3"/>
      <c r="AY252" s="3"/>
      <c r="AZ252" s="4"/>
      <c r="BA252" s="4"/>
      <c r="BB252" s="4"/>
      <c r="BC252" s="4"/>
      <c r="BD252" s="4"/>
      <c r="BE252" s="3"/>
      <c r="BJ252" s="9"/>
      <c r="BK252" s="9"/>
      <c r="BL252" s="9"/>
      <c r="BM252" s="3"/>
      <c r="BN252" s="3"/>
      <c r="BO252" s="3"/>
      <c r="BP252" s="3"/>
      <c r="BQ252" s="3"/>
      <c r="BR252" s="3"/>
    </row>
    <row r="253" spans="1:70" x14ac:dyDescent="0.3">
      <c r="A253" s="2" t="s">
        <v>85</v>
      </c>
      <c r="B253" s="2" t="s">
        <v>82</v>
      </c>
      <c r="C253" t="s">
        <v>89</v>
      </c>
      <c r="D253" s="5" t="s">
        <v>311</v>
      </c>
      <c r="E253" s="5" t="s">
        <v>93</v>
      </c>
      <c r="F253" s="17">
        <v>45243</v>
      </c>
      <c r="G253">
        <v>18</v>
      </c>
      <c r="H253" s="3">
        <v>18.2</v>
      </c>
      <c r="I253" s="3">
        <f t="shared" si="22"/>
        <v>17.739999999999998</v>
      </c>
      <c r="J253" s="3">
        <f t="shared" si="28"/>
        <v>1.1087499999999999</v>
      </c>
      <c r="K253" s="6">
        <f t="shared" si="23"/>
        <v>4207.5010875984253</v>
      </c>
      <c r="L253" s="4"/>
      <c r="M253" s="4"/>
      <c r="N253" s="4"/>
      <c r="O253" s="4"/>
      <c r="P253" s="7"/>
      <c r="Q253" s="6"/>
      <c r="R253" s="5"/>
      <c r="S253" s="4"/>
      <c r="T253" s="13"/>
      <c r="U253" s="13"/>
      <c r="V253" s="5"/>
      <c r="W253" s="5"/>
      <c r="X253" s="5"/>
      <c r="Y253" s="5"/>
      <c r="Z253" s="5"/>
      <c r="AA253" s="5"/>
      <c r="AB253" s="5"/>
      <c r="AC253" s="5"/>
      <c r="AD253" s="5"/>
      <c r="AF253" s="5"/>
      <c r="AG253" s="6"/>
      <c r="AH253" s="11"/>
      <c r="AI253" s="6"/>
      <c r="AJ253" s="6"/>
      <c r="AK253" s="6"/>
      <c r="AL253" s="6"/>
      <c r="AM253" s="6"/>
      <c r="AN253" s="6"/>
      <c r="AO253" s="12"/>
      <c r="AP253" s="7"/>
      <c r="AQ253" s="6"/>
      <c r="AV253" s="3"/>
      <c r="AW253" s="3"/>
      <c r="AX253" s="3"/>
      <c r="AY253" s="3"/>
      <c r="AZ253" s="4"/>
      <c r="BA253" s="4"/>
      <c r="BB253" s="4"/>
      <c r="BC253" s="4"/>
      <c r="BD253" s="4"/>
      <c r="BE253" s="3"/>
      <c r="BJ253" s="9"/>
      <c r="BK253" s="9"/>
      <c r="BL253" s="9"/>
      <c r="BM253" s="3"/>
      <c r="BN253" s="3"/>
      <c r="BO253" s="3"/>
      <c r="BP253" s="3"/>
      <c r="BQ253" s="3"/>
      <c r="BR253" s="3"/>
    </row>
    <row r="254" spans="1:70" x14ac:dyDescent="0.3">
      <c r="A254" s="2" t="s">
        <v>85</v>
      </c>
      <c r="B254" s="2" t="s">
        <v>83</v>
      </c>
      <c r="C254" t="s">
        <v>89</v>
      </c>
      <c r="D254" s="5" t="s">
        <v>312</v>
      </c>
      <c r="E254" s="5" t="s">
        <v>93</v>
      </c>
      <c r="F254" s="17">
        <v>45243</v>
      </c>
      <c r="G254">
        <v>18</v>
      </c>
      <c r="H254" s="3">
        <v>19.8</v>
      </c>
      <c r="I254" s="3">
        <f t="shared" si="22"/>
        <v>19.34</v>
      </c>
      <c r="J254" s="3">
        <f t="shared" si="28"/>
        <v>1.1087499999999999</v>
      </c>
      <c r="K254" s="6">
        <f t="shared" si="23"/>
        <v>4564.660142716536</v>
      </c>
      <c r="L254" s="4"/>
      <c r="M254" s="4"/>
      <c r="N254" s="4"/>
      <c r="O254" s="4"/>
      <c r="P254" s="7"/>
      <c r="Q254" s="6"/>
      <c r="R254" s="5"/>
      <c r="S254" s="4"/>
      <c r="T254" s="13"/>
      <c r="U254" s="13"/>
      <c r="V254" s="5"/>
      <c r="W254" s="5"/>
      <c r="X254" s="5"/>
      <c r="Y254" s="5"/>
      <c r="Z254" s="5"/>
      <c r="AA254" s="5"/>
      <c r="AB254" s="5"/>
      <c r="AC254" s="5"/>
      <c r="AD254" s="5"/>
      <c r="AF254" s="5"/>
      <c r="AG254" s="6"/>
      <c r="AH254" s="11"/>
      <c r="AI254" s="6"/>
      <c r="AJ254" s="6"/>
      <c r="AK254" s="6"/>
      <c r="AL254" s="6"/>
      <c r="AM254" s="6"/>
      <c r="AN254" s="6"/>
      <c r="AO254" s="12"/>
      <c r="AP254" s="7"/>
      <c r="AQ254" s="6"/>
      <c r="AV254" s="3"/>
      <c r="AW254" s="3"/>
      <c r="AX254" s="3"/>
      <c r="AY254" s="3"/>
      <c r="AZ254" s="4"/>
      <c r="BA254" s="4"/>
      <c r="BB254" s="4"/>
      <c r="BC254" s="4"/>
      <c r="BD254" s="4"/>
      <c r="BE254" s="3"/>
      <c r="BJ254" s="9"/>
      <c r="BK254" s="9"/>
      <c r="BL254" s="9"/>
      <c r="BM254" s="3"/>
      <c r="BN254" s="3"/>
      <c r="BO254" s="3"/>
      <c r="BP254" s="3"/>
      <c r="BQ254" s="3"/>
      <c r="BR254" s="3"/>
    </row>
    <row r="255" spans="1:70" x14ac:dyDescent="0.3">
      <c r="A255" s="2" t="s">
        <v>85</v>
      </c>
      <c r="B255" s="2" t="s">
        <v>84</v>
      </c>
      <c r="C255" t="s">
        <v>89</v>
      </c>
      <c r="D255" s="5" t="s">
        <v>313</v>
      </c>
      <c r="E255" s="5" t="s">
        <v>93</v>
      </c>
      <c r="F255" s="17">
        <v>45243</v>
      </c>
      <c r="G255">
        <v>18</v>
      </c>
      <c r="H255" s="3">
        <v>18.3</v>
      </c>
      <c r="I255" s="3">
        <f t="shared" si="22"/>
        <v>17.84</v>
      </c>
      <c r="J255" s="3">
        <f t="shared" si="28"/>
        <v>1.1087499999999999</v>
      </c>
      <c r="K255" s="6">
        <f t="shared" si="23"/>
        <v>4229.8235285433075</v>
      </c>
      <c r="L255" s="4"/>
      <c r="M255" s="4"/>
      <c r="N255" s="4"/>
      <c r="O255" s="4"/>
      <c r="P255" s="7"/>
      <c r="Q255" s="6"/>
      <c r="R255" s="5"/>
      <c r="S255" s="4"/>
      <c r="T255" s="13"/>
      <c r="U255" s="13"/>
      <c r="V255" s="5"/>
      <c r="W255" s="5"/>
      <c r="X255" s="5"/>
      <c r="Y255" s="5"/>
      <c r="Z255" s="5"/>
      <c r="AA255" s="5"/>
      <c r="AB255" s="5"/>
      <c r="AC255" s="5"/>
      <c r="AD255" s="5"/>
      <c r="AF255" s="5"/>
      <c r="AG255" s="6"/>
      <c r="AH255" s="11"/>
      <c r="AI255" s="6"/>
      <c r="AJ255" s="6"/>
      <c r="AK255" s="6"/>
      <c r="AL255" s="6"/>
      <c r="AM255" s="6"/>
      <c r="AN255" s="6"/>
      <c r="AO255" s="12"/>
      <c r="AP255" s="7"/>
      <c r="AQ255" s="6"/>
      <c r="AV255" s="3"/>
      <c r="AW255" s="3"/>
      <c r="AX255" s="3"/>
      <c r="AY255" s="3"/>
      <c r="AZ255" s="4"/>
      <c r="BA255" s="4"/>
      <c r="BB255" s="4"/>
      <c r="BC255" s="4"/>
      <c r="BD255" s="4"/>
      <c r="BE255" s="3"/>
      <c r="BJ255" s="9"/>
      <c r="BK255" s="9"/>
      <c r="BL255" s="9"/>
      <c r="BM255" s="3"/>
      <c r="BN255" s="3"/>
      <c r="BO255" s="3"/>
      <c r="BP255" s="3"/>
      <c r="BQ255" s="3"/>
      <c r="BR255" s="3"/>
    </row>
    <row r="256" spans="1:70" x14ac:dyDescent="0.3">
      <c r="A256" s="2" t="s">
        <v>85</v>
      </c>
      <c r="B256" s="2" t="s">
        <v>85</v>
      </c>
      <c r="C256" t="s">
        <v>89</v>
      </c>
      <c r="D256" s="5" t="s">
        <v>314</v>
      </c>
      <c r="E256" s="5" t="s">
        <v>93</v>
      </c>
      <c r="F256" s="17">
        <v>45243</v>
      </c>
      <c r="G256">
        <v>18</v>
      </c>
      <c r="H256" s="3">
        <v>20.9</v>
      </c>
      <c r="I256" s="3">
        <f t="shared" si="22"/>
        <v>20.439999999999998</v>
      </c>
      <c r="J256" s="3">
        <f t="shared" si="28"/>
        <v>1.1087499999999999</v>
      </c>
      <c r="K256" s="6">
        <f t="shared" si="23"/>
        <v>4810.206993110236</v>
      </c>
      <c r="L256" s="4"/>
      <c r="M256" s="4"/>
      <c r="N256" s="4"/>
      <c r="O256" s="4"/>
      <c r="P256" s="7"/>
      <c r="Q256" s="6"/>
      <c r="R256" s="5"/>
      <c r="S256" s="4"/>
      <c r="T256" s="13"/>
      <c r="U256" s="13"/>
      <c r="V256" s="5"/>
      <c r="W256" s="5"/>
      <c r="X256" s="5"/>
      <c r="Y256" s="5"/>
      <c r="Z256" s="5"/>
      <c r="AA256" s="5"/>
      <c r="AB256" s="5"/>
      <c r="AC256" s="5"/>
      <c r="AD256" s="5"/>
      <c r="AF256" s="5"/>
      <c r="AG256" s="6"/>
      <c r="AH256" s="11"/>
      <c r="AI256" s="6"/>
      <c r="AJ256" s="6"/>
      <c r="AK256" s="6"/>
      <c r="AL256" s="6"/>
      <c r="AM256" s="6"/>
      <c r="AN256" s="6"/>
      <c r="AO256" s="12"/>
      <c r="AP256" s="7"/>
      <c r="AQ256" s="6"/>
      <c r="AV256" s="3"/>
      <c r="AW256" s="3"/>
      <c r="AX256" s="3"/>
      <c r="AY256" s="3"/>
      <c r="AZ256" s="4"/>
      <c r="BA256" s="4"/>
      <c r="BB256" s="4"/>
      <c r="BC256" s="4"/>
      <c r="BD256" s="4"/>
      <c r="BE256" s="3"/>
      <c r="BJ256" s="9"/>
      <c r="BK256" s="9"/>
      <c r="BL256" s="9"/>
      <c r="BM256" s="3"/>
      <c r="BN256" s="3"/>
      <c r="BO256" s="3"/>
      <c r="BP256" s="3"/>
      <c r="BQ256" s="3"/>
      <c r="BR256" s="3"/>
    </row>
    <row r="257" spans="1:83" x14ac:dyDescent="0.3">
      <c r="A257" s="2" t="s">
        <v>85</v>
      </c>
      <c r="B257" s="2" t="s">
        <v>86</v>
      </c>
      <c r="C257" t="s">
        <v>89</v>
      </c>
      <c r="D257" s="5" t="s">
        <v>315</v>
      </c>
      <c r="E257" s="5" t="s">
        <v>93</v>
      </c>
      <c r="F257" s="17">
        <v>45243</v>
      </c>
      <c r="G257">
        <v>18</v>
      </c>
      <c r="H257" s="3">
        <v>18.399999999999999</v>
      </c>
      <c r="I257" s="3">
        <f t="shared" si="22"/>
        <v>17.939999999999998</v>
      </c>
      <c r="J257" s="3">
        <f t="shared" si="28"/>
        <v>1.1087499999999999</v>
      </c>
      <c r="K257" s="6">
        <f t="shared" si="23"/>
        <v>4252.1459694881878</v>
      </c>
      <c r="L257" s="4"/>
      <c r="M257" s="4"/>
      <c r="N257" s="4"/>
      <c r="O257" s="4"/>
      <c r="P257" s="7"/>
      <c r="Q257" s="6"/>
      <c r="R257" s="5"/>
      <c r="S257" s="4"/>
      <c r="T257" s="13"/>
      <c r="U257" s="13"/>
      <c r="V257" s="5"/>
      <c r="W257" s="5"/>
      <c r="X257" s="5"/>
      <c r="Y257" s="5"/>
      <c r="Z257" s="5"/>
      <c r="AA257" s="5"/>
      <c r="AB257" s="5"/>
      <c r="AC257" s="5"/>
      <c r="AD257" s="5"/>
      <c r="AF257" s="5"/>
      <c r="AG257" s="6"/>
      <c r="AH257" s="11"/>
      <c r="AI257" s="6"/>
      <c r="AJ257" s="6"/>
      <c r="AK257" s="6"/>
      <c r="AL257" s="6"/>
      <c r="AM257" s="6"/>
      <c r="AN257" s="6"/>
      <c r="AO257" s="12"/>
      <c r="AP257" s="7"/>
      <c r="AQ257" s="6"/>
      <c r="AV257" s="3"/>
      <c r="AW257" s="3"/>
      <c r="AX257" s="3"/>
      <c r="AY257" s="3"/>
      <c r="AZ257" s="4"/>
      <c r="BA257" s="4"/>
      <c r="BB257" s="4"/>
      <c r="BC257" s="4"/>
      <c r="BD257" s="4"/>
      <c r="BE257" s="3"/>
      <c r="BJ257" s="9"/>
      <c r="BK257" s="9"/>
      <c r="BL257" s="9"/>
      <c r="BM257" s="3"/>
      <c r="BN257" s="3"/>
      <c r="BO257" s="3"/>
      <c r="BP257" s="3"/>
      <c r="BQ257" s="3"/>
      <c r="BR257" s="3"/>
    </row>
    <row r="258" spans="1:83" x14ac:dyDescent="0.3">
      <c r="A258" s="2" t="s">
        <v>85</v>
      </c>
      <c r="B258" s="2" t="s">
        <v>87</v>
      </c>
      <c r="C258" t="s">
        <v>89</v>
      </c>
      <c r="D258" s="5" t="s">
        <v>316</v>
      </c>
      <c r="E258" s="5" t="s">
        <v>93</v>
      </c>
      <c r="F258" s="17">
        <v>45243</v>
      </c>
      <c r="G258">
        <v>18</v>
      </c>
      <c r="H258" s="3">
        <v>21.1</v>
      </c>
      <c r="I258" s="3">
        <f t="shared" si="22"/>
        <v>20.64</v>
      </c>
      <c r="J258" s="3">
        <f t="shared" si="28"/>
        <v>1.1087499999999999</v>
      </c>
      <c r="K258" s="6">
        <f t="shared" si="23"/>
        <v>4854.8518750000012</v>
      </c>
      <c r="L258" s="4">
        <v>10.63</v>
      </c>
      <c r="M258" s="4">
        <v>213.06</v>
      </c>
      <c r="N258" s="4">
        <v>202.43</v>
      </c>
      <c r="O258" s="4">
        <v>193.1</v>
      </c>
      <c r="P258" s="7">
        <f>(N258-O258)/N258*100</f>
        <v>4.6090006421973095</v>
      </c>
      <c r="Q258" s="6">
        <f>K258*(1-P258/100)</f>
        <v>4631.0917209035224</v>
      </c>
      <c r="R258" s="14">
        <v>45244</v>
      </c>
      <c r="S258" s="4">
        <v>9.3000000000000007</v>
      </c>
      <c r="T258" s="13">
        <v>3.6</v>
      </c>
      <c r="U258" s="13">
        <v>6.01</v>
      </c>
      <c r="V258" s="8">
        <f>(T258-$A$76)/(S258-$A$47*$A$48)</f>
        <v>0.36496239246236811</v>
      </c>
      <c r="W258" s="8">
        <f>(U258-$A$77)/(S258-$A$47*$A$48)</f>
        <v>0.47407712824376325</v>
      </c>
      <c r="X258" s="8">
        <f>1-V258-W258</f>
        <v>0.16096047929386859</v>
      </c>
      <c r="Y258" s="6">
        <f>K258*V258</f>
        <v>1771.8383553504141</v>
      </c>
      <c r="Z258" s="6">
        <f>K258*W258</f>
        <v>2301.5742349488501</v>
      </c>
      <c r="AA258" s="6">
        <f>SUM(Y258:Z258)</f>
        <v>4073.4125902992641</v>
      </c>
      <c r="AB258" s="6">
        <f>Q258*V258</f>
        <v>1690.1743141736151</v>
      </c>
      <c r="AC258" s="6">
        <f>Q258*W258</f>
        <v>2195.4946636794093</v>
      </c>
      <c r="AD258" s="6">
        <f>SUM(AB258:AC258)</f>
        <v>3885.6689778530244</v>
      </c>
      <c r="AE258" t="s">
        <v>548</v>
      </c>
      <c r="AF258" s="14">
        <v>45295</v>
      </c>
      <c r="AG258" s="6">
        <v>46.5</v>
      </c>
      <c r="AH258" s="11">
        <v>1.143</v>
      </c>
      <c r="AI258" s="6">
        <v>81.5</v>
      </c>
      <c r="AJ258" s="6">
        <v>29.9</v>
      </c>
      <c r="AK258" s="6">
        <v>5.5</v>
      </c>
      <c r="AL258" s="6">
        <v>81.400000000000006</v>
      </c>
      <c r="AM258" s="6">
        <v>8.8000000000000007</v>
      </c>
      <c r="AN258" s="6" t="s">
        <v>134</v>
      </c>
      <c r="AO258" s="12">
        <v>12</v>
      </c>
      <c r="AP258" s="7">
        <v>0.12</v>
      </c>
      <c r="AQ258" s="6">
        <v>10.3</v>
      </c>
      <c r="AV258" s="3"/>
      <c r="AW258" s="3"/>
      <c r="AX258" s="3"/>
      <c r="AY258" s="3"/>
      <c r="AZ258" s="4"/>
      <c r="BA258" s="4"/>
      <c r="BB258" s="4"/>
      <c r="BC258" s="4"/>
      <c r="BD258" s="4"/>
      <c r="BE258" s="3"/>
      <c r="BJ258" s="9"/>
      <c r="BK258" s="9"/>
      <c r="BL258" s="9"/>
      <c r="BM258" s="3"/>
      <c r="BN258" s="3"/>
      <c r="BO258" s="3"/>
      <c r="BP258" s="3"/>
      <c r="BQ258" s="3"/>
      <c r="BR258" s="3"/>
    </row>
    <row r="259" spans="1:83" x14ac:dyDescent="0.3">
      <c r="A259" s="2" t="s">
        <v>85</v>
      </c>
      <c r="B259" s="2" t="s">
        <v>137</v>
      </c>
      <c r="C259" t="s">
        <v>89</v>
      </c>
      <c r="D259" s="5" t="s">
        <v>317</v>
      </c>
      <c r="E259" s="5" t="s">
        <v>93</v>
      </c>
      <c r="F259" s="17">
        <v>45243</v>
      </c>
      <c r="G259">
        <v>18</v>
      </c>
      <c r="H259" s="3">
        <v>20.7</v>
      </c>
      <c r="I259" s="3">
        <f t="shared" si="22"/>
        <v>20.239999999999998</v>
      </c>
      <c r="J259" s="3">
        <f t="shared" si="28"/>
        <v>1.1087499999999999</v>
      </c>
      <c r="K259" s="6">
        <f t="shared" si="23"/>
        <v>4765.5621112204717</v>
      </c>
      <c r="L259" s="4"/>
      <c r="M259" s="4"/>
      <c r="N259" s="4"/>
      <c r="O259" s="4"/>
      <c r="P259" s="7"/>
      <c r="Q259" s="6"/>
      <c r="R259" s="5"/>
      <c r="S259" s="4"/>
      <c r="T259" s="13"/>
      <c r="U259" s="13"/>
      <c r="V259" s="5"/>
      <c r="W259" s="5"/>
      <c r="X259" s="5"/>
      <c r="Y259" s="5"/>
      <c r="Z259" s="5"/>
      <c r="AA259" s="5"/>
      <c r="AB259" s="5"/>
      <c r="AC259" s="5"/>
      <c r="AD259" s="5"/>
      <c r="AF259" s="5"/>
      <c r="AG259" s="6"/>
      <c r="AH259" s="11"/>
      <c r="AI259" s="6"/>
      <c r="AJ259" s="6"/>
      <c r="AK259" s="6"/>
      <c r="AL259" s="6"/>
      <c r="AM259" s="6"/>
      <c r="AN259" s="6"/>
      <c r="AO259" s="12"/>
      <c r="AP259" s="7"/>
      <c r="AQ259" s="6"/>
      <c r="AS259" s="4"/>
      <c r="AV259" s="3"/>
      <c r="AW259" s="3"/>
      <c r="AX259" s="3"/>
      <c r="AY259" s="3"/>
      <c r="AZ259" s="4"/>
      <c r="BA259" s="4"/>
      <c r="BB259" s="4"/>
      <c r="BC259" s="4"/>
      <c r="BD259" s="4"/>
      <c r="BE259" s="3"/>
      <c r="BJ259" s="9"/>
      <c r="BK259" s="9"/>
      <c r="BL259" s="9"/>
      <c r="BM259" s="3"/>
      <c r="BN259" s="3"/>
      <c r="BO259" s="3"/>
      <c r="BP259" s="3"/>
      <c r="BQ259" s="3"/>
      <c r="BR259" s="3"/>
    </row>
    <row r="260" spans="1:83" x14ac:dyDescent="0.3">
      <c r="A260" s="2" t="s">
        <v>85</v>
      </c>
      <c r="B260" s="2" t="s">
        <v>138</v>
      </c>
      <c r="C260" t="s">
        <v>89</v>
      </c>
      <c r="D260" s="5" t="s">
        <v>318</v>
      </c>
      <c r="E260" s="5" t="s">
        <v>93</v>
      </c>
      <c r="F260" s="17">
        <v>45243</v>
      </c>
      <c r="G260">
        <v>18</v>
      </c>
      <c r="H260" s="3">
        <v>16.5</v>
      </c>
      <c r="I260" s="3">
        <f t="shared" si="22"/>
        <v>16.04</v>
      </c>
      <c r="J260" s="3">
        <f t="shared" si="28"/>
        <v>1.1087499999999999</v>
      </c>
      <c r="K260" s="6">
        <f t="shared" si="23"/>
        <v>3828.0195915354329</v>
      </c>
      <c r="L260" s="4"/>
      <c r="M260" s="4"/>
      <c r="N260" s="4"/>
      <c r="O260" s="4"/>
      <c r="P260" s="7"/>
      <c r="Q260" s="6"/>
      <c r="R260" s="5"/>
      <c r="S260" s="4"/>
      <c r="T260" s="13"/>
      <c r="U260" s="13"/>
      <c r="V260" s="5"/>
      <c r="W260" s="5"/>
      <c r="X260" s="5"/>
      <c r="Y260" s="5"/>
      <c r="Z260" s="5"/>
      <c r="AA260" s="5"/>
      <c r="AB260" s="5"/>
      <c r="AC260" s="5"/>
      <c r="AD260" s="5"/>
      <c r="AF260" s="5"/>
      <c r="AG260" s="6"/>
      <c r="AH260" s="11"/>
      <c r="AI260" s="6"/>
      <c r="AJ260" s="6"/>
      <c r="AK260" s="6"/>
      <c r="AL260" s="6"/>
      <c r="AM260" s="6"/>
      <c r="AN260" s="6"/>
      <c r="AO260" s="12"/>
      <c r="AP260" s="7"/>
      <c r="AQ260" s="6"/>
      <c r="AV260" s="3"/>
      <c r="AW260" s="3"/>
      <c r="AX260" s="3"/>
      <c r="AY260" s="3"/>
      <c r="AZ260" s="4"/>
      <c r="BA260" s="4"/>
      <c r="BB260" s="4"/>
      <c r="BC260" s="4"/>
      <c r="BD260" s="4"/>
      <c r="BE260" s="3"/>
      <c r="BJ260" s="9"/>
      <c r="BK260" s="9"/>
      <c r="BL260" s="9"/>
      <c r="BM260" s="3"/>
      <c r="BN260" s="3"/>
      <c r="BO260" s="3"/>
      <c r="BP260" s="3"/>
      <c r="BQ260" s="3"/>
      <c r="BR260" s="3"/>
    </row>
    <row r="261" spans="1:83" x14ac:dyDescent="0.3">
      <c r="A261" s="2" t="s">
        <v>85</v>
      </c>
      <c r="B261" s="2" t="s">
        <v>139</v>
      </c>
      <c r="C261" t="s">
        <v>89</v>
      </c>
      <c r="D261" s="5" t="s">
        <v>319</v>
      </c>
      <c r="E261" s="5" t="s">
        <v>93</v>
      </c>
      <c r="F261" s="17">
        <v>45243</v>
      </c>
      <c r="G261">
        <v>18</v>
      </c>
      <c r="H261" s="3">
        <v>16.7</v>
      </c>
      <c r="I261" s="3">
        <f t="shared" si="22"/>
        <v>16.239999999999998</v>
      </c>
      <c r="J261" s="3">
        <f t="shared" si="28"/>
        <v>1.1087499999999999</v>
      </c>
      <c r="K261" s="6">
        <f t="shared" si="23"/>
        <v>3872.6644734251963</v>
      </c>
      <c r="L261" s="4"/>
      <c r="M261" s="4"/>
      <c r="N261" s="4"/>
      <c r="O261" s="4"/>
      <c r="P261" s="7"/>
      <c r="Q261" s="6"/>
      <c r="R261" s="5"/>
      <c r="S261" s="4"/>
      <c r="T261" s="13"/>
      <c r="U261" s="13"/>
      <c r="V261" s="5"/>
      <c r="W261" s="5"/>
      <c r="X261" s="5"/>
      <c r="Y261" s="5"/>
      <c r="Z261" s="5"/>
      <c r="AA261" s="5"/>
      <c r="AB261" s="5"/>
      <c r="AC261" s="5"/>
      <c r="AD261" s="5"/>
      <c r="AF261" s="5"/>
      <c r="AG261" s="6"/>
      <c r="AH261" s="11"/>
      <c r="AI261" s="6"/>
      <c r="AJ261" s="6"/>
      <c r="AK261" s="6"/>
      <c r="AL261" s="6"/>
      <c r="AM261" s="6"/>
      <c r="AN261" s="6"/>
      <c r="AO261" s="12"/>
      <c r="AP261" s="7"/>
      <c r="AQ261" s="6"/>
      <c r="AV261" s="3"/>
      <c r="AW261" s="3"/>
      <c r="AX261" s="3"/>
      <c r="AY261" s="3"/>
      <c r="AZ261" s="4"/>
      <c r="BA261" s="4"/>
      <c r="BB261" s="4"/>
      <c r="BC261" s="4"/>
      <c r="BD261" s="4"/>
      <c r="BE261" s="3"/>
      <c r="BJ261" s="9"/>
      <c r="BK261" s="9"/>
      <c r="BL261" s="9"/>
      <c r="BM261" s="3"/>
      <c r="BN261" s="3"/>
      <c r="BO261" s="3"/>
      <c r="BP261" s="3"/>
      <c r="BQ261" s="3"/>
      <c r="BR261" s="3"/>
    </row>
    <row r="262" spans="1:83" x14ac:dyDescent="0.3">
      <c r="A262" s="2" t="s">
        <v>85</v>
      </c>
      <c r="B262" s="2" t="s">
        <v>140</v>
      </c>
      <c r="C262" t="s">
        <v>89</v>
      </c>
      <c r="D262" s="5" t="s">
        <v>320</v>
      </c>
      <c r="E262" s="5" t="s">
        <v>93</v>
      </c>
      <c r="F262" s="17">
        <v>45243</v>
      </c>
      <c r="G262">
        <v>18</v>
      </c>
      <c r="H262" s="3">
        <v>19</v>
      </c>
      <c r="I262" s="3">
        <f t="shared" si="22"/>
        <v>18.54</v>
      </c>
      <c r="J262" s="3">
        <f t="shared" si="28"/>
        <v>1.1087499999999999</v>
      </c>
      <c r="K262" s="6">
        <f t="shared" si="23"/>
        <v>4386.0806151574807</v>
      </c>
      <c r="L262" s="4"/>
      <c r="M262" s="4"/>
      <c r="N262" s="4"/>
      <c r="O262" s="4"/>
      <c r="P262" s="7"/>
      <c r="Q262" s="6"/>
      <c r="R262" s="5"/>
      <c r="S262" s="4"/>
      <c r="T262" s="13"/>
      <c r="U262" s="13"/>
      <c r="V262" s="5"/>
      <c r="W262" s="5"/>
      <c r="X262" s="5"/>
      <c r="Y262" s="5"/>
      <c r="Z262" s="5"/>
      <c r="AA262" s="5"/>
      <c r="AB262" s="5"/>
      <c r="AC262" s="5"/>
      <c r="AD262" s="5"/>
      <c r="AF262" s="5"/>
      <c r="AG262" s="6"/>
      <c r="AH262" s="11"/>
      <c r="AI262" s="6"/>
      <c r="AJ262" s="6"/>
      <c r="AK262" s="6"/>
      <c r="AL262" s="6"/>
      <c r="AM262" s="6"/>
      <c r="AN262" s="6"/>
      <c r="AO262" s="12"/>
      <c r="AP262" s="7"/>
      <c r="AQ262" s="6"/>
      <c r="AV262" s="3"/>
      <c r="AW262" s="3"/>
      <c r="AX262" s="3"/>
      <c r="AY262" s="3"/>
      <c r="AZ262" s="4"/>
      <c r="BA262" s="4"/>
      <c r="BB262" s="4"/>
      <c r="BC262" s="4"/>
      <c r="BD262" s="4"/>
      <c r="BE262" s="3"/>
      <c r="BJ262" s="9"/>
      <c r="BK262" s="9"/>
      <c r="BL262" s="9"/>
      <c r="BM262" s="3"/>
      <c r="BN262" s="3"/>
      <c r="BO262" s="3"/>
      <c r="BP262" s="3"/>
      <c r="BQ262" s="3"/>
      <c r="BR262" s="3"/>
    </row>
    <row r="263" spans="1:83" x14ac:dyDescent="0.3">
      <c r="A263" s="2" t="s">
        <v>85</v>
      </c>
      <c r="B263" s="2" t="s">
        <v>141</v>
      </c>
      <c r="C263" t="s">
        <v>89</v>
      </c>
      <c r="D263" s="5" t="s">
        <v>321</v>
      </c>
      <c r="E263" s="5" t="s">
        <v>93</v>
      </c>
      <c r="F263" s="17">
        <v>45243</v>
      </c>
      <c r="G263">
        <v>18</v>
      </c>
      <c r="H263" s="3">
        <v>17.7</v>
      </c>
      <c r="I263" s="3">
        <f t="shared" si="22"/>
        <v>17.239999999999998</v>
      </c>
      <c r="J263" s="3">
        <f t="shared" si="28"/>
        <v>1.1087499999999999</v>
      </c>
      <c r="K263" s="6">
        <f t="shared" si="23"/>
        <v>4095.888882874016</v>
      </c>
      <c r="L263" s="4"/>
      <c r="M263" s="4"/>
      <c r="N263" s="4"/>
      <c r="O263" s="4"/>
      <c r="P263" s="7"/>
      <c r="Q263" s="6"/>
      <c r="R263" s="5"/>
      <c r="S263" s="4"/>
      <c r="T263" s="13"/>
      <c r="U263" s="13"/>
      <c r="V263" s="5"/>
      <c r="W263" s="5"/>
      <c r="X263" s="5"/>
      <c r="Y263" s="5"/>
      <c r="Z263" s="5"/>
      <c r="AA263" s="5"/>
      <c r="AB263" s="5"/>
      <c r="AC263" s="5"/>
      <c r="AD263" s="5"/>
      <c r="AF263" s="5"/>
      <c r="AG263" s="6"/>
      <c r="AH263" s="11"/>
      <c r="AI263" s="6"/>
      <c r="AJ263" s="6"/>
      <c r="AK263" s="6"/>
      <c r="AL263" s="6"/>
      <c r="AM263" s="6"/>
      <c r="AN263" s="6"/>
      <c r="AO263" s="12"/>
      <c r="AP263" s="7"/>
      <c r="AQ263" s="6"/>
      <c r="AV263" s="3"/>
      <c r="AW263" s="3"/>
      <c r="AX263" s="3"/>
      <c r="AY263" s="3"/>
      <c r="AZ263" s="4"/>
      <c r="BA263" s="4"/>
      <c r="BB263" s="4"/>
      <c r="BC263" s="4"/>
      <c r="BD263" s="4"/>
      <c r="BE263" s="3"/>
      <c r="BJ263" s="9"/>
      <c r="BK263" s="9"/>
      <c r="BL263" s="9"/>
      <c r="BM263" s="3"/>
      <c r="BN263" s="3"/>
      <c r="BO263" s="3"/>
      <c r="BP263" s="3"/>
      <c r="BQ263" s="3"/>
      <c r="BR263" s="3"/>
    </row>
    <row r="264" spans="1:83" x14ac:dyDescent="0.3">
      <c r="A264" s="2" t="s">
        <v>85</v>
      </c>
      <c r="B264" s="2" t="s">
        <v>142</v>
      </c>
      <c r="C264" t="s">
        <v>89</v>
      </c>
      <c r="D264" s="5" t="s">
        <v>322</v>
      </c>
      <c r="E264" s="5" t="s">
        <v>93</v>
      </c>
      <c r="F264" s="17">
        <v>45243</v>
      </c>
      <c r="G264">
        <v>18</v>
      </c>
      <c r="H264" s="3">
        <v>16.100000000000001</v>
      </c>
      <c r="I264" s="3">
        <f t="shared" si="22"/>
        <v>15.64</v>
      </c>
      <c r="J264" s="3">
        <f t="shared" si="28"/>
        <v>1.1087499999999999</v>
      </c>
      <c r="K264" s="6">
        <f t="shared" si="23"/>
        <v>3738.7298277559062</v>
      </c>
      <c r="L264" s="4"/>
      <c r="M264" s="4"/>
      <c r="N264" s="4"/>
      <c r="O264" s="4"/>
      <c r="P264" s="7"/>
      <c r="Q264" s="6"/>
      <c r="R264" s="5"/>
      <c r="S264" s="4"/>
      <c r="T264" s="13"/>
      <c r="U264" s="13"/>
      <c r="V264" s="5"/>
      <c r="W264" s="5"/>
      <c r="X264" s="5"/>
      <c r="Y264" s="5"/>
      <c r="Z264" s="5"/>
      <c r="AA264" s="5"/>
      <c r="AB264" s="5"/>
      <c r="AC264" s="5"/>
      <c r="AD264" s="5"/>
      <c r="AF264" s="5"/>
      <c r="AG264" s="6"/>
      <c r="AH264" s="11"/>
      <c r="AI264" s="6"/>
      <c r="AJ264" s="6"/>
      <c r="AK264" s="6"/>
      <c r="AL264" s="6"/>
      <c r="AM264" s="6"/>
      <c r="AN264" s="6"/>
      <c r="AO264" s="12"/>
      <c r="AP264" s="7"/>
      <c r="AQ264" s="6"/>
      <c r="AV264" s="3"/>
      <c r="AW264" s="3"/>
      <c r="AX264" s="3"/>
      <c r="AY264" s="3"/>
      <c r="AZ264" s="4"/>
      <c r="BA264" s="4"/>
      <c r="BB264" s="4"/>
      <c r="BC264" s="4"/>
      <c r="BD264" s="4"/>
      <c r="BE264" s="3"/>
      <c r="BJ264" s="9"/>
      <c r="BK264" s="9"/>
      <c r="BL264" s="9"/>
      <c r="BM264" s="3"/>
      <c r="BN264" s="3"/>
      <c r="BO264" s="3"/>
      <c r="BP264" s="3"/>
      <c r="BQ264" s="3"/>
      <c r="BR264" s="3"/>
    </row>
    <row r="265" spans="1:83" x14ac:dyDescent="0.3">
      <c r="A265" s="2" t="s">
        <v>85</v>
      </c>
      <c r="B265" s="2" t="s">
        <v>143</v>
      </c>
      <c r="C265" t="s">
        <v>89</v>
      </c>
      <c r="D265" s="5" t="s">
        <v>323</v>
      </c>
      <c r="E265" s="5" t="s">
        <v>93</v>
      </c>
      <c r="F265" s="17">
        <v>45243</v>
      </c>
      <c r="G265">
        <v>18</v>
      </c>
      <c r="H265" s="3">
        <v>11.2</v>
      </c>
      <c r="I265" s="3">
        <f t="shared" si="22"/>
        <v>10.739999999999998</v>
      </c>
      <c r="J265" s="3">
        <f t="shared" si="28"/>
        <v>1.1087499999999999</v>
      </c>
      <c r="K265" s="6">
        <f t="shared" si="23"/>
        <v>2644.9302214566928</v>
      </c>
      <c r="L265" s="4"/>
      <c r="M265" s="4"/>
      <c r="N265" s="4"/>
      <c r="O265" s="4"/>
      <c r="P265" s="7"/>
      <c r="Q265" s="6"/>
      <c r="R265" s="5"/>
      <c r="S265" s="4"/>
      <c r="T265" s="13"/>
      <c r="U265" s="13"/>
      <c r="V265" s="5"/>
      <c r="W265" s="5"/>
      <c r="X265" s="5"/>
      <c r="Y265" s="5"/>
      <c r="Z265" s="5"/>
      <c r="AA265" s="5"/>
      <c r="AB265" s="5"/>
      <c r="AC265" s="5"/>
      <c r="AD265" s="5"/>
      <c r="AF265" s="5"/>
      <c r="AG265" s="6"/>
      <c r="AH265" s="11"/>
      <c r="AI265" s="6"/>
      <c r="AJ265" s="6"/>
      <c r="AK265" s="6"/>
      <c r="AL265" s="6"/>
      <c r="AM265" s="6"/>
      <c r="AN265" s="6"/>
      <c r="AO265" s="12"/>
      <c r="AP265" s="7"/>
      <c r="AQ265" s="6"/>
      <c r="AV265" s="3"/>
      <c r="AW265" s="3"/>
      <c r="AX265" s="3"/>
      <c r="AY265" s="3"/>
      <c r="AZ265" s="4"/>
      <c r="BA265" s="4"/>
      <c r="BB265" s="4"/>
      <c r="BC265" s="4"/>
      <c r="BD265" s="4"/>
      <c r="BE265" s="3"/>
      <c r="BJ265" s="9"/>
      <c r="BK265" s="9"/>
      <c r="BL265" s="9"/>
      <c r="BM265" s="3"/>
      <c r="BN265" s="3"/>
      <c r="BO265" s="3"/>
      <c r="BP265" s="3"/>
      <c r="BQ265" s="3"/>
      <c r="BR265" s="3"/>
    </row>
    <row r="266" spans="1:83" x14ac:dyDescent="0.3">
      <c r="A266" s="2" t="s">
        <v>86</v>
      </c>
      <c r="B266" s="2" t="s">
        <v>80</v>
      </c>
      <c r="C266" t="s">
        <v>88</v>
      </c>
      <c r="D266" s="5" t="s">
        <v>324</v>
      </c>
      <c r="E266" s="5" t="s">
        <v>93</v>
      </c>
      <c r="F266" s="17">
        <v>45243</v>
      </c>
      <c r="G266">
        <v>7</v>
      </c>
      <c r="H266" s="3">
        <v>7.3</v>
      </c>
      <c r="I266" s="3">
        <f t="shared" si="22"/>
        <v>6.84</v>
      </c>
      <c r="J266" s="3">
        <f>($A$57-$A$47)*$A$75</f>
        <v>1.1587499999999999</v>
      </c>
      <c r="K266" s="6">
        <f t="shared" si="23"/>
        <v>1785.5162450787398</v>
      </c>
      <c r="L266" s="4"/>
      <c r="M266" s="4"/>
      <c r="N266" s="4"/>
      <c r="O266" s="4"/>
      <c r="P266" s="7"/>
      <c r="Q266" s="6"/>
      <c r="R266" s="5"/>
      <c r="S266" s="4"/>
      <c r="T266" s="13"/>
      <c r="U266" s="13"/>
      <c r="V266" s="5"/>
      <c r="W266" s="5"/>
      <c r="X266" s="5"/>
      <c r="Y266" s="5"/>
      <c r="Z266" s="5"/>
      <c r="AA266" s="5"/>
      <c r="AB266" s="5"/>
      <c r="AC266" s="5"/>
      <c r="AD266" s="5"/>
      <c r="AF266" s="5"/>
      <c r="AG266" s="6"/>
      <c r="AH266" s="11"/>
      <c r="AI266" s="6"/>
      <c r="AJ266" s="6"/>
      <c r="AK266" s="6"/>
      <c r="AL266" s="6"/>
      <c r="AM266" s="6"/>
      <c r="AN266" s="6"/>
      <c r="AO266" s="12"/>
      <c r="AP266" s="7"/>
      <c r="AQ266" s="6"/>
      <c r="AS266" s="4" t="s">
        <v>532</v>
      </c>
      <c r="AT266" s="4" t="str">
        <f>E266</f>
        <v>Machine</v>
      </c>
      <c r="AU266" s="15">
        <f>F266</f>
        <v>45243</v>
      </c>
      <c r="AV266" s="3">
        <f>SUM(H266:H295)</f>
        <v>544.6</v>
      </c>
      <c r="AW266" s="3">
        <f>AV266-24*$A$47</f>
        <v>533.56000000000006</v>
      </c>
      <c r="AX266" s="3">
        <f>SUM(J266:J295)</f>
        <v>29.699999999999985</v>
      </c>
      <c r="AY266" s="3">
        <f>(AW266+AX266)*$A$48/(30*$A$49)*$A$50</f>
        <v>4191.1126955380569</v>
      </c>
      <c r="AZ266" s="4">
        <f>SUM(L266:L295)</f>
        <v>19.41</v>
      </c>
      <c r="BA266" s="4">
        <f t="shared" ref="BA266" si="29">SUM(M266:M295)</f>
        <v>386.49</v>
      </c>
      <c r="BB266" s="4">
        <f t="shared" ref="BB266" si="30">SUM(N266:N295)</f>
        <v>367.08000000000004</v>
      </c>
      <c r="BC266" s="4">
        <f>SUM(O266:O295)</f>
        <v>348.90999999999997</v>
      </c>
      <c r="BD266" s="4">
        <f>(BB266-BC266)/BB266*100</f>
        <v>4.9498746867168109</v>
      </c>
      <c r="BE266" s="3">
        <f>AY266*(1-BD266/100)</f>
        <v>3983.6578691298437</v>
      </c>
      <c r="BF266" s="15">
        <v>45244</v>
      </c>
      <c r="BG266" s="4">
        <f>SUM(S266:S295)</f>
        <v>17.54</v>
      </c>
      <c r="BH266" s="13">
        <f>SUM(T266:T295)</f>
        <v>6.8</v>
      </c>
      <c r="BI266" s="13">
        <f>SUM(U266:U295)</f>
        <v>11.42</v>
      </c>
      <c r="BJ266" s="9">
        <f>(BH266-2*$A$76)/(BG266-2*$A$47*$A$48)</f>
        <v>0.36419499786043036</v>
      </c>
      <c r="BK266" s="9">
        <f>(BI266-2*$A$77)/(BG266-2*$A$47*$A$48)</f>
        <v>0.46838420186668556</v>
      </c>
      <c r="BL266" s="9">
        <f>1-BJ266-BK266</f>
        <v>0.16742080027288403</v>
      </c>
      <c r="BM266" s="3">
        <f>AY266*BJ266</f>
        <v>1526.3822791843052</v>
      </c>
      <c r="BN266" s="3">
        <f>AY266*BK266</f>
        <v>1963.0509748329259</v>
      </c>
      <c r="BO266" s="3">
        <f>SUM(BM266:BN266)</f>
        <v>3489.4332540172309</v>
      </c>
      <c r="BP266" s="3">
        <f>BE266*BJ266</f>
        <v>1450.8282691244299</v>
      </c>
      <c r="BQ266" s="3">
        <f>BE266*BK266</f>
        <v>1865.8824115423231</v>
      </c>
      <c r="BR266" s="3">
        <f>SUM(BP266:BQ266)</f>
        <v>3316.710680666753</v>
      </c>
      <c r="BT266" s="15">
        <v>45295</v>
      </c>
      <c r="BU266" s="3">
        <f>AVERAGE(AG266:AG295)</f>
        <v>47.45</v>
      </c>
      <c r="BV266" s="13">
        <f>AVERAGE(AH266:AH295)</f>
        <v>1.1214999999999999</v>
      </c>
      <c r="BW266" s="3">
        <f>AVERAGE(AI266:AI295)</f>
        <v>80.400000000000006</v>
      </c>
      <c r="BX266" s="3">
        <f>AVERAGE(AJ266:AJ295)</f>
        <v>29.25</v>
      </c>
      <c r="BY266" s="3">
        <f>AVERAGE(AK266:AK295)</f>
        <v>5.4</v>
      </c>
      <c r="BZ266" s="3">
        <f>AVERAGE(AL266:AL295)</f>
        <v>80.3</v>
      </c>
      <c r="CA266" s="3">
        <f>AVERAGE(AM266:AM295)</f>
        <v>9.1000000000000014</v>
      </c>
      <c r="CB266" s="3"/>
      <c r="CC266" s="10">
        <f>AVERAGE(AO266:AO295)</f>
        <v>9.5</v>
      </c>
      <c r="CD266" s="4">
        <f>AVERAGE(AP266:AP295)</f>
        <v>0.125</v>
      </c>
      <c r="CE266" s="3">
        <f>AVERAGE(AQ266:AQ295)</f>
        <v>11.4</v>
      </c>
    </row>
    <row r="267" spans="1:83" x14ac:dyDescent="0.3">
      <c r="A267" s="2" t="s">
        <v>86</v>
      </c>
      <c r="B267" s="2" t="s">
        <v>81</v>
      </c>
      <c r="C267" t="s">
        <v>88</v>
      </c>
      <c r="D267" s="5" t="s">
        <v>325</v>
      </c>
      <c r="E267" s="5" t="s">
        <v>93</v>
      </c>
      <c r="F267" s="17">
        <v>45243</v>
      </c>
      <c r="G267">
        <v>7</v>
      </c>
      <c r="H267" s="3">
        <v>16.8</v>
      </c>
      <c r="I267" s="3">
        <f t="shared" si="22"/>
        <v>16.34</v>
      </c>
      <c r="J267" s="3">
        <f t="shared" ref="J267:J280" si="31">($A$57-$A$47)*$A$75</f>
        <v>1.1587499999999999</v>
      </c>
      <c r="K267" s="6">
        <f t="shared" si="23"/>
        <v>3906.14813484252</v>
      </c>
      <c r="L267" s="4"/>
      <c r="M267" s="4"/>
      <c r="N267" s="4"/>
      <c r="O267" s="4"/>
      <c r="P267" s="7"/>
      <c r="Q267" s="6"/>
      <c r="R267" s="5"/>
      <c r="S267" s="4"/>
      <c r="T267" s="13"/>
      <c r="U267" s="13"/>
      <c r="V267" s="5"/>
      <c r="W267" s="5"/>
      <c r="X267" s="5"/>
      <c r="Y267" s="5"/>
      <c r="Z267" s="5"/>
      <c r="AA267" s="5"/>
      <c r="AB267" s="5"/>
      <c r="AC267" s="5"/>
      <c r="AD267" s="5"/>
      <c r="AF267" s="5"/>
      <c r="AG267" s="6"/>
      <c r="AH267" s="11"/>
      <c r="AI267" s="6"/>
      <c r="AJ267" s="6"/>
      <c r="AK267" s="6"/>
      <c r="AL267" s="6"/>
      <c r="AM267" s="6"/>
      <c r="AN267" s="6"/>
      <c r="AO267" s="12"/>
      <c r="AP267" s="7"/>
      <c r="AQ267" s="6"/>
      <c r="AV267" s="3"/>
      <c r="AW267" s="3"/>
      <c r="AX267" s="3"/>
      <c r="AY267" s="3"/>
      <c r="AZ267" s="4"/>
      <c r="BA267" s="4"/>
      <c r="BB267" s="4"/>
      <c r="BC267" s="4"/>
      <c r="BD267" s="4"/>
      <c r="BE267" s="3"/>
      <c r="BJ267" s="9"/>
      <c r="BK267" s="9"/>
      <c r="BL267" s="9"/>
      <c r="BM267" s="3"/>
      <c r="BN267" s="3"/>
      <c r="BO267" s="3"/>
      <c r="BP267" s="3"/>
      <c r="BQ267" s="3"/>
      <c r="BR267" s="3"/>
    </row>
    <row r="268" spans="1:83" x14ac:dyDescent="0.3">
      <c r="A268" s="2" t="s">
        <v>86</v>
      </c>
      <c r="B268" s="2" t="s">
        <v>82</v>
      </c>
      <c r="C268" t="s">
        <v>88</v>
      </c>
      <c r="D268" s="5" t="s">
        <v>326</v>
      </c>
      <c r="E268" s="5" t="s">
        <v>93</v>
      </c>
      <c r="F268" s="17">
        <v>45243</v>
      </c>
      <c r="G268">
        <v>7</v>
      </c>
      <c r="H268" s="3">
        <v>20.9</v>
      </c>
      <c r="I268" s="3">
        <f t="shared" si="22"/>
        <v>20.439999999999998</v>
      </c>
      <c r="J268" s="3">
        <f t="shared" si="31"/>
        <v>1.1587499999999999</v>
      </c>
      <c r="K268" s="6">
        <f t="shared" si="23"/>
        <v>4821.3682135826766</v>
      </c>
      <c r="L268" s="4"/>
      <c r="M268" s="4"/>
      <c r="N268" s="4"/>
      <c r="O268" s="4"/>
      <c r="P268" s="7"/>
      <c r="Q268" s="6"/>
      <c r="R268" s="5"/>
      <c r="S268" s="4"/>
      <c r="T268" s="13"/>
      <c r="U268" s="13"/>
      <c r="V268" s="5"/>
      <c r="W268" s="5"/>
      <c r="X268" s="5"/>
      <c r="Y268" s="5"/>
      <c r="Z268" s="5"/>
      <c r="AA268" s="5"/>
      <c r="AB268" s="5"/>
      <c r="AC268" s="5"/>
      <c r="AD268" s="5"/>
      <c r="AF268" s="5"/>
      <c r="AG268" s="6"/>
      <c r="AH268" s="11"/>
      <c r="AI268" s="6"/>
      <c r="AJ268" s="6"/>
      <c r="AK268" s="6"/>
      <c r="AL268" s="6"/>
      <c r="AM268" s="6"/>
      <c r="AN268" s="6"/>
      <c r="AO268" s="12"/>
      <c r="AP268" s="7"/>
      <c r="AQ268" s="6"/>
      <c r="AV268" s="3"/>
      <c r="AW268" s="3"/>
      <c r="AX268" s="3"/>
      <c r="AY268" s="3"/>
      <c r="AZ268" s="4"/>
      <c r="BA268" s="4"/>
      <c r="BB268" s="4"/>
      <c r="BC268" s="4"/>
      <c r="BD268" s="4"/>
      <c r="BE268" s="3"/>
      <c r="BJ268" s="9"/>
      <c r="BK268" s="9"/>
      <c r="BL268" s="9"/>
      <c r="BM268" s="3"/>
      <c r="BN268" s="3"/>
      <c r="BO268" s="3"/>
      <c r="BP268" s="3"/>
      <c r="BQ268" s="3"/>
      <c r="BR268" s="3"/>
    </row>
    <row r="269" spans="1:83" x14ac:dyDescent="0.3">
      <c r="A269" s="2" t="s">
        <v>86</v>
      </c>
      <c r="B269" s="2" t="s">
        <v>83</v>
      </c>
      <c r="C269" t="s">
        <v>88</v>
      </c>
      <c r="D269" s="5" t="s">
        <v>327</v>
      </c>
      <c r="E269" s="5" t="s">
        <v>93</v>
      </c>
      <c r="F269" s="17">
        <v>45243</v>
      </c>
      <c r="G269">
        <v>7</v>
      </c>
      <c r="H269" s="3">
        <v>19.7</v>
      </c>
      <c r="I269" s="3">
        <f t="shared" si="22"/>
        <v>19.239999999999998</v>
      </c>
      <c r="J269" s="3">
        <f t="shared" si="31"/>
        <v>1.1587499999999999</v>
      </c>
      <c r="K269" s="6">
        <f t="shared" si="23"/>
        <v>4553.4989222440945</v>
      </c>
      <c r="L269" s="4"/>
      <c r="M269" s="4"/>
      <c r="N269" s="4"/>
      <c r="O269" s="4"/>
      <c r="P269" s="7"/>
      <c r="Q269" s="6"/>
      <c r="R269" s="5"/>
      <c r="S269" s="4"/>
      <c r="T269" s="13"/>
      <c r="U269" s="13"/>
      <c r="V269" s="5"/>
      <c r="W269" s="5"/>
      <c r="X269" s="5"/>
      <c r="Y269" s="5"/>
      <c r="Z269" s="5"/>
      <c r="AA269" s="5"/>
      <c r="AB269" s="5"/>
      <c r="AC269" s="5"/>
      <c r="AD269" s="5"/>
      <c r="AF269" s="5"/>
      <c r="AG269" s="6"/>
      <c r="AH269" s="11"/>
      <c r="AI269" s="6"/>
      <c r="AJ269" s="6"/>
      <c r="AK269" s="6"/>
      <c r="AL269" s="6"/>
      <c r="AM269" s="6"/>
      <c r="AN269" s="6"/>
      <c r="AO269" s="12"/>
      <c r="AP269" s="7"/>
      <c r="AQ269" s="6"/>
      <c r="AV269" s="3"/>
      <c r="AW269" s="3"/>
      <c r="AX269" s="3"/>
      <c r="AY269" s="3"/>
      <c r="AZ269" s="4"/>
      <c r="BA269" s="4"/>
      <c r="BB269" s="4"/>
      <c r="BC269" s="4"/>
      <c r="BD269" s="4"/>
      <c r="BE269" s="3"/>
      <c r="BJ269" s="9"/>
      <c r="BK269" s="9"/>
      <c r="BL269" s="9"/>
      <c r="BM269" s="3"/>
      <c r="BN269" s="3"/>
      <c r="BO269" s="3"/>
      <c r="BP269" s="3"/>
      <c r="BQ269" s="3"/>
      <c r="BR269" s="3"/>
    </row>
    <row r="270" spans="1:83" x14ac:dyDescent="0.3">
      <c r="A270" s="2" t="s">
        <v>86</v>
      </c>
      <c r="B270" s="2" t="s">
        <v>84</v>
      </c>
      <c r="C270" t="s">
        <v>88</v>
      </c>
      <c r="D270" s="5" t="s">
        <v>328</v>
      </c>
      <c r="E270" s="5" t="s">
        <v>93</v>
      </c>
      <c r="F270" s="17">
        <v>45243</v>
      </c>
      <c r="G270">
        <v>7</v>
      </c>
      <c r="H270" s="3">
        <v>19.8</v>
      </c>
      <c r="I270" s="3">
        <f t="shared" si="22"/>
        <v>19.34</v>
      </c>
      <c r="J270" s="3">
        <f t="shared" si="31"/>
        <v>1.1587499999999999</v>
      </c>
      <c r="K270" s="6">
        <f t="shared" si="23"/>
        <v>4575.8213631889766</v>
      </c>
      <c r="L270" s="4"/>
      <c r="M270" s="4"/>
      <c r="N270" s="4"/>
      <c r="O270" s="4"/>
      <c r="P270" s="7"/>
      <c r="Q270" s="6"/>
      <c r="R270" s="5"/>
      <c r="S270" s="4"/>
      <c r="T270" s="13"/>
      <c r="U270" s="13"/>
      <c r="V270" s="5"/>
      <c r="W270" s="5"/>
      <c r="X270" s="5"/>
      <c r="Y270" s="5"/>
      <c r="Z270" s="5"/>
      <c r="AA270" s="5"/>
      <c r="AB270" s="5"/>
      <c r="AC270" s="5"/>
      <c r="AD270" s="5"/>
      <c r="AF270" s="5"/>
      <c r="AG270" s="6"/>
      <c r="AH270" s="11"/>
      <c r="AI270" s="6"/>
      <c r="AJ270" s="6"/>
      <c r="AK270" s="6"/>
      <c r="AL270" s="6"/>
      <c r="AM270" s="6"/>
      <c r="AN270" s="6"/>
      <c r="AO270" s="12"/>
      <c r="AP270" s="7"/>
      <c r="AQ270" s="6"/>
      <c r="AV270" s="3"/>
      <c r="AW270" s="3"/>
      <c r="AX270" s="3"/>
      <c r="AY270" s="3"/>
      <c r="AZ270" s="4"/>
      <c r="BA270" s="4"/>
      <c r="BB270" s="4"/>
      <c r="BC270" s="4"/>
      <c r="BD270" s="4"/>
      <c r="BE270" s="3"/>
      <c r="BJ270" s="9"/>
      <c r="BK270" s="9"/>
      <c r="BL270" s="9"/>
      <c r="BM270" s="3"/>
      <c r="BN270" s="3"/>
      <c r="BO270" s="3"/>
      <c r="BP270" s="3"/>
      <c r="BQ270" s="3"/>
      <c r="BR270" s="3"/>
    </row>
    <row r="271" spans="1:83" x14ac:dyDescent="0.3">
      <c r="A271" s="2" t="s">
        <v>86</v>
      </c>
      <c r="B271" s="2" t="s">
        <v>85</v>
      </c>
      <c r="C271" t="s">
        <v>88</v>
      </c>
      <c r="D271" s="5" t="s">
        <v>329</v>
      </c>
      <c r="E271" s="5" t="s">
        <v>93</v>
      </c>
      <c r="F271" s="17">
        <v>45243</v>
      </c>
      <c r="G271">
        <v>7</v>
      </c>
      <c r="H271" s="3">
        <v>20</v>
      </c>
      <c r="I271" s="3">
        <f t="shared" si="22"/>
        <v>19.54</v>
      </c>
      <c r="J271" s="3">
        <f t="shared" si="31"/>
        <v>1.1587499999999999</v>
      </c>
      <c r="K271" s="6">
        <f t="shared" si="23"/>
        <v>4620.46624507874</v>
      </c>
      <c r="L271" s="4"/>
      <c r="M271" s="4"/>
      <c r="N271" s="4"/>
      <c r="O271" s="4"/>
      <c r="P271" s="7"/>
      <c r="Q271" s="6"/>
      <c r="R271" s="5"/>
      <c r="S271" s="4"/>
      <c r="T271" s="13"/>
      <c r="U271" s="13"/>
      <c r="V271" s="5"/>
      <c r="W271" s="5"/>
      <c r="X271" s="5"/>
      <c r="Y271" s="5"/>
      <c r="Z271" s="5"/>
      <c r="AA271" s="5"/>
      <c r="AB271" s="5"/>
      <c r="AC271" s="5"/>
      <c r="AD271" s="5"/>
      <c r="AF271" s="5"/>
      <c r="AG271" s="6"/>
      <c r="AH271" s="11"/>
      <c r="AI271" s="6"/>
      <c r="AJ271" s="6"/>
      <c r="AK271" s="6"/>
      <c r="AL271" s="6"/>
      <c r="AM271" s="6"/>
      <c r="AN271" s="6"/>
      <c r="AO271" s="12"/>
      <c r="AP271" s="7"/>
      <c r="AQ271" s="6"/>
      <c r="AV271" s="3"/>
      <c r="AW271" s="3"/>
      <c r="AX271" s="3"/>
      <c r="AY271" s="3"/>
      <c r="AZ271" s="4"/>
      <c r="BA271" s="4"/>
      <c r="BB271" s="4"/>
      <c r="BC271" s="4"/>
      <c r="BD271" s="4"/>
      <c r="BE271" s="3"/>
      <c r="BJ271" s="9"/>
      <c r="BK271" s="9"/>
      <c r="BL271" s="9"/>
      <c r="BM271" s="3"/>
      <c r="BN271" s="3"/>
      <c r="BO271" s="3"/>
      <c r="BP271" s="3"/>
      <c r="BQ271" s="3"/>
      <c r="BR271" s="3"/>
    </row>
    <row r="272" spans="1:83" x14ac:dyDescent="0.3">
      <c r="A272" s="2" t="s">
        <v>86</v>
      </c>
      <c r="B272" s="2" t="s">
        <v>86</v>
      </c>
      <c r="C272" t="s">
        <v>88</v>
      </c>
      <c r="D272" s="5" t="s">
        <v>330</v>
      </c>
      <c r="E272" s="5" t="s">
        <v>93</v>
      </c>
      <c r="F272" s="17">
        <v>45243</v>
      </c>
      <c r="G272">
        <v>7</v>
      </c>
      <c r="H272" s="3">
        <v>16.399999999999999</v>
      </c>
      <c r="I272" s="3">
        <f t="shared" si="22"/>
        <v>15.939999999999998</v>
      </c>
      <c r="J272" s="3">
        <f t="shared" si="31"/>
        <v>1.1587499999999999</v>
      </c>
      <c r="K272" s="6">
        <f t="shared" si="23"/>
        <v>3816.8583710629919</v>
      </c>
      <c r="L272" s="4"/>
      <c r="M272" s="4"/>
      <c r="N272" s="4"/>
      <c r="O272" s="4"/>
      <c r="P272" s="7"/>
      <c r="Q272" s="6"/>
      <c r="R272" s="5"/>
      <c r="S272" s="4"/>
      <c r="T272" s="13"/>
      <c r="U272" s="13"/>
      <c r="V272" s="5"/>
      <c r="W272" s="5"/>
      <c r="X272" s="5"/>
      <c r="Y272" s="5"/>
      <c r="Z272" s="5"/>
      <c r="AA272" s="5"/>
      <c r="AB272" s="5"/>
      <c r="AC272" s="5"/>
      <c r="AD272" s="5"/>
      <c r="AF272" s="5"/>
      <c r="AG272" s="6"/>
      <c r="AH272" s="11"/>
      <c r="AI272" s="6"/>
      <c r="AJ272" s="6"/>
      <c r="AK272" s="6"/>
      <c r="AL272" s="6"/>
      <c r="AM272" s="6"/>
      <c r="AN272" s="6"/>
      <c r="AO272" s="12"/>
      <c r="AP272" s="7"/>
      <c r="AQ272" s="6"/>
      <c r="AV272" s="3"/>
      <c r="AW272" s="3"/>
      <c r="AX272" s="3"/>
      <c r="AY272" s="3"/>
      <c r="AZ272" s="4"/>
      <c r="BA272" s="4"/>
      <c r="BB272" s="4"/>
      <c r="BC272" s="4"/>
      <c r="BD272" s="4"/>
      <c r="BE272" s="3"/>
      <c r="BJ272" s="9"/>
      <c r="BK272" s="9"/>
      <c r="BL272" s="9"/>
      <c r="BM272" s="3"/>
      <c r="BN272" s="3"/>
      <c r="BO272" s="3"/>
      <c r="BP272" s="3"/>
      <c r="BQ272" s="3"/>
      <c r="BR272" s="3"/>
    </row>
    <row r="273" spans="1:70" x14ac:dyDescent="0.3">
      <c r="A273" s="2" t="s">
        <v>86</v>
      </c>
      <c r="B273" s="2" t="s">
        <v>87</v>
      </c>
      <c r="C273" t="s">
        <v>88</v>
      </c>
      <c r="D273" s="5" t="s">
        <v>331</v>
      </c>
      <c r="E273" s="5" t="s">
        <v>93</v>
      </c>
      <c r="F273" s="17">
        <v>45243</v>
      </c>
      <c r="G273">
        <v>7</v>
      </c>
      <c r="H273" s="3">
        <v>17.3</v>
      </c>
      <c r="I273" s="3">
        <f t="shared" si="22"/>
        <v>16.84</v>
      </c>
      <c r="J273" s="3">
        <f t="shared" si="31"/>
        <v>1.1587499999999999</v>
      </c>
      <c r="K273" s="6">
        <f t="shared" si="23"/>
        <v>4017.7603395669289</v>
      </c>
      <c r="L273" s="4">
        <v>8.7100000000000009</v>
      </c>
      <c r="M273" s="4">
        <v>163.16</v>
      </c>
      <c r="N273" s="4">
        <v>154.44999999999999</v>
      </c>
      <c r="O273" s="4">
        <v>145.52000000000001</v>
      </c>
      <c r="P273" s="7">
        <f>(N273-O273)/N273*100</f>
        <v>5.7818064098413595</v>
      </c>
      <c r="Q273" s="6">
        <f>K273*(1-P273/100)</f>
        <v>3785.461214721784</v>
      </c>
      <c r="R273" s="14">
        <v>45244</v>
      </c>
      <c r="S273" s="4">
        <v>7.55</v>
      </c>
      <c r="T273" s="13">
        <v>2.9249999999999998</v>
      </c>
      <c r="U273" s="13">
        <v>5.15</v>
      </c>
      <c r="V273" s="8">
        <f>(T273-$A$76)/(S273-$A$47*$A$48)</f>
        <v>0.36001564225057919</v>
      </c>
      <c r="W273" s="8">
        <f>(U273-$A$77)/(S273-$A$47*$A$48)</f>
        <v>0.46994096321017725</v>
      </c>
      <c r="X273" s="8">
        <f>1-V273-W273</f>
        <v>0.17004339453924361</v>
      </c>
      <c r="Y273" s="6">
        <f>K273*V273</f>
        <v>1446.456569058093</v>
      </c>
      <c r="Z273" s="6">
        <f>K273*W273</f>
        <v>1888.1101639237313</v>
      </c>
      <c r="AA273" s="6">
        <f>SUM(Y273:Z273)</f>
        <v>3334.5667329818243</v>
      </c>
      <c r="AB273" s="6">
        <f>Q273*V273</f>
        <v>1362.8252504327208</v>
      </c>
      <c r="AC273" s="6">
        <f>Q273*W273</f>
        <v>1778.9432894411227</v>
      </c>
      <c r="AD273" s="6">
        <f>SUM(AB273:AC273)</f>
        <v>3141.7685398738436</v>
      </c>
      <c r="AE273" t="s">
        <v>549</v>
      </c>
      <c r="AF273" s="14">
        <v>45295</v>
      </c>
      <c r="AG273" s="6">
        <v>46.2</v>
      </c>
      <c r="AH273" s="11">
        <v>1.1459999999999999</v>
      </c>
      <c r="AI273" s="6">
        <v>81.099999999999994</v>
      </c>
      <c r="AJ273" s="6">
        <v>30.6</v>
      </c>
      <c r="AK273" s="6">
        <v>5.2</v>
      </c>
      <c r="AL273" s="6">
        <v>80.3</v>
      </c>
      <c r="AM273" s="6">
        <v>8.9</v>
      </c>
      <c r="AN273" s="6" t="s">
        <v>133</v>
      </c>
      <c r="AO273" s="12">
        <v>6</v>
      </c>
      <c r="AP273" s="7">
        <v>0.09</v>
      </c>
      <c r="AQ273" s="6">
        <v>9.8000000000000007</v>
      </c>
      <c r="AV273" s="3"/>
      <c r="AW273" s="3"/>
      <c r="AX273" s="3"/>
      <c r="AY273" s="3"/>
      <c r="AZ273" s="4"/>
      <c r="BA273" s="4"/>
      <c r="BB273" s="4"/>
      <c r="BC273" s="4"/>
      <c r="BD273" s="4"/>
      <c r="BE273" s="3"/>
      <c r="BJ273" s="9"/>
      <c r="BK273" s="9"/>
      <c r="BL273" s="9"/>
      <c r="BM273" s="3"/>
      <c r="BN273" s="3"/>
      <c r="BO273" s="3"/>
      <c r="BP273" s="3"/>
      <c r="BQ273" s="3"/>
      <c r="BR273" s="3"/>
    </row>
    <row r="274" spans="1:70" x14ac:dyDescent="0.3">
      <c r="A274" s="2" t="s">
        <v>86</v>
      </c>
      <c r="B274" s="2" t="s">
        <v>137</v>
      </c>
      <c r="C274" t="s">
        <v>88</v>
      </c>
      <c r="D274" s="5" t="s">
        <v>332</v>
      </c>
      <c r="E274" s="5" t="s">
        <v>93</v>
      </c>
      <c r="F274" s="17">
        <v>45243</v>
      </c>
      <c r="G274">
        <v>7</v>
      </c>
      <c r="H274" s="3">
        <v>20.2</v>
      </c>
      <c r="I274" s="3">
        <f t="shared" si="22"/>
        <v>19.739999999999998</v>
      </c>
      <c r="J274" s="3">
        <f t="shared" si="31"/>
        <v>1.1587499999999999</v>
      </c>
      <c r="K274" s="6">
        <f t="shared" si="23"/>
        <v>4665.1111269685034</v>
      </c>
      <c r="L274" s="4"/>
      <c r="M274" s="4"/>
      <c r="N274" s="4"/>
      <c r="O274" s="4"/>
      <c r="P274" s="7"/>
      <c r="Q274" s="6"/>
      <c r="R274" s="5"/>
      <c r="S274" s="4"/>
      <c r="T274" s="13"/>
      <c r="U274" s="13"/>
      <c r="V274" s="5"/>
      <c r="W274" s="5"/>
      <c r="X274" s="5"/>
      <c r="Y274" s="5"/>
      <c r="Z274" s="5"/>
      <c r="AA274" s="5"/>
      <c r="AB274" s="5"/>
      <c r="AC274" s="5"/>
      <c r="AD274" s="5"/>
      <c r="AF274" s="5"/>
      <c r="AG274" s="6"/>
      <c r="AH274" s="11"/>
      <c r="AI274" s="6"/>
      <c r="AJ274" s="6"/>
      <c r="AK274" s="6"/>
      <c r="AL274" s="6"/>
      <c r="AM274" s="6"/>
      <c r="AN274" s="6"/>
      <c r="AO274" s="12"/>
      <c r="AP274" s="7"/>
      <c r="AQ274" s="6"/>
      <c r="AV274" s="3"/>
      <c r="AW274" s="3"/>
      <c r="AX274" s="3"/>
      <c r="AY274" s="3"/>
      <c r="AZ274" s="4"/>
      <c r="BA274" s="4"/>
      <c r="BB274" s="4"/>
      <c r="BC274" s="4"/>
      <c r="BD274" s="4"/>
      <c r="BE274" s="3"/>
      <c r="BJ274" s="9"/>
      <c r="BK274" s="9"/>
      <c r="BL274" s="9"/>
      <c r="BM274" s="3"/>
      <c r="BN274" s="3"/>
      <c r="BO274" s="3"/>
      <c r="BP274" s="3"/>
      <c r="BQ274" s="3"/>
      <c r="BR274" s="3"/>
    </row>
    <row r="275" spans="1:70" x14ac:dyDescent="0.3">
      <c r="A275" s="2" t="s">
        <v>86</v>
      </c>
      <c r="B275" s="2" t="s">
        <v>138</v>
      </c>
      <c r="C275" t="s">
        <v>88</v>
      </c>
      <c r="D275" s="5" t="s">
        <v>333</v>
      </c>
      <c r="E275" s="5" t="s">
        <v>93</v>
      </c>
      <c r="F275" s="17">
        <v>45243</v>
      </c>
      <c r="G275">
        <v>7</v>
      </c>
      <c r="H275" s="3">
        <v>20.3</v>
      </c>
      <c r="I275" s="3">
        <f t="shared" si="22"/>
        <v>19.84</v>
      </c>
      <c r="J275" s="3">
        <f t="shared" si="31"/>
        <v>1.1587499999999999</v>
      </c>
      <c r="K275" s="6">
        <f t="shared" si="23"/>
        <v>4687.4335679133865</v>
      </c>
      <c r="L275" s="4"/>
      <c r="M275" s="4"/>
      <c r="N275" s="4"/>
      <c r="O275" s="4"/>
      <c r="P275" s="7"/>
      <c r="Q275" s="6"/>
      <c r="R275" s="5"/>
      <c r="S275" s="4"/>
      <c r="T275" s="13"/>
      <c r="U275" s="13"/>
      <c r="V275" s="5"/>
      <c r="W275" s="5"/>
      <c r="X275" s="5"/>
      <c r="Y275" s="5"/>
      <c r="Z275" s="5"/>
      <c r="AA275" s="5"/>
      <c r="AB275" s="5"/>
      <c r="AC275" s="5"/>
      <c r="AD275" s="5"/>
      <c r="AF275" s="5"/>
      <c r="AG275" s="6"/>
      <c r="AH275" s="11"/>
      <c r="AI275" s="6"/>
      <c r="AJ275" s="6"/>
      <c r="AK275" s="6"/>
      <c r="AL275" s="6"/>
      <c r="AM275" s="6"/>
      <c r="AN275" s="6"/>
      <c r="AO275" s="12"/>
      <c r="AP275" s="7"/>
      <c r="AQ275" s="6"/>
      <c r="AV275" s="3"/>
      <c r="AW275" s="3"/>
      <c r="AX275" s="3"/>
      <c r="AY275" s="3"/>
      <c r="AZ275" s="4"/>
      <c r="BA275" s="4"/>
      <c r="BB275" s="4"/>
      <c r="BC275" s="4"/>
      <c r="BD275" s="4"/>
      <c r="BE275" s="3"/>
      <c r="BJ275" s="9"/>
      <c r="BK275" s="9"/>
      <c r="BL275" s="9"/>
      <c r="BM275" s="3"/>
      <c r="BN275" s="3"/>
      <c r="BO275" s="3"/>
      <c r="BP275" s="3"/>
      <c r="BQ275" s="3"/>
      <c r="BR275" s="3"/>
    </row>
    <row r="276" spans="1:70" x14ac:dyDescent="0.3">
      <c r="A276" s="2" t="s">
        <v>86</v>
      </c>
      <c r="B276" s="2" t="s">
        <v>139</v>
      </c>
      <c r="C276" t="s">
        <v>88</v>
      </c>
      <c r="D276" s="5" t="s">
        <v>334</v>
      </c>
      <c r="E276" s="5" t="s">
        <v>93</v>
      </c>
      <c r="F276" s="17">
        <v>45243</v>
      </c>
      <c r="G276">
        <v>7</v>
      </c>
      <c r="H276" s="3">
        <v>20</v>
      </c>
      <c r="I276" s="3">
        <f t="shared" si="22"/>
        <v>19.54</v>
      </c>
      <c r="J276" s="3">
        <f t="shared" si="31"/>
        <v>1.1587499999999999</v>
      </c>
      <c r="K276" s="6">
        <f t="shared" si="23"/>
        <v>4620.46624507874</v>
      </c>
      <c r="L276" s="4"/>
      <c r="M276" s="4"/>
      <c r="N276" s="4"/>
      <c r="O276" s="4"/>
      <c r="P276" s="7"/>
      <c r="Q276" s="6"/>
      <c r="R276" s="5"/>
      <c r="S276" s="4"/>
      <c r="T276" s="13"/>
      <c r="U276" s="13"/>
      <c r="V276" s="5"/>
      <c r="W276" s="5"/>
      <c r="X276" s="5"/>
      <c r="Y276" s="5"/>
      <c r="Z276" s="5"/>
      <c r="AA276" s="5"/>
      <c r="AB276" s="5"/>
      <c r="AC276" s="5"/>
      <c r="AD276" s="5"/>
      <c r="AF276" s="5"/>
      <c r="AG276" s="6"/>
      <c r="AH276" s="11"/>
      <c r="AI276" s="6"/>
      <c r="AJ276" s="6"/>
      <c r="AK276" s="6"/>
      <c r="AL276" s="6"/>
      <c r="AM276" s="6"/>
      <c r="AN276" s="6"/>
      <c r="AO276" s="12"/>
      <c r="AP276" s="7"/>
      <c r="AQ276" s="6"/>
      <c r="AV276" s="3"/>
      <c r="AW276" s="3"/>
      <c r="AX276" s="3"/>
      <c r="AY276" s="3"/>
      <c r="AZ276" s="4"/>
      <c r="BA276" s="4"/>
      <c r="BB276" s="4"/>
      <c r="BC276" s="4"/>
      <c r="BD276" s="4"/>
      <c r="BE276" s="3"/>
      <c r="BJ276" s="9"/>
      <c r="BK276" s="9"/>
      <c r="BL276" s="9"/>
      <c r="BM276" s="3"/>
      <c r="BN276" s="3"/>
      <c r="BO276" s="3"/>
      <c r="BP276" s="3"/>
      <c r="BQ276" s="3"/>
      <c r="BR276" s="3"/>
    </row>
    <row r="277" spans="1:70" x14ac:dyDescent="0.3">
      <c r="A277" s="2" t="s">
        <v>86</v>
      </c>
      <c r="B277" s="2" t="s">
        <v>140</v>
      </c>
      <c r="C277" t="s">
        <v>88</v>
      </c>
      <c r="D277" s="5" t="s">
        <v>335</v>
      </c>
      <c r="E277" s="5" t="s">
        <v>93</v>
      </c>
      <c r="F277" s="17">
        <v>45243</v>
      </c>
      <c r="G277">
        <v>7</v>
      </c>
      <c r="H277" s="3">
        <v>23.1</v>
      </c>
      <c r="I277" s="3">
        <f t="shared" si="22"/>
        <v>22.64</v>
      </c>
      <c r="J277" s="3">
        <f t="shared" si="31"/>
        <v>1.1587499999999999</v>
      </c>
      <c r="K277" s="6">
        <f t="shared" si="23"/>
        <v>5312.4619143700793</v>
      </c>
      <c r="L277" s="4"/>
      <c r="M277" s="4"/>
      <c r="N277" s="4"/>
      <c r="O277" s="4"/>
      <c r="P277" s="7"/>
      <c r="Q277" s="6"/>
      <c r="R277" s="5"/>
      <c r="S277" s="4"/>
      <c r="T277" s="13"/>
      <c r="U277" s="13"/>
      <c r="V277" s="5"/>
      <c r="W277" s="5"/>
      <c r="X277" s="5"/>
      <c r="Y277" s="5"/>
      <c r="Z277" s="5"/>
      <c r="AA277" s="5"/>
      <c r="AB277" s="5"/>
      <c r="AC277" s="5"/>
      <c r="AD277" s="5"/>
      <c r="AF277" s="5"/>
      <c r="AG277" s="6"/>
      <c r="AH277" s="11"/>
      <c r="AI277" s="6"/>
      <c r="AJ277" s="6"/>
      <c r="AK277" s="6"/>
      <c r="AL277" s="6"/>
      <c r="AM277" s="6"/>
      <c r="AN277" s="6"/>
      <c r="AO277" s="12"/>
      <c r="AP277" s="7"/>
      <c r="AQ277" s="6"/>
      <c r="AV277" s="3"/>
      <c r="AW277" s="3"/>
      <c r="AX277" s="3"/>
      <c r="AY277" s="3"/>
      <c r="AZ277" s="4"/>
      <c r="BA277" s="4"/>
      <c r="BB277" s="4"/>
      <c r="BC277" s="4"/>
      <c r="BD277" s="4"/>
      <c r="BE277" s="3"/>
      <c r="BJ277" s="9"/>
      <c r="BK277" s="9"/>
      <c r="BL277" s="9"/>
      <c r="BM277" s="3"/>
      <c r="BN277" s="3"/>
      <c r="BO277" s="3"/>
      <c r="BP277" s="3"/>
      <c r="BQ277" s="3"/>
      <c r="BR277" s="3"/>
    </row>
    <row r="278" spans="1:70" x14ac:dyDescent="0.3">
      <c r="A278" s="2" t="s">
        <v>86</v>
      </c>
      <c r="B278" s="2" t="s">
        <v>141</v>
      </c>
      <c r="C278" t="s">
        <v>88</v>
      </c>
      <c r="D278" s="5" t="s">
        <v>336</v>
      </c>
      <c r="E278" s="5" t="s">
        <v>93</v>
      </c>
      <c r="F278" s="17">
        <v>45243</v>
      </c>
      <c r="G278">
        <v>7</v>
      </c>
      <c r="H278" s="3">
        <v>23.7</v>
      </c>
      <c r="I278" s="3">
        <f t="shared" si="22"/>
        <v>23.24</v>
      </c>
      <c r="J278" s="3">
        <f t="shared" si="31"/>
        <v>1.1587499999999999</v>
      </c>
      <c r="K278" s="6">
        <f t="shared" si="23"/>
        <v>5446.3965600393694</v>
      </c>
      <c r="L278" s="4"/>
      <c r="M278" s="4"/>
      <c r="N278" s="4"/>
      <c r="O278" s="4"/>
      <c r="P278" s="7"/>
      <c r="Q278" s="6"/>
      <c r="R278" s="5"/>
      <c r="S278" s="4"/>
      <c r="T278" s="13"/>
      <c r="U278" s="13"/>
      <c r="V278" s="5"/>
      <c r="W278" s="5"/>
      <c r="X278" s="5"/>
      <c r="Y278" s="5"/>
      <c r="Z278" s="5"/>
      <c r="AA278" s="5"/>
      <c r="AB278" s="5"/>
      <c r="AC278" s="5"/>
      <c r="AD278" s="5"/>
      <c r="AF278" s="5"/>
      <c r="AG278" s="6"/>
      <c r="AH278" s="11"/>
      <c r="AI278" s="6"/>
      <c r="AJ278" s="6"/>
      <c r="AK278" s="6"/>
      <c r="AL278" s="6"/>
      <c r="AM278" s="6"/>
      <c r="AN278" s="6"/>
      <c r="AO278" s="12"/>
      <c r="AP278" s="7"/>
      <c r="AQ278" s="6"/>
      <c r="AV278" s="3"/>
      <c r="AW278" s="3"/>
      <c r="AX278" s="3"/>
      <c r="AY278" s="3"/>
      <c r="AZ278" s="4"/>
      <c r="BA278" s="4"/>
      <c r="BB278" s="4"/>
      <c r="BC278" s="4"/>
      <c r="BD278" s="4"/>
      <c r="BE278" s="3"/>
      <c r="BJ278" s="9"/>
      <c r="BK278" s="9"/>
      <c r="BL278" s="9"/>
      <c r="BM278" s="3"/>
      <c r="BN278" s="3"/>
      <c r="BO278" s="3"/>
      <c r="BP278" s="3"/>
      <c r="BQ278" s="3"/>
      <c r="BR278" s="3"/>
    </row>
    <row r="279" spans="1:70" x14ac:dyDescent="0.3">
      <c r="A279" s="2" t="s">
        <v>86</v>
      </c>
      <c r="B279" s="2" t="s">
        <v>142</v>
      </c>
      <c r="C279" t="s">
        <v>88</v>
      </c>
      <c r="D279" s="5" t="s">
        <v>337</v>
      </c>
      <c r="E279" s="5" t="s">
        <v>93</v>
      </c>
      <c r="F279" s="17">
        <v>45243</v>
      </c>
      <c r="G279">
        <v>7</v>
      </c>
      <c r="H279" s="3">
        <v>23.9</v>
      </c>
      <c r="I279" s="3">
        <f t="shared" ref="I279:I342" si="32">H279-$A$47</f>
        <v>23.439999999999998</v>
      </c>
      <c r="J279" s="3">
        <f t="shared" si="31"/>
        <v>1.1587499999999999</v>
      </c>
      <c r="K279" s="6">
        <f t="shared" ref="K279:K342" si="33">(I279+J279)*$A$48/$A$49*$A$50</f>
        <v>5491.0414419291328</v>
      </c>
      <c r="L279" s="4"/>
      <c r="M279" s="4"/>
      <c r="N279" s="4"/>
      <c r="O279" s="4"/>
      <c r="P279" s="7"/>
      <c r="Q279" s="6"/>
      <c r="R279" s="5"/>
      <c r="S279" s="4"/>
      <c r="T279" s="13"/>
      <c r="U279" s="13"/>
      <c r="V279" s="5"/>
      <c r="W279" s="5"/>
      <c r="X279" s="5"/>
      <c r="Y279" s="5"/>
      <c r="Z279" s="5"/>
      <c r="AA279" s="5"/>
      <c r="AB279" s="5"/>
      <c r="AC279" s="5"/>
      <c r="AD279" s="5"/>
      <c r="AF279" s="5"/>
      <c r="AG279" s="6"/>
      <c r="AH279" s="11"/>
      <c r="AI279" s="6"/>
      <c r="AJ279" s="6"/>
      <c r="AK279" s="6"/>
      <c r="AL279" s="6"/>
      <c r="AM279" s="6"/>
      <c r="AN279" s="6"/>
      <c r="AO279" s="12"/>
      <c r="AP279" s="7"/>
      <c r="AQ279" s="6"/>
      <c r="AV279" s="3"/>
      <c r="AW279" s="3"/>
      <c r="AX279" s="3"/>
      <c r="AY279" s="3"/>
      <c r="AZ279" s="4"/>
      <c r="BA279" s="4"/>
      <c r="BB279" s="4"/>
      <c r="BC279" s="4"/>
      <c r="BD279" s="4"/>
      <c r="BE279" s="3"/>
      <c r="BJ279" s="9"/>
      <c r="BK279" s="9"/>
      <c r="BL279" s="9"/>
      <c r="BM279" s="3"/>
      <c r="BN279" s="3"/>
      <c r="BO279" s="3"/>
      <c r="BP279" s="3"/>
      <c r="BQ279" s="3"/>
      <c r="BR279" s="3"/>
    </row>
    <row r="280" spans="1:70" x14ac:dyDescent="0.3">
      <c r="A280" s="2" t="s">
        <v>86</v>
      </c>
      <c r="B280" s="2" t="s">
        <v>143</v>
      </c>
      <c r="C280" t="s">
        <v>88</v>
      </c>
      <c r="D280" s="5" t="s">
        <v>338</v>
      </c>
      <c r="E280" s="5" t="s">
        <v>93</v>
      </c>
      <c r="F280" s="17">
        <v>45243</v>
      </c>
      <c r="G280">
        <v>7</v>
      </c>
      <c r="H280" s="3">
        <v>11.6</v>
      </c>
      <c r="I280" s="3">
        <f t="shared" si="32"/>
        <v>11.139999999999999</v>
      </c>
      <c r="J280" s="3">
        <f t="shared" si="31"/>
        <v>1.1587499999999999</v>
      </c>
      <c r="K280" s="6">
        <f t="shared" si="33"/>
        <v>2745.3812057086607</v>
      </c>
      <c r="L280" s="4"/>
      <c r="M280" s="4"/>
      <c r="N280" s="4"/>
      <c r="O280" s="4"/>
      <c r="P280" s="7"/>
      <c r="Q280" s="6"/>
      <c r="R280" s="5"/>
      <c r="S280" s="4"/>
      <c r="T280" s="13"/>
      <c r="U280" s="13"/>
      <c r="V280" s="5"/>
      <c r="W280" s="5"/>
      <c r="X280" s="5"/>
      <c r="Y280" s="5"/>
      <c r="Z280" s="5"/>
      <c r="AA280" s="5"/>
      <c r="AB280" s="5"/>
      <c r="AC280" s="5"/>
      <c r="AD280" s="5"/>
      <c r="AF280" s="5"/>
      <c r="AG280" s="6"/>
      <c r="AH280" s="11"/>
      <c r="AI280" s="6"/>
      <c r="AJ280" s="6"/>
      <c r="AK280" s="6"/>
      <c r="AL280" s="6"/>
      <c r="AM280" s="6"/>
      <c r="AN280" s="6"/>
      <c r="AO280" s="12"/>
      <c r="AP280" s="7"/>
      <c r="AQ280" s="6"/>
      <c r="AV280" s="3"/>
      <c r="AW280" s="3"/>
      <c r="AX280" s="3"/>
      <c r="AY280" s="3"/>
      <c r="AZ280" s="4"/>
      <c r="BA280" s="4"/>
      <c r="BB280" s="4"/>
      <c r="BC280" s="4"/>
      <c r="BD280" s="4"/>
      <c r="BE280" s="3"/>
      <c r="BJ280" s="9"/>
      <c r="BK280" s="9"/>
      <c r="BL280" s="9"/>
      <c r="BM280" s="3"/>
      <c r="BN280" s="3"/>
      <c r="BO280" s="3"/>
      <c r="BP280" s="3"/>
      <c r="BQ280" s="3"/>
      <c r="BR280" s="3"/>
    </row>
    <row r="281" spans="1:70" x14ac:dyDescent="0.3">
      <c r="A281" s="2" t="s">
        <v>86</v>
      </c>
      <c r="B281" s="2" t="s">
        <v>80</v>
      </c>
      <c r="C281" t="s">
        <v>89</v>
      </c>
      <c r="D281" s="5" t="s">
        <v>339</v>
      </c>
      <c r="E281" s="5" t="s">
        <v>93</v>
      </c>
      <c r="F281" s="17">
        <v>45243</v>
      </c>
      <c r="G281">
        <v>19</v>
      </c>
      <c r="H281" s="3">
        <v>12.7</v>
      </c>
      <c r="I281" s="3">
        <f t="shared" si="32"/>
        <v>12.239999999999998</v>
      </c>
      <c r="J281" s="3">
        <f>($A$69-$A$47)*$A$75</f>
        <v>0.82124999999999992</v>
      </c>
      <c r="K281" s="6">
        <f t="shared" si="33"/>
        <v>2915.5898179133856</v>
      </c>
      <c r="L281" s="4"/>
      <c r="M281" s="4"/>
      <c r="N281" s="4"/>
      <c r="O281" s="4"/>
      <c r="P281" s="7"/>
      <c r="Q281" s="6"/>
      <c r="R281" s="5"/>
      <c r="S281" s="4"/>
      <c r="T281" s="13"/>
      <c r="U281" s="13"/>
      <c r="V281" s="5"/>
      <c r="W281" s="5"/>
      <c r="X281" s="5"/>
      <c r="Y281" s="5"/>
      <c r="Z281" s="5"/>
      <c r="AA281" s="5"/>
      <c r="AB281" s="5"/>
      <c r="AC281" s="5"/>
      <c r="AD281" s="5"/>
      <c r="AF281" s="5"/>
      <c r="AG281" s="6"/>
      <c r="AH281" s="11"/>
      <c r="AI281" s="6"/>
      <c r="AJ281" s="6"/>
      <c r="AK281" s="6"/>
      <c r="AL281" s="6"/>
      <c r="AM281" s="6"/>
      <c r="AN281" s="6"/>
      <c r="AO281" s="12"/>
      <c r="AP281" s="7"/>
      <c r="AQ281" s="6"/>
      <c r="AV281" s="3"/>
      <c r="AW281" s="3"/>
      <c r="AX281" s="3"/>
      <c r="AY281" s="3"/>
      <c r="AZ281" s="4"/>
      <c r="BA281" s="4"/>
      <c r="BB281" s="4"/>
      <c r="BC281" s="4"/>
      <c r="BD281" s="4"/>
      <c r="BE281" s="3"/>
      <c r="BJ281" s="9"/>
      <c r="BK281" s="9"/>
      <c r="BL281" s="9"/>
      <c r="BM281" s="3"/>
      <c r="BN281" s="3"/>
      <c r="BO281" s="3"/>
      <c r="BP281" s="3"/>
      <c r="BQ281" s="3"/>
      <c r="BR281" s="3"/>
    </row>
    <row r="282" spans="1:70" x14ac:dyDescent="0.3">
      <c r="A282" s="2" t="s">
        <v>86</v>
      </c>
      <c r="B282" s="2" t="s">
        <v>81</v>
      </c>
      <c r="C282" t="s">
        <v>89</v>
      </c>
      <c r="D282" s="5" t="s">
        <v>340</v>
      </c>
      <c r="E282" s="5" t="s">
        <v>93</v>
      </c>
      <c r="F282" s="17">
        <v>45243</v>
      </c>
      <c r="G282">
        <v>19</v>
      </c>
      <c r="H282" s="3">
        <v>6.9</v>
      </c>
      <c r="I282" s="3">
        <f t="shared" si="32"/>
        <v>6.44</v>
      </c>
      <c r="J282" s="3">
        <f t="shared" ref="J282:J295" si="34">($A$69-$A$47)*$A$75</f>
        <v>0.82124999999999992</v>
      </c>
      <c r="K282" s="6">
        <f t="shared" si="33"/>
        <v>1620.8882431102365</v>
      </c>
      <c r="L282" s="4"/>
      <c r="M282" s="4"/>
      <c r="N282" s="4"/>
      <c r="O282" s="4"/>
      <c r="P282" s="7"/>
      <c r="Q282" s="6"/>
      <c r="R282" s="5"/>
      <c r="S282" s="4"/>
      <c r="T282" s="13"/>
      <c r="U282" s="13"/>
      <c r="V282" s="5"/>
      <c r="W282" s="5"/>
      <c r="X282" s="5"/>
      <c r="Y282" s="5"/>
      <c r="Z282" s="5"/>
      <c r="AA282" s="5"/>
      <c r="AB282" s="5"/>
      <c r="AC282" s="5"/>
      <c r="AD282" s="5"/>
      <c r="AF282" s="5"/>
      <c r="AG282" s="6"/>
      <c r="AH282" s="11"/>
      <c r="AI282" s="6"/>
      <c r="AJ282" s="6"/>
      <c r="AK282" s="6"/>
      <c r="AL282" s="6"/>
      <c r="AM282" s="6"/>
      <c r="AN282" s="6"/>
      <c r="AO282" s="12"/>
      <c r="AP282" s="7"/>
      <c r="AQ282" s="6"/>
      <c r="AV282" s="3"/>
      <c r="AW282" s="3"/>
      <c r="AX282" s="3"/>
      <c r="AY282" s="3"/>
      <c r="AZ282" s="4"/>
      <c r="BA282" s="4"/>
      <c r="BB282" s="4"/>
      <c r="BC282" s="4"/>
      <c r="BD282" s="4"/>
      <c r="BE282" s="3"/>
      <c r="BJ282" s="9"/>
      <c r="BK282" s="9"/>
      <c r="BL282" s="9"/>
      <c r="BM282" s="3"/>
      <c r="BN282" s="3"/>
      <c r="BO282" s="3"/>
      <c r="BP282" s="3"/>
      <c r="BQ282" s="3"/>
      <c r="BR282" s="3"/>
    </row>
    <row r="283" spans="1:70" x14ac:dyDescent="0.3">
      <c r="A283" s="2" t="s">
        <v>86</v>
      </c>
      <c r="B283" s="2" t="s">
        <v>82</v>
      </c>
      <c r="C283" t="s">
        <v>89</v>
      </c>
      <c r="D283" s="5" t="s">
        <v>341</v>
      </c>
      <c r="E283" s="5" t="s">
        <v>93</v>
      </c>
      <c r="F283" s="17">
        <v>45243</v>
      </c>
      <c r="G283">
        <v>19</v>
      </c>
      <c r="H283" s="3">
        <v>8.5</v>
      </c>
      <c r="I283" s="3">
        <f t="shared" si="32"/>
        <v>8.0399999999999991</v>
      </c>
      <c r="J283" s="3">
        <f t="shared" si="34"/>
        <v>0.82124999999999992</v>
      </c>
      <c r="K283" s="6">
        <f t="shared" si="33"/>
        <v>1978.0472982283459</v>
      </c>
      <c r="L283" s="4"/>
      <c r="M283" s="4"/>
      <c r="N283" s="4"/>
      <c r="O283" s="4"/>
      <c r="P283" s="7"/>
      <c r="Q283" s="6"/>
      <c r="R283" s="5"/>
      <c r="S283" s="4"/>
      <c r="T283" s="13"/>
      <c r="U283" s="13"/>
      <c r="V283" s="5"/>
      <c r="W283" s="5"/>
      <c r="X283" s="5"/>
      <c r="Y283" s="5"/>
      <c r="Z283" s="5"/>
      <c r="AA283" s="5"/>
      <c r="AB283" s="5"/>
      <c r="AC283" s="5"/>
      <c r="AD283" s="5"/>
      <c r="AF283" s="5"/>
      <c r="AG283" s="6"/>
      <c r="AH283" s="11"/>
      <c r="AI283" s="6"/>
      <c r="AJ283" s="6"/>
      <c r="AK283" s="6"/>
      <c r="AL283" s="6"/>
      <c r="AM283" s="6"/>
      <c r="AN283" s="6"/>
      <c r="AO283" s="12"/>
      <c r="AP283" s="7"/>
      <c r="AQ283" s="6"/>
      <c r="AV283" s="3"/>
      <c r="AW283" s="3"/>
      <c r="AX283" s="3"/>
      <c r="AY283" s="3"/>
      <c r="AZ283" s="4"/>
      <c r="BA283" s="4"/>
      <c r="BB283" s="4"/>
      <c r="BC283" s="4"/>
      <c r="BD283" s="4"/>
      <c r="BE283" s="3"/>
      <c r="BJ283" s="9"/>
      <c r="BK283" s="9"/>
      <c r="BL283" s="9"/>
      <c r="BM283" s="3"/>
      <c r="BN283" s="3"/>
      <c r="BO283" s="3"/>
      <c r="BP283" s="3"/>
      <c r="BQ283" s="3"/>
      <c r="BR283" s="3"/>
    </row>
    <row r="284" spans="1:70" x14ac:dyDescent="0.3">
      <c r="A284" s="2" t="s">
        <v>86</v>
      </c>
      <c r="B284" s="2" t="s">
        <v>83</v>
      </c>
      <c r="C284" t="s">
        <v>89</v>
      </c>
      <c r="D284" s="5" t="s">
        <v>342</v>
      </c>
      <c r="E284" s="5" t="s">
        <v>93</v>
      </c>
      <c r="F284" s="17">
        <v>45243</v>
      </c>
      <c r="G284">
        <v>19</v>
      </c>
      <c r="H284" s="3">
        <v>10</v>
      </c>
      <c r="I284" s="3">
        <f t="shared" si="32"/>
        <v>9.5399999999999991</v>
      </c>
      <c r="J284" s="3">
        <f t="shared" si="34"/>
        <v>0.82124999999999992</v>
      </c>
      <c r="K284" s="6">
        <f t="shared" si="33"/>
        <v>2312.8839124015744</v>
      </c>
      <c r="L284" s="4"/>
      <c r="M284" s="4"/>
      <c r="N284" s="4"/>
      <c r="O284" s="4"/>
      <c r="P284" s="7"/>
      <c r="Q284" s="6"/>
      <c r="R284" s="5"/>
      <c r="S284" s="4"/>
      <c r="T284" s="13"/>
      <c r="U284" s="13"/>
      <c r="V284" s="5"/>
      <c r="W284" s="5"/>
      <c r="X284" s="5"/>
      <c r="Y284" s="5"/>
      <c r="Z284" s="5"/>
      <c r="AA284" s="5"/>
      <c r="AB284" s="5"/>
      <c r="AC284" s="5"/>
      <c r="AD284" s="5"/>
      <c r="AF284" s="5"/>
      <c r="AG284" s="6"/>
      <c r="AH284" s="11"/>
      <c r="AI284" s="6"/>
      <c r="AJ284" s="6"/>
      <c r="AK284" s="6"/>
      <c r="AL284" s="6"/>
      <c r="AM284" s="6"/>
      <c r="AN284" s="6"/>
      <c r="AO284" s="12"/>
      <c r="AP284" s="7"/>
      <c r="AQ284" s="6"/>
      <c r="AV284" s="3"/>
      <c r="AW284" s="3"/>
      <c r="AX284" s="3"/>
      <c r="AY284" s="3"/>
      <c r="AZ284" s="4"/>
      <c r="BA284" s="4"/>
      <c r="BB284" s="4"/>
      <c r="BC284" s="4"/>
      <c r="BD284" s="4"/>
      <c r="BE284" s="3"/>
      <c r="BJ284" s="9"/>
      <c r="BK284" s="9"/>
      <c r="BL284" s="9"/>
      <c r="BM284" s="3"/>
      <c r="BN284" s="3"/>
      <c r="BO284" s="3"/>
      <c r="BP284" s="3"/>
      <c r="BQ284" s="3"/>
      <c r="BR284" s="3"/>
    </row>
    <row r="285" spans="1:70" x14ac:dyDescent="0.3">
      <c r="A285" s="2" t="s">
        <v>86</v>
      </c>
      <c r="B285" s="2" t="s">
        <v>84</v>
      </c>
      <c r="C285" t="s">
        <v>89</v>
      </c>
      <c r="D285" s="5" t="s">
        <v>343</v>
      </c>
      <c r="E285" s="5" t="s">
        <v>93</v>
      </c>
      <c r="F285" s="17">
        <v>45243</v>
      </c>
      <c r="G285">
        <v>19</v>
      </c>
      <c r="H285" s="3">
        <v>17.399999999999999</v>
      </c>
      <c r="I285" s="3">
        <f t="shared" si="32"/>
        <v>16.939999999999998</v>
      </c>
      <c r="J285" s="3">
        <f t="shared" si="34"/>
        <v>0.82124999999999992</v>
      </c>
      <c r="K285" s="6">
        <f t="shared" si="33"/>
        <v>3964.7445423228337</v>
      </c>
      <c r="L285" s="4"/>
      <c r="M285" s="4"/>
      <c r="N285" s="4"/>
      <c r="O285" s="4"/>
      <c r="P285" s="7"/>
      <c r="Q285" s="6"/>
      <c r="R285" s="5"/>
      <c r="S285" s="4"/>
      <c r="T285" s="13"/>
      <c r="U285" s="13"/>
      <c r="V285" s="5"/>
      <c r="W285" s="5"/>
      <c r="X285" s="5"/>
      <c r="Y285" s="5"/>
      <c r="Z285" s="5"/>
      <c r="AA285" s="5"/>
      <c r="AB285" s="5"/>
      <c r="AC285" s="5"/>
      <c r="AD285" s="5"/>
      <c r="AF285" s="5"/>
      <c r="AG285" s="6"/>
      <c r="AH285" s="11"/>
      <c r="AI285" s="6"/>
      <c r="AJ285" s="6"/>
      <c r="AK285" s="6"/>
      <c r="AL285" s="6"/>
      <c r="AM285" s="6"/>
      <c r="AN285" s="6"/>
      <c r="AO285" s="12"/>
      <c r="AP285" s="7"/>
      <c r="AQ285" s="6"/>
      <c r="AV285" s="3"/>
      <c r="AW285" s="3"/>
      <c r="AX285" s="3"/>
      <c r="AY285" s="3"/>
      <c r="AZ285" s="4"/>
      <c r="BA285" s="4"/>
      <c r="BB285" s="4"/>
      <c r="BC285" s="4"/>
      <c r="BD285" s="4"/>
      <c r="BE285" s="3"/>
      <c r="BJ285" s="9"/>
      <c r="BK285" s="9"/>
      <c r="BL285" s="9"/>
      <c r="BM285" s="3"/>
      <c r="BN285" s="3"/>
      <c r="BO285" s="3"/>
      <c r="BP285" s="3"/>
      <c r="BQ285" s="3"/>
      <c r="BR285" s="3"/>
    </row>
    <row r="286" spans="1:70" x14ac:dyDescent="0.3">
      <c r="A286" s="2" t="s">
        <v>86</v>
      </c>
      <c r="B286" s="2" t="s">
        <v>85</v>
      </c>
      <c r="C286" t="s">
        <v>89</v>
      </c>
      <c r="D286" s="5" t="s">
        <v>344</v>
      </c>
      <c r="E286" s="5" t="s">
        <v>93</v>
      </c>
      <c r="F286" s="17">
        <v>45243</v>
      </c>
      <c r="G286">
        <v>19</v>
      </c>
      <c r="H286" s="3">
        <v>25.8</v>
      </c>
      <c r="I286" s="3">
        <f t="shared" si="32"/>
        <v>25.34</v>
      </c>
      <c r="J286" s="3">
        <f t="shared" si="34"/>
        <v>0.82124999999999992</v>
      </c>
      <c r="K286" s="6">
        <f t="shared" si="33"/>
        <v>5839.8295816929121</v>
      </c>
      <c r="L286" s="4"/>
      <c r="M286" s="4"/>
      <c r="N286" s="4"/>
      <c r="O286" s="4"/>
      <c r="P286" s="7"/>
      <c r="Q286" s="6"/>
      <c r="R286" s="5"/>
      <c r="S286" s="4"/>
      <c r="T286" s="13"/>
      <c r="U286" s="13"/>
      <c r="V286" s="5"/>
      <c r="W286" s="5"/>
      <c r="X286" s="5"/>
      <c r="Y286" s="5"/>
      <c r="Z286" s="5"/>
      <c r="AA286" s="5"/>
      <c r="AB286" s="5"/>
      <c r="AC286" s="5"/>
      <c r="AD286" s="5"/>
      <c r="AF286" s="5"/>
      <c r="AG286" s="6"/>
      <c r="AH286" s="11"/>
      <c r="AI286" s="6"/>
      <c r="AJ286" s="6"/>
      <c r="AK286" s="6"/>
      <c r="AL286" s="6"/>
      <c r="AM286" s="6"/>
      <c r="AN286" s="6"/>
      <c r="AO286" s="12"/>
      <c r="AP286" s="7"/>
      <c r="AQ286" s="6"/>
      <c r="AV286" s="3"/>
      <c r="AW286" s="3"/>
      <c r="AX286" s="3"/>
      <c r="AY286" s="3"/>
      <c r="AZ286" s="4"/>
      <c r="BA286" s="4"/>
      <c r="BB286" s="4"/>
      <c r="BC286" s="4"/>
      <c r="BD286" s="4"/>
      <c r="BE286" s="3"/>
      <c r="BJ286" s="9"/>
      <c r="BK286" s="9"/>
      <c r="BL286" s="9"/>
      <c r="BM286" s="3"/>
      <c r="BN286" s="3"/>
      <c r="BO286" s="3"/>
      <c r="BP286" s="3"/>
      <c r="BQ286" s="3"/>
      <c r="BR286" s="3"/>
    </row>
    <row r="287" spans="1:70" x14ac:dyDescent="0.3">
      <c r="A287" s="2" t="s">
        <v>86</v>
      </c>
      <c r="B287" s="2" t="s">
        <v>86</v>
      </c>
      <c r="C287" t="s">
        <v>89</v>
      </c>
      <c r="D287" s="5" t="s">
        <v>345</v>
      </c>
      <c r="E287" s="5" t="s">
        <v>93</v>
      </c>
      <c r="F287" s="17">
        <v>45243</v>
      </c>
      <c r="G287">
        <v>19</v>
      </c>
      <c r="H287" s="3">
        <v>24.3</v>
      </c>
      <c r="I287" s="3">
        <f t="shared" si="32"/>
        <v>23.84</v>
      </c>
      <c r="J287" s="3">
        <f t="shared" si="34"/>
        <v>0.82124999999999992</v>
      </c>
      <c r="K287" s="6">
        <f t="shared" si="33"/>
        <v>5504.9929675196854</v>
      </c>
      <c r="L287" s="4"/>
      <c r="M287" s="4"/>
      <c r="N287" s="4"/>
      <c r="O287" s="4"/>
      <c r="P287" s="7"/>
      <c r="Q287" s="6"/>
      <c r="R287" s="5"/>
      <c r="S287" s="4"/>
      <c r="T287" s="13"/>
      <c r="U287" s="13"/>
      <c r="V287" s="5"/>
      <c r="W287" s="5"/>
      <c r="X287" s="5"/>
      <c r="Y287" s="5"/>
      <c r="Z287" s="5"/>
      <c r="AA287" s="5"/>
      <c r="AB287" s="5"/>
      <c r="AC287" s="5"/>
      <c r="AD287" s="5"/>
      <c r="AF287" s="5"/>
      <c r="AG287" s="6"/>
      <c r="AH287" s="11"/>
      <c r="AI287" s="6"/>
      <c r="AJ287" s="6"/>
      <c r="AK287" s="6"/>
      <c r="AL287" s="6"/>
      <c r="AM287" s="6"/>
      <c r="AN287" s="6"/>
      <c r="AO287" s="12"/>
      <c r="AP287" s="7"/>
      <c r="AQ287" s="6"/>
      <c r="AV287" s="3"/>
      <c r="AW287" s="3"/>
      <c r="AX287" s="3"/>
      <c r="AY287" s="3"/>
      <c r="AZ287" s="4"/>
      <c r="BA287" s="4"/>
      <c r="BB287" s="4"/>
      <c r="BC287" s="4"/>
      <c r="BD287" s="4"/>
      <c r="BE287" s="3"/>
      <c r="BJ287" s="9"/>
      <c r="BK287" s="9"/>
      <c r="BL287" s="9"/>
      <c r="BM287" s="3"/>
      <c r="BN287" s="3"/>
      <c r="BO287" s="3"/>
      <c r="BP287" s="3"/>
      <c r="BQ287" s="3"/>
      <c r="BR287" s="3"/>
    </row>
    <row r="288" spans="1:70" x14ac:dyDescent="0.3">
      <c r="A288" s="2" t="s">
        <v>86</v>
      </c>
      <c r="B288" s="2" t="s">
        <v>87</v>
      </c>
      <c r="C288" t="s">
        <v>89</v>
      </c>
      <c r="D288" s="5" t="s">
        <v>346</v>
      </c>
      <c r="E288" s="5" t="s">
        <v>93</v>
      </c>
      <c r="F288" s="17">
        <v>45243</v>
      </c>
      <c r="G288">
        <v>19</v>
      </c>
      <c r="H288" s="3">
        <v>22.5</v>
      </c>
      <c r="I288" s="3">
        <f t="shared" si="32"/>
        <v>22.04</v>
      </c>
      <c r="J288" s="3">
        <f t="shared" si="34"/>
        <v>0.82124999999999992</v>
      </c>
      <c r="K288" s="6">
        <f t="shared" si="33"/>
        <v>5103.1890305118113</v>
      </c>
      <c r="L288" s="4">
        <v>10.7</v>
      </c>
      <c r="M288" s="4">
        <v>223.33</v>
      </c>
      <c r="N288" s="4">
        <v>212.63000000000002</v>
      </c>
      <c r="O288" s="4">
        <v>203.39</v>
      </c>
      <c r="P288" s="7">
        <f>(N288-O288)/N288*100</f>
        <v>4.3455768235902914</v>
      </c>
      <c r="Q288" s="6">
        <f>K288*(1-P288/100)</f>
        <v>4881.4260307378881</v>
      </c>
      <c r="R288" s="14">
        <v>45244</v>
      </c>
      <c r="S288" s="4">
        <v>9.99</v>
      </c>
      <c r="T288" s="13">
        <v>3.875</v>
      </c>
      <c r="U288" s="13">
        <v>6.27</v>
      </c>
      <c r="V288" s="8">
        <f>(T288-$A$76)/(S288-$A$47*$A$48)</f>
        <v>0.36733179491683299</v>
      </c>
      <c r="W288" s="8">
        <f>(U288-$A$77)/(S288-$A$47*$A$48)</f>
        <v>0.46721578145558768</v>
      </c>
      <c r="X288" s="8">
        <f>1-V288-W288</f>
        <v>0.16545242362757934</v>
      </c>
      <c r="Y288" s="6">
        <f>K288*V288</f>
        <v>1874.5635863777964</v>
      </c>
      <c r="Z288" s="6">
        <f>K288*W288</f>
        <v>2384.2904508061588</v>
      </c>
      <c r="AA288" s="6">
        <f>SUM(Y288:Z288)</f>
        <v>4258.8540371839554</v>
      </c>
      <c r="AB288" s="6">
        <f>Q288*V288</f>
        <v>1793.1029856247001</v>
      </c>
      <c r="AC288" s="6">
        <f>Q288*W288</f>
        <v>2280.67927756885</v>
      </c>
      <c r="AD288" s="6">
        <f>SUM(AB288:AC288)</f>
        <v>4073.7822631935501</v>
      </c>
      <c r="AE288" t="s">
        <v>550</v>
      </c>
      <c r="AF288" s="14">
        <v>45295</v>
      </c>
      <c r="AG288" s="6">
        <v>48.7</v>
      </c>
      <c r="AH288" s="11">
        <v>1.097</v>
      </c>
      <c r="AI288" s="6">
        <v>79.7</v>
      </c>
      <c r="AJ288" s="6">
        <v>27.9</v>
      </c>
      <c r="AK288" s="6">
        <v>5.6</v>
      </c>
      <c r="AL288" s="6">
        <v>80.3</v>
      </c>
      <c r="AM288" s="6">
        <v>9.3000000000000007</v>
      </c>
      <c r="AN288" s="6" t="s">
        <v>134</v>
      </c>
      <c r="AO288" s="12">
        <v>13</v>
      </c>
      <c r="AP288" s="7">
        <v>0.16</v>
      </c>
      <c r="AQ288" s="6">
        <v>13</v>
      </c>
      <c r="AV288" s="3"/>
      <c r="AW288" s="3"/>
      <c r="AX288" s="3"/>
      <c r="AY288" s="3"/>
      <c r="AZ288" s="4"/>
      <c r="BA288" s="4"/>
      <c r="BB288" s="4"/>
      <c r="BC288" s="4"/>
      <c r="BD288" s="4"/>
      <c r="BE288" s="3"/>
      <c r="BJ288" s="9"/>
      <c r="BK288" s="9"/>
      <c r="BL288" s="9"/>
      <c r="BM288" s="3"/>
      <c r="BN288" s="3"/>
      <c r="BO288" s="3"/>
      <c r="BP288" s="3"/>
      <c r="BQ288" s="3"/>
      <c r="BR288" s="3"/>
    </row>
    <row r="289" spans="1:83" x14ac:dyDescent="0.3">
      <c r="A289" s="2" t="s">
        <v>86</v>
      </c>
      <c r="B289" s="2" t="s">
        <v>137</v>
      </c>
      <c r="C289" t="s">
        <v>89</v>
      </c>
      <c r="D289" s="5" t="s">
        <v>347</v>
      </c>
      <c r="E289" s="5" t="s">
        <v>93</v>
      </c>
      <c r="F289" s="17">
        <v>45243</v>
      </c>
      <c r="G289">
        <v>19</v>
      </c>
      <c r="H289" s="3">
        <v>23.1</v>
      </c>
      <c r="I289" s="3">
        <f t="shared" si="32"/>
        <v>22.64</v>
      </c>
      <c r="J289" s="3">
        <f t="shared" si="34"/>
        <v>0.82124999999999992</v>
      </c>
      <c r="K289" s="6">
        <f t="shared" si="33"/>
        <v>5237.1236761811024</v>
      </c>
      <c r="L289" s="4"/>
      <c r="M289" s="4"/>
      <c r="N289" s="4"/>
      <c r="O289" s="4"/>
      <c r="P289" s="7"/>
      <c r="Q289" s="6"/>
      <c r="R289" s="5"/>
      <c r="S289" s="4"/>
      <c r="T289" s="13"/>
      <c r="U289" s="13"/>
      <c r="V289" s="5"/>
      <c r="W289" s="5"/>
      <c r="X289" s="5"/>
      <c r="Y289" s="5"/>
      <c r="Z289" s="5"/>
      <c r="AA289" s="5"/>
      <c r="AB289" s="5"/>
      <c r="AC289" s="5"/>
      <c r="AD289" s="5"/>
      <c r="AF289" s="5"/>
      <c r="AG289" s="6"/>
      <c r="AH289" s="11"/>
      <c r="AI289" s="6"/>
      <c r="AJ289" s="6"/>
      <c r="AK289" s="6"/>
      <c r="AL289" s="6"/>
      <c r="AM289" s="6"/>
      <c r="AN289" s="6"/>
      <c r="AO289" s="12"/>
      <c r="AP289" s="7"/>
      <c r="AQ289" s="6"/>
      <c r="AS289" s="4"/>
      <c r="AV289" s="3"/>
      <c r="AW289" s="3"/>
      <c r="AX289" s="3"/>
      <c r="AY289" s="3"/>
      <c r="AZ289" s="4"/>
      <c r="BA289" s="4"/>
      <c r="BB289" s="4"/>
      <c r="BC289" s="4"/>
      <c r="BD289" s="4"/>
      <c r="BE289" s="3"/>
      <c r="BJ289" s="9"/>
      <c r="BK289" s="9"/>
      <c r="BL289" s="9"/>
      <c r="BM289" s="3"/>
      <c r="BN289" s="3"/>
      <c r="BO289" s="3"/>
      <c r="BP289" s="3"/>
      <c r="BQ289" s="3"/>
      <c r="BR289" s="3"/>
    </row>
    <row r="290" spans="1:83" x14ac:dyDescent="0.3">
      <c r="A290" s="2" t="s">
        <v>86</v>
      </c>
      <c r="B290" s="2" t="s">
        <v>138</v>
      </c>
      <c r="C290" t="s">
        <v>89</v>
      </c>
      <c r="D290" s="5" t="s">
        <v>348</v>
      </c>
      <c r="E290" s="5" t="s">
        <v>93</v>
      </c>
      <c r="F290" s="17">
        <v>45243</v>
      </c>
      <c r="G290">
        <v>19</v>
      </c>
      <c r="H290" s="3">
        <v>18.899999999999999</v>
      </c>
      <c r="I290" s="3">
        <f t="shared" si="32"/>
        <v>18.439999999999998</v>
      </c>
      <c r="J290" s="3">
        <f t="shared" si="34"/>
        <v>0.82124999999999992</v>
      </c>
      <c r="K290" s="6">
        <f t="shared" si="33"/>
        <v>4299.5811564960622</v>
      </c>
      <c r="L290" s="4"/>
      <c r="M290" s="4"/>
      <c r="N290" s="4"/>
      <c r="O290" s="4"/>
      <c r="P290" s="7"/>
      <c r="Q290" s="6"/>
      <c r="R290" s="5"/>
      <c r="S290" s="4"/>
      <c r="T290" s="13"/>
      <c r="U290" s="13"/>
      <c r="V290" s="5"/>
      <c r="W290" s="5"/>
      <c r="X290" s="5"/>
      <c r="Y290" s="5"/>
      <c r="Z290" s="5"/>
      <c r="AA290" s="5"/>
      <c r="AB290" s="5"/>
      <c r="AC290" s="5"/>
      <c r="AD290" s="5"/>
      <c r="AF290" s="5"/>
      <c r="AG290" s="6"/>
      <c r="AH290" s="11"/>
      <c r="AI290" s="6"/>
      <c r="AJ290" s="6"/>
      <c r="AK290" s="6"/>
      <c r="AL290" s="6"/>
      <c r="AM290" s="6"/>
      <c r="AN290" s="6"/>
      <c r="AO290" s="12"/>
      <c r="AP290" s="7"/>
      <c r="AQ290" s="6"/>
      <c r="AV290" s="3"/>
      <c r="AW290" s="3"/>
      <c r="AX290" s="3"/>
      <c r="AY290" s="3"/>
      <c r="AZ290" s="4"/>
      <c r="BA290" s="4"/>
      <c r="BB290" s="4"/>
      <c r="BC290" s="4"/>
      <c r="BD290" s="4"/>
      <c r="BE290" s="3"/>
      <c r="BJ290" s="9"/>
      <c r="BK290" s="9"/>
      <c r="BL290" s="9"/>
      <c r="BM290" s="3"/>
      <c r="BN290" s="3"/>
      <c r="BO290" s="3"/>
      <c r="BP290" s="3"/>
      <c r="BQ290" s="3"/>
      <c r="BR290" s="3"/>
    </row>
    <row r="291" spans="1:83" x14ac:dyDescent="0.3">
      <c r="A291" s="2" t="s">
        <v>86</v>
      </c>
      <c r="B291" s="2" t="s">
        <v>139</v>
      </c>
      <c r="C291" t="s">
        <v>89</v>
      </c>
      <c r="D291" s="5" t="s">
        <v>349</v>
      </c>
      <c r="E291" s="5" t="s">
        <v>93</v>
      </c>
      <c r="F291" s="17">
        <v>45243</v>
      </c>
      <c r="G291">
        <v>19</v>
      </c>
      <c r="H291" s="3">
        <v>17.8</v>
      </c>
      <c r="I291" s="3">
        <f t="shared" si="32"/>
        <v>17.34</v>
      </c>
      <c r="J291" s="3">
        <f t="shared" si="34"/>
        <v>0.82124999999999992</v>
      </c>
      <c r="K291" s="6">
        <f t="shared" si="33"/>
        <v>4054.0343061023614</v>
      </c>
      <c r="L291" s="4"/>
      <c r="M291" s="4"/>
      <c r="N291" s="4"/>
      <c r="O291" s="4"/>
      <c r="P291" s="7"/>
      <c r="Q291" s="6"/>
      <c r="R291" s="5"/>
      <c r="S291" s="4"/>
      <c r="T291" s="13"/>
      <c r="U291" s="13"/>
      <c r="V291" s="5"/>
      <c r="W291" s="5"/>
      <c r="X291" s="5"/>
      <c r="Y291" s="5"/>
      <c r="Z291" s="5"/>
      <c r="AA291" s="5"/>
      <c r="AB291" s="5"/>
      <c r="AC291" s="5"/>
      <c r="AD291" s="5"/>
      <c r="AF291" s="5"/>
      <c r="AG291" s="6"/>
      <c r="AH291" s="11"/>
      <c r="AI291" s="6"/>
      <c r="AJ291" s="6"/>
      <c r="AK291" s="6"/>
      <c r="AL291" s="6"/>
      <c r="AM291" s="6"/>
      <c r="AN291" s="6"/>
      <c r="AO291" s="12"/>
      <c r="AP291" s="7"/>
      <c r="AQ291" s="6"/>
      <c r="AV291" s="3"/>
      <c r="AW291" s="3"/>
      <c r="AX291" s="3"/>
      <c r="AY291" s="3"/>
      <c r="AZ291" s="4"/>
      <c r="BA291" s="4"/>
      <c r="BB291" s="4"/>
      <c r="BC291" s="4"/>
      <c r="BD291" s="4"/>
      <c r="BE291" s="3"/>
      <c r="BJ291" s="9"/>
      <c r="BK291" s="9"/>
      <c r="BL291" s="9"/>
      <c r="BM291" s="3"/>
      <c r="BN291" s="3"/>
      <c r="BO291" s="3"/>
      <c r="BP291" s="3"/>
      <c r="BQ291" s="3"/>
      <c r="BR291" s="3"/>
    </row>
    <row r="292" spans="1:83" x14ac:dyDescent="0.3">
      <c r="A292" s="2" t="s">
        <v>86</v>
      </c>
      <c r="B292" s="2" t="s">
        <v>140</v>
      </c>
      <c r="C292" t="s">
        <v>89</v>
      </c>
      <c r="D292" s="5" t="s">
        <v>350</v>
      </c>
      <c r="E292" s="5" t="s">
        <v>93</v>
      </c>
      <c r="F292" s="17">
        <v>45243</v>
      </c>
      <c r="G292">
        <v>19</v>
      </c>
      <c r="H292" s="3">
        <v>25.8</v>
      </c>
      <c r="I292" s="3">
        <f t="shared" si="32"/>
        <v>25.34</v>
      </c>
      <c r="J292" s="3">
        <f t="shared" si="34"/>
        <v>0.82124999999999992</v>
      </c>
      <c r="K292" s="6">
        <f t="shared" si="33"/>
        <v>5839.8295816929121</v>
      </c>
      <c r="L292" s="4"/>
      <c r="M292" s="4"/>
      <c r="N292" s="4"/>
      <c r="O292" s="4"/>
      <c r="P292" s="7"/>
      <c r="Q292" s="6"/>
      <c r="R292" s="5"/>
      <c r="S292" s="4"/>
      <c r="T292" s="13"/>
      <c r="U292" s="13"/>
      <c r="V292" s="5"/>
      <c r="W292" s="5"/>
      <c r="X292" s="5"/>
      <c r="Y292" s="5"/>
      <c r="Z292" s="5"/>
      <c r="AA292" s="5"/>
      <c r="AB292" s="5"/>
      <c r="AC292" s="5"/>
      <c r="AD292" s="5"/>
      <c r="AF292" s="5"/>
      <c r="AG292" s="6"/>
      <c r="AH292" s="11"/>
      <c r="AI292" s="6"/>
      <c r="AJ292" s="6"/>
      <c r="AK292" s="6"/>
      <c r="AL292" s="6"/>
      <c r="AM292" s="6"/>
      <c r="AN292" s="6"/>
      <c r="AO292" s="12"/>
      <c r="AP292" s="7"/>
      <c r="AQ292" s="6"/>
      <c r="AV292" s="3"/>
      <c r="AW292" s="3"/>
      <c r="AX292" s="3"/>
      <c r="AY292" s="3"/>
      <c r="AZ292" s="4"/>
      <c r="BA292" s="4"/>
      <c r="BB292" s="4"/>
      <c r="BC292" s="4"/>
      <c r="BD292" s="4"/>
      <c r="BE292" s="3"/>
      <c r="BJ292" s="9"/>
      <c r="BK292" s="9"/>
      <c r="BL292" s="9"/>
      <c r="BM292" s="3"/>
      <c r="BN292" s="3"/>
      <c r="BO292" s="3"/>
      <c r="BP292" s="3"/>
      <c r="BQ292" s="3"/>
      <c r="BR292" s="3"/>
    </row>
    <row r="293" spans="1:83" x14ac:dyDescent="0.3">
      <c r="A293" s="2" t="s">
        <v>86</v>
      </c>
      <c r="B293" s="2" t="s">
        <v>141</v>
      </c>
      <c r="C293" t="s">
        <v>89</v>
      </c>
      <c r="D293" s="5" t="s">
        <v>351</v>
      </c>
      <c r="E293" s="5" t="s">
        <v>93</v>
      </c>
      <c r="F293" s="17">
        <v>45243</v>
      </c>
      <c r="G293">
        <v>19</v>
      </c>
      <c r="H293" s="3">
        <v>23.2</v>
      </c>
      <c r="I293" s="3">
        <f t="shared" si="32"/>
        <v>22.74</v>
      </c>
      <c r="J293" s="3">
        <f t="shared" si="34"/>
        <v>0.82124999999999992</v>
      </c>
      <c r="K293" s="6">
        <f t="shared" si="33"/>
        <v>5259.4461171259845</v>
      </c>
      <c r="L293" s="4"/>
      <c r="M293" s="4"/>
      <c r="N293" s="4"/>
      <c r="O293" s="4"/>
      <c r="P293" s="7"/>
      <c r="Q293" s="6"/>
      <c r="R293" s="5"/>
      <c r="S293" s="4"/>
      <c r="T293" s="13"/>
      <c r="U293" s="13"/>
      <c r="V293" s="5"/>
      <c r="W293" s="5"/>
      <c r="X293" s="5"/>
      <c r="Y293" s="5"/>
      <c r="Z293" s="5"/>
      <c r="AA293" s="5"/>
      <c r="AB293" s="5"/>
      <c r="AC293" s="5"/>
      <c r="AD293" s="5"/>
      <c r="AF293" s="5"/>
      <c r="AG293" s="6"/>
      <c r="AH293" s="11"/>
      <c r="AI293" s="6"/>
      <c r="AJ293" s="6"/>
      <c r="AK293" s="6"/>
      <c r="AL293" s="6"/>
      <c r="AM293" s="6"/>
      <c r="AN293" s="6"/>
      <c r="AO293" s="12"/>
      <c r="AP293" s="7"/>
      <c r="AQ293" s="6"/>
      <c r="AV293" s="3"/>
      <c r="AW293" s="3"/>
      <c r="AX293" s="3"/>
      <c r="AY293" s="3"/>
      <c r="AZ293" s="4"/>
      <c r="BA293" s="4"/>
      <c r="BB293" s="4"/>
      <c r="BC293" s="4"/>
      <c r="BD293" s="4"/>
      <c r="BE293" s="3"/>
      <c r="BJ293" s="9"/>
      <c r="BK293" s="9"/>
      <c r="BL293" s="9"/>
      <c r="BM293" s="3"/>
      <c r="BN293" s="3"/>
      <c r="BO293" s="3"/>
      <c r="BP293" s="3"/>
      <c r="BQ293" s="3"/>
      <c r="BR293" s="3"/>
    </row>
    <row r="294" spans="1:83" x14ac:dyDescent="0.3">
      <c r="A294" s="2" t="s">
        <v>86</v>
      </c>
      <c r="B294" s="2" t="s">
        <v>142</v>
      </c>
      <c r="C294" t="s">
        <v>89</v>
      </c>
      <c r="D294" s="5" t="s">
        <v>352</v>
      </c>
      <c r="E294" s="5" t="s">
        <v>93</v>
      </c>
      <c r="F294" s="17">
        <v>45243</v>
      </c>
      <c r="G294">
        <v>19</v>
      </c>
      <c r="H294" s="3">
        <v>19.5</v>
      </c>
      <c r="I294" s="3">
        <f t="shared" si="32"/>
        <v>19.04</v>
      </c>
      <c r="J294" s="3">
        <f t="shared" si="34"/>
        <v>0.82124999999999992</v>
      </c>
      <c r="K294" s="6">
        <f t="shared" si="33"/>
        <v>4433.5158021653542</v>
      </c>
      <c r="L294" s="4"/>
      <c r="M294" s="4"/>
      <c r="N294" s="4"/>
      <c r="O294" s="4"/>
      <c r="P294" s="7"/>
      <c r="Q294" s="6"/>
      <c r="R294" s="5"/>
      <c r="S294" s="4"/>
      <c r="T294" s="13"/>
      <c r="U294" s="13"/>
      <c r="V294" s="5"/>
      <c r="W294" s="5"/>
      <c r="X294" s="5"/>
      <c r="Y294" s="5"/>
      <c r="Z294" s="5"/>
      <c r="AA294" s="5"/>
      <c r="AB294" s="5"/>
      <c r="AC294" s="5"/>
      <c r="AD294" s="5"/>
      <c r="AF294" s="5"/>
      <c r="AG294" s="6"/>
      <c r="AH294" s="11"/>
      <c r="AI294" s="6"/>
      <c r="AJ294" s="6"/>
      <c r="AK294" s="6"/>
      <c r="AL294" s="6"/>
      <c r="AM294" s="6"/>
      <c r="AN294" s="6"/>
      <c r="AO294" s="12"/>
      <c r="AP294" s="7"/>
      <c r="AQ294" s="6"/>
      <c r="AV294" s="3"/>
      <c r="AW294" s="3"/>
      <c r="AX294" s="3"/>
      <c r="AY294" s="3"/>
      <c r="AZ294" s="4"/>
      <c r="BA294" s="4"/>
      <c r="BB294" s="4"/>
      <c r="BC294" s="4"/>
      <c r="BD294" s="4"/>
      <c r="BE294" s="3"/>
      <c r="BJ294" s="9"/>
      <c r="BK294" s="9"/>
      <c r="BL294" s="9"/>
      <c r="BM294" s="3"/>
      <c r="BN294" s="3"/>
      <c r="BO294" s="3"/>
      <c r="BP294" s="3"/>
      <c r="BQ294" s="3"/>
      <c r="BR294" s="3"/>
    </row>
    <row r="295" spans="1:83" x14ac:dyDescent="0.3">
      <c r="A295" s="2" t="s">
        <v>86</v>
      </c>
      <c r="B295" s="2" t="s">
        <v>143</v>
      </c>
      <c r="C295" t="s">
        <v>89</v>
      </c>
      <c r="D295" s="5" t="s">
        <v>353</v>
      </c>
      <c r="E295" s="5" t="s">
        <v>93</v>
      </c>
      <c r="F295" s="17">
        <v>45243</v>
      </c>
      <c r="G295">
        <v>19</v>
      </c>
      <c r="H295" s="3">
        <v>7.2</v>
      </c>
      <c r="I295" s="3">
        <f t="shared" si="32"/>
        <v>6.74</v>
      </c>
      <c r="J295" s="3">
        <f t="shared" si="34"/>
        <v>0.82124999999999992</v>
      </c>
      <c r="K295" s="6">
        <f t="shared" si="33"/>
        <v>1687.8555659448818</v>
      </c>
      <c r="L295" s="4"/>
      <c r="M295" s="4"/>
      <c r="N295" s="4"/>
      <c r="O295" s="4"/>
      <c r="P295" s="7"/>
      <c r="Q295" s="6"/>
      <c r="R295" s="5"/>
      <c r="S295" s="4"/>
      <c r="T295" s="13"/>
      <c r="U295" s="13"/>
      <c r="V295" s="5"/>
      <c r="W295" s="5"/>
      <c r="X295" s="5"/>
      <c r="Y295" s="5"/>
      <c r="Z295" s="5"/>
      <c r="AA295" s="5"/>
      <c r="AB295" s="5"/>
      <c r="AC295" s="5"/>
      <c r="AD295" s="5"/>
      <c r="AF295" s="5"/>
      <c r="AG295" s="6"/>
      <c r="AH295" s="11"/>
      <c r="AI295" s="6"/>
      <c r="AJ295" s="6"/>
      <c r="AK295" s="6"/>
      <c r="AL295" s="6"/>
      <c r="AM295" s="6"/>
      <c r="AN295" s="6"/>
      <c r="AO295" s="12"/>
      <c r="AP295" s="7"/>
      <c r="AQ295" s="6"/>
      <c r="AV295" s="3"/>
      <c r="AW295" s="3"/>
      <c r="AX295" s="3"/>
      <c r="AY295" s="3"/>
      <c r="AZ295" s="4"/>
      <c r="BA295" s="4"/>
      <c r="BB295" s="4"/>
      <c r="BC295" s="4"/>
      <c r="BD295" s="4"/>
      <c r="BE295" s="3"/>
      <c r="BJ295" s="9"/>
      <c r="BK295" s="9"/>
      <c r="BL295" s="9"/>
      <c r="BM295" s="3"/>
      <c r="BN295" s="3"/>
      <c r="BO295" s="3"/>
      <c r="BP295" s="3"/>
      <c r="BQ295" s="3"/>
      <c r="BR295" s="3"/>
    </row>
    <row r="296" spans="1:83" x14ac:dyDescent="0.3">
      <c r="A296" s="2">
        <v>8</v>
      </c>
      <c r="B296" s="2" t="s">
        <v>80</v>
      </c>
      <c r="C296" t="s">
        <v>88</v>
      </c>
      <c r="D296" s="5" t="s">
        <v>354</v>
      </c>
      <c r="E296" s="5" t="s">
        <v>93</v>
      </c>
      <c r="F296" s="17">
        <v>45243</v>
      </c>
      <c r="G296">
        <v>8</v>
      </c>
      <c r="H296" s="3">
        <v>21.3</v>
      </c>
      <c r="I296" s="3">
        <f t="shared" si="32"/>
        <v>20.84</v>
      </c>
      <c r="J296" s="3">
        <f>($A$58-$A$47)*$A$75</f>
        <v>1.1399999999999999</v>
      </c>
      <c r="K296" s="6">
        <f t="shared" si="33"/>
        <v>4906.4725196850395</v>
      </c>
      <c r="L296" s="4"/>
      <c r="M296" s="4"/>
      <c r="N296" s="4"/>
      <c r="O296" s="4"/>
      <c r="P296" s="7"/>
      <c r="Q296" s="6"/>
      <c r="R296" s="5"/>
      <c r="S296" s="4"/>
      <c r="T296" s="13"/>
      <c r="U296" s="13"/>
      <c r="V296" s="5"/>
      <c r="W296" s="5"/>
      <c r="X296" s="5"/>
      <c r="Y296" s="5"/>
      <c r="Z296" s="5"/>
      <c r="AA296" s="5"/>
      <c r="AB296" s="5"/>
      <c r="AC296" s="5"/>
      <c r="AD296" s="5"/>
      <c r="AF296" s="5"/>
      <c r="AG296" s="6"/>
      <c r="AH296" s="11"/>
      <c r="AI296" s="6"/>
      <c r="AJ296" s="6"/>
      <c r="AK296" s="6"/>
      <c r="AL296" s="6"/>
      <c r="AM296" s="6"/>
      <c r="AN296" s="6"/>
      <c r="AO296" s="12"/>
      <c r="AP296" s="7"/>
      <c r="AQ296" s="6"/>
      <c r="AS296" s="4" t="s">
        <v>531</v>
      </c>
      <c r="AT296" s="4" t="str">
        <f>E296</f>
        <v>Machine</v>
      </c>
      <c r="AU296" s="15">
        <f>F296</f>
        <v>45243</v>
      </c>
      <c r="AV296" s="3">
        <f>SUM(H296:H325)</f>
        <v>607.19999999999993</v>
      </c>
      <c r="AW296" s="3">
        <f>AV296-24*$A$47</f>
        <v>596.16</v>
      </c>
      <c r="AX296" s="3">
        <f>SUM(J296:J325)</f>
        <v>31.200000000000021</v>
      </c>
      <c r="AY296" s="3">
        <f>(AW296+AX296)*$A$48/(30*$A$49)*$A$50</f>
        <v>4668.0688503937008</v>
      </c>
      <c r="AZ296" s="4">
        <f>SUM(L296:L325)</f>
        <v>19.46</v>
      </c>
      <c r="BA296" s="4">
        <f t="shared" ref="BA296" si="35">SUM(M296:M325)</f>
        <v>386.4</v>
      </c>
      <c r="BB296" s="4">
        <f t="shared" ref="BB296" si="36">SUM(N296:N325)</f>
        <v>366.94</v>
      </c>
      <c r="BC296" s="4">
        <f>SUM(O296:O325)</f>
        <v>350.3</v>
      </c>
      <c r="BD296" s="4">
        <f>(BB296-BC296)/BB296*100</f>
        <v>4.5348013299176939</v>
      </c>
      <c r="BE296" s="3">
        <f>AY296*(1-BD296/100)</f>
        <v>4456.3812020845735</v>
      </c>
      <c r="BF296" s="15">
        <v>45244</v>
      </c>
      <c r="BG296" s="4">
        <f>SUM(S296:S325)</f>
        <v>19.22</v>
      </c>
      <c r="BH296" s="13">
        <f>SUM(T296:T325)</f>
        <v>7.5150000000000006</v>
      </c>
      <c r="BI296" s="13">
        <f>SUM(U296:U325)</f>
        <v>12.355</v>
      </c>
      <c r="BJ296" s="9">
        <f>(BH296-2*$A$76)/(BG296-2*$A$47*$A$48)</f>
        <v>0.36968104130364432</v>
      </c>
      <c r="BK296" s="9">
        <f>(BI296-2*$A$77)/(BG296-2*$A$47*$A$48)</f>
        <v>0.47626150552066387</v>
      </c>
      <c r="BL296" s="9">
        <f>1-BJ296-BK296</f>
        <v>0.15405745317569181</v>
      </c>
      <c r="BM296" s="3">
        <f>AY296*BJ296</f>
        <v>1725.6965534906492</v>
      </c>
      <c r="BN296" s="3">
        <f>AY296*BK296</f>
        <v>2223.2214985626188</v>
      </c>
      <c r="BO296" s="3">
        <f>SUM(BM296:BN296)</f>
        <v>3948.9180520532682</v>
      </c>
      <c r="BP296" s="3">
        <f>BE296*BJ296</f>
        <v>1647.4396432326114</v>
      </c>
      <c r="BQ296" s="3">
        <f>BE296*BK296</f>
        <v>2122.4028204787846</v>
      </c>
      <c r="BR296" s="3">
        <f>SUM(BP296:BQ296)</f>
        <v>3769.8424637113958</v>
      </c>
      <c r="BT296" s="15">
        <v>45295</v>
      </c>
      <c r="BU296" s="3">
        <f>AVERAGE(AG296:AG325)</f>
        <v>49.349999999999994</v>
      </c>
      <c r="BV296" s="13">
        <f>AVERAGE(AH296:AH325)</f>
        <v>1.0925</v>
      </c>
      <c r="BW296" s="3">
        <f>AVERAGE(AI296:AI325)</f>
        <v>79.5</v>
      </c>
      <c r="BX296" s="3">
        <f>AVERAGE(AJ296:AJ325)</f>
        <v>28.7</v>
      </c>
      <c r="BY296" s="3">
        <f>AVERAGE(AK296:AK325)</f>
        <v>5.3000000000000007</v>
      </c>
      <c r="BZ296" s="3">
        <f>AVERAGE(AL296:AL325)</f>
        <v>80.599999999999994</v>
      </c>
      <c r="CA296" s="3">
        <f>AVERAGE(AM296:AM325)</f>
        <v>9.15</v>
      </c>
      <c r="CB296" s="3"/>
      <c r="CC296" s="10">
        <f>AVERAGE(AO296:AO325)</f>
        <v>6</v>
      </c>
      <c r="CD296" s="4">
        <f>AVERAGE(AP296:AP325)</f>
        <v>7.4999999999999997E-2</v>
      </c>
      <c r="CE296" s="3">
        <f>AVERAGE(AQ296:AQ325)</f>
        <v>13.35</v>
      </c>
    </row>
    <row r="297" spans="1:83" x14ac:dyDescent="0.3">
      <c r="A297" s="2">
        <v>8</v>
      </c>
      <c r="B297" s="2" t="s">
        <v>81</v>
      </c>
      <c r="C297" t="s">
        <v>88</v>
      </c>
      <c r="D297" s="5" t="s">
        <v>355</v>
      </c>
      <c r="E297" s="5" t="s">
        <v>93</v>
      </c>
      <c r="F297" s="17">
        <v>45243</v>
      </c>
      <c r="G297">
        <v>8</v>
      </c>
      <c r="H297" s="3">
        <v>20.100000000000001</v>
      </c>
      <c r="I297" s="3">
        <f t="shared" si="32"/>
        <v>19.64</v>
      </c>
      <c r="J297" s="3">
        <f t="shared" ref="J297:J310" si="37">($A$58-$A$47)*$A$75</f>
        <v>1.1399999999999999</v>
      </c>
      <c r="K297" s="6">
        <f t="shared" si="33"/>
        <v>4638.6032283464565</v>
      </c>
      <c r="L297" s="4"/>
      <c r="M297" s="4"/>
      <c r="N297" s="4"/>
      <c r="O297" s="4"/>
      <c r="P297" s="7"/>
      <c r="Q297" s="6"/>
      <c r="R297" s="5"/>
      <c r="S297" s="4"/>
      <c r="T297" s="13"/>
      <c r="U297" s="13"/>
      <c r="V297" s="5"/>
      <c r="W297" s="5"/>
      <c r="X297" s="5"/>
      <c r="Y297" s="5"/>
      <c r="Z297" s="5"/>
      <c r="AA297" s="5"/>
      <c r="AB297" s="5"/>
      <c r="AC297" s="5"/>
      <c r="AD297" s="5"/>
      <c r="AF297" s="5"/>
      <c r="AG297" s="6"/>
      <c r="AH297" s="11"/>
      <c r="AI297" s="6"/>
      <c r="AJ297" s="6"/>
      <c r="AK297" s="6"/>
      <c r="AL297" s="6"/>
      <c r="AM297" s="6"/>
      <c r="AN297" s="6"/>
      <c r="AO297" s="12"/>
      <c r="AP297" s="7"/>
      <c r="AQ297" s="6"/>
      <c r="AV297" s="3"/>
      <c r="AW297" s="3"/>
      <c r="AX297" s="3"/>
      <c r="AY297" s="3"/>
      <c r="AZ297" s="4"/>
      <c r="BA297" s="4"/>
      <c r="BB297" s="4"/>
      <c r="BC297" s="4"/>
      <c r="BD297" s="4"/>
      <c r="BE297" s="3"/>
      <c r="BJ297" s="9"/>
      <c r="BK297" s="9"/>
      <c r="BL297" s="9"/>
      <c r="BM297" s="3"/>
      <c r="BN297" s="3"/>
      <c r="BO297" s="3"/>
      <c r="BP297" s="3"/>
      <c r="BQ297" s="3"/>
      <c r="BR297" s="3"/>
    </row>
    <row r="298" spans="1:83" x14ac:dyDescent="0.3">
      <c r="A298" s="2">
        <v>8</v>
      </c>
      <c r="B298" s="2" t="s">
        <v>82</v>
      </c>
      <c r="C298" t="s">
        <v>88</v>
      </c>
      <c r="D298" s="5" t="s">
        <v>356</v>
      </c>
      <c r="E298" s="5" t="s">
        <v>93</v>
      </c>
      <c r="F298" s="17">
        <v>45243</v>
      </c>
      <c r="G298">
        <v>8</v>
      </c>
      <c r="H298" s="3">
        <v>20.6</v>
      </c>
      <c r="I298" s="3">
        <f t="shared" si="32"/>
        <v>20.14</v>
      </c>
      <c r="J298" s="3">
        <f t="shared" si="37"/>
        <v>1.1399999999999999</v>
      </c>
      <c r="K298" s="6">
        <f t="shared" si="33"/>
        <v>4750.2154330708654</v>
      </c>
      <c r="L298" s="4"/>
      <c r="M298" s="4"/>
      <c r="N298" s="4"/>
      <c r="O298" s="4"/>
      <c r="P298" s="7"/>
      <c r="Q298" s="6"/>
      <c r="R298" s="5"/>
      <c r="S298" s="4"/>
      <c r="T298" s="13"/>
      <c r="U298" s="13"/>
      <c r="V298" s="5"/>
      <c r="W298" s="5"/>
      <c r="X298" s="5"/>
      <c r="Y298" s="5"/>
      <c r="Z298" s="5"/>
      <c r="AA298" s="5"/>
      <c r="AB298" s="5"/>
      <c r="AC298" s="5"/>
      <c r="AD298" s="5"/>
      <c r="AF298" s="5"/>
      <c r="AG298" s="6"/>
      <c r="AH298" s="11"/>
      <c r="AI298" s="6"/>
      <c r="AJ298" s="6"/>
      <c r="AK298" s="6"/>
      <c r="AL298" s="6"/>
      <c r="AM298" s="6"/>
      <c r="AN298" s="6"/>
      <c r="AO298" s="12"/>
      <c r="AP298" s="7"/>
      <c r="AQ298" s="6"/>
      <c r="AV298" s="3"/>
      <c r="AW298" s="3"/>
      <c r="AX298" s="3"/>
      <c r="AY298" s="3"/>
      <c r="AZ298" s="4"/>
      <c r="BA298" s="4"/>
      <c r="BB298" s="4"/>
      <c r="BC298" s="4"/>
      <c r="BD298" s="4"/>
      <c r="BE298" s="3"/>
      <c r="BJ298" s="9"/>
      <c r="BK298" s="9"/>
      <c r="BL298" s="9"/>
      <c r="BM298" s="3"/>
      <c r="BN298" s="3"/>
      <c r="BO298" s="3"/>
      <c r="BP298" s="3"/>
      <c r="BQ298" s="3"/>
      <c r="BR298" s="3"/>
    </row>
    <row r="299" spans="1:83" x14ac:dyDescent="0.3">
      <c r="A299" s="2">
        <v>8</v>
      </c>
      <c r="B299" s="2" t="s">
        <v>83</v>
      </c>
      <c r="C299" t="s">
        <v>88</v>
      </c>
      <c r="D299" s="5" t="s">
        <v>357</v>
      </c>
      <c r="E299" s="5" t="s">
        <v>93</v>
      </c>
      <c r="F299" s="17">
        <v>45243</v>
      </c>
      <c r="G299">
        <v>8</v>
      </c>
      <c r="H299" s="3">
        <v>17.899999999999999</v>
      </c>
      <c r="I299" s="3">
        <f t="shared" si="32"/>
        <v>17.439999999999998</v>
      </c>
      <c r="J299" s="3">
        <f t="shared" si="37"/>
        <v>1.1399999999999999</v>
      </c>
      <c r="K299" s="6">
        <f t="shared" si="33"/>
        <v>4147.5095275590547</v>
      </c>
      <c r="L299" s="4"/>
      <c r="M299" s="4"/>
      <c r="N299" s="4"/>
      <c r="O299" s="4"/>
      <c r="P299" s="7"/>
      <c r="Q299" s="6"/>
      <c r="R299" s="5"/>
      <c r="S299" s="4"/>
      <c r="T299" s="13"/>
      <c r="U299" s="13"/>
      <c r="V299" s="5"/>
      <c r="W299" s="5"/>
      <c r="X299" s="5"/>
      <c r="Y299" s="5"/>
      <c r="Z299" s="5"/>
      <c r="AA299" s="5"/>
      <c r="AB299" s="5"/>
      <c r="AC299" s="5"/>
      <c r="AD299" s="5"/>
      <c r="AF299" s="5"/>
      <c r="AG299" s="6"/>
      <c r="AH299" s="11"/>
      <c r="AI299" s="6"/>
      <c r="AJ299" s="6"/>
      <c r="AK299" s="6"/>
      <c r="AL299" s="6"/>
      <c r="AM299" s="6"/>
      <c r="AN299" s="6"/>
      <c r="AO299" s="12"/>
      <c r="AP299" s="7"/>
      <c r="AQ299" s="6"/>
      <c r="AV299" s="3"/>
      <c r="AW299" s="3"/>
      <c r="AX299" s="3"/>
      <c r="AY299" s="3"/>
      <c r="AZ299" s="4"/>
      <c r="BA299" s="4"/>
      <c r="BB299" s="4"/>
      <c r="BC299" s="4"/>
      <c r="BD299" s="4"/>
      <c r="BE299" s="3"/>
      <c r="BJ299" s="9"/>
      <c r="BK299" s="9"/>
      <c r="BL299" s="9"/>
      <c r="BM299" s="3"/>
      <c r="BN299" s="3"/>
      <c r="BO299" s="3"/>
      <c r="BP299" s="3"/>
      <c r="BQ299" s="3"/>
      <c r="BR299" s="3"/>
    </row>
    <row r="300" spans="1:83" x14ac:dyDescent="0.3">
      <c r="A300" s="2">
        <v>8</v>
      </c>
      <c r="B300" s="2" t="s">
        <v>84</v>
      </c>
      <c r="C300" t="s">
        <v>88</v>
      </c>
      <c r="D300" s="5" t="s">
        <v>358</v>
      </c>
      <c r="E300" s="5" t="s">
        <v>93</v>
      </c>
      <c r="F300" s="17">
        <v>45243</v>
      </c>
      <c r="G300">
        <v>8</v>
      </c>
      <c r="H300" s="3">
        <v>24.5</v>
      </c>
      <c r="I300" s="3">
        <f t="shared" si="32"/>
        <v>24.04</v>
      </c>
      <c r="J300" s="3">
        <f t="shared" si="37"/>
        <v>1.1399999999999999</v>
      </c>
      <c r="K300" s="6">
        <f t="shared" si="33"/>
        <v>5620.7906299212591</v>
      </c>
      <c r="L300" s="4"/>
      <c r="M300" s="4"/>
      <c r="N300" s="4"/>
      <c r="O300" s="4"/>
      <c r="P300" s="7"/>
      <c r="Q300" s="6"/>
      <c r="R300" s="5"/>
      <c r="S300" s="4"/>
      <c r="T300" s="13"/>
      <c r="U300" s="13"/>
      <c r="V300" s="5"/>
      <c r="W300" s="5"/>
      <c r="X300" s="5"/>
      <c r="Y300" s="5"/>
      <c r="Z300" s="5"/>
      <c r="AA300" s="5"/>
      <c r="AB300" s="5"/>
      <c r="AC300" s="5"/>
      <c r="AD300" s="5"/>
      <c r="AF300" s="5"/>
      <c r="AG300" s="6"/>
      <c r="AH300" s="11"/>
      <c r="AI300" s="6"/>
      <c r="AJ300" s="6"/>
      <c r="AK300" s="6"/>
      <c r="AL300" s="6"/>
      <c r="AM300" s="6"/>
      <c r="AN300" s="6"/>
      <c r="AO300" s="12"/>
      <c r="AP300" s="7"/>
      <c r="AQ300" s="6"/>
      <c r="AV300" s="3"/>
      <c r="AW300" s="3"/>
      <c r="AX300" s="3"/>
      <c r="AY300" s="3"/>
      <c r="AZ300" s="4"/>
      <c r="BA300" s="4"/>
      <c r="BB300" s="4"/>
      <c r="BC300" s="4"/>
      <c r="BD300" s="4"/>
      <c r="BE300" s="3"/>
      <c r="BJ300" s="9"/>
      <c r="BK300" s="9"/>
      <c r="BL300" s="9"/>
      <c r="BM300" s="3"/>
      <c r="BN300" s="3"/>
      <c r="BO300" s="3"/>
      <c r="BP300" s="3"/>
      <c r="BQ300" s="3"/>
      <c r="BR300" s="3"/>
    </row>
    <row r="301" spans="1:83" x14ac:dyDescent="0.3">
      <c r="A301" s="2">
        <v>8</v>
      </c>
      <c r="B301" s="2" t="s">
        <v>85</v>
      </c>
      <c r="C301" t="s">
        <v>88</v>
      </c>
      <c r="D301" s="5" t="s">
        <v>359</v>
      </c>
      <c r="E301" s="5" t="s">
        <v>93</v>
      </c>
      <c r="F301" s="17">
        <v>45243</v>
      </c>
      <c r="G301">
        <v>8</v>
      </c>
      <c r="H301" s="3">
        <v>24.8</v>
      </c>
      <c r="I301" s="3">
        <f t="shared" si="32"/>
        <v>24.34</v>
      </c>
      <c r="J301" s="3">
        <f t="shared" si="37"/>
        <v>1.1399999999999999</v>
      </c>
      <c r="K301" s="6">
        <f t="shared" si="33"/>
        <v>5687.7579527559055</v>
      </c>
      <c r="L301" s="4"/>
      <c r="M301" s="4"/>
      <c r="N301" s="4"/>
      <c r="O301" s="4"/>
      <c r="P301" s="7"/>
      <c r="Q301" s="6"/>
      <c r="R301" s="5"/>
      <c r="S301" s="4"/>
      <c r="T301" s="13"/>
      <c r="U301" s="13"/>
      <c r="V301" s="5"/>
      <c r="W301" s="5"/>
      <c r="X301" s="5"/>
      <c r="Y301" s="5"/>
      <c r="Z301" s="5"/>
      <c r="AA301" s="5"/>
      <c r="AB301" s="5"/>
      <c r="AC301" s="5"/>
      <c r="AD301" s="5"/>
      <c r="AF301" s="5"/>
      <c r="AG301" s="6"/>
      <c r="AH301" s="11"/>
      <c r="AI301" s="6"/>
      <c r="AJ301" s="6"/>
      <c r="AK301" s="6"/>
      <c r="AL301" s="6"/>
      <c r="AM301" s="6"/>
      <c r="AN301" s="6"/>
      <c r="AO301" s="12"/>
      <c r="AP301" s="7"/>
      <c r="AQ301" s="6"/>
      <c r="AV301" s="3"/>
      <c r="AW301" s="3"/>
      <c r="AX301" s="3"/>
      <c r="AY301" s="3"/>
      <c r="AZ301" s="4"/>
      <c r="BA301" s="4"/>
      <c r="BB301" s="4"/>
      <c r="BC301" s="4"/>
      <c r="BD301" s="4"/>
      <c r="BE301" s="3"/>
      <c r="BJ301" s="9"/>
      <c r="BK301" s="9"/>
      <c r="BL301" s="9"/>
      <c r="BM301" s="3"/>
      <c r="BN301" s="3"/>
      <c r="BO301" s="3"/>
      <c r="BP301" s="3"/>
      <c r="BQ301" s="3"/>
      <c r="BR301" s="3"/>
    </row>
    <row r="302" spans="1:83" x14ac:dyDescent="0.3">
      <c r="A302" s="2">
        <v>8</v>
      </c>
      <c r="B302" s="2" t="s">
        <v>86</v>
      </c>
      <c r="C302" t="s">
        <v>88</v>
      </c>
      <c r="D302" s="5" t="s">
        <v>360</v>
      </c>
      <c r="E302" s="5" t="s">
        <v>93</v>
      </c>
      <c r="F302" s="17">
        <v>45243</v>
      </c>
      <c r="G302">
        <v>8</v>
      </c>
      <c r="H302" s="3">
        <v>24.5</v>
      </c>
      <c r="I302" s="3">
        <f t="shared" si="32"/>
        <v>24.04</v>
      </c>
      <c r="J302" s="3">
        <f t="shared" si="37"/>
        <v>1.1399999999999999</v>
      </c>
      <c r="K302" s="6">
        <f t="shared" si="33"/>
        <v>5620.7906299212591</v>
      </c>
      <c r="L302" s="4"/>
      <c r="M302" s="4"/>
      <c r="N302" s="4"/>
      <c r="O302" s="4"/>
      <c r="P302" s="7"/>
      <c r="Q302" s="6"/>
      <c r="R302" s="5"/>
      <c r="S302" s="4"/>
      <c r="T302" s="13"/>
      <c r="U302" s="13"/>
      <c r="V302" s="5"/>
      <c r="W302" s="5"/>
      <c r="X302" s="5"/>
      <c r="Y302" s="5"/>
      <c r="Z302" s="5"/>
      <c r="AA302" s="5"/>
      <c r="AB302" s="5"/>
      <c r="AC302" s="5"/>
      <c r="AD302" s="5"/>
      <c r="AF302" s="5"/>
      <c r="AG302" s="6"/>
      <c r="AH302" s="11"/>
      <c r="AI302" s="6"/>
      <c r="AJ302" s="6"/>
      <c r="AK302" s="6"/>
      <c r="AL302" s="6"/>
      <c r="AM302" s="6"/>
      <c r="AN302" s="6"/>
      <c r="AO302" s="12"/>
      <c r="AP302" s="7"/>
      <c r="AQ302" s="6"/>
      <c r="AV302" s="3"/>
      <c r="AW302" s="3"/>
      <c r="AX302" s="3"/>
      <c r="AY302" s="3"/>
      <c r="AZ302" s="4"/>
      <c r="BA302" s="4"/>
      <c r="BB302" s="4"/>
      <c r="BC302" s="4"/>
      <c r="BD302" s="4"/>
      <c r="BE302" s="3"/>
      <c r="BJ302" s="9"/>
      <c r="BK302" s="9"/>
      <c r="BL302" s="9"/>
      <c r="BM302" s="3"/>
      <c r="BN302" s="3"/>
      <c r="BO302" s="3"/>
      <c r="BP302" s="3"/>
      <c r="BQ302" s="3"/>
      <c r="BR302" s="3"/>
    </row>
    <row r="303" spans="1:83" x14ac:dyDescent="0.3">
      <c r="A303" s="2">
        <v>8</v>
      </c>
      <c r="B303" s="2" t="s">
        <v>87</v>
      </c>
      <c r="C303" t="s">
        <v>88</v>
      </c>
      <c r="D303" s="5" t="s">
        <v>361</v>
      </c>
      <c r="E303" s="5" t="s">
        <v>93</v>
      </c>
      <c r="F303" s="17">
        <v>45243</v>
      </c>
      <c r="G303">
        <v>8</v>
      </c>
      <c r="H303" s="3">
        <v>22.3</v>
      </c>
      <c r="I303" s="3">
        <f t="shared" si="32"/>
        <v>21.84</v>
      </c>
      <c r="J303" s="3">
        <f t="shared" si="37"/>
        <v>1.1399999999999999</v>
      </c>
      <c r="K303" s="6">
        <f t="shared" si="33"/>
        <v>5129.6969291338592</v>
      </c>
      <c r="L303" s="4">
        <v>8.77</v>
      </c>
      <c r="M303" s="4">
        <v>202.15</v>
      </c>
      <c r="N303" s="4">
        <v>193.38</v>
      </c>
      <c r="O303" s="4">
        <v>183.05</v>
      </c>
      <c r="P303" s="7">
        <f>(N303-O303)/N303*100</f>
        <v>5.3418140448857097</v>
      </c>
      <c r="Q303" s="6">
        <f>K303*(1-P303/100)</f>
        <v>4855.6780581133162</v>
      </c>
      <c r="R303" s="14">
        <v>45244</v>
      </c>
      <c r="S303" s="4">
        <v>9.9499999999999993</v>
      </c>
      <c r="T303" s="13">
        <v>3.8450000000000002</v>
      </c>
      <c r="U303" s="13">
        <v>6.375</v>
      </c>
      <c r="V303" s="8">
        <f>(T303-$A$76)/(S303-$A$47*$A$48)</f>
        <v>0.36576047966291259</v>
      </c>
      <c r="W303" s="8">
        <f>(U303-$A$77)/(S303-$A$47*$A$48)</f>
        <v>0.47991306270674045</v>
      </c>
      <c r="X303" s="8">
        <f>1-V303-W303</f>
        <v>0.15432645763034697</v>
      </c>
      <c r="Y303" s="6">
        <f>K303*V303</f>
        <v>1876.2404093253701</v>
      </c>
      <c r="Z303" s="6">
        <f>K303*W303</f>
        <v>2461.8085640179916</v>
      </c>
      <c r="AA303" s="6">
        <f>SUM(Y303:Z303)</f>
        <v>4338.0489733433615</v>
      </c>
      <c r="AB303" s="6">
        <f>Q303*V303</f>
        <v>1776.0151356242066</v>
      </c>
      <c r="AC303" s="6">
        <f>Q303*W303</f>
        <v>2330.3033283870795</v>
      </c>
      <c r="AD303" s="6">
        <f>SUM(AB303:AC303)</f>
        <v>4106.3184640112859</v>
      </c>
      <c r="AE303" t="s">
        <v>551</v>
      </c>
      <c r="AF303" s="14">
        <v>45295</v>
      </c>
      <c r="AG303" s="6">
        <v>48.5</v>
      </c>
      <c r="AH303" s="11">
        <v>1.131</v>
      </c>
      <c r="AI303" s="6">
        <v>81</v>
      </c>
      <c r="AJ303" s="6">
        <v>30.2</v>
      </c>
      <c r="AK303" s="6">
        <v>5.2</v>
      </c>
      <c r="AL303" s="6">
        <v>81.099999999999994</v>
      </c>
      <c r="AM303" s="6">
        <v>8.8000000000000007</v>
      </c>
      <c r="AN303" s="6" t="s">
        <v>134</v>
      </c>
      <c r="AO303" s="12">
        <v>8</v>
      </c>
      <c r="AP303" s="7">
        <v>0.09</v>
      </c>
      <c r="AQ303" s="6">
        <v>10.3</v>
      </c>
      <c r="AV303" s="3"/>
      <c r="AW303" s="3"/>
      <c r="AX303" s="3"/>
      <c r="AY303" s="3"/>
      <c r="AZ303" s="4"/>
      <c r="BA303" s="4"/>
      <c r="BB303" s="4"/>
      <c r="BC303" s="4"/>
      <c r="BD303" s="4"/>
      <c r="BE303" s="3"/>
      <c r="BJ303" s="9"/>
      <c r="BK303" s="9"/>
      <c r="BL303" s="9"/>
      <c r="BM303" s="3"/>
      <c r="BN303" s="3"/>
      <c r="BO303" s="3"/>
      <c r="BP303" s="3"/>
      <c r="BQ303" s="3"/>
      <c r="BR303" s="3"/>
    </row>
    <row r="304" spans="1:83" x14ac:dyDescent="0.3">
      <c r="A304" s="2">
        <v>8</v>
      </c>
      <c r="B304" s="2" t="s">
        <v>137</v>
      </c>
      <c r="C304" t="s">
        <v>88</v>
      </c>
      <c r="D304" s="5" t="s">
        <v>362</v>
      </c>
      <c r="E304" s="5" t="s">
        <v>93</v>
      </c>
      <c r="F304" s="17">
        <v>45243</v>
      </c>
      <c r="G304">
        <v>8</v>
      </c>
      <c r="H304" s="3">
        <v>19</v>
      </c>
      <c r="I304" s="3">
        <f t="shared" si="32"/>
        <v>18.54</v>
      </c>
      <c r="J304" s="3">
        <f t="shared" si="37"/>
        <v>1.1399999999999999</v>
      </c>
      <c r="K304" s="6">
        <f t="shared" si="33"/>
        <v>4393.0563779527556</v>
      </c>
      <c r="L304" s="4"/>
      <c r="M304" s="4"/>
      <c r="N304" s="4"/>
      <c r="O304" s="4"/>
      <c r="P304" s="7"/>
      <c r="Q304" s="6"/>
      <c r="R304" s="5"/>
      <c r="S304" s="4"/>
      <c r="T304" s="13"/>
      <c r="U304" s="13"/>
      <c r="V304" s="5"/>
      <c r="W304" s="5"/>
      <c r="X304" s="5"/>
      <c r="Y304" s="5"/>
      <c r="Z304" s="5"/>
      <c r="AA304" s="5"/>
      <c r="AB304" s="5"/>
      <c r="AC304" s="5"/>
      <c r="AD304" s="5"/>
      <c r="AF304" s="5"/>
      <c r="AG304" s="6"/>
      <c r="AH304" s="11"/>
      <c r="AI304" s="6"/>
      <c r="AJ304" s="6"/>
      <c r="AK304" s="6"/>
      <c r="AL304" s="6"/>
      <c r="AM304" s="6"/>
      <c r="AN304" s="6"/>
      <c r="AO304" s="12"/>
      <c r="AP304" s="7"/>
      <c r="AQ304" s="6"/>
      <c r="AV304" s="3"/>
      <c r="AW304" s="3"/>
      <c r="AX304" s="3"/>
      <c r="AY304" s="3"/>
      <c r="AZ304" s="4"/>
      <c r="BA304" s="4"/>
      <c r="BB304" s="4"/>
      <c r="BC304" s="4"/>
      <c r="BD304" s="4"/>
      <c r="BE304" s="3"/>
      <c r="BJ304" s="9"/>
      <c r="BK304" s="9"/>
      <c r="BL304" s="9"/>
      <c r="BM304" s="3"/>
      <c r="BN304" s="3"/>
      <c r="BO304" s="3"/>
      <c r="BP304" s="3"/>
      <c r="BQ304" s="3"/>
      <c r="BR304" s="3"/>
    </row>
    <row r="305" spans="1:70" x14ac:dyDescent="0.3">
      <c r="A305" s="2">
        <v>8</v>
      </c>
      <c r="B305" s="2" t="s">
        <v>138</v>
      </c>
      <c r="C305" t="s">
        <v>88</v>
      </c>
      <c r="D305" s="5" t="s">
        <v>363</v>
      </c>
      <c r="E305" s="5" t="s">
        <v>93</v>
      </c>
      <c r="F305" s="17">
        <v>45243</v>
      </c>
      <c r="G305">
        <v>8</v>
      </c>
      <c r="H305" s="3">
        <v>23.4</v>
      </c>
      <c r="I305" s="3">
        <f t="shared" si="32"/>
        <v>22.939999999999998</v>
      </c>
      <c r="J305" s="3">
        <f t="shared" si="37"/>
        <v>1.1399999999999999</v>
      </c>
      <c r="K305" s="6">
        <f t="shared" si="33"/>
        <v>5375.2437795275591</v>
      </c>
      <c r="L305" s="4"/>
      <c r="M305" s="4"/>
      <c r="N305" s="4"/>
      <c r="O305" s="4"/>
      <c r="P305" s="7"/>
      <c r="Q305" s="6"/>
      <c r="R305" s="5"/>
      <c r="S305" s="4"/>
      <c r="T305" s="13"/>
      <c r="U305" s="13"/>
      <c r="V305" s="5"/>
      <c r="W305" s="5"/>
      <c r="X305" s="5"/>
      <c r="Y305" s="5"/>
      <c r="Z305" s="5"/>
      <c r="AA305" s="5"/>
      <c r="AB305" s="5"/>
      <c r="AC305" s="5"/>
      <c r="AD305" s="5"/>
      <c r="AF305" s="5"/>
      <c r="AG305" s="6"/>
      <c r="AH305" s="11"/>
      <c r="AI305" s="6"/>
      <c r="AJ305" s="6"/>
      <c r="AK305" s="6"/>
      <c r="AL305" s="6"/>
      <c r="AM305" s="6"/>
      <c r="AN305" s="6"/>
      <c r="AO305" s="12"/>
      <c r="AP305" s="7"/>
      <c r="AQ305" s="6"/>
      <c r="AV305" s="3"/>
      <c r="AW305" s="3"/>
      <c r="AX305" s="3"/>
      <c r="AY305" s="3"/>
      <c r="AZ305" s="4"/>
      <c r="BA305" s="4"/>
      <c r="BB305" s="4"/>
      <c r="BC305" s="4"/>
      <c r="BD305" s="4"/>
      <c r="BE305" s="3"/>
      <c r="BJ305" s="9"/>
      <c r="BK305" s="9"/>
      <c r="BL305" s="9"/>
      <c r="BM305" s="3"/>
      <c r="BN305" s="3"/>
      <c r="BO305" s="3"/>
      <c r="BP305" s="3"/>
      <c r="BQ305" s="3"/>
      <c r="BR305" s="3"/>
    </row>
    <row r="306" spans="1:70" x14ac:dyDescent="0.3">
      <c r="A306" s="2">
        <v>8</v>
      </c>
      <c r="B306" s="2" t="s">
        <v>139</v>
      </c>
      <c r="C306" t="s">
        <v>88</v>
      </c>
      <c r="D306" s="5" t="s">
        <v>364</v>
      </c>
      <c r="E306" s="5" t="s">
        <v>93</v>
      </c>
      <c r="F306" s="17">
        <v>45243</v>
      </c>
      <c r="G306">
        <v>8</v>
      </c>
      <c r="H306" s="3">
        <v>22.1</v>
      </c>
      <c r="I306" s="3">
        <f t="shared" si="32"/>
        <v>21.64</v>
      </c>
      <c r="J306" s="3">
        <f t="shared" si="37"/>
        <v>1.1399999999999999</v>
      </c>
      <c r="K306" s="6">
        <f t="shared" si="33"/>
        <v>5085.052047244094</v>
      </c>
      <c r="L306" s="4"/>
      <c r="M306" s="4"/>
      <c r="N306" s="4"/>
      <c r="O306" s="4"/>
      <c r="P306" s="7"/>
      <c r="Q306" s="6"/>
      <c r="R306" s="5"/>
      <c r="S306" s="4"/>
      <c r="T306" s="13"/>
      <c r="U306" s="13"/>
      <c r="V306" s="5"/>
      <c r="W306" s="5"/>
      <c r="X306" s="5"/>
      <c r="Y306" s="5"/>
      <c r="Z306" s="5"/>
      <c r="AA306" s="5"/>
      <c r="AB306" s="5"/>
      <c r="AC306" s="5"/>
      <c r="AD306" s="5"/>
      <c r="AF306" s="5"/>
      <c r="AG306" s="6"/>
      <c r="AH306" s="11"/>
      <c r="AI306" s="6"/>
      <c r="AJ306" s="6"/>
      <c r="AK306" s="6"/>
      <c r="AL306" s="6"/>
      <c r="AM306" s="6"/>
      <c r="AN306" s="6"/>
      <c r="AO306" s="12"/>
      <c r="AP306" s="7"/>
      <c r="AQ306" s="6"/>
      <c r="AV306" s="3"/>
      <c r="AW306" s="3"/>
      <c r="AX306" s="3"/>
      <c r="AY306" s="3"/>
      <c r="AZ306" s="4"/>
      <c r="BA306" s="4"/>
      <c r="BB306" s="4"/>
      <c r="BC306" s="4"/>
      <c r="BD306" s="4"/>
      <c r="BE306" s="3"/>
      <c r="BJ306" s="9"/>
      <c r="BK306" s="9"/>
      <c r="BL306" s="9"/>
      <c r="BM306" s="3"/>
      <c r="BN306" s="3"/>
      <c r="BO306" s="3"/>
      <c r="BP306" s="3"/>
      <c r="BQ306" s="3"/>
      <c r="BR306" s="3"/>
    </row>
    <row r="307" spans="1:70" x14ac:dyDescent="0.3">
      <c r="A307" s="2">
        <v>8</v>
      </c>
      <c r="B307" s="2" t="s">
        <v>140</v>
      </c>
      <c r="C307" t="s">
        <v>88</v>
      </c>
      <c r="D307" s="5" t="s">
        <v>365</v>
      </c>
      <c r="E307" s="5" t="s">
        <v>93</v>
      </c>
      <c r="F307" s="17">
        <v>45243</v>
      </c>
      <c r="G307">
        <v>8</v>
      </c>
      <c r="H307" s="3">
        <v>23.4</v>
      </c>
      <c r="I307" s="3">
        <f t="shared" si="32"/>
        <v>22.939999999999998</v>
      </c>
      <c r="J307" s="3">
        <f t="shared" si="37"/>
        <v>1.1399999999999999</v>
      </c>
      <c r="K307" s="6">
        <f t="shared" si="33"/>
        <v>5375.2437795275591</v>
      </c>
      <c r="L307" s="4"/>
      <c r="M307" s="4"/>
      <c r="N307" s="4"/>
      <c r="O307" s="4"/>
      <c r="P307" s="7"/>
      <c r="Q307" s="6"/>
      <c r="R307" s="5"/>
      <c r="S307" s="4"/>
      <c r="T307" s="13"/>
      <c r="U307" s="13"/>
      <c r="V307" s="5"/>
      <c r="W307" s="5"/>
      <c r="X307" s="5"/>
      <c r="Y307" s="5"/>
      <c r="Z307" s="5"/>
      <c r="AA307" s="5"/>
      <c r="AB307" s="5"/>
      <c r="AC307" s="5"/>
      <c r="AD307" s="5"/>
      <c r="AF307" s="5"/>
      <c r="AG307" s="6"/>
      <c r="AH307" s="11"/>
      <c r="AI307" s="6"/>
      <c r="AJ307" s="6"/>
      <c r="AK307" s="6"/>
      <c r="AL307" s="6"/>
      <c r="AM307" s="6"/>
      <c r="AN307" s="6"/>
      <c r="AO307" s="12"/>
      <c r="AP307" s="7"/>
      <c r="AQ307" s="6"/>
      <c r="AV307" s="3"/>
      <c r="AW307" s="3"/>
      <c r="AX307" s="3"/>
      <c r="AY307" s="3"/>
      <c r="AZ307" s="4"/>
      <c r="BA307" s="4"/>
      <c r="BB307" s="4"/>
      <c r="BC307" s="4"/>
      <c r="BD307" s="4"/>
      <c r="BE307" s="3"/>
      <c r="BJ307" s="9"/>
      <c r="BK307" s="9"/>
      <c r="BL307" s="9"/>
      <c r="BM307" s="3"/>
      <c r="BN307" s="3"/>
      <c r="BO307" s="3"/>
      <c r="BP307" s="3"/>
      <c r="BQ307" s="3"/>
      <c r="BR307" s="3"/>
    </row>
    <row r="308" spans="1:70" x14ac:dyDescent="0.3">
      <c r="A308" s="2">
        <v>8</v>
      </c>
      <c r="B308" s="2" t="s">
        <v>141</v>
      </c>
      <c r="C308" t="s">
        <v>88</v>
      </c>
      <c r="D308" s="5" t="s">
        <v>366</v>
      </c>
      <c r="E308" s="5" t="s">
        <v>93</v>
      </c>
      <c r="F308" s="17">
        <v>45243</v>
      </c>
      <c r="G308">
        <v>8</v>
      </c>
      <c r="H308" s="3">
        <v>23.2</v>
      </c>
      <c r="I308" s="3">
        <f t="shared" si="32"/>
        <v>22.74</v>
      </c>
      <c r="J308" s="3">
        <f t="shared" si="37"/>
        <v>1.1399999999999999</v>
      </c>
      <c r="K308" s="6">
        <f t="shared" si="33"/>
        <v>5330.5988976377948</v>
      </c>
      <c r="L308" s="4"/>
      <c r="M308" s="4"/>
      <c r="N308" s="4"/>
      <c r="O308" s="4"/>
      <c r="P308" s="7"/>
      <c r="Q308" s="6"/>
      <c r="R308" s="5"/>
      <c r="S308" s="4"/>
      <c r="T308" s="13"/>
      <c r="U308" s="13"/>
      <c r="V308" s="5"/>
      <c r="W308" s="5"/>
      <c r="X308" s="5"/>
      <c r="Y308" s="5"/>
      <c r="Z308" s="5"/>
      <c r="AA308" s="5"/>
      <c r="AB308" s="5"/>
      <c r="AC308" s="5"/>
      <c r="AD308" s="5"/>
      <c r="AF308" s="5"/>
      <c r="AG308" s="6"/>
      <c r="AH308" s="11"/>
      <c r="AI308" s="6"/>
      <c r="AJ308" s="6"/>
      <c r="AK308" s="6"/>
      <c r="AL308" s="6"/>
      <c r="AM308" s="6"/>
      <c r="AN308" s="6"/>
      <c r="AO308" s="12"/>
      <c r="AP308" s="7"/>
      <c r="AQ308" s="6"/>
      <c r="AV308" s="3"/>
      <c r="AW308" s="3"/>
      <c r="AX308" s="3"/>
      <c r="AY308" s="3"/>
      <c r="AZ308" s="4"/>
      <c r="BA308" s="4"/>
      <c r="BB308" s="4"/>
      <c r="BC308" s="4"/>
      <c r="BD308" s="4"/>
      <c r="BE308" s="3"/>
      <c r="BJ308" s="9"/>
      <c r="BK308" s="9"/>
      <c r="BL308" s="9"/>
      <c r="BM308" s="3"/>
      <c r="BN308" s="3"/>
      <c r="BO308" s="3"/>
      <c r="BP308" s="3"/>
      <c r="BQ308" s="3"/>
      <c r="BR308" s="3"/>
    </row>
    <row r="309" spans="1:70" x14ac:dyDescent="0.3">
      <c r="A309" s="2">
        <v>8</v>
      </c>
      <c r="B309" s="2" t="s">
        <v>142</v>
      </c>
      <c r="C309" t="s">
        <v>88</v>
      </c>
      <c r="D309" s="5" t="s">
        <v>367</v>
      </c>
      <c r="E309" s="5" t="s">
        <v>93</v>
      </c>
      <c r="F309" s="17">
        <v>45243</v>
      </c>
      <c r="G309">
        <v>8</v>
      </c>
      <c r="H309" s="3">
        <v>24</v>
      </c>
      <c r="I309" s="3">
        <f t="shared" si="32"/>
        <v>23.54</v>
      </c>
      <c r="J309" s="3">
        <f t="shared" si="37"/>
        <v>1.1399999999999999</v>
      </c>
      <c r="K309" s="6">
        <f t="shared" si="33"/>
        <v>5509.1784251968502</v>
      </c>
      <c r="L309" s="4"/>
      <c r="M309" s="4"/>
      <c r="N309" s="4"/>
      <c r="O309" s="4"/>
      <c r="P309" s="7"/>
      <c r="Q309" s="6"/>
      <c r="R309" s="5"/>
      <c r="S309" s="4"/>
      <c r="T309" s="13"/>
      <c r="U309" s="13"/>
      <c r="V309" s="5"/>
      <c r="W309" s="5"/>
      <c r="X309" s="5"/>
      <c r="Y309" s="5"/>
      <c r="Z309" s="5"/>
      <c r="AA309" s="5"/>
      <c r="AB309" s="5"/>
      <c r="AC309" s="5"/>
      <c r="AD309" s="5"/>
      <c r="AF309" s="5"/>
      <c r="AG309" s="6"/>
      <c r="AH309" s="11"/>
      <c r="AI309" s="6"/>
      <c r="AJ309" s="6"/>
      <c r="AK309" s="6"/>
      <c r="AL309" s="6"/>
      <c r="AM309" s="6"/>
      <c r="AN309" s="6"/>
      <c r="AO309" s="12"/>
      <c r="AP309" s="7"/>
      <c r="AQ309" s="6"/>
      <c r="AV309" s="3"/>
      <c r="AW309" s="3"/>
      <c r="AX309" s="3"/>
      <c r="AY309" s="3"/>
      <c r="AZ309" s="4"/>
      <c r="BA309" s="4"/>
      <c r="BB309" s="4"/>
      <c r="BC309" s="4"/>
      <c r="BD309" s="4"/>
      <c r="BE309" s="3"/>
      <c r="BJ309" s="9"/>
      <c r="BK309" s="9"/>
      <c r="BL309" s="9"/>
      <c r="BM309" s="3"/>
      <c r="BN309" s="3"/>
      <c r="BO309" s="3"/>
      <c r="BP309" s="3"/>
      <c r="BQ309" s="3"/>
      <c r="BR309" s="3"/>
    </row>
    <row r="310" spans="1:70" x14ac:dyDescent="0.3">
      <c r="A310" s="2">
        <v>8</v>
      </c>
      <c r="B310" s="2" t="s">
        <v>143</v>
      </c>
      <c r="C310" t="s">
        <v>88</v>
      </c>
      <c r="D310" s="5" t="s">
        <v>368</v>
      </c>
      <c r="E310" s="5" t="s">
        <v>93</v>
      </c>
      <c r="F310" s="17">
        <v>45243</v>
      </c>
      <c r="G310">
        <v>8</v>
      </c>
      <c r="H310" s="3">
        <v>20.6</v>
      </c>
      <c r="I310" s="3">
        <f t="shared" si="32"/>
        <v>20.14</v>
      </c>
      <c r="J310" s="3">
        <f t="shared" si="37"/>
        <v>1.1399999999999999</v>
      </c>
      <c r="K310" s="6">
        <f t="shared" si="33"/>
        <v>4750.2154330708654</v>
      </c>
      <c r="L310" s="4"/>
      <c r="M310" s="4"/>
      <c r="N310" s="4"/>
      <c r="O310" s="4"/>
      <c r="P310" s="7"/>
      <c r="Q310" s="6"/>
      <c r="R310" s="5"/>
      <c r="S310" s="4"/>
      <c r="T310" s="13"/>
      <c r="U310" s="13"/>
      <c r="V310" s="5"/>
      <c r="W310" s="5"/>
      <c r="X310" s="5"/>
      <c r="Y310" s="5"/>
      <c r="Z310" s="5"/>
      <c r="AA310" s="5"/>
      <c r="AB310" s="5"/>
      <c r="AC310" s="5"/>
      <c r="AD310" s="5"/>
      <c r="AF310" s="5"/>
      <c r="AG310" s="6"/>
      <c r="AH310" s="11"/>
      <c r="AI310" s="6"/>
      <c r="AJ310" s="6"/>
      <c r="AK310" s="6"/>
      <c r="AL310" s="6"/>
      <c r="AM310" s="6"/>
      <c r="AN310" s="6"/>
      <c r="AO310" s="12"/>
      <c r="AP310" s="7"/>
      <c r="AQ310" s="6"/>
      <c r="AV310" s="3"/>
      <c r="AW310" s="3"/>
      <c r="AX310" s="3"/>
      <c r="AY310" s="3"/>
      <c r="AZ310" s="4"/>
      <c r="BA310" s="4"/>
      <c r="BB310" s="4"/>
      <c r="BC310" s="4"/>
      <c r="BD310" s="4"/>
      <c r="BE310" s="3"/>
      <c r="BJ310" s="9"/>
      <c r="BK310" s="9"/>
      <c r="BL310" s="9"/>
      <c r="BM310" s="3"/>
      <c r="BN310" s="3"/>
      <c r="BO310" s="3"/>
      <c r="BP310" s="3"/>
      <c r="BQ310" s="3"/>
      <c r="BR310" s="3"/>
    </row>
    <row r="311" spans="1:70" x14ac:dyDescent="0.3">
      <c r="A311" s="2">
        <v>8</v>
      </c>
      <c r="B311" s="2" t="s">
        <v>80</v>
      </c>
      <c r="C311" t="s">
        <v>89</v>
      </c>
      <c r="D311" s="5" t="s">
        <v>369</v>
      </c>
      <c r="E311" s="5" t="s">
        <v>93</v>
      </c>
      <c r="F311" s="17">
        <v>45243</v>
      </c>
      <c r="G311">
        <v>20</v>
      </c>
      <c r="H311" s="3">
        <v>23.8</v>
      </c>
      <c r="I311" s="3">
        <f t="shared" si="32"/>
        <v>23.34</v>
      </c>
      <c r="J311" s="3">
        <f>($A$70-$A$47)*$A$75</f>
        <v>0.94</v>
      </c>
      <c r="K311" s="6">
        <f t="shared" si="33"/>
        <v>5419.8886614173234</v>
      </c>
      <c r="L311" s="4"/>
      <c r="M311" s="4"/>
      <c r="N311" s="4"/>
      <c r="O311" s="4"/>
      <c r="P311" s="7"/>
      <c r="Q311" s="6"/>
      <c r="R311" s="5"/>
      <c r="S311" s="4"/>
      <c r="T311" s="13"/>
      <c r="U311" s="13"/>
      <c r="V311" s="5"/>
      <c r="W311" s="5"/>
      <c r="X311" s="5"/>
      <c r="Y311" s="5"/>
      <c r="Z311" s="5"/>
      <c r="AA311" s="5"/>
      <c r="AB311" s="5"/>
      <c r="AC311" s="5"/>
      <c r="AD311" s="5"/>
      <c r="AF311" s="5"/>
      <c r="AG311" s="6"/>
      <c r="AH311" s="11"/>
      <c r="AI311" s="6"/>
      <c r="AJ311" s="6"/>
      <c r="AK311" s="6"/>
      <c r="AL311" s="6"/>
      <c r="AM311" s="6"/>
      <c r="AN311" s="6"/>
      <c r="AO311" s="12"/>
      <c r="AP311" s="7"/>
      <c r="AQ311" s="6"/>
      <c r="AV311" s="3"/>
      <c r="AW311" s="3"/>
      <c r="AX311" s="3"/>
      <c r="AY311" s="3"/>
      <c r="AZ311" s="4"/>
      <c r="BA311" s="4"/>
      <c r="BB311" s="4"/>
      <c r="BC311" s="4"/>
      <c r="BD311" s="4"/>
      <c r="BE311" s="3"/>
      <c r="BJ311" s="9"/>
      <c r="BK311" s="9"/>
      <c r="BL311" s="9"/>
      <c r="BM311" s="3"/>
      <c r="BN311" s="3"/>
      <c r="BO311" s="3"/>
      <c r="BP311" s="3"/>
      <c r="BQ311" s="3"/>
      <c r="BR311" s="3"/>
    </row>
    <row r="312" spans="1:70" x14ac:dyDescent="0.3">
      <c r="A312" s="2">
        <v>8</v>
      </c>
      <c r="B312" s="2" t="s">
        <v>81</v>
      </c>
      <c r="C312" t="s">
        <v>89</v>
      </c>
      <c r="D312" s="5" t="s">
        <v>370</v>
      </c>
      <c r="E312" s="5" t="s">
        <v>93</v>
      </c>
      <c r="F312" s="17">
        <v>45243</v>
      </c>
      <c r="G312">
        <v>20</v>
      </c>
      <c r="H312" s="3">
        <v>19.100000000000001</v>
      </c>
      <c r="I312" s="3">
        <f t="shared" si="32"/>
        <v>18.64</v>
      </c>
      <c r="J312" s="3">
        <f t="shared" ref="J312:J325" si="38">($A$70-$A$47)*$A$75</f>
        <v>0.94</v>
      </c>
      <c r="K312" s="6">
        <f t="shared" si="33"/>
        <v>4370.7339370078744</v>
      </c>
      <c r="L312" s="4"/>
      <c r="M312" s="4"/>
      <c r="N312" s="4"/>
      <c r="O312" s="4"/>
      <c r="P312" s="7"/>
      <c r="Q312" s="6"/>
      <c r="R312" s="5"/>
      <c r="S312" s="4"/>
      <c r="T312" s="13"/>
      <c r="U312" s="13"/>
      <c r="V312" s="5"/>
      <c r="W312" s="5"/>
      <c r="X312" s="5"/>
      <c r="Y312" s="5"/>
      <c r="Z312" s="5"/>
      <c r="AA312" s="5"/>
      <c r="AB312" s="5"/>
      <c r="AC312" s="5"/>
      <c r="AD312" s="5"/>
      <c r="AF312" s="5"/>
      <c r="AG312" s="6"/>
      <c r="AH312" s="11"/>
      <c r="AI312" s="6"/>
      <c r="AJ312" s="6"/>
      <c r="AK312" s="6"/>
      <c r="AL312" s="6"/>
      <c r="AM312" s="6"/>
      <c r="AN312" s="6"/>
      <c r="AO312" s="12"/>
      <c r="AP312" s="7"/>
      <c r="AQ312" s="6"/>
      <c r="AV312" s="3"/>
      <c r="AW312" s="3"/>
      <c r="AX312" s="3"/>
      <c r="AY312" s="3"/>
      <c r="AZ312" s="4"/>
      <c r="BA312" s="4"/>
      <c r="BB312" s="4"/>
      <c r="BC312" s="4"/>
      <c r="BD312" s="4"/>
      <c r="BE312" s="3"/>
      <c r="BJ312" s="9"/>
      <c r="BK312" s="9"/>
      <c r="BL312" s="9"/>
      <c r="BM312" s="3"/>
      <c r="BN312" s="3"/>
      <c r="BO312" s="3"/>
      <c r="BP312" s="3"/>
      <c r="BQ312" s="3"/>
      <c r="BR312" s="3"/>
    </row>
    <row r="313" spans="1:70" x14ac:dyDescent="0.3">
      <c r="A313" s="2">
        <v>8</v>
      </c>
      <c r="B313" s="2" t="s">
        <v>82</v>
      </c>
      <c r="C313" t="s">
        <v>89</v>
      </c>
      <c r="D313" s="5" t="s">
        <v>371</v>
      </c>
      <c r="E313" s="5" t="s">
        <v>93</v>
      </c>
      <c r="F313" s="17">
        <v>45243</v>
      </c>
      <c r="G313">
        <v>20</v>
      </c>
      <c r="H313" s="3">
        <v>13.5</v>
      </c>
      <c r="I313" s="3">
        <f t="shared" si="32"/>
        <v>13.04</v>
      </c>
      <c r="J313" s="3">
        <f t="shared" si="38"/>
        <v>0.94</v>
      </c>
      <c r="K313" s="6">
        <f t="shared" si="33"/>
        <v>3120.6772440944878</v>
      </c>
      <c r="L313" s="4"/>
      <c r="M313" s="4"/>
      <c r="N313" s="4"/>
      <c r="O313" s="4"/>
      <c r="P313" s="7"/>
      <c r="Q313" s="6"/>
      <c r="R313" s="5"/>
      <c r="S313" s="4"/>
      <c r="T313" s="13"/>
      <c r="U313" s="13"/>
      <c r="V313" s="5"/>
      <c r="W313" s="5"/>
      <c r="X313" s="5"/>
      <c r="Y313" s="5"/>
      <c r="Z313" s="5"/>
      <c r="AA313" s="5"/>
      <c r="AB313" s="5"/>
      <c r="AC313" s="5"/>
      <c r="AD313" s="5"/>
      <c r="AF313" s="5"/>
      <c r="AG313" s="6"/>
      <c r="AH313" s="11"/>
      <c r="AI313" s="6"/>
      <c r="AJ313" s="6"/>
      <c r="AK313" s="6"/>
      <c r="AL313" s="6"/>
      <c r="AM313" s="6"/>
      <c r="AN313" s="6"/>
      <c r="AO313" s="12"/>
      <c r="AP313" s="7"/>
      <c r="AQ313" s="6"/>
      <c r="AV313" s="3"/>
      <c r="AW313" s="3"/>
      <c r="AX313" s="3"/>
      <c r="AY313" s="3"/>
      <c r="AZ313" s="4"/>
      <c r="BA313" s="4"/>
      <c r="BB313" s="4"/>
      <c r="BC313" s="4"/>
      <c r="BD313" s="4"/>
      <c r="BE313" s="3"/>
      <c r="BJ313" s="9"/>
      <c r="BK313" s="9"/>
      <c r="BL313" s="9"/>
      <c r="BM313" s="3"/>
      <c r="BN313" s="3"/>
      <c r="BO313" s="3"/>
      <c r="BP313" s="3"/>
      <c r="BQ313" s="3"/>
      <c r="BR313" s="3"/>
    </row>
    <row r="314" spans="1:70" x14ac:dyDescent="0.3">
      <c r="A314" s="2">
        <v>8</v>
      </c>
      <c r="B314" s="2" t="s">
        <v>83</v>
      </c>
      <c r="C314" t="s">
        <v>89</v>
      </c>
      <c r="D314" s="5" t="s">
        <v>372</v>
      </c>
      <c r="E314" s="5" t="s">
        <v>93</v>
      </c>
      <c r="F314" s="17">
        <v>45243</v>
      </c>
      <c r="G314">
        <v>20</v>
      </c>
      <c r="H314" s="3">
        <v>16.5</v>
      </c>
      <c r="I314" s="3">
        <f t="shared" si="32"/>
        <v>16.04</v>
      </c>
      <c r="J314" s="3">
        <f t="shared" si="38"/>
        <v>0.94</v>
      </c>
      <c r="K314" s="6">
        <f t="shared" si="33"/>
        <v>3790.3504724409454</v>
      </c>
      <c r="L314" s="4"/>
      <c r="M314" s="4"/>
      <c r="N314" s="4"/>
      <c r="O314" s="4"/>
      <c r="P314" s="7"/>
      <c r="Q314" s="6"/>
      <c r="R314" s="5"/>
      <c r="S314" s="4"/>
      <c r="T314" s="13"/>
      <c r="U314" s="13"/>
      <c r="V314" s="5"/>
      <c r="W314" s="5"/>
      <c r="X314" s="5"/>
      <c r="Y314" s="5"/>
      <c r="Z314" s="5"/>
      <c r="AA314" s="5"/>
      <c r="AB314" s="5"/>
      <c r="AC314" s="5"/>
      <c r="AD314" s="5"/>
      <c r="AF314" s="5"/>
      <c r="AG314" s="6"/>
      <c r="AH314" s="11"/>
      <c r="AI314" s="6"/>
      <c r="AJ314" s="6"/>
      <c r="AK314" s="6"/>
      <c r="AL314" s="6"/>
      <c r="AM314" s="6"/>
      <c r="AN314" s="6"/>
      <c r="AO314" s="12"/>
      <c r="AP314" s="7"/>
      <c r="AQ314" s="6"/>
      <c r="AV314" s="3"/>
      <c r="AW314" s="3"/>
      <c r="AX314" s="3"/>
      <c r="AY314" s="3"/>
      <c r="AZ314" s="4"/>
      <c r="BA314" s="4"/>
      <c r="BB314" s="4"/>
      <c r="BC314" s="4"/>
      <c r="BD314" s="4"/>
      <c r="BE314" s="3"/>
      <c r="BJ314" s="9"/>
      <c r="BK314" s="9"/>
      <c r="BL314" s="9"/>
      <c r="BM314" s="3"/>
      <c r="BN314" s="3"/>
      <c r="BO314" s="3"/>
      <c r="BP314" s="3"/>
      <c r="BQ314" s="3"/>
      <c r="BR314" s="3"/>
    </row>
    <row r="315" spans="1:70" x14ac:dyDescent="0.3">
      <c r="A315" s="2">
        <v>8</v>
      </c>
      <c r="B315" s="2" t="s">
        <v>84</v>
      </c>
      <c r="C315" t="s">
        <v>89</v>
      </c>
      <c r="D315" s="5" t="s">
        <v>373</v>
      </c>
      <c r="E315" s="5" t="s">
        <v>93</v>
      </c>
      <c r="F315" s="17">
        <v>45243</v>
      </c>
      <c r="G315">
        <v>20</v>
      </c>
      <c r="H315" s="3">
        <v>21.7</v>
      </c>
      <c r="I315" s="3">
        <f t="shared" si="32"/>
        <v>21.24</v>
      </c>
      <c r="J315" s="3">
        <f t="shared" si="38"/>
        <v>0.94</v>
      </c>
      <c r="K315" s="6">
        <f t="shared" si="33"/>
        <v>4951.1174015748029</v>
      </c>
      <c r="L315" s="4"/>
      <c r="M315" s="4"/>
      <c r="N315" s="4"/>
      <c r="O315" s="4"/>
      <c r="P315" s="7"/>
      <c r="Q315" s="6"/>
      <c r="R315" s="5"/>
      <c r="S315" s="4"/>
      <c r="T315" s="13"/>
      <c r="U315" s="13"/>
      <c r="V315" s="5"/>
      <c r="W315" s="5"/>
      <c r="X315" s="5"/>
      <c r="Y315" s="5"/>
      <c r="Z315" s="5"/>
      <c r="AA315" s="5"/>
      <c r="AB315" s="5"/>
      <c r="AC315" s="5"/>
      <c r="AD315" s="5"/>
      <c r="AF315" s="5"/>
      <c r="AG315" s="6"/>
      <c r="AH315" s="11"/>
      <c r="AI315" s="6"/>
      <c r="AJ315" s="6"/>
      <c r="AK315" s="6"/>
      <c r="AL315" s="6"/>
      <c r="AM315" s="6"/>
      <c r="AN315" s="6"/>
      <c r="AO315" s="12"/>
      <c r="AP315" s="7"/>
      <c r="AQ315" s="6"/>
      <c r="AV315" s="3"/>
      <c r="AW315" s="3"/>
      <c r="AX315" s="3"/>
      <c r="AY315" s="3"/>
      <c r="AZ315" s="4"/>
      <c r="BA315" s="4"/>
      <c r="BB315" s="4"/>
      <c r="BC315" s="4"/>
      <c r="BD315" s="4"/>
      <c r="BE315" s="3"/>
      <c r="BJ315" s="9"/>
      <c r="BK315" s="9"/>
      <c r="BL315" s="9"/>
      <c r="BM315" s="3"/>
      <c r="BN315" s="3"/>
      <c r="BO315" s="3"/>
      <c r="BP315" s="3"/>
      <c r="BQ315" s="3"/>
      <c r="BR315" s="3"/>
    </row>
    <row r="316" spans="1:70" x14ac:dyDescent="0.3">
      <c r="A316" s="2">
        <v>8</v>
      </c>
      <c r="B316" s="2" t="s">
        <v>85</v>
      </c>
      <c r="C316" t="s">
        <v>89</v>
      </c>
      <c r="D316" s="5" t="s">
        <v>374</v>
      </c>
      <c r="E316" s="5" t="s">
        <v>93</v>
      </c>
      <c r="F316" s="17">
        <v>45243</v>
      </c>
      <c r="G316">
        <v>20</v>
      </c>
      <c r="H316" s="3">
        <v>24.4</v>
      </c>
      <c r="I316" s="3">
        <f t="shared" si="32"/>
        <v>23.939999999999998</v>
      </c>
      <c r="J316" s="3">
        <f t="shared" si="38"/>
        <v>0.94</v>
      </c>
      <c r="K316" s="6">
        <f t="shared" si="33"/>
        <v>5553.8233070866136</v>
      </c>
      <c r="L316" s="4"/>
      <c r="M316" s="4"/>
      <c r="N316" s="4"/>
      <c r="O316" s="4"/>
      <c r="P316" s="7"/>
      <c r="Q316" s="6"/>
      <c r="R316" s="5"/>
      <c r="S316" s="4"/>
      <c r="T316" s="13"/>
      <c r="U316" s="13"/>
      <c r="V316" s="5"/>
      <c r="W316" s="5"/>
      <c r="X316" s="5"/>
      <c r="Y316" s="5"/>
      <c r="Z316" s="5"/>
      <c r="AA316" s="5"/>
      <c r="AB316" s="5"/>
      <c r="AC316" s="5"/>
      <c r="AD316" s="5"/>
      <c r="AF316" s="5"/>
      <c r="AG316" s="6"/>
      <c r="AH316" s="11"/>
      <c r="AI316" s="6"/>
      <c r="AJ316" s="6"/>
      <c r="AK316" s="6"/>
      <c r="AL316" s="6"/>
      <c r="AM316" s="6"/>
      <c r="AN316" s="6"/>
      <c r="AO316" s="12"/>
      <c r="AP316" s="7"/>
      <c r="AQ316" s="6"/>
      <c r="AV316" s="3"/>
      <c r="AW316" s="3"/>
      <c r="AX316" s="3"/>
      <c r="AY316" s="3"/>
      <c r="AZ316" s="4"/>
      <c r="BA316" s="4"/>
      <c r="BB316" s="4"/>
      <c r="BC316" s="4"/>
      <c r="BD316" s="4"/>
      <c r="BE316" s="3"/>
      <c r="BJ316" s="9"/>
      <c r="BK316" s="9"/>
      <c r="BL316" s="9"/>
      <c r="BM316" s="3"/>
      <c r="BN316" s="3"/>
      <c r="BO316" s="3"/>
      <c r="BP316" s="3"/>
      <c r="BQ316" s="3"/>
      <c r="BR316" s="3"/>
    </row>
    <row r="317" spans="1:70" x14ac:dyDescent="0.3">
      <c r="A317" s="2">
        <v>8</v>
      </c>
      <c r="B317" s="2" t="s">
        <v>86</v>
      </c>
      <c r="C317" t="s">
        <v>89</v>
      </c>
      <c r="D317" s="5" t="s">
        <v>375</v>
      </c>
      <c r="E317" s="5" t="s">
        <v>93</v>
      </c>
      <c r="F317" s="17">
        <v>45243</v>
      </c>
      <c r="G317">
        <v>20</v>
      </c>
      <c r="H317" s="3">
        <v>15.7</v>
      </c>
      <c r="I317" s="3">
        <f t="shared" si="32"/>
        <v>15.239999999999998</v>
      </c>
      <c r="J317" s="3">
        <f t="shared" si="38"/>
        <v>0.94</v>
      </c>
      <c r="K317" s="6">
        <f t="shared" si="33"/>
        <v>3611.7709448818896</v>
      </c>
      <c r="L317" s="4"/>
      <c r="M317" s="4"/>
      <c r="N317" s="4"/>
      <c r="O317" s="4"/>
      <c r="P317" s="7"/>
      <c r="Q317" s="6"/>
      <c r="R317" s="5"/>
      <c r="S317" s="4"/>
      <c r="T317" s="13"/>
      <c r="U317" s="13"/>
      <c r="V317" s="5"/>
      <c r="W317" s="5"/>
      <c r="X317" s="5"/>
      <c r="Y317" s="5"/>
      <c r="Z317" s="5"/>
      <c r="AA317" s="5"/>
      <c r="AB317" s="5"/>
      <c r="AC317" s="5"/>
      <c r="AD317" s="5"/>
      <c r="AF317" s="5"/>
      <c r="AG317" s="6"/>
      <c r="AH317" s="11"/>
      <c r="AI317" s="6"/>
      <c r="AJ317" s="6"/>
      <c r="AK317" s="6"/>
      <c r="AL317" s="6"/>
      <c r="AM317" s="6"/>
      <c r="AN317" s="6"/>
      <c r="AO317" s="12"/>
      <c r="AP317" s="7"/>
      <c r="AQ317" s="6"/>
      <c r="AV317" s="3"/>
      <c r="AW317" s="3"/>
      <c r="AX317" s="3"/>
      <c r="AY317" s="3"/>
      <c r="AZ317" s="4"/>
      <c r="BA317" s="4"/>
      <c r="BB317" s="4"/>
      <c r="BC317" s="4"/>
      <c r="BD317" s="4"/>
      <c r="BE317" s="3"/>
      <c r="BJ317" s="9"/>
      <c r="BK317" s="9"/>
      <c r="BL317" s="9"/>
      <c r="BM317" s="3"/>
      <c r="BN317" s="3"/>
      <c r="BO317" s="3"/>
      <c r="BP317" s="3"/>
      <c r="BQ317" s="3"/>
      <c r="BR317" s="3"/>
    </row>
    <row r="318" spans="1:70" x14ac:dyDescent="0.3">
      <c r="A318" s="2">
        <v>8</v>
      </c>
      <c r="B318" s="2" t="s">
        <v>87</v>
      </c>
      <c r="C318" t="s">
        <v>89</v>
      </c>
      <c r="D318" s="5" t="s">
        <v>376</v>
      </c>
      <c r="E318" s="5" t="s">
        <v>93</v>
      </c>
      <c r="F318" s="17">
        <v>45243</v>
      </c>
      <c r="G318">
        <v>20</v>
      </c>
      <c r="H318" s="3">
        <v>20.399999999999999</v>
      </c>
      <c r="I318" s="3">
        <f t="shared" si="32"/>
        <v>19.939999999999998</v>
      </c>
      <c r="J318" s="3">
        <f t="shared" si="38"/>
        <v>0.94</v>
      </c>
      <c r="K318" s="6">
        <f t="shared" si="33"/>
        <v>4660.9256692913377</v>
      </c>
      <c r="L318" s="4">
        <v>10.69</v>
      </c>
      <c r="M318" s="4">
        <v>184.25</v>
      </c>
      <c r="N318" s="4">
        <v>173.56</v>
      </c>
      <c r="O318" s="4">
        <v>167.25</v>
      </c>
      <c r="P318" s="7">
        <f>(N318-O318)/N318*100</f>
        <v>3.6356303295690262</v>
      </c>
      <c r="Q318" s="6">
        <f>K318*(1-P318/100)</f>
        <v>4491.4716420199138</v>
      </c>
      <c r="R318" s="14">
        <v>45244</v>
      </c>
      <c r="S318" s="4">
        <v>9.27</v>
      </c>
      <c r="T318" s="13">
        <v>3.67</v>
      </c>
      <c r="U318" s="13">
        <v>5.98</v>
      </c>
      <c r="V318" s="8">
        <f>(T318-$A$76)/(S318-$A$47*$A$48)</f>
        <v>0.37389581766936464</v>
      </c>
      <c r="W318" s="8">
        <f>(U318-$A$77)/(S318-$A$47*$A$48)</f>
        <v>0.47233592078656456</v>
      </c>
      <c r="X318" s="8">
        <f>1-V318-W318</f>
        <v>0.15376826154407081</v>
      </c>
      <c r="Y318" s="6">
        <f>K318*V318</f>
        <v>1742.7006142158154</v>
      </c>
      <c r="Z318" s="6">
        <f>K318*W318</f>
        <v>2201.5226177224586</v>
      </c>
      <c r="AA318" s="6">
        <f>SUM(Y318:Z318)</f>
        <v>3944.2232319382738</v>
      </c>
      <c r="AB318" s="6">
        <f>Q318*V318</f>
        <v>1679.3424621317995</v>
      </c>
      <c r="AC318" s="6">
        <f>Q318*W318</f>
        <v>2121.4833937202188</v>
      </c>
      <c r="AD318" s="6">
        <f>SUM(AB318:AC318)</f>
        <v>3800.8258558520183</v>
      </c>
      <c r="AE318" t="s">
        <v>552</v>
      </c>
      <c r="AF318" s="14">
        <v>45295</v>
      </c>
      <c r="AG318" s="6">
        <v>50.199999999999996</v>
      </c>
      <c r="AH318" s="11">
        <v>1.054</v>
      </c>
      <c r="AI318" s="6">
        <v>78</v>
      </c>
      <c r="AJ318" s="6">
        <v>27.2</v>
      </c>
      <c r="AK318" s="6">
        <v>5.4</v>
      </c>
      <c r="AL318" s="6">
        <v>80.099999999999994</v>
      </c>
      <c r="AM318" s="6">
        <v>9.5</v>
      </c>
      <c r="AN318" s="6" t="s">
        <v>134</v>
      </c>
      <c r="AO318" s="12">
        <v>4</v>
      </c>
      <c r="AP318" s="7">
        <v>0.06</v>
      </c>
      <c r="AQ318" s="6">
        <v>16.399999999999999</v>
      </c>
      <c r="AV318" s="3"/>
      <c r="AW318" s="3"/>
      <c r="AX318" s="3"/>
      <c r="AY318" s="3"/>
      <c r="AZ318" s="4"/>
      <c r="BA318" s="4"/>
      <c r="BB318" s="4"/>
      <c r="BC318" s="4"/>
      <c r="BD318" s="4"/>
      <c r="BE318" s="3"/>
      <c r="BJ318" s="9"/>
      <c r="BK318" s="9"/>
      <c r="BL318" s="9"/>
      <c r="BM318" s="3"/>
      <c r="BN318" s="3"/>
      <c r="BO318" s="3"/>
      <c r="BP318" s="3"/>
      <c r="BQ318" s="3"/>
      <c r="BR318" s="3"/>
    </row>
    <row r="319" spans="1:70" x14ac:dyDescent="0.3">
      <c r="A319" s="2">
        <v>8</v>
      </c>
      <c r="B319" s="2" t="s">
        <v>137</v>
      </c>
      <c r="C319" t="s">
        <v>89</v>
      </c>
      <c r="D319" s="5" t="s">
        <v>377</v>
      </c>
      <c r="E319" s="5" t="s">
        <v>93</v>
      </c>
      <c r="F319" s="17">
        <v>45243</v>
      </c>
      <c r="G319">
        <v>20</v>
      </c>
      <c r="H319" s="3">
        <v>20</v>
      </c>
      <c r="I319" s="3">
        <f t="shared" si="32"/>
        <v>19.54</v>
      </c>
      <c r="J319" s="3">
        <f t="shared" si="38"/>
        <v>0.94</v>
      </c>
      <c r="K319" s="6">
        <f t="shared" si="33"/>
        <v>4571.635905511811</v>
      </c>
      <c r="L319" s="4"/>
      <c r="M319" s="4"/>
      <c r="N319" s="4"/>
      <c r="O319" s="4"/>
      <c r="P319" s="7"/>
      <c r="Q319" s="6"/>
      <c r="R319" s="5"/>
      <c r="S319" s="4"/>
      <c r="T319" s="13"/>
      <c r="U319" s="13"/>
      <c r="V319" s="5"/>
      <c r="W319" s="5"/>
      <c r="X319" s="5"/>
      <c r="Y319" s="5"/>
      <c r="Z319" s="5"/>
      <c r="AA319" s="5"/>
      <c r="AB319" s="5"/>
      <c r="AC319" s="5"/>
      <c r="AD319" s="5"/>
      <c r="AF319" s="5"/>
      <c r="AG319" s="6"/>
      <c r="AH319" s="11"/>
      <c r="AI319" s="6"/>
      <c r="AJ319" s="6"/>
      <c r="AK319" s="6"/>
      <c r="AL319" s="6"/>
      <c r="AM319" s="6"/>
      <c r="AN319" s="6"/>
      <c r="AO319" s="12"/>
      <c r="AP319" s="7"/>
      <c r="AQ319" s="6"/>
      <c r="AS319" s="4"/>
      <c r="AV319" s="3"/>
      <c r="AW319" s="3"/>
      <c r="AX319" s="3"/>
      <c r="AY319" s="3"/>
      <c r="AZ319" s="4"/>
      <c r="BA319" s="4"/>
      <c r="BB319" s="4"/>
      <c r="BC319" s="4"/>
      <c r="BD319" s="4"/>
      <c r="BE319" s="3"/>
      <c r="BJ319" s="9"/>
      <c r="BK319" s="9"/>
      <c r="BL319" s="9"/>
      <c r="BM319" s="3"/>
      <c r="BN319" s="3"/>
      <c r="BO319" s="3"/>
      <c r="BP319" s="3"/>
      <c r="BQ319" s="3"/>
      <c r="BR319" s="3"/>
    </row>
    <row r="320" spans="1:70" x14ac:dyDescent="0.3">
      <c r="A320" s="2">
        <v>8</v>
      </c>
      <c r="B320" s="2" t="s">
        <v>138</v>
      </c>
      <c r="C320" t="s">
        <v>89</v>
      </c>
      <c r="D320" s="5" t="s">
        <v>378</v>
      </c>
      <c r="E320" s="5" t="s">
        <v>93</v>
      </c>
      <c r="F320" s="17">
        <v>45243</v>
      </c>
      <c r="G320">
        <v>20</v>
      </c>
      <c r="H320" s="3">
        <v>21.1</v>
      </c>
      <c r="I320" s="3">
        <f t="shared" si="32"/>
        <v>20.64</v>
      </c>
      <c r="J320" s="3">
        <f t="shared" si="38"/>
        <v>0.94</v>
      </c>
      <c r="K320" s="6">
        <f t="shared" si="33"/>
        <v>4817.1827559055118</v>
      </c>
      <c r="L320" s="4"/>
      <c r="M320" s="4"/>
      <c r="N320" s="4"/>
      <c r="O320" s="4"/>
      <c r="P320" s="7"/>
      <c r="Q320" s="6"/>
      <c r="R320" s="5"/>
      <c r="S320" s="4"/>
      <c r="T320" s="13"/>
      <c r="U320" s="13"/>
      <c r="V320" s="5"/>
      <c r="W320" s="5"/>
      <c r="X320" s="5"/>
      <c r="Y320" s="5"/>
      <c r="Z320" s="5"/>
      <c r="AA320" s="5"/>
      <c r="AB320" s="5"/>
      <c r="AC320" s="5"/>
      <c r="AD320" s="5"/>
      <c r="AF320" s="5"/>
      <c r="AG320" s="6"/>
      <c r="AH320" s="11"/>
      <c r="AI320" s="6"/>
      <c r="AJ320" s="6"/>
      <c r="AK320" s="6"/>
      <c r="AL320" s="6"/>
      <c r="AM320" s="6"/>
      <c r="AN320" s="6"/>
      <c r="AO320" s="12"/>
      <c r="AP320" s="7"/>
      <c r="AQ320" s="6"/>
      <c r="AV320" s="3"/>
      <c r="AW320" s="3"/>
      <c r="AX320" s="3"/>
      <c r="AY320" s="3"/>
      <c r="AZ320" s="4"/>
      <c r="BA320" s="4"/>
      <c r="BB320" s="4"/>
      <c r="BC320" s="4"/>
      <c r="BD320" s="4"/>
      <c r="BE320" s="3"/>
      <c r="BJ320" s="9"/>
      <c r="BK320" s="9"/>
      <c r="BL320" s="9"/>
      <c r="BM320" s="3"/>
      <c r="BN320" s="3"/>
      <c r="BO320" s="3"/>
      <c r="BP320" s="3"/>
      <c r="BQ320" s="3"/>
      <c r="BR320" s="3"/>
    </row>
    <row r="321" spans="1:83" x14ac:dyDescent="0.3">
      <c r="A321" s="2">
        <v>8</v>
      </c>
      <c r="B321" s="2" t="s">
        <v>139</v>
      </c>
      <c r="C321" t="s">
        <v>89</v>
      </c>
      <c r="D321" s="5" t="s">
        <v>379</v>
      </c>
      <c r="E321" s="5" t="s">
        <v>93</v>
      </c>
      <c r="F321" s="17">
        <v>45243</v>
      </c>
      <c r="G321">
        <v>20</v>
      </c>
      <c r="H321" s="3">
        <v>15.6</v>
      </c>
      <c r="I321" s="3">
        <f t="shared" si="32"/>
        <v>15.139999999999999</v>
      </c>
      <c r="J321" s="3">
        <f t="shared" si="38"/>
        <v>0.94</v>
      </c>
      <c r="K321" s="6">
        <f t="shared" si="33"/>
        <v>3589.448503937007</v>
      </c>
      <c r="L321" s="4"/>
      <c r="M321" s="4"/>
      <c r="N321" s="4"/>
      <c r="O321" s="4"/>
      <c r="P321" s="7"/>
      <c r="Q321" s="6"/>
      <c r="R321" s="5"/>
      <c r="S321" s="4"/>
      <c r="T321" s="13"/>
      <c r="U321" s="13"/>
      <c r="V321" s="5"/>
      <c r="W321" s="5"/>
      <c r="X321" s="5"/>
      <c r="Y321" s="5"/>
      <c r="Z321" s="5"/>
      <c r="AA321" s="5"/>
      <c r="AB321" s="5"/>
      <c r="AC321" s="5"/>
      <c r="AD321" s="5"/>
      <c r="AF321" s="5"/>
      <c r="AG321" s="6"/>
      <c r="AH321" s="11"/>
      <c r="AI321" s="6"/>
      <c r="AJ321" s="6"/>
      <c r="AK321" s="6"/>
      <c r="AL321" s="6"/>
      <c r="AM321" s="6"/>
      <c r="AN321" s="6"/>
      <c r="AO321" s="12"/>
      <c r="AP321" s="7"/>
      <c r="AQ321" s="6"/>
      <c r="AV321" s="3"/>
      <c r="AW321" s="3"/>
      <c r="AX321" s="3"/>
      <c r="AY321" s="3"/>
      <c r="AZ321" s="4"/>
      <c r="BA321" s="4"/>
      <c r="BB321" s="4"/>
      <c r="BC321" s="4"/>
      <c r="BD321" s="4"/>
      <c r="BE321" s="3"/>
      <c r="BJ321" s="9"/>
      <c r="BK321" s="9"/>
      <c r="BL321" s="9"/>
      <c r="BM321" s="3"/>
      <c r="BN321" s="3"/>
      <c r="BO321" s="3"/>
      <c r="BP321" s="3"/>
      <c r="BQ321" s="3"/>
      <c r="BR321" s="3"/>
    </row>
    <row r="322" spans="1:83" x14ac:dyDescent="0.3">
      <c r="A322" s="2">
        <v>8</v>
      </c>
      <c r="B322" s="2" t="s">
        <v>140</v>
      </c>
      <c r="C322" t="s">
        <v>89</v>
      </c>
      <c r="D322" s="5" t="s">
        <v>380</v>
      </c>
      <c r="E322" s="5" t="s">
        <v>93</v>
      </c>
      <c r="F322" s="17">
        <v>45243</v>
      </c>
      <c r="G322">
        <v>20</v>
      </c>
      <c r="H322" s="3">
        <v>13.5</v>
      </c>
      <c r="I322" s="3">
        <f t="shared" si="32"/>
        <v>13.04</v>
      </c>
      <c r="J322" s="3">
        <f t="shared" si="38"/>
        <v>0.94</v>
      </c>
      <c r="K322" s="6">
        <f t="shared" si="33"/>
        <v>3120.6772440944878</v>
      </c>
      <c r="L322" s="4"/>
      <c r="M322" s="4"/>
      <c r="N322" s="4"/>
      <c r="O322" s="4"/>
      <c r="P322" s="7"/>
      <c r="Q322" s="6"/>
      <c r="R322" s="5"/>
      <c r="S322" s="4"/>
      <c r="T322" s="13"/>
      <c r="U322" s="13"/>
      <c r="V322" s="5"/>
      <c r="W322" s="5"/>
      <c r="X322" s="5"/>
      <c r="Y322" s="5"/>
      <c r="Z322" s="5"/>
      <c r="AA322" s="5"/>
      <c r="AB322" s="5"/>
      <c r="AC322" s="5"/>
      <c r="AD322" s="5"/>
      <c r="AF322" s="5"/>
      <c r="AG322" s="6"/>
      <c r="AH322" s="11"/>
      <c r="AI322" s="6"/>
      <c r="AJ322" s="6"/>
      <c r="AK322" s="6"/>
      <c r="AL322" s="6"/>
      <c r="AM322" s="6"/>
      <c r="AN322" s="6"/>
      <c r="AO322" s="12"/>
      <c r="AP322" s="7"/>
      <c r="AQ322" s="6"/>
      <c r="AV322" s="3"/>
      <c r="AW322" s="3"/>
      <c r="AX322" s="3"/>
      <c r="AY322" s="3"/>
      <c r="AZ322" s="4"/>
      <c r="BA322" s="4"/>
      <c r="BB322" s="4"/>
      <c r="BC322" s="4"/>
      <c r="BD322" s="4"/>
      <c r="BE322" s="3"/>
      <c r="BJ322" s="9"/>
      <c r="BK322" s="9"/>
      <c r="BL322" s="9"/>
      <c r="BM322" s="3"/>
      <c r="BN322" s="3"/>
      <c r="BO322" s="3"/>
      <c r="BP322" s="3"/>
      <c r="BQ322" s="3"/>
      <c r="BR322" s="3"/>
    </row>
    <row r="323" spans="1:83" x14ac:dyDescent="0.3">
      <c r="A323" s="2">
        <v>8</v>
      </c>
      <c r="B323" s="2" t="s">
        <v>141</v>
      </c>
      <c r="C323" t="s">
        <v>89</v>
      </c>
      <c r="D323" s="5" t="s">
        <v>381</v>
      </c>
      <c r="E323" s="5" t="s">
        <v>93</v>
      </c>
      <c r="F323" s="17">
        <v>45243</v>
      </c>
      <c r="G323">
        <v>20</v>
      </c>
      <c r="H323" s="3">
        <v>14.9</v>
      </c>
      <c r="I323" s="3">
        <f t="shared" si="32"/>
        <v>14.44</v>
      </c>
      <c r="J323" s="3">
        <f t="shared" si="38"/>
        <v>0.94</v>
      </c>
      <c r="K323" s="6">
        <f t="shared" si="33"/>
        <v>3433.1914173228347</v>
      </c>
      <c r="L323" s="4"/>
      <c r="M323" s="4"/>
      <c r="N323" s="4"/>
      <c r="O323" s="4"/>
      <c r="P323" s="7"/>
      <c r="Q323" s="6"/>
      <c r="R323" s="5"/>
      <c r="S323" s="4"/>
      <c r="T323" s="13"/>
      <c r="U323" s="13"/>
      <c r="V323" s="5"/>
      <c r="W323" s="5"/>
      <c r="X323" s="5"/>
      <c r="Y323" s="5"/>
      <c r="Z323" s="5"/>
      <c r="AA323" s="5"/>
      <c r="AB323" s="5"/>
      <c r="AC323" s="5"/>
      <c r="AD323" s="5"/>
      <c r="AF323" s="5"/>
      <c r="AG323" s="6"/>
      <c r="AH323" s="11"/>
      <c r="AI323" s="6"/>
      <c r="AJ323" s="6"/>
      <c r="AK323" s="6"/>
      <c r="AL323" s="6"/>
      <c r="AM323" s="6"/>
      <c r="AN323" s="6"/>
      <c r="AO323" s="12"/>
      <c r="AP323" s="7"/>
      <c r="AQ323" s="6"/>
      <c r="AV323" s="3"/>
      <c r="AW323" s="3"/>
      <c r="AX323" s="3"/>
      <c r="AY323" s="3"/>
      <c r="AZ323" s="4"/>
      <c r="BA323" s="4"/>
      <c r="BB323" s="4"/>
      <c r="BC323" s="4"/>
      <c r="BD323" s="4"/>
      <c r="BE323" s="3"/>
      <c r="BJ323" s="9"/>
      <c r="BK323" s="9"/>
      <c r="BL323" s="9"/>
      <c r="BM323" s="3"/>
      <c r="BN323" s="3"/>
      <c r="BO323" s="3"/>
      <c r="BP323" s="3"/>
      <c r="BQ323" s="3"/>
      <c r="BR323" s="3"/>
    </row>
    <row r="324" spans="1:83" x14ac:dyDescent="0.3">
      <c r="A324" s="2">
        <v>8</v>
      </c>
      <c r="B324" s="2" t="s">
        <v>142</v>
      </c>
      <c r="C324" t="s">
        <v>89</v>
      </c>
      <c r="D324" s="5" t="s">
        <v>382</v>
      </c>
      <c r="E324" s="5" t="s">
        <v>93</v>
      </c>
      <c r="F324" s="17">
        <v>45243</v>
      </c>
      <c r="G324">
        <v>20</v>
      </c>
      <c r="H324" s="3">
        <v>13</v>
      </c>
      <c r="I324" s="3">
        <f t="shared" si="32"/>
        <v>12.54</v>
      </c>
      <c r="J324" s="3">
        <f t="shared" si="38"/>
        <v>0.94</v>
      </c>
      <c r="K324" s="6">
        <f t="shared" si="33"/>
        <v>3009.065039370078</v>
      </c>
      <c r="L324" s="4"/>
      <c r="M324" s="4"/>
      <c r="N324" s="4"/>
      <c r="O324" s="4"/>
      <c r="P324" s="7"/>
      <c r="Q324" s="6"/>
      <c r="R324" s="5"/>
      <c r="S324" s="4"/>
      <c r="T324" s="13"/>
      <c r="U324" s="13"/>
      <c r="V324" s="5"/>
      <c r="W324" s="5"/>
      <c r="X324" s="5"/>
      <c r="Y324" s="5"/>
      <c r="Z324" s="5"/>
      <c r="AA324" s="5"/>
      <c r="AB324" s="5"/>
      <c r="AC324" s="5"/>
      <c r="AD324" s="5"/>
      <c r="AF324" s="5"/>
      <c r="AG324" s="6"/>
      <c r="AH324" s="11"/>
      <c r="AI324" s="6"/>
      <c r="AJ324" s="6"/>
      <c r="AK324" s="6"/>
      <c r="AL324" s="6"/>
      <c r="AM324" s="6"/>
      <c r="AN324" s="6"/>
      <c r="AO324" s="12"/>
      <c r="AP324" s="7"/>
      <c r="AQ324" s="6"/>
      <c r="AV324" s="3"/>
      <c r="AW324" s="3"/>
      <c r="AX324" s="3"/>
      <c r="AY324" s="3"/>
      <c r="AZ324" s="4"/>
      <c r="BA324" s="4"/>
      <c r="BB324" s="4"/>
      <c r="BC324" s="4"/>
      <c r="BD324" s="4"/>
      <c r="BE324" s="3"/>
      <c r="BJ324" s="9"/>
      <c r="BK324" s="9"/>
      <c r="BL324" s="9"/>
      <c r="BM324" s="3"/>
      <c r="BN324" s="3"/>
      <c r="BO324" s="3"/>
      <c r="BP324" s="3"/>
      <c r="BQ324" s="3"/>
      <c r="BR324" s="3"/>
    </row>
    <row r="325" spans="1:83" x14ac:dyDescent="0.3">
      <c r="A325" s="2">
        <v>8</v>
      </c>
      <c r="B325" s="2" t="s">
        <v>143</v>
      </c>
      <c r="C325" t="s">
        <v>89</v>
      </c>
      <c r="D325" s="5" t="s">
        <v>383</v>
      </c>
      <c r="E325" s="5" t="s">
        <v>93</v>
      </c>
      <c r="F325" s="17">
        <v>45243</v>
      </c>
      <c r="G325">
        <v>20</v>
      </c>
      <c r="H325" s="3">
        <v>22.3</v>
      </c>
      <c r="I325" s="3">
        <f t="shared" si="32"/>
        <v>21.84</v>
      </c>
      <c r="J325" s="3">
        <f t="shared" si="38"/>
        <v>0.94</v>
      </c>
      <c r="K325" s="6">
        <f t="shared" si="33"/>
        <v>5085.052047244094</v>
      </c>
      <c r="L325" s="4"/>
      <c r="M325" s="4"/>
      <c r="N325" s="4"/>
      <c r="O325" s="4"/>
      <c r="P325" s="7"/>
      <c r="Q325" s="6"/>
      <c r="R325" s="5"/>
      <c r="S325" s="4"/>
      <c r="T325" s="13"/>
      <c r="U325" s="13"/>
      <c r="V325" s="5"/>
      <c r="W325" s="5"/>
      <c r="X325" s="5"/>
      <c r="Y325" s="5"/>
      <c r="Z325" s="5"/>
      <c r="AA325" s="5"/>
      <c r="AB325" s="5"/>
      <c r="AC325" s="5"/>
      <c r="AD325" s="5"/>
      <c r="AF325" s="5"/>
      <c r="AG325" s="6"/>
      <c r="AH325" s="11"/>
      <c r="AI325" s="6"/>
      <c r="AJ325" s="6"/>
      <c r="AK325" s="6"/>
      <c r="AL325" s="6"/>
      <c r="AM325" s="6"/>
      <c r="AN325" s="6"/>
      <c r="AO325" s="12"/>
      <c r="AP325" s="7"/>
      <c r="AQ325" s="6"/>
      <c r="AV325" s="3"/>
      <c r="AW325" s="3"/>
      <c r="AX325" s="3"/>
      <c r="AY325" s="3"/>
      <c r="AZ325" s="4"/>
      <c r="BA325" s="4"/>
      <c r="BB325" s="4"/>
      <c r="BC325" s="4"/>
      <c r="BD325" s="4"/>
      <c r="BE325" s="3"/>
      <c r="BJ325" s="9"/>
      <c r="BK325" s="9"/>
      <c r="BL325" s="9"/>
      <c r="BM325" s="3"/>
      <c r="BN325" s="3"/>
      <c r="BO325" s="3"/>
      <c r="BP325" s="3"/>
      <c r="BQ325" s="3"/>
      <c r="BR325" s="3"/>
    </row>
    <row r="326" spans="1:83" x14ac:dyDescent="0.3">
      <c r="A326" s="2">
        <v>9</v>
      </c>
      <c r="B326" s="2" t="s">
        <v>80</v>
      </c>
      <c r="C326" t="s">
        <v>88</v>
      </c>
      <c r="D326" s="5" t="s">
        <v>384</v>
      </c>
      <c r="E326" s="5" t="s">
        <v>93</v>
      </c>
      <c r="F326" s="17">
        <v>45243</v>
      </c>
      <c r="G326">
        <v>9</v>
      </c>
      <c r="H326" s="3">
        <v>15</v>
      </c>
      <c r="I326" s="3">
        <f t="shared" si="32"/>
        <v>14.54</v>
      </c>
      <c r="J326" s="3">
        <f>($A$59-$A$47)*$A$75</f>
        <v>1.2337499999999999</v>
      </c>
      <c r="K326" s="6">
        <f t="shared" si="33"/>
        <v>3521.0860285433064</v>
      </c>
      <c r="L326" s="4"/>
      <c r="M326" s="4"/>
      <c r="N326" s="4"/>
      <c r="O326" s="4"/>
      <c r="P326" s="7"/>
      <c r="Q326" s="6"/>
      <c r="R326" s="5"/>
      <c r="S326" s="4"/>
      <c r="T326" s="13"/>
      <c r="U326" s="13"/>
      <c r="V326" s="5"/>
      <c r="W326" s="5"/>
      <c r="X326" s="5"/>
      <c r="Y326" s="5"/>
      <c r="Z326" s="5"/>
      <c r="AA326" s="5"/>
      <c r="AB326" s="5"/>
      <c r="AC326" s="5"/>
      <c r="AD326" s="5"/>
      <c r="AF326" s="5"/>
      <c r="AG326" s="6"/>
      <c r="AH326" s="11"/>
      <c r="AI326" s="6"/>
      <c r="AJ326" s="6"/>
      <c r="AK326" s="6"/>
      <c r="AL326" s="6"/>
      <c r="AM326" s="6"/>
      <c r="AN326" s="6"/>
      <c r="AO326" s="12"/>
      <c r="AP326" s="7"/>
      <c r="AQ326" s="6"/>
      <c r="AS326" s="4" t="s">
        <v>530</v>
      </c>
      <c r="AT326" s="4" t="str">
        <f>E326</f>
        <v>Machine</v>
      </c>
      <c r="AU326" s="15">
        <f>F326</f>
        <v>45243</v>
      </c>
      <c r="AV326" s="3">
        <f>SUM(H326:H355)</f>
        <v>593.5</v>
      </c>
      <c r="AW326" s="3">
        <f>AV326-24*$A$47</f>
        <v>582.46</v>
      </c>
      <c r="AX326" s="3">
        <f>SUM(J326:J355)</f>
        <v>37.200000000000017</v>
      </c>
      <c r="AY326" s="3">
        <f>(AW326+AX326)*$A$48/(30*$A$49)*$A$50</f>
        <v>4610.7745853018378</v>
      </c>
      <c r="AZ326" s="4">
        <f>SUM(L326:L355)</f>
        <v>19.59</v>
      </c>
      <c r="BA326" s="4">
        <f t="shared" ref="BA326" si="39">SUM(M326:M355)</f>
        <v>372.76</v>
      </c>
      <c r="BB326" s="4">
        <f t="shared" ref="BB326" si="40">SUM(N326:N355)</f>
        <v>353.16999999999996</v>
      </c>
      <c r="BC326" s="4">
        <f>SUM(O326:O355)</f>
        <v>333.56</v>
      </c>
      <c r="BD326" s="4">
        <f>(BB326-BC326)/BB326*100</f>
        <v>5.552566752555415</v>
      </c>
      <c r="BE326" s="3">
        <f>AY326*(1-BD326/100)</f>
        <v>4354.7582486430929</v>
      </c>
      <c r="BF326" s="15">
        <v>45244</v>
      </c>
      <c r="BG326" s="4">
        <f>SUM(S326:S355)</f>
        <v>18.329999999999998</v>
      </c>
      <c r="BH326" s="13">
        <f>SUM(T326:T355)</f>
        <v>7.2949999999999999</v>
      </c>
      <c r="BI326" s="13">
        <f>SUM(U326:U355)</f>
        <v>11.844999999999999</v>
      </c>
      <c r="BJ326" s="9">
        <f>(BH326-2*$A$76)/(BG326-2*$A$47*$A$48)</f>
        <v>0.3757670113137011</v>
      </c>
      <c r="BK326" s="9">
        <f>(BI326-2*$A$77)/(BG326-2*$A$47*$A$48)</f>
        <v>0.47145333688073171</v>
      </c>
      <c r="BL326" s="9">
        <f>1-BJ326-BK326</f>
        <v>0.15277965180556724</v>
      </c>
      <c r="BM326" s="3">
        <f>AY326*BJ326</f>
        <v>1732.5769857600412</v>
      </c>
      <c r="BN326" s="3">
        <f>AY326*BK326</f>
        <v>2173.7650638454234</v>
      </c>
      <c r="BO326" s="3">
        <f>SUM(BM326:BN326)</f>
        <v>3906.3420496054646</v>
      </c>
      <c r="BP326" s="3">
        <f>BE326*BJ326</f>
        <v>1636.3744920863023</v>
      </c>
      <c r="BQ326" s="3">
        <f>BE326*BK326</f>
        <v>2053.0653076316771</v>
      </c>
      <c r="BR326" s="3">
        <f>SUM(BP326:BQ326)</f>
        <v>3689.4397997179794</v>
      </c>
      <c r="BT326" s="15">
        <v>45295</v>
      </c>
      <c r="BU326" s="3">
        <f>AVERAGE(AG326:AG355)</f>
        <v>47.199999999999996</v>
      </c>
      <c r="BV326" s="13">
        <f>AVERAGE(AH326:AH355)</f>
        <v>1.1425000000000001</v>
      </c>
      <c r="BW326" s="3">
        <f>AVERAGE(AI326:AI355)</f>
        <v>81.699999999999989</v>
      </c>
      <c r="BX326" s="3">
        <f>AVERAGE(AJ326:AJ355)</f>
        <v>29.6</v>
      </c>
      <c r="BY326" s="3">
        <f>AVERAGE(AK326:AK355)</f>
        <v>5.3</v>
      </c>
      <c r="BZ326" s="3">
        <f>AVERAGE(AL326:AL355)</f>
        <v>80.699999999999989</v>
      </c>
      <c r="CA326" s="3">
        <f>AVERAGE(AM326:AM355)</f>
        <v>8.9499999999999993</v>
      </c>
      <c r="CB326" s="3"/>
      <c r="CC326" s="10">
        <f>AVERAGE(AO326:AO355)</f>
        <v>11</v>
      </c>
      <c r="CD326" s="4">
        <f>AVERAGE(AP326:AP355)</f>
        <v>0.11499999999999999</v>
      </c>
      <c r="CE326" s="3">
        <f>AVERAGE(AQ326:AQ355)</f>
        <v>9</v>
      </c>
    </row>
    <row r="327" spans="1:83" x14ac:dyDescent="0.3">
      <c r="A327" s="2">
        <v>9</v>
      </c>
      <c r="B327" s="2" t="s">
        <v>81</v>
      </c>
      <c r="C327" t="s">
        <v>88</v>
      </c>
      <c r="D327" s="5" t="s">
        <v>385</v>
      </c>
      <c r="E327" s="5" t="s">
        <v>93</v>
      </c>
      <c r="F327" s="17">
        <v>45243</v>
      </c>
      <c r="G327">
        <v>9</v>
      </c>
      <c r="H327" s="3">
        <v>18.5</v>
      </c>
      <c r="I327" s="3">
        <f t="shared" si="32"/>
        <v>18.04</v>
      </c>
      <c r="J327" s="3">
        <f t="shared" ref="J327:J340" si="41">($A$59-$A$47)*$A$75</f>
        <v>1.2337499999999999</v>
      </c>
      <c r="K327" s="6">
        <f t="shared" si="33"/>
        <v>4302.3714616141733</v>
      </c>
      <c r="L327" s="4"/>
      <c r="M327" s="4"/>
      <c r="N327" s="4"/>
      <c r="O327" s="4"/>
      <c r="P327" s="7"/>
      <c r="Q327" s="6"/>
      <c r="R327" s="5"/>
      <c r="S327" s="4"/>
      <c r="T327" s="13"/>
      <c r="U327" s="13"/>
      <c r="V327" s="5"/>
      <c r="W327" s="5"/>
      <c r="X327" s="5"/>
      <c r="Y327" s="5"/>
      <c r="Z327" s="5"/>
      <c r="AA327" s="5"/>
      <c r="AB327" s="5"/>
      <c r="AC327" s="5"/>
      <c r="AD327" s="5"/>
      <c r="AF327" s="5"/>
      <c r="AG327" s="6"/>
      <c r="AH327" s="11"/>
      <c r="AI327" s="6"/>
      <c r="AJ327" s="6"/>
      <c r="AK327" s="6"/>
      <c r="AL327" s="6"/>
      <c r="AM327" s="6"/>
      <c r="AN327" s="6"/>
      <c r="AO327" s="12"/>
      <c r="AP327" s="7"/>
      <c r="AQ327" s="6"/>
      <c r="AV327" s="3"/>
      <c r="AW327" s="3"/>
      <c r="AX327" s="3"/>
      <c r="AY327" s="3"/>
      <c r="AZ327" s="4"/>
      <c r="BA327" s="4"/>
      <c r="BB327" s="4"/>
      <c r="BC327" s="4"/>
      <c r="BD327" s="4"/>
      <c r="BE327" s="3"/>
      <c r="BJ327" s="9"/>
      <c r="BK327" s="9"/>
      <c r="BL327" s="9"/>
      <c r="BM327" s="3"/>
      <c r="BN327" s="3"/>
      <c r="BO327" s="3"/>
      <c r="BP327" s="3"/>
      <c r="BQ327" s="3"/>
      <c r="BR327" s="3"/>
    </row>
    <row r="328" spans="1:83" x14ac:dyDescent="0.3">
      <c r="A328" s="2">
        <v>9</v>
      </c>
      <c r="B328" s="2" t="s">
        <v>82</v>
      </c>
      <c r="C328" t="s">
        <v>88</v>
      </c>
      <c r="D328" s="5" t="s">
        <v>386</v>
      </c>
      <c r="E328" s="5" t="s">
        <v>93</v>
      </c>
      <c r="F328" s="17">
        <v>45243</v>
      </c>
      <c r="G328">
        <v>9</v>
      </c>
      <c r="H328" s="3">
        <v>16.2</v>
      </c>
      <c r="I328" s="3">
        <f t="shared" si="32"/>
        <v>15.739999999999998</v>
      </c>
      <c r="J328" s="3">
        <f t="shared" si="41"/>
        <v>1.2337499999999999</v>
      </c>
      <c r="K328" s="6">
        <f t="shared" si="33"/>
        <v>3788.9553198818894</v>
      </c>
      <c r="L328" s="4"/>
      <c r="M328" s="4"/>
      <c r="N328" s="4"/>
      <c r="O328" s="4"/>
      <c r="P328" s="7"/>
      <c r="Q328" s="6"/>
      <c r="R328" s="5"/>
      <c r="S328" s="4"/>
      <c r="T328" s="13"/>
      <c r="U328" s="13"/>
      <c r="V328" s="5"/>
      <c r="W328" s="5"/>
      <c r="X328" s="5"/>
      <c r="Y328" s="5"/>
      <c r="Z328" s="5"/>
      <c r="AA328" s="5"/>
      <c r="AB328" s="5"/>
      <c r="AC328" s="5"/>
      <c r="AD328" s="5"/>
      <c r="AF328" s="5"/>
      <c r="AG328" s="6"/>
      <c r="AH328" s="11"/>
      <c r="AI328" s="6"/>
      <c r="AJ328" s="6"/>
      <c r="AK328" s="6"/>
      <c r="AL328" s="6"/>
      <c r="AM328" s="6"/>
      <c r="AN328" s="6"/>
      <c r="AO328" s="12"/>
      <c r="AP328" s="7"/>
      <c r="AQ328" s="6"/>
      <c r="AV328" s="3"/>
      <c r="AW328" s="3"/>
      <c r="AX328" s="3"/>
      <c r="AY328" s="3"/>
      <c r="AZ328" s="4"/>
      <c r="BA328" s="4"/>
      <c r="BB328" s="4"/>
      <c r="BC328" s="4"/>
      <c r="BD328" s="4"/>
      <c r="BE328" s="3"/>
      <c r="BJ328" s="9"/>
      <c r="BK328" s="9"/>
      <c r="BL328" s="9"/>
      <c r="BM328" s="3"/>
      <c r="BN328" s="3"/>
      <c r="BO328" s="3"/>
      <c r="BP328" s="3"/>
      <c r="BQ328" s="3"/>
      <c r="BR328" s="3"/>
    </row>
    <row r="329" spans="1:83" x14ac:dyDescent="0.3">
      <c r="A329" s="2">
        <v>9</v>
      </c>
      <c r="B329" s="2" t="s">
        <v>83</v>
      </c>
      <c r="C329" t="s">
        <v>88</v>
      </c>
      <c r="D329" s="5" t="s">
        <v>387</v>
      </c>
      <c r="E329" s="5" t="s">
        <v>93</v>
      </c>
      <c r="F329" s="17">
        <v>45243</v>
      </c>
      <c r="G329">
        <v>9</v>
      </c>
      <c r="H329" s="3">
        <v>19.2</v>
      </c>
      <c r="I329" s="3">
        <f t="shared" si="32"/>
        <v>18.739999999999998</v>
      </c>
      <c r="J329" s="3">
        <f t="shared" si="41"/>
        <v>1.2337499999999999</v>
      </c>
      <c r="K329" s="6">
        <f t="shared" si="33"/>
        <v>4458.6285482283456</v>
      </c>
      <c r="L329" s="4"/>
      <c r="M329" s="4"/>
      <c r="N329" s="4"/>
      <c r="O329" s="4"/>
      <c r="P329" s="7"/>
      <c r="Q329" s="6"/>
      <c r="R329" s="5"/>
      <c r="S329" s="4"/>
      <c r="T329" s="13"/>
      <c r="U329" s="13"/>
      <c r="V329" s="5"/>
      <c r="W329" s="5"/>
      <c r="X329" s="5"/>
      <c r="Y329" s="5"/>
      <c r="Z329" s="5"/>
      <c r="AA329" s="5"/>
      <c r="AB329" s="5"/>
      <c r="AC329" s="5"/>
      <c r="AD329" s="5"/>
      <c r="AF329" s="5"/>
      <c r="AG329" s="6"/>
      <c r="AH329" s="11"/>
      <c r="AI329" s="6"/>
      <c r="AJ329" s="6"/>
      <c r="AK329" s="6"/>
      <c r="AL329" s="6"/>
      <c r="AM329" s="6"/>
      <c r="AN329" s="6"/>
      <c r="AO329" s="12"/>
      <c r="AP329" s="7"/>
      <c r="AQ329" s="6"/>
      <c r="AV329" s="3"/>
      <c r="AW329" s="3"/>
      <c r="AX329" s="3"/>
      <c r="AY329" s="3"/>
      <c r="AZ329" s="4"/>
      <c r="BA329" s="4"/>
      <c r="BB329" s="4"/>
      <c r="BC329" s="4"/>
      <c r="BD329" s="4"/>
      <c r="BE329" s="3"/>
      <c r="BJ329" s="9"/>
      <c r="BK329" s="9"/>
      <c r="BL329" s="9"/>
      <c r="BM329" s="3"/>
      <c r="BN329" s="3"/>
      <c r="BO329" s="3"/>
      <c r="BP329" s="3"/>
      <c r="BQ329" s="3"/>
      <c r="BR329" s="3"/>
    </row>
    <row r="330" spans="1:83" x14ac:dyDescent="0.3">
      <c r="A330" s="2">
        <v>9</v>
      </c>
      <c r="B330" s="2" t="s">
        <v>84</v>
      </c>
      <c r="C330" t="s">
        <v>88</v>
      </c>
      <c r="D330" s="5" t="s">
        <v>388</v>
      </c>
      <c r="E330" s="5" t="s">
        <v>93</v>
      </c>
      <c r="F330" s="17">
        <v>45243</v>
      </c>
      <c r="G330">
        <v>9</v>
      </c>
      <c r="H330" s="3">
        <v>21.1</v>
      </c>
      <c r="I330" s="3">
        <f t="shared" si="32"/>
        <v>20.64</v>
      </c>
      <c r="J330" s="3">
        <f t="shared" si="41"/>
        <v>1.2337499999999999</v>
      </c>
      <c r="K330" s="6">
        <f t="shared" si="33"/>
        <v>4882.7549261811018</v>
      </c>
      <c r="L330" s="4"/>
      <c r="M330" s="4"/>
      <c r="N330" s="4"/>
      <c r="O330" s="4"/>
      <c r="P330" s="7"/>
      <c r="Q330" s="6"/>
      <c r="R330" s="5"/>
      <c r="S330" s="4"/>
      <c r="T330" s="13"/>
      <c r="U330" s="13"/>
      <c r="V330" s="5"/>
      <c r="W330" s="5"/>
      <c r="X330" s="5"/>
      <c r="Y330" s="5"/>
      <c r="Z330" s="5"/>
      <c r="AA330" s="5"/>
      <c r="AB330" s="5"/>
      <c r="AC330" s="5"/>
      <c r="AD330" s="5"/>
      <c r="AF330" s="5"/>
      <c r="AG330" s="6"/>
      <c r="AH330" s="11"/>
      <c r="AI330" s="6"/>
      <c r="AJ330" s="6"/>
      <c r="AK330" s="6"/>
      <c r="AL330" s="6"/>
      <c r="AM330" s="6"/>
      <c r="AN330" s="6"/>
      <c r="AO330" s="12"/>
      <c r="AP330" s="7"/>
      <c r="AQ330" s="6"/>
      <c r="AV330" s="3"/>
      <c r="AW330" s="3"/>
      <c r="AX330" s="3"/>
      <c r="AY330" s="3"/>
      <c r="AZ330" s="4"/>
      <c r="BA330" s="4"/>
      <c r="BB330" s="4"/>
      <c r="BC330" s="4"/>
      <c r="BD330" s="4"/>
      <c r="BE330" s="3"/>
      <c r="BJ330" s="9"/>
      <c r="BK330" s="9"/>
      <c r="BL330" s="9"/>
      <c r="BM330" s="3"/>
      <c r="BN330" s="3"/>
      <c r="BO330" s="3"/>
      <c r="BP330" s="3"/>
      <c r="BQ330" s="3"/>
      <c r="BR330" s="3"/>
    </row>
    <row r="331" spans="1:83" x14ac:dyDescent="0.3">
      <c r="A331" s="2">
        <v>9</v>
      </c>
      <c r="B331" s="2" t="s">
        <v>85</v>
      </c>
      <c r="C331" t="s">
        <v>88</v>
      </c>
      <c r="D331" s="5" t="s">
        <v>389</v>
      </c>
      <c r="E331" s="5" t="s">
        <v>93</v>
      </c>
      <c r="F331" s="17">
        <v>45243</v>
      </c>
      <c r="G331">
        <v>9</v>
      </c>
      <c r="H331" s="3">
        <v>14.4</v>
      </c>
      <c r="I331" s="3">
        <f t="shared" si="32"/>
        <v>13.94</v>
      </c>
      <c r="J331" s="3">
        <f t="shared" si="41"/>
        <v>1.2337499999999999</v>
      </c>
      <c r="K331" s="6">
        <f t="shared" si="33"/>
        <v>3387.1513828740158</v>
      </c>
      <c r="L331" s="4"/>
      <c r="M331" s="4"/>
      <c r="N331" s="4"/>
      <c r="O331" s="4"/>
      <c r="P331" s="7"/>
      <c r="Q331" s="6"/>
      <c r="R331" s="5"/>
      <c r="S331" s="4"/>
      <c r="T331" s="13"/>
      <c r="U331" s="13"/>
      <c r="V331" s="5"/>
      <c r="W331" s="5"/>
      <c r="X331" s="5"/>
      <c r="Y331" s="5"/>
      <c r="Z331" s="5"/>
      <c r="AA331" s="5"/>
      <c r="AB331" s="5"/>
      <c r="AC331" s="5"/>
      <c r="AD331" s="5"/>
      <c r="AF331" s="5"/>
      <c r="AG331" s="6"/>
      <c r="AH331" s="11"/>
      <c r="AI331" s="6"/>
      <c r="AJ331" s="6"/>
      <c r="AK331" s="6"/>
      <c r="AL331" s="6"/>
      <c r="AM331" s="6"/>
      <c r="AN331" s="6"/>
      <c r="AO331" s="12"/>
      <c r="AP331" s="7"/>
      <c r="AQ331" s="6"/>
      <c r="AV331" s="3"/>
      <c r="AW331" s="3"/>
      <c r="AX331" s="3"/>
      <c r="AY331" s="3"/>
      <c r="AZ331" s="4"/>
      <c r="BA331" s="4"/>
      <c r="BB331" s="4"/>
      <c r="BC331" s="4"/>
      <c r="BD331" s="4"/>
      <c r="BE331" s="3"/>
      <c r="BJ331" s="9"/>
      <c r="BK331" s="9"/>
      <c r="BL331" s="9"/>
      <c r="BM331" s="3"/>
      <c r="BN331" s="3"/>
      <c r="BO331" s="3"/>
      <c r="BP331" s="3"/>
      <c r="BQ331" s="3"/>
      <c r="BR331" s="3"/>
    </row>
    <row r="332" spans="1:83" x14ac:dyDescent="0.3">
      <c r="A332" s="2">
        <v>9</v>
      </c>
      <c r="B332" s="2" t="s">
        <v>86</v>
      </c>
      <c r="C332" t="s">
        <v>88</v>
      </c>
      <c r="D332" s="5" t="s">
        <v>390</v>
      </c>
      <c r="E332" s="5" t="s">
        <v>93</v>
      </c>
      <c r="F332" s="17">
        <v>45243</v>
      </c>
      <c r="G332">
        <v>9</v>
      </c>
      <c r="H332" s="3">
        <v>18.600000000000001</v>
      </c>
      <c r="I332" s="3">
        <f t="shared" si="32"/>
        <v>18.14</v>
      </c>
      <c r="J332" s="3">
        <f t="shared" si="41"/>
        <v>1.2337499999999999</v>
      </c>
      <c r="K332" s="6">
        <f t="shared" si="33"/>
        <v>4324.6939025590555</v>
      </c>
      <c r="L332" s="4"/>
      <c r="M332" s="4"/>
      <c r="N332" s="4"/>
      <c r="O332" s="4"/>
      <c r="P332" s="7"/>
      <c r="Q332" s="6"/>
      <c r="R332" s="5"/>
      <c r="S332" s="4"/>
      <c r="T332" s="13"/>
      <c r="U332" s="13"/>
      <c r="V332" s="5"/>
      <c r="W332" s="5"/>
      <c r="X332" s="5"/>
      <c r="Y332" s="5"/>
      <c r="Z332" s="5"/>
      <c r="AA332" s="5"/>
      <c r="AB332" s="5"/>
      <c r="AC332" s="5"/>
      <c r="AD332" s="5"/>
      <c r="AF332" s="5"/>
      <c r="AG332" s="6"/>
      <c r="AH332" s="11"/>
      <c r="AI332" s="6"/>
      <c r="AJ332" s="6"/>
      <c r="AK332" s="6"/>
      <c r="AL332" s="6"/>
      <c r="AM332" s="6"/>
      <c r="AN332" s="6"/>
      <c r="AO332" s="12"/>
      <c r="AP332" s="7"/>
      <c r="AQ332" s="6"/>
      <c r="AV332" s="3"/>
      <c r="AW332" s="3"/>
      <c r="AX332" s="3"/>
      <c r="AY332" s="3"/>
      <c r="AZ332" s="4"/>
      <c r="BA332" s="4"/>
      <c r="BB332" s="4"/>
      <c r="BC332" s="4"/>
      <c r="BD332" s="4"/>
      <c r="BE332" s="3"/>
      <c r="BJ332" s="9"/>
      <c r="BK332" s="9"/>
      <c r="BL332" s="9"/>
      <c r="BM332" s="3"/>
      <c r="BN332" s="3"/>
      <c r="BO332" s="3"/>
      <c r="BP332" s="3"/>
      <c r="BQ332" s="3"/>
      <c r="BR332" s="3"/>
    </row>
    <row r="333" spans="1:83" x14ac:dyDescent="0.3">
      <c r="A333" s="2">
        <v>9</v>
      </c>
      <c r="B333" s="2" t="s">
        <v>87</v>
      </c>
      <c r="C333" t="s">
        <v>88</v>
      </c>
      <c r="D333" s="5" t="s">
        <v>391</v>
      </c>
      <c r="E333" s="5" t="s">
        <v>93</v>
      </c>
      <c r="F333" s="17">
        <v>45243</v>
      </c>
      <c r="G333">
        <v>9</v>
      </c>
      <c r="H333" s="3">
        <v>17.100000000000001</v>
      </c>
      <c r="I333" s="3">
        <f t="shared" si="32"/>
        <v>16.64</v>
      </c>
      <c r="J333" s="3">
        <f t="shared" si="41"/>
        <v>1.2337499999999999</v>
      </c>
      <c r="K333" s="6">
        <f t="shared" si="33"/>
        <v>3989.8572883858265</v>
      </c>
      <c r="L333" s="4">
        <v>8.7799999999999994</v>
      </c>
      <c r="M333" s="4">
        <v>163.98</v>
      </c>
      <c r="N333" s="4">
        <v>155.19999999999999</v>
      </c>
      <c r="O333" s="4">
        <v>145.28</v>
      </c>
      <c r="P333" s="7">
        <f>(N333-O333)/N333*100</f>
        <v>6.39175257731958</v>
      </c>
      <c r="Q333" s="6">
        <f>K333*(1-P333/100)</f>
        <v>3734.8354823240525</v>
      </c>
      <c r="R333" s="14">
        <v>45244</v>
      </c>
      <c r="S333" s="4">
        <v>7.54</v>
      </c>
      <c r="T333" s="13">
        <v>3.0449999999999999</v>
      </c>
      <c r="U333" s="13">
        <v>5.1449999999999996</v>
      </c>
      <c r="V333" s="8">
        <f>(T333-$A$76)/(S333-$A$47*$A$48)</f>
        <v>0.3768747739978961</v>
      </c>
      <c r="W333" s="8">
        <f>(U333-$A$77)/(S333-$A$47*$A$48)</f>
        <v>0.46989996251275851</v>
      </c>
      <c r="X333" s="8">
        <f>1-V333-W333</f>
        <v>0.15322526348934534</v>
      </c>
      <c r="Y333" s="6">
        <f>K333*V333</f>
        <v>1503.6765638442669</v>
      </c>
      <c r="Z333" s="6">
        <f>K333*W333</f>
        <v>1874.8337902437561</v>
      </c>
      <c r="AA333" s="6">
        <f>SUM(Y333:Z333)</f>
        <v>3378.5103540880227</v>
      </c>
      <c r="AB333" s="6">
        <f>Q333*V333</f>
        <v>1407.5652783202006</v>
      </c>
      <c r="AC333" s="6">
        <f>Q333*W333</f>
        <v>1754.9990531353926</v>
      </c>
      <c r="AD333" s="6">
        <f>SUM(AB333:AC333)</f>
        <v>3162.5643314555932</v>
      </c>
      <c r="AE333" t="s">
        <v>553</v>
      </c>
      <c r="AF333" s="14">
        <v>45295</v>
      </c>
      <c r="AG333" s="6">
        <v>46.8</v>
      </c>
      <c r="AH333" s="11">
        <v>1.151</v>
      </c>
      <c r="AI333" s="6">
        <v>81.099999999999994</v>
      </c>
      <c r="AJ333" s="6">
        <v>29.2</v>
      </c>
      <c r="AK333" s="6">
        <v>5.3</v>
      </c>
      <c r="AL333" s="6">
        <v>79.599999999999994</v>
      </c>
      <c r="AM333" s="6">
        <v>9</v>
      </c>
      <c r="AN333" s="6" t="s">
        <v>133</v>
      </c>
      <c r="AO333" s="12">
        <v>13</v>
      </c>
      <c r="AP333" s="7">
        <v>0.12</v>
      </c>
      <c r="AQ333" s="6">
        <v>9.1999999999999993</v>
      </c>
      <c r="AV333" s="3"/>
      <c r="AW333" s="3"/>
      <c r="AX333" s="3"/>
      <c r="AY333" s="3"/>
      <c r="AZ333" s="4"/>
      <c r="BA333" s="4"/>
      <c r="BB333" s="4"/>
      <c r="BC333" s="4"/>
      <c r="BD333" s="4"/>
      <c r="BE333" s="3"/>
      <c r="BJ333" s="9"/>
      <c r="BK333" s="9"/>
      <c r="BL333" s="9"/>
      <c r="BM333" s="3"/>
      <c r="BN333" s="3"/>
      <c r="BO333" s="3"/>
      <c r="BP333" s="3"/>
      <c r="BQ333" s="3"/>
      <c r="BR333" s="3"/>
    </row>
    <row r="334" spans="1:83" x14ac:dyDescent="0.3">
      <c r="A334" s="2">
        <v>9</v>
      </c>
      <c r="B334" s="2" t="s">
        <v>137</v>
      </c>
      <c r="C334" t="s">
        <v>88</v>
      </c>
      <c r="D334" s="5" t="s">
        <v>392</v>
      </c>
      <c r="E334" s="5" t="s">
        <v>93</v>
      </c>
      <c r="F334" s="17">
        <v>45243</v>
      </c>
      <c r="G334">
        <v>9</v>
      </c>
      <c r="H334" s="3">
        <v>17.2</v>
      </c>
      <c r="I334" s="3">
        <f t="shared" si="32"/>
        <v>16.739999999999998</v>
      </c>
      <c r="J334" s="3">
        <f t="shared" si="41"/>
        <v>1.2337499999999999</v>
      </c>
      <c r="K334" s="6">
        <f t="shared" si="33"/>
        <v>4012.1797293307081</v>
      </c>
      <c r="L334" s="4"/>
      <c r="M334" s="4"/>
      <c r="N334" s="4"/>
      <c r="O334" s="4"/>
      <c r="P334" s="7"/>
      <c r="Q334" s="6"/>
      <c r="R334" s="5"/>
      <c r="S334" s="4"/>
      <c r="T334" s="13"/>
      <c r="U334" s="13"/>
      <c r="V334" s="5"/>
      <c r="W334" s="5"/>
      <c r="X334" s="5"/>
      <c r="Y334" s="5"/>
      <c r="Z334" s="5"/>
      <c r="AA334" s="5"/>
      <c r="AB334" s="5"/>
      <c r="AC334" s="5"/>
      <c r="AD334" s="5"/>
      <c r="AF334" s="5"/>
      <c r="AG334" s="6"/>
      <c r="AH334" s="11"/>
      <c r="AI334" s="6"/>
      <c r="AJ334" s="6"/>
      <c r="AK334" s="6"/>
      <c r="AL334" s="6"/>
      <c r="AM334" s="6"/>
      <c r="AN334" s="6"/>
      <c r="AO334" s="12"/>
      <c r="AP334" s="7"/>
      <c r="AQ334" s="6"/>
      <c r="AV334" s="3"/>
      <c r="AW334" s="3"/>
      <c r="AX334" s="3"/>
      <c r="AY334" s="3"/>
      <c r="AZ334" s="4"/>
      <c r="BA334" s="4"/>
      <c r="BB334" s="4"/>
      <c r="BC334" s="4"/>
      <c r="BD334" s="4"/>
      <c r="BE334" s="3"/>
      <c r="BJ334" s="9"/>
      <c r="BK334" s="9"/>
      <c r="BL334" s="9"/>
      <c r="BM334" s="3"/>
      <c r="BN334" s="3"/>
      <c r="BO334" s="3"/>
      <c r="BP334" s="3"/>
      <c r="BQ334" s="3"/>
      <c r="BR334" s="3"/>
    </row>
    <row r="335" spans="1:83" x14ac:dyDescent="0.3">
      <c r="A335" s="2">
        <v>9</v>
      </c>
      <c r="B335" s="2" t="s">
        <v>138</v>
      </c>
      <c r="C335" t="s">
        <v>88</v>
      </c>
      <c r="D335" s="5" t="s">
        <v>393</v>
      </c>
      <c r="E335" s="5" t="s">
        <v>93</v>
      </c>
      <c r="F335" s="17">
        <v>45243</v>
      </c>
      <c r="G335">
        <v>9</v>
      </c>
      <c r="H335" s="3">
        <v>17.3</v>
      </c>
      <c r="I335" s="3">
        <f t="shared" si="32"/>
        <v>16.84</v>
      </c>
      <c r="J335" s="3">
        <f t="shared" si="41"/>
        <v>1.2337499999999999</v>
      </c>
      <c r="K335" s="6">
        <f t="shared" si="33"/>
        <v>4034.5021702755903</v>
      </c>
      <c r="L335" s="4"/>
      <c r="M335" s="4"/>
      <c r="N335" s="4"/>
      <c r="O335" s="4"/>
      <c r="P335" s="7"/>
      <c r="Q335" s="6"/>
      <c r="R335" s="5"/>
      <c r="S335" s="4"/>
      <c r="T335" s="13"/>
      <c r="U335" s="13"/>
      <c r="V335" s="5"/>
      <c r="W335" s="5"/>
      <c r="X335" s="5"/>
      <c r="Y335" s="5"/>
      <c r="Z335" s="5"/>
      <c r="AA335" s="5"/>
      <c r="AB335" s="5"/>
      <c r="AC335" s="5"/>
      <c r="AD335" s="5"/>
      <c r="AF335" s="5"/>
      <c r="AG335" s="6"/>
      <c r="AH335" s="11"/>
      <c r="AI335" s="6"/>
      <c r="AJ335" s="6"/>
      <c r="AK335" s="6"/>
      <c r="AL335" s="6"/>
      <c r="AM335" s="6"/>
      <c r="AN335" s="6"/>
      <c r="AO335" s="12"/>
      <c r="AP335" s="7"/>
      <c r="AQ335" s="6"/>
      <c r="AV335" s="3"/>
      <c r="AW335" s="3"/>
      <c r="AX335" s="3"/>
      <c r="AY335" s="3"/>
      <c r="AZ335" s="4"/>
      <c r="BA335" s="4"/>
      <c r="BB335" s="4"/>
      <c r="BC335" s="4"/>
      <c r="BD335" s="4"/>
      <c r="BE335" s="3"/>
      <c r="BJ335" s="9"/>
      <c r="BK335" s="9"/>
      <c r="BL335" s="9"/>
      <c r="BM335" s="3"/>
      <c r="BN335" s="3"/>
      <c r="BO335" s="3"/>
      <c r="BP335" s="3"/>
      <c r="BQ335" s="3"/>
      <c r="BR335" s="3"/>
    </row>
    <row r="336" spans="1:83" x14ac:dyDescent="0.3">
      <c r="A336" s="2">
        <v>9</v>
      </c>
      <c r="B336" s="2" t="s">
        <v>139</v>
      </c>
      <c r="C336" t="s">
        <v>88</v>
      </c>
      <c r="D336" s="5" t="s">
        <v>394</v>
      </c>
      <c r="E336" s="5" t="s">
        <v>93</v>
      </c>
      <c r="F336" s="17">
        <v>45243</v>
      </c>
      <c r="G336">
        <v>9</v>
      </c>
      <c r="H336" s="3">
        <v>17.899999999999999</v>
      </c>
      <c r="I336" s="3">
        <f t="shared" si="32"/>
        <v>17.439999999999998</v>
      </c>
      <c r="J336" s="3">
        <f t="shared" si="41"/>
        <v>1.2337499999999999</v>
      </c>
      <c r="K336" s="6">
        <f t="shared" si="33"/>
        <v>4168.4368159448823</v>
      </c>
      <c r="L336" s="4"/>
      <c r="M336" s="4"/>
      <c r="N336" s="4"/>
      <c r="O336" s="4"/>
      <c r="P336" s="7"/>
      <c r="Q336" s="6"/>
      <c r="R336" s="5"/>
      <c r="S336" s="4"/>
      <c r="T336" s="13"/>
      <c r="U336" s="13"/>
      <c r="V336" s="5"/>
      <c r="W336" s="5"/>
      <c r="X336" s="5"/>
      <c r="Y336" s="5"/>
      <c r="Z336" s="5"/>
      <c r="AA336" s="5"/>
      <c r="AB336" s="5"/>
      <c r="AC336" s="5"/>
      <c r="AD336" s="5"/>
      <c r="AF336" s="5"/>
      <c r="AG336" s="6"/>
      <c r="AH336" s="11"/>
      <c r="AI336" s="6"/>
      <c r="AJ336" s="6"/>
      <c r="AK336" s="6"/>
      <c r="AL336" s="6"/>
      <c r="AM336" s="6"/>
      <c r="AN336" s="6"/>
      <c r="AO336" s="12"/>
      <c r="AP336" s="7"/>
      <c r="AQ336" s="6"/>
      <c r="AV336" s="3"/>
      <c r="AW336" s="3"/>
      <c r="AX336" s="3"/>
      <c r="AY336" s="3"/>
      <c r="AZ336" s="4"/>
      <c r="BA336" s="4"/>
      <c r="BB336" s="4"/>
      <c r="BC336" s="4"/>
      <c r="BD336" s="4"/>
      <c r="BE336" s="3"/>
      <c r="BJ336" s="9"/>
      <c r="BK336" s="9"/>
      <c r="BL336" s="9"/>
      <c r="BM336" s="3"/>
      <c r="BN336" s="3"/>
      <c r="BO336" s="3"/>
      <c r="BP336" s="3"/>
      <c r="BQ336" s="3"/>
      <c r="BR336" s="3"/>
    </row>
    <row r="337" spans="1:70" x14ac:dyDescent="0.3">
      <c r="A337" s="2">
        <v>9</v>
      </c>
      <c r="B337" s="2" t="s">
        <v>140</v>
      </c>
      <c r="C337" t="s">
        <v>88</v>
      </c>
      <c r="D337" s="5" t="s">
        <v>395</v>
      </c>
      <c r="E337" s="5" t="s">
        <v>93</v>
      </c>
      <c r="F337" s="17">
        <v>45243</v>
      </c>
      <c r="G337">
        <v>9</v>
      </c>
      <c r="H337" s="3">
        <v>13.6</v>
      </c>
      <c r="I337" s="3">
        <f t="shared" si="32"/>
        <v>13.139999999999999</v>
      </c>
      <c r="J337" s="3">
        <f t="shared" si="41"/>
        <v>1.2337499999999999</v>
      </c>
      <c r="K337" s="6">
        <f t="shared" si="33"/>
        <v>3208.5718553149604</v>
      </c>
      <c r="L337" s="4"/>
      <c r="M337" s="4"/>
      <c r="N337" s="4"/>
      <c r="O337" s="4"/>
      <c r="P337" s="7"/>
      <c r="Q337" s="6"/>
      <c r="R337" s="5"/>
      <c r="S337" s="4"/>
      <c r="T337" s="13"/>
      <c r="U337" s="13"/>
      <c r="V337" s="5"/>
      <c r="W337" s="5"/>
      <c r="X337" s="5"/>
      <c r="Y337" s="5"/>
      <c r="Z337" s="5"/>
      <c r="AA337" s="5"/>
      <c r="AB337" s="5"/>
      <c r="AC337" s="5"/>
      <c r="AD337" s="5"/>
      <c r="AF337" s="5"/>
      <c r="AG337" s="6"/>
      <c r="AH337" s="11"/>
      <c r="AI337" s="6"/>
      <c r="AJ337" s="6"/>
      <c r="AK337" s="6"/>
      <c r="AL337" s="6"/>
      <c r="AM337" s="6"/>
      <c r="AN337" s="6"/>
      <c r="AO337" s="12"/>
      <c r="AP337" s="7"/>
      <c r="AQ337" s="6"/>
      <c r="AV337" s="3"/>
      <c r="AW337" s="3"/>
      <c r="AX337" s="3"/>
      <c r="AY337" s="3"/>
      <c r="AZ337" s="4"/>
      <c r="BA337" s="4"/>
      <c r="BB337" s="4"/>
      <c r="BC337" s="4"/>
      <c r="BD337" s="4"/>
      <c r="BE337" s="3"/>
      <c r="BJ337" s="9"/>
      <c r="BK337" s="9"/>
      <c r="BL337" s="9"/>
      <c r="BM337" s="3"/>
      <c r="BN337" s="3"/>
      <c r="BO337" s="3"/>
      <c r="BP337" s="3"/>
      <c r="BQ337" s="3"/>
      <c r="BR337" s="3"/>
    </row>
    <row r="338" spans="1:70" x14ac:dyDescent="0.3">
      <c r="A338" s="2">
        <v>9</v>
      </c>
      <c r="B338" s="2" t="s">
        <v>141</v>
      </c>
      <c r="C338" t="s">
        <v>88</v>
      </c>
      <c r="D338" s="5" t="s">
        <v>396</v>
      </c>
      <c r="E338" s="5" t="s">
        <v>93</v>
      </c>
      <c r="F338" s="17">
        <v>45243</v>
      </c>
      <c r="G338">
        <v>9</v>
      </c>
      <c r="H338" s="3">
        <v>16.7</v>
      </c>
      <c r="I338" s="3">
        <f t="shared" si="32"/>
        <v>16.239999999999998</v>
      </c>
      <c r="J338" s="3">
        <f t="shared" si="41"/>
        <v>1.2337499999999999</v>
      </c>
      <c r="K338" s="6">
        <f t="shared" si="33"/>
        <v>3900.5675246062988</v>
      </c>
      <c r="L338" s="4"/>
      <c r="M338" s="4"/>
      <c r="N338" s="4"/>
      <c r="O338" s="4"/>
      <c r="P338" s="7"/>
      <c r="Q338" s="6"/>
      <c r="R338" s="5"/>
      <c r="S338" s="4"/>
      <c r="T338" s="13"/>
      <c r="U338" s="13"/>
      <c r="V338" s="5"/>
      <c r="W338" s="5"/>
      <c r="X338" s="5"/>
      <c r="Y338" s="5"/>
      <c r="Z338" s="5"/>
      <c r="AA338" s="5"/>
      <c r="AB338" s="5"/>
      <c r="AC338" s="5"/>
      <c r="AD338" s="5"/>
      <c r="AF338" s="5"/>
      <c r="AG338" s="6"/>
      <c r="AH338" s="11"/>
      <c r="AI338" s="6"/>
      <c r="AJ338" s="6"/>
      <c r="AK338" s="6"/>
      <c r="AL338" s="6"/>
      <c r="AM338" s="6"/>
      <c r="AN338" s="6"/>
      <c r="AO338" s="12"/>
      <c r="AP338" s="7"/>
      <c r="AQ338" s="6"/>
      <c r="AV338" s="3"/>
      <c r="AW338" s="3"/>
      <c r="AX338" s="3"/>
      <c r="AY338" s="3"/>
      <c r="AZ338" s="4"/>
      <c r="BA338" s="4"/>
      <c r="BB338" s="4"/>
      <c r="BC338" s="4"/>
      <c r="BD338" s="4"/>
      <c r="BE338" s="3"/>
      <c r="BJ338" s="9"/>
      <c r="BK338" s="9"/>
      <c r="BL338" s="9"/>
      <c r="BM338" s="3"/>
      <c r="BN338" s="3"/>
      <c r="BO338" s="3"/>
      <c r="BP338" s="3"/>
      <c r="BQ338" s="3"/>
      <c r="BR338" s="3"/>
    </row>
    <row r="339" spans="1:70" x14ac:dyDescent="0.3">
      <c r="A339" s="2">
        <v>9</v>
      </c>
      <c r="B339" s="2" t="s">
        <v>142</v>
      </c>
      <c r="C339" t="s">
        <v>88</v>
      </c>
      <c r="D339" s="5" t="s">
        <v>397</v>
      </c>
      <c r="E339" s="5" t="s">
        <v>93</v>
      </c>
      <c r="F339" s="17">
        <v>45243</v>
      </c>
      <c r="G339">
        <v>9</v>
      </c>
      <c r="H339" s="3">
        <v>13.5</v>
      </c>
      <c r="I339" s="3">
        <f t="shared" si="32"/>
        <v>13.04</v>
      </c>
      <c r="J339" s="3">
        <f t="shared" si="41"/>
        <v>1.2337499999999999</v>
      </c>
      <c r="K339" s="6">
        <f t="shared" si="33"/>
        <v>3186.2494143700787</v>
      </c>
      <c r="L339" s="4"/>
      <c r="M339" s="4"/>
      <c r="N339" s="4"/>
      <c r="O339" s="4"/>
      <c r="P339" s="7"/>
      <c r="Q339" s="6"/>
      <c r="R339" s="5"/>
      <c r="S339" s="4"/>
      <c r="T339" s="13"/>
      <c r="U339" s="13"/>
      <c r="V339" s="5"/>
      <c r="W339" s="5"/>
      <c r="X339" s="5"/>
      <c r="Y339" s="5"/>
      <c r="Z339" s="5"/>
      <c r="AA339" s="5"/>
      <c r="AB339" s="5"/>
      <c r="AC339" s="5"/>
      <c r="AD339" s="5"/>
      <c r="AF339" s="5"/>
      <c r="AG339" s="6"/>
      <c r="AH339" s="11"/>
      <c r="AI339" s="6"/>
      <c r="AJ339" s="6"/>
      <c r="AK339" s="6"/>
      <c r="AL339" s="6"/>
      <c r="AM339" s="6"/>
      <c r="AN339" s="6"/>
      <c r="AO339" s="12"/>
      <c r="AP339" s="7"/>
      <c r="AQ339" s="6"/>
      <c r="AV339" s="3"/>
      <c r="AW339" s="3"/>
      <c r="AX339" s="3"/>
      <c r="AY339" s="3"/>
      <c r="AZ339" s="4"/>
      <c r="BA339" s="4"/>
      <c r="BB339" s="4"/>
      <c r="BC339" s="4"/>
      <c r="BD339" s="4"/>
      <c r="BE339" s="3"/>
      <c r="BJ339" s="9"/>
      <c r="BK339" s="9"/>
      <c r="BL339" s="9"/>
      <c r="BM339" s="3"/>
      <c r="BN339" s="3"/>
      <c r="BO339" s="3"/>
      <c r="BP339" s="3"/>
      <c r="BQ339" s="3"/>
      <c r="BR339" s="3"/>
    </row>
    <row r="340" spans="1:70" x14ac:dyDescent="0.3">
      <c r="A340" s="2">
        <v>9</v>
      </c>
      <c r="B340" s="2" t="s">
        <v>143</v>
      </c>
      <c r="C340" t="s">
        <v>88</v>
      </c>
      <c r="D340" s="5" t="s">
        <v>398</v>
      </c>
      <c r="E340" s="5" t="s">
        <v>93</v>
      </c>
      <c r="F340" s="17">
        <v>45243</v>
      </c>
      <c r="G340">
        <v>9</v>
      </c>
      <c r="H340" s="3">
        <v>18.2</v>
      </c>
      <c r="I340" s="3">
        <f t="shared" si="32"/>
        <v>17.739999999999998</v>
      </c>
      <c r="J340" s="3">
        <f t="shared" si="41"/>
        <v>1.2337499999999999</v>
      </c>
      <c r="K340" s="6">
        <f t="shared" si="33"/>
        <v>4235.4041387795278</v>
      </c>
      <c r="L340" s="4"/>
      <c r="M340" s="4"/>
      <c r="N340" s="4"/>
      <c r="O340" s="4"/>
      <c r="P340" s="7"/>
      <c r="Q340" s="6"/>
      <c r="R340" s="5"/>
      <c r="S340" s="4"/>
      <c r="T340" s="13"/>
      <c r="U340" s="13"/>
      <c r="V340" s="5"/>
      <c r="W340" s="5"/>
      <c r="X340" s="5"/>
      <c r="Y340" s="5"/>
      <c r="Z340" s="5"/>
      <c r="AA340" s="5"/>
      <c r="AB340" s="5"/>
      <c r="AC340" s="5"/>
      <c r="AD340" s="5"/>
      <c r="AF340" s="5"/>
      <c r="AG340" s="6"/>
      <c r="AH340" s="11"/>
      <c r="AI340" s="6"/>
      <c r="AJ340" s="6"/>
      <c r="AK340" s="6"/>
      <c r="AL340" s="6"/>
      <c r="AM340" s="6"/>
      <c r="AN340" s="6"/>
      <c r="AO340" s="12"/>
      <c r="AP340" s="7"/>
      <c r="AQ340" s="6"/>
      <c r="AV340" s="3"/>
      <c r="AW340" s="3"/>
      <c r="AX340" s="3"/>
      <c r="AY340" s="3"/>
      <c r="AZ340" s="4"/>
      <c r="BA340" s="4"/>
      <c r="BB340" s="4"/>
      <c r="BC340" s="4"/>
      <c r="BD340" s="4"/>
      <c r="BE340" s="3"/>
      <c r="BJ340" s="9"/>
      <c r="BK340" s="9"/>
      <c r="BL340" s="9"/>
      <c r="BM340" s="3"/>
      <c r="BN340" s="3"/>
      <c r="BO340" s="3"/>
      <c r="BP340" s="3"/>
      <c r="BQ340" s="3"/>
      <c r="BR340" s="3"/>
    </row>
    <row r="341" spans="1:70" x14ac:dyDescent="0.3">
      <c r="A341" s="2">
        <v>9</v>
      </c>
      <c r="B341" s="2" t="s">
        <v>80</v>
      </c>
      <c r="C341" t="s">
        <v>89</v>
      </c>
      <c r="D341" s="5" t="s">
        <v>399</v>
      </c>
      <c r="E341" s="5" t="s">
        <v>93</v>
      </c>
      <c r="F341" s="17">
        <v>45243</v>
      </c>
      <c r="G341">
        <v>21</v>
      </c>
      <c r="H341" s="3">
        <v>15.8</v>
      </c>
      <c r="I341" s="3">
        <f t="shared" si="32"/>
        <v>15.34</v>
      </c>
      <c r="J341" s="3">
        <f>($A$71-$A$47)*$A$75</f>
        <v>1.2462499999999999</v>
      </c>
      <c r="K341" s="6">
        <f t="shared" si="33"/>
        <v>3702.4558612204723</v>
      </c>
      <c r="L341" s="4"/>
      <c r="M341" s="4"/>
      <c r="N341" s="4"/>
      <c r="O341" s="4"/>
      <c r="P341" s="7"/>
      <c r="Q341" s="6"/>
      <c r="R341" s="5"/>
      <c r="S341" s="4"/>
      <c r="T341" s="13"/>
      <c r="U341" s="13"/>
      <c r="V341" s="5"/>
      <c r="W341" s="5"/>
      <c r="X341" s="5"/>
      <c r="Y341" s="5"/>
      <c r="Z341" s="5"/>
      <c r="AA341" s="5"/>
      <c r="AB341" s="5"/>
      <c r="AC341" s="5"/>
      <c r="AD341" s="5"/>
      <c r="AF341" s="5"/>
      <c r="AG341" s="6"/>
      <c r="AH341" s="11"/>
      <c r="AI341" s="6"/>
      <c r="AJ341" s="6"/>
      <c r="AK341" s="6"/>
      <c r="AL341" s="6"/>
      <c r="AM341" s="6"/>
      <c r="AN341" s="6"/>
      <c r="AO341" s="12"/>
      <c r="AP341" s="7"/>
      <c r="AQ341" s="6"/>
      <c r="AV341" s="3"/>
      <c r="AW341" s="3"/>
      <c r="AX341" s="3"/>
      <c r="AY341" s="3"/>
      <c r="AZ341" s="4"/>
      <c r="BA341" s="4"/>
      <c r="BB341" s="4"/>
      <c r="BC341" s="4"/>
      <c r="BD341" s="4"/>
      <c r="BE341" s="3"/>
      <c r="BJ341" s="9"/>
      <c r="BK341" s="9"/>
      <c r="BL341" s="9"/>
      <c r="BM341" s="3"/>
      <c r="BN341" s="3"/>
      <c r="BO341" s="3"/>
      <c r="BP341" s="3"/>
      <c r="BQ341" s="3"/>
      <c r="BR341" s="3"/>
    </row>
    <row r="342" spans="1:70" x14ac:dyDescent="0.3">
      <c r="A342" s="2">
        <v>9</v>
      </c>
      <c r="B342" s="2" t="s">
        <v>81</v>
      </c>
      <c r="C342" t="s">
        <v>89</v>
      </c>
      <c r="D342" s="5" t="s">
        <v>400</v>
      </c>
      <c r="E342" s="5" t="s">
        <v>93</v>
      </c>
      <c r="F342" s="17">
        <v>45243</v>
      </c>
      <c r="G342">
        <v>21</v>
      </c>
      <c r="H342" s="3">
        <v>21.7</v>
      </c>
      <c r="I342" s="3">
        <f t="shared" si="32"/>
        <v>21.24</v>
      </c>
      <c r="J342" s="3">
        <f t="shared" ref="J342:J355" si="42">($A$71-$A$47)*$A$75</f>
        <v>1.2462499999999999</v>
      </c>
      <c r="K342" s="6">
        <f t="shared" si="33"/>
        <v>5019.479876968503</v>
      </c>
      <c r="L342" s="4"/>
      <c r="M342" s="4"/>
      <c r="N342" s="4"/>
      <c r="O342" s="4"/>
      <c r="P342" s="7"/>
      <c r="Q342" s="6"/>
      <c r="R342" s="5"/>
      <c r="S342" s="4"/>
      <c r="T342" s="13"/>
      <c r="U342" s="13"/>
      <c r="V342" s="5"/>
      <c r="W342" s="5"/>
      <c r="X342" s="5"/>
      <c r="Y342" s="5"/>
      <c r="Z342" s="5"/>
      <c r="AA342" s="5"/>
      <c r="AB342" s="5"/>
      <c r="AC342" s="5"/>
      <c r="AD342" s="5"/>
      <c r="AF342" s="5"/>
      <c r="AG342" s="6"/>
      <c r="AH342" s="11"/>
      <c r="AI342" s="6"/>
      <c r="AJ342" s="6"/>
      <c r="AK342" s="6"/>
      <c r="AL342" s="6"/>
      <c r="AM342" s="6"/>
      <c r="AN342" s="6"/>
      <c r="AO342" s="12"/>
      <c r="AP342" s="7"/>
      <c r="AQ342" s="6"/>
      <c r="AV342" s="3"/>
      <c r="AW342" s="3"/>
      <c r="AX342" s="3"/>
      <c r="AY342" s="3"/>
      <c r="AZ342" s="4"/>
      <c r="BA342" s="4"/>
      <c r="BB342" s="4"/>
      <c r="BC342" s="4"/>
      <c r="BD342" s="4"/>
      <c r="BE342" s="3"/>
      <c r="BJ342" s="9"/>
      <c r="BK342" s="9"/>
      <c r="BL342" s="9"/>
      <c r="BM342" s="3"/>
      <c r="BN342" s="3"/>
      <c r="BO342" s="3"/>
      <c r="BP342" s="3"/>
      <c r="BQ342" s="3"/>
      <c r="BR342" s="3"/>
    </row>
    <row r="343" spans="1:70" x14ac:dyDescent="0.3">
      <c r="A343" s="2">
        <v>9</v>
      </c>
      <c r="B343" s="2" t="s">
        <v>82</v>
      </c>
      <c r="C343" t="s">
        <v>89</v>
      </c>
      <c r="D343" s="5" t="s">
        <v>401</v>
      </c>
      <c r="E343" s="5" t="s">
        <v>93</v>
      </c>
      <c r="F343" s="17">
        <v>45243</v>
      </c>
      <c r="G343">
        <v>21</v>
      </c>
      <c r="H343" s="3">
        <v>17.899999999999999</v>
      </c>
      <c r="I343" s="3">
        <f t="shared" ref="I343:I406" si="43">H343-$A$47</f>
        <v>17.439999999999998</v>
      </c>
      <c r="J343" s="3">
        <f t="shared" si="42"/>
        <v>1.2462499999999999</v>
      </c>
      <c r="K343" s="6">
        <f t="shared" ref="K343:K406" si="44">(I343+J343)*$A$48/$A$49*$A$50</f>
        <v>4171.2271210629915</v>
      </c>
      <c r="L343" s="4"/>
      <c r="M343" s="4"/>
      <c r="N343" s="4"/>
      <c r="O343" s="4"/>
      <c r="P343" s="7"/>
      <c r="Q343" s="6"/>
      <c r="R343" s="5"/>
      <c r="S343" s="4"/>
      <c r="T343" s="13"/>
      <c r="U343" s="13"/>
      <c r="V343" s="5"/>
      <c r="W343" s="5"/>
      <c r="X343" s="5"/>
      <c r="Y343" s="5"/>
      <c r="Z343" s="5"/>
      <c r="AA343" s="5"/>
      <c r="AB343" s="5"/>
      <c r="AC343" s="5"/>
      <c r="AD343" s="5"/>
      <c r="AF343" s="5"/>
      <c r="AG343" s="6"/>
      <c r="AH343" s="11"/>
      <c r="AI343" s="6"/>
      <c r="AJ343" s="6"/>
      <c r="AK343" s="6"/>
      <c r="AL343" s="6"/>
      <c r="AM343" s="6"/>
      <c r="AN343" s="6"/>
      <c r="AO343" s="12"/>
      <c r="AP343" s="7"/>
      <c r="AQ343" s="6"/>
      <c r="AV343" s="3"/>
      <c r="AW343" s="3"/>
      <c r="AX343" s="3"/>
      <c r="AY343" s="3"/>
      <c r="AZ343" s="4"/>
      <c r="BA343" s="4"/>
      <c r="BB343" s="4"/>
      <c r="BC343" s="4"/>
      <c r="BD343" s="4"/>
      <c r="BE343" s="3"/>
      <c r="BJ343" s="9"/>
      <c r="BK343" s="9"/>
      <c r="BL343" s="9"/>
      <c r="BM343" s="3"/>
      <c r="BN343" s="3"/>
      <c r="BO343" s="3"/>
      <c r="BP343" s="3"/>
      <c r="BQ343" s="3"/>
      <c r="BR343" s="3"/>
    </row>
    <row r="344" spans="1:70" x14ac:dyDescent="0.3">
      <c r="A344" s="2">
        <v>9</v>
      </c>
      <c r="B344" s="2" t="s">
        <v>83</v>
      </c>
      <c r="C344" t="s">
        <v>89</v>
      </c>
      <c r="D344" s="5" t="s">
        <v>402</v>
      </c>
      <c r="E344" s="5" t="s">
        <v>93</v>
      </c>
      <c r="F344" s="17">
        <v>45243</v>
      </c>
      <c r="G344">
        <v>21</v>
      </c>
      <c r="H344" s="3">
        <v>26.4</v>
      </c>
      <c r="I344" s="3">
        <f t="shared" si="43"/>
        <v>25.939999999999998</v>
      </c>
      <c r="J344" s="3">
        <f t="shared" si="42"/>
        <v>1.2462499999999999</v>
      </c>
      <c r="K344" s="6">
        <f t="shared" si="44"/>
        <v>6068.6346013779521</v>
      </c>
      <c r="L344" s="4"/>
      <c r="M344" s="4"/>
      <c r="N344" s="4"/>
      <c r="O344" s="4"/>
      <c r="P344" s="7"/>
      <c r="Q344" s="6"/>
      <c r="R344" s="5"/>
      <c r="S344" s="4"/>
      <c r="T344" s="13"/>
      <c r="U344" s="13"/>
      <c r="V344" s="5"/>
      <c r="W344" s="5"/>
      <c r="X344" s="5"/>
      <c r="Y344" s="5"/>
      <c r="Z344" s="5"/>
      <c r="AA344" s="5"/>
      <c r="AB344" s="5"/>
      <c r="AC344" s="5"/>
      <c r="AD344" s="5"/>
      <c r="AF344" s="5"/>
      <c r="AG344" s="6"/>
      <c r="AH344" s="11"/>
      <c r="AI344" s="6"/>
      <c r="AJ344" s="6"/>
      <c r="AK344" s="6"/>
      <c r="AL344" s="6"/>
      <c r="AM344" s="6"/>
      <c r="AN344" s="6"/>
      <c r="AO344" s="12"/>
      <c r="AP344" s="7"/>
      <c r="AQ344" s="6"/>
      <c r="AV344" s="3"/>
      <c r="AW344" s="3"/>
      <c r="AX344" s="3"/>
      <c r="AY344" s="3"/>
      <c r="AZ344" s="4"/>
      <c r="BA344" s="4"/>
      <c r="BB344" s="4"/>
      <c r="BC344" s="4"/>
      <c r="BD344" s="4"/>
      <c r="BE344" s="3"/>
      <c r="BJ344" s="9"/>
      <c r="BK344" s="9"/>
      <c r="BL344" s="9"/>
      <c r="BM344" s="3"/>
      <c r="BN344" s="3"/>
      <c r="BO344" s="3"/>
      <c r="BP344" s="3"/>
      <c r="BQ344" s="3"/>
      <c r="BR344" s="3"/>
    </row>
    <row r="345" spans="1:70" x14ac:dyDescent="0.3">
      <c r="A345" s="2">
        <v>9</v>
      </c>
      <c r="B345" s="2" t="s">
        <v>84</v>
      </c>
      <c r="C345" t="s">
        <v>89</v>
      </c>
      <c r="D345" s="5" t="s">
        <v>403</v>
      </c>
      <c r="E345" s="5" t="s">
        <v>93</v>
      </c>
      <c r="F345" s="17">
        <v>45243</v>
      </c>
      <c r="G345">
        <v>21</v>
      </c>
      <c r="H345" s="3">
        <v>25.6</v>
      </c>
      <c r="I345" s="3">
        <f t="shared" si="43"/>
        <v>25.14</v>
      </c>
      <c r="J345" s="3">
        <f t="shared" si="42"/>
        <v>1.2462499999999999</v>
      </c>
      <c r="K345" s="6">
        <f t="shared" si="44"/>
        <v>5890.0550738188986</v>
      </c>
      <c r="L345" s="4"/>
      <c r="M345" s="4"/>
      <c r="N345" s="4"/>
      <c r="O345" s="4"/>
      <c r="P345" s="7"/>
      <c r="Q345" s="6"/>
      <c r="R345" s="5"/>
      <c r="S345" s="4"/>
      <c r="T345" s="13"/>
      <c r="U345" s="13"/>
      <c r="V345" s="5"/>
      <c r="W345" s="5"/>
      <c r="X345" s="5"/>
      <c r="Y345" s="5"/>
      <c r="Z345" s="5"/>
      <c r="AA345" s="5"/>
      <c r="AB345" s="5"/>
      <c r="AC345" s="5"/>
      <c r="AD345" s="5"/>
      <c r="AF345" s="5"/>
      <c r="AG345" s="6"/>
      <c r="AH345" s="11"/>
      <c r="AI345" s="6"/>
      <c r="AJ345" s="6"/>
      <c r="AK345" s="6"/>
      <c r="AL345" s="6"/>
      <c r="AM345" s="6"/>
      <c r="AN345" s="6"/>
      <c r="AO345" s="12"/>
      <c r="AP345" s="7"/>
      <c r="AQ345" s="6"/>
      <c r="AV345" s="3"/>
      <c r="AW345" s="3"/>
      <c r="AX345" s="3"/>
      <c r="AY345" s="3"/>
      <c r="AZ345" s="4"/>
      <c r="BA345" s="4"/>
      <c r="BB345" s="4"/>
      <c r="BC345" s="4"/>
      <c r="BD345" s="4"/>
      <c r="BE345" s="3"/>
      <c r="BJ345" s="9"/>
      <c r="BK345" s="9"/>
      <c r="BL345" s="9"/>
      <c r="BM345" s="3"/>
      <c r="BN345" s="3"/>
      <c r="BO345" s="3"/>
      <c r="BP345" s="3"/>
      <c r="BQ345" s="3"/>
      <c r="BR345" s="3"/>
    </row>
    <row r="346" spans="1:70" x14ac:dyDescent="0.3">
      <c r="A346" s="2">
        <v>9</v>
      </c>
      <c r="B346" s="2" t="s">
        <v>85</v>
      </c>
      <c r="C346" t="s">
        <v>89</v>
      </c>
      <c r="D346" s="5" t="s">
        <v>404</v>
      </c>
      <c r="E346" s="5" t="s">
        <v>93</v>
      </c>
      <c r="F346" s="17">
        <v>45243</v>
      </c>
      <c r="G346">
        <v>21</v>
      </c>
      <c r="H346" s="3">
        <v>25.4</v>
      </c>
      <c r="I346" s="3">
        <f t="shared" si="43"/>
        <v>24.939999999999998</v>
      </c>
      <c r="J346" s="3">
        <f t="shared" si="42"/>
        <v>1.2462499999999999</v>
      </c>
      <c r="K346" s="6">
        <f t="shared" si="44"/>
        <v>5845.4101919291334</v>
      </c>
      <c r="L346" s="4"/>
      <c r="M346" s="4"/>
      <c r="N346" s="4"/>
      <c r="O346" s="4"/>
      <c r="P346" s="7"/>
      <c r="Q346" s="6"/>
      <c r="R346" s="5"/>
      <c r="S346" s="4"/>
      <c r="T346" s="13"/>
      <c r="U346" s="13"/>
      <c r="V346" s="5"/>
      <c r="W346" s="5"/>
      <c r="X346" s="5"/>
      <c r="Y346" s="5"/>
      <c r="Z346" s="5"/>
      <c r="AA346" s="5"/>
      <c r="AB346" s="5"/>
      <c r="AC346" s="5"/>
      <c r="AD346" s="5"/>
      <c r="AF346" s="5"/>
      <c r="AG346" s="6"/>
      <c r="AH346" s="11"/>
      <c r="AI346" s="6"/>
      <c r="AJ346" s="6"/>
      <c r="AK346" s="6"/>
      <c r="AL346" s="6"/>
      <c r="AM346" s="6"/>
      <c r="AN346" s="6"/>
      <c r="AO346" s="12"/>
      <c r="AP346" s="7"/>
      <c r="AQ346" s="6"/>
      <c r="AV346" s="3"/>
      <c r="AW346" s="3"/>
      <c r="AX346" s="3"/>
      <c r="AY346" s="3"/>
      <c r="AZ346" s="4"/>
      <c r="BA346" s="4"/>
      <c r="BB346" s="4"/>
      <c r="BC346" s="4"/>
      <c r="BD346" s="4"/>
      <c r="BE346" s="3"/>
      <c r="BJ346" s="9"/>
      <c r="BK346" s="9"/>
      <c r="BL346" s="9"/>
      <c r="BM346" s="3"/>
      <c r="BN346" s="3"/>
      <c r="BO346" s="3"/>
      <c r="BP346" s="3"/>
      <c r="BQ346" s="3"/>
      <c r="BR346" s="3"/>
    </row>
    <row r="347" spans="1:70" x14ac:dyDescent="0.3">
      <c r="A347" s="2">
        <v>9</v>
      </c>
      <c r="B347" s="2" t="s">
        <v>86</v>
      </c>
      <c r="C347" t="s">
        <v>89</v>
      </c>
      <c r="D347" s="5" t="s">
        <v>405</v>
      </c>
      <c r="E347" s="5" t="s">
        <v>93</v>
      </c>
      <c r="F347" s="17">
        <v>45243</v>
      </c>
      <c r="G347">
        <v>21</v>
      </c>
      <c r="H347" s="3">
        <v>20.7</v>
      </c>
      <c r="I347" s="3">
        <f t="shared" si="43"/>
        <v>20.239999999999998</v>
      </c>
      <c r="J347" s="3">
        <f t="shared" si="42"/>
        <v>1.2462499999999999</v>
      </c>
      <c r="K347" s="6">
        <f t="shared" si="44"/>
        <v>4796.2554675196843</v>
      </c>
      <c r="L347" s="4"/>
      <c r="M347" s="4"/>
      <c r="N347" s="4"/>
      <c r="O347" s="4"/>
      <c r="P347" s="7"/>
      <c r="Q347" s="6"/>
      <c r="R347" s="5"/>
      <c r="S347" s="4"/>
      <c r="T347" s="13"/>
      <c r="U347" s="13"/>
      <c r="V347" s="5"/>
      <c r="W347" s="5"/>
      <c r="X347" s="5"/>
      <c r="Y347" s="5"/>
      <c r="Z347" s="5"/>
      <c r="AA347" s="5"/>
      <c r="AB347" s="5"/>
      <c r="AC347" s="5"/>
      <c r="AD347" s="5"/>
      <c r="AF347" s="5"/>
      <c r="AG347" s="6"/>
      <c r="AH347" s="11"/>
      <c r="AI347" s="6"/>
      <c r="AJ347" s="6"/>
      <c r="AK347" s="6"/>
      <c r="AL347" s="6"/>
      <c r="AM347" s="6"/>
      <c r="AN347" s="6"/>
      <c r="AO347" s="12"/>
      <c r="AP347" s="7"/>
      <c r="AQ347" s="6"/>
      <c r="AV347" s="3"/>
      <c r="AW347" s="3"/>
      <c r="AX347" s="3"/>
      <c r="AY347" s="3"/>
      <c r="AZ347" s="4"/>
      <c r="BA347" s="4"/>
      <c r="BB347" s="4"/>
      <c r="BC347" s="4"/>
      <c r="BD347" s="4"/>
      <c r="BE347" s="3"/>
      <c r="BJ347" s="9"/>
      <c r="BK347" s="9"/>
      <c r="BL347" s="9"/>
      <c r="BM347" s="3"/>
      <c r="BN347" s="3"/>
      <c r="BO347" s="3"/>
      <c r="BP347" s="3"/>
      <c r="BQ347" s="3"/>
      <c r="BR347" s="3"/>
    </row>
    <row r="348" spans="1:70" x14ac:dyDescent="0.3">
      <c r="A348" s="2">
        <v>9</v>
      </c>
      <c r="B348" s="2" t="s">
        <v>87</v>
      </c>
      <c r="C348" t="s">
        <v>89</v>
      </c>
      <c r="D348" s="5" t="s">
        <v>406</v>
      </c>
      <c r="E348" s="5" t="s">
        <v>93</v>
      </c>
      <c r="F348" s="17">
        <v>45243</v>
      </c>
      <c r="G348">
        <v>21</v>
      </c>
      <c r="H348" s="3">
        <v>24.4</v>
      </c>
      <c r="I348" s="3">
        <f t="shared" si="43"/>
        <v>23.939999999999998</v>
      </c>
      <c r="J348" s="3">
        <f t="shared" si="42"/>
        <v>1.2462499999999999</v>
      </c>
      <c r="K348" s="6">
        <f t="shared" si="44"/>
        <v>5622.1857824803146</v>
      </c>
      <c r="L348" s="4">
        <v>10.81</v>
      </c>
      <c r="M348" s="4">
        <v>208.78</v>
      </c>
      <c r="N348" s="4">
        <v>197.97</v>
      </c>
      <c r="O348" s="4">
        <v>188.28</v>
      </c>
      <c r="P348" s="7">
        <f>(N348-O348)/N348*100</f>
        <v>4.8946810122745861</v>
      </c>
      <c r="Q348" s="6">
        <f>K348*(1-P348/100)</f>
        <v>5346.9977225104494</v>
      </c>
      <c r="R348" s="14">
        <v>45244</v>
      </c>
      <c r="S348" s="4">
        <v>10.79</v>
      </c>
      <c r="T348" s="13">
        <v>4.25</v>
      </c>
      <c r="U348" s="13">
        <v>6.7</v>
      </c>
      <c r="V348" s="8">
        <f>(T348-$A$76)/(S348-$A$47*$A$48)</f>
        <v>0.3749994915581491</v>
      </c>
      <c r="W348" s="8">
        <f>(U348-$A$77)/(S348-$A$47*$A$48)</f>
        <v>0.47252960125774834</v>
      </c>
      <c r="X348" s="8">
        <f>1-V348-W348</f>
        <v>0.1524709071841025</v>
      </c>
      <c r="Y348" s="6">
        <f>K348*V348</f>
        <v>2108.3168098755727</v>
      </c>
      <c r="Z348" s="6">
        <f>K348*W348</f>
        <v>2656.6492059924049</v>
      </c>
      <c r="AA348" s="6">
        <f>SUM(Y348:Z348)</f>
        <v>4764.9660158679781</v>
      </c>
      <c r="AB348" s="6">
        <f>Q348*V348</f>
        <v>2005.1214273039998</v>
      </c>
      <c r="AC348" s="6">
        <f>Q348*W348</f>
        <v>2526.6147017439512</v>
      </c>
      <c r="AD348" s="6">
        <f>SUM(AB348:AC348)</f>
        <v>4531.7361290479512</v>
      </c>
      <c r="AE348" t="s">
        <v>554</v>
      </c>
      <c r="AF348" s="14">
        <v>45295</v>
      </c>
      <c r="AG348" s="6">
        <v>47.599999999999994</v>
      </c>
      <c r="AH348" s="11">
        <v>1.1339999999999999</v>
      </c>
      <c r="AI348" s="6">
        <v>82.3</v>
      </c>
      <c r="AJ348" s="6">
        <v>30</v>
      </c>
      <c r="AK348" s="6">
        <v>5.3</v>
      </c>
      <c r="AL348" s="6">
        <v>81.8</v>
      </c>
      <c r="AM348" s="6">
        <v>8.9</v>
      </c>
      <c r="AN348" s="6" t="s">
        <v>136</v>
      </c>
      <c r="AO348" s="12">
        <v>9</v>
      </c>
      <c r="AP348" s="7">
        <v>0.11</v>
      </c>
      <c r="AQ348" s="6">
        <v>8.8000000000000007</v>
      </c>
      <c r="AV348" s="3"/>
      <c r="AW348" s="3"/>
      <c r="AX348" s="3"/>
      <c r="AY348" s="3"/>
      <c r="AZ348" s="4"/>
      <c r="BA348" s="4"/>
      <c r="BB348" s="4"/>
      <c r="BC348" s="4"/>
      <c r="BD348" s="4"/>
      <c r="BE348" s="3"/>
      <c r="BJ348" s="9"/>
      <c r="BK348" s="9"/>
      <c r="BL348" s="9"/>
      <c r="BM348" s="3"/>
      <c r="BN348" s="3"/>
      <c r="BO348" s="3"/>
      <c r="BP348" s="3"/>
      <c r="BQ348" s="3"/>
      <c r="BR348" s="3"/>
    </row>
    <row r="349" spans="1:70" x14ac:dyDescent="0.3">
      <c r="A349" s="2">
        <v>9</v>
      </c>
      <c r="B349" s="2" t="s">
        <v>137</v>
      </c>
      <c r="C349" t="s">
        <v>89</v>
      </c>
      <c r="D349" s="5" t="s">
        <v>407</v>
      </c>
      <c r="E349" s="5" t="s">
        <v>93</v>
      </c>
      <c r="F349" s="17">
        <v>45243</v>
      </c>
      <c r="G349">
        <v>21</v>
      </c>
      <c r="H349" s="3">
        <v>23.6</v>
      </c>
      <c r="I349" s="3">
        <f t="shared" si="43"/>
        <v>23.14</v>
      </c>
      <c r="J349" s="3">
        <f t="shared" si="42"/>
        <v>1.2462499999999999</v>
      </c>
      <c r="K349" s="6">
        <f t="shared" si="44"/>
        <v>5443.6062549212593</v>
      </c>
      <c r="L349" s="4"/>
      <c r="M349" s="4"/>
      <c r="N349" s="4"/>
      <c r="O349" s="4"/>
      <c r="P349" s="7"/>
      <c r="Q349" s="6"/>
      <c r="R349" s="5"/>
      <c r="S349" s="4"/>
      <c r="T349" s="13"/>
      <c r="U349" s="13"/>
      <c r="V349" s="5"/>
      <c r="W349" s="5"/>
      <c r="X349" s="5"/>
      <c r="Y349" s="5"/>
      <c r="Z349" s="5"/>
      <c r="AA349" s="5"/>
      <c r="AB349" s="5"/>
      <c r="AC349" s="5"/>
      <c r="AD349" s="5"/>
      <c r="AF349" s="5"/>
      <c r="AG349" s="6"/>
      <c r="AH349" s="11"/>
      <c r="AI349" s="6"/>
      <c r="AJ349" s="6"/>
      <c r="AK349" s="6"/>
      <c r="AL349" s="6"/>
      <c r="AM349" s="6"/>
      <c r="AN349" s="6"/>
      <c r="AO349" s="12"/>
      <c r="AP349" s="7"/>
      <c r="AQ349" s="6"/>
      <c r="AS349" s="4"/>
      <c r="AV349" s="3"/>
      <c r="AW349" s="3"/>
      <c r="AX349" s="3"/>
      <c r="AY349" s="3"/>
      <c r="AZ349" s="4"/>
      <c r="BA349" s="4"/>
      <c r="BB349" s="4"/>
      <c r="BC349" s="4"/>
      <c r="BD349" s="4"/>
      <c r="BE349" s="3"/>
      <c r="BJ349" s="9"/>
      <c r="BK349" s="9"/>
      <c r="BL349" s="9"/>
      <c r="BM349" s="3"/>
      <c r="BN349" s="3"/>
      <c r="BO349" s="3"/>
      <c r="BP349" s="3"/>
      <c r="BQ349" s="3"/>
      <c r="BR349" s="3"/>
    </row>
    <row r="350" spans="1:70" x14ac:dyDescent="0.3">
      <c r="A350" s="2">
        <v>9</v>
      </c>
      <c r="B350" s="2" t="s">
        <v>138</v>
      </c>
      <c r="C350" t="s">
        <v>89</v>
      </c>
      <c r="D350" s="5" t="s">
        <v>408</v>
      </c>
      <c r="E350" s="5" t="s">
        <v>93</v>
      </c>
      <c r="F350" s="17">
        <v>45243</v>
      </c>
      <c r="G350">
        <v>21</v>
      </c>
      <c r="H350" s="3">
        <v>25.8</v>
      </c>
      <c r="I350" s="3">
        <f t="shared" si="43"/>
        <v>25.34</v>
      </c>
      <c r="J350" s="3">
        <f t="shared" si="42"/>
        <v>1.2462499999999999</v>
      </c>
      <c r="K350" s="6">
        <f t="shared" si="44"/>
        <v>5934.699955708661</v>
      </c>
      <c r="L350" s="4"/>
      <c r="M350" s="4"/>
      <c r="N350" s="4"/>
      <c r="O350" s="4"/>
      <c r="P350" s="7"/>
      <c r="Q350" s="6"/>
      <c r="R350" s="5"/>
      <c r="S350" s="4"/>
      <c r="T350" s="13"/>
      <c r="U350" s="13"/>
      <c r="V350" s="5"/>
      <c r="W350" s="5"/>
      <c r="X350" s="5"/>
      <c r="Y350" s="5"/>
      <c r="Z350" s="5"/>
      <c r="AA350" s="5"/>
      <c r="AB350" s="5"/>
      <c r="AC350" s="5"/>
      <c r="AD350" s="5"/>
      <c r="AF350" s="5"/>
      <c r="AG350" s="6"/>
      <c r="AH350" s="11"/>
      <c r="AI350" s="6"/>
      <c r="AJ350" s="6"/>
      <c r="AK350" s="6"/>
      <c r="AL350" s="6"/>
      <c r="AM350" s="6"/>
      <c r="AN350" s="6"/>
      <c r="AO350" s="12"/>
      <c r="AP350" s="7"/>
      <c r="AQ350" s="6"/>
      <c r="AV350" s="3"/>
      <c r="AW350" s="3"/>
      <c r="AX350" s="3"/>
      <c r="AY350" s="3"/>
      <c r="AZ350" s="4"/>
      <c r="BA350" s="4"/>
      <c r="BB350" s="4"/>
      <c r="BC350" s="4"/>
      <c r="BD350" s="4"/>
      <c r="BE350" s="3"/>
      <c r="BJ350" s="9"/>
      <c r="BK350" s="9"/>
      <c r="BL350" s="9"/>
      <c r="BM350" s="3"/>
      <c r="BN350" s="3"/>
      <c r="BO350" s="3"/>
      <c r="BP350" s="3"/>
      <c r="BQ350" s="3"/>
      <c r="BR350" s="3"/>
    </row>
    <row r="351" spans="1:70" x14ac:dyDescent="0.3">
      <c r="A351" s="2">
        <v>9</v>
      </c>
      <c r="B351" s="2" t="s">
        <v>139</v>
      </c>
      <c r="C351" t="s">
        <v>89</v>
      </c>
      <c r="D351" s="5" t="s">
        <v>409</v>
      </c>
      <c r="E351" s="5" t="s">
        <v>93</v>
      </c>
      <c r="F351" s="17">
        <v>45243</v>
      </c>
      <c r="G351">
        <v>21</v>
      </c>
      <c r="H351" s="3">
        <v>22.3</v>
      </c>
      <c r="I351" s="3">
        <f t="shared" si="43"/>
        <v>21.84</v>
      </c>
      <c r="J351" s="3">
        <f t="shared" si="42"/>
        <v>1.2462499999999999</v>
      </c>
      <c r="K351" s="6">
        <f t="shared" si="44"/>
        <v>5153.414522637795</v>
      </c>
      <c r="L351" s="4"/>
      <c r="M351" s="4"/>
      <c r="N351" s="4"/>
      <c r="O351" s="4"/>
      <c r="P351" s="7"/>
      <c r="Q351" s="6"/>
      <c r="R351" s="5"/>
      <c r="S351" s="4"/>
      <c r="T351" s="13"/>
      <c r="U351" s="13"/>
      <c r="V351" s="5"/>
      <c r="W351" s="5"/>
      <c r="X351" s="5"/>
      <c r="Y351" s="5"/>
      <c r="Z351" s="5"/>
      <c r="AA351" s="5"/>
      <c r="AB351" s="5"/>
      <c r="AC351" s="5"/>
      <c r="AD351" s="5"/>
      <c r="AF351" s="5"/>
      <c r="AG351" s="6"/>
      <c r="AH351" s="11"/>
      <c r="AI351" s="6"/>
      <c r="AJ351" s="6"/>
      <c r="AK351" s="6"/>
      <c r="AL351" s="6"/>
      <c r="AM351" s="6"/>
      <c r="AN351" s="6"/>
      <c r="AO351" s="12"/>
      <c r="AP351" s="7"/>
      <c r="AQ351" s="6"/>
      <c r="AV351" s="3"/>
      <c r="AW351" s="3"/>
      <c r="AX351" s="3"/>
      <c r="AY351" s="3"/>
      <c r="AZ351" s="4"/>
      <c r="BA351" s="4"/>
      <c r="BB351" s="4"/>
      <c r="BC351" s="4"/>
      <c r="BD351" s="4"/>
      <c r="BE351" s="3"/>
      <c r="BJ351" s="9"/>
      <c r="BK351" s="9"/>
      <c r="BL351" s="9"/>
      <c r="BM351" s="3"/>
      <c r="BN351" s="3"/>
      <c r="BO351" s="3"/>
      <c r="BP351" s="3"/>
      <c r="BQ351" s="3"/>
      <c r="BR351" s="3"/>
    </row>
    <row r="352" spans="1:70" x14ac:dyDescent="0.3">
      <c r="A352" s="2">
        <v>9</v>
      </c>
      <c r="B352" s="2" t="s">
        <v>140</v>
      </c>
      <c r="C352" t="s">
        <v>89</v>
      </c>
      <c r="D352" s="5" t="s">
        <v>410</v>
      </c>
      <c r="E352" s="5" t="s">
        <v>93</v>
      </c>
      <c r="F352" s="17">
        <v>45243</v>
      </c>
      <c r="G352">
        <v>21</v>
      </c>
      <c r="H352" s="3">
        <v>24.6</v>
      </c>
      <c r="I352" s="3">
        <f t="shared" si="43"/>
        <v>24.14</v>
      </c>
      <c r="J352" s="3">
        <f t="shared" si="42"/>
        <v>1.2462499999999999</v>
      </c>
      <c r="K352" s="6">
        <f t="shared" si="44"/>
        <v>5666.830664370078</v>
      </c>
      <c r="L352" s="4"/>
      <c r="M352" s="4"/>
      <c r="N352" s="4"/>
      <c r="O352" s="4"/>
      <c r="P352" s="7"/>
      <c r="Q352" s="6"/>
      <c r="R352" s="5"/>
      <c r="S352" s="4"/>
      <c r="T352" s="13"/>
      <c r="U352" s="13"/>
      <c r="V352" s="5"/>
      <c r="W352" s="5"/>
      <c r="X352" s="5"/>
      <c r="Y352" s="5"/>
      <c r="Z352" s="5"/>
      <c r="AA352" s="5"/>
      <c r="AB352" s="5"/>
      <c r="AC352" s="5"/>
      <c r="AD352" s="5"/>
      <c r="AF352" s="5"/>
      <c r="AG352" s="6"/>
      <c r="AH352" s="11"/>
      <c r="AI352" s="6"/>
      <c r="AJ352" s="6"/>
      <c r="AK352" s="6"/>
      <c r="AL352" s="6"/>
      <c r="AM352" s="6"/>
      <c r="AN352" s="6"/>
      <c r="AO352" s="12"/>
      <c r="AP352" s="7"/>
      <c r="AQ352" s="6"/>
      <c r="AV352" s="3"/>
      <c r="AW352" s="3"/>
      <c r="AX352" s="3"/>
      <c r="AY352" s="3"/>
      <c r="AZ352" s="4"/>
      <c r="BA352" s="4"/>
      <c r="BB352" s="4"/>
      <c r="BC352" s="4"/>
      <c r="BD352" s="4"/>
      <c r="BE352" s="3"/>
      <c r="BJ352" s="9"/>
      <c r="BK352" s="9"/>
      <c r="BL352" s="9"/>
      <c r="BM352" s="3"/>
      <c r="BN352" s="3"/>
      <c r="BO352" s="3"/>
      <c r="BP352" s="3"/>
      <c r="BQ352" s="3"/>
      <c r="BR352" s="3"/>
    </row>
    <row r="353" spans="1:83" x14ac:dyDescent="0.3">
      <c r="A353" s="2">
        <v>9</v>
      </c>
      <c r="B353" s="2" t="s">
        <v>141</v>
      </c>
      <c r="C353" t="s">
        <v>89</v>
      </c>
      <c r="D353" s="5" t="s">
        <v>411</v>
      </c>
      <c r="E353" s="5" t="s">
        <v>93</v>
      </c>
      <c r="F353" s="17">
        <v>45243</v>
      </c>
      <c r="G353">
        <v>21</v>
      </c>
      <c r="H353" s="3">
        <v>20</v>
      </c>
      <c r="I353" s="3">
        <f t="shared" si="43"/>
        <v>19.54</v>
      </c>
      <c r="J353" s="3">
        <f t="shared" si="42"/>
        <v>1.2462499999999999</v>
      </c>
      <c r="K353" s="6">
        <f t="shared" si="44"/>
        <v>4639.998380905512</v>
      </c>
      <c r="L353" s="4"/>
      <c r="M353" s="4"/>
      <c r="N353" s="4"/>
      <c r="O353" s="4"/>
      <c r="P353" s="7"/>
      <c r="Q353" s="6"/>
      <c r="R353" s="5"/>
      <c r="S353" s="4"/>
      <c r="T353" s="13"/>
      <c r="U353" s="13"/>
      <c r="V353" s="5"/>
      <c r="W353" s="5"/>
      <c r="X353" s="5"/>
      <c r="Y353" s="5"/>
      <c r="Z353" s="5"/>
      <c r="AA353" s="5"/>
      <c r="AB353" s="5"/>
      <c r="AC353" s="5"/>
      <c r="AD353" s="5"/>
      <c r="AF353" s="5"/>
      <c r="AG353" s="6"/>
      <c r="AH353" s="11"/>
      <c r="AI353" s="6"/>
      <c r="AJ353" s="6"/>
      <c r="AK353" s="6"/>
      <c r="AL353" s="6"/>
      <c r="AM353" s="6"/>
      <c r="AN353" s="6"/>
      <c r="AO353" s="12"/>
      <c r="AP353" s="7"/>
      <c r="AQ353" s="6"/>
      <c r="AV353" s="3"/>
      <c r="AW353" s="3"/>
      <c r="AX353" s="3"/>
      <c r="AY353" s="3"/>
      <c r="AZ353" s="4"/>
      <c r="BA353" s="4"/>
      <c r="BB353" s="4"/>
      <c r="BC353" s="4"/>
      <c r="BD353" s="4"/>
      <c r="BE353" s="3"/>
      <c r="BJ353" s="9"/>
      <c r="BK353" s="9"/>
      <c r="BL353" s="9"/>
      <c r="BM353" s="3"/>
      <c r="BN353" s="3"/>
      <c r="BO353" s="3"/>
      <c r="BP353" s="3"/>
      <c r="BQ353" s="3"/>
      <c r="BR353" s="3"/>
    </row>
    <row r="354" spans="1:83" x14ac:dyDescent="0.3">
      <c r="A354" s="2">
        <v>9</v>
      </c>
      <c r="B354" s="2" t="s">
        <v>142</v>
      </c>
      <c r="C354" t="s">
        <v>89</v>
      </c>
      <c r="D354" s="5" t="s">
        <v>412</v>
      </c>
      <c r="E354" s="5" t="s">
        <v>93</v>
      </c>
      <c r="F354" s="17">
        <v>45243</v>
      </c>
      <c r="G354">
        <v>21</v>
      </c>
      <c r="H354" s="3">
        <v>24.1</v>
      </c>
      <c r="I354" s="3">
        <f t="shared" si="43"/>
        <v>23.64</v>
      </c>
      <c r="J354" s="3">
        <f t="shared" si="42"/>
        <v>1.2462499999999999</v>
      </c>
      <c r="K354" s="6">
        <f t="shared" si="44"/>
        <v>5555.2184596456691</v>
      </c>
      <c r="L354" s="4"/>
      <c r="M354" s="4"/>
      <c r="N354" s="4"/>
      <c r="O354" s="4"/>
      <c r="P354" s="7"/>
      <c r="Q354" s="6"/>
      <c r="R354" s="5"/>
      <c r="S354" s="4"/>
      <c r="T354" s="13"/>
      <c r="U354" s="13"/>
      <c r="V354" s="5"/>
      <c r="W354" s="5"/>
      <c r="X354" s="5"/>
      <c r="Y354" s="5"/>
      <c r="Z354" s="5"/>
      <c r="AA354" s="5"/>
      <c r="AB354" s="5"/>
      <c r="AC354" s="5"/>
      <c r="AD354" s="5"/>
      <c r="AF354" s="5"/>
      <c r="AG354" s="6"/>
      <c r="AH354" s="11"/>
      <c r="AI354" s="6"/>
      <c r="AJ354" s="6"/>
      <c r="AK354" s="6"/>
      <c r="AL354" s="6"/>
      <c r="AM354" s="6"/>
      <c r="AN354" s="6"/>
      <c r="AO354" s="12"/>
      <c r="AP354" s="7"/>
      <c r="AQ354" s="6"/>
      <c r="AV354" s="3"/>
      <c r="AW354" s="3"/>
      <c r="AX354" s="3"/>
      <c r="AY354" s="3"/>
      <c r="AZ354" s="4"/>
      <c r="BA354" s="4"/>
      <c r="BB354" s="4"/>
      <c r="BC354" s="4"/>
      <c r="BD354" s="4"/>
      <c r="BE354" s="3"/>
      <c r="BJ354" s="9"/>
      <c r="BK354" s="9"/>
      <c r="BL354" s="9"/>
      <c r="BM354" s="3"/>
      <c r="BN354" s="3"/>
      <c r="BO354" s="3"/>
      <c r="BP354" s="3"/>
      <c r="BQ354" s="3"/>
      <c r="BR354" s="3"/>
    </row>
    <row r="355" spans="1:83" x14ac:dyDescent="0.3">
      <c r="A355" s="2">
        <v>9</v>
      </c>
      <c r="B355" s="2" t="s">
        <v>143</v>
      </c>
      <c r="C355" t="s">
        <v>89</v>
      </c>
      <c r="D355" s="5" t="s">
        <v>413</v>
      </c>
      <c r="E355" s="5" t="s">
        <v>93</v>
      </c>
      <c r="F355" s="17">
        <v>45243</v>
      </c>
      <c r="G355">
        <v>21</v>
      </c>
      <c r="H355" s="3">
        <v>20.7</v>
      </c>
      <c r="I355" s="3">
        <f t="shared" si="43"/>
        <v>20.239999999999998</v>
      </c>
      <c r="J355" s="3">
        <f t="shared" si="42"/>
        <v>1.2462499999999999</v>
      </c>
      <c r="K355" s="6">
        <f t="shared" si="44"/>
        <v>4796.2554675196843</v>
      </c>
      <c r="L355" s="4"/>
      <c r="M355" s="4"/>
      <c r="N355" s="4"/>
      <c r="O355" s="4"/>
      <c r="P355" s="7"/>
      <c r="Q355" s="6"/>
      <c r="R355" s="5"/>
      <c r="S355" s="4"/>
      <c r="T355" s="13"/>
      <c r="U355" s="13"/>
      <c r="V355" s="5"/>
      <c r="W355" s="5"/>
      <c r="X355" s="5"/>
      <c r="Y355" s="5"/>
      <c r="Z355" s="5"/>
      <c r="AA355" s="5"/>
      <c r="AB355" s="5"/>
      <c r="AC355" s="5"/>
      <c r="AD355" s="5"/>
      <c r="AF355" s="5"/>
      <c r="AG355" s="6"/>
      <c r="AH355" s="11"/>
      <c r="AI355" s="6"/>
      <c r="AJ355" s="6"/>
      <c r="AK355" s="6"/>
      <c r="AL355" s="6"/>
      <c r="AM355" s="6"/>
      <c r="AN355" s="6"/>
      <c r="AO355" s="12"/>
      <c r="AP355" s="7"/>
      <c r="AQ355" s="6"/>
      <c r="AV355" s="3"/>
      <c r="AW355" s="3"/>
      <c r="AX355" s="3"/>
      <c r="AY355" s="3"/>
      <c r="AZ355" s="4"/>
      <c r="BA355" s="4"/>
      <c r="BB355" s="4"/>
      <c r="BC355" s="4"/>
      <c r="BD355" s="4"/>
      <c r="BE355" s="3"/>
      <c r="BJ355" s="9"/>
      <c r="BK355" s="9"/>
      <c r="BL355" s="9"/>
      <c r="BM355" s="3"/>
      <c r="BN355" s="3"/>
      <c r="BO355" s="3"/>
      <c r="BP355" s="3"/>
      <c r="BQ355" s="3"/>
      <c r="BR355" s="3"/>
    </row>
    <row r="356" spans="1:83" x14ac:dyDescent="0.3">
      <c r="A356" s="2">
        <v>10</v>
      </c>
      <c r="B356" s="2" t="s">
        <v>80</v>
      </c>
      <c r="C356" t="s">
        <v>88</v>
      </c>
      <c r="D356" s="5" t="s">
        <v>414</v>
      </c>
      <c r="E356" s="5" t="s">
        <v>93</v>
      </c>
      <c r="F356" s="17">
        <v>45243</v>
      </c>
      <c r="G356">
        <v>10</v>
      </c>
      <c r="H356" s="3">
        <v>22.8</v>
      </c>
      <c r="I356" s="3">
        <f t="shared" si="43"/>
        <v>22.34</v>
      </c>
      <c r="J356" s="3">
        <f>($A$60-$A$47)*$A$75</f>
        <v>1.39</v>
      </c>
      <c r="K356" s="6">
        <f t="shared" si="44"/>
        <v>5297.115236220473</v>
      </c>
      <c r="L356" s="4"/>
      <c r="M356" s="4"/>
      <c r="N356" s="4"/>
      <c r="O356" s="4"/>
      <c r="P356" s="7"/>
      <c r="Q356" s="6"/>
      <c r="R356" s="5"/>
      <c r="S356" s="4"/>
      <c r="T356" s="13"/>
      <c r="U356" s="13"/>
      <c r="V356" s="5"/>
      <c r="W356" s="5"/>
      <c r="X356" s="5"/>
      <c r="Y356" s="5"/>
      <c r="Z356" s="5"/>
      <c r="AA356" s="5"/>
      <c r="AB356" s="5"/>
      <c r="AC356" s="5"/>
      <c r="AD356" s="5"/>
      <c r="AF356" s="5"/>
      <c r="AG356" s="6"/>
      <c r="AH356" s="11"/>
      <c r="AI356" s="6"/>
      <c r="AJ356" s="6"/>
      <c r="AK356" s="6"/>
      <c r="AL356" s="6"/>
      <c r="AM356" s="6"/>
      <c r="AN356" s="6"/>
      <c r="AO356" s="12"/>
      <c r="AP356" s="7"/>
      <c r="AQ356" s="6"/>
      <c r="AS356" s="4" t="s">
        <v>529</v>
      </c>
      <c r="AT356" s="4" t="str">
        <f>E356</f>
        <v>Machine</v>
      </c>
      <c r="AU356" s="15">
        <f>F356</f>
        <v>45243</v>
      </c>
      <c r="AV356" s="3">
        <f>SUM(H356:H385)</f>
        <v>712.9</v>
      </c>
      <c r="AW356" s="3">
        <f>AV356-24*$A$47</f>
        <v>701.86</v>
      </c>
      <c r="AX356" s="3">
        <f>SUM(J356:J385)</f>
        <v>41.981249999999996</v>
      </c>
      <c r="AY356" s="3">
        <f>(AW356+AX356)*$A$48/(30*$A$49)*$A$50</f>
        <v>5534.784125164043</v>
      </c>
      <c r="AZ356" s="4">
        <f>SUM(L356:L385)</f>
        <v>19.63</v>
      </c>
      <c r="BA356" s="4">
        <f t="shared" ref="BA356" si="45">SUM(M356:M385)</f>
        <v>339.85</v>
      </c>
      <c r="BB356" s="4">
        <f t="shared" ref="BB356" si="46">SUM(N356:N385)</f>
        <v>320.22000000000003</v>
      </c>
      <c r="BC356" s="4">
        <f>SUM(O356:O385)</f>
        <v>305.62</v>
      </c>
      <c r="BD356" s="4">
        <f>(BB356-BC356)/BB356*100</f>
        <v>4.559365436262576</v>
      </c>
      <c r="BE356" s="3">
        <f>AY356*(1-BD356/100)</f>
        <v>5282.4330907895655</v>
      </c>
      <c r="BF356" s="15">
        <v>45244</v>
      </c>
      <c r="BG356" s="4">
        <f>SUM(S356:S385)</f>
        <v>20.27</v>
      </c>
      <c r="BH356" s="13">
        <f>SUM(T356:T385)</f>
        <v>7.91</v>
      </c>
      <c r="BI356" s="13">
        <f>SUM(U356:U385)</f>
        <v>12.719999999999999</v>
      </c>
      <c r="BJ356" s="9">
        <f>(BH356-2*$A$76)/(BG356-2*$A$47*$A$48)</f>
        <v>0.37002532234494534</v>
      </c>
      <c r="BK356" s="9">
        <f>(BI356-2*$A$77)/(BG356-2*$A$47*$A$48)</f>
        <v>0.46945766461406069</v>
      </c>
      <c r="BL356" s="9">
        <f>1-BJ356-BK356</f>
        <v>0.16051701304099397</v>
      </c>
      <c r="BM356" s="3">
        <f>AY356*BJ356</f>
        <v>2048.0102800235113</v>
      </c>
      <c r="BN356" s="3">
        <f>AY356*BK356</f>
        <v>2598.3468295424886</v>
      </c>
      <c r="BO356" s="3">
        <f>SUM(BM356:BN356)</f>
        <v>4646.357109566</v>
      </c>
      <c r="BP356" s="3">
        <f>BE356*BJ356</f>
        <v>1954.634007185015</v>
      </c>
      <c r="BQ356" s="3">
        <f>BE356*BK356</f>
        <v>2479.8787022821039</v>
      </c>
      <c r="BR356" s="3">
        <f>SUM(BP356:BQ356)</f>
        <v>4434.5127094671188</v>
      </c>
      <c r="BT356" s="15">
        <v>45295</v>
      </c>
      <c r="BU356" s="3">
        <f>AVERAGE(AG356:AG385)</f>
        <v>48.9</v>
      </c>
      <c r="BV356" s="13">
        <f>AVERAGE(AH356:AH385)</f>
        <v>1.1355</v>
      </c>
      <c r="BW356" s="3">
        <f>AVERAGE(AI356:AI385)</f>
        <v>81.5</v>
      </c>
      <c r="BX356" s="3">
        <f>AVERAGE(AJ356:AJ385)</f>
        <v>30.5</v>
      </c>
      <c r="BY356" s="3">
        <f>AVERAGE(AK356:AK385)</f>
        <v>5.3</v>
      </c>
      <c r="BZ356" s="3">
        <f>AVERAGE(AL356:AL385)</f>
        <v>81.5</v>
      </c>
      <c r="CA356" s="3">
        <f>AVERAGE(AM356:AM385)</f>
        <v>8.8000000000000007</v>
      </c>
      <c r="CB356" s="3"/>
      <c r="CC356" s="10">
        <f>AVERAGE(AO356:AO385)</f>
        <v>5.5</v>
      </c>
      <c r="CD356" s="4">
        <f>AVERAGE(AP356:AP385)</f>
        <v>7.0000000000000007E-2</v>
      </c>
      <c r="CE356" s="3">
        <f>AVERAGE(AQ356:AQ385)</f>
        <v>9.3000000000000007</v>
      </c>
    </row>
    <row r="357" spans="1:83" x14ac:dyDescent="0.3">
      <c r="A357" s="2">
        <v>10</v>
      </c>
      <c r="B357" s="2" t="s">
        <v>81</v>
      </c>
      <c r="C357" t="s">
        <v>88</v>
      </c>
      <c r="D357" s="5" t="s">
        <v>415</v>
      </c>
      <c r="E357" s="5" t="s">
        <v>93</v>
      </c>
      <c r="F357" s="17">
        <v>45243</v>
      </c>
      <c r="G357">
        <v>10</v>
      </c>
      <c r="H357" s="3">
        <v>21.7</v>
      </c>
      <c r="I357" s="3">
        <f t="shared" si="43"/>
        <v>21.24</v>
      </c>
      <c r="J357" s="3">
        <f t="shared" ref="J357:J370" si="47">($A$60-$A$47)*$A$75</f>
        <v>1.39</v>
      </c>
      <c r="K357" s="6">
        <f t="shared" si="44"/>
        <v>5051.5683858267712</v>
      </c>
      <c r="L357" s="4"/>
      <c r="M357" s="4"/>
      <c r="N357" s="4"/>
      <c r="O357" s="4"/>
      <c r="P357" s="7"/>
      <c r="Q357" s="6"/>
      <c r="R357" s="5"/>
      <c r="S357" s="4"/>
      <c r="T357" s="13"/>
      <c r="U357" s="13"/>
      <c r="V357" s="5"/>
      <c r="W357" s="5"/>
      <c r="X357" s="5"/>
      <c r="Y357" s="5"/>
      <c r="Z357" s="5"/>
      <c r="AA357" s="5"/>
      <c r="AB357" s="5"/>
      <c r="AC357" s="5"/>
      <c r="AD357" s="5"/>
      <c r="AF357" s="5"/>
      <c r="AG357" s="6"/>
      <c r="AH357" s="11"/>
      <c r="AI357" s="6"/>
      <c r="AJ357" s="6"/>
      <c r="AK357" s="6"/>
      <c r="AL357" s="6"/>
      <c r="AM357" s="6"/>
      <c r="AN357" s="6"/>
      <c r="AO357" s="12"/>
      <c r="AP357" s="7"/>
      <c r="AQ357" s="6"/>
      <c r="AV357" s="3"/>
      <c r="AW357" s="3"/>
      <c r="AX357" s="3"/>
      <c r="AY357" s="3"/>
      <c r="AZ357" s="4"/>
      <c r="BA357" s="4"/>
      <c r="BB357" s="4"/>
      <c r="BC357" s="4"/>
      <c r="BD357" s="4"/>
      <c r="BE357" s="3"/>
      <c r="BJ357" s="9"/>
      <c r="BK357" s="9"/>
      <c r="BL357" s="9"/>
      <c r="BM357" s="3"/>
      <c r="BN357" s="3"/>
      <c r="BO357" s="3"/>
      <c r="BP357" s="3"/>
      <c r="BQ357" s="3"/>
      <c r="BR357" s="3"/>
    </row>
    <row r="358" spans="1:83" x14ac:dyDescent="0.3">
      <c r="A358" s="2">
        <v>10</v>
      </c>
      <c r="B358" s="2" t="s">
        <v>82</v>
      </c>
      <c r="C358" t="s">
        <v>88</v>
      </c>
      <c r="D358" s="5" t="s">
        <v>416</v>
      </c>
      <c r="E358" s="5" t="s">
        <v>93</v>
      </c>
      <c r="F358" s="17">
        <v>45243</v>
      </c>
      <c r="G358">
        <v>10</v>
      </c>
      <c r="H358" s="3">
        <v>22.9</v>
      </c>
      <c r="I358" s="3">
        <f t="shared" si="43"/>
        <v>22.439999999999998</v>
      </c>
      <c r="J358" s="3">
        <f t="shared" si="47"/>
        <v>1.39</v>
      </c>
      <c r="K358" s="6">
        <f t="shared" si="44"/>
        <v>5319.4376771653542</v>
      </c>
      <c r="L358" s="4"/>
      <c r="M358" s="4"/>
      <c r="N358" s="4"/>
      <c r="O358" s="4"/>
      <c r="P358" s="7"/>
      <c r="Q358" s="6"/>
      <c r="R358" s="5"/>
      <c r="S358" s="4"/>
      <c r="T358" s="13"/>
      <c r="U358" s="13"/>
      <c r="V358" s="5"/>
      <c r="W358" s="5"/>
      <c r="X358" s="5"/>
      <c r="Y358" s="5"/>
      <c r="Z358" s="5"/>
      <c r="AA358" s="5"/>
      <c r="AB358" s="5"/>
      <c r="AC358" s="5"/>
      <c r="AD358" s="5"/>
      <c r="AF358" s="5"/>
      <c r="AG358" s="6"/>
      <c r="AH358" s="11"/>
      <c r="AI358" s="6"/>
      <c r="AJ358" s="6"/>
      <c r="AK358" s="6"/>
      <c r="AL358" s="6"/>
      <c r="AM358" s="6"/>
      <c r="AN358" s="6"/>
      <c r="AO358" s="12"/>
      <c r="AP358" s="7"/>
      <c r="AQ358" s="6"/>
      <c r="AV358" s="3"/>
      <c r="AW358" s="3"/>
      <c r="AX358" s="3"/>
      <c r="AY358" s="3"/>
      <c r="AZ358" s="4"/>
      <c r="BA358" s="4"/>
      <c r="BB358" s="4"/>
      <c r="BC358" s="4"/>
      <c r="BD358" s="4"/>
      <c r="BE358" s="3"/>
      <c r="BJ358" s="9"/>
      <c r="BK358" s="9"/>
      <c r="BL358" s="9"/>
      <c r="BM358" s="3"/>
      <c r="BN358" s="3"/>
      <c r="BO358" s="3"/>
      <c r="BP358" s="3"/>
      <c r="BQ358" s="3"/>
      <c r="BR358" s="3"/>
    </row>
    <row r="359" spans="1:83" x14ac:dyDescent="0.3">
      <c r="A359" s="2">
        <v>10</v>
      </c>
      <c r="B359" s="2" t="s">
        <v>83</v>
      </c>
      <c r="C359" t="s">
        <v>88</v>
      </c>
      <c r="D359" s="5" t="s">
        <v>417</v>
      </c>
      <c r="E359" s="5" t="s">
        <v>93</v>
      </c>
      <c r="F359" s="17">
        <v>45243</v>
      </c>
      <c r="G359">
        <v>10</v>
      </c>
      <c r="H359" s="3">
        <v>23.3</v>
      </c>
      <c r="I359" s="3">
        <f t="shared" si="43"/>
        <v>22.84</v>
      </c>
      <c r="J359" s="3">
        <f t="shared" si="47"/>
        <v>1.39</v>
      </c>
      <c r="K359" s="6">
        <f t="shared" si="44"/>
        <v>5408.7274409448819</v>
      </c>
      <c r="L359" s="4"/>
      <c r="M359" s="4"/>
      <c r="N359" s="4"/>
      <c r="O359" s="4"/>
      <c r="P359" s="7"/>
      <c r="Q359" s="6"/>
      <c r="R359" s="5"/>
      <c r="S359" s="4"/>
      <c r="T359" s="13"/>
      <c r="U359" s="13"/>
      <c r="V359" s="5"/>
      <c r="W359" s="5"/>
      <c r="X359" s="5"/>
      <c r="Y359" s="5"/>
      <c r="Z359" s="5"/>
      <c r="AA359" s="5"/>
      <c r="AB359" s="5"/>
      <c r="AC359" s="5"/>
      <c r="AD359" s="5"/>
      <c r="AF359" s="5"/>
      <c r="AG359" s="6"/>
      <c r="AH359" s="11"/>
      <c r="AI359" s="6"/>
      <c r="AJ359" s="6"/>
      <c r="AK359" s="6"/>
      <c r="AL359" s="6"/>
      <c r="AM359" s="6"/>
      <c r="AN359" s="6"/>
      <c r="AO359" s="12"/>
      <c r="AP359" s="7"/>
      <c r="AQ359" s="6"/>
      <c r="AV359" s="3"/>
      <c r="AW359" s="3"/>
      <c r="AX359" s="3"/>
      <c r="AY359" s="3"/>
      <c r="AZ359" s="4"/>
      <c r="BA359" s="4"/>
      <c r="BB359" s="4"/>
      <c r="BC359" s="4"/>
      <c r="BD359" s="4"/>
      <c r="BE359" s="3"/>
      <c r="BJ359" s="9"/>
      <c r="BK359" s="9"/>
      <c r="BL359" s="9"/>
      <c r="BM359" s="3"/>
      <c r="BN359" s="3"/>
      <c r="BO359" s="3"/>
      <c r="BP359" s="3"/>
      <c r="BQ359" s="3"/>
      <c r="BR359" s="3"/>
    </row>
    <row r="360" spans="1:83" x14ac:dyDescent="0.3">
      <c r="A360" s="2">
        <v>10</v>
      </c>
      <c r="B360" s="2" t="s">
        <v>84</v>
      </c>
      <c r="C360" t="s">
        <v>88</v>
      </c>
      <c r="D360" s="5" t="s">
        <v>418</v>
      </c>
      <c r="E360" s="5" t="s">
        <v>93</v>
      </c>
      <c r="F360" s="17">
        <v>45243</v>
      </c>
      <c r="G360">
        <v>10</v>
      </c>
      <c r="H360" s="3">
        <v>26.3</v>
      </c>
      <c r="I360" s="3">
        <f t="shared" si="43"/>
        <v>25.84</v>
      </c>
      <c r="J360" s="3">
        <f t="shared" si="47"/>
        <v>1.39</v>
      </c>
      <c r="K360" s="6">
        <f t="shared" si="44"/>
        <v>6078.4006692913381</v>
      </c>
      <c r="L360" s="4"/>
      <c r="M360" s="4"/>
      <c r="N360" s="4"/>
      <c r="O360" s="4"/>
      <c r="P360" s="7"/>
      <c r="Q360" s="6"/>
      <c r="R360" s="5"/>
      <c r="S360" s="4"/>
      <c r="T360" s="13"/>
      <c r="U360" s="13"/>
      <c r="V360" s="5"/>
      <c r="W360" s="5"/>
      <c r="X360" s="5"/>
      <c r="Y360" s="5"/>
      <c r="Z360" s="5"/>
      <c r="AA360" s="5"/>
      <c r="AB360" s="5"/>
      <c r="AC360" s="5"/>
      <c r="AD360" s="5"/>
      <c r="AF360" s="5"/>
      <c r="AG360" s="6"/>
      <c r="AH360" s="11"/>
      <c r="AI360" s="6"/>
      <c r="AJ360" s="6"/>
      <c r="AK360" s="6"/>
      <c r="AL360" s="6"/>
      <c r="AM360" s="6"/>
      <c r="AN360" s="6"/>
      <c r="AO360" s="12"/>
      <c r="AP360" s="7"/>
      <c r="AQ360" s="6"/>
      <c r="AV360" s="3"/>
      <c r="AW360" s="3"/>
      <c r="AX360" s="3"/>
      <c r="AY360" s="3"/>
      <c r="AZ360" s="4"/>
      <c r="BA360" s="4"/>
      <c r="BB360" s="4"/>
      <c r="BC360" s="4"/>
      <c r="BD360" s="4"/>
      <c r="BE360" s="3"/>
      <c r="BJ360" s="9"/>
      <c r="BK360" s="9"/>
      <c r="BL360" s="9"/>
      <c r="BM360" s="3"/>
      <c r="BN360" s="3"/>
      <c r="BO360" s="3"/>
      <c r="BP360" s="3"/>
      <c r="BQ360" s="3"/>
      <c r="BR360" s="3"/>
    </row>
    <row r="361" spans="1:83" x14ac:dyDescent="0.3">
      <c r="A361" s="2">
        <v>10</v>
      </c>
      <c r="B361" s="2" t="s">
        <v>85</v>
      </c>
      <c r="C361" t="s">
        <v>88</v>
      </c>
      <c r="D361" s="5" t="s">
        <v>419</v>
      </c>
      <c r="E361" s="5" t="s">
        <v>93</v>
      </c>
      <c r="F361" s="17">
        <v>45243</v>
      </c>
      <c r="G361">
        <v>10</v>
      </c>
      <c r="H361" s="3">
        <v>24.4</v>
      </c>
      <c r="I361" s="3">
        <f t="shared" si="43"/>
        <v>23.939999999999998</v>
      </c>
      <c r="J361" s="3">
        <f t="shared" si="47"/>
        <v>1.39</v>
      </c>
      <c r="K361" s="6">
        <f t="shared" si="44"/>
        <v>5654.2742913385828</v>
      </c>
      <c r="L361" s="4"/>
      <c r="M361" s="4"/>
      <c r="N361" s="4"/>
      <c r="O361" s="4"/>
      <c r="P361" s="7"/>
      <c r="Q361" s="6"/>
      <c r="R361" s="5"/>
      <c r="S361" s="4"/>
      <c r="T361" s="13"/>
      <c r="U361" s="13"/>
      <c r="V361" s="5"/>
      <c r="W361" s="5"/>
      <c r="X361" s="5"/>
      <c r="Y361" s="5"/>
      <c r="Z361" s="5"/>
      <c r="AA361" s="5"/>
      <c r="AB361" s="5"/>
      <c r="AC361" s="5"/>
      <c r="AD361" s="5"/>
      <c r="AF361" s="5"/>
      <c r="AG361" s="6"/>
      <c r="AH361" s="11"/>
      <c r="AI361" s="6"/>
      <c r="AJ361" s="6"/>
      <c r="AK361" s="6"/>
      <c r="AL361" s="6"/>
      <c r="AM361" s="6"/>
      <c r="AN361" s="6"/>
      <c r="AO361" s="12"/>
      <c r="AP361" s="7"/>
      <c r="AQ361" s="6"/>
      <c r="AV361" s="3"/>
      <c r="AW361" s="3"/>
      <c r="AX361" s="3"/>
      <c r="AY361" s="3"/>
      <c r="AZ361" s="4"/>
      <c r="BA361" s="4"/>
      <c r="BB361" s="4"/>
      <c r="BC361" s="4"/>
      <c r="BD361" s="4"/>
      <c r="BE361" s="3"/>
      <c r="BJ361" s="9"/>
      <c r="BK361" s="9"/>
      <c r="BL361" s="9"/>
      <c r="BM361" s="3"/>
      <c r="BN361" s="3"/>
      <c r="BO361" s="3"/>
      <c r="BP361" s="3"/>
      <c r="BQ361" s="3"/>
      <c r="BR361" s="3"/>
    </row>
    <row r="362" spans="1:83" x14ac:dyDescent="0.3">
      <c r="A362" s="2">
        <v>10</v>
      </c>
      <c r="B362" s="2" t="s">
        <v>86</v>
      </c>
      <c r="C362" t="s">
        <v>88</v>
      </c>
      <c r="D362" s="5" t="s">
        <v>420</v>
      </c>
      <c r="E362" s="5" t="s">
        <v>93</v>
      </c>
      <c r="F362" s="17">
        <v>45243</v>
      </c>
      <c r="G362">
        <v>10</v>
      </c>
      <c r="H362" s="3">
        <v>23.1</v>
      </c>
      <c r="I362" s="3">
        <f t="shared" si="43"/>
        <v>22.64</v>
      </c>
      <c r="J362" s="3">
        <f t="shared" si="47"/>
        <v>1.39</v>
      </c>
      <c r="K362" s="6">
        <f t="shared" si="44"/>
        <v>5364.0825590551185</v>
      </c>
      <c r="L362" s="4"/>
      <c r="M362" s="4"/>
      <c r="N362" s="4"/>
      <c r="O362" s="4"/>
      <c r="P362" s="7"/>
      <c r="Q362" s="6"/>
      <c r="R362" s="5"/>
      <c r="S362" s="4"/>
      <c r="T362" s="13"/>
      <c r="U362" s="13"/>
      <c r="V362" s="5"/>
      <c r="W362" s="5"/>
      <c r="X362" s="5"/>
      <c r="Y362" s="5"/>
      <c r="Z362" s="5"/>
      <c r="AA362" s="5"/>
      <c r="AB362" s="5"/>
      <c r="AC362" s="5"/>
      <c r="AD362" s="5"/>
      <c r="AF362" s="5"/>
      <c r="AG362" s="6"/>
      <c r="AH362" s="11"/>
      <c r="AI362" s="6"/>
      <c r="AJ362" s="6"/>
      <c r="AK362" s="6"/>
      <c r="AL362" s="6"/>
      <c r="AM362" s="6"/>
      <c r="AN362" s="6"/>
      <c r="AO362" s="12"/>
      <c r="AP362" s="7"/>
      <c r="AQ362" s="6"/>
      <c r="AV362" s="3"/>
      <c r="AW362" s="3"/>
      <c r="AX362" s="3"/>
      <c r="AY362" s="3"/>
      <c r="AZ362" s="4"/>
      <c r="BA362" s="4"/>
      <c r="BB362" s="4"/>
      <c r="BC362" s="4"/>
      <c r="BD362" s="4"/>
      <c r="BE362" s="3"/>
      <c r="BJ362" s="9"/>
      <c r="BK362" s="9"/>
      <c r="BL362" s="9"/>
      <c r="BM362" s="3"/>
      <c r="BN362" s="3"/>
      <c r="BO362" s="3"/>
      <c r="BP362" s="3"/>
      <c r="BQ362" s="3"/>
      <c r="BR362" s="3"/>
    </row>
    <row r="363" spans="1:83" x14ac:dyDescent="0.3">
      <c r="A363" s="2">
        <v>10</v>
      </c>
      <c r="B363" s="2" t="s">
        <v>87</v>
      </c>
      <c r="C363" t="s">
        <v>88</v>
      </c>
      <c r="D363" s="5" t="s">
        <v>421</v>
      </c>
      <c r="E363" s="5" t="s">
        <v>93</v>
      </c>
      <c r="F363" s="17">
        <v>45243</v>
      </c>
      <c r="G363">
        <v>10</v>
      </c>
      <c r="H363" s="3">
        <v>22.1</v>
      </c>
      <c r="I363" s="3">
        <f t="shared" si="43"/>
        <v>21.64</v>
      </c>
      <c r="J363" s="3">
        <f t="shared" si="47"/>
        <v>1.39</v>
      </c>
      <c r="K363" s="6">
        <f t="shared" si="44"/>
        <v>5140.8581496062998</v>
      </c>
      <c r="L363" s="4">
        <v>8.68</v>
      </c>
      <c r="M363" s="4">
        <v>146.43</v>
      </c>
      <c r="N363" s="4">
        <v>137.75</v>
      </c>
      <c r="O363" s="4">
        <v>130.9</v>
      </c>
      <c r="P363" s="7">
        <f>(N363-O363)/N363*100</f>
        <v>4.9727767695099772</v>
      </c>
      <c r="Q363" s="6">
        <f>K363*(1-P363/100)</f>
        <v>4885.2147497892174</v>
      </c>
      <c r="R363" s="14">
        <v>45244</v>
      </c>
      <c r="S363" s="4">
        <v>9.82</v>
      </c>
      <c r="T363" s="13">
        <v>3.86</v>
      </c>
      <c r="U363" s="13">
        <v>6.2249999999999996</v>
      </c>
      <c r="V363" s="8">
        <f>(T363-$A$76)/(S363-$A$47*$A$48)</f>
        <v>0.37226829359688712</v>
      </c>
      <c r="W363" s="8">
        <f>(U363-$A$77)/(S363-$A$47*$A$48)</f>
        <v>0.47079766029231807</v>
      </c>
      <c r="X363" s="8">
        <f>1-V363-W363</f>
        <v>0.15693404611079487</v>
      </c>
      <c r="Y363" s="6">
        <f>K363*V363</f>
        <v>1913.7784909775878</v>
      </c>
      <c r="Z363" s="6">
        <f>K363*W363</f>
        <v>2420.3039887293417</v>
      </c>
      <c r="AA363" s="6">
        <f>SUM(Y363:Z363)</f>
        <v>4334.082479706929</v>
      </c>
      <c r="AB363" s="6">
        <f>Q363*V363</f>
        <v>1818.6105587583759</v>
      </c>
      <c r="AC363" s="6">
        <f>Q363*W363</f>
        <v>2299.9476742262855</v>
      </c>
      <c r="AD363" s="6">
        <f>SUM(AB363:AC363)</f>
        <v>4118.5582329846611</v>
      </c>
      <c r="AE363" t="s">
        <v>555</v>
      </c>
      <c r="AF363" s="14">
        <v>45295</v>
      </c>
      <c r="AG363" s="6">
        <v>49</v>
      </c>
      <c r="AH363" s="11">
        <v>1.1379999999999999</v>
      </c>
      <c r="AI363" s="6">
        <v>81.599999999999994</v>
      </c>
      <c r="AJ363" s="6">
        <v>30.4</v>
      </c>
      <c r="AK363" s="6">
        <v>5.3</v>
      </c>
      <c r="AL363" s="6">
        <v>81.400000000000006</v>
      </c>
      <c r="AM363" s="6">
        <v>8.6999999999999993</v>
      </c>
      <c r="AN363" s="6" t="s">
        <v>133</v>
      </c>
      <c r="AO363" s="12">
        <v>7</v>
      </c>
      <c r="AP363" s="7">
        <v>7.0000000000000007E-2</v>
      </c>
      <c r="AQ363" s="6">
        <v>8.8000000000000007</v>
      </c>
      <c r="AV363" s="3"/>
      <c r="AW363" s="3"/>
      <c r="AX363" s="3"/>
      <c r="AY363" s="3"/>
      <c r="AZ363" s="4"/>
      <c r="BA363" s="4"/>
      <c r="BB363" s="4"/>
      <c r="BC363" s="4"/>
      <c r="BD363" s="4"/>
      <c r="BE363" s="3"/>
      <c r="BJ363" s="9"/>
      <c r="BK363" s="9"/>
      <c r="BL363" s="9"/>
      <c r="BM363" s="3"/>
      <c r="BN363" s="3"/>
      <c r="BO363" s="3"/>
      <c r="BP363" s="3"/>
      <c r="BQ363" s="3"/>
      <c r="BR363" s="3"/>
    </row>
    <row r="364" spans="1:83" x14ac:dyDescent="0.3">
      <c r="A364" s="2">
        <v>10</v>
      </c>
      <c r="B364" s="2" t="s">
        <v>137</v>
      </c>
      <c r="C364" t="s">
        <v>88</v>
      </c>
      <c r="D364" s="5" t="s">
        <v>422</v>
      </c>
      <c r="E364" s="5" t="s">
        <v>93</v>
      </c>
      <c r="F364" s="17">
        <v>45243</v>
      </c>
      <c r="G364">
        <v>10</v>
      </c>
      <c r="H364" s="3">
        <v>26.4</v>
      </c>
      <c r="I364" s="3">
        <f t="shared" si="43"/>
        <v>25.939999999999998</v>
      </c>
      <c r="J364" s="3">
        <f t="shared" si="47"/>
        <v>1.39</v>
      </c>
      <c r="K364" s="6">
        <f t="shared" si="44"/>
        <v>6100.7231102362202</v>
      </c>
      <c r="L364" s="4"/>
      <c r="M364" s="4"/>
      <c r="N364" s="4"/>
      <c r="O364" s="4"/>
      <c r="P364" s="7"/>
      <c r="Q364" s="6"/>
      <c r="R364" s="5"/>
      <c r="S364" s="4"/>
      <c r="T364" s="13"/>
      <c r="U364" s="13"/>
      <c r="V364" s="5"/>
      <c r="W364" s="5"/>
      <c r="X364" s="5"/>
      <c r="Y364" s="5"/>
      <c r="Z364" s="5"/>
      <c r="AA364" s="5"/>
      <c r="AB364" s="5"/>
      <c r="AC364" s="5"/>
      <c r="AD364" s="5"/>
      <c r="AF364" s="5"/>
      <c r="AG364" s="6"/>
      <c r="AH364" s="11"/>
      <c r="AI364" s="6"/>
      <c r="AJ364" s="6"/>
      <c r="AK364" s="6"/>
      <c r="AL364" s="6"/>
      <c r="AM364" s="6"/>
      <c r="AN364" s="6"/>
      <c r="AO364" s="12"/>
      <c r="AP364" s="7"/>
      <c r="AQ364" s="6"/>
      <c r="AV364" s="3"/>
      <c r="AW364" s="3"/>
      <c r="AX364" s="3"/>
      <c r="AY364" s="3"/>
      <c r="AZ364" s="4"/>
      <c r="BA364" s="4"/>
      <c r="BB364" s="4"/>
      <c r="BC364" s="4"/>
      <c r="BD364" s="4"/>
      <c r="BE364" s="3"/>
      <c r="BJ364" s="9"/>
      <c r="BK364" s="9"/>
      <c r="BL364" s="9"/>
      <c r="BM364" s="3"/>
      <c r="BN364" s="3"/>
      <c r="BO364" s="3"/>
      <c r="BP364" s="3"/>
      <c r="BQ364" s="3"/>
      <c r="BR364" s="3"/>
    </row>
    <row r="365" spans="1:83" x14ac:dyDescent="0.3">
      <c r="A365" s="2">
        <v>10</v>
      </c>
      <c r="B365" s="2" t="s">
        <v>138</v>
      </c>
      <c r="C365" t="s">
        <v>88</v>
      </c>
      <c r="D365" s="5" t="s">
        <v>423</v>
      </c>
      <c r="E365" s="5" t="s">
        <v>93</v>
      </c>
      <c r="F365" s="17">
        <v>45243</v>
      </c>
      <c r="G365">
        <v>10</v>
      </c>
      <c r="H365" s="3">
        <v>26.2</v>
      </c>
      <c r="I365" s="3">
        <f t="shared" si="43"/>
        <v>25.74</v>
      </c>
      <c r="J365" s="3">
        <f t="shared" si="47"/>
        <v>1.39</v>
      </c>
      <c r="K365" s="6">
        <f t="shared" si="44"/>
        <v>6056.0782283464569</v>
      </c>
      <c r="L365" s="4"/>
      <c r="M365" s="4"/>
      <c r="N365" s="4"/>
      <c r="O365" s="4"/>
      <c r="P365" s="7"/>
      <c r="Q365" s="6"/>
      <c r="R365" s="5"/>
      <c r="S365" s="4"/>
      <c r="T365" s="13"/>
      <c r="U365" s="13"/>
      <c r="V365" s="5"/>
      <c r="W365" s="5"/>
      <c r="X365" s="5"/>
      <c r="Y365" s="5"/>
      <c r="Z365" s="5"/>
      <c r="AA365" s="5"/>
      <c r="AB365" s="5"/>
      <c r="AC365" s="5"/>
      <c r="AD365" s="5"/>
      <c r="AF365" s="5"/>
      <c r="AG365" s="6"/>
      <c r="AH365" s="11"/>
      <c r="AI365" s="6"/>
      <c r="AJ365" s="6"/>
      <c r="AK365" s="6"/>
      <c r="AL365" s="6"/>
      <c r="AM365" s="6"/>
      <c r="AN365" s="6"/>
      <c r="AO365" s="12"/>
      <c r="AP365" s="7"/>
      <c r="AQ365" s="6"/>
      <c r="AV365" s="3"/>
      <c r="AW365" s="3"/>
      <c r="AX365" s="3"/>
      <c r="AY365" s="3"/>
      <c r="AZ365" s="4"/>
      <c r="BA365" s="4"/>
      <c r="BB365" s="4"/>
      <c r="BC365" s="4"/>
      <c r="BD365" s="4"/>
      <c r="BE365" s="3"/>
      <c r="BJ365" s="9"/>
      <c r="BK365" s="9"/>
      <c r="BL365" s="9"/>
      <c r="BM365" s="3"/>
      <c r="BN365" s="3"/>
      <c r="BO365" s="3"/>
      <c r="BP365" s="3"/>
      <c r="BQ365" s="3"/>
      <c r="BR365" s="3"/>
    </row>
    <row r="366" spans="1:83" x14ac:dyDescent="0.3">
      <c r="A366" s="2">
        <v>10</v>
      </c>
      <c r="B366" s="2" t="s">
        <v>139</v>
      </c>
      <c r="C366" t="s">
        <v>88</v>
      </c>
      <c r="D366" s="5" t="s">
        <v>424</v>
      </c>
      <c r="E366" s="5" t="s">
        <v>93</v>
      </c>
      <c r="F366" s="17">
        <v>45243</v>
      </c>
      <c r="G366">
        <v>10</v>
      </c>
      <c r="H366" s="3">
        <v>23</v>
      </c>
      <c r="I366" s="3">
        <f t="shared" si="43"/>
        <v>22.54</v>
      </c>
      <c r="J366" s="3">
        <f t="shared" si="47"/>
        <v>1.39</v>
      </c>
      <c r="K366" s="6">
        <f t="shared" si="44"/>
        <v>5341.7601181102355</v>
      </c>
      <c r="L366" s="4"/>
      <c r="M366" s="4"/>
      <c r="N366" s="4"/>
      <c r="O366" s="4"/>
      <c r="P366" s="7"/>
      <c r="Q366" s="6"/>
      <c r="R366" s="5"/>
      <c r="S366" s="4"/>
      <c r="T366" s="13"/>
      <c r="U366" s="13"/>
      <c r="V366" s="5"/>
      <c r="W366" s="5"/>
      <c r="X366" s="5"/>
      <c r="Y366" s="5"/>
      <c r="Z366" s="5"/>
      <c r="AA366" s="5"/>
      <c r="AB366" s="5"/>
      <c r="AC366" s="5"/>
      <c r="AD366" s="5"/>
      <c r="AF366" s="5"/>
      <c r="AG366" s="6"/>
      <c r="AH366" s="11"/>
      <c r="AI366" s="6"/>
      <c r="AJ366" s="6"/>
      <c r="AK366" s="6"/>
      <c r="AL366" s="6"/>
      <c r="AM366" s="6"/>
      <c r="AN366" s="6"/>
      <c r="AO366" s="12"/>
      <c r="AP366" s="7"/>
      <c r="AQ366" s="6"/>
      <c r="AV366" s="3"/>
      <c r="AW366" s="3"/>
      <c r="AX366" s="3"/>
      <c r="AY366" s="3"/>
      <c r="AZ366" s="4"/>
      <c r="BA366" s="4"/>
      <c r="BB366" s="4"/>
      <c r="BC366" s="4"/>
      <c r="BD366" s="4"/>
      <c r="BE366" s="3"/>
      <c r="BJ366" s="9"/>
      <c r="BK366" s="9"/>
      <c r="BL366" s="9"/>
      <c r="BM366" s="3"/>
      <c r="BN366" s="3"/>
      <c r="BO366" s="3"/>
      <c r="BP366" s="3"/>
      <c r="BQ366" s="3"/>
      <c r="BR366" s="3"/>
    </row>
    <row r="367" spans="1:83" x14ac:dyDescent="0.3">
      <c r="A367" s="2">
        <v>10</v>
      </c>
      <c r="B367" s="2" t="s">
        <v>140</v>
      </c>
      <c r="C367" t="s">
        <v>88</v>
      </c>
      <c r="D367" s="5" t="s">
        <v>425</v>
      </c>
      <c r="E367" s="5" t="s">
        <v>93</v>
      </c>
      <c r="F367" s="17">
        <v>45243</v>
      </c>
      <c r="G367">
        <v>10</v>
      </c>
      <c r="H367" s="3">
        <v>25.3</v>
      </c>
      <c r="I367" s="3">
        <f t="shared" si="43"/>
        <v>24.84</v>
      </c>
      <c r="J367" s="3">
        <f t="shared" si="47"/>
        <v>1.39</v>
      </c>
      <c r="K367" s="6">
        <f t="shared" si="44"/>
        <v>5855.1762598425194</v>
      </c>
      <c r="L367" s="4"/>
      <c r="M367" s="4"/>
      <c r="N367" s="4"/>
      <c r="O367" s="4"/>
      <c r="P367" s="7"/>
      <c r="Q367" s="6"/>
      <c r="R367" s="5"/>
      <c r="S367" s="4"/>
      <c r="T367" s="13"/>
      <c r="U367" s="13"/>
      <c r="V367" s="5"/>
      <c r="W367" s="5"/>
      <c r="X367" s="5"/>
      <c r="Y367" s="5"/>
      <c r="Z367" s="5"/>
      <c r="AA367" s="5"/>
      <c r="AB367" s="5"/>
      <c r="AC367" s="5"/>
      <c r="AD367" s="5"/>
      <c r="AF367" s="5"/>
      <c r="AG367" s="6"/>
      <c r="AH367" s="11"/>
      <c r="AI367" s="6"/>
      <c r="AJ367" s="6"/>
      <c r="AK367" s="6"/>
      <c r="AL367" s="6"/>
      <c r="AM367" s="6"/>
      <c r="AN367" s="6"/>
      <c r="AO367" s="12"/>
      <c r="AP367" s="7"/>
      <c r="AQ367" s="6"/>
      <c r="AV367" s="3"/>
      <c r="AW367" s="3"/>
      <c r="AX367" s="3"/>
      <c r="AY367" s="3"/>
      <c r="AZ367" s="4"/>
      <c r="BA367" s="4"/>
      <c r="BB367" s="4"/>
      <c r="BC367" s="4"/>
      <c r="BD367" s="4"/>
      <c r="BE367" s="3"/>
      <c r="BJ367" s="9"/>
      <c r="BK367" s="9"/>
      <c r="BL367" s="9"/>
      <c r="BM367" s="3"/>
      <c r="BN367" s="3"/>
      <c r="BO367" s="3"/>
      <c r="BP367" s="3"/>
      <c r="BQ367" s="3"/>
      <c r="BR367" s="3"/>
    </row>
    <row r="368" spans="1:83" x14ac:dyDescent="0.3">
      <c r="A368" s="2">
        <v>10</v>
      </c>
      <c r="B368" s="2" t="s">
        <v>141</v>
      </c>
      <c r="C368" t="s">
        <v>88</v>
      </c>
      <c r="D368" s="5" t="s">
        <v>426</v>
      </c>
      <c r="E368" s="5" t="s">
        <v>93</v>
      </c>
      <c r="F368" s="17">
        <v>45243</v>
      </c>
      <c r="G368">
        <v>10</v>
      </c>
      <c r="H368" s="3">
        <v>23.8</v>
      </c>
      <c r="I368" s="3">
        <f t="shared" si="43"/>
        <v>23.34</v>
      </c>
      <c r="J368" s="3">
        <f t="shared" si="47"/>
        <v>1.39</v>
      </c>
      <c r="K368" s="6">
        <f t="shared" si="44"/>
        <v>5520.3396456692908</v>
      </c>
      <c r="L368" s="4"/>
      <c r="M368" s="4"/>
      <c r="N368" s="4"/>
      <c r="O368" s="4"/>
      <c r="P368" s="7"/>
      <c r="Q368" s="6"/>
      <c r="R368" s="5"/>
      <c r="S368" s="4"/>
      <c r="T368" s="13"/>
      <c r="U368" s="13"/>
      <c r="V368" s="5"/>
      <c r="W368" s="5"/>
      <c r="X368" s="5"/>
      <c r="Y368" s="5"/>
      <c r="Z368" s="5"/>
      <c r="AA368" s="5"/>
      <c r="AB368" s="5"/>
      <c r="AC368" s="5"/>
      <c r="AD368" s="5"/>
      <c r="AF368" s="5"/>
      <c r="AG368" s="6"/>
      <c r="AH368" s="11"/>
      <c r="AI368" s="6"/>
      <c r="AJ368" s="6"/>
      <c r="AK368" s="6"/>
      <c r="AL368" s="6"/>
      <c r="AM368" s="6"/>
      <c r="AN368" s="6"/>
      <c r="AO368" s="12"/>
      <c r="AP368" s="7"/>
      <c r="AQ368" s="6"/>
      <c r="AV368" s="3"/>
      <c r="AW368" s="3"/>
      <c r="AX368" s="3"/>
      <c r="AY368" s="3"/>
      <c r="AZ368" s="4"/>
      <c r="BA368" s="4"/>
      <c r="BB368" s="4"/>
      <c r="BC368" s="4"/>
      <c r="BD368" s="4"/>
      <c r="BE368" s="3"/>
      <c r="BJ368" s="9"/>
      <c r="BK368" s="9"/>
      <c r="BL368" s="9"/>
      <c r="BM368" s="3"/>
      <c r="BN368" s="3"/>
      <c r="BO368" s="3"/>
      <c r="BP368" s="3"/>
      <c r="BQ368" s="3"/>
      <c r="BR368" s="3"/>
    </row>
    <row r="369" spans="1:70" x14ac:dyDescent="0.3">
      <c r="A369" s="2">
        <v>10</v>
      </c>
      <c r="B369" s="2" t="s">
        <v>142</v>
      </c>
      <c r="C369" t="s">
        <v>88</v>
      </c>
      <c r="D369" s="5" t="s">
        <v>427</v>
      </c>
      <c r="E369" s="5" t="s">
        <v>93</v>
      </c>
      <c r="F369" s="17">
        <v>45243</v>
      </c>
      <c r="G369">
        <v>10</v>
      </c>
      <c r="H369" s="3">
        <v>24.2</v>
      </c>
      <c r="I369" s="3">
        <f t="shared" si="43"/>
        <v>23.74</v>
      </c>
      <c r="J369" s="3">
        <f t="shared" si="47"/>
        <v>1.39</v>
      </c>
      <c r="K369" s="6">
        <f t="shared" si="44"/>
        <v>5609.6294094488185</v>
      </c>
      <c r="L369" s="4"/>
      <c r="M369" s="4"/>
      <c r="N369" s="4"/>
      <c r="O369" s="4"/>
      <c r="P369" s="7"/>
      <c r="Q369" s="6"/>
      <c r="R369" s="5"/>
      <c r="S369" s="4"/>
      <c r="T369" s="13"/>
      <c r="U369" s="13"/>
      <c r="V369" s="5"/>
      <c r="W369" s="5"/>
      <c r="X369" s="5"/>
      <c r="Y369" s="5"/>
      <c r="Z369" s="5"/>
      <c r="AA369" s="5"/>
      <c r="AB369" s="5"/>
      <c r="AC369" s="5"/>
      <c r="AD369" s="5"/>
      <c r="AF369" s="5"/>
      <c r="AG369" s="6"/>
      <c r="AH369" s="11"/>
      <c r="AI369" s="6"/>
      <c r="AJ369" s="6"/>
      <c r="AK369" s="6"/>
      <c r="AL369" s="6"/>
      <c r="AM369" s="6"/>
      <c r="AN369" s="6"/>
      <c r="AO369" s="12"/>
      <c r="AP369" s="7"/>
      <c r="AQ369" s="6"/>
      <c r="AV369" s="3"/>
      <c r="AW369" s="3"/>
      <c r="AX369" s="3"/>
      <c r="AY369" s="3"/>
      <c r="AZ369" s="4"/>
      <c r="BA369" s="4"/>
      <c r="BB369" s="4"/>
      <c r="BC369" s="4"/>
      <c r="BD369" s="4"/>
      <c r="BE369" s="3"/>
      <c r="BJ369" s="9"/>
      <c r="BK369" s="9"/>
      <c r="BL369" s="9"/>
      <c r="BM369" s="3"/>
      <c r="BN369" s="3"/>
      <c r="BO369" s="3"/>
      <c r="BP369" s="3"/>
      <c r="BQ369" s="3"/>
      <c r="BR369" s="3"/>
    </row>
    <row r="370" spans="1:70" x14ac:dyDescent="0.3">
      <c r="A370" s="2">
        <v>10</v>
      </c>
      <c r="B370" s="2" t="s">
        <v>143</v>
      </c>
      <c r="C370" t="s">
        <v>88</v>
      </c>
      <c r="D370" s="5" t="s">
        <v>428</v>
      </c>
      <c r="E370" s="5" t="s">
        <v>93</v>
      </c>
      <c r="F370" s="17">
        <v>45243</v>
      </c>
      <c r="G370">
        <v>10</v>
      </c>
      <c r="H370" s="3">
        <v>16.600000000000001</v>
      </c>
      <c r="I370" s="3">
        <f t="shared" si="43"/>
        <v>16.14</v>
      </c>
      <c r="J370" s="3">
        <f t="shared" si="47"/>
        <v>1.39</v>
      </c>
      <c r="K370" s="6">
        <f t="shared" si="44"/>
        <v>3913.1238976377958</v>
      </c>
      <c r="L370" s="4"/>
      <c r="M370" s="4"/>
      <c r="N370" s="4"/>
      <c r="O370" s="4"/>
      <c r="P370" s="7"/>
      <c r="Q370" s="6"/>
      <c r="R370" s="5"/>
      <c r="S370" s="4"/>
      <c r="T370" s="13"/>
      <c r="U370" s="13"/>
      <c r="V370" s="5"/>
      <c r="W370" s="5"/>
      <c r="X370" s="5"/>
      <c r="Y370" s="5"/>
      <c r="Z370" s="5"/>
      <c r="AA370" s="5"/>
      <c r="AB370" s="5"/>
      <c r="AC370" s="5"/>
      <c r="AD370" s="5"/>
      <c r="AF370" s="5"/>
      <c r="AG370" s="6"/>
      <c r="AH370" s="11"/>
      <c r="AI370" s="6"/>
      <c r="AJ370" s="6"/>
      <c r="AK370" s="6"/>
      <c r="AL370" s="6"/>
      <c r="AM370" s="6"/>
      <c r="AN370" s="6"/>
      <c r="AO370" s="12"/>
      <c r="AP370" s="7"/>
      <c r="AQ370" s="6"/>
      <c r="AV370" s="3"/>
      <c r="AW370" s="3"/>
      <c r="AX370" s="3"/>
      <c r="AY370" s="3"/>
      <c r="AZ370" s="4"/>
      <c r="BA370" s="4"/>
      <c r="BB370" s="4"/>
      <c r="BC370" s="4"/>
      <c r="BD370" s="4"/>
      <c r="BE370" s="3"/>
      <c r="BJ370" s="9"/>
      <c r="BK370" s="9"/>
      <c r="BL370" s="9"/>
      <c r="BM370" s="3"/>
      <c r="BN370" s="3"/>
      <c r="BO370" s="3"/>
      <c r="BP370" s="3"/>
      <c r="BQ370" s="3"/>
      <c r="BR370" s="3"/>
    </row>
    <row r="371" spans="1:70" x14ac:dyDescent="0.3">
      <c r="A371" s="2">
        <v>10</v>
      </c>
      <c r="B371" s="2" t="s">
        <v>80</v>
      </c>
      <c r="C371" t="s">
        <v>89</v>
      </c>
      <c r="D371" s="5" t="s">
        <v>429</v>
      </c>
      <c r="E371" s="5" t="s">
        <v>93</v>
      </c>
      <c r="F371" s="17">
        <v>45243</v>
      </c>
      <c r="G371">
        <v>22</v>
      </c>
      <c r="H371" s="3">
        <v>20.9</v>
      </c>
      <c r="I371" s="3">
        <f t="shared" si="43"/>
        <v>20.439999999999998</v>
      </c>
      <c r="J371" s="3">
        <f>($A$72-$A$47)*$A$75</f>
        <v>1.4087499999999999</v>
      </c>
      <c r="K371" s="6">
        <f t="shared" si="44"/>
        <v>4877.1743159448815</v>
      </c>
      <c r="L371" s="4"/>
      <c r="M371" s="4"/>
      <c r="N371" s="4"/>
      <c r="O371" s="4"/>
      <c r="P371" s="7"/>
      <c r="Q371" s="6"/>
      <c r="R371" s="5"/>
      <c r="S371" s="4"/>
      <c r="T371" s="13"/>
      <c r="U371" s="13"/>
      <c r="V371" s="5"/>
      <c r="W371" s="5"/>
      <c r="X371" s="5"/>
      <c r="Y371" s="5"/>
      <c r="Z371" s="5"/>
      <c r="AA371" s="5"/>
      <c r="AB371" s="5"/>
      <c r="AC371" s="5"/>
      <c r="AD371" s="5"/>
      <c r="AF371" s="5"/>
      <c r="AG371" s="6"/>
      <c r="AH371" s="11"/>
      <c r="AI371" s="6"/>
      <c r="AJ371" s="6"/>
      <c r="AK371" s="6"/>
      <c r="AL371" s="6"/>
      <c r="AM371" s="6"/>
      <c r="AN371" s="6"/>
      <c r="AO371" s="12"/>
      <c r="AP371" s="7"/>
      <c r="AQ371" s="6"/>
      <c r="AV371" s="3"/>
      <c r="AW371" s="3"/>
      <c r="AX371" s="3"/>
      <c r="AY371" s="3"/>
      <c r="AZ371" s="4"/>
      <c r="BA371" s="4"/>
      <c r="BB371" s="4"/>
      <c r="BC371" s="4"/>
      <c r="BD371" s="4"/>
      <c r="BE371" s="3"/>
      <c r="BJ371" s="9"/>
      <c r="BK371" s="9"/>
      <c r="BL371" s="9"/>
      <c r="BM371" s="3"/>
      <c r="BN371" s="3"/>
      <c r="BO371" s="3"/>
      <c r="BP371" s="3"/>
      <c r="BQ371" s="3"/>
      <c r="BR371" s="3"/>
    </row>
    <row r="372" spans="1:70" x14ac:dyDescent="0.3">
      <c r="A372" s="2">
        <v>10</v>
      </c>
      <c r="B372" s="2" t="s">
        <v>81</v>
      </c>
      <c r="C372" t="s">
        <v>89</v>
      </c>
      <c r="D372" s="5" t="s">
        <v>430</v>
      </c>
      <c r="E372" s="5" t="s">
        <v>93</v>
      </c>
      <c r="F372" s="17">
        <v>45243</v>
      </c>
      <c r="G372">
        <v>22</v>
      </c>
      <c r="H372" s="3">
        <v>24.5</v>
      </c>
      <c r="I372" s="3">
        <f t="shared" si="43"/>
        <v>24.04</v>
      </c>
      <c r="J372" s="3">
        <f t="shared" ref="J372:J385" si="48">($A$72-$A$47)*$A$75</f>
        <v>1.4087499999999999</v>
      </c>
      <c r="K372" s="6">
        <f t="shared" si="44"/>
        <v>5680.7821899606288</v>
      </c>
      <c r="L372" s="4"/>
      <c r="M372" s="4"/>
      <c r="N372" s="4"/>
      <c r="O372" s="4"/>
      <c r="P372" s="7"/>
      <c r="Q372" s="6"/>
      <c r="R372" s="5"/>
      <c r="S372" s="4"/>
      <c r="T372" s="13"/>
      <c r="U372" s="13"/>
      <c r="V372" s="5"/>
      <c r="W372" s="5"/>
      <c r="X372" s="5"/>
      <c r="Y372" s="5"/>
      <c r="Z372" s="5"/>
      <c r="AA372" s="5"/>
      <c r="AB372" s="5"/>
      <c r="AC372" s="5"/>
      <c r="AD372" s="5"/>
      <c r="AF372" s="5"/>
      <c r="AG372" s="6"/>
      <c r="AH372" s="11"/>
      <c r="AI372" s="6"/>
      <c r="AJ372" s="6"/>
      <c r="AK372" s="6"/>
      <c r="AL372" s="6"/>
      <c r="AM372" s="6"/>
      <c r="AN372" s="6"/>
      <c r="AO372" s="12"/>
      <c r="AP372" s="7"/>
      <c r="AQ372" s="6"/>
      <c r="AV372" s="3"/>
      <c r="AW372" s="3"/>
      <c r="AX372" s="3"/>
      <c r="AY372" s="3"/>
      <c r="AZ372" s="4"/>
      <c r="BA372" s="4"/>
      <c r="BB372" s="4"/>
      <c r="BC372" s="4"/>
      <c r="BD372" s="4"/>
      <c r="BE372" s="3"/>
      <c r="BJ372" s="9"/>
      <c r="BK372" s="9"/>
      <c r="BL372" s="9"/>
      <c r="BM372" s="3"/>
      <c r="BN372" s="3"/>
      <c r="BO372" s="3"/>
      <c r="BP372" s="3"/>
      <c r="BQ372" s="3"/>
      <c r="BR372" s="3"/>
    </row>
    <row r="373" spans="1:70" x14ac:dyDescent="0.3">
      <c r="A373" s="2">
        <v>10</v>
      </c>
      <c r="B373" s="2" t="s">
        <v>82</v>
      </c>
      <c r="C373" t="s">
        <v>89</v>
      </c>
      <c r="D373" s="5" t="s">
        <v>431</v>
      </c>
      <c r="E373" s="5" t="s">
        <v>93</v>
      </c>
      <c r="F373" s="17">
        <v>45243</v>
      </c>
      <c r="G373">
        <v>22</v>
      </c>
      <c r="H373" s="3">
        <v>24.1</v>
      </c>
      <c r="I373" s="3">
        <f t="shared" si="43"/>
        <v>23.64</v>
      </c>
      <c r="J373" s="3">
        <f t="shared" si="48"/>
        <v>1.4087499999999999</v>
      </c>
      <c r="K373" s="6">
        <f t="shared" si="44"/>
        <v>5591.4924261811029</v>
      </c>
      <c r="L373" s="4"/>
      <c r="M373" s="4"/>
      <c r="N373" s="4"/>
      <c r="O373" s="4"/>
      <c r="P373" s="7"/>
      <c r="Q373" s="6"/>
      <c r="R373" s="5"/>
      <c r="S373" s="4"/>
      <c r="T373" s="13"/>
      <c r="U373" s="13"/>
      <c r="V373" s="5"/>
      <c r="W373" s="5"/>
      <c r="X373" s="5"/>
      <c r="Y373" s="5"/>
      <c r="Z373" s="5"/>
      <c r="AA373" s="5"/>
      <c r="AB373" s="5"/>
      <c r="AC373" s="5"/>
      <c r="AD373" s="5"/>
      <c r="AF373" s="5"/>
      <c r="AG373" s="6"/>
      <c r="AH373" s="11"/>
      <c r="AI373" s="6"/>
      <c r="AJ373" s="6"/>
      <c r="AK373" s="6"/>
      <c r="AL373" s="6"/>
      <c r="AM373" s="6"/>
      <c r="AN373" s="6"/>
      <c r="AO373" s="12"/>
      <c r="AP373" s="7"/>
      <c r="AQ373" s="6"/>
      <c r="AV373" s="3"/>
      <c r="AW373" s="3"/>
      <c r="AX373" s="3"/>
      <c r="AY373" s="3"/>
      <c r="AZ373" s="4"/>
      <c r="BA373" s="4"/>
      <c r="BB373" s="4"/>
      <c r="BC373" s="4"/>
      <c r="BD373" s="4"/>
      <c r="BE373" s="3"/>
      <c r="BJ373" s="9"/>
      <c r="BK373" s="9"/>
      <c r="BL373" s="9"/>
      <c r="BM373" s="3"/>
      <c r="BN373" s="3"/>
      <c r="BO373" s="3"/>
      <c r="BP373" s="3"/>
      <c r="BQ373" s="3"/>
      <c r="BR373" s="3"/>
    </row>
    <row r="374" spans="1:70" x14ac:dyDescent="0.3">
      <c r="A374" s="2">
        <v>10</v>
      </c>
      <c r="B374" s="2" t="s">
        <v>83</v>
      </c>
      <c r="C374" t="s">
        <v>89</v>
      </c>
      <c r="D374" s="5" t="s">
        <v>432</v>
      </c>
      <c r="E374" s="5" t="s">
        <v>93</v>
      </c>
      <c r="F374" s="17">
        <v>45243</v>
      </c>
      <c r="G374">
        <v>22</v>
      </c>
      <c r="H374" s="3">
        <v>25.4</v>
      </c>
      <c r="I374" s="3">
        <f t="shared" si="43"/>
        <v>24.939999999999998</v>
      </c>
      <c r="J374" s="3">
        <f t="shared" si="48"/>
        <v>1.4087499999999999</v>
      </c>
      <c r="K374" s="6">
        <f t="shared" si="44"/>
        <v>5881.6841584645663</v>
      </c>
      <c r="L374" s="4"/>
      <c r="M374" s="4"/>
      <c r="N374" s="4"/>
      <c r="O374" s="4"/>
      <c r="P374" s="7"/>
      <c r="Q374" s="6"/>
      <c r="R374" s="5"/>
      <c r="S374" s="4"/>
      <c r="T374" s="13"/>
      <c r="U374" s="13"/>
      <c r="V374" s="5"/>
      <c r="W374" s="5"/>
      <c r="X374" s="5"/>
      <c r="Y374" s="5"/>
      <c r="Z374" s="5"/>
      <c r="AA374" s="5"/>
      <c r="AB374" s="5"/>
      <c r="AC374" s="5"/>
      <c r="AD374" s="5"/>
      <c r="AF374" s="5"/>
      <c r="AG374" s="6"/>
      <c r="AH374" s="11"/>
      <c r="AI374" s="6"/>
      <c r="AJ374" s="6"/>
      <c r="AK374" s="6"/>
      <c r="AL374" s="6"/>
      <c r="AM374" s="6"/>
      <c r="AN374" s="6"/>
      <c r="AO374" s="12"/>
      <c r="AP374" s="7"/>
      <c r="AQ374" s="6"/>
      <c r="AV374" s="3"/>
      <c r="AW374" s="3"/>
      <c r="AX374" s="3"/>
      <c r="AY374" s="3"/>
      <c r="AZ374" s="4"/>
      <c r="BA374" s="4"/>
      <c r="BB374" s="4"/>
      <c r="BC374" s="4"/>
      <c r="BD374" s="4"/>
      <c r="BE374" s="3"/>
      <c r="BJ374" s="9"/>
      <c r="BK374" s="9"/>
      <c r="BL374" s="9"/>
      <c r="BM374" s="3"/>
      <c r="BN374" s="3"/>
      <c r="BO374" s="3"/>
      <c r="BP374" s="3"/>
      <c r="BQ374" s="3"/>
      <c r="BR374" s="3"/>
    </row>
    <row r="375" spans="1:70" x14ac:dyDescent="0.3">
      <c r="A375" s="2">
        <v>10</v>
      </c>
      <c r="B375" s="2" t="s">
        <v>84</v>
      </c>
      <c r="C375" t="s">
        <v>89</v>
      </c>
      <c r="D375" s="5" t="s">
        <v>433</v>
      </c>
      <c r="E375" s="5" t="s">
        <v>93</v>
      </c>
      <c r="F375" s="17">
        <v>45243</v>
      </c>
      <c r="G375">
        <v>22</v>
      </c>
      <c r="H375" s="3">
        <v>27.4</v>
      </c>
      <c r="I375" s="3">
        <f t="shared" si="43"/>
        <v>26.939999999999998</v>
      </c>
      <c r="J375" s="3">
        <f t="shared" si="48"/>
        <v>1.4087499999999999</v>
      </c>
      <c r="K375" s="6">
        <f t="shared" si="44"/>
        <v>6328.1329773622037</v>
      </c>
      <c r="L375" s="4"/>
      <c r="M375" s="4"/>
      <c r="N375" s="4"/>
      <c r="O375" s="4"/>
      <c r="P375" s="7"/>
      <c r="Q375" s="6"/>
      <c r="R375" s="5"/>
      <c r="S375" s="4"/>
      <c r="T375" s="13"/>
      <c r="U375" s="13"/>
      <c r="V375" s="5"/>
      <c r="W375" s="5"/>
      <c r="X375" s="5"/>
      <c r="Y375" s="5"/>
      <c r="Z375" s="5"/>
      <c r="AA375" s="5"/>
      <c r="AB375" s="5"/>
      <c r="AC375" s="5"/>
      <c r="AD375" s="5"/>
      <c r="AF375" s="5"/>
      <c r="AG375" s="6"/>
      <c r="AH375" s="11"/>
      <c r="AI375" s="6"/>
      <c r="AJ375" s="6"/>
      <c r="AK375" s="6"/>
      <c r="AL375" s="6"/>
      <c r="AM375" s="6"/>
      <c r="AN375" s="6"/>
      <c r="AO375" s="12"/>
      <c r="AP375" s="7"/>
      <c r="AQ375" s="6"/>
      <c r="AV375" s="3"/>
      <c r="AW375" s="3"/>
      <c r="AX375" s="3"/>
      <c r="AY375" s="3"/>
      <c r="AZ375" s="4"/>
      <c r="BA375" s="4"/>
      <c r="BB375" s="4"/>
      <c r="BC375" s="4"/>
      <c r="BD375" s="4"/>
      <c r="BE375" s="3"/>
      <c r="BJ375" s="9"/>
      <c r="BK375" s="9"/>
      <c r="BL375" s="9"/>
      <c r="BM375" s="3"/>
      <c r="BN375" s="3"/>
      <c r="BO375" s="3"/>
      <c r="BP375" s="3"/>
      <c r="BQ375" s="3"/>
      <c r="BR375" s="3"/>
    </row>
    <row r="376" spans="1:70" x14ac:dyDescent="0.3">
      <c r="A376" s="2">
        <v>10</v>
      </c>
      <c r="B376" s="2" t="s">
        <v>85</v>
      </c>
      <c r="C376" t="s">
        <v>89</v>
      </c>
      <c r="D376" s="5" t="s">
        <v>434</v>
      </c>
      <c r="E376" s="5" t="s">
        <v>93</v>
      </c>
      <c r="F376" s="17">
        <v>45243</v>
      </c>
      <c r="G376">
        <v>22</v>
      </c>
      <c r="H376" s="3">
        <v>28.1</v>
      </c>
      <c r="I376" s="3">
        <f t="shared" si="43"/>
        <v>27.64</v>
      </c>
      <c r="J376" s="3">
        <f t="shared" si="48"/>
        <v>1.4087499999999999</v>
      </c>
      <c r="K376" s="6">
        <f t="shared" si="44"/>
        <v>6484.3900639763788</v>
      </c>
      <c r="L376" s="4"/>
      <c r="M376" s="4"/>
      <c r="N376" s="4"/>
      <c r="O376" s="4"/>
      <c r="P376" s="7"/>
      <c r="Q376" s="6"/>
      <c r="R376" s="5"/>
      <c r="S376" s="4"/>
      <c r="T376" s="13"/>
      <c r="U376" s="13"/>
      <c r="V376" s="5"/>
      <c r="W376" s="5"/>
      <c r="X376" s="5"/>
      <c r="Y376" s="5"/>
      <c r="Z376" s="5"/>
      <c r="AA376" s="5"/>
      <c r="AB376" s="5"/>
      <c r="AC376" s="5"/>
      <c r="AD376" s="5"/>
      <c r="AF376" s="5"/>
      <c r="AG376" s="6"/>
      <c r="AH376" s="11"/>
      <c r="AI376" s="6"/>
      <c r="AJ376" s="6"/>
      <c r="AK376" s="6"/>
      <c r="AL376" s="6"/>
      <c r="AM376" s="6"/>
      <c r="AN376" s="6"/>
      <c r="AO376" s="12"/>
      <c r="AP376" s="7"/>
      <c r="AQ376" s="6"/>
      <c r="AV376" s="3"/>
      <c r="AW376" s="3"/>
      <c r="AX376" s="3"/>
      <c r="AY376" s="3"/>
      <c r="AZ376" s="4"/>
      <c r="BA376" s="4"/>
      <c r="BB376" s="4"/>
      <c r="BC376" s="4"/>
      <c r="BD376" s="4"/>
      <c r="BE376" s="3"/>
      <c r="BJ376" s="9"/>
      <c r="BK376" s="9"/>
      <c r="BL376" s="9"/>
      <c r="BM376" s="3"/>
      <c r="BN376" s="3"/>
      <c r="BO376" s="3"/>
      <c r="BP376" s="3"/>
      <c r="BQ376" s="3"/>
      <c r="BR376" s="3"/>
    </row>
    <row r="377" spans="1:70" x14ac:dyDescent="0.3">
      <c r="A377" s="2">
        <v>10</v>
      </c>
      <c r="B377" s="2" t="s">
        <v>86</v>
      </c>
      <c r="C377" t="s">
        <v>89</v>
      </c>
      <c r="D377" s="5" t="s">
        <v>435</v>
      </c>
      <c r="E377" s="5" t="s">
        <v>93</v>
      </c>
      <c r="F377" s="17">
        <v>45243</v>
      </c>
      <c r="G377">
        <v>22</v>
      </c>
      <c r="H377" s="3">
        <v>23.2</v>
      </c>
      <c r="I377" s="3">
        <f t="shared" si="43"/>
        <v>22.74</v>
      </c>
      <c r="J377" s="3">
        <f t="shared" si="48"/>
        <v>1.4087499999999999</v>
      </c>
      <c r="K377" s="6">
        <f t="shared" si="44"/>
        <v>5390.5904576771654</v>
      </c>
      <c r="L377" s="4"/>
      <c r="M377" s="4"/>
      <c r="N377" s="4"/>
      <c r="O377" s="4"/>
      <c r="P377" s="7"/>
      <c r="Q377" s="6"/>
      <c r="R377" s="5"/>
      <c r="S377" s="4"/>
      <c r="T377" s="13"/>
      <c r="U377" s="13"/>
      <c r="V377" s="5"/>
      <c r="W377" s="5"/>
      <c r="X377" s="5"/>
      <c r="Y377" s="5"/>
      <c r="Z377" s="5"/>
      <c r="AA377" s="5"/>
      <c r="AB377" s="5"/>
      <c r="AC377" s="5"/>
      <c r="AD377" s="5"/>
      <c r="AF377" s="5"/>
      <c r="AG377" s="6"/>
      <c r="AH377" s="11"/>
      <c r="AI377" s="6"/>
      <c r="AJ377" s="6"/>
      <c r="AK377" s="6"/>
      <c r="AL377" s="6"/>
      <c r="AM377" s="6"/>
      <c r="AN377" s="6"/>
      <c r="AO377" s="12"/>
      <c r="AP377" s="7"/>
      <c r="AQ377" s="6"/>
      <c r="AV377" s="3"/>
      <c r="AW377" s="3"/>
      <c r="AX377" s="3"/>
      <c r="AY377" s="3"/>
      <c r="AZ377" s="4"/>
      <c r="BA377" s="4"/>
      <c r="BB377" s="4"/>
      <c r="BC377" s="4"/>
      <c r="BD377" s="4"/>
      <c r="BE377" s="3"/>
      <c r="BJ377" s="9"/>
      <c r="BK377" s="9"/>
      <c r="BL377" s="9"/>
      <c r="BM377" s="3"/>
      <c r="BN377" s="3"/>
      <c r="BO377" s="3"/>
      <c r="BP377" s="3"/>
      <c r="BQ377" s="3"/>
      <c r="BR377" s="3"/>
    </row>
    <row r="378" spans="1:70" x14ac:dyDescent="0.3">
      <c r="A378" s="2">
        <v>10</v>
      </c>
      <c r="B378" s="2" t="s">
        <v>87</v>
      </c>
      <c r="C378" t="s">
        <v>89</v>
      </c>
      <c r="D378" s="5" t="s">
        <v>436</v>
      </c>
      <c r="E378" s="5" t="s">
        <v>93</v>
      </c>
      <c r="F378" s="17">
        <v>45243</v>
      </c>
      <c r="G378">
        <v>22</v>
      </c>
      <c r="H378" s="3">
        <v>23.5</v>
      </c>
      <c r="I378" s="3">
        <f t="shared" si="43"/>
        <v>23.04</v>
      </c>
      <c r="J378" s="3">
        <f t="shared" si="48"/>
        <v>1.4087499999999999</v>
      </c>
      <c r="K378" s="6">
        <f t="shared" si="44"/>
        <v>5457.557780511811</v>
      </c>
      <c r="L378" s="4">
        <v>10.95</v>
      </c>
      <c r="M378" s="4">
        <v>193.42</v>
      </c>
      <c r="N378" s="4">
        <v>182.47</v>
      </c>
      <c r="O378" s="4">
        <v>174.72</v>
      </c>
      <c r="P378" s="7">
        <f>(N378-O378)/N378*100</f>
        <v>4.2472735244149726</v>
      </c>
      <c r="Q378" s="6">
        <f>K378*(1-P378/100)</f>
        <v>5225.7603738204834</v>
      </c>
      <c r="R378" s="14">
        <v>45244</v>
      </c>
      <c r="S378" s="4">
        <v>10.45</v>
      </c>
      <c r="T378" s="13">
        <v>4.05</v>
      </c>
      <c r="U378" s="13">
        <v>6.4950000000000001</v>
      </c>
      <c r="V378" s="8">
        <f>(T378-$A$76)/(S378-$A$47*$A$48)</f>
        <v>0.36792032823555115</v>
      </c>
      <c r="W378" s="8">
        <f>(U378-$A$77)/(S378-$A$47*$A$48)</f>
        <v>0.46820009922756578</v>
      </c>
      <c r="X378" s="8">
        <f>1-V378-W378</f>
        <v>0.16387957253688301</v>
      </c>
      <c r="Y378" s="6">
        <f>K378*V378</f>
        <v>2007.9464499703915</v>
      </c>
      <c r="Z378" s="6">
        <f>K378*W378</f>
        <v>2555.2290943758035</v>
      </c>
      <c r="AA378" s="6">
        <f>SUM(Y378:Z378)</f>
        <v>4563.1755443461952</v>
      </c>
      <c r="AB378" s="6">
        <f>Q378*V378</f>
        <v>1922.6634720163688</v>
      </c>
      <c r="AC378" s="6">
        <f>Q378*W378</f>
        <v>2446.7015255622314</v>
      </c>
      <c r="AD378" s="6">
        <f>SUM(AB378:AC378)</f>
        <v>4369.3649975786002</v>
      </c>
      <c r="AE378" t="s">
        <v>556</v>
      </c>
      <c r="AF378" s="14">
        <v>45295</v>
      </c>
      <c r="AG378" s="6">
        <v>48.8</v>
      </c>
      <c r="AH378" s="11">
        <v>1.133</v>
      </c>
      <c r="AI378" s="6">
        <v>81.400000000000006</v>
      </c>
      <c r="AJ378" s="6">
        <v>30.6</v>
      </c>
      <c r="AK378" s="6">
        <v>5.3</v>
      </c>
      <c r="AL378" s="6">
        <v>81.599999999999994</v>
      </c>
      <c r="AM378" s="6">
        <v>8.9</v>
      </c>
      <c r="AN378" s="6" t="s">
        <v>136</v>
      </c>
      <c r="AO378" s="12">
        <v>4</v>
      </c>
      <c r="AP378" s="7">
        <v>7.0000000000000007E-2</v>
      </c>
      <c r="AQ378" s="6">
        <v>9.8000000000000007</v>
      </c>
      <c r="AV378" s="3"/>
      <c r="AW378" s="3"/>
      <c r="AX378" s="3"/>
      <c r="AY378" s="3"/>
      <c r="AZ378" s="4"/>
      <c r="BA378" s="4"/>
      <c r="BB378" s="4"/>
      <c r="BC378" s="4"/>
      <c r="BD378" s="4"/>
      <c r="BE378" s="3"/>
      <c r="BJ378" s="9"/>
      <c r="BK378" s="9"/>
      <c r="BL378" s="9"/>
      <c r="BM378" s="3"/>
      <c r="BN378" s="3"/>
      <c r="BO378" s="3"/>
      <c r="BP378" s="3"/>
      <c r="BQ378" s="3"/>
      <c r="BR378" s="3"/>
    </row>
    <row r="379" spans="1:70" x14ac:dyDescent="0.3">
      <c r="A379" s="2">
        <v>10</v>
      </c>
      <c r="B379" s="2" t="s">
        <v>137</v>
      </c>
      <c r="C379" t="s">
        <v>89</v>
      </c>
      <c r="D379" s="5" t="s">
        <v>437</v>
      </c>
      <c r="E379" s="5" t="s">
        <v>93</v>
      </c>
      <c r="F379" s="17">
        <v>45243</v>
      </c>
      <c r="G379">
        <v>22</v>
      </c>
      <c r="H379" s="3">
        <v>25.5</v>
      </c>
      <c r="I379" s="3">
        <f t="shared" si="43"/>
        <v>25.04</v>
      </c>
      <c r="J379" s="3">
        <f t="shared" si="48"/>
        <v>1.4087499999999999</v>
      </c>
      <c r="K379" s="6">
        <f t="shared" si="44"/>
        <v>5904.0065994094484</v>
      </c>
      <c r="L379" s="4"/>
      <c r="M379" s="4"/>
      <c r="N379" s="4"/>
      <c r="O379" s="4"/>
      <c r="P379" s="7"/>
      <c r="Q379" s="6"/>
      <c r="R379" s="5"/>
      <c r="S379" s="4"/>
      <c r="T379" s="13"/>
      <c r="U379" s="13"/>
      <c r="V379" s="5"/>
      <c r="W379" s="5"/>
      <c r="X379" s="5"/>
      <c r="Y379" s="5"/>
      <c r="Z379" s="5"/>
      <c r="AA379" s="5"/>
      <c r="AB379" s="5"/>
      <c r="AC379" s="5"/>
      <c r="AD379" s="5"/>
      <c r="AF379" s="5"/>
      <c r="AG379" s="6"/>
      <c r="AH379" s="11"/>
      <c r="AI379" s="6"/>
      <c r="AJ379" s="6"/>
      <c r="AK379" s="6"/>
      <c r="AL379" s="6"/>
      <c r="AM379" s="6"/>
      <c r="AN379" s="6"/>
      <c r="AO379" s="12"/>
      <c r="AP379" s="7"/>
      <c r="AQ379" s="6"/>
      <c r="AS379" s="4"/>
      <c r="AV379" s="3"/>
      <c r="AW379" s="3"/>
      <c r="AX379" s="3"/>
      <c r="AY379" s="3"/>
      <c r="AZ379" s="4"/>
      <c r="BA379" s="4"/>
      <c r="BB379" s="4"/>
      <c r="BC379" s="4"/>
      <c r="BD379" s="4"/>
      <c r="BE379" s="3"/>
      <c r="BJ379" s="9"/>
      <c r="BK379" s="9"/>
      <c r="BL379" s="9"/>
      <c r="BM379" s="3"/>
      <c r="BN379" s="3"/>
      <c r="BO379" s="3"/>
      <c r="BP379" s="3"/>
      <c r="BQ379" s="3"/>
      <c r="BR379" s="3"/>
    </row>
    <row r="380" spans="1:70" x14ac:dyDescent="0.3">
      <c r="A380" s="2">
        <v>10</v>
      </c>
      <c r="B380" s="2" t="s">
        <v>138</v>
      </c>
      <c r="C380" t="s">
        <v>89</v>
      </c>
      <c r="D380" s="5" t="s">
        <v>438</v>
      </c>
      <c r="E380" s="5" t="s">
        <v>93</v>
      </c>
      <c r="F380" s="17">
        <v>45243</v>
      </c>
      <c r="G380">
        <v>22</v>
      </c>
      <c r="H380" s="3">
        <v>26.5</v>
      </c>
      <c r="I380" s="3">
        <f t="shared" si="43"/>
        <v>26.04</v>
      </c>
      <c r="J380" s="3">
        <f t="shared" si="48"/>
        <v>1.4087499999999999</v>
      </c>
      <c r="K380" s="6">
        <f t="shared" si="44"/>
        <v>6127.2310088582681</v>
      </c>
      <c r="L380" s="4"/>
      <c r="M380" s="4"/>
      <c r="N380" s="4"/>
      <c r="O380" s="4"/>
      <c r="P380" s="7"/>
      <c r="Q380" s="6"/>
      <c r="R380" s="5"/>
      <c r="S380" s="4"/>
      <c r="T380" s="13"/>
      <c r="U380" s="13"/>
      <c r="V380" s="5"/>
      <c r="W380" s="5"/>
      <c r="X380" s="5"/>
      <c r="Y380" s="5"/>
      <c r="Z380" s="5"/>
      <c r="AA380" s="5"/>
      <c r="AB380" s="5"/>
      <c r="AC380" s="5"/>
      <c r="AD380" s="5"/>
      <c r="AF380" s="5"/>
      <c r="AG380" s="6"/>
      <c r="AH380" s="11"/>
      <c r="AI380" s="6"/>
      <c r="AJ380" s="6"/>
      <c r="AK380" s="6"/>
      <c r="AL380" s="6"/>
      <c r="AM380" s="6"/>
      <c r="AN380" s="6"/>
      <c r="AO380" s="12"/>
      <c r="AP380" s="7"/>
      <c r="AQ380" s="6"/>
      <c r="AV380" s="3"/>
      <c r="AW380" s="3"/>
      <c r="AX380" s="3"/>
      <c r="AY380" s="3"/>
      <c r="AZ380" s="4"/>
      <c r="BA380" s="4"/>
      <c r="BB380" s="4"/>
      <c r="BC380" s="4"/>
      <c r="BD380" s="4"/>
      <c r="BE380" s="3"/>
      <c r="BJ380" s="9"/>
      <c r="BK380" s="9"/>
      <c r="BL380" s="9"/>
      <c r="BM380" s="3"/>
      <c r="BN380" s="3"/>
      <c r="BO380" s="3"/>
      <c r="BP380" s="3"/>
      <c r="BQ380" s="3"/>
      <c r="BR380" s="3"/>
    </row>
    <row r="381" spans="1:70" x14ac:dyDescent="0.3">
      <c r="A381" s="2">
        <v>10</v>
      </c>
      <c r="B381" s="2" t="s">
        <v>139</v>
      </c>
      <c r="C381" t="s">
        <v>89</v>
      </c>
      <c r="D381" s="5" t="s">
        <v>439</v>
      </c>
      <c r="E381" s="5" t="s">
        <v>93</v>
      </c>
      <c r="F381" s="17">
        <v>45243</v>
      </c>
      <c r="G381">
        <v>22</v>
      </c>
      <c r="H381" s="3">
        <v>24.5</v>
      </c>
      <c r="I381" s="3">
        <f t="shared" si="43"/>
        <v>24.04</v>
      </c>
      <c r="J381" s="3">
        <f t="shared" si="48"/>
        <v>1.4087499999999999</v>
      </c>
      <c r="K381" s="6">
        <f t="shared" si="44"/>
        <v>5680.7821899606288</v>
      </c>
      <c r="L381" s="4"/>
      <c r="M381" s="4"/>
      <c r="N381" s="4"/>
      <c r="O381" s="4"/>
      <c r="P381" s="7"/>
      <c r="Q381" s="6"/>
      <c r="R381" s="5"/>
      <c r="S381" s="4"/>
      <c r="T381" s="13"/>
      <c r="U381" s="13"/>
      <c r="V381" s="5"/>
      <c r="W381" s="5"/>
      <c r="X381" s="5"/>
      <c r="Y381" s="5"/>
      <c r="Z381" s="5"/>
      <c r="AA381" s="5"/>
      <c r="AB381" s="5"/>
      <c r="AC381" s="5"/>
      <c r="AD381" s="5"/>
      <c r="AF381" s="5"/>
      <c r="AG381" s="6"/>
      <c r="AH381" s="11"/>
      <c r="AI381" s="6"/>
      <c r="AJ381" s="6"/>
      <c r="AK381" s="6"/>
      <c r="AL381" s="6"/>
      <c r="AM381" s="6"/>
      <c r="AN381" s="6"/>
      <c r="AO381" s="12"/>
      <c r="AP381" s="7"/>
      <c r="AQ381" s="6"/>
      <c r="AV381" s="3"/>
      <c r="AW381" s="3"/>
      <c r="AX381" s="3"/>
      <c r="AY381" s="3"/>
      <c r="AZ381" s="4"/>
      <c r="BA381" s="4"/>
      <c r="BB381" s="4"/>
      <c r="BC381" s="4"/>
      <c r="BD381" s="4"/>
      <c r="BE381" s="3"/>
      <c r="BJ381" s="9"/>
      <c r="BK381" s="9"/>
      <c r="BL381" s="9"/>
      <c r="BM381" s="3"/>
      <c r="BN381" s="3"/>
      <c r="BO381" s="3"/>
      <c r="BP381" s="3"/>
      <c r="BQ381" s="3"/>
      <c r="BR381" s="3"/>
    </row>
    <row r="382" spans="1:70" x14ac:dyDescent="0.3">
      <c r="A382" s="2">
        <v>10</v>
      </c>
      <c r="B382" s="2" t="s">
        <v>140</v>
      </c>
      <c r="C382" t="s">
        <v>89</v>
      </c>
      <c r="D382" s="5" t="s">
        <v>440</v>
      </c>
      <c r="E382" s="5" t="s">
        <v>93</v>
      </c>
      <c r="F382" s="17">
        <v>45243</v>
      </c>
      <c r="G382">
        <v>22</v>
      </c>
      <c r="H382" s="3">
        <v>22.3</v>
      </c>
      <c r="I382" s="3">
        <f t="shared" si="43"/>
        <v>21.84</v>
      </c>
      <c r="J382" s="3">
        <f t="shared" si="48"/>
        <v>1.4087499999999999</v>
      </c>
      <c r="K382" s="6">
        <f t="shared" si="44"/>
        <v>5189.6884891732288</v>
      </c>
      <c r="L382" s="4"/>
      <c r="M382" s="4"/>
      <c r="N382" s="4"/>
      <c r="O382" s="4"/>
      <c r="P382" s="7"/>
      <c r="Q382" s="6"/>
      <c r="R382" s="5"/>
      <c r="S382" s="4"/>
      <c r="T382" s="13"/>
      <c r="U382" s="13"/>
      <c r="V382" s="5"/>
      <c r="W382" s="5"/>
      <c r="X382" s="5"/>
      <c r="Y382" s="5"/>
      <c r="Z382" s="5"/>
      <c r="AA382" s="5"/>
      <c r="AB382" s="5"/>
      <c r="AC382" s="5"/>
      <c r="AD382" s="5"/>
      <c r="AF382" s="5"/>
      <c r="AG382" s="6"/>
      <c r="AH382" s="11"/>
      <c r="AI382" s="6"/>
      <c r="AJ382" s="6"/>
      <c r="AK382" s="6"/>
      <c r="AL382" s="6"/>
      <c r="AM382" s="6"/>
      <c r="AN382" s="6"/>
      <c r="AO382" s="12"/>
      <c r="AP382" s="7"/>
      <c r="AQ382" s="6"/>
      <c r="AV382" s="3"/>
      <c r="AW382" s="3"/>
      <c r="AX382" s="3"/>
      <c r="AY382" s="3"/>
      <c r="AZ382" s="4"/>
      <c r="BA382" s="4"/>
      <c r="BB382" s="4"/>
      <c r="BC382" s="4"/>
      <c r="BD382" s="4"/>
      <c r="BE382" s="3"/>
      <c r="BJ382" s="9"/>
      <c r="BK382" s="9"/>
      <c r="BL382" s="9"/>
      <c r="BM382" s="3"/>
      <c r="BN382" s="3"/>
      <c r="BO382" s="3"/>
      <c r="BP382" s="3"/>
      <c r="BQ382" s="3"/>
      <c r="BR382" s="3"/>
    </row>
    <row r="383" spans="1:70" x14ac:dyDescent="0.3">
      <c r="A383" s="2">
        <v>10</v>
      </c>
      <c r="B383" s="2" t="s">
        <v>141</v>
      </c>
      <c r="C383" t="s">
        <v>89</v>
      </c>
      <c r="D383" s="5" t="s">
        <v>441</v>
      </c>
      <c r="E383" s="5" t="s">
        <v>93</v>
      </c>
      <c r="F383" s="17">
        <v>45243</v>
      </c>
      <c r="G383">
        <v>22</v>
      </c>
      <c r="H383" s="3">
        <v>23.6</v>
      </c>
      <c r="I383" s="3">
        <f t="shared" si="43"/>
        <v>23.14</v>
      </c>
      <c r="J383" s="3">
        <f t="shared" si="48"/>
        <v>1.4087499999999999</v>
      </c>
      <c r="K383" s="6">
        <f t="shared" si="44"/>
        <v>5479.8802214566931</v>
      </c>
      <c r="L383" s="4"/>
      <c r="M383" s="4"/>
      <c r="N383" s="4"/>
      <c r="O383" s="4"/>
      <c r="P383" s="7"/>
      <c r="Q383" s="6"/>
      <c r="R383" s="5"/>
      <c r="S383" s="4"/>
      <c r="T383" s="13"/>
      <c r="U383" s="13"/>
      <c r="V383" s="5"/>
      <c r="W383" s="5"/>
      <c r="X383" s="5"/>
      <c r="Y383" s="5"/>
      <c r="Z383" s="5"/>
      <c r="AA383" s="5"/>
      <c r="AB383" s="5"/>
      <c r="AC383" s="5"/>
      <c r="AD383" s="5"/>
      <c r="AF383" s="5"/>
      <c r="AG383" s="6"/>
      <c r="AH383" s="11"/>
      <c r="AI383" s="6"/>
      <c r="AJ383" s="6"/>
      <c r="AK383" s="6"/>
      <c r="AL383" s="6"/>
      <c r="AM383" s="6"/>
      <c r="AN383" s="6"/>
      <c r="AO383" s="12"/>
      <c r="AP383" s="7"/>
      <c r="AQ383" s="6"/>
      <c r="AV383" s="3"/>
      <c r="AW383" s="3"/>
      <c r="AX383" s="3"/>
      <c r="AY383" s="3"/>
      <c r="AZ383" s="4"/>
      <c r="BA383" s="4"/>
      <c r="BB383" s="4"/>
      <c r="BC383" s="4"/>
      <c r="BD383" s="4"/>
      <c r="BE383" s="3"/>
      <c r="BJ383" s="9"/>
      <c r="BK383" s="9"/>
      <c r="BL383" s="9"/>
      <c r="BM383" s="3"/>
      <c r="BN383" s="3"/>
      <c r="BO383" s="3"/>
      <c r="BP383" s="3"/>
      <c r="BQ383" s="3"/>
      <c r="BR383" s="3"/>
    </row>
    <row r="384" spans="1:70" x14ac:dyDescent="0.3">
      <c r="A384" s="2">
        <v>10</v>
      </c>
      <c r="B384" s="2" t="s">
        <v>142</v>
      </c>
      <c r="C384" t="s">
        <v>89</v>
      </c>
      <c r="D384" s="5" t="s">
        <v>442</v>
      </c>
      <c r="E384" s="5" t="s">
        <v>93</v>
      </c>
      <c r="F384" s="17">
        <v>45243</v>
      </c>
      <c r="G384">
        <v>22</v>
      </c>
      <c r="H384" s="3">
        <v>23.8</v>
      </c>
      <c r="I384" s="3">
        <f t="shared" si="43"/>
        <v>23.34</v>
      </c>
      <c r="J384" s="3">
        <f t="shared" si="48"/>
        <v>1.4087499999999999</v>
      </c>
      <c r="K384" s="6">
        <f t="shared" si="44"/>
        <v>5524.5251033464574</v>
      </c>
      <c r="L384" s="4"/>
      <c r="M384" s="4"/>
      <c r="N384" s="4"/>
      <c r="O384" s="4"/>
      <c r="P384" s="7"/>
      <c r="Q384" s="6"/>
      <c r="R384" s="5"/>
      <c r="S384" s="4"/>
      <c r="T384" s="13"/>
      <c r="U384" s="13"/>
      <c r="V384" s="5"/>
      <c r="W384" s="5"/>
      <c r="X384" s="5"/>
      <c r="Y384" s="5"/>
      <c r="Z384" s="5"/>
      <c r="AA384" s="5"/>
      <c r="AB384" s="5"/>
      <c r="AC384" s="5"/>
      <c r="AD384" s="5"/>
      <c r="AF384" s="5"/>
      <c r="AG384" s="6"/>
      <c r="AH384" s="11"/>
      <c r="AI384" s="6"/>
      <c r="AJ384" s="6"/>
      <c r="AK384" s="6"/>
      <c r="AL384" s="6"/>
      <c r="AM384" s="6"/>
      <c r="AN384" s="6"/>
      <c r="AO384" s="12"/>
      <c r="AP384" s="7"/>
      <c r="AQ384" s="6"/>
      <c r="AV384" s="3"/>
      <c r="AW384" s="3"/>
      <c r="AX384" s="3"/>
      <c r="AY384" s="3"/>
      <c r="AZ384" s="4"/>
      <c r="BA384" s="4"/>
      <c r="BB384" s="4"/>
      <c r="BC384" s="4"/>
      <c r="BD384" s="4"/>
      <c r="BE384" s="3"/>
      <c r="BJ384" s="9"/>
      <c r="BK384" s="9"/>
      <c r="BL384" s="9"/>
      <c r="BM384" s="3"/>
      <c r="BN384" s="3"/>
      <c r="BO384" s="3"/>
      <c r="BP384" s="3"/>
      <c r="BQ384" s="3"/>
      <c r="BR384" s="3"/>
    </row>
    <row r="385" spans="1:83" x14ac:dyDescent="0.3">
      <c r="A385" s="2">
        <v>10</v>
      </c>
      <c r="B385" s="2" t="s">
        <v>143</v>
      </c>
      <c r="C385" t="s">
        <v>89</v>
      </c>
      <c r="D385" s="5" t="s">
        <v>443</v>
      </c>
      <c r="E385" s="5" t="s">
        <v>93</v>
      </c>
      <c r="F385" s="17">
        <v>45243</v>
      </c>
      <c r="G385">
        <v>22</v>
      </c>
      <c r="H385" s="3">
        <v>17.5</v>
      </c>
      <c r="I385" s="3">
        <f t="shared" si="43"/>
        <v>17.04</v>
      </c>
      <c r="J385" s="3">
        <f t="shared" si="48"/>
        <v>1.4087499999999999</v>
      </c>
      <c r="K385" s="6">
        <f t="shared" si="44"/>
        <v>4118.2113238188977</v>
      </c>
      <c r="L385" s="4"/>
      <c r="M385" s="4"/>
      <c r="N385" s="4"/>
      <c r="O385" s="4"/>
      <c r="P385" s="7"/>
      <c r="Q385" s="6"/>
      <c r="R385" s="5"/>
      <c r="S385" s="4"/>
      <c r="T385" s="13"/>
      <c r="U385" s="13"/>
      <c r="V385" s="5"/>
      <c r="W385" s="5"/>
      <c r="X385" s="5"/>
      <c r="Y385" s="5"/>
      <c r="Z385" s="5"/>
      <c r="AA385" s="5"/>
      <c r="AB385" s="5"/>
      <c r="AC385" s="5"/>
      <c r="AD385" s="5"/>
      <c r="AF385" s="5"/>
      <c r="AG385" s="6"/>
      <c r="AH385" s="11"/>
      <c r="AI385" s="6"/>
      <c r="AJ385" s="6"/>
      <c r="AK385" s="6"/>
      <c r="AL385" s="6"/>
      <c r="AM385" s="6"/>
      <c r="AN385" s="6"/>
      <c r="AO385" s="12"/>
      <c r="AP385" s="7"/>
      <c r="AQ385" s="6"/>
      <c r="AV385" s="3"/>
      <c r="AW385" s="3"/>
      <c r="AX385" s="3"/>
      <c r="AY385" s="3"/>
      <c r="AZ385" s="4"/>
      <c r="BA385" s="4"/>
      <c r="BB385" s="4"/>
      <c r="BC385" s="4"/>
      <c r="BD385" s="4"/>
      <c r="BE385" s="3"/>
      <c r="BJ385" s="9"/>
      <c r="BK385" s="9"/>
      <c r="BL385" s="9"/>
      <c r="BM385" s="3"/>
      <c r="BN385" s="3"/>
      <c r="BO385" s="3"/>
      <c r="BP385" s="3"/>
      <c r="BQ385" s="3"/>
      <c r="BR385" s="3"/>
    </row>
    <row r="386" spans="1:83" x14ac:dyDescent="0.3">
      <c r="A386" s="2">
        <v>11</v>
      </c>
      <c r="B386" s="2" t="s">
        <v>80</v>
      </c>
      <c r="C386" t="s">
        <v>88</v>
      </c>
      <c r="D386" s="5" t="s">
        <v>444</v>
      </c>
      <c r="E386" s="5" t="s">
        <v>93</v>
      </c>
      <c r="F386" s="17">
        <v>45243</v>
      </c>
      <c r="G386">
        <v>11</v>
      </c>
      <c r="H386" s="3">
        <v>14.4</v>
      </c>
      <c r="I386" s="3">
        <f t="shared" si="43"/>
        <v>13.94</v>
      </c>
      <c r="J386" s="3">
        <f>($A$61-$A$47)*$A$75</f>
        <v>1.2962499999999999</v>
      </c>
      <c r="K386" s="6">
        <f t="shared" si="44"/>
        <v>3401.102908464567</v>
      </c>
      <c r="L386" s="4"/>
      <c r="M386" s="4"/>
      <c r="N386" s="4"/>
      <c r="O386" s="4"/>
      <c r="P386" s="7"/>
      <c r="Q386" s="6"/>
      <c r="R386" s="5"/>
      <c r="S386" s="4"/>
      <c r="T386" s="13"/>
      <c r="U386" s="13"/>
      <c r="V386" s="5"/>
      <c r="W386" s="5"/>
      <c r="X386" s="5"/>
      <c r="Y386" s="5"/>
      <c r="Z386" s="5"/>
      <c r="AA386" s="5"/>
      <c r="AB386" s="5"/>
      <c r="AC386" s="5"/>
      <c r="AD386" s="5"/>
      <c r="AF386" s="5"/>
      <c r="AG386" s="6"/>
      <c r="AH386" s="11"/>
      <c r="AI386" s="6"/>
      <c r="AJ386" s="6"/>
      <c r="AK386" s="6"/>
      <c r="AL386" s="6"/>
      <c r="AM386" s="6"/>
      <c r="AN386" s="6"/>
      <c r="AO386" s="12"/>
      <c r="AP386" s="7"/>
      <c r="AQ386" s="6"/>
      <c r="AS386" s="4" t="s">
        <v>528</v>
      </c>
      <c r="AT386" s="4" t="str">
        <f>E386</f>
        <v>Machine</v>
      </c>
      <c r="AU386" s="15">
        <f>F386</f>
        <v>45243</v>
      </c>
      <c r="AV386" s="3">
        <f>SUM(H386:H415)</f>
        <v>575.19999999999982</v>
      </c>
      <c r="AW386" s="3">
        <f>AV386-(30-3)*$A$47</f>
        <v>562.77999999999986</v>
      </c>
      <c r="AX386" s="3">
        <f>SUM(J386:J415)</f>
        <v>29.561250000000001</v>
      </c>
      <c r="AY386" s="3">
        <f>(AW386+AX386)*$A$48/((30-3)*$A$49)*$A$50</f>
        <v>4897.2231749416724</v>
      </c>
      <c r="AZ386" s="4">
        <f>SUM(L386:L415)</f>
        <v>19.78</v>
      </c>
      <c r="BA386" s="4">
        <f t="shared" ref="BA386" si="49">SUM(M386:M415)</f>
        <v>379.26</v>
      </c>
      <c r="BB386" s="4">
        <f t="shared" ref="BB386" si="50">SUM(N386:N415)</f>
        <v>359.48</v>
      </c>
      <c r="BC386" s="4">
        <f>SUM(O386:O415)</f>
        <v>341.38</v>
      </c>
      <c r="BD386" s="4">
        <f>(BB386-BC386)/BB386*100</f>
        <v>5.0350506286858856</v>
      </c>
      <c r="BE386" s="3">
        <f>AY386*(1-BD386/100)</f>
        <v>4650.6455086836204</v>
      </c>
      <c r="BF386" s="15">
        <v>45244</v>
      </c>
      <c r="BG386" s="4">
        <f>SUM(S386:S415)</f>
        <v>19.05</v>
      </c>
      <c r="BH386" s="13">
        <f>SUM(T386:T415)</f>
        <v>7.4049999999999994</v>
      </c>
      <c r="BI386" s="13">
        <f>SUM(U386:U415)</f>
        <v>12.29</v>
      </c>
      <c r="BJ386" s="9">
        <f>(BH386-2*$A$76)/(BG386-2*$A$47*$A$48)</f>
        <v>0.36715031657126818</v>
      </c>
      <c r="BK386" s="9">
        <f>(BI386-2*$A$77)/(BG386-2*$A$47*$A$48)</f>
        <v>0.47711830351097412</v>
      </c>
      <c r="BL386" s="9">
        <f>1-BJ386-BK386</f>
        <v>0.15573137991775771</v>
      </c>
      <c r="BM386" s="3">
        <f>AY386*BJ386</f>
        <v>1798.017038999986</v>
      </c>
      <c r="BN386" s="3">
        <f>AY386*BK386</f>
        <v>2336.5548131427972</v>
      </c>
      <c r="BO386" s="3">
        <f>SUM(BM386:BN386)</f>
        <v>4134.5718521427834</v>
      </c>
      <c r="BP386" s="3">
        <f>BE386*BJ386</f>
        <v>1707.4859707739377</v>
      </c>
      <c r="BQ386" s="3">
        <f>BE386*BK386</f>
        <v>2218.9080953340604</v>
      </c>
      <c r="BR386" s="3">
        <f>SUM(BP386:BQ386)</f>
        <v>3926.3940661079978</v>
      </c>
      <c r="BT386" s="15">
        <v>45295</v>
      </c>
      <c r="BU386" s="3">
        <f>AVERAGE(AG386:AG415)</f>
        <v>49.15</v>
      </c>
      <c r="BV386" s="13">
        <f>AVERAGE(AH386:AH415)</f>
        <v>1.1495</v>
      </c>
      <c r="BW386" s="3">
        <f>AVERAGE(AI386:AI415)</f>
        <v>82</v>
      </c>
      <c r="BX386" s="3">
        <f>AVERAGE(AJ386:AJ415)</f>
        <v>30.95</v>
      </c>
      <c r="BY386" s="3">
        <f>AVERAGE(AK386:AK415)</f>
        <v>5.3</v>
      </c>
      <c r="BZ386" s="3">
        <f>AVERAGE(AL386:AL415)</f>
        <v>81.25</v>
      </c>
      <c r="CA386" s="3">
        <f>AVERAGE(AM386:AM415)</f>
        <v>8.8999999999999986</v>
      </c>
      <c r="CB386" s="3"/>
      <c r="CC386" s="10">
        <f>AVERAGE(AO386:AO415)</f>
        <v>14</v>
      </c>
      <c r="CD386" s="4">
        <f>AVERAGE(AP386:AP415)</f>
        <v>0.28000000000000003</v>
      </c>
      <c r="CE386" s="3">
        <f>AVERAGE(AQ386:AQ415)</f>
        <v>8.75</v>
      </c>
    </row>
    <row r="387" spans="1:83" x14ac:dyDescent="0.3">
      <c r="A387" s="2">
        <v>11</v>
      </c>
      <c r="B387" s="2" t="s">
        <v>81</v>
      </c>
      <c r="C387" t="s">
        <v>88</v>
      </c>
      <c r="D387" s="5" t="s">
        <v>445</v>
      </c>
      <c r="E387" s="5" t="s">
        <v>93</v>
      </c>
      <c r="F387" s="17">
        <v>45243</v>
      </c>
      <c r="G387">
        <v>11</v>
      </c>
      <c r="H387" s="3"/>
      <c r="I387" s="3"/>
      <c r="J387" s="3"/>
      <c r="K387" s="6"/>
      <c r="L387" s="4"/>
      <c r="M387" s="4"/>
      <c r="N387" s="4"/>
      <c r="O387" s="4"/>
      <c r="P387" s="7"/>
      <c r="Q387" s="6"/>
      <c r="R387" s="5"/>
      <c r="S387" s="4"/>
      <c r="T387" s="13"/>
      <c r="U387" s="13"/>
      <c r="V387" s="5"/>
      <c r="W387" s="5"/>
      <c r="X387" s="5"/>
      <c r="Y387" s="5"/>
      <c r="Z387" s="5"/>
      <c r="AA387" s="5"/>
      <c r="AB387" s="5"/>
      <c r="AC387" s="5"/>
      <c r="AD387" s="5"/>
      <c r="AF387" s="5"/>
      <c r="AG387" s="6"/>
      <c r="AH387" s="11"/>
      <c r="AI387" s="6"/>
      <c r="AJ387" s="6"/>
      <c r="AK387" s="6"/>
      <c r="AL387" s="6"/>
      <c r="AM387" s="6"/>
      <c r="AN387" s="6"/>
      <c r="AO387" s="12"/>
      <c r="AP387" s="7"/>
      <c r="AQ387" s="6"/>
      <c r="AV387" s="3"/>
      <c r="AW387" s="3"/>
      <c r="AX387" s="3"/>
      <c r="AY387" s="3"/>
      <c r="AZ387" s="4"/>
      <c r="BA387" s="4"/>
      <c r="BB387" s="4"/>
      <c r="BC387" s="4"/>
      <c r="BD387" s="4"/>
      <c r="BE387" s="3"/>
      <c r="BJ387" s="9"/>
      <c r="BK387" s="9"/>
      <c r="BL387" s="9"/>
      <c r="BM387" s="3"/>
      <c r="BN387" s="3"/>
      <c r="BO387" s="3"/>
      <c r="BP387" s="3"/>
      <c r="BQ387" s="3"/>
      <c r="BR387" s="3"/>
    </row>
    <row r="388" spans="1:83" x14ac:dyDescent="0.3">
      <c r="A388" s="2">
        <v>11</v>
      </c>
      <c r="B388" s="2" t="s">
        <v>82</v>
      </c>
      <c r="C388" t="s">
        <v>88</v>
      </c>
      <c r="D388" s="5" t="s">
        <v>446</v>
      </c>
      <c r="E388" s="5" t="s">
        <v>93</v>
      </c>
      <c r="F388" s="17">
        <v>45243</v>
      </c>
      <c r="G388">
        <v>11</v>
      </c>
      <c r="H388" s="3">
        <v>25.2</v>
      </c>
      <c r="I388" s="3">
        <f t="shared" si="43"/>
        <v>24.74</v>
      </c>
      <c r="J388" s="3">
        <f t="shared" ref="J388:J400" si="51">($A$61-$A$47)*$A$75</f>
        <v>1.2962499999999999</v>
      </c>
      <c r="K388" s="6">
        <f t="shared" si="44"/>
        <v>5811.9265305118106</v>
      </c>
      <c r="L388" s="4"/>
      <c r="M388" s="4"/>
      <c r="N388" s="4"/>
      <c r="O388" s="4"/>
      <c r="P388" s="7"/>
      <c r="Q388" s="6"/>
      <c r="R388" s="5"/>
      <c r="S388" s="4"/>
      <c r="T388" s="13"/>
      <c r="U388" s="13"/>
      <c r="V388" s="5"/>
      <c r="W388" s="5"/>
      <c r="X388" s="5"/>
      <c r="Y388" s="5"/>
      <c r="Z388" s="5"/>
      <c r="AA388" s="5"/>
      <c r="AB388" s="5"/>
      <c r="AC388" s="5"/>
      <c r="AD388" s="5"/>
      <c r="AF388" s="5"/>
      <c r="AG388" s="6"/>
      <c r="AH388" s="11"/>
      <c r="AI388" s="6"/>
      <c r="AJ388" s="6"/>
      <c r="AK388" s="6"/>
      <c r="AL388" s="6"/>
      <c r="AM388" s="6"/>
      <c r="AN388" s="6"/>
      <c r="AO388" s="12"/>
      <c r="AP388" s="7"/>
      <c r="AQ388" s="6"/>
      <c r="AV388" s="3"/>
      <c r="AW388" s="3"/>
      <c r="AX388" s="3"/>
      <c r="AY388" s="3"/>
      <c r="AZ388" s="4"/>
      <c r="BA388" s="4"/>
      <c r="BB388" s="4"/>
      <c r="BC388" s="4"/>
      <c r="BD388" s="4"/>
      <c r="BE388" s="3"/>
      <c r="BJ388" s="9"/>
      <c r="BK388" s="9"/>
      <c r="BL388" s="9"/>
      <c r="BM388" s="3"/>
      <c r="BN388" s="3"/>
      <c r="BO388" s="3"/>
      <c r="BP388" s="3"/>
      <c r="BQ388" s="3"/>
      <c r="BR388" s="3"/>
    </row>
    <row r="389" spans="1:83" x14ac:dyDescent="0.3">
      <c r="A389" s="2">
        <v>11</v>
      </c>
      <c r="B389" s="2" t="s">
        <v>83</v>
      </c>
      <c r="C389" t="s">
        <v>88</v>
      </c>
      <c r="D389" s="5" t="s">
        <v>447</v>
      </c>
      <c r="E389" s="5" t="s">
        <v>93</v>
      </c>
      <c r="F389" s="17">
        <v>45243</v>
      </c>
      <c r="G389">
        <v>11</v>
      </c>
      <c r="H389" s="3"/>
      <c r="I389" s="3"/>
      <c r="J389" s="3"/>
      <c r="K389" s="6"/>
      <c r="L389" s="4"/>
      <c r="M389" s="4"/>
      <c r="N389" s="4"/>
      <c r="O389" s="4"/>
      <c r="P389" s="7"/>
      <c r="Q389" s="6"/>
      <c r="R389" s="5"/>
      <c r="S389" s="4"/>
      <c r="T389" s="13"/>
      <c r="U389" s="13"/>
      <c r="V389" s="5"/>
      <c r="W389" s="5"/>
      <c r="X389" s="5"/>
      <c r="Y389" s="5"/>
      <c r="Z389" s="5"/>
      <c r="AA389" s="5"/>
      <c r="AB389" s="5"/>
      <c r="AC389" s="5"/>
      <c r="AD389" s="5"/>
      <c r="AF389" s="5"/>
      <c r="AG389" s="6"/>
      <c r="AH389" s="11"/>
      <c r="AI389" s="6"/>
      <c r="AJ389" s="6"/>
      <c r="AK389" s="6"/>
      <c r="AL389" s="6"/>
      <c r="AM389" s="6"/>
      <c r="AN389" s="6"/>
      <c r="AO389" s="12"/>
      <c r="AP389" s="7"/>
      <c r="AQ389" s="6"/>
      <c r="AV389" s="3"/>
      <c r="AW389" s="3"/>
      <c r="AX389" s="3"/>
      <c r="AY389" s="3"/>
      <c r="AZ389" s="4"/>
      <c r="BA389" s="4"/>
      <c r="BB389" s="4"/>
      <c r="BC389" s="4"/>
      <c r="BD389" s="4"/>
      <c r="BE389" s="3"/>
      <c r="BJ389" s="9"/>
      <c r="BK389" s="9"/>
      <c r="BL389" s="9"/>
      <c r="BM389" s="3"/>
      <c r="BN389" s="3"/>
      <c r="BO389" s="3"/>
      <c r="BP389" s="3"/>
      <c r="BQ389" s="3"/>
      <c r="BR389" s="3"/>
    </row>
    <row r="390" spans="1:83" x14ac:dyDescent="0.3">
      <c r="A390" s="2">
        <v>11</v>
      </c>
      <c r="B390" s="2" t="s">
        <v>84</v>
      </c>
      <c r="C390" t="s">
        <v>88</v>
      </c>
      <c r="D390" s="5" t="s">
        <v>448</v>
      </c>
      <c r="E390" s="5" t="s">
        <v>93</v>
      </c>
      <c r="F390" s="17">
        <v>45243</v>
      </c>
      <c r="G390">
        <v>11</v>
      </c>
      <c r="H390" s="3">
        <v>25.6</v>
      </c>
      <c r="I390" s="3">
        <f t="shared" si="43"/>
        <v>25.14</v>
      </c>
      <c r="J390" s="3">
        <f t="shared" si="51"/>
        <v>1.2962499999999999</v>
      </c>
      <c r="K390" s="6">
        <f t="shared" si="44"/>
        <v>5901.2162942913392</v>
      </c>
      <c r="L390" s="4"/>
      <c r="M390" s="4"/>
      <c r="N390" s="4"/>
      <c r="O390" s="4"/>
      <c r="P390" s="7"/>
      <c r="Q390" s="6"/>
      <c r="R390" s="5"/>
      <c r="S390" s="4"/>
      <c r="T390" s="13"/>
      <c r="U390" s="13"/>
      <c r="V390" s="5"/>
      <c r="W390" s="5"/>
      <c r="X390" s="5"/>
      <c r="Y390" s="5"/>
      <c r="Z390" s="5"/>
      <c r="AA390" s="5"/>
      <c r="AB390" s="5"/>
      <c r="AC390" s="5"/>
      <c r="AD390" s="5"/>
      <c r="AF390" s="5"/>
      <c r="AG390" s="6"/>
      <c r="AH390" s="11"/>
      <c r="AI390" s="6"/>
      <c r="AJ390" s="6"/>
      <c r="AK390" s="6"/>
      <c r="AL390" s="6"/>
      <c r="AM390" s="6"/>
      <c r="AN390" s="6"/>
      <c r="AO390" s="12"/>
      <c r="AP390" s="7"/>
      <c r="AQ390" s="6"/>
      <c r="AV390" s="3"/>
      <c r="AW390" s="3"/>
      <c r="AX390" s="3"/>
      <c r="AY390" s="3"/>
      <c r="AZ390" s="4"/>
      <c r="BA390" s="4"/>
      <c r="BB390" s="4"/>
      <c r="BC390" s="4"/>
      <c r="BD390" s="4"/>
      <c r="BE390" s="3"/>
      <c r="BJ390" s="9"/>
      <c r="BK390" s="9"/>
      <c r="BL390" s="9"/>
      <c r="BM390" s="3"/>
      <c r="BN390" s="3"/>
      <c r="BO390" s="3"/>
      <c r="BP390" s="3"/>
      <c r="BQ390" s="3"/>
      <c r="BR390" s="3"/>
    </row>
    <row r="391" spans="1:83" x14ac:dyDescent="0.3">
      <c r="A391" s="2">
        <v>11</v>
      </c>
      <c r="B391" s="2" t="s">
        <v>85</v>
      </c>
      <c r="C391" t="s">
        <v>88</v>
      </c>
      <c r="D391" s="5" t="s">
        <v>449</v>
      </c>
      <c r="E391" s="5" t="s">
        <v>93</v>
      </c>
      <c r="F391" s="17">
        <v>45243</v>
      </c>
      <c r="G391">
        <v>11</v>
      </c>
      <c r="H391" s="3">
        <v>17.8</v>
      </c>
      <c r="I391" s="3">
        <f t="shared" si="43"/>
        <v>17.34</v>
      </c>
      <c r="J391" s="3">
        <f t="shared" si="51"/>
        <v>1.2962499999999999</v>
      </c>
      <c r="K391" s="6">
        <f t="shared" si="44"/>
        <v>4160.0659005905518</v>
      </c>
      <c r="L391" s="4"/>
      <c r="M391" s="4"/>
      <c r="N391" s="4"/>
      <c r="O391" s="4"/>
      <c r="P391" s="7"/>
      <c r="Q391" s="6"/>
      <c r="R391" s="5"/>
      <c r="S391" s="4"/>
      <c r="T391" s="13"/>
      <c r="U391" s="13"/>
      <c r="V391" s="5"/>
      <c r="W391" s="5"/>
      <c r="X391" s="5"/>
      <c r="Y391" s="5"/>
      <c r="Z391" s="5"/>
      <c r="AA391" s="5"/>
      <c r="AB391" s="5"/>
      <c r="AC391" s="5"/>
      <c r="AD391" s="5"/>
      <c r="AF391" s="5"/>
      <c r="AG391" s="6"/>
      <c r="AH391" s="11"/>
      <c r="AI391" s="6"/>
      <c r="AJ391" s="6"/>
      <c r="AK391" s="6"/>
      <c r="AL391" s="6"/>
      <c r="AM391" s="6"/>
      <c r="AN391" s="6"/>
      <c r="AO391" s="12"/>
      <c r="AP391" s="7"/>
      <c r="AQ391" s="6"/>
      <c r="AV391" s="3"/>
      <c r="AW391" s="3"/>
      <c r="AX391" s="3"/>
      <c r="AY391" s="3"/>
      <c r="AZ391" s="4"/>
      <c r="BA391" s="4"/>
      <c r="BB391" s="4"/>
      <c r="BC391" s="4"/>
      <c r="BD391" s="4"/>
      <c r="BE391" s="3"/>
      <c r="BJ391" s="9"/>
      <c r="BK391" s="9"/>
      <c r="BL391" s="9"/>
      <c r="BM391" s="3"/>
      <c r="BN391" s="3"/>
      <c r="BO391" s="3"/>
      <c r="BP391" s="3"/>
      <c r="BQ391" s="3"/>
      <c r="BR391" s="3"/>
    </row>
    <row r="392" spans="1:83" x14ac:dyDescent="0.3">
      <c r="A392" s="2">
        <v>11</v>
      </c>
      <c r="B392" s="2" t="s">
        <v>86</v>
      </c>
      <c r="C392" t="s">
        <v>88</v>
      </c>
      <c r="D392" s="5" t="s">
        <v>450</v>
      </c>
      <c r="E392" s="5" t="s">
        <v>93</v>
      </c>
      <c r="F392" s="17">
        <v>45243</v>
      </c>
      <c r="G392">
        <v>11</v>
      </c>
      <c r="H392" s="3">
        <v>26</v>
      </c>
      <c r="I392" s="3">
        <f t="shared" si="43"/>
        <v>25.54</v>
      </c>
      <c r="J392" s="3">
        <f t="shared" si="51"/>
        <v>1.2962499999999999</v>
      </c>
      <c r="K392" s="6">
        <f t="shared" si="44"/>
        <v>5990.5060580708659</v>
      </c>
      <c r="L392" s="4"/>
      <c r="M392" s="4"/>
      <c r="N392" s="4"/>
      <c r="O392" s="4"/>
      <c r="P392" s="7"/>
      <c r="Q392" s="6"/>
      <c r="R392" s="5"/>
      <c r="S392" s="4"/>
      <c r="T392" s="13"/>
      <c r="U392" s="13"/>
      <c r="V392" s="5"/>
      <c r="W392" s="5"/>
      <c r="X392" s="5"/>
      <c r="Y392" s="5"/>
      <c r="Z392" s="5"/>
      <c r="AA392" s="5"/>
      <c r="AB392" s="5"/>
      <c r="AC392" s="5"/>
      <c r="AD392" s="5"/>
      <c r="AF392" s="5"/>
      <c r="AG392" s="6"/>
      <c r="AH392" s="11"/>
      <c r="AI392" s="6"/>
      <c r="AJ392" s="6"/>
      <c r="AK392" s="6"/>
      <c r="AL392" s="6"/>
      <c r="AM392" s="6"/>
      <c r="AN392" s="6"/>
      <c r="AO392" s="12"/>
      <c r="AP392" s="7"/>
      <c r="AQ392" s="6"/>
      <c r="AV392" s="3"/>
      <c r="AW392" s="3"/>
      <c r="AX392" s="3"/>
      <c r="AY392" s="3"/>
      <c r="AZ392" s="4"/>
      <c r="BA392" s="4"/>
      <c r="BB392" s="4"/>
      <c r="BC392" s="4"/>
      <c r="BD392" s="4"/>
      <c r="BE392" s="3"/>
      <c r="BJ392" s="9"/>
      <c r="BK392" s="9"/>
      <c r="BL392" s="9"/>
      <c r="BM392" s="3"/>
      <c r="BN392" s="3"/>
      <c r="BO392" s="3"/>
      <c r="BP392" s="3"/>
      <c r="BQ392" s="3"/>
      <c r="BR392" s="3"/>
    </row>
    <row r="393" spans="1:83" x14ac:dyDescent="0.3">
      <c r="A393" s="2">
        <v>11</v>
      </c>
      <c r="B393" s="2" t="s">
        <v>87</v>
      </c>
      <c r="C393" t="s">
        <v>88</v>
      </c>
      <c r="D393" s="5" t="s">
        <v>451</v>
      </c>
      <c r="E393" s="5" t="s">
        <v>93</v>
      </c>
      <c r="F393" s="17">
        <v>45243</v>
      </c>
      <c r="G393">
        <v>11</v>
      </c>
      <c r="H393" s="3">
        <v>20.5</v>
      </c>
      <c r="I393" s="3">
        <f t="shared" si="43"/>
        <v>20.04</v>
      </c>
      <c r="J393" s="3">
        <f t="shared" si="51"/>
        <v>1.2962499999999999</v>
      </c>
      <c r="K393" s="6">
        <f t="shared" si="44"/>
        <v>4762.7718061023625</v>
      </c>
      <c r="L393" s="4">
        <v>8.8000000000000007</v>
      </c>
      <c r="M393" s="4">
        <v>210.9</v>
      </c>
      <c r="N393" s="4">
        <v>202.1</v>
      </c>
      <c r="O393" s="4">
        <v>191.18</v>
      </c>
      <c r="P393" s="7">
        <f>(N393-O393)/N393*100</f>
        <v>5.4032657100445265</v>
      </c>
      <c r="Q393" s="6">
        <f>K393*(1-P393/100)</f>
        <v>4505.4265902555653</v>
      </c>
      <c r="R393" s="14">
        <v>45244</v>
      </c>
      <c r="S393" s="4">
        <v>8.98</v>
      </c>
      <c r="T393" s="13">
        <v>3.5049999999999999</v>
      </c>
      <c r="U393" s="13">
        <v>5.76</v>
      </c>
      <c r="V393" s="8">
        <f>(T393-$A$76)/(S393-$A$47*$A$48)</f>
        <v>0.36744638538829416</v>
      </c>
      <c r="W393" s="8">
        <f>(U393-$A$77)/(S393-$A$47*$A$48)</f>
        <v>0.46287071817451886</v>
      </c>
      <c r="X393" s="8">
        <f>1-V393-W393</f>
        <v>0.16968289643718704</v>
      </c>
      <c r="Y393" s="6">
        <f>K393*V393</f>
        <v>1750.0632845815906</v>
      </c>
      <c r="Z393" s="6">
        <f>K393*W393</f>
        <v>2204.5476063919509</v>
      </c>
      <c r="AA393" s="6">
        <f>SUM(Y393:Z393)</f>
        <v>3954.6108909735412</v>
      </c>
      <c r="AB393" s="6">
        <f>Q393*V393</f>
        <v>1655.5027152217147</v>
      </c>
      <c r="AC393" s="6">
        <f>Q393*W393</f>
        <v>2085.4300415141674</v>
      </c>
      <c r="AD393" s="6">
        <f>SUM(AB393:AC393)</f>
        <v>3740.9327567358823</v>
      </c>
      <c r="AE393" t="s">
        <v>557</v>
      </c>
      <c r="AF393" s="14">
        <v>45295</v>
      </c>
      <c r="AG393" s="6">
        <v>49.699999999999996</v>
      </c>
      <c r="AH393" s="11">
        <v>1.161</v>
      </c>
      <c r="AI393" s="6">
        <v>81.7</v>
      </c>
      <c r="AJ393" s="6">
        <v>30.4</v>
      </c>
      <c r="AK393" s="6">
        <v>5.3</v>
      </c>
      <c r="AL393" s="6">
        <v>80.400000000000006</v>
      </c>
      <c r="AM393" s="6">
        <v>9.1999999999999993</v>
      </c>
      <c r="AN393" s="6" t="s">
        <v>133</v>
      </c>
      <c r="AO393" s="12">
        <v>18</v>
      </c>
      <c r="AP393" s="7">
        <v>0.44</v>
      </c>
      <c r="AQ393" s="6">
        <v>8.3000000000000007</v>
      </c>
      <c r="AV393" s="3"/>
      <c r="AW393" s="3"/>
      <c r="AX393" s="3"/>
      <c r="AY393" s="3"/>
      <c r="AZ393" s="4"/>
      <c r="BA393" s="4"/>
      <c r="BB393" s="4"/>
      <c r="BC393" s="4"/>
      <c r="BD393" s="4"/>
      <c r="BE393" s="3"/>
      <c r="BJ393" s="9"/>
      <c r="BK393" s="9"/>
      <c r="BL393" s="9"/>
      <c r="BM393" s="3"/>
      <c r="BN393" s="3"/>
      <c r="BO393" s="3"/>
      <c r="BP393" s="3"/>
      <c r="BQ393" s="3"/>
      <c r="BR393" s="3"/>
    </row>
    <row r="394" spans="1:83" x14ac:dyDescent="0.3">
      <c r="A394" s="2">
        <v>11</v>
      </c>
      <c r="B394" s="2" t="s">
        <v>137</v>
      </c>
      <c r="C394" t="s">
        <v>88</v>
      </c>
      <c r="D394" s="5" t="s">
        <v>452</v>
      </c>
      <c r="E394" s="5" t="s">
        <v>93</v>
      </c>
      <c r="F394" s="17">
        <v>45243</v>
      </c>
      <c r="G394">
        <v>11</v>
      </c>
      <c r="H394" s="3">
        <v>21.1</v>
      </c>
      <c r="I394" s="3">
        <f t="shared" si="43"/>
        <v>20.64</v>
      </c>
      <c r="J394" s="3">
        <f t="shared" si="51"/>
        <v>1.2962499999999999</v>
      </c>
      <c r="K394" s="6">
        <f t="shared" si="44"/>
        <v>4896.7064517716535</v>
      </c>
      <c r="L394" s="4"/>
      <c r="M394" s="4"/>
      <c r="N394" s="4"/>
      <c r="O394" s="4"/>
      <c r="P394" s="7"/>
      <c r="Q394" s="6"/>
      <c r="R394" s="5"/>
      <c r="S394" s="4"/>
      <c r="T394" s="13"/>
      <c r="U394" s="13"/>
      <c r="V394" s="5"/>
      <c r="W394" s="5"/>
      <c r="X394" s="5"/>
      <c r="Y394" s="5"/>
      <c r="Z394" s="5"/>
      <c r="AA394" s="5"/>
      <c r="AB394" s="5"/>
      <c r="AC394" s="5"/>
      <c r="AD394" s="5"/>
      <c r="AF394" s="5"/>
      <c r="AG394" s="6"/>
      <c r="AH394" s="11"/>
      <c r="AI394" s="6"/>
      <c r="AJ394" s="6"/>
      <c r="AK394" s="6"/>
      <c r="AL394" s="6"/>
      <c r="AM394" s="6"/>
      <c r="AN394" s="6"/>
      <c r="AO394" s="12"/>
      <c r="AP394" s="7"/>
      <c r="AQ394" s="6"/>
      <c r="AV394" s="3"/>
      <c r="AW394" s="3"/>
      <c r="AX394" s="3"/>
      <c r="AY394" s="3"/>
      <c r="AZ394" s="4"/>
      <c r="BA394" s="4"/>
      <c r="BB394" s="4"/>
      <c r="BC394" s="4"/>
      <c r="BD394" s="4"/>
      <c r="BE394" s="3"/>
      <c r="BJ394" s="9"/>
      <c r="BK394" s="9"/>
      <c r="BL394" s="9"/>
      <c r="BM394" s="3"/>
      <c r="BN394" s="3"/>
      <c r="BO394" s="3"/>
      <c r="BP394" s="3"/>
      <c r="BQ394" s="3"/>
      <c r="BR394" s="3"/>
    </row>
    <row r="395" spans="1:83" x14ac:dyDescent="0.3">
      <c r="A395" s="2">
        <v>11</v>
      </c>
      <c r="B395" s="2" t="s">
        <v>138</v>
      </c>
      <c r="C395" t="s">
        <v>88</v>
      </c>
      <c r="D395" s="5" t="s">
        <v>453</v>
      </c>
      <c r="E395" s="5" t="s">
        <v>93</v>
      </c>
      <c r="F395" s="17">
        <v>45243</v>
      </c>
      <c r="G395">
        <v>11</v>
      </c>
      <c r="H395" s="3">
        <v>20.9</v>
      </c>
      <c r="I395" s="3">
        <f t="shared" si="43"/>
        <v>20.439999999999998</v>
      </c>
      <c r="J395" s="3">
        <f t="shared" si="51"/>
        <v>1.2962499999999999</v>
      </c>
      <c r="K395" s="6">
        <f t="shared" si="44"/>
        <v>4852.0615698818892</v>
      </c>
      <c r="L395" s="4"/>
      <c r="M395" s="4"/>
      <c r="N395" s="4"/>
      <c r="O395" s="4"/>
      <c r="P395" s="7"/>
      <c r="Q395" s="6"/>
      <c r="R395" s="5"/>
      <c r="S395" s="4"/>
      <c r="T395" s="13"/>
      <c r="U395" s="13"/>
      <c r="V395" s="5"/>
      <c r="W395" s="5"/>
      <c r="X395" s="5"/>
      <c r="Y395" s="5"/>
      <c r="Z395" s="5"/>
      <c r="AA395" s="5"/>
      <c r="AB395" s="5"/>
      <c r="AC395" s="5"/>
      <c r="AD395" s="5"/>
      <c r="AF395" s="5"/>
      <c r="AG395" s="6"/>
      <c r="AH395" s="11"/>
      <c r="AI395" s="6"/>
      <c r="AJ395" s="6"/>
      <c r="AK395" s="6"/>
      <c r="AL395" s="6"/>
      <c r="AM395" s="6"/>
      <c r="AN395" s="6"/>
      <c r="AO395" s="12"/>
      <c r="AP395" s="7"/>
      <c r="AQ395" s="6"/>
      <c r="AV395" s="3"/>
      <c r="AW395" s="3"/>
      <c r="AX395" s="3"/>
      <c r="AY395" s="3"/>
      <c r="AZ395" s="4"/>
      <c r="BA395" s="4"/>
      <c r="BB395" s="4"/>
      <c r="BC395" s="4"/>
      <c r="BD395" s="4"/>
      <c r="BE395" s="3"/>
      <c r="BJ395" s="9"/>
      <c r="BK395" s="9"/>
      <c r="BL395" s="9"/>
      <c r="BM395" s="3"/>
      <c r="BN395" s="3"/>
      <c r="BO395" s="3"/>
      <c r="BP395" s="3"/>
      <c r="BQ395" s="3"/>
      <c r="BR395" s="3"/>
    </row>
    <row r="396" spans="1:83" x14ac:dyDescent="0.3">
      <c r="A396" s="2">
        <v>11</v>
      </c>
      <c r="B396" s="2" t="s">
        <v>139</v>
      </c>
      <c r="C396" t="s">
        <v>88</v>
      </c>
      <c r="D396" s="5" t="s">
        <v>454</v>
      </c>
      <c r="E396" s="5" t="s">
        <v>93</v>
      </c>
      <c r="F396" s="17">
        <v>45243</v>
      </c>
      <c r="G396">
        <v>11</v>
      </c>
      <c r="H396" s="3"/>
      <c r="I396" s="3"/>
      <c r="J396" s="3"/>
      <c r="K396" s="6"/>
      <c r="L396" s="4"/>
      <c r="M396" s="4"/>
      <c r="N396" s="4"/>
      <c r="O396" s="4"/>
      <c r="P396" s="7"/>
      <c r="Q396" s="6"/>
      <c r="R396" s="5"/>
      <c r="S396" s="4"/>
      <c r="T396" s="13"/>
      <c r="U396" s="13"/>
      <c r="V396" s="5"/>
      <c r="W396" s="5"/>
      <c r="X396" s="5"/>
      <c r="Y396" s="5"/>
      <c r="Z396" s="5"/>
      <c r="AA396" s="5"/>
      <c r="AB396" s="5"/>
      <c r="AC396" s="5"/>
      <c r="AD396" s="5"/>
      <c r="AF396" s="5"/>
      <c r="AG396" s="6"/>
      <c r="AH396" s="11"/>
      <c r="AI396" s="6"/>
      <c r="AJ396" s="6"/>
      <c r="AK396" s="6"/>
      <c r="AL396" s="6"/>
      <c r="AM396" s="6"/>
      <c r="AN396" s="6"/>
      <c r="AO396" s="12"/>
      <c r="AP396" s="7"/>
      <c r="AQ396" s="6"/>
      <c r="AV396" s="3"/>
      <c r="AW396" s="3"/>
      <c r="AX396" s="3"/>
      <c r="AY396" s="3"/>
      <c r="AZ396" s="4"/>
      <c r="BA396" s="4"/>
      <c r="BB396" s="4"/>
      <c r="BC396" s="4"/>
      <c r="BD396" s="4"/>
      <c r="BE396" s="3"/>
      <c r="BJ396" s="9"/>
      <c r="BK396" s="9"/>
      <c r="BL396" s="9"/>
      <c r="BM396" s="3"/>
      <c r="BN396" s="3"/>
      <c r="BO396" s="3"/>
      <c r="BP396" s="3"/>
      <c r="BQ396" s="3"/>
      <c r="BR396" s="3"/>
    </row>
    <row r="397" spans="1:83" x14ac:dyDescent="0.3">
      <c r="A397" s="2">
        <v>11</v>
      </c>
      <c r="B397" s="2" t="s">
        <v>140</v>
      </c>
      <c r="C397" t="s">
        <v>88</v>
      </c>
      <c r="D397" s="5" t="s">
        <v>455</v>
      </c>
      <c r="E397" s="5" t="s">
        <v>93</v>
      </c>
      <c r="F397" s="17">
        <v>45243</v>
      </c>
      <c r="G397">
        <v>11</v>
      </c>
      <c r="H397" s="3">
        <v>21</v>
      </c>
      <c r="I397" s="3">
        <f t="shared" si="43"/>
        <v>20.54</v>
      </c>
      <c r="J397" s="3">
        <f t="shared" si="51"/>
        <v>1.2962499999999999</v>
      </c>
      <c r="K397" s="6">
        <f t="shared" si="44"/>
        <v>4874.3840108267714</v>
      </c>
      <c r="L397" s="4"/>
      <c r="M397" s="4"/>
      <c r="N397" s="4"/>
      <c r="O397" s="4"/>
      <c r="P397" s="7"/>
      <c r="Q397" s="6"/>
      <c r="R397" s="5"/>
      <c r="S397" s="4"/>
      <c r="T397" s="13"/>
      <c r="U397" s="13"/>
      <c r="V397" s="5"/>
      <c r="W397" s="5"/>
      <c r="X397" s="5"/>
      <c r="Y397" s="5"/>
      <c r="Z397" s="5"/>
      <c r="AA397" s="5"/>
      <c r="AB397" s="5"/>
      <c r="AC397" s="5"/>
      <c r="AD397" s="5"/>
      <c r="AF397" s="5"/>
      <c r="AG397" s="6"/>
      <c r="AH397" s="11"/>
      <c r="AI397" s="6"/>
      <c r="AJ397" s="6"/>
      <c r="AK397" s="6"/>
      <c r="AL397" s="6"/>
      <c r="AM397" s="6"/>
      <c r="AN397" s="6"/>
      <c r="AO397" s="12"/>
      <c r="AP397" s="7"/>
      <c r="AQ397" s="6"/>
      <c r="AV397" s="3"/>
      <c r="AW397" s="3"/>
      <c r="AX397" s="3"/>
      <c r="AY397" s="3"/>
      <c r="AZ397" s="4"/>
      <c r="BA397" s="4"/>
      <c r="BB397" s="4"/>
      <c r="BC397" s="4"/>
      <c r="BD397" s="4"/>
      <c r="BE397" s="3"/>
      <c r="BJ397" s="9"/>
      <c r="BK397" s="9"/>
      <c r="BL397" s="9"/>
      <c r="BM397" s="3"/>
      <c r="BN397" s="3"/>
      <c r="BO397" s="3"/>
      <c r="BP397" s="3"/>
      <c r="BQ397" s="3"/>
      <c r="BR397" s="3"/>
    </row>
    <row r="398" spans="1:83" x14ac:dyDescent="0.3">
      <c r="A398" s="2">
        <v>11</v>
      </c>
      <c r="B398" s="2" t="s">
        <v>141</v>
      </c>
      <c r="C398" t="s">
        <v>88</v>
      </c>
      <c r="D398" s="5" t="s">
        <v>456</v>
      </c>
      <c r="E398" s="5" t="s">
        <v>93</v>
      </c>
      <c r="F398" s="17">
        <v>45243</v>
      </c>
      <c r="G398">
        <v>11</v>
      </c>
      <c r="H398" s="3">
        <v>19.100000000000001</v>
      </c>
      <c r="I398" s="3">
        <f t="shared" si="43"/>
        <v>18.64</v>
      </c>
      <c r="J398" s="3">
        <f t="shared" si="51"/>
        <v>1.2962499999999999</v>
      </c>
      <c r="K398" s="6">
        <f t="shared" si="44"/>
        <v>4450.2576328740161</v>
      </c>
      <c r="L398" s="4"/>
      <c r="M398" s="4"/>
      <c r="N398" s="4"/>
      <c r="O398" s="4"/>
      <c r="P398" s="7"/>
      <c r="Q398" s="6"/>
      <c r="R398" s="5"/>
      <c r="S398" s="4"/>
      <c r="T398" s="13"/>
      <c r="U398" s="13"/>
      <c r="V398" s="5"/>
      <c r="W398" s="5"/>
      <c r="X398" s="5"/>
      <c r="Y398" s="5"/>
      <c r="Z398" s="5"/>
      <c r="AA398" s="5"/>
      <c r="AB398" s="5"/>
      <c r="AC398" s="5"/>
      <c r="AD398" s="5"/>
      <c r="AF398" s="5"/>
      <c r="AG398" s="6"/>
      <c r="AH398" s="11"/>
      <c r="AI398" s="6"/>
      <c r="AJ398" s="6"/>
      <c r="AK398" s="6"/>
      <c r="AL398" s="6"/>
      <c r="AM398" s="6"/>
      <c r="AN398" s="6"/>
      <c r="AO398" s="12"/>
      <c r="AP398" s="7"/>
      <c r="AQ398" s="6"/>
      <c r="AV398" s="3"/>
      <c r="AW398" s="3"/>
      <c r="AX398" s="3"/>
      <c r="AY398" s="3"/>
      <c r="AZ398" s="4"/>
      <c r="BA398" s="4"/>
      <c r="BB398" s="4"/>
      <c r="BC398" s="4"/>
      <c r="BD398" s="4"/>
      <c r="BE398" s="3"/>
      <c r="BJ398" s="9"/>
      <c r="BK398" s="9"/>
      <c r="BL398" s="9"/>
      <c r="BM398" s="3"/>
      <c r="BN398" s="3"/>
      <c r="BO398" s="3"/>
      <c r="BP398" s="3"/>
      <c r="BQ398" s="3"/>
      <c r="BR398" s="3"/>
    </row>
    <row r="399" spans="1:83" x14ac:dyDescent="0.3">
      <c r="A399" s="2">
        <v>11</v>
      </c>
      <c r="B399" s="2" t="s">
        <v>142</v>
      </c>
      <c r="C399" t="s">
        <v>88</v>
      </c>
      <c r="D399" s="5" t="s">
        <v>457</v>
      </c>
      <c r="E399" s="5" t="s">
        <v>93</v>
      </c>
      <c r="F399" s="17">
        <v>45243</v>
      </c>
      <c r="G399">
        <v>11</v>
      </c>
      <c r="H399" s="3">
        <v>23.2</v>
      </c>
      <c r="I399" s="3">
        <f t="shared" si="43"/>
        <v>22.74</v>
      </c>
      <c r="J399" s="3">
        <f t="shared" si="51"/>
        <v>1.2962499999999999</v>
      </c>
      <c r="K399" s="6">
        <f t="shared" si="44"/>
        <v>5365.4777116141731</v>
      </c>
      <c r="L399" s="4"/>
      <c r="M399" s="4"/>
      <c r="N399" s="4"/>
      <c r="O399" s="4"/>
      <c r="P399" s="7"/>
      <c r="Q399" s="6"/>
      <c r="R399" s="5"/>
      <c r="S399" s="4"/>
      <c r="T399" s="13"/>
      <c r="U399" s="13"/>
      <c r="V399" s="5"/>
      <c r="W399" s="5"/>
      <c r="X399" s="5"/>
      <c r="Y399" s="5"/>
      <c r="Z399" s="5"/>
      <c r="AA399" s="5"/>
      <c r="AB399" s="5"/>
      <c r="AC399" s="5"/>
      <c r="AD399" s="5"/>
      <c r="AF399" s="5"/>
      <c r="AG399" s="6"/>
      <c r="AH399" s="11"/>
      <c r="AI399" s="6"/>
      <c r="AJ399" s="6"/>
      <c r="AK399" s="6"/>
      <c r="AL399" s="6"/>
      <c r="AM399" s="6"/>
      <c r="AN399" s="6"/>
      <c r="AO399" s="12"/>
      <c r="AP399" s="7"/>
      <c r="AQ399" s="6"/>
      <c r="AV399" s="3"/>
      <c r="AW399" s="3"/>
      <c r="AX399" s="3"/>
      <c r="AY399" s="3"/>
      <c r="AZ399" s="4"/>
      <c r="BA399" s="4"/>
      <c r="BB399" s="4"/>
      <c r="BC399" s="4"/>
      <c r="BD399" s="4"/>
      <c r="BE399" s="3"/>
      <c r="BJ399" s="9"/>
      <c r="BK399" s="9"/>
      <c r="BL399" s="9"/>
      <c r="BM399" s="3"/>
      <c r="BN399" s="3"/>
      <c r="BO399" s="3"/>
      <c r="BP399" s="3"/>
      <c r="BQ399" s="3"/>
      <c r="BR399" s="3"/>
    </row>
    <row r="400" spans="1:83" x14ac:dyDescent="0.3">
      <c r="A400" s="2">
        <v>11</v>
      </c>
      <c r="B400" s="2" t="s">
        <v>143</v>
      </c>
      <c r="C400" t="s">
        <v>88</v>
      </c>
      <c r="D400" s="5" t="s">
        <v>458</v>
      </c>
      <c r="E400" s="5" t="s">
        <v>93</v>
      </c>
      <c r="F400" s="17">
        <v>45243</v>
      </c>
      <c r="G400">
        <v>11</v>
      </c>
      <c r="H400" s="3">
        <v>20.399999999999999</v>
      </c>
      <c r="I400" s="3">
        <f t="shared" si="43"/>
        <v>19.939999999999998</v>
      </c>
      <c r="J400" s="3">
        <f t="shared" si="51"/>
        <v>1.2962499999999999</v>
      </c>
      <c r="K400" s="6">
        <f t="shared" si="44"/>
        <v>4740.4493651574794</v>
      </c>
      <c r="L400" s="4"/>
      <c r="M400" s="4"/>
      <c r="N400" s="4"/>
      <c r="O400" s="4"/>
      <c r="P400" s="7"/>
      <c r="Q400" s="6"/>
      <c r="R400" s="5"/>
      <c r="S400" s="4"/>
      <c r="T400" s="13"/>
      <c r="U400" s="13"/>
      <c r="V400" s="5"/>
      <c r="W400" s="5"/>
      <c r="X400" s="5"/>
      <c r="Y400" s="5"/>
      <c r="Z400" s="5"/>
      <c r="AA400" s="5"/>
      <c r="AB400" s="5"/>
      <c r="AC400" s="5"/>
      <c r="AD400" s="5"/>
      <c r="AF400" s="5"/>
      <c r="AG400" s="6"/>
      <c r="AH400" s="11"/>
      <c r="AI400" s="6"/>
      <c r="AJ400" s="6"/>
      <c r="AK400" s="6"/>
      <c r="AL400" s="6"/>
      <c r="AM400" s="6"/>
      <c r="AN400" s="6"/>
      <c r="AO400" s="12"/>
      <c r="AP400" s="7"/>
      <c r="AQ400" s="6"/>
      <c r="AV400" s="3"/>
      <c r="AW400" s="3"/>
      <c r="AX400" s="3"/>
      <c r="AY400" s="3"/>
      <c r="AZ400" s="4"/>
      <c r="BA400" s="4"/>
      <c r="BB400" s="4"/>
      <c r="BC400" s="4"/>
      <c r="BD400" s="4"/>
      <c r="BE400" s="3"/>
      <c r="BJ400" s="9"/>
      <c r="BK400" s="9"/>
      <c r="BL400" s="9"/>
      <c r="BM400" s="3"/>
      <c r="BN400" s="3"/>
      <c r="BO400" s="3"/>
      <c r="BP400" s="3"/>
      <c r="BQ400" s="3"/>
      <c r="BR400" s="3"/>
    </row>
    <row r="401" spans="1:83" x14ac:dyDescent="0.3">
      <c r="A401" s="2">
        <v>11</v>
      </c>
      <c r="B401" s="2" t="s">
        <v>80</v>
      </c>
      <c r="C401" t="s">
        <v>89</v>
      </c>
      <c r="D401" s="5" t="s">
        <v>459</v>
      </c>
      <c r="E401" s="5" t="s">
        <v>93</v>
      </c>
      <c r="F401" s="17">
        <v>45243</v>
      </c>
      <c r="G401">
        <v>23</v>
      </c>
      <c r="H401" s="3">
        <v>9.6999999999999993</v>
      </c>
      <c r="I401" s="3">
        <f t="shared" si="43"/>
        <v>9.2399999999999984</v>
      </c>
      <c r="J401" s="3">
        <f>($A$73-$A$47)*$A$75</f>
        <v>0.93374999999999997</v>
      </c>
      <c r="K401" s="6">
        <f t="shared" si="44"/>
        <v>2271.0293356299208</v>
      </c>
      <c r="L401" s="4"/>
      <c r="M401" s="4"/>
      <c r="N401" s="4"/>
      <c r="O401" s="4"/>
      <c r="P401" s="7"/>
      <c r="Q401" s="6"/>
      <c r="R401" s="5"/>
      <c r="S401" s="4"/>
      <c r="T401" s="13"/>
      <c r="U401" s="13"/>
      <c r="V401" s="5"/>
      <c r="W401" s="5"/>
      <c r="X401" s="5"/>
      <c r="Y401" s="5"/>
      <c r="Z401" s="5"/>
      <c r="AA401" s="5"/>
      <c r="AB401" s="5"/>
      <c r="AC401" s="5"/>
      <c r="AD401" s="5"/>
      <c r="AF401" s="5"/>
      <c r="AG401" s="6"/>
      <c r="AH401" s="11"/>
      <c r="AI401" s="6"/>
      <c r="AJ401" s="6"/>
      <c r="AK401" s="6"/>
      <c r="AL401" s="6"/>
      <c r="AM401" s="6"/>
      <c r="AN401" s="6"/>
      <c r="AO401" s="12"/>
      <c r="AP401" s="7"/>
      <c r="AQ401" s="6"/>
      <c r="AV401" s="3"/>
      <c r="AW401" s="3"/>
      <c r="AX401" s="3"/>
      <c r="AY401" s="3"/>
      <c r="AZ401" s="4"/>
      <c r="BA401" s="4"/>
      <c r="BB401" s="4"/>
      <c r="BC401" s="4"/>
      <c r="BD401" s="4"/>
      <c r="BE401" s="3"/>
      <c r="BJ401" s="9"/>
      <c r="BK401" s="9"/>
      <c r="BL401" s="9"/>
      <c r="BM401" s="3"/>
      <c r="BN401" s="3"/>
      <c r="BO401" s="3"/>
      <c r="BP401" s="3"/>
      <c r="BQ401" s="3"/>
      <c r="BR401" s="3"/>
    </row>
    <row r="402" spans="1:83" x14ac:dyDescent="0.3">
      <c r="A402" s="2">
        <v>11</v>
      </c>
      <c r="B402" s="2" t="s">
        <v>81</v>
      </c>
      <c r="C402" t="s">
        <v>89</v>
      </c>
      <c r="D402" s="5" t="s">
        <v>460</v>
      </c>
      <c r="E402" s="5" t="s">
        <v>93</v>
      </c>
      <c r="F402" s="17">
        <v>45243</v>
      </c>
      <c r="G402">
        <v>23</v>
      </c>
      <c r="H402" s="3">
        <v>19.600000000000001</v>
      </c>
      <c r="I402" s="3">
        <f t="shared" si="43"/>
        <v>19.14</v>
      </c>
      <c r="J402" s="3">
        <f t="shared" ref="J402:J415" si="52">($A$73-$A$47)*$A$75</f>
        <v>0.93374999999999997</v>
      </c>
      <c r="K402" s="6">
        <f t="shared" si="44"/>
        <v>4480.9509891732287</v>
      </c>
      <c r="L402" s="4"/>
      <c r="M402" s="4"/>
      <c r="N402" s="4"/>
      <c r="O402" s="4"/>
      <c r="P402" s="7"/>
      <c r="Q402" s="6"/>
      <c r="R402" s="5"/>
      <c r="S402" s="4"/>
      <c r="T402" s="13"/>
      <c r="U402" s="13"/>
      <c r="V402" s="5"/>
      <c r="W402" s="5"/>
      <c r="X402" s="5"/>
      <c r="Y402" s="5"/>
      <c r="Z402" s="5"/>
      <c r="AA402" s="5"/>
      <c r="AB402" s="5"/>
      <c r="AC402" s="5"/>
      <c r="AD402" s="5"/>
      <c r="AF402" s="5"/>
      <c r="AG402" s="6"/>
      <c r="AH402" s="11"/>
      <c r="AI402" s="6"/>
      <c r="AJ402" s="6"/>
      <c r="AK402" s="6"/>
      <c r="AL402" s="6"/>
      <c r="AM402" s="6"/>
      <c r="AN402" s="6"/>
      <c r="AO402" s="12"/>
      <c r="AP402" s="7"/>
      <c r="AQ402" s="6"/>
      <c r="AV402" s="3"/>
      <c r="AW402" s="3"/>
      <c r="AX402" s="3"/>
      <c r="AY402" s="3"/>
      <c r="AZ402" s="4"/>
      <c r="BA402" s="4"/>
      <c r="BB402" s="4"/>
      <c r="BC402" s="4"/>
      <c r="BD402" s="4"/>
      <c r="BE402" s="3"/>
      <c r="BJ402" s="9"/>
      <c r="BK402" s="9"/>
      <c r="BL402" s="9"/>
      <c r="BM402" s="3"/>
      <c r="BN402" s="3"/>
      <c r="BO402" s="3"/>
      <c r="BP402" s="3"/>
      <c r="BQ402" s="3"/>
      <c r="BR402" s="3"/>
    </row>
    <row r="403" spans="1:83" x14ac:dyDescent="0.3">
      <c r="A403" s="2">
        <v>11</v>
      </c>
      <c r="B403" s="2" t="s">
        <v>82</v>
      </c>
      <c r="C403" t="s">
        <v>89</v>
      </c>
      <c r="D403" s="5" t="s">
        <v>461</v>
      </c>
      <c r="E403" s="5" t="s">
        <v>93</v>
      </c>
      <c r="F403" s="17">
        <v>45243</v>
      </c>
      <c r="G403">
        <v>23</v>
      </c>
      <c r="H403" s="3">
        <v>21.7</v>
      </c>
      <c r="I403" s="3">
        <f t="shared" si="43"/>
        <v>21.24</v>
      </c>
      <c r="J403" s="3">
        <f t="shared" si="52"/>
        <v>0.93374999999999997</v>
      </c>
      <c r="K403" s="6">
        <f t="shared" si="44"/>
        <v>4949.7222490157474</v>
      </c>
      <c r="L403" s="4"/>
      <c r="M403" s="4"/>
      <c r="N403" s="4"/>
      <c r="O403" s="4"/>
      <c r="P403" s="7"/>
      <c r="Q403" s="6"/>
      <c r="R403" s="5"/>
      <c r="S403" s="4"/>
      <c r="T403" s="13"/>
      <c r="U403" s="13"/>
      <c r="V403" s="5"/>
      <c r="W403" s="5"/>
      <c r="X403" s="5"/>
      <c r="Y403" s="5"/>
      <c r="Z403" s="5"/>
      <c r="AA403" s="5"/>
      <c r="AB403" s="5"/>
      <c r="AC403" s="5"/>
      <c r="AD403" s="5"/>
      <c r="AF403" s="5"/>
      <c r="AG403" s="6"/>
      <c r="AH403" s="11"/>
      <c r="AI403" s="6"/>
      <c r="AJ403" s="6"/>
      <c r="AK403" s="6"/>
      <c r="AL403" s="6"/>
      <c r="AM403" s="6"/>
      <c r="AN403" s="6"/>
      <c r="AO403" s="12"/>
      <c r="AP403" s="7"/>
      <c r="AQ403" s="6"/>
      <c r="AV403" s="3"/>
      <c r="AW403" s="3"/>
      <c r="AX403" s="3"/>
      <c r="AY403" s="3"/>
      <c r="AZ403" s="4"/>
      <c r="BA403" s="4"/>
      <c r="BB403" s="4"/>
      <c r="BC403" s="4"/>
      <c r="BD403" s="4"/>
      <c r="BE403" s="3"/>
      <c r="BJ403" s="9"/>
      <c r="BK403" s="9"/>
      <c r="BL403" s="9"/>
      <c r="BM403" s="3"/>
      <c r="BN403" s="3"/>
      <c r="BO403" s="3"/>
      <c r="BP403" s="3"/>
      <c r="BQ403" s="3"/>
      <c r="BR403" s="3"/>
    </row>
    <row r="404" spans="1:83" x14ac:dyDescent="0.3">
      <c r="A404" s="2">
        <v>11</v>
      </c>
      <c r="B404" s="2" t="s">
        <v>83</v>
      </c>
      <c r="C404" t="s">
        <v>89</v>
      </c>
      <c r="D404" s="5" t="s">
        <v>462</v>
      </c>
      <c r="E404" s="5" t="s">
        <v>93</v>
      </c>
      <c r="F404" s="17">
        <v>45243</v>
      </c>
      <c r="G404">
        <v>23</v>
      </c>
      <c r="H404" s="3">
        <v>25.2</v>
      </c>
      <c r="I404" s="3">
        <f t="shared" si="43"/>
        <v>24.74</v>
      </c>
      <c r="J404" s="3">
        <f t="shared" si="52"/>
        <v>0.93374999999999997</v>
      </c>
      <c r="K404" s="6">
        <f t="shared" si="44"/>
        <v>5731.0076820866143</v>
      </c>
      <c r="L404" s="4"/>
      <c r="M404" s="4"/>
      <c r="N404" s="4"/>
      <c r="O404" s="4"/>
      <c r="P404" s="7"/>
      <c r="Q404" s="6"/>
      <c r="R404" s="5"/>
      <c r="S404" s="4"/>
      <c r="T404" s="13"/>
      <c r="U404" s="13"/>
      <c r="V404" s="5"/>
      <c r="W404" s="5"/>
      <c r="X404" s="5"/>
      <c r="Y404" s="5"/>
      <c r="Z404" s="5"/>
      <c r="AA404" s="5"/>
      <c r="AB404" s="5"/>
      <c r="AC404" s="5"/>
      <c r="AD404" s="5"/>
      <c r="AF404" s="5"/>
      <c r="AG404" s="6"/>
      <c r="AH404" s="11"/>
      <c r="AI404" s="6"/>
      <c r="AJ404" s="6"/>
      <c r="AK404" s="6"/>
      <c r="AL404" s="6"/>
      <c r="AM404" s="6"/>
      <c r="AN404" s="6"/>
      <c r="AO404" s="12"/>
      <c r="AP404" s="7"/>
      <c r="AQ404" s="6"/>
      <c r="AV404" s="3"/>
      <c r="AW404" s="3"/>
      <c r="AX404" s="3"/>
      <c r="AY404" s="3"/>
      <c r="AZ404" s="4"/>
      <c r="BA404" s="4"/>
      <c r="BB404" s="4"/>
      <c r="BC404" s="4"/>
      <c r="BD404" s="4"/>
      <c r="BE404" s="3"/>
      <c r="BJ404" s="9"/>
      <c r="BK404" s="9"/>
      <c r="BL404" s="9"/>
      <c r="BM404" s="3"/>
      <c r="BN404" s="3"/>
      <c r="BO404" s="3"/>
      <c r="BP404" s="3"/>
      <c r="BQ404" s="3"/>
      <c r="BR404" s="3"/>
    </row>
    <row r="405" spans="1:83" x14ac:dyDescent="0.3">
      <c r="A405" s="2">
        <v>11</v>
      </c>
      <c r="B405" s="2" t="s">
        <v>84</v>
      </c>
      <c r="C405" t="s">
        <v>89</v>
      </c>
      <c r="D405" s="5" t="s">
        <v>463</v>
      </c>
      <c r="E405" s="5" t="s">
        <v>93</v>
      </c>
      <c r="F405" s="17">
        <v>45243</v>
      </c>
      <c r="G405">
        <v>23</v>
      </c>
      <c r="H405" s="3">
        <v>25.3</v>
      </c>
      <c r="I405" s="3">
        <f t="shared" si="43"/>
        <v>24.84</v>
      </c>
      <c r="J405" s="3">
        <f t="shared" si="52"/>
        <v>0.93374999999999997</v>
      </c>
      <c r="K405" s="6">
        <f t="shared" si="44"/>
        <v>5753.3301230314955</v>
      </c>
      <c r="L405" s="4"/>
      <c r="M405" s="4"/>
      <c r="N405" s="4"/>
      <c r="O405" s="4"/>
      <c r="P405" s="7"/>
      <c r="Q405" s="6"/>
      <c r="R405" s="5"/>
      <c r="S405" s="4"/>
      <c r="T405" s="13"/>
      <c r="U405" s="13"/>
      <c r="V405" s="5"/>
      <c r="W405" s="5"/>
      <c r="X405" s="5"/>
      <c r="Y405" s="5"/>
      <c r="Z405" s="5"/>
      <c r="AA405" s="5"/>
      <c r="AB405" s="5"/>
      <c r="AC405" s="5"/>
      <c r="AD405" s="5"/>
      <c r="AF405" s="5"/>
      <c r="AG405" s="6"/>
      <c r="AH405" s="11"/>
      <c r="AI405" s="6"/>
      <c r="AJ405" s="6"/>
      <c r="AK405" s="6"/>
      <c r="AL405" s="6"/>
      <c r="AM405" s="6"/>
      <c r="AN405" s="6"/>
      <c r="AO405" s="12"/>
      <c r="AP405" s="7"/>
      <c r="AQ405" s="6"/>
      <c r="AV405" s="3"/>
      <c r="AW405" s="3"/>
      <c r="AX405" s="3"/>
      <c r="AY405" s="3"/>
      <c r="AZ405" s="4"/>
      <c r="BA405" s="4"/>
      <c r="BB405" s="4"/>
      <c r="BC405" s="4"/>
      <c r="BD405" s="4"/>
      <c r="BE405" s="3"/>
      <c r="BJ405" s="9"/>
      <c r="BK405" s="9"/>
      <c r="BL405" s="9"/>
      <c r="BM405" s="3"/>
      <c r="BN405" s="3"/>
      <c r="BO405" s="3"/>
      <c r="BP405" s="3"/>
      <c r="BQ405" s="3"/>
      <c r="BR405" s="3"/>
    </row>
    <row r="406" spans="1:83" x14ac:dyDescent="0.3">
      <c r="A406" s="2">
        <v>11</v>
      </c>
      <c r="B406" s="2" t="s">
        <v>85</v>
      </c>
      <c r="C406" t="s">
        <v>89</v>
      </c>
      <c r="D406" s="5" t="s">
        <v>464</v>
      </c>
      <c r="E406" s="5" t="s">
        <v>93</v>
      </c>
      <c r="F406" s="17">
        <v>45243</v>
      </c>
      <c r="G406">
        <v>23</v>
      </c>
      <c r="H406" s="3">
        <v>23.5</v>
      </c>
      <c r="I406" s="3">
        <f t="shared" si="43"/>
        <v>23.04</v>
      </c>
      <c r="J406" s="3">
        <f t="shared" si="52"/>
        <v>0.93374999999999997</v>
      </c>
      <c r="K406" s="6">
        <f t="shared" si="44"/>
        <v>5351.5261860236214</v>
      </c>
      <c r="L406" s="4"/>
      <c r="M406" s="4"/>
      <c r="N406" s="4"/>
      <c r="O406" s="4"/>
      <c r="P406" s="7"/>
      <c r="Q406" s="6"/>
      <c r="R406" s="5"/>
      <c r="S406" s="4"/>
      <c r="T406" s="13"/>
      <c r="U406" s="13"/>
      <c r="V406" s="5"/>
      <c r="W406" s="5"/>
      <c r="X406" s="5"/>
      <c r="Y406" s="5"/>
      <c r="Z406" s="5"/>
      <c r="AA406" s="5"/>
      <c r="AB406" s="5"/>
      <c r="AC406" s="5"/>
      <c r="AD406" s="5"/>
      <c r="AF406" s="5"/>
      <c r="AG406" s="6"/>
      <c r="AH406" s="11"/>
      <c r="AI406" s="6"/>
      <c r="AJ406" s="6"/>
      <c r="AK406" s="6"/>
      <c r="AL406" s="6"/>
      <c r="AM406" s="6"/>
      <c r="AN406" s="6"/>
      <c r="AO406" s="12"/>
      <c r="AP406" s="7"/>
      <c r="AQ406" s="6"/>
      <c r="AV406" s="3"/>
      <c r="AW406" s="3"/>
      <c r="AX406" s="3"/>
      <c r="AY406" s="3"/>
      <c r="AZ406" s="4"/>
      <c r="BA406" s="4"/>
      <c r="BB406" s="4"/>
      <c r="BC406" s="4"/>
      <c r="BD406" s="4"/>
      <c r="BE406" s="3"/>
      <c r="BJ406" s="9"/>
      <c r="BK406" s="9"/>
      <c r="BL406" s="9"/>
      <c r="BM406" s="3"/>
      <c r="BN406" s="3"/>
      <c r="BO406" s="3"/>
      <c r="BP406" s="3"/>
      <c r="BQ406" s="3"/>
      <c r="BR406" s="3"/>
    </row>
    <row r="407" spans="1:83" x14ac:dyDescent="0.3">
      <c r="A407" s="2">
        <v>11</v>
      </c>
      <c r="B407" s="2" t="s">
        <v>86</v>
      </c>
      <c r="C407" t="s">
        <v>89</v>
      </c>
      <c r="D407" s="5" t="s">
        <v>465</v>
      </c>
      <c r="E407" s="5" t="s">
        <v>93</v>
      </c>
      <c r="F407" s="17">
        <v>45243</v>
      </c>
      <c r="G407">
        <v>23</v>
      </c>
      <c r="H407" s="3">
        <v>21.2</v>
      </c>
      <c r="I407" s="3">
        <f t="shared" ref="I407:I445" si="53">H407-$A$47</f>
        <v>20.74</v>
      </c>
      <c r="J407" s="3">
        <f t="shared" si="52"/>
        <v>0.93374999999999997</v>
      </c>
      <c r="K407" s="6">
        <f t="shared" ref="K407:K445" si="54">(I407+J407)*$A$48/$A$49*$A$50</f>
        <v>4838.1100442913385</v>
      </c>
      <c r="L407" s="4"/>
      <c r="M407" s="4"/>
      <c r="N407" s="4"/>
      <c r="O407" s="4"/>
      <c r="P407" s="7"/>
      <c r="Q407" s="6"/>
      <c r="R407" s="5"/>
      <c r="S407" s="4"/>
      <c r="T407" s="13"/>
      <c r="U407" s="13"/>
      <c r="V407" s="5"/>
      <c r="W407" s="5"/>
      <c r="X407" s="5"/>
      <c r="Y407" s="5"/>
      <c r="Z407" s="5"/>
      <c r="AA407" s="5"/>
      <c r="AB407" s="5"/>
      <c r="AC407" s="5"/>
      <c r="AD407" s="5"/>
      <c r="AF407" s="5"/>
      <c r="AG407" s="6"/>
      <c r="AH407" s="11"/>
      <c r="AI407" s="6"/>
      <c r="AJ407" s="6"/>
      <c r="AK407" s="6"/>
      <c r="AL407" s="6"/>
      <c r="AM407" s="6"/>
      <c r="AN407" s="6"/>
      <c r="AO407" s="12"/>
      <c r="AP407" s="7"/>
      <c r="AQ407" s="6"/>
      <c r="AV407" s="3"/>
      <c r="AW407" s="3"/>
      <c r="AX407" s="3"/>
      <c r="AY407" s="3"/>
      <c r="AZ407" s="4"/>
      <c r="BA407" s="4"/>
      <c r="BB407" s="4"/>
      <c r="BC407" s="4"/>
      <c r="BD407" s="4"/>
      <c r="BE407" s="3"/>
      <c r="BJ407" s="9"/>
      <c r="BK407" s="9"/>
      <c r="BL407" s="9"/>
      <c r="BM407" s="3"/>
      <c r="BN407" s="3"/>
      <c r="BO407" s="3"/>
      <c r="BP407" s="3"/>
      <c r="BQ407" s="3"/>
      <c r="BR407" s="3"/>
    </row>
    <row r="408" spans="1:83" x14ac:dyDescent="0.3">
      <c r="A408" s="2">
        <v>11</v>
      </c>
      <c r="B408" s="2" t="s">
        <v>87</v>
      </c>
      <c r="C408" t="s">
        <v>89</v>
      </c>
      <c r="D408" s="5" t="s">
        <v>466</v>
      </c>
      <c r="E408" s="5" t="s">
        <v>93</v>
      </c>
      <c r="F408" s="17">
        <v>45243</v>
      </c>
      <c r="G408">
        <v>23</v>
      </c>
      <c r="H408" s="3">
        <v>22.5</v>
      </c>
      <c r="I408" s="3">
        <f t="shared" si="53"/>
        <v>22.04</v>
      </c>
      <c r="J408" s="3">
        <f t="shared" si="52"/>
        <v>0.93374999999999997</v>
      </c>
      <c r="K408" s="6">
        <f t="shared" si="54"/>
        <v>5128.3017765748027</v>
      </c>
      <c r="L408" s="4">
        <v>10.98</v>
      </c>
      <c r="M408" s="4">
        <v>168.36</v>
      </c>
      <c r="N408" s="4">
        <v>157.38000000000002</v>
      </c>
      <c r="O408" s="4">
        <v>150.19999999999999</v>
      </c>
      <c r="P408" s="7">
        <f>(N408-O408)/N408*100</f>
        <v>4.5622061253018389</v>
      </c>
      <c r="Q408" s="6">
        <f>K408*(1-P408/100)</f>
        <v>4894.338078799944</v>
      </c>
      <c r="R408" s="14">
        <v>45244</v>
      </c>
      <c r="S408" s="4">
        <v>10.07</v>
      </c>
      <c r="T408" s="13">
        <v>3.9</v>
      </c>
      <c r="U408" s="13">
        <v>6.53</v>
      </c>
      <c r="V408" s="8">
        <f>(T408-$A$76)/(S408-$A$47*$A$48)</f>
        <v>0.36688697299840056</v>
      </c>
      <c r="W408" s="8">
        <f>(U408-$A$77)/(S408-$A$47*$A$48)</f>
        <v>0.48979106677232581</v>
      </c>
      <c r="X408" s="8">
        <f>1-V408-W408</f>
        <v>0.14332196022927363</v>
      </c>
      <c r="Y408" s="6">
        <f>K408*V408</f>
        <v>1881.5071154298494</v>
      </c>
      <c r="Z408" s="6">
        <f>K408*W408</f>
        <v>2511.7963978789862</v>
      </c>
      <c r="AA408" s="6">
        <f>SUM(Y408:Z408)</f>
        <v>4393.303513308836</v>
      </c>
      <c r="AB408" s="6">
        <f>Q408*V408</f>
        <v>1795.6688825617186</v>
      </c>
      <c r="AC408" s="6">
        <f>Q408*W408</f>
        <v>2397.2030687598403</v>
      </c>
      <c r="AD408" s="6">
        <f>SUM(AB408:AC408)</f>
        <v>4192.8719513215592</v>
      </c>
      <c r="AE408" t="s">
        <v>558</v>
      </c>
      <c r="AF408" s="14">
        <v>45295</v>
      </c>
      <c r="AG408" s="6">
        <v>48.6</v>
      </c>
      <c r="AH408" s="11">
        <v>1.1379999999999999</v>
      </c>
      <c r="AI408" s="6">
        <v>82.3</v>
      </c>
      <c r="AJ408" s="6">
        <v>31.5</v>
      </c>
      <c r="AK408" s="6">
        <v>5.3</v>
      </c>
      <c r="AL408" s="6">
        <v>82.1</v>
      </c>
      <c r="AM408" s="6">
        <v>8.6</v>
      </c>
      <c r="AN408" s="6" t="s">
        <v>134</v>
      </c>
      <c r="AO408" s="12">
        <v>10</v>
      </c>
      <c r="AP408" s="7">
        <v>0.12</v>
      </c>
      <c r="AQ408" s="6">
        <v>9.1999999999999993</v>
      </c>
      <c r="AV408" s="3"/>
      <c r="AW408" s="3"/>
      <c r="AX408" s="3"/>
      <c r="AY408" s="3"/>
      <c r="AZ408" s="4"/>
      <c r="BA408" s="4"/>
      <c r="BB408" s="4"/>
      <c r="BC408" s="4"/>
      <c r="BD408" s="4"/>
      <c r="BE408" s="3"/>
      <c r="BJ408" s="9"/>
      <c r="BK408" s="9"/>
      <c r="BL408" s="9"/>
      <c r="BM408" s="3"/>
      <c r="BN408" s="3"/>
      <c r="BO408" s="3"/>
      <c r="BP408" s="3"/>
      <c r="BQ408" s="3"/>
      <c r="BR408" s="3"/>
    </row>
    <row r="409" spans="1:83" x14ac:dyDescent="0.3">
      <c r="A409" s="2">
        <v>11</v>
      </c>
      <c r="B409" s="2" t="s">
        <v>137</v>
      </c>
      <c r="C409" t="s">
        <v>89</v>
      </c>
      <c r="D409" s="5" t="s">
        <v>467</v>
      </c>
      <c r="E409" s="5" t="s">
        <v>93</v>
      </c>
      <c r="F409" s="17">
        <v>45243</v>
      </c>
      <c r="G409">
        <v>23</v>
      </c>
      <c r="H409" s="3">
        <v>22.6</v>
      </c>
      <c r="I409" s="3">
        <f t="shared" si="53"/>
        <v>22.14</v>
      </c>
      <c r="J409" s="3">
        <f t="shared" si="52"/>
        <v>0.93374999999999997</v>
      </c>
      <c r="K409" s="6">
        <f t="shared" si="54"/>
        <v>5150.6242175196849</v>
      </c>
      <c r="L409" s="4"/>
      <c r="M409" s="4"/>
      <c r="N409" s="4"/>
      <c r="O409" s="4"/>
      <c r="P409" s="7"/>
      <c r="Q409" s="6"/>
      <c r="R409" s="5"/>
      <c r="S409" s="4"/>
      <c r="T409" s="13"/>
      <c r="U409" s="13"/>
      <c r="V409" s="5"/>
      <c r="W409" s="5"/>
      <c r="X409" s="5"/>
      <c r="Y409" s="5"/>
      <c r="Z409" s="5"/>
      <c r="AA409" s="5"/>
      <c r="AB409" s="5"/>
      <c r="AC409" s="5"/>
      <c r="AD409" s="5"/>
      <c r="AF409" s="5"/>
      <c r="AG409" s="6"/>
      <c r="AH409" s="11"/>
      <c r="AI409" s="6"/>
      <c r="AJ409" s="6"/>
      <c r="AK409" s="6"/>
      <c r="AL409" s="6"/>
      <c r="AM409" s="6"/>
      <c r="AN409" s="6"/>
      <c r="AO409" s="12"/>
      <c r="AP409" s="7"/>
      <c r="AQ409" s="6"/>
      <c r="AS409" s="4"/>
      <c r="AV409" s="3"/>
      <c r="AW409" s="3"/>
      <c r="AX409" s="3"/>
      <c r="AY409" s="3"/>
      <c r="AZ409" s="4"/>
      <c r="BA409" s="4"/>
      <c r="BB409" s="4"/>
      <c r="BC409" s="4"/>
      <c r="BD409" s="4"/>
      <c r="BE409" s="3"/>
      <c r="BJ409" s="9"/>
      <c r="BK409" s="9"/>
      <c r="BL409" s="9"/>
      <c r="BM409" s="3"/>
      <c r="BN409" s="3"/>
      <c r="BO409" s="3"/>
      <c r="BP409" s="3"/>
      <c r="BQ409" s="3"/>
      <c r="BR409" s="3"/>
    </row>
    <row r="410" spans="1:83" x14ac:dyDescent="0.3">
      <c r="A410" s="2">
        <v>11</v>
      </c>
      <c r="B410" s="2" t="s">
        <v>138</v>
      </c>
      <c r="C410" t="s">
        <v>89</v>
      </c>
      <c r="D410" s="5" t="s">
        <v>468</v>
      </c>
      <c r="E410" s="5" t="s">
        <v>93</v>
      </c>
      <c r="F410" s="17">
        <v>45243</v>
      </c>
      <c r="G410">
        <v>23</v>
      </c>
      <c r="H410" s="3">
        <v>24.2</v>
      </c>
      <c r="I410" s="3">
        <f t="shared" si="53"/>
        <v>23.74</v>
      </c>
      <c r="J410" s="3">
        <f t="shared" si="52"/>
        <v>0.93374999999999997</v>
      </c>
      <c r="K410" s="6">
        <f t="shared" si="54"/>
        <v>5507.7832726377947</v>
      </c>
      <c r="L410" s="4"/>
      <c r="M410" s="4"/>
      <c r="N410" s="4"/>
      <c r="O410" s="4"/>
      <c r="P410" s="7"/>
      <c r="Q410" s="6"/>
      <c r="R410" s="5"/>
      <c r="S410" s="4"/>
      <c r="T410" s="13"/>
      <c r="U410" s="13"/>
      <c r="V410" s="5"/>
      <c r="W410" s="5"/>
      <c r="X410" s="5"/>
      <c r="Y410" s="5"/>
      <c r="Z410" s="5"/>
      <c r="AA410" s="5"/>
      <c r="AB410" s="5"/>
      <c r="AC410" s="5"/>
      <c r="AD410" s="5"/>
      <c r="AF410" s="5"/>
      <c r="AG410" s="6"/>
      <c r="AH410" s="11"/>
      <c r="AI410" s="6"/>
      <c r="AJ410" s="6"/>
      <c r="AK410" s="6"/>
      <c r="AL410" s="6"/>
      <c r="AM410" s="6"/>
      <c r="AN410" s="6"/>
      <c r="AO410" s="12"/>
      <c r="AP410" s="7"/>
      <c r="AQ410" s="6"/>
      <c r="AV410" s="3"/>
      <c r="AW410" s="3"/>
      <c r="AX410" s="3"/>
      <c r="AY410" s="3"/>
      <c r="AZ410" s="4"/>
      <c r="BA410" s="4"/>
      <c r="BB410" s="4"/>
      <c r="BC410" s="4"/>
      <c r="BD410" s="4"/>
      <c r="BE410" s="3"/>
      <c r="BJ410" s="9"/>
      <c r="BK410" s="9"/>
      <c r="BL410" s="9"/>
      <c r="BM410" s="3"/>
      <c r="BN410" s="3"/>
      <c r="BO410" s="3"/>
      <c r="BP410" s="3"/>
      <c r="BQ410" s="3"/>
      <c r="BR410" s="3"/>
    </row>
    <row r="411" spans="1:83" x14ac:dyDescent="0.3">
      <c r="A411" s="2">
        <v>11</v>
      </c>
      <c r="B411" s="2" t="s">
        <v>139</v>
      </c>
      <c r="C411" t="s">
        <v>89</v>
      </c>
      <c r="D411" s="5" t="s">
        <v>469</v>
      </c>
      <c r="E411" s="5" t="s">
        <v>93</v>
      </c>
      <c r="F411" s="17">
        <v>45243</v>
      </c>
      <c r="G411">
        <v>23</v>
      </c>
      <c r="H411" s="3">
        <v>21.9</v>
      </c>
      <c r="I411" s="3">
        <f t="shared" si="53"/>
        <v>21.439999999999998</v>
      </c>
      <c r="J411" s="3">
        <f t="shared" si="52"/>
        <v>0.93374999999999997</v>
      </c>
      <c r="K411" s="6">
        <f t="shared" si="54"/>
        <v>4994.3671309055107</v>
      </c>
      <c r="L411" s="4"/>
      <c r="M411" s="4"/>
      <c r="N411" s="4"/>
      <c r="O411" s="4"/>
      <c r="P411" s="7"/>
      <c r="Q411" s="6"/>
      <c r="R411" s="5"/>
      <c r="S411" s="4"/>
      <c r="T411" s="13"/>
      <c r="U411" s="13"/>
      <c r="V411" s="5"/>
      <c r="W411" s="5"/>
      <c r="X411" s="5"/>
      <c r="Y411" s="5"/>
      <c r="Z411" s="5"/>
      <c r="AA411" s="5"/>
      <c r="AB411" s="5"/>
      <c r="AC411" s="5"/>
      <c r="AD411" s="5"/>
      <c r="AF411" s="5"/>
      <c r="AG411" s="6"/>
      <c r="AH411" s="11"/>
      <c r="AI411" s="6"/>
      <c r="AJ411" s="6"/>
      <c r="AK411" s="6"/>
      <c r="AL411" s="6"/>
      <c r="AM411" s="6"/>
      <c r="AN411" s="6"/>
      <c r="AO411" s="12"/>
      <c r="AP411" s="7"/>
      <c r="AQ411" s="6"/>
      <c r="AV411" s="3"/>
      <c r="AW411" s="3"/>
      <c r="AX411" s="3"/>
      <c r="AY411" s="3"/>
      <c r="AZ411" s="4"/>
      <c r="BA411" s="4"/>
      <c r="BB411" s="4"/>
      <c r="BC411" s="4"/>
      <c r="BD411" s="4"/>
      <c r="BE411" s="3"/>
      <c r="BJ411" s="9"/>
      <c r="BK411" s="9"/>
      <c r="BL411" s="9"/>
      <c r="BM411" s="3"/>
      <c r="BN411" s="3"/>
      <c r="BO411" s="3"/>
      <c r="BP411" s="3"/>
      <c r="BQ411" s="3"/>
      <c r="BR411" s="3"/>
    </row>
    <row r="412" spans="1:83" x14ac:dyDescent="0.3">
      <c r="A412" s="2">
        <v>11</v>
      </c>
      <c r="B412" s="2" t="s">
        <v>140</v>
      </c>
      <c r="C412" t="s">
        <v>89</v>
      </c>
      <c r="D412" s="5" t="s">
        <v>470</v>
      </c>
      <c r="E412" s="5" t="s">
        <v>93</v>
      </c>
      <c r="F412" s="17">
        <v>45243</v>
      </c>
      <c r="G412">
        <v>23</v>
      </c>
      <c r="H412" s="3">
        <v>21.5</v>
      </c>
      <c r="I412" s="3">
        <f t="shared" si="53"/>
        <v>21.04</v>
      </c>
      <c r="J412" s="3">
        <f t="shared" si="52"/>
        <v>0.93374999999999997</v>
      </c>
      <c r="K412" s="6">
        <f t="shared" si="54"/>
        <v>4905.077367125984</v>
      </c>
      <c r="L412" s="4"/>
      <c r="M412" s="4"/>
      <c r="N412" s="4"/>
      <c r="O412" s="4"/>
      <c r="P412" s="7"/>
      <c r="Q412" s="6"/>
      <c r="R412" s="5"/>
      <c r="S412" s="4"/>
      <c r="T412" s="13"/>
      <c r="U412" s="13"/>
      <c r="V412" s="5"/>
      <c r="W412" s="5"/>
      <c r="X412" s="5"/>
      <c r="Y412" s="5"/>
      <c r="Z412" s="5"/>
      <c r="AA412" s="5"/>
      <c r="AB412" s="5"/>
      <c r="AC412" s="5"/>
      <c r="AD412" s="5"/>
      <c r="AF412" s="5"/>
      <c r="AG412" s="6"/>
      <c r="AH412" s="11"/>
      <c r="AI412" s="6"/>
      <c r="AJ412" s="6"/>
      <c r="AK412" s="6"/>
      <c r="AL412" s="6"/>
      <c r="AM412" s="6"/>
      <c r="AN412" s="6"/>
      <c r="AO412" s="12"/>
      <c r="AP412" s="7"/>
      <c r="AQ412" s="6"/>
      <c r="AV412" s="3"/>
      <c r="AW412" s="3"/>
      <c r="AX412" s="3"/>
      <c r="AY412" s="3"/>
      <c r="AZ412" s="4"/>
      <c r="BA412" s="4"/>
      <c r="BB412" s="4"/>
      <c r="BC412" s="4"/>
      <c r="BD412" s="4"/>
      <c r="BE412" s="3"/>
      <c r="BJ412" s="9"/>
      <c r="BK412" s="9"/>
      <c r="BL412" s="9"/>
      <c r="BM412" s="3"/>
      <c r="BN412" s="3"/>
      <c r="BO412" s="3"/>
      <c r="BP412" s="3"/>
      <c r="BQ412" s="3"/>
      <c r="BR412" s="3"/>
    </row>
    <row r="413" spans="1:83" x14ac:dyDescent="0.3">
      <c r="A413" s="2">
        <v>11</v>
      </c>
      <c r="B413" s="2" t="s">
        <v>141</v>
      </c>
      <c r="C413" t="s">
        <v>89</v>
      </c>
      <c r="D413" s="5" t="s">
        <v>471</v>
      </c>
      <c r="E413" s="5" t="s">
        <v>93</v>
      </c>
      <c r="F413" s="17">
        <v>45243</v>
      </c>
      <c r="G413">
        <v>23</v>
      </c>
      <c r="H413" s="3">
        <v>21.9</v>
      </c>
      <c r="I413" s="3">
        <f t="shared" si="53"/>
        <v>21.439999999999998</v>
      </c>
      <c r="J413" s="3">
        <f t="shared" si="52"/>
        <v>0.93374999999999997</v>
      </c>
      <c r="K413" s="6">
        <f t="shared" si="54"/>
        <v>4994.3671309055107</v>
      </c>
      <c r="L413" s="4"/>
      <c r="M413" s="4"/>
      <c r="N413" s="4"/>
      <c r="O413" s="4"/>
      <c r="P413" s="7"/>
      <c r="Q413" s="6"/>
      <c r="R413" s="5"/>
      <c r="S413" s="4"/>
      <c r="T413" s="13"/>
      <c r="U413" s="13"/>
      <c r="V413" s="5"/>
      <c r="W413" s="5"/>
      <c r="X413" s="5"/>
      <c r="Y413" s="5"/>
      <c r="Z413" s="5"/>
      <c r="AA413" s="5"/>
      <c r="AB413" s="5"/>
      <c r="AC413" s="5"/>
      <c r="AD413" s="5"/>
      <c r="AF413" s="5"/>
      <c r="AG413" s="6"/>
      <c r="AH413" s="11"/>
      <c r="AI413" s="6"/>
      <c r="AJ413" s="6"/>
      <c r="AK413" s="6"/>
      <c r="AL413" s="6"/>
      <c r="AM413" s="6"/>
      <c r="AN413" s="6"/>
      <c r="AO413" s="12"/>
      <c r="AP413" s="7"/>
      <c r="AQ413" s="6"/>
      <c r="AV413" s="3"/>
      <c r="AW413" s="3"/>
      <c r="AX413" s="3"/>
      <c r="AY413" s="3"/>
      <c r="AZ413" s="4"/>
      <c r="BA413" s="4"/>
      <c r="BB413" s="4"/>
      <c r="BC413" s="4"/>
      <c r="BD413" s="4"/>
      <c r="BE413" s="3"/>
      <c r="BJ413" s="9"/>
      <c r="BK413" s="9"/>
      <c r="BL413" s="9"/>
      <c r="BM413" s="3"/>
      <c r="BN413" s="3"/>
      <c r="BO413" s="3"/>
      <c r="BP413" s="3"/>
      <c r="BQ413" s="3"/>
      <c r="BR413" s="3"/>
    </row>
    <row r="414" spans="1:83" x14ac:dyDescent="0.3">
      <c r="A414" s="2">
        <v>11</v>
      </c>
      <c r="B414" s="2" t="s">
        <v>142</v>
      </c>
      <c r="C414" t="s">
        <v>89</v>
      </c>
      <c r="D414" s="5" t="s">
        <v>472</v>
      </c>
      <c r="E414" s="5" t="s">
        <v>93</v>
      </c>
      <c r="F414" s="17">
        <v>45243</v>
      </c>
      <c r="G414">
        <v>23</v>
      </c>
      <c r="H414" s="3">
        <v>17.3</v>
      </c>
      <c r="I414" s="3">
        <f t="shared" si="53"/>
        <v>16.84</v>
      </c>
      <c r="J414" s="3">
        <f t="shared" si="52"/>
        <v>0.93374999999999997</v>
      </c>
      <c r="K414" s="6">
        <f t="shared" si="54"/>
        <v>3967.5348474409443</v>
      </c>
      <c r="L414" s="4"/>
      <c r="M414" s="4"/>
      <c r="N414" s="4"/>
      <c r="O414" s="4"/>
      <c r="P414" s="7"/>
      <c r="Q414" s="6"/>
      <c r="R414" s="5"/>
      <c r="S414" s="4"/>
      <c r="T414" s="13"/>
      <c r="U414" s="13"/>
      <c r="V414" s="5"/>
      <c r="W414" s="5"/>
      <c r="X414" s="5"/>
      <c r="Y414" s="5"/>
      <c r="Z414" s="5"/>
      <c r="AA414" s="5"/>
      <c r="AB414" s="5"/>
      <c r="AC414" s="5"/>
      <c r="AD414" s="5"/>
      <c r="AF414" s="5"/>
      <c r="AG414" s="6"/>
      <c r="AH414" s="11"/>
      <c r="AI414" s="6"/>
      <c r="AJ414" s="6"/>
      <c r="AK414" s="6"/>
      <c r="AL414" s="6"/>
      <c r="AM414" s="6"/>
      <c r="AN414" s="6"/>
      <c r="AO414" s="12"/>
      <c r="AP414" s="7"/>
      <c r="AQ414" s="6"/>
      <c r="AV414" s="3"/>
      <c r="AW414" s="3"/>
      <c r="AX414" s="3"/>
      <c r="AY414" s="3"/>
      <c r="AZ414" s="4"/>
      <c r="BA414" s="4"/>
      <c r="BB414" s="4"/>
      <c r="BC414" s="4"/>
      <c r="BD414" s="4"/>
      <c r="BE414" s="3"/>
      <c r="BJ414" s="9"/>
      <c r="BK414" s="9"/>
      <c r="BL414" s="9"/>
      <c r="BM414" s="3"/>
      <c r="BN414" s="3"/>
      <c r="BO414" s="3"/>
      <c r="BP414" s="3"/>
      <c r="BQ414" s="3"/>
      <c r="BR414" s="3"/>
    </row>
    <row r="415" spans="1:83" x14ac:dyDescent="0.3">
      <c r="A415" s="2">
        <v>11</v>
      </c>
      <c r="B415" s="2" t="s">
        <v>143</v>
      </c>
      <c r="C415" t="s">
        <v>89</v>
      </c>
      <c r="D415" s="5" t="s">
        <v>473</v>
      </c>
      <c r="E415" s="5" t="s">
        <v>93</v>
      </c>
      <c r="F415" s="17">
        <v>45243</v>
      </c>
      <c r="G415">
        <v>23</v>
      </c>
      <c r="H415" s="3">
        <v>21.9</v>
      </c>
      <c r="I415" s="3">
        <f t="shared" si="53"/>
        <v>21.439999999999998</v>
      </c>
      <c r="J415" s="3">
        <f t="shared" si="52"/>
        <v>0.93374999999999997</v>
      </c>
      <c r="K415" s="6">
        <f t="shared" si="54"/>
        <v>4994.3671309055107</v>
      </c>
      <c r="L415" s="4"/>
      <c r="M415" s="4"/>
      <c r="N415" s="4"/>
      <c r="O415" s="4"/>
      <c r="P415" s="7"/>
      <c r="Q415" s="6"/>
      <c r="R415" s="5"/>
      <c r="S415" s="4"/>
      <c r="T415" s="13"/>
      <c r="U415" s="13"/>
      <c r="V415" s="5"/>
      <c r="W415" s="5"/>
      <c r="X415" s="5"/>
      <c r="Y415" s="5"/>
      <c r="Z415" s="5"/>
      <c r="AA415" s="5"/>
      <c r="AB415" s="5"/>
      <c r="AC415" s="5"/>
      <c r="AD415" s="5"/>
      <c r="AF415" s="5"/>
      <c r="AG415" s="6"/>
      <c r="AH415" s="11"/>
      <c r="AI415" s="6"/>
      <c r="AJ415" s="6"/>
      <c r="AK415" s="6"/>
      <c r="AL415" s="6"/>
      <c r="AM415" s="6"/>
      <c r="AN415" s="6"/>
      <c r="AO415" s="12"/>
      <c r="AP415" s="7"/>
      <c r="AQ415" s="6"/>
      <c r="AV415" s="3"/>
      <c r="AW415" s="3"/>
      <c r="AX415" s="3"/>
      <c r="AY415" s="3"/>
      <c r="AZ415" s="4"/>
      <c r="BA415" s="4"/>
      <c r="BB415" s="4"/>
      <c r="BC415" s="4"/>
      <c r="BD415" s="4"/>
      <c r="BE415" s="3"/>
      <c r="BJ415" s="9"/>
      <c r="BK415" s="9"/>
      <c r="BL415" s="9"/>
      <c r="BM415" s="3"/>
      <c r="BN415" s="3"/>
      <c r="BO415" s="3"/>
      <c r="BP415" s="3"/>
      <c r="BQ415" s="3"/>
      <c r="BR415" s="3"/>
    </row>
    <row r="416" spans="1:83" x14ac:dyDescent="0.3">
      <c r="A416" s="2">
        <v>12</v>
      </c>
      <c r="B416" s="2" t="s">
        <v>80</v>
      </c>
      <c r="C416" t="s">
        <v>88</v>
      </c>
      <c r="D416" s="5" t="s">
        <v>474</v>
      </c>
      <c r="E416" s="5" t="s">
        <v>93</v>
      </c>
      <c r="F416" s="17">
        <v>45243</v>
      </c>
      <c r="G416">
        <v>12</v>
      </c>
      <c r="H416" s="3">
        <v>13.7</v>
      </c>
      <c r="I416" s="3">
        <f t="shared" si="53"/>
        <v>13.239999999999998</v>
      </c>
      <c r="J416" s="3">
        <f>($A$62-$A$47)*$A$75</f>
        <v>1.3399999999999999</v>
      </c>
      <c r="K416" s="6">
        <f t="shared" si="54"/>
        <v>3254.6118897637793</v>
      </c>
      <c r="L416" s="4"/>
      <c r="M416" s="4"/>
      <c r="N416" s="4"/>
      <c r="O416" s="4"/>
      <c r="P416" s="7"/>
      <c r="Q416" s="6"/>
      <c r="R416" s="5"/>
      <c r="S416" s="4"/>
      <c r="T416" s="13"/>
      <c r="U416" s="13"/>
      <c r="V416" s="5"/>
      <c r="W416" s="5"/>
      <c r="X416" s="5"/>
      <c r="Y416" s="5"/>
      <c r="Z416" s="5"/>
      <c r="AA416" s="5"/>
      <c r="AB416" s="5"/>
      <c r="AC416" s="5"/>
      <c r="AD416" s="5"/>
      <c r="AF416" s="5"/>
      <c r="AG416" s="6"/>
      <c r="AH416" s="11"/>
      <c r="AI416" s="6"/>
      <c r="AJ416" s="6"/>
      <c r="AK416" s="6"/>
      <c r="AL416" s="6"/>
      <c r="AM416" s="6"/>
      <c r="AN416" s="6"/>
      <c r="AO416" s="12"/>
      <c r="AP416" s="7"/>
      <c r="AQ416" s="6"/>
      <c r="AS416" s="4" t="s">
        <v>527</v>
      </c>
      <c r="AT416" s="4" t="str">
        <f>E416</f>
        <v>Machine</v>
      </c>
      <c r="AU416" s="15">
        <f>F416</f>
        <v>45243</v>
      </c>
      <c r="AV416" s="3">
        <f>SUM(H416:H445)</f>
        <v>580.70000000000005</v>
      </c>
      <c r="AW416" s="3">
        <f>AV416-24*$A$47</f>
        <v>569.66000000000008</v>
      </c>
      <c r="AX416" s="3">
        <f>SUM(J416:J445)</f>
        <v>33.356249999999989</v>
      </c>
      <c r="AY416" s="3">
        <f>(AW416+AX416)*$A$48/(30*$A$49)*$A$50</f>
        <v>4486.9315431430459</v>
      </c>
      <c r="AZ416" s="4">
        <f>SUM(L416:L445)</f>
        <v>19.380000000000003</v>
      </c>
      <c r="BA416" s="4">
        <f t="shared" ref="BA416" si="55">SUM(M416:M445)</f>
        <v>364.51</v>
      </c>
      <c r="BB416" s="4">
        <f t="shared" ref="BB416" si="56">SUM(N416:N445)</f>
        <v>345.13</v>
      </c>
      <c r="BC416" s="4">
        <f>SUM(O416:O445)</f>
        <v>327.78999999999996</v>
      </c>
      <c r="BD416" s="4">
        <f>(BB416-BC416)/BB416*100</f>
        <v>5.0241937820531479</v>
      </c>
      <c r="BE416" s="3">
        <f>AY416*(1-BD416/100)</f>
        <v>4261.4994075474715</v>
      </c>
      <c r="BF416" s="15">
        <v>45244</v>
      </c>
      <c r="BG416" s="4">
        <f>SUM(S416:S445)</f>
        <v>18.059999999999999</v>
      </c>
      <c r="BH416" s="13">
        <f>SUM(T416:T445)</f>
        <v>7.0750000000000002</v>
      </c>
      <c r="BI416" s="13">
        <f>SUM(U416:U445)</f>
        <v>11.9</v>
      </c>
      <c r="BJ416" s="9">
        <f>(BH416-2*$A$76)/(BG416-2*$A$47*$A$48)</f>
        <v>0.36904791853754487</v>
      </c>
      <c r="BK416" s="9">
        <f>(BI416-2*$A$77)/(BG416-2*$A$47*$A$48)</f>
        <v>0.48178579443543718</v>
      </c>
      <c r="BL416" s="9">
        <f>1-BJ416-BK416</f>
        <v>0.14916628702701801</v>
      </c>
      <c r="BM416" s="3">
        <f>AY416*BJ416</f>
        <v>1655.8927466173952</v>
      </c>
      <c r="BN416" s="3">
        <f>AY416*BK416</f>
        <v>2161.7398780905946</v>
      </c>
      <c r="BO416" s="3">
        <f>SUM(BM416:BN416)</f>
        <v>3817.6326247079896</v>
      </c>
      <c r="BP416" s="3">
        <f>BE416*BJ416</f>
        <v>1572.6974862043751</v>
      </c>
      <c r="BQ416" s="3">
        <f>BE416*BK416</f>
        <v>2053.1298775514033</v>
      </c>
      <c r="BR416" s="3">
        <f>SUM(BP416:BQ416)</f>
        <v>3625.8273637557786</v>
      </c>
      <c r="BT416" s="15">
        <v>45295</v>
      </c>
      <c r="BU416" s="3">
        <f>AVERAGE(AG416:AG445)</f>
        <v>48.6</v>
      </c>
      <c r="BV416" s="13">
        <f>AVERAGE(AH416:AH445)</f>
        <v>1.1475</v>
      </c>
      <c r="BW416" s="3">
        <f>AVERAGE(AI416:AI445)</f>
        <v>81.900000000000006</v>
      </c>
      <c r="BX416" s="3">
        <f>AVERAGE(AJ416:AJ445)</f>
        <v>30.75</v>
      </c>
      <c r="BY416" s="3">
        <f>AVERAGE(AK416:AK445)</f>
        <v>5.3</v>
      </c>
      <c r="BZ416" s="3">
        <f>AVERAGE(AL416:AL445)</f>
        <v>81.400000000000006</v>
      </c>
      <c r="CA416" s="3">
        <f>AVERAGE(AM416:AM445)</f>
        <v>8.8000000000000007</v>
      </c>
      <c r="CB416" s="3"/>
      <c r="CC416" s="10">
        <f>AVERAGE(AO416:AO445)</f>
        <v>6.5</v>
      </c>
      <c r="CD416" s="4">
        <f>AVERAGE(AP416:AP445)</f>
        <v>0.09</v>
      </c>
      <c r="CE416" s="3">
        <f>AVERAGE(AQ416:AQ445)</f>
        <v>9.3000000000000007</v>
      </c>
    </row>
    <row r="417" spans="1:70" x14ac:dyDescent="0.3">
      <c r="A417" s="2">
        <v>12</v>
      </c>
      <c r="B417" s="2" t="s">
        <v>81</v>
      </c>
      <c r="C417" t="s">
        <v>88</v>
      </c>
      <c r="D417" s="5" t="s">
        <v>475</v>
      </c>
      <c r="E417" s="5" t="s">
        <v>93</v>
      </c>
      <c r="F417" s="17">
        <v>45243</v>
      </c>
      <c r="G417">
        <v>12</v>
      </c>
      <c r="H417" s="3">
        <v>19.399999999999999</v>
      </c>
      <c r="I417" s="3">
        <f t="shared" si="53"/>
        <v>18.939999999999998</v>
      </c>
      <c r="J417" s="3">
        <f t="shared" ref="J417:J430" si="57">($A$62-$A$47)*$A$75</f>
        <v>1.3399999999999999</v>
      </c>
      <c r="K417" s="6">
        <f t="shared" si="54"/>
        <v>4526.9910236220467</v>
      </c>
      <c r="L417" s="4"/>
      <c r="M417" s="4"/>
      <c r="N417" s="4"/>
      <c r="O417" s="4"/>
      <c r="P417" s="7"/>
      <c r="Q417" s="6"/>
      <c r="R417" s="5"/>
      <c r="S417" s="4"/>
      <c r="T417" s="13"/>
      <c r="U417" s="13"/>
      <c r="V417" s="5"/>
      <c r="W417" s="5"/>
      <c r="X417" s="5"/>
      <c r="Y417" s="5"/>
      <c r="Z417" s="5"/>
      <c r="AA417" s="5"/>
      <c r="AB417" s="5"/>
      <c r="AC417" s="5"/>
      <c r="AD417" s="5"/>
      <c r="AF417" s="5"/>
      <c r="AG417" s="6"/>
      <c r="AH417" s="11"/>
      <c r="AI417" s="6"/>
      <c r="AJ417" s="6"/>
      <c r="AK417" s="6"/>
      <c r="AL417" s="6"/>
      <c r="AM417" s="6"/>
      <c r="AN417" s="6"/>
      <c r="AO417" s="12"/>
      <c r="AP417" s="7"/>
      <c r="AQ417" s="6"/>
      <c r="AV417" s="3"/>
      <c r="AW417" s="3"/>
      <c r="AX417" s="3"/>
      <c r="AY417" s="3"/>
      <c r="AZ417" s="4"/>
      <c r="BA417" s="4"/>
      <c r="BB417" s="4"/>
      <c r="BC417" s="4"/>
      <c r="BD417" s="4"/>
      <c r="BE417" s="3"/>
      <c r="BJ417" s="9"/>
      <c r="BK417" s="9"/>
      <c r="BL417" s="9"/>
      <c r="BM417" s="3"/>
      <c r="BN417" s="3"/>
      <c r="BO417" s="3"/>
      <c r="BP417" s="3"/>
      <c r="BQ417" s="3"/>
      <c r="BR417" s="3"/>
    </row>
    <row r="418" spans="1:70" x14ac:dyDescent="0.3">
      <c r="A418" s="2">
        <v>12</v>
      </c>
      <c r="B418" s="2" t="s">
        <v>82</v>
      </c>
      <c r="C418" t="s">
        <v>88</v>
      </c>
      <c r="D418" s="5" t="s">
        <v>476</v>
      </c>
      <c r="E418" s="5" t="s">
        <v>93</v>
      </c>
      <c r="F418" s="17">
        <v>45243</v>
      </c>
      <c r="G418">
        <v>12</v>
      </c>
      <c r="H418" s="3">
        <v>20.3</v>
      </c>
      <c r="I418" s="3">
        <f t="shared" si="53"/>
        <v>19.84</v>
      </c>
      <c r="J418" s="3">
        <f t="shared" si="57"/>
        <v>1.3399999999999999</v>
      </c>
      <c r="K418" s="6">
        <f t="shared" si="54"/>
        <v>4727.8929921259842</v>
      </c>
      <c r="L418" s="4"/>
      <c r="M418" s="4"/>
      <c r="N418" s="4"/>
      <c r="O418" s="4"/>
      <c r="P418" s="7"/>
      <c r="Q418" s="6"/>
      <c r="R418" s="5"/>
      <c r="S418" s="4"/>
      <c r="T418" s="13"/>
      <c r="U418" s="13"/>
      <c r="V418" s="5"/>
      <c r="W418" s="5"/>
      <c r="X418" s="5"/>
      <c r="Y418" s="5"/>
      <c r="Z418" s="5"/>
      <c r="AA418" s="5"/>
      <c r="AB418" s="5"/>
      <c r="AC418" s="5"/>
      <c r="AD418" s="5"/>
      <c r="AF418" s="5"/>
      <c r="AG418" s="6"/>
      <c r="AH418" s="11"/>
      <c r="AI418" s="6"/>
      <c r="AJ418" s="6"/>
      <c r="AK418" s="6"/>
      <c r="AL418" s="6"/>
      <c r="AM418" s="6"/>
      <c r="AN418" s="6"/>
      <c r="AO418" s="12"/>
      <c r="AP418" s="7"/>
      <c r="AQ418" s="6"/>
      <c r="AV418" s="3"/>
      <c r="AW418" s="3"/>
      <c r="AX418" s="3"/>
      <c r="AY418" s="3"/>
      <c r="AZ418" s="4"/>
      <c r="BA418" s="4"/>
      <c r="BB418" s="4"/>
      <c r="BC418" s="4"/>
      <c r="BD418" s="4"/>
      <c r="BE418" s="3"/>
      <c r="BJ418" s="9"/>
      <c r="BK418" s="9"/>
      <c r="BL418" s="9"/>
      <c r="BM418" s="3"/>
      <c r="BN418" s="3"/>
      <c r="BO418" s="3"/>
      <c r="BP418" s="3"/>
      <c r="BQ418" s="3"/>
      <c r="BR418" s="3"/>
    </row>
    <row r="419" spans="1:70" x14ac:dyDescent="0.3">
      <c r="A419" s="2">
        <v>12</v>
      </c>
      <c r="B419" s="2" t="s">
        <v>83</v>
      </c>
      <c r="C419" t="s">
        <v>88</v>
      </c>
      <c r="D419" s="5" t="s">
        <v>477</v>
      </c>
      <c r="E419" s="5" t="s">
        <v>93</v>
      </c>
      <c r="F419" s="17">
        <v>45243</v>
      </c>
      <c r="G419">
        <v>12</v>
      </c>
      <c r="H419" s="3">
        <v>22.6</v>
      </c>
      <c r="I419" s="3">
        <f t="shared" si="53"/>
        <v>22.14</v>
      </c>
      <c r="J419" s="3">
        <f t="shared" si="57"/>
        <v>1.3399999999999999</v>
      </c>
      <c r="K419" s="6">
        <f t="shared" si="54"/>
        <v>5241.3091338582681</v>
      </c>
      <c r="L419" s="4"/>
      <c r="M419" s="4"/>
      <c r="N419" s="4"/>
      <c r="O419" s="4"/>
      <c r="P419" s="7"/>
      <c r="Q419" s="6"/>
      <c r="R419" s="5"/>
      <c r="S419" s="4"/>
      <c r="T419" s="13"/>
      <c r="U419" s="13"/>
      <c r="V419" s="5"/>
      <c r="W419" s="5"/>
      <c r="X419" s="5"/>
      <c r="Y419" s="5"/>
      <c r="Z419" s="5"/>
      <c r="AA419" s="5"/>
      <c r="AB419" s="5"/>
      <c r="AC419" s="5"/>
      <c r="AD419" s="5"/>
      <c r="AF419" s="5"/>
      <c r="AG419" s="6"/>
      <c r="AH419" s="11"/>
      <c r="AI419" s="6"/>
      <c r="AJ419" s="6"/>
      <c r="AK419" s="6"/>
      <c r="AL419" s="6"/>
      <c r="AM419" s="6"/>
      <c r="AN419" s="6"/>
      <c r="AO419" s="12"/>
      <c r="AP419" s="7"/>
      <c r="AQ419" s="6"/>
      <c r="AV419" s="3"/>
      <c r="AW419" s="3"/>
      <c r="AX419" s="3"/>
      <c r="AY419" s="3"/>
      <c r="AZ419" s="4"/>
      <c r="BA419" s="4"/>
      <c r="BB419" s="4"/>
      <c r="BC419" s="4"/>
      <c r="BD419" s="4"/>
      <c r="BE419" s="3"/>
      <c r="BJ419" s="9"/>
      <c r="BK419" s="9"/>
      <c r="BL419" s="9"/>
      <c r="BM419" s="3"/>
      <c r="BN419" s="3"/>
      <c r="BO419" s="3"/>
      <c r="BP419" s="3"/>
      <c r="BQ419" s="3"/>
      <c r="BR419" s="3"/>
    </row>
    <row r="420" spans="1:70" x14ac:dyDescent="0.3">
      <c r="A420" s="2">
        <v>12</v>
      </c>
      <c r="B420" s="2" t="s">
        <v>84</v>
      </c>
      <c r="C420" t="s">
        <v>88</v>
      </c>
      <c r="D420" s="5" t="s">
        <v>478</v>
      </c>
      <c r="E420" s="5" t="s">
        <v>93</v>
      </c>
      <c r="F420" s="17">
        <v>45243</v>
      </c>
      <c r="G420">
        <v>12</v>
      </c>
      <c r="H420" s="3">
        <v>26</v>
      </c>
      <c r="I420" s="3">
        <f t="shared" si="53"/>
        <v>25.54</v>
      </c>
      <c r="J420" s="3">
        <f t="shared" si="57"/>
        <v>1.3399999999999999</v>
      </c>
      <c r="K420" s="6">
        <f t="shared" si="54"/>
        <v>6000.2721259842519</v>
      </c>
      <c r="L420" s="4"/>
      <c r="M420" s="4"/>
      <c r="N420" s="4"/>
      <c r="O420" s="4"/>
      <c r="P420" s="7"/>
      <c r="Q420" s="6"/>
      <c r="R420" s="5"/>
      <c r="S420" s="4"/>
      <c r="T420" s="13"/>
      <c r="U420" s="13"/>
      <c r="V420" s="5"/>
      <c r="W420" s="5"/>
      <c r="X420" s="5"/>
      <c r="Y420" s="5"/>
      <c r="Z420" s="5"/>
      <c r="AA420" s="5"/>
      <c r="AB420" s="5"/>
      <c r="AC420" s="5"/>
      <c r="AD420" s="5"/>
      <c r="AF420" s="5"/>
      <c r="AG420" s="6"/>
      <c r="AH420" s="11"/>
      <c r="AI420" s="6"/>
      <c r="AJ420" s="6"/>
      <c r="AK420" s="6"/>
      <c r="AL420" s="6"/>
      <c r="AM420" s="6"/>
      <c r="AN420" s="6"/>
      <c r="AO420" s="12"/>
      <c r="AP420" s="7"/>
      <c r="AQ420" s="6"/>
      <c r="AV420" s="3"/>
      <c r="AW420" s="3"/>
      <c r="AX420" s="3"/>
      <c r="AY420" s="3"/>
      <c r="AZ420" s="4"/>
      <c r="BA420" s="4"/>
      <c r="BB420" s="4"/>
      <c r="BC420" s="4"/>
      <c r="BD420" s="4"/>
      <c r="BE420" s="3"/>
      <c r="BJ420" s="9"/>
      <c r="BK420" s="9"/>
      <c r="BL420" s="9"/>
      <c r="BM420" s="3"/>
      <c r="BN420" s="3"/>
      <c r="BO420" s="3"/>
      <c r="BP420" s="3"/>
      <c r="BQ420" s="3"/>
      <c r="BR420" s="3"/>
    </row>
    <row r="421" spans="1:70" x14ac:dyDescent="0.3">
      <c r="A421" s="2">
        <v>12</v>
      </c>
      <c r="B421" s="2" t="s">
        <v>85</v>
      </c>
      <c r="C421" t="s">
        <v>88</v>
      </c>
      <c r="D421" s="5" t="s">
        <v>479</v>
      </c>
      <c r="E421" s="5" t="s">
        <v>93</v>
      </c>
      <c r="F421" s="17">
        <v>45243</v>
      </c>
      <c r="G421">
        <v>12</v>
      </c>
      <c r="H421" s="3">
        <v>25.8</v>
      </c>
      <c r="I421" s="3">
        <f t="shared" si="53"/>
        <v>25.34</v>
      </c>
      <c r="J421" s="3">
        <f t="shared" si="57"/>
        <v>1.3399999999999999</v>
      </c>
      <c r="K421" s="6">
        <f t="shared" si="54"/>
        <v>5955.6272440944877</v>
      </c>
      <c r="L421" s="4"/>
      <c r="M421" s="4"/>
      <c r="N421" s="4"/>
      <c r="O421" s="4"/>
      <c r="P421" s="7"/>
      <c r="Q421" s="6"/>
      <c r="R421" s="5"/>
      <c r="S421" s="4"/>
      <c r="T421" s="13"/>
      <c r="U421" s="13"/>
      <c r="V421" s="5"/>
      <c r="W421" s="5"/>
      <c r="X421" s="5"/>
      <c r="Y421" s="5"/>
      <c r="Z421" s="5"/>
      <c r="AA421" s="5"/>
      <c r="AB421" s="5"/>
      <c r="AC421" s="5"/>
      <c r="AD421" s="5"/>
      <c r="AF421" s="5"/>
      <c r="AG421" s="6"/>
      <c r="AH421" s="11"/>
      <c r="AI421" s="6"/>
      <c r="AJ421" s="6"/>
      <c r="AK421" s="6"/>
      <c r="AL421" s="6"/>
      <c r="AM421" s="6"/>
      <c r="AN421" s="6"/>
      <c r="AO421" s="12"/>
      <c r="AP421" s="7"/>
      <c r="AQ421" s="6"/>
      <c r="AV421" s="3"/>
      <c r="AW421" s="3"/>
      <c r="AX421" s="3"/>
      <c r="AY421" s="3"/>
      <c r="AZ421" s="4"/>
      <c r="BA421" s="4"/>
      <c r="BB421" s="4"/>
      <c r="BC421" s="4"/>
      <c r="BD421" s="4"/>
      <c r="BE421" s="3"/>
      <c r="BJ421" s="9"/>
      <c r="BK421" s="9"/>
      <c r="BL421" s="9"/>
      <c r="BM421" s="3"/>
      <c r="BN421" s="3"/>
      <c r="BO421" s="3"/>
      <c r="BP421" s="3"/>
      <c r="BQ421" s="3"/>
      <c r="BR421" s="3"/>
    </row>
    <row r="422" spans="1:70" x14ac:dyDescent="0.3">
      <c r="A422" s="2">
        <v>12</v>
      </c>
      <c r="B422" s="2" t="s">
        <v>86</v>
      </c>
      <c r="C422" t="s">
        <v>88</v>
      </c>
      <c r="D422" s="5" t="s">
        <v>480</v>
      </c>
      <c r="E422" s="5" t="s">
        <v>93</v>
      </c>
      <c r="F422" s="17">
        <v>45243</v>
      </c>
      <c r="G422">
        <v>12</v>
      </c>
      <c r="H422" s="3">
        <v>21.1</v>
      </c>
      <c r="I422" s="3">
        <f t="shared" si="53"/>
        <v>20.64</v>
      </c>
      <c r="J422" s="3">
        <f t="shared" si="57"/>
        <v>1.3399999999999999</v>
      </c>
      <c r="K422" s="6">
        <f t="shared" si="54"/>
        <v>4906.4725196850395</v>
      </c>
      <c r="L422" s="4"/>
      <c r="M422" s="4"/>
      <c r="N422" s="4"/>
      <c r="O422" s="4"/>
      <c r="P422" s="7"/>
      <c r="Q422" s="6"/>
      <c r="R422" s="5"/>
      <c r="S422" s="4"/>
      <c r="T422" s="13"/>
      <c r="U422" s="13"/>
      <c r="V422" s="5"/>
      <c r="W422" s="5"/>
      <c r="X422" s="5"/>
      <c r="Y422" s="5"/>
      <c r="Z422" s="5"/>
      <c r="AA422" s="5"/>
      <c r="AB422" s="5"/>
      <c r="AC422" s="5"/>
      <c r="AD422" s="5"/>
      <c r="AF422" s="5"/>
      <c r="AG422" s="6"/>
      <c r="AH422" s="11"/>
      <c r="AI422" s="6"/>
      <c r="AJ422" s="6"/>
      <c r="AK422" s="6"/>
      <c r="AL422" s="6"/>
      <c r="AM422" s="6"/>
      <c r="AN422" s="6"/>
      <c r="AO422" s="12"/>
      <c r="AP422" s="7"/>
      <c r="AQ422" s="6"/>
      <c r="AV422" s="3"/>
      <c r="AW422" s="3"/>
      <c r="AX422" s="3"/>
      <c r="AY422" s="3"/>
      <c r="AZ422" s="4"/>
      <c r="BA422" s="4"/>
      <c r="BB422" s="4"/>
      <c r="BC422" s="4"/>
      <c r="BD422" s="4"/>
      <c r="BE422" s="3"/>
      <c r="BJ422" s="9"/>
      <c r="BK422" s="9"/>
      <c r="BL422" s="9"/>
      <c r="BM422" s="3"/>
      <c r="BN422" s="3"/>
      <c r="BO422" s="3"/>
      <c r="BP422" s="3"/>
      <c r="BQ422" s="3"/>
      <c r="BR422" s="3"/>
    </row>
    <row r="423" spans="1:70" x14ac:dyDescent="0.3">
      <c r="A423" s="2">
        <v>12</v>
      </c>
      <c r="B423" s="2" t="s">
        <v>87</v>
      </c>
      <c r="C423" t="s">
        <v>88</v>
      </c>
      <c r="D423" s="5" t="s">
        <v>481</v>
      </c>
      <c r="E423" s="5" t="s">
        <v>93</v>
      </c>
      <c r="F423" s="17">
        <v>45243</v>
      </c>
      <c r="G423">
        <v>12</v>
      </c>
      <c r="H423" s="3">
        <v>23.1</v>
      </c>
      <c r="I423" s="3">
        <f t="shared" si="53"/>
        <v>22.64</v>
      </c>
      <c r="J423" s="3">
        <f t="shared" si="57"/>
        <v>1.3399999999999999</v>
      </c>
      <c r="K423" s="6">
        <f t="shared" si="54"/>
        <v>5352.9213385826779</v>
      </c>
      <c r="L423" s="4">
        <v>8.82</v>
      </c>
      <c r="M423" s="4">
        <v>194.13</v>
      </c>
      <c r="N423" s="4">
        <v>185.31</v>
      </c>
      <c r="O423" s="4">
        <v>175.04</v>
      </c>
      <c r="P423" s="7">
        <f>(N423-O423)/N423*100</f>
        <v>5.5420646484269653</v>
      </c>
      <c r="Q423" s="6">
        <f>K423*(1-P423/100)</f>
        <v>5056.2589774189837</v>
      </c>
      <c r="R423" s="14">
        <v>45244</v>
      </c>
      <c r="S423" s="4">
        <v>10.199999999999999</v>
      </c>
      <c r="T423" s="13">
        <v>3.96</v>
      </c>
      <c r="U423" s="13">
        <v>6.49</v>
      </c>
      <c r="V423" s="8">
        <f>(T423-$A$76)/(S423-$A$47*$A$48)</f>
        <v>0.36811850791283846</v>
      </c>
      <c r="W423" s="8">
        <f>(U423-$A$77)/(S423-$A$47*$A$48)</f>
        <v>0.47941480503058631</v>
      </c>
      <c r="X423" s="8">
        <f>1-V423-W423</f>
        <v>0.15246668705657529</v>
      </c>
      <c r="Y423" s="6">
        <f>K423*V423</f>
        <v>1970.5094161338493</v>
      </c>
      <c r="Z423" s="6">
        <f>K423*W423</f>
        <v>2566.2697398806795</v>
      </c>
      <c r="AA423" s="6">
        <f>SUM(Y423:Z423)</f>
        <v>4536.7791560145288</v>
      </c>
      <c r="AB423" s="6">
        <f>Q423*V423</f>
        <v>1861.3025103883706</v>
      </c>
      <c r="AC423" s="6">
        <f>Q423*W423</f>
        <v>2424.0454118434736</v>
      </c>
      <c r="AD423" s="6">
        <f>SUM(AB423:AC423)</f>
        <v>4285.3479222318438</v>
      </c>
      <c r="AE423" t="s">
        <v>559</v>
      </c>
      <c r="AF423" s="14">
        <v>45295</v>
      </c>
      <c r="AG423" s="6">
        <v>49.2</v>
      </c>
      <c r="AH423" s="11">
        <v>1.1399999999999999</v>
      </c>
      <c r="AI423" s="6">
        <v>82.3</v>
      </c>
      <c r="AJ423" s="6">
        <v>31.5</v>
      </c>
      <c r="AK423" s="6">
        <v>5.0999999999999996</v>
      </c>
      <c r="AL423" s="6">
        <v>80.599999999999994</v>
      </c>
      <c r="AM423" s="6">
        <v>8.6</v>
      </c>
      <c r="AN423" s="6" t="s">
        <v>133</v>
      </c>
      <c r="AO423" s="12">
        <v>7</v>
      </c>
      <c r="AP423" s="7">
        <v>0.1</v>
      </c>
      <c r="AQ423" s="6">
        <v>9</v>
      </c>
      <c r="AV423" s="3"/>
      <c r="AW423" s="3"/>
      <c r="AX423" s="3"/>
      <c r="AY423" s="3"/>
      <c r="AZ423" s="4"/>
      <c r="BA423" s="4"/>
      <c r="BB423" s="4"/>
      <c r="BC423" s="4"/>
      <c r="BD423" s="4"/>
      <c r="BE423" s="3"/>
      <c r="BJ423" s="9"/>
      <c r="BK423" s="9"/>
      <c r="BL423" s="9"/>
      <c r="BM423" s="3"/>
      <c r="BN423" s="3"/>
      <c r="BO423" s="3"/>
      <c r="BP423" s="3"/>
      <c r="BQ423" s="3"/>
      <c r="BR423" s="3"/>
    </row>
    <row r="424" spans="1:70" x14ac:dyDescent="0.3">
      <c r="A424" s="2">
        <v>12</v>
      </c>
      <c r="B424" s="2" t="s">
        <v>137</v>
      </c>
      <c r="C424" t="s">
        <v>88</v>
      </c>
      <c r="D424" s="5" t="s">
        <v>482</v>
      </c>
      <c r="E424" s="5" t="s">
        <v>93</v>
      </c>
      <c r="F424" s="17">
        <v>45243</v>
      </c>
      <c r="G424">
        <v>12</v>
      </c>
      <c r="H424" s="3">
        <v>22.9</v>
      </c>
      <c r="I424" s="3">
        <f t="shared" si="53"/>
        <v>22.439999999999998</v>
      </c>
      <c r="J424" s="3">
        <f t="shared" si="57"/>
        <v>1.3399999999999999</v>
      </c>
      <c r="K424" s="6">
        <f t="shared" si="54"/>
        <v>5308.2764566929127</v>
      </c>
      <c r="L424" s="4"/>
      <c r="M424" s="4"/>
      <c r="N424" s="4"/>
      <c r="O424" s="4"/>
      <c r="P424" s="7"/>
      <c r="Q424" s="6"/>
      <c r="R424" s="5"/>
      <c r="S424" s="4"/>
      <c r="T424" s="13"/>
      <c r="U424" s="13"/>
      <c r="V424" s="5"/>
      <c r="W424" s="5"/>
      <c r="X424" s="5"/>
      <c r="Y424" s="5"/>
      <c r="Z424" s="5"/>
      <c r="AA424" s="5"/>
      <c r="AB424" s="5"/>
      <c r="AC424" s="5"/>
      <c r="AD424" s="5"/>
      <c r="AF424" s="5"/>
      <c r="AG424" s="6"/>
      <c r="AH424" s="11"/>
      <c r="AI424" s="6"/>
      <c r="AJ424" s="6"/>
      <c r="AK424" s="6"/>
      <c r="AL424" s="6"/>
      <c r="AM424" s="6"/>
      <c r="AN424" s="6"/>
      <c r="AO424" s="12"/>
      <c r="AP424" s="7"/>
      <c r="AQ424" s="6"/>
      <c r="AV424" s="3"/>
      <c r="AW424" s="3"/>
      <c r="AX424" s="3"/>
      <c r="AY424" s="3"/>
      <c r="AZ424" s="4"/>
      <c r="BA424" s="4"/>
      <c r="BB424" s="4"/>
      <c r="BC424" s="4"/>
      <c r="BD424" s="4"/>
      <c r="BE424" s="3"/>
      <c r="BJ424" s="9"/>
      <c r="BK424" s="9"/>
      <c r="BL424" s="9"/>
      <c r="BM424" s="3"/>
      <c r="BN424" s="3"/>
      <c r="BO424" s="3"/>
      <c r="BP424" s="3"/>
      <c r="BQ424" s="3"/>
      <c r="BR424" s="3"/>
    </row>
    <row r="425" spans="1:70" x14ac:dyDescent="0.3">
      <c r="A425" s="2">
        <v>12</v>
      </c>
      <c r="B425" s="2" t="s">
        <v>138</v>
      </c>
      <c r="C425" t="s">
        <v>88</v>
      </c>
      <c r="D425" s="5" t="s">
        <v>483</v>
      </c>
      <c r="E425" s="5" t="s">
        <v>93</v>
      </c>
      <c r="F425" s="17">
        <v>45243</v>
      </c>
      <c r="G425">
        <v>12</v>
      </c>
      <c r="H425" s="3">
        <v>24.2</v>
      </c>
      <c r="I425" s="3">
        <f t="shared" si="53"/>
        <v>23.74</v>
      </c>
      <c r="J425" s="3">
        <f t="shared" si="57"/>
        <v>1.3399999999999999</v>
      </c>
      <c r="K425" s="6">
        <f t="shared" si="54"/>
        <v>5598.4681889763779</v>
      </c>
      <c r="L425" s="4"/>
      <c r="M425" s="4"/>
      <c r="N425" s="4"/>
      <c r="O425" s="4"/>
      <c r="P425" s="7"/>
      <c r="Q425" s="6"/>
      <c r="R425" s="5"/>
      <c r="S425" s="4"/>
      <c r="T425" s="13"/>
      <c r="U425" s="13"/>
      <c r="V425" s="5"/>
      <c r="W425" s="5"/>
      <c r="X425" s="5"/>
      <c r="Y425" s="5"/>
      <c r="Z425" s="5"/>
      <c r="AA425" s="5"/>
      <c r="AB425" s="5"/>
      <c r="AC425" s="5"/>
      <c r="AD425" s="5"/>
      <c r="AF425" s="5"/>
      <c r="AG425" s="6"/>
      <c r="AH425" s="11"/>
      <c r="AI425" s="6"/>
      <c r="AJ425" s="6"/>
      <c r="AK425" s="6"/>
      <c r="AL425" s="6"/>
      <c r="AM425" s="6"/>
      <c r="AN425" s="6"/>
      <c r="AO425" s="12"/>
      <c r="AP425" s="7"/>
      <c r="AQ425" s="6"/>
      <c r="AV425" s="3"/>
      <c r="AW425" s="3"/>
      <c r="AX425" s="3"/>
      <c r="AY425" s="3"/>
      <c r="AZ425" s="4"/>
      <c r="BA425" s="4"/>
      <c r="BB425" s="4"/>
      <c r="BC425" s="4"/>
      <c r="BD425" s="4"/>
      <c r="BE425" s="3"/>
      <c r="BJ425" s="9"/>
      <c r="BK425" s="9"/>
      <c r="BL425" s="9"/>
      <c r="BM425" s="3"/>
      <c r="BN425" s="3"/>
      <c r="BO425" s="3"/>
      <c r="BP425" s="3"/>
      <c r="BQ425" s="3"/>
      <c r="BR425" s="3"/>
    </row>
    <row r="426" spans="1:70" x14ac:dyDescent="0.3">
      <c r="A426" s="2">
        <v>12</v>
      </c>
      <c r="B426" s="2" t="s">
        <v>139</v>
      </c>
      <c r="C426" t="s">
        <v>88</v>
      </c>
      <c r="D426" s="5" t="s">
        <v>484</v>
      </c>
      <c r="E426" s="5" t="s">
        <v>93</v>
      </c>
      <c r="F426" s="17">
        <v>45243</v>
      </c>
      <c r="G426">
        <v>12</v>
      </c>
      <c r="H426" s="3">
        <v>21.3</v>
      </c>
      <c r="I426" s="3">
        <f t="shared" si="53"/>
        <v>20.84</v>
      </c>
      <c r="J426" s="3">
        <f t="shared" si="57"/>
        <v>1.3399999999999999</v>
      </c>
      <c r="K426" s="6">
        <f t="shared" si="54"/>
        <v>4951.1174015748029</v>
      </c>
      <c r="L426" s="4"/>
      <c r="M426" s="4"/>
      <c r="N426" s="4"/>
      <c r="O426" s="4"/>
      <c r="P426" s="7"/>
      <c r="Q426" s="6"/>
      <c r="R426" s="5"/>
      <c r="S426" s="4"/>
      <c r="T426" s="13"/>
      <c r="U426" s="13"/>
      <c r="V426" s="5"/>
      <c r="W426" s="5"/>
      <c r="X426" s="5"/>
      <c r="Y426" s="5"/>
      <c r="Z426" s="5"/>
      <c r="AA426" s="5"/>
      <c r="AB426" s="5"/>
      <c r="AC426" s="5"/>
      <c r="AD426" s="5"/>
      <c r="AF426" s="5"/>
      <c r="AG426" s="6"/>
      <c r="AH426" s="11"/>
      <c r="AI426" s="6"/>
      <c r="AJ426" s="6"/>
      <c r="AK426" s="6"/>
      <c r="AL426" s="6"/>
      <c r="AM426" s="6"/>
      <c r="AN426" s="6"/>
      <c r="AO426" s="12"/>
      <c r="AP426" s="7"/>
      <c r="AQ426" s="6"/>
      <c r="AV426" s="3"/>
      <c r="AW426" s="3"/>
      <c r="AX426" s="3"/>
      <c r="AY426" s="3"/>
      <c r="AZ426" s="4"/>
      <c r="BA426" s="4"/>
      <c r="BB426" s="4"/>
      <c r="BC426" s="4"/>
      <c r="BD426" s="4"/>
      <c r="BE426" s="3"/>
      <c r="BJ426" s="9"/>
      <c r="BK426" s="9"/>
      <c r="BL426" s="9"/>
      <c r="BM426" s="3"/>
      <c r="BN426" s="3"/>
      <c r="BO426" s="3"/>
      <c r="BP426" s="3"/>
      <c r="BQ426" s="3"/>
      <c r="BR426" s="3"/>
    </row>
    <row r="427" spans="1:70" x14ac:dyDescent="0.3">
      <c r="A427" s="2">
        <v>12</v>
      </c>
      <c r="B427" s="2" t="s">
        <v>140</v>
      </c>
      <c r="C427" t="s">
        <v>88</v>
      </c>
      <c r="D427" s="5" t="s">
        <v>485</v>
      </c>
      <c r="E427" s="5" t="s">
        <v>93</v>
      </c>
      <c r="F427" s="17">
        <v>45243</v>
      </c>
      <c r="G427">
        <v>12</v>
      </c>
      <c r="H427" s="3">
        <v>23.5</v>
      </c>
      <c r="I427" s="3">
        <f t="shared" si="53"/>
        <v>23.04</v>
      </c>
      <c r="J427" s="3">
        <f t="shared" si="57"/>
        <v>1.3399999999999999</v>
      </c>
      <c r="K427" s="6">
        <f t="shared" si="54"/>
        <v>5442.2111023622047</v>
      </c>
      <c r="L427" s="4"/>
      <c r="M427" s="4"/>
      <c r="N427" s="4"/>
      <c r="O427" s="4"/>
      <c r="P427" s="7"/>
      <c r="Q427" s="6"/>
      <c r="R427" s="5"/>
      <c r="S427" s="4"/>
      <c r="T427" s="13"/>
      <c r="U427" s="13"/>
      <c r="V427" s="5"/>
      <c r="W427" s="5"/>
      <c r="X427" s="5"/>
      <c r="Y427" s="5"/>
      <c r="Z427" s="5"/>
      <c r="AA427" s="5"/>
      <c r="AB427" s="5"/>
      <c r="AC427" s="5"/>
      <c r="AD427" s="5"/>
      <c r="AF427" s="5"/>
      <c r="AG427" s="6"/>
      <c r="AH427" s="11"/>
      <c r="AI427" s="6"/>
      <c r="AJ427" s="6"/>
      <c r="AK427" s="6"/>
      <c r="AL427" s="6"/>
      <c r="AM427" s="6"/>
      <c r="AN427" s="6"/>
      <c r="AO427" s="12"/>
      <c r="AP427" s="7"/>
      <c r="AQ427" s="6"/>
      <c r="AV427" s="3"/>
      <c r="AW427" s="3"/>
      <c r="AX427" s="3"/>
      <c r="AY427" s="3"/>
      <c r="AZ427" s="4"/>
      <c r="BA427" s="4"/>
      <c r="BB427" s="4"/>
      <c r="BC427" s="4"/>
      <c r="BD427" s="4"/>
      <c r="BE427" s="3"/>
      <c r="BJ427" s="9"/>
      <c r="BK427" s="9"/>
      <c r="BL427" s="9"/>
      <c r="BM427" s="3"/>
      <c r="BN427" s="3"/>
      <c r="BO427" s="3"/>
      <c r="BP427" s="3"/>
      <c r="BQ427" s="3"/>
      <c r="BR427" s="3"/>
    </row>
    <row r="428" spans="1:70" x14ac:dyDescent="0.3">
      <c r="A428" s="2">
        <v>12</v>
      </c>
      <c r="B428" s="2" t="s">
        <v>141</v>
      </c>
      <c r="C428" t="s">
        <v>88</v>
      </c>
      <c r="D428" s="5" t="s">
        <v>486</v>
      </c>
      <c r="E428" s="5" t="s">
        <v>93</v>
      </c>
      <c r="F428" s="17">
        <v>45243</v>
      </c>
      <c r="G428">
        <v>12</v>
      </c>
      <c r="H428" s="3">
        <v>20</v>
      </c>
      <c r="I428" s="3">
        <f t="shared" si="53"/>
        <v>19.54</v>
      </c>
      <c r="J428" s="3">
        <f t="shared" si="57"/>
        <v>1.3399999999999999</v>
      </c>
      <c r="K428" s="6">
        <f t="shared" si="54"/>
        <v>4660.9256692913377</v>
      </c>
      <c r="L428" s="4"/>
      <c r="M428" s="4"/>
      <c r="N428" s="4"/>
      <c r="O428" s="4"/>
      <c r="P428" s="7"/>
      <c r="Q428" s="6"/>
      <c r="R428" s="5"/>
      <c r="S428" s="4"/>
      <c r="T428" s="13"/>
      <c r="U428" s="13"/>
      <c r="V428" s="5"/>
      <c r="W428" s="5"/>
      <c r="X428" s="5"/>
      <c r="Y428" s="5"/>
      <c r="Z428" s="5"/>
      <c r="AA428" s="5"/>
      <c r="AB428" s="5"/>
      <c r="AC428" s="5"/>
      <c r="AD428" s="5"/>
      <c r="AF428" s="5"/>
      <c r="AG428" s="6"/>
      <c r="AH428" s="11"/>
      <c r="AI428" s="6"/>
      <c r="AJ428" s="6"/>
      <c r="AK428" s="6"/>
      <c r="AL428" s="6"/>
      <c r="AM428" s="6"/>
      <c r="AN428" s="6"/>
      <c r="AO428" s="12"/>
      <c r="AP428" s="7"/>
      <c r="AQ428" s="6"/>
      <c r="AV428" s="3"/>
      <c r="AW428" s="3"/>
      <c r="AX428" s="3"/>
      <c r="AY428" s="3"/>
      <c r="AZ428" s="4"/>
      <c r="BA428" s="4"/>
      <c r="BB428" s="4"/>
      <c r="BC428" s="4"/>
      <c r="BD428" s="4"/>
      <c r="BE428" s="3"/>
      <c r="BJ428" s="9"/>
      <c r="BK428" s="9"/>
      <c r="BL428" s="9"/>
      <c r="BM428" s="3"/>
      <c r="BN428" s="3"/>
      <c r="BO428" s="3"/>
      <c r="BP428" s="3"/>
      <c r="BQ428" s="3"/>
      <c r="BR428" s="3"/>
    </row>
    <row r="429" spans="1:70" x14ac:dyDescent="0.3">
      <c r="A429" s="2">
        <v>12</v>
      </c>
      <c r="B429" s="2" t="s">
        <v>142</v>
      </c>
      <c r="C429" t="s">
        <v>88</v>
      </c>
      <c r="D429" s="5" t="s">
        <v>487</v>
      </c>
      <c r="E429" s="5" t="s">
        <v>93</v>
      </c>
      <c r="F429" s="17">
        <v>45243</v>
      </c>
      <c r="G429">
        <v>12</v>
      </c>
      <c r="H429" s="3">
        <v>18.399999999999999</v>
      </c>
      <c r="I429" s="3">
        <f t="shared" si="53"/>
        <v>17.939999999999998</v>
      </c>
      <c r="J429" s="3">
        <f t="shared" si="57"/>
        <v>1.3399999999999999</v>
      </c>
      <c r="K429" s="6">
        <f t="shared" si="54"/>
        <v>4303.7666141732279</v>
      </c>
      <c r="L429" s="4"/>
      <c r="M429" s="4"/>
      <c r="N429" s="4"/>
      <c r="O429" s="4"/>
      <c r="P429" s="7"/>
      <c r="Q429" s="6"/>
      <c r="R429" s="5"/>
      <c r="S429" s="4"/>
      <c r="T429" s="13"/>
      <c r="U429" s="13"/>
      <c r="V429" s="5"/>
      <c r="W429" s="5"/>
      <c r="X429" s="5"/>
      <c r="Y429" s="5"/>
      <c r="Z429" s="5"/>
      <c r="AA429" s="5"/>
      <c r="AB429" s="5"/>
      <c r="AC429" s="5"/>
      <c r="AD429" s="5"/>
      <c r="AF429" s="5"/>
      <c r="AG429" s="6"/>
      <c r="AH429" s="11"/>
      <c r="AI429" s="6"/>
      <c r="AJ429" s="6"/>
      <c r="AK429" s="6"/>
      <c r="AL429" s="6"/>
      <c r="AM429" s="6"/>
      <c r="AN429" s="6"/>
      <c r="AO429" s="12"/>
      <c r="AP429" s="7"/>
      <c r="AQ429" s="6"/>
      <c r="AV429" s="3"/>
      <c r="AW429" s="3"/>
      <c r="AX429" s="3"/>
      <c r="AY429" s="3"/>
      <c r="AZ429" s="4"/>
      <c r="BA429" s="4"/>
      <c r="BB429" s="4"/>
      <c r="BC429" s="4"/>
      <c r="BD429" s="4"/>
      <c r="BE429" s="3"/>
      <c r="BJ429" s="9"/>
      <c r="BK429" s="9"/>
      <c r="BL429" s="9"/>
      <c r="BM429" s="3"/>
      <c r="BN429" s="3"/>
      <c r="BO429" s="3"/>
      <c r="BP429" s="3"/>
      <c r="BQ429" s="3"/>
      <c r="BR429" s="3"/>
    </row>
    <row r="430" spans="1:70" x14ac:dyDescent="0.3">
      <c r="A430" s="2">
        <v>12</v>
      </c>
      <c r="B430" s="2" t="s">
        <v>143</v>
      </c>
      <c r="C430" t="s">
        <v>88</v>
      </c>
      <c r="D430" s="5" t="s">
        <v>488</v>
      </c>
      <c r="E430" s="5" t="s">
        <v>93</v>
      </c>
      <c r="F430" s="17">
        <v>45243</v>
      </c>
      <c r="G430">
        <v>12</v>
      </c>
      <c r="H430" s="3">
        <v>17.5</v>
      </c>
      <c r="I430" s="3">
        <f t="shared" si="53"/>
        <v>17.04</v>
      </c>
      <c r="J430" s="3">
        <f t="shared" si="57"/>
        <v>1.3399999999999999</v>
      </c>
      <c r="K430" s="6">
        <f t="shared" si="54"/>
        <v>4102.8646456692913</v>
      </c>
      <c r="L430" s="4"/>
      <c r="M430" s="4"/>
      <c r="N430" s="4"/>
      <c r="O430" s="4"/>
      <c r="P430" s="7"/>
      <c r="Q430" s="6"/>
      <c r="R430" s="5"/>
      <c r="S430" s="4"/>
      <c r="T430" s="13"/>
      <c r="U430" s="13"/>
      <c r="V430" s="5"/>
      <c r="W430" s="5"/>
      <c r="X430" s="5"/>
      <c r="Y430" s="5"/>
      <c r="Z430" s="5"/>
      <c r="AA430" s="5"/>
      <c r="AB430" s="5"/>
      <c r="AC430" s="5"/>
      <c r="AD430" s="5"/>
      <c r="AF430" s="5"/>
      <c r="AG430" s="6"/>
      <c r="AH430" s="11"/>
      <c r="AI430" s="6"/>
      <c r="AJ430" s="6"/>
      <c r="AK430" s="6"/>
      <c r="AL430" s="6"/>
      <c r="AM430" s="6"/>
      <c r="AN430" s="6"/>
      <c r="AO430" s="12"/>
      <c r="AP430" s="7"/>
      <c r="AQ430" s="6"/>
      <c r="AV430" s="3"/>
      <c r="AW430" s="3"/>
      <c r="AX430" s="3"/>
      <c r="AY430" s="3"/>
      <c r="AZ430" s="4"/>
      <c r="BA430" s="4"/>
      <c r="BB430" s="4"/>
      <c r="BC430" s="4"/>
      <c r="BD430" s="4"/>
      <c r="BE430" s="3"/>
      <c r="BJ430" s="9"/>
      <c r="BK430" s="9"/>
      <c r="BL430" s="9"/>
      <c r="BM430" s="3"/>
      <c r="BN430" s="3"/>
      <c r="BO430" s="3"/>
      <c r="BP430" s="3"/>
      <c r="BQ430" s="3"/>
      <c r="BR430" s="3"/>
    </row>
    <row r="431" spans="1:70" x14ac:dyDescent="0.3">
      <c r="A431" s="2">
        <v>12</v>
      </c>
      <c r="B431" s="2" t="s">
        <v>80</v>
      </c>
      <c r="C431" t="s">
        <v>89</v>
      </c>
      <c r="D431" s="5" t="s">
        <v>489</v>
      </c>
      <c r="E431" s="5" t="s">
        <v>93</v>
      </c>
      <c r="F431" s="17">
        <v>45243</v>
      </c>
      <c r="G431">
        <v>24</v>
      </c>
      <c r="H431" s="3">
        <v>7.4</v>
      </c>
      <c r="I431" s="3">
        <f t="shared" si="53"/>
        <v>6.94</v>
      </c>
      <c r="J431" s="3">
        <f>($A$74-$A$47)*$A$75</f>
        <v>0.88374999999999992</v>
      </c>
      <c r="K431" s="6">
        <f t="shared" si="54"/>
        <v>1746.4519734251969</v>
      </c>
      <c r="L431" s="4"/>
      <c r="M431" s="4"/>
      <c r="N431" s="4"/>
      <c r="O431" s="4"/>
      <c r="P431" s="7"/>
      <c r="Q431" s="6"/>
      <c r="R431" s="5"/>
      <c r="S431" s="4"/>
      <c r="T431" s="13"/>
      <c r="U431" s="13"/>
      <c r="V431" s="5"/>
      <c r="W431" s="5"/>
      <c r="X431" s="5"/>
      <c r="Y431" s="5"/>
      <c r="Z431" s="5"/>
      <c r="AA431" s="5"/>
      <c r="AB431" s="5"/>
      <c r="AC431" s="5"/>
      <c r="AD431" s="5"/>
      <c r="AF431" s="5"/>
      <c r="AG431" s="6"/>
      <c r="AH431" s="11"/>
      <c r="AI431" s="6"/>
      <c r="AJ431" s="6"/>
      <c r="AK431" s="6"/>
      <c r="AL431" s="6"/>
      <c r="AM431" s="6"/>
      <c r="AN431" s="6"/>
      <c r="AO431" s="12"/>
      <c r="AP431" s="7"/>
      <c r="AQ431" s="6"/>
      <c r="AV431" s="3"/>
      <c r="AW431" s="3"/>
      <c r="AX431" s="3"/>
      <c r="AY431" s="3"/>
      <c r="AZ431" s="4"/>
      <c r="BA431" s="4"/>
      <c r="BB431" s="4"/>
      <c r="BC431" s="4"/>
      <c r="BD431" s="4"/>
      <c r="BE431" s="3"/>
      <c r="BJ431" s="9"/>
      <c r="BK431" s="9"/>
      <c r="BL431" s="9"/>
      <c r="BM431" s="3"/>
      <c r="BN431" s="3"/>
      <c r="BO431" s="3"/>
      <c r="BP431" s="3"/>
      <c r="BQ431" s="3"/>
      <c r="BR431" s="3"/>
    </row>
    <row r="432" spans="1:70" x14ac:dyDescent="0.3">
      <c r="A432" s="2">
        <v>12</v>
      </c>
      <c r="B432" s="2" t="s">
        <v>81</v>
      </c>
      <c r="C432" t="s">
        <v>89</v>
      </c>
      <c r="D432" s="5" t="s">
        <v>490</v>
      </c>
      <c r="E432" s="5" t="s">
        <v>93</v>
      </c>
      <c r="F432" s="17">
        <v>45243</v>
      </c>
      <c r="G432">
        <v>24</v>
      </c>
      <c r="H432" s="3">
        <v>19.100000000000001</v>
      </c>
      <c r="I432" s="3">
        <f t="shared" si="53"/>
        <v>18.64</v>
      </c>
      <c r="J432" s="3">
        <f t="shared" ref="J432:J445" si="58">($A$74-$A$47)*$A$75</f>
        <v>0.88374999999999992</v>
      </c>
      <c r="K432" s="6">
        <f t="shared" si="54"/>
        <v>4358.1775639763782</v>
      </c>
      <c r="L432" s="4"/>
      <c r="M432" s="4"/>
      <c r="N432" s="4"/>
      <c r="O432" s="4"/>
      <c r="P432" s="7"/>
      <c r="Q432" s="6"/>
      <c r="R432" s="5"/>
      <c r="S432" s="4"/>
      <c r="T432" s="13"/>
      <c r="U432" s="13"/>
      <c r="V432" s="5"/>
      <c r="W432" s="5"/>
      <c r="X432" s="5"/>
      <c r="Y432" s="5"/>
      <c r="Z432" s="5"/>
      <c r="AA432" s="5"/>
      <c r="AB432" s="5"/>
      <c r="AC432" s="5"/>
      <c r="AD432" s="5"/>
      <c r="AF432" s="5"/>
      <c r="AG432" s="6"/>
      <c r="AH432" s="11"/>
      <c r="AI432" s="6"/>
      <c r="AJ432" s="6"/>
      <c r="AK432" s="6"/>
      <c r="AL432" s="6"/>
      <c r="AM432" s="6"/>
      <c r="AN432" s="6"/>
      <c r="AO432" s="12"/>
      <c r="AP432" s="7"/>
      <c r="AQ432" s="6"/>
      <c r="AV432" s="3"/>
      <c r="AW432" s="3"/>
      <c r="AX432" s="3"/>
      <c r="AY432" s="3"/>
      <c r="AZ432" s="4"/>
      <c r="BA432" s="4"/>
      <c r="BB432" s="4"/>
      <c r="BC432" s="4"/>
      <c r="BD432" s="4"/>
      <c r="BE432" s="3"/>
      <c r="BJ432" s="9"/>
      <c r="BK432" s="9"/>
      <c r="BL432" s="9"/>
      <c r="BM432" s="3"/>
      <c r="BN432" s="3"/>
      <c r="BO432" s="3"/>
      <c r="BP432" s="3"/>
      <c r="BQ432" s="3"/>
      <c r="BR432" s="3"/>
    </row>
    <row r="433" spans="1:70" x14ac:dyDescent="0.3">
      <c r="A433" s="2">
        <v>12</v>
      </c>
      <c r="B433" s="2" t="s">
        <v>82</v>
      </c>
      <c r="C433" t="s">
        <v>89</v>
      </c>
      <c r="D433" s="5" t="s">
        <v>491</v>
      </c>
      <c r="E433" s="5" t="s">
        <v>93</v>
      </c>
      <c r="F433" s="17">
        <v>45243</v>
      </c>
      <c r="G433">
        <v>24</v>
      </c>
      <c r="H433" s="3">
        <v>20.8</v>
      </c>
      <c r="I433" s="3">
        <f t="shared" si="53"/>
        <v>20.34</v>
      </c>
      <c r="J433" s="3">
        <f t="shared" si="58"/>
        <v>0.88374999999999992</v>
      </c>
      <c r="K433" s="6">
        <f t="shared" si="54"/>
        <v>4737.6590600393702</v>
      </c>
      <c r="L433" s="4"/>
      <c r="M433" s="4"/>
      <c r="N433" s="4"/>
      <c r="O433" s="4"/>
      <c r="P433" s="7"/>
      <c r="Q433" s="6"/>
      <c r="R433" s="5"/>
      <c r="S433" s="4"/>
      <c r="T433" s="13"/>
      <c r="U433" s="13"/>
      <c r="V433" s="5"/>
      <c r="W433" s="5"/>
      <c r="X433" s="5"/>
      <c r="Y433" s="5"/>
      <c r="Z433" s="5"/>
      <c r="AA433" s="5"/>
      <c r="AB433" s="5"/>
      <c r="AC433" s="5"/>
      <c r="AD433" s="5"/>
      <c r="AF433" s="5"/>
      <c r="AG433" s="6"/>
      <c r="AH433" s="11"/>
      <c r="AI433" s="6"/>
      <c r="AJ433" s="6"/>
      <c r="AK433" s="6"/>
      <c r="AL433" s="6"/>
      <c r="AM433" s="6"/>
      <c r="AN433" s="6"/>
      <c r="AO433" s="12"/>
      <c r="AP433" s="7"/>
      <c r="AQ433" s="6"/>
      <c r="AV433" s="3"/>
      <c r="AW433" s="3"/>
      <c r="AX433" s="3"/>
      <c r="AY433" s="3"/>
      <c r="AZ433" s="4"/>
      <c r="BA433" s="4"/>
      <c r="BB433" s="4"/>
      <c r="BC433" s="4"/>
      <c r="BD433" s="4"/>
      <c r="BE433" s="3"/>
      <c r="BJ433" s="9"/>
      <c r="BK433" s="9"/>
      <c r="BL433" s="9"/>
      <c r="BM433" s="3"/>
      <c r="BN433" s="3"/>
      <c r="BO433" s="3"/>
      <c r="BP433" s="3"/>
      <c r="BQ433" s="3"/>
      <c r="BR433" s="3"/>
    </row>
    <row r="434" spans="1:70" x14ac:dyDescent="0.3">
      <c r="A434" s="2">
        <v>12</v>
      </c>
      <c r="B434" s="2" t="s">
        <v>83</v>
      </c>
      <c r="C434" t="s">
        <v>89</v>
      </c>
      <c r="D434" s="5" t="s">
        <v>492</v>
      </c>
      <c r="E434" s="5" t="s">
        <v>93</v>
      </c>
      <c r="F434" s="17">
        <v>45243</v>
      </c>
      <c r="G434">
        <v>24</v>
      </c>
      <c r="H434" s="3">
        <v>20.9</v>
      </c>
      <c r="I434" s="3">
        <f t="shared" si="53"/>
        <v>20.439999999999998</v>
      </c>
      <c r="J434" s="3">
        <f t="shared" si="58"/>
        <v>0.88374999999999992</v>
      </c>
      <c r="K434" s="6">
        <f t="shared" si="54"/>
        <v>4759.9815009842514</v>
      </c>
      <c r="L434" s="4"/>
      <c r="M434" s="4"/>
      <c r="N434" s="4"/>
      <c r="O434" s="4"/>
      <c r="P434" s="7"/>
      <c r="Q434" s="6"/>
      <c r="R434" s="5"/>
      <c r="S434" s="4"/>
      <c r="T434" s="13"/>
      <c r="U434" s="13"/>
      <c r="V434" s="5"/>
      <c r="W434" s="5"/>
      <c r="X434" s="5"/>
      <c r="Y434" s="5"/>
      <c r="Z434" s="5"/>
      <c r="AA434" s="5"/>
      <c r="AB434" s="5"/>
      <c r="AC434" s="5"/>
      <c r="AD434" s="5"/>
      <c r="AF434" s="5"/>
      <c r="AG434" s="6"/>
      <c r="AH434" s="11"/>
      <c r="AI434" s="6"/>
      <c r="AJ434" s="6"/>
      <c r="AK434" s="6"/>
      <c r="AL434" s="6"/>
      <c r="AM434" s="6"/>
      <c r="AN434" s="6"/>
      <c r="AO434" s="12"/>
      <c r="AP434" s="7"/>
      <c r="AQ434" s="6"/>
      <c r="AV434" s="3"/>
      <c r="AW434" s="3"/>
      <c r="AX434" s="3"/>
      <c r="AY434" s="3"/>
      <c r="AZ434" s="4"/>
      <c r="BA434" s="4"/>
      <c r="BB434" s="4"/>
      <c r="BC434" s="4"/>
      <c r="BD434" s="4"/>
      <c r="BE434" s="3"/>
      <c r="BJ434" s="9"/>
      <c r="BK434" s="9"/>
      <c r="BL434" s="9"/>
      <c r="BM434" s="3"/>
      <c r="BN434" s="3"/>
      <c r="BO434" s="3"/>
      <c r="BP434" s="3"/>
      <c r="BQ434" s="3"/>
      <c r="BR434" s="3"/>
    </row>
    <row r="435" spans="1:70" x14ac:dyDescent="0.3">
      <c r="A435" s="2">
        <v>12</v>
      </c>
      <c r="B435" s="2" t="s">
        <v>84</v>
      </c>
      <c r="C435" t="s">
        <v>89</v>
      </c>
      <c r="D435" s="5" t="s">
        <v>493</v>
      </c>
      <c r="E435" s="5" t="s">
        <v>93</v>
      </c>
      <c r="F435" s="17">
        <v>45243</v>
      </c>
      <c r="G435">
        <v>24</v>
      </c>
      <c r="H435" s="3">
        <v>21.9</v>
      </c>
      <c r="I435" s="3">
        <f t="shared" si="53"/>
        <v>21.439999999999998</v>
      </c>
      <c r="J435" s="3">
        <f t="shared" si="58"/>
        <v>0.88374999999999992</v>
      </c>
      <c r="K435" s="6">
        <f t="shared" si="54"/>
        <v>4983.2059104330701</v>
      </c>
      <c r="L435" s="4"/>
      <c r="M435" s="4"/>
      <c r="N435" s="4"/>
      <c r="O435" s="4"/>
      <c r="P435" s="7"/>
      <c r="Q435" s="6"/>
      <c r="R435" s="5"/>
      <c r="S435" s="4"/>
      <c r="T435" s="13"/>
      <c r="U435" s="13"/>
      <c r="V435" s="5"/>
      <c r="W435" s="5"/>
      <c r="X435" s="5"/>
      <c r="Y435" s="5"/>
      <c r="Z435" s="5"/>
      <c r="AA435" s="5"/>
      <c r="AB435" s="5"/>
      <c r="AC435" s="5"/>
      <c r="AD435" s="5"/>
      <c r="AF435" s="5"/>
      <c r="AG435" s="6"/>
      <c r="AH435" s="11"/>
      <c r="AI435" s="6"/>
      <c r="AJ435" s="6"/>
      <c r="AK435" s="6"/>
      <c r="AL435" s="6"/>
      <c r="AM435" s="6"/>
      <c r="AN435" s="6"/>
      <c r="AO435" s="12"/>
      <c r="AP435" s="7"/>
      <c r="AQ435" s="6"/>
      <c r="AV435" s="3"/>
      <c r="AW435" s="3"/>
      <c r="AX435" s="3"/>
      <c r="AY435" s="3"/>
      <c r="AZ435" s="4"/>
      <c r="BA435" s="4"/>
      <c r="BB435" s="4"/>
      <c r="BC435" s="4"/>
      <c r="BD435" s="4"/>
      <c r="BE435" s="3"/>
      <c r="BJ435" s="9"/>
      <c r="BK435" s="9"/>
      <c r="BL435" s="9"/>
      <c r="BM435" s="3"/>
      <c r="BN435" s="3"/>
      <c r="BO435" s="3"/>
      <c r="BP435" s="3"/>
      <c r="BQ435" s="3"/>
      <c r="BR435" s="3"/>
    </row>
    <row r="436" spans="1:70" x14ac:dyDescent="0.3">
      <c r="A436" s="2">
        <v>12</v>
      </c>
      <c r="B436" s="2" t="s">
        <v>85</v>
      </c>
      <c r="C436" t="s">
        <v>89</v>
      </c>
      <c r="D436" s="5" t="s">
        <v>494</v>
      </c>
      <c r="E436" s="5" t="s">
        <v>93</v>
      </c>
      <c r="F436" s="17">
        <v>45243</v>
      </c>
      <c r="G436">
        <v>24</v>
      </c>
      <c r="H436" s="3">
        <v>21.8</v>
      </c>
      <c r="I436" s="3">
        <f t="shared" si="53"/>
        <v>21.34</v>
      </c>
      <c r="J436" s="3">
        <f t="shared" si="58"/>
        <v>0.88374999999999992</v>
      </c>
      <c r="K436" s="6">
        <f t="shared" si="54"/>
        <v>4960.8834694881889</v>
      </c>
      <c r="L436" s="4"/>
      <c r="M436" s="4"/>
      <c r="N436" s="4"/>
      <c r="O436" s="4"/>
      <c r="P436" s="7"/>
      <c r="Q436" s="6"/>
      <c r="R436" s="5"/>
      <c r="S436" s="4"/>
      <c r="T436" s="13"/>
      <c r="U436" s="13"/>
      <c r="V436" s="5"/>
      <c r="W436" s="5"/>
      <c r="X436" s="5"/>
      <c r="Y436" s="5"/>
      <c r="Z436" s="5"/>
      <c r="AA436" s="5"/>
      <c r="AB436" s="5"/>
      <c r="AC436" s="5"/>
      <c r="AD436" s="5"/>
      <c r="AF436" s="5"/>
      <c r="AG436" s="6"/>
      <c r="AH436" s="11"/>
      <c r="AI436" s="6"/>
      <c r="AJ436" s="6"/>
      <c r="AK436" s="6"/>
      <c r="AL436" s="6"/>
      <c r="AM436" s="6"/>
      <c r="AN436" s="6"/>
      <c r="AO436" s="12"/>
      <c r="AP436" s="7"/>
      <c r="AQ436" s="6"/>
      <c r="AV436" s="3"/>
      <c r="AW436" s="3"/>
      <c r="AX436" s="3"/>
      <c r="AY436" s="3"/>
      <c r="AZ436" s="4"/>
      <c r="BA436" s="4"/>
      <c r="BB436" s="4"/>
      <c r="BC436" s="4"/>
      <c r="BD436" s="4"/>
      <c r="BE436" s="3"/>
      <c r="BJ436" s="9"/>
      <c r="BK436" s="9"/>
      <c r="BL436" s="9"/>
      <c r="BM436" s="3"/>
      <c r="BN436" s="3"/>
      <c r="BO436" s="3"/>
      <c r="BP436" s="3"/>
      <c r="BQ436" s="3"/>
      <c r="BR436" s="3"/>
    </row>
    <row r="437" spans="1:70" x14ac:dyDescent="0.3">
      <c r="A437" s="2">
        <v>12</v>
      </c>
      <c r="B437" s="2" t="s">
        <v>86</v>
      </c>
      <c r="C437" t="s">
        <v>89</v>
      </c>
      <c r="D437" s="5" t="s">
        <v>495</v>
      </c>
      <c r="E437" s="5" t="s">
        <v>93</v>
      </c>
      <c r="F437" s="17">
        <v>45243</v>
      </c>
      <c r="G437">
        <v>24</v>
      </c>
      <c r="H437" s="3">
        <v>17.600000000000001</v>
      </c>
      <c r="I437" s="3">
        <f t="shared" si="53"/>
        <v>17.14</v>
      </c>
      <c r="J437" s="3">
        <f t="shared" si="58"/>
        <v>0.88374999999999992</v>
      </c>
      <c r="K437" s="6">
        <f t="shared" si="54"/>
        <v>4023.3409498031492</v>
      </c>
      <c r="L437" s="4"/>
      <c r="M437" s="4"/>
      <c r="N437" s="4"/>
      <c r="O437" s="4"/>
      <c r="P437" s="7"/>
      <c r="Q437" s="6"/>
      <c r="R437" s="5"/>
      <c r="S437" s="4"/>
      <c r="T437" s="13"/>
      <c r="U437" s="13"/>
      <c r="V437" s="5"/>
      <c r="W437" s="5"/>
      <c r="X437" s="5"/>
      <c r="Y437" s="5"/>
      <c r="Z437" s="5"/>
      <c r="AA437" s="5"/>
      <c r="AB437" s="5"/>
      <c r="AC437" s="5"/>
      <c r="AD437" s="5"/>
      <c r="AF437" s="5"/>
      <c r="AG437" s="6"/>
      <c r="AH437" s="11"/>
      <c r="AI437" s="6"/>
      <c r="AJ437" s="6"/>
      <c r="AK437" s="6"/>
      <c r="AL437" s="6"/>
      <c r="AM437" s="6"/>
      <c r="AN437" s="6"/>
      <c r="AO437" s="12"/>
      <c r="AP437" s="7"/>
      <c r="AQ437" s="6"/>
      <c r="AV437" s="3"/>
      <c r="AW437" s="3"/>
      <c r="AX437" s="3"/>
      <c r="AY437" s="3"/>
      <c r="AZ437" s="4"/>
      <c r="BA437" s="4"/>
      <c r="BB437" s="4"/>
      <c r="BC437" s="4"/>
      <c r="BD437" s="4"/>
      <c r="BE437" s="3"/>
      <c r="BJ437" s="9"/>
      <c r="BK437" s="9"/>
      <c r="BL437" s="9"/>
      <c r="BM437" s="3"/>
      <c r="BN437" s="3"/>
      <c r="BO437" s="3"/>
      <c r="BP437" s="3"/>
      <c r="BQ437" s="3"/>
      <c r="BR437" s="3"/>
    </row>
    <row r="438" spans="1:70" x14ac:dyDescent="0.3">
      <c r="A438" s="2">
        <v>12</v>
      </c>
      <c r="B438" s="2" t="s">
        <v>87</v>
      </c>
      <c r="C438" t="s">
        <v>89</v>
      </c>
      <c r="D438" s="5" t="s">
        <v>496</v>
      </c>
      <c r="E438" s="5" t="s">
        <v>93</v>
      </c>
      <c r="F438" s="17">
        <v>45243</v>
      </c>
      <c r="G438">
        <v>24</v>
      </c>
      <c r="H438" s="3">
        <v>17.7</v>
      </c>
      <c r="I438" s="3">
        <f t="shared" si="53"/>
        <v>17.239999999999998</v>
      </c>
      <c r="J438" s="3">
        <f t="shared" si="58"/>
        <v>0.88374999999999992</v>
      </c>
      <c r="K438" s="6">
        <f t="shared" si="54"/>
        <v>4045.6633907480309</v>
      </c>
      <c r="L438" s="4">
        <v>10.56</v>
      </c>
      <c r="M438" s="4">
        <v>170.38</v>
      </c>
      <c r="N438" s="4">
        <v>159.82</v>
      </c>
      <c r="O438" s="4">
        <v>152.75</v>
      </c>
      <c r="P438" s="7">
        <f>(N438-O438)/N438*100</f>
        <v>4.4237266925290912</v>
      </c>
      <c r="Q438" s="6">
        <f>K438*(1-P438/100)</f>
        <v>3866.6942994416327</v>
      </c>
      <c r="R438" s="14">
        <v>45244</v>
      </c>
      <c r="S438" s="4">
        <v>7.86</v>
      </c>
      <c r="T438" s="13">
        <v>3.1150000000000002</v>
      </c>
      <c r="U438" s="13">
        <v>5.41</v>
      </c>
      <c r="V438" s="8">
        <f>(T438-$A$76)/(S438-$A$47*$A$48)</f>
        <v>0.37026156939714444</v>
      </c>
      <c r="W438" s="8">
        <f>(U438-$A$77)/(S438-$A$47*$A$48)</f>
        <v>0.48488189991648628</v>
      </c>
      <c r="X438" s="8">
        <f>1-V438-W438</f>
        <v>0.14485653068636922</v>
      </c>
      <c r="Y438" s="6">
        <f>K438*V438</f>
        <v>1497.9536763109388</v>
      </c>
      <c r="Z438" s="6">
        <f>K438*W438</f>
        <v>1961.6689513284794</v>
      </c>
      <c r="AA438" s="6">
        <f>SUM(Y438:Z438)</f>
        <v>3459.6226276394182</v>
      </c>
      <c r="AB438" s="6">
        <f>Q438*V438</f>
        <v>1431.6882996902509</v>
      </c>
      <c r="AC438" s="6">
        <f>Q438*W438</f>
        <v>1874.8900783095057</v>
      </c>
      <c r="AD438" s="6">
        <f>SUM(AB438:AC438)</f>
        <v>3306.5783779997564</v>
      </c>
      <c r="AE438" t="s">
        <v>560</v>
      </c>
      <c r="AF438" s="14">
        <v>45295</v>
      </c>
      <c r="AG438" s="6">
        <v>48</v>
      </c>
      <c r="AH438" s="11">
        <v>1.155</v>
      </c>
      <c r="AI438" s="6">
        <v>81.5</v>
      </c>
      <c r="AJ438" s="6">
        <v>30</v>
      </c>
      <c r="AK438" s="6">
        <v>5.5</v>
      </c>
      <c r="AL438" s="6">
        <v>82.2</v>
      </c>
      <c r="AM438" s="6">
        <v>9</v>
      </c>
      <c r="AN438" s="6" t="s">
        <v>136</v>
      </c>
      <c r="AO438" s="12">
        <v>6</v>
      </c>
      <c r="AP438" s="7">
        <v>0.08</v>
      </c>
      <c r="AQ438" s="6">
        <v>9.6</v>
      </c>
      <c r="AV438" s="3"/>
      <c r="AW438" s="3"/>
      <c r="AX438" s="3"/>
      <c r="AY438" s="3"/>
      <c r="AZ438" s="4"/>
      <c r="BA438" s="4"/>
      <c r="BB438" s="4"/>
      <c r="BC438" s="4"/>
      <c r="BD438" s="4"/>
      <c r="BE438" s="3"/>
      <c r="BJ438" s="9"/>
      <c r="BK438" s="9"/>
      <c r="BL438" s="9"/>
      <c r="BM438" s="3"/>
      <c r="BN438" s="3"/>
      <c r="BO438" s="3"/>
      <c r="BP438" s="3"/>
      <c r="BQ438" s="3"/>
      <c r="BR438" s="3"/>
    </row>
    <row r="439" spans="1:70" x14ac:dyDescent="0.3">
      <c r="A439" s="2">
        <v>12</v>
      </c>
      <c r="B439" s="2" t="s">
        <v>137</v>
      </c>
      <c r="C439" t="s">
        <v>89</v>
      </c>
      <c r="D439" s="5" t="s">
        <v>497</v>
      </c>
      <c r="E439" s="5" t="s">
        <v>93</v>
      </c>
      <c r="F439" s="17">
        <v>45243</v>
      </c>
      <c r="G439">
        <v>24</v>
      </c>
      <c r="H439" s="3">
        <v>21.8</v>
      </c>
      <c r="I439" s="3">
        <f t="shared" si="53"/>
        <v>21.34</v>
      </c>
      <c r="J439" s="3">
        <f t="shared" si="58"/>
        <v>0.88374999999999992</v>
      </c>
      <c r="K439" s="6">
        <f t="shared" si="54"/>
        <v>4960.8834694881889</v>
      </c>
      <c r="L439" s="4"/>
      <c r="M439" s="4"/>
      <c r="N439" s="4"/>
      <c r="O439" s="4"/>
      <c r="P439" s="7"/>
      <c r="Q439" s="6"/>
      <c r="R439" s="5"/>
      <c r="S439" s="4"/>
      <c r="T439" s="13"/>
      <c r="U439" s="13"/>
      <c r="V439" s="5"/>
      <c r="W439" s="5"/>
      <c r="X439" s="5"/>
      <c r="Y439" s="5"/>
      <c r="Z439" s="5"/>
      <c r="AA439" s="5"/>
      <c r="AB439" s="5"/>
      <c r="AC439" s="5"/>
      <c r="AD439" s="5"/>
      <c r="AE439" s="3"/>
      <c r="AF439" s="5"/>
      <c r="AG439" s="6"/>
      <c r="AH439" s="11"/>
      <c r="AI439" s="6"/>
      <c r="AJ439" s="6"/>
      <c r="AK439" s="6"/>
      <c r="AL439" s="6"/>
      <c r="AM439" s="6"/>
      <c r="AN439" s="6"/>
      <c r="AO439" s="12"/>
      <c r="AP439" s="7"/>
      <c r="AQ439" s="6"/>
      <c r="AS439" s="4"/>
      <c r="AV439" s="3"/>
      <c r="AW439" s="3"/>
      <c r="AX439" s="3"/>
      <c r="AY439" s="3"/>
      <c r="AZ439" s="4"/>
      <c r="BA439" s="4"/>
      <c r="BB439" s="4"/>
      <c r="BC439" s="4"/>
      <c r="BD439" s="4"/>
      <c r="BE439" s="3"/>
      <c r="BJ439" s="9"/>
      <c r="BK439" s="9"/>
      <c r="BL439" s="9"/>
      <c r="BM439" s="3"/>
      <c r="BN439" s="3"/>
      <c r="BO439" s="3"/>
      <c r="BP439" s="3"/>
      <c r="BQ439" s="3"/>
      <c r="BR439" s="3"/>
    </row>
    <row r="440" spans="1:70" x14ac:dyDescent="0.3">
      <c r="A440" s="2">
        <v>12</v>
      </c>
      <c r="B440" s="2" t="s">
        <v>138</v>
      </c>
      <c r="C440" t="s">
        <v>89</v>
      </c>
      <c r="D440" s="5" t="s">
        <v>498</v>
      </c>
      <c r="E440" s="5" t="s">
        <v>93</v>
      </c>
      <c r="F440" s="17">
        <v>45243</v>
      </c>
      <c r="G440">
        <v>24</v>
      </c>
      <c r="H440" s="3">
        <v>16.5</v>
      </c>
      <c r="I440" s="3">
        <f t="shared" si="53"/>
        <v>16.04</v>
      </c>
      <c r="J440" s="3">
        <f t="shared" si="58"/>
        <v>0.88374999999999992</v>
      </c>
      <c r="K440" s="6">
        <f t="shared" si="54"/>
        <v>3777.7940994094483</v>
      </c>
      <c r="L440" s="4"/>
      <c r="M440" s="4"/>
      <c r="N440" s="4"/>
      <c r="O440" s="4"/>
      <c r="P440" s="7"/>
      <c r="Q440" s="6"/>
      <c r="R440" s="5"/>
      <c r="S440" s="4"/>
      <c r="T440" s="13"/>
      <c r="U440" s="13"/>
      <c r="V440" s="5"/>
      <c r="W440" s="5"/>
      <c r="X440" s="5"/>
      <c r="Y440" s="5"/>
      <c r="Z440" s="5"/>
      <c r="AA440" s="5"/>
      <c r="AB440" s="5"/>
      <c r="AC440" s="5"/>
      <c r="AD440" s="5"/>
      <c r="AE440" s="3"/>
      <c r="AF440" s="5"/>
      <c r="AG440" s="6"/>
      <c r="AH440" s="11"/>
      <c r="AI440" s="6"/>
      <c r="AJ440" s="6"/>
      <c r="AK440" s="6"/>
      <c r="AL440" s="6"/>
      <c r="AM440" s="6"/>
      <c r="AN440" s="6"/>
      <c r="AO440" s="12"/>
      <c r="AP440" s="7"/>
      <c r="AQ440" s="6"/>
      <c r="AV440" s="3"/>
      <c r="AW440" s="3"/>
      <c r="AX440" s="3"/>
      <c r="AY440" s="3"/>
      <c r="AZ440" s="4"/>
      <c r="BA440" s="4"/>
      <c r="BB440" s="4"/>
      <c r="BC440" s="4"/>
      <c r="BD440" s="4"/>
      <c r="BE440" s="3"/>
      <c r="BJ440" s="9"/>
      <c r="BK440" s="9"/>
      <c r="BL440" s="9"/>
      <c r="BM440" s="3"/>
      <c r="BN440" s="3"/>
      <c r="BO440" s="3"/>
      <c r="BP440" s="3"/>
      <c r="BQ440" s="3"/>
      <c r="BR440" s="3"/>
    </row>
    <row r="441" spans="1:70" x14ac:dyDescent="0.3">
      <c r="A441" s="2">
        <v>12</v>
      </c>
      <c r="B441" s="2" t="s">
        <v>139</v>
      </c>
      <c r="C441" t="s">
        <v>89</v>
      </c>
      <c r="D441" s="5" t="s">
        <v>499</v>
      </c>
      <c r="E441" s="5" t="s">
        <v>93</v>
      </c>
      <c r="F441" s="17">
        <v>45243</v>
      </c>
      <c r="G441">
        <v>24</v>
      </c>
      <c r="H441" s="3">
        <v>10.5</v>
      </c>
      <c r="I441" s="3">
        <f t="shared" si="53"/>
        <v>10.039999999999999</v>
      </c>
      <c r="J441" s="3">
        <f t="shared" si="58"/>
        <v>0.88374999999999992</v>
      </c>
      <c r="K441" s="6">
        <f t="shared" si="54"/>
        <v>2438.447642716535</v>
      </c>
      <c r="L441" s="4"/>
      <c r="M441" s="4"/>
      <c r="N441" s="4"/>
      <c r="O441" s="4"/>
      <c r="P441" s="7"/>
      <c r="Q441" s="6"/>
      <c r="R441" s="5"/>
      <c r="S441" s="4"/>
      <c r="T441" s="13"/>
      <c r="U441" s="13"/>
      <c r="V441" s="5"/>
      <c r="W441" s="5"/>
      <c r="X441" s="5"/>
      <c r="Y441" s="5"/>
      <c r="Z441" s="5"/>
      <c r="AA441" s="5"/>
      <c r="AB441" s="5"/>
      <c r="AC441" s="5"/>
      <c r="AD441" s="5"/>
      <c r="AE441" s="3"/>
      <c r="AF441" s="5"/>
      <c r="AG441" s="6"/>
      <c r="AH441" s="11"/>
      <c r="AI441" s="6"/>
      <c r="AJ441" s="6"/>
      <c r="AK441" s="6"/>
      <c r="AL441" s="6"/>
      <c r="AM441" s="6"/>
      <c r="AN441" s="6"/>
      <c r="AO441" s="12"/>
      <c r="AP441" s="7"/>
      <c r="AQ441" s="6"/>
      <c r="AV441" s="3"/>
      <c r="AW441" s="3"/>
      <c r="AX441" s="3"/>
      <c r="AY441" s="3"/>
      <c r="AZ441" s="4"/>
      <c r="BA441" s="4"/>
      <c r="BB441" s="4"/>
      <c r="BC441" s="4"/>
      <c r="BD441" s="4"/>
      <c r="BE441" s="3"/>
      <c r="BJ441" s="9"/>
      <c r="BK441" s="9"/>
      <c r="BL441" s="9"/>
      <c r="BM441" s="3"/>
      <c r="BN441" s="3"/>
      <c r="BO441" s="3"/>
      <c r="BP441" s="3"/>
      <c r="BQ441" s="3"/>
      <c r="BR441" s="3"/>
    </row>
    <row r="442" spans="1:70" x14ac:dyDescent="0.3">
      <c r="A442" s="2">
        <v>12</v>
      </c>
      <c r="B442" s="2" t="s">
        <v>140</v>
      </c>
      <c r="C442" t="s">
        <v>89</v>
      </c>
      <c r="D442" s="5" t="s">
        <v>500</v>
      </c>
      <c r="E442" s="5" t="s">
        <v>93</v>
      </c>
      <c r="F442" s="17">
        <v>45243</v>
      </c>
      <c r="G442">
        <v>24</v>
      </c>
      <c r="H442" s="3">
        <v>18.899999999999999</v>
      </c>
      <c r="I442" s="3">
        <f t="shared" si="53"/>
        <v>18.439999999999998</v>
      </c>
      <c r="J442" s="3">
        <f t="shared" si="58"/>
        <v>0.88374999999999992</v>
      </c>
      <c r="K442" s="6">
        <f t="shared" si="54"/>
        <v>4313.532682086613</v>
      </c>
      <c r="L442" s="4"/>
      <c r="M442" s="4"/>
      <c r="N442" s="4"/>
      <c r="O442" s="4"/>
      <c r="P442" s="7"/>
      <c r="Q442" s="6"/>
      <c r="R442" s="5"/>
      <c r="S442" s="4"/>
      <c r="T442" s="13"/>
      <c r="U442" s="13"/>
      <c r="V442" s="5"/>
      <c r="W442" s="5"/>
      <c r="X442" s="5"/>
      <c r="Y442" s="5"/>
      <c r="Z442" s="5"/>
      <c r="AA442" s="5"/>
      <c r="AB442" s="5"/>
      <c r="AC442" s="5"/>
      <c r="AD442" s="5"/>
      <c r="AE442" s="3"/>
      <c r="AF442" s="5"/>
      <c r="AG442" s="6"/>
      <c r="AH442" s="11"/>
      <c r="AI442" s="6"/>
      <c r="AJ442" s="6"/>
      <c r="AK442" s="6"/>
      <c r="AL442" s="6"/>
      <c r="AM442" s="6"/>
      <c r="AN442" s="6"/>
      <c r="AO442" s="12"/>
      <c r="AP442" s="7"/>
      <c r="AQ442" s="6"/>
      <c r="AV442" s="3"/>
      <c r="AW442" s="3"/>
      <c r="AX442" s="3"/>
      <c r="AY442" s="3"/>
      <c r="AZ442" s="4"/>
      <c r="BA442" s="4"/>
      <c r="BB442" s="4"/>
      <c r="BC442" s="4"/>
      <c r="BD442" s="4"/>
      <c r="BE442" s="3"/>
      <c r="BJ442" s="9"/>
      <c r="BK442" s="9"/>
      <c r="BL442" s="9"/>
      <c r="BM442" s="3"/>
      <c r="BN442" s="3"/>
      <c r="BO442" s="3"/>
      <c r="BP442" s="3"/>
      <c r="BQ442" s="3"/>
      <c r="BR442" s="3"/>
    </row>
    <row r="443" spans="1:70" x14ac:dyDescent="0.3">
      <c r="A443" s="2">
        <v>12</v>
      </c>
      <c r="B443" s="2" t="s">
        <v>141</v>
      </c>
      <c r="C443" t="s">
        <v>89</v>
      </c>
      <c r="D443" s="5" t="s">
        <v>501</v>
      </c>
      <c r="E443" s="5" t="s">
        <v>93</v>
      </c>
      <c r="F443" s="17">
        <v>45243</v>
      </c>
      <c r="G443">
        <v>24</v>
      </c>
      <c r="H443" s="3">
        <v>14.1</v>
      </c>
      <c r="I443" s="3">
        <f t="shared" si="53"/>
        <v>13.639999999999999</v>
      </c>
      <c r="J443" s="3">
        <f t="shared" si="58"/>
        <v>0.88374999999999992</v>
      </c>
      <c r="K443" s="6">
        <f t="shared" si="54"/>
        <v>3242.0555167322827</v>
      </c>
      <c r="L443" s="4"/>
      <c r="M443" s="4"/>
      <c r="N443" s="4"/>
      <c r="O443" s="4"/>
      <c r="P443" s="7"/>
      <c r="Q443" s="6"/>
      <c r="R443" s="5"/>
      <c r="S443" s="4"/>
      <c r="T443" s="13"/>
      <c r="U443" s="13"/>
      <c r="V443" s="5"/>
      <c r="W443" s="5"/>
      <c r="X443" s="5"/>
      <c r="Y443" s="5"/>
      <c r="Z443" s="5"/>
      <c r="AA443" s="5"/>
      <c r="AB443" s="5"/>
      <c r="AC443" s="5"/>
      <c r="AD443" s="5"/>
      <c r="AE443" s="3"/>
      <c r="AF443" s="5"/>
      <c r="AG443" s="6"/>
      <c r="AH443" s="11"/>
      <c r="AI443" s="6"/>
      <c r="AJ443" s="6"/>
      <c r="AK443" s="6"/>
      <c r="AL443" s="6"/>
      <c r="AM443" s="6"/>
      <c r="AN443" s="6"/>
      <c r="AO443" s="12"/>
      <c r="AP443" s="7"/>
      <c r="AQ443" s="6"/>
      <c r="AV443" s="3"/>
      <c r="AW443" s="3"/>
      <c r="AX443" s="3"/>
      <c r="AY443" s="3"/>
      <c r="AZ443" s="4"/>
      <c r="BA443" s="4"/>
      <c r="BB443" s="4"/>
      <c r="BC443" s="4"/>
      <c r="BD443" s="4"/>
      <c r="BE443" s="3"/>
      <c r="BJ443" s="9"/>
      <c r="BK443" s="9"/>
      <c r="BL443" s="9"/>
      <c r="BM443" s="3"/>
      <c r="BN443" s="3"/>
      <c r="BO443" s="3"/>
      <c r="BP443" s="3"/>
      <c r="BQ443" s="3"/>
      <c r="BR443" s="3"/>
    </row>
    <row r="444" spans="1:70" x14ac:dyDescent="0.3">
      <c r="A444" s="2">
        <v>12</v>
      </c>
      <c r="B444" s="2" t="s">
        <v>142</v>
      </c>
      <c r="C444" t="s">
        <v>89</v>
      </c>
      <c r="D444" s="5" t="s">
        <v>502</v>
      </c>
      <c r="E444" s="5" t="s">
        <v>93</v>
      </c>
      <c r="F444" s="17">
        <v>45243</v>
      </c>
      <c r="G444">
        <v>24</v>
      </c>
      <c r="H444" s="3">
        <v>16.2</v>
      </c>
      <c r="I444" s="3">
        <f t="shared" si="53"/>
        <v>15.739999999999998</v>
      </c>
      <c r="J444" s="3">
        <f t="shared" si="58"/>
        <v>0.88374999999999992</v>
      </c>
      <c r="K444" s="6">
        <f t="shared" si="54"/>
        <v>3710.8267765748028</v>
      </c>
      <c r="L444" s="4"/>
      <c r="M444" s="4"/>
      <c r="N444" s="4"/>
      <c r="O444" s="4"/>
      <c r="P444" s="7"/>
      <c r="Q444" s="6"/>
      <c r="R444" s="5"/>
      <c r="S444" s="4"/>
      <c r="T444" s="13"/>
      <c r="U444" s="13"/>
      <c r="V444" s="5"/>
      <c r="W444" s="5"/>
      <c r="X444" s="5"/>
      <c r="Y444" s="5"/>
      <c r="Z444" s="5"/>
      <c r="AA444" s="5"/>
      <c r="AB444" s="5"/>
      <c r="AC444" s="5"/>
      <c r="AD444" s="5"/>
      <c r="AE444" s="3"/>
      <c r="AF444" s="5"/>
      <c r="AG444" s="6"/>
      <c r="AH444" s="11"/>
      <c r="AI444" s="6"/>
      <c r="AJ444" s="6"/>
      <c r="AK444" s="6"/>
      <c r="AL444" s="6"/>
      <c r="AM444" s="6"/>
      <c r="AN444" s="6"/>
      <c r="AO444" s="12"/>
      <c r="AP444" s="7"/>
      <c r="AQ444" s="6"/>
      <c r="AV444" s="3"/>
      <c r="AW444" s="3"/>
      <c r="AX444" s="3"/>
      <c r="AY444" s="3"/>
      <c r="AZ444" s="4"/>
      <c r="BA444" s="4"/>
      <c r="BB444" s="4"/>
      <c r="BC444" s="4"/>
      <c r="BD444" s="4"/>
      <c r="BE444" s="3"/>
      <c r="BJ444" s="9"/>
      <c r="BK444" s="9"/>
      <c r="BL444" s="9"/>
      <c r="BM444" s="3"/>
      <c r="BN444" s="3"/>
      <c r="BO444" s="3"/>
      <c r="BP444" s="3"/>
      <c r="BQ444" s="3"/>
      <c r="BR444" s="3"/>
    </row>
    <row r="445" spans="1:70" x14ac:dyDescent="0.3">
      <c r="A445" s="2">
        <v>12</v>
      </c>
      <c r="B445" s="2" t="s">
        <v>143</v>
      </c>
      <c r="C445" t="s">
        <v>89</v>
      </c>
      <c r="D445" s="5" t="s">
        <v>503</v>
      </c>
      <c r="E445" s="5" t="s">
        <v>93</v>
      </c>
      <c r="F445" s="17">
        <v>45243</v>
      </c>
      <c r="G445">
        <v>24</v>
      </c>
      <c r="H445" s="3">
        <v>15.7</v>
      </c>
      <c r="I445" s="3">
        <f t="shared" si="53"/>
        <v>15.239999999999998</v>
      </c>
      <c r="J445" s="3">
        <f t="shared" si="58"/>
        <v>0.88374999999999992</v>
      </c>
      <c r="K445" s="6">
        <f t="shared" si="54"/>
        <v>3599.214571850393</v>
      </c>
      <c r="L445" s="4"/>
      <c r="M445" s="4"/>
      <c r="N445" s="4"/>
      <c r="O445" s="4"/>
      <c r="P445" s="7"/>
      <c r="Q445" s="6"/>
      <c r="R445" s="5"/>
      <c r="S445" s="4"/>
      <c r="T445" s="13"/>
      <c r="U445" s="13"/>
      <c r="V445" s="5"/>
      <c r="W445" s="5"/>
      <c r="X445" s="5"/>
      <c r="Y445" s="5"/>
      <c r="Z445" s="5"/>
      <c r="AA445" s="5"/>
      <c r="AB445" s="5"/>
      <c r="AC445" s="5"/>
      <c r="AD445" s="5"/>
      <c r="AE445" s="3"/>
      <c r="AF445" s="5"/>
      <c r="AG445" s="6"/>
      <c r="AH445" s="11"/>
      <c r="AI445" s="6"/>
      <c r="AJ445" s="6"/>
      <c r="AK445" s="6"/>
      <c r="AL445" s="6"/>
      <c r="AM445" s="6"/>
      <c r="AN445" s="6"/>
      <c r="AO445" s="12"/>
      <c r="AP445" s="7"/>
      <c r="AQ445" s="6"/>
      <c r="AV445" s="3"/>
      <c r="AW445" s="3"/>
      <c r="AX445" s="3"/>
      <c r="AY445" s="3"/>
      <c r="AZ445" s="4"/>
      <c r="BA445" s="4"/>
      <c r="BB445" s="4"/>
      <c r="BC445" s="4"/>
      <c r="BD445" s="4"/>
      <c r="BE445" s="3"/>
      <c r="BJ445" s="9"/>
      <c r="BK445" s="9"/>
      <c r="BL445" s="9"/>
      <c r="BM445" s="3"/>
      <c r="BN445" s="3"/>
      <c r="BO445" s="3"/>
      <c r="BP445" s="3"/>
      <c r="BQ445" s="3"/>
      <c r="BR445" s="3"/>
    </row>
    <row r="446" spans="1:70" x14ac:dyDescent="0.3">
      <c r="AE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70" x14ac:dyDescent="0.3">
      <c r="AE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70" x14ac:dyDescent="0.3">
      <c r="AE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31:41" x14ac:dyDescent="0.3">
      <c r="AE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31:41" x14ac:dyDescent="0.3">
      <c r="AE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31:41" x14ac:dyDescent="0.3">
      <c r="AE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31:41" x14ac:dyDescent="0.3">
      <c r="AE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31:41" x14ac:dyDescent="0.3">
      <c r="AE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31:41" x14ac:dyDescent="0.3">
      <c r="AE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31:41" x14ac:dyDescent="0.3">
      <c r="AE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31:41" x14ac:dyDescent="0.3">
      <c r="AE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31:41" x14ac:dyDescent="0.3">
      <c r="AE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31:41" x14ac:dyDescent="0.3">
      <c r="AE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31:41" x14ac:dyDescent="0.3">
      <c r="AE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31:41" x14ac:dyDescent="0.3">
      <c r="AE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31:41" x14ac:dyDescent="0.3">
      <c r="AE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31:41" x14ac:dyDescent="0.3">
      <c r="AE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31:41" x14ac:dyDescent="0.3">
      <c r="AE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31:41" x14ac:dyDescent="0.3">
      <c r="AE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31:41" x14ac:dyDescent="0.3">
      <c r="AE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31:41" x14ac:dyDescent="0.3">
      <c r="AE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31:41" x14ac:dyDescent="0.3">
      <c r="AE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31:41" x14ac:dyDescent="0.3">
      <c r="AE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31:41" x14ac:dyDescent="0.3">
      <c r="AE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31:41" x14ac:dyDescent="0.3">
      <c r="AE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31:41" x14ac:dyDescent="0.3">
      <c r="AE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31:41" x14ac:dyDescent="0.3">
      <c r="AE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31:41" x14ac:dyDescent="0.3">
      <c r="AE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31:41" x14ac:dyDescent="0.3">
      <c r="AE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31:41" x14ac:dyDescent="0.3">
      <c r="AE475" s="3"/>
    </row>
    <row r="476" spans="31:41" x14ac:dyDescent="0.3">
      <c r="AE476" s="3"/>
    </row>
    <row r="477" spans="31:41" x14ac:dyDescent="0.3">
      <c r="AE477" s="3"/>
    </row>
    <row r="478" spans="31:41" x14ac:dyDescent="0.3">
      <c r="AE478" s="3"/>
    </row>
    <row r="479" spans="31:41" x14ac:dyDescent="0.3">
      <c r="AE479" s="3"/>
    </row>
    <row r="480" spans="31:41" x14ac:dyDescent="0.3">
      <c r="AE480" s="3"/>
    </row>
    <row r="481" spans="31:31" x14ac:dyDescent="0.3">
      <c r="AE481" s="3"/>
    </row>
    <row r="482" spans="31:31" x14ac:dyDescent="0.3">
      <c r="AE482" s="3"/>
    </row>
    <row r="483" spans="31:31" x14ac:dyDescent="0.3">
      <c r="AE483" s="3"/>
    </row>
    <row r="484" spans="31:31" x14ac:dyDescent="0.3">
      <c r="AE484" s="3"/>
    </row>
    <row r="485" spans="31:31" x14ac:dyDescent="0.3">
      <c r="AE485" s="3"/>
    </row>
    <row r="486" spans="31:31" x14ac:dyDescent="0.3">
      <c r="AE486" s="3"/>
    </row>
    <row r="487" spans="31:31" x14ac:dyDescent="0.3">
      <c r="AE487" s="3"/>
    </row>
    <row r="488" spans="31:31" x14ac:dyDescent="0.3">
      <c r="AE488" s="3"/>
    </row>
    <row r="489" spans="31:31" x14ac:dyDescent="0.3">
      <c r="AE489" s="3"/>
    </row>
    <row r="490" spans="31:31" x14ac:dyDescent="0.3">
      <c r="AE490" s="3"/>
    </row>
    <row r="491" spans="31:31" x14ac:dyDescent="0.3">
      <c r="AE491" s="3"/>
    </row>
    <row r="492" spans="31:31" x14ac:dyDescent="0.3">
      <c r="AE492" s="3"/>
    </row>
    <row r="493" spans="31:31" x14ac:dyDescent="0.3">
      <c r="AE493" s="3"/>
    </row>
    <row r="494" spans="31:31" x14ac:dyDescent="0.3">
      <c r="AE494" s="3"/>
    </row>
    <row r="495" spans="31:31" x14ac:dyDescent="0.3">
      <c r="AE495" s="3"/>
    </row>
    <row r="496" spans="31:31" x14ac:dyDescent="0.3">
      <c r="AE496" s="3"/>
    </row>
    <row r="497" spans="31:31" x14ac:dyDescent="0.3">
      <c r="AE497" s="3"/>
    </row>
    <row r="498" spans="31:31" x14ac:dyDescent="0.3">
      <c r="AE498" s="3"/>
    </row>
    <row r="499" spans="31:31" x14ac:dyDescent="0.3">
      <c r="AE499" s="3"/>
    </row>
    <row r="500" spans="31:31" x14ac:dyDescent="0.3">
      <c r="AE500" s="3"/>
    </row>
    <row r="501" spans="31:31" x14ac:dyDescent="0.3">
      <c r="AE501" s="3"/>
    </row>
    <row r="502" spans="31:31" x14ac:dyDescent="0.3">
      <c r="AE502" s="3"/>
    </row>
    <row r="503" spans="31:31" x14ac:dyDescent="0.3">
      <c r="AE503" s="3"/>
    </row>
    <row r="504" spans="31:31" x14ac:dyDescent="0.3">
      <c r="AE504" s="3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0E53-2333-44F3-BC6F-75F93AB74A0A}">
  <dimension ref="A1:AM19"/>
  <sheetViews>
    <sheetView workbookViewId="0"/>
  </sheetViews>
  <sheetFormatPr defaultRowHeight="14.4" x14ac:dyDescent="0.3"/>
  <cols>
    <col min="3" max="3" width="10.5546875" bestFit="1" customWidth="1"/>
    <col min="14" max="14" width="10.5546875" bestFit="1" customWidth="1"/>
    <col min="28" max="28" width="10.5546875" bestFit="1" customWidth="1"/>
  </cols>
  <sheetData>
    <row r="1" spans="1:39" x14ac:dyDescent="0.3">
      <c r="A1" s="5"/>
      <c r="B1" s="5" t="s">
        <v>2</v>
      </c>
      <c r="C1" s="5" t="s">
        <v>2</v>
      </c>
      <c r="D1" t="s">
        <v>2</v>
      </c>
      <c r="E1" t="s">
        <v>2</v>
      </c>
      <c r="F1" t="s">
        <v>2</v>
      </c>
      <c r="G1" s="5" t="s">
        <v>2</v>
      </c>
      <c r="H1" t="s">
        <v>27</v>
      </c>
      <c r="I1" t="s">
        <v>27</v>
      </c>
      <c r="J1" t="s">
        <v>27</v>
      </c>
      <c r="K1" t="s">
        <v>27</v>
      </c>
      <c r="L1" s="5" t="s">
        <v>27</v>
      </c>
      <c r="M1" s="5" t="s">
        <v>27</v>
      </c>
      <c r="N1" s="5" t="s">
        <v>28</v>
      </c>
      <c r="O1" t="s">
        <v>28</v>
      </c>
      <c r="P1" t="s">
        <v>28</v>
      </c>
      <c r="Q1" t="s">
        <v>28</v>
      </c>
      <c r="R1" s="5" t="s">
        <v>28</v>
      </c>
      <c r="S1" s="5" t="s">
        <v>28</v>
      </c>
      <c r="T1" s="5" t="s">
        <v>28</v>
      </c>
      <c r="U1" s="5" t="s">
        <v>46</v>
      </c>
      <c r="V1" s="5" t="s">
        <v>46</v>
      </c>
      <c r="W1" s="5" t="s">
        <v>46</v>
      </c>
      <c r="X1" s="5" t="s">
        <v>46</v>
      </c>
      <c r="Y1" s="5" t="s">
        <v>46</v>
      </c>
      <c r="Z1" s="5" t="s">
        <v>46</v>
      </c>
      <c r="AB1" s="5" t="s">
        <v>69</v>
      </c>
      <c r="AC1" s="5" t="s">
        <v>69</v>
      </c>
      <c r="AD1" s="5" t="s">
        <v>69</v>
      </c>
      <c r="AE1" s="5" t="s">
        <v>69</v>
      </c>
      <c r="AF1" s="5" t="s">
        <v>69</v>
      </c>
      <c r="AG1" s="5" t="s">
        <v>69</v>
      </c>
      <c r="AH1" s="5" t="s">
        <v>69</v>
      </c>
      <c r="AI1" s="5" t="s">
        <v>69</v>
      </c>
      <c r="AJ1" t="s">
        <v>69</v>
      </c>
      <c r="AK1" s="5" t="s">
        <v>69</v>
      </c>
      <c r="AL1" s="5" t="s">
        <v>69</v>
      </c>
      <c r="AM1" s="5" t="s">
        <v>69</v>
      </c>
    </row>
    <row r="2" spans="1:39" x14ac:dyDescent="0.3">
      <c r="A2" s="5"/>
      <c r="B2" s="5"/>
      <c r="C2" s="5"/>
      <c r="G2" s="5"/>
      <c r="I2" t="s">
        <v>36</v>
      </c>
      <c r="J2" t="s">
        <v>39</v>
      </c>
      <c r="K2" t="s">
        <v>40</v>
      </c>
      <c r="L2" s="5"/>
      <c r="M2" s="5"/>
      <c r="N2" s="5"/>
      <c r="R2" s="5"/>
      <c r="S2" s="5"/>
      <c r="T2" s="5"/>
      <c r="U2" s="5"/>
      <c r="V2" s="5"/>
      <c r="W2" s="5"/>
      <c r="X2" s="5"/>
      <c r="Y2" s="5"/>
      <c r="Z2" s="5"/>
      <c r="AB2" s="5"/>
      <c r="AC2" s="5"/>
      <c r="AD2" s="5"/>
      <c r="AE2" s="5"/>
      <c r="AF2" s="5"/>
      <c r="AG2" s="5"/>
      <c r="AH2" s="5"/>
      <c r="AI2" s="5"/>
      <c r="AK2" s="5"/>
      <c r="AL2" s="5"/>
      <c r="AM2" s="5"/>
    </row>
    <row r="3" spans="1:39" x14ac:dyDescent="0.3">
      <c r="A3" s="5"/>
      <c r="B3" s="5"/>
      <c r="C3" s="5"/>
      <c r="D3" t="s">
        <v>4</v>
      </c>
      <c r="E3" t="s">
        <v>4</v>
      </c>
      <c r="F3" t="s">
        <v>72</v>
      </c>
      <c r="G3" s="5"/>
      <c r="H3" t="s">
        <v>42</v>
      </c>
      <c r="I3" t="s">
        <v>38</v>
      </c>
      <c r="J3" t="s">
        <v>37</v>
      </c>
      <c r="K3" t="s">
        <v>37</v>
      </c>
      <c r="L3" s="5"/>
      <c r="M3" s="5"/>
      <c r="N3" s="5" t="s">
        <v>74</v>
      </c>
      <c r="O3" t="s">
        <v>29</v>
      </c>
      <c r="P3" t="s">
        <v>32</v>
      </c>
      <c r="Q3" t="s">
        <v>31</v>
      </c>
      <c r="R3" s="5"/>
      <c r="S3" s="5"/>
      <c r="T3" s="5"/>
      <c r="U3" s="5"/>
      <c r="V3" s="5"/>
      <c r="W3" s="5"/>
      <c r="X3" s="5"/>
      <c r="Y3" s="5"/>
      <c r="Z3" s="5"/>
      <c r="AB3" s="5"/>
      <c r="AC3" s="5"/>
      <c r="AD3" s="5"/>
      <c r="AE3" s="5"/>
      <c r="AF3" s="5"/>
      <c r="AG3" s="5"/>
      <c r="AH3" s="5"/>
      <c r="AI3" s="5"/>
      <c r="AK3" s="5"/>
      <c r="AL3" s="5"/>
      <c r="AM3" s="5"/>
    </row>
    <row r="4" spans="1:39" x14ac:dyDescent="0.3">
      <c r="A4" s="5" t="s">
        <v>50</v>
      </c>
      <c r="B4" s="5" t="s">
        <v>91</v>
      </c>
      <c r="C4" s="5" t="s">
        <v>92</v>
      </c>
      <c r="D4" t="s">
        <v>5</v>
      </c>
      <c r="E4" t="s">
        <v>15</v>
      </c>
      <c r="F4" t="s">
        <v>15</v>
      </c>
      <c r="G4" s="5" t="s">
        <v>19</v>
      </c>
      <c r="H4" t="s">
        <v>38</v>
      </c>
      <c r="I4" t="s">
        <v>5</v>
      </c>
      <c r="J4" t="s">
        <v>41</v>
      </c>
      <c r="K4" t="s">
        <v>41</v>
      </c>
      <c r="L4" s="5" t="s">
        <v>21</v>
      </c>
      <c r="M4" s="5" t="s">
        <v>22</v>
      </c>
      <c r="N4" s="5" t="s">
        <v>73</v>
      </c>
      <c r="O4" t="s">
        <v>5</v>
      </c>
      <c r="P4" t="s">
        <v>5</v>
      </c>
      <c r="Q4" t="s">
        <v>77</v>
      </c>
      <c r="R4" s="5" t="s">
        <v>24</v>
      </c>
      <c r="S4" s="5" t="s">
        <v>25</v>
      </c>
      <c r="T4" s="5" t="s">
        <v>26</v>
      </c>
      <c r="U4" s="5" t="s">
        <v>43</v>
      </c>
      <c r="V4" s="5" t="s">
        <v>44</v>
      </c>
      <c r="W4" s="5" t="s">
        <v>45</v>
      </c>
      <c r="X4" s="5" t="s">
        <v>47</v>
      </c>
      <c r="Y4" s="5" t="s">
        <v>48</v>
      </c>
      <c r="Z4" s="5" t="s">
        <v>49</v>
      </c>
      <c r="AA4" t="s">
        <v>70</v>
      </c>
      <c r="AB4" s="5" t="s">
        <v>75</v>
      </c>
      <c r="AC4" s="5" t="s">
        <v>55</v>
      </c>
      <c r="AD4" s="5" t="s">
        <v>56</v>
      </c>
      <c r="AE4" s="5" t="s">
        <v>57</v>
      </c>
      <c r="AF4" s="5" t="s">
        <v>58</v>
      </c>
      <c r="AG4" s="5" t="s">
        <v>59</v>
      </c>
      <c r="AH4" s="5" t="s">
        <v>60</v>
      </c>
      <c r="AI4" s="5" t="s">
        <v>61</v>
      </c>
      <c r="AJ4" t="s">
        <v>66</v>
      </c>
      <c r="AK4" s="5" t="s">
        <v>62</v>
      </c>
      <c r="AL4" s="5" t="s">
        <v>63</v>
      </c>
      <c r="AM4" s="5" t="s">
        <v>64</v>
      </c>
    </row>
    <row r="5" spans="1:39" x14ac:dyDescent="0.3">
      <c r="A5" s="5"/>
      <c r="B5" s="5"/>
      <c r="C5" s="5"/>
      <c r="D5" t="s">
        <v>6</v>
      </c>
      <c r="E5" t="s">
        <v>6</v>
      </c>
      <c r="F5" t="s">
        <v>6</v>
      </c>
      <c r="G5" s="5" t="s">
        <v>20</v>
      </c>
      <c r="H5" t="s">
        <v>35</v>
      </c>
      <c r="I5" t="s">
        <v>35</v>
      </c>
      <c r="J5" t="s">
        <v>35</v>
      </c>
      <c r="K5" t="s">
        <v>35</v>
      </c>
      <c r="L5" s="5" t="s">
        <v>23</v>
      </c>
      <c r="M5" s="5" t="s">
        <v>20</v>
      </c>
      <c r="N5" s="5"/>
      <c r="O5" t="s">
        <v>30</v>
      </c>
      <c r="P5" t="s">
        <v>30</v>
      </c>
      <c r="Q5" t="s">
        <v>30</v>
      </c>
      <c r="R5" s="5" t="s">
        <v>33</v>
      </c>
      <c r="S5" s="5" t="s">
        <v>33</v>
      </c>
      <c r="T5" s="5" t="s">
        <v>33</v>
      </c>
      <c r="U5" s="5" t="s">
        <v>20</v>
      </c>
      <c r="V5" s="5" t="s">
        <v>20</v>
      </c>
      <c r="W5" s="5" t="s">
        <v>20</v>
      </c>
      <c r="X5" s="5" t="s">
        <v>20</v>
      </c>
      <c r="Y5" s="5" t="s">
        <v>20</v>
      </c>
      <c r="Z5" s="5" t="s">
        <v>20</v>
      </c>
      <c r="AB5" s="5"/>
      <c r="AC5" s="5"/>
      <c r="AD5" s="5" t="s">
        <v>71</v>
      </c>
      <c r="AE5" s="5" t="s">
        <v>23</v>
      </c>
      <c r="AF5" s="5" t="s">
        <v>67</v>
      </c>
      <c r="AG5" s="5" t="s">
        <v>23</v>
      </c>
      <c r="AH5" s="5" t="s">
        <v>68</v>
      </c>
      <c r="AI5" s="5"/>
      <c r="AK5" s="5"/>
      <c r="AL5" s="5" t="s">
        <v>23</v>
      </c>
      <c r="AM5" s="5" t="s">
        <v>23</v>
      </c>
    </row>
    <row r="6" spans="1:39" x14ac:dyDescent="0.3">
      <c r="A6" s="5" t="s">
        <v>50</v>
      </c>
      <c r="B6" s="5" t="s">
        <v>91</v>
      </c>
      <c r="C6" s="5" t="s">
        <v>92</v>
      </c>
      <c r="G6" s="5" t="s">
        <v>19</v>
      </c>
      <c r="L6" s="5" t="s">
        <v>21</v>
      </c>
      <c r="M6" s="5" t="s">
        <v>22</v>
      </c>
      <c r="N6" s="5" t="s">
        <v>73</v>
      </c>
      <c r="R6" s="5" t="s">
        <v>24</v>
      </c>
      <c r="S6" s="5" t="s">
        <v>25</v>
      </c>
      <c r="T6" s="5" t="s">
        <v>26</v>
      </c>
      <c r="U6" s="5" t="s">
        <v>43</v>
      </c>
      <c r="V6" s="5" t="s">
        <v>44</v>
      </c>
      <c r="W6" s="5" t="s">
        <v>45</v>
      </c>
      <c r="X6" s="5" t="s">
        <v>47</v>
      </c>
      <c r="Y6" s="5" t="s">
        <v>48</v>
      </c>
      <c r="Z6" s="5" t="s">
        <v>49</v>
      </c>
      <c r="AB6" s="5" t="s">
        <v>75</v>
      </c>
      <c r="AC6" s="5" t="s">
        <v>55</v>
      </c>
      <c r="AD6" s="5" t="s">
        <v>56</v>
      </c>
      <c r="AE6" s="5" t="s">
        <v>57</v>
      </c>
      <c r="AF6" s="5" t="s">
        <v>58</v>
      </c>
      <c r="AG6" s="5" t="s">
        <v>59</v>
      </c>
      <c r="AH6" s="5" t="s">
        <v>60</v>
      </c>
      <c r="AI6" s="5" t="s">
        <v>61</v>
      </c>
      <c r="AJ6" t="s">
        <v>66</v>
      </c>
      <c r="AK6" s="5" t="s">
        <v>62</v>
      </c>
      <c r="AL6" s="5" t="s">
        <v>63</v>
      </c>
      <c r="AM6" s="5" t="s">
        <v>64</v>
      </c>
    </row>
    <row r="7" spans="1:39" x14ac:dyDescent="0.3">
      <c r="A7" s="5" t="s">
        <v>525</v>
      </c>
      <c r="B7" s="5" t="s">
        <v>93</v>
      </c>
      <c r="C7" s="14">
        <v>45243</v>
      </c>
      <c r="D7" s="3">
        <v>338.29999999999995</v>
      </c>
      <c r="E7" s="3">
        <v>327.25999999999993</v>
      </c>
      <c r="F7" s="3">
        <v>41.324999999999996</v>
      </c>
      <c r="G7" s="6">
        <v>2742.5722985564298</v>
      </c>
      <c r="H7" s="4">
        <v>17.649999999999999</v>
      </c>
      <c r="I7" s="4">
        <v>388.99</v>
      </c>
      <c r="J7" s="4">
        <v>371.34000000000003</v>
      </c>
      <c r="K7" s="4">
        <v>351.27</v>
      </c>
      <c r="L7" s="7">
        <v>5.404750363548243</v>
      </c>
      <c r="M7" s="6">
        <v>2594.3431122796278</v>
      </c>
      <c r="N7" s="14">
        <v>45244</v>
      </c>
      <c r="O7" s="4">
        <v>10.399999999999999</v>
      </c>
      <c r="P7" s="13">
        <v>4.01</v>
      </c>
      <c r="Q7" s="13">
        <v>7.9649999999999999</v>
      </c>
      <c r="R7" s="8">
        <v>0.34519735158982151</v>
      </c>
      <c r="S7" s="8">
        <v>0.45729132617746232</v>
      </c>
      <c r="T7" s="8">
        <v>0.19751132223271622</v>
      </c>
      <c r="U7" s="6">
        <v>946.72869400528884</v>
      </c>
      <c r="V7" s="6">
        <v>1254.154523544441</v>
      </c>
      <c r="W7" s="6">
        <v>2200.88321754973</v>
      </c>
      <c r="X7" s="6">
        <v>895.56037147422251</v>
      </c>
      <c r="Y7" s="6">
        <v>1186.3706023737161</v>
      </c>
      <c r="Z7" s="6">
        <v>2081.9309738479387</v>
      </c>
      <c r="AB7" s="14">
        <v>45295</v>
      </c>
      <c r="AC7" s="6">
        <v>50.2</v>
      </c>
      <c r="AD7" s="11">
        <v>1.0865</v>
      </c>
      <c r="AE7" s="6">
        <v>81</v>
      </c>
      <c r="AF7" s="6">
        <v>27.8</v>
      </c>
      <c r="AG7" s="6">
        <v>5.2</v>
      </c>
      <c r="AH7" s="6">
        <v>78.95</v>
      </c>
      <c r="AI7" s="6">
        <v>9</v>
      </c>
      <c r="AK7" s="12">
        <v>12.5</v>
      </c>
      <c r="AL7" s="7">
        <v>0.28999999999999998</v>
      </c>
      <c r="AM7" s="6">
        <v>11.05</v>
      </c>
    </row>
    <row r="8" spans="1:39" x14ac:dyDescent="0.3">
      <c r="A8" s="5" t="s">
        <v>526</v>
      </c>
      <c r="B8" s="5" t="s">
        <v>93</v>
      </c>
      <c r="C8" s="14">
        <v>45243</v>
      </c>
      <c r="D8" s="3">
        <v>512.4</v>
      </c>
      <c r="E8" s="3">
        <v>501.35999999999996</v>
      </c>
      <c r="F8" s="3">
        <v>39.731250000000003</v>
      </c>
      <c r="G8" s="6">
        <v>4026.1591579724404</v>
      </c>
      <c r="H8" s="4">
        <v>17.64</v>
      </c>
      <c r="I8" s="4">
        <v>384.29999999999995</v>
      </c>
      <c r="J8" s="4">
        <v>366.65999999999997</v>
      </c>
      <c r="K8" s="4">
        <v>346.25</v>
      </c>
      <c r="L8" s="7">
        <v>5.5664648448153518</v>
      </c>
      <c r="M8" s="6">
        <v>3802.0444238475907</v>
      </c>
      <c r="N8" s="14">
        <v>45244</v>
      </c>
      <c r="O8" s="4">
        <v>15.78</v>
      </c>
      <c r="P8" s="13">
        <v>6.2750000000000004</v>
      </c>
      <c r="Q8" s="13">
        <v>10.425000000000001</v>
      </c>
      <c r="R8" s="8">
        <v>0.37174466238976439</v>
      </c>
      <c r="S8" s="8">
        <v>0.4572765283292059</v>
      </c>
      <c r="T8" s="8">
        <v>0.17097880928102965</v>
      </c>
      <c r="U8" s="6">
        <v>1496.7031769079229</v>
      </c>
      <c r="V8" s="6">
        <v>1841.0680822584764</v>
      </c>
      <c r="W8" s="6">
        <v>3337.7712591663994</v>
      </c>
      <c r="X8" s="6">
        <v>1413.3897207341088</v>
      </c>
      <c r="Y8" s="6">
        <v>1738.5856746904421</v>
      </c>
      <c r="Z8" s="6">
        <v>3151.9753954245507</v>
      </c>
      <c r="AB8" s="14">
        <v>45295</v>
      </c>
      <c r="AC8" s="6">
        <v>48.45</v>
      </c>
      <c r="AD8" s="11">
        <v>1.0880000000000001</v>
      </c>
      <c r="AE8" s="6">
        <v>79.849999999999994</v>
      </c>
      <c r="AF8" s="6">
        <v>28.5</v>
      </c>
      <c r="AG8" s="6">
        <v>5.2</v>
      </c>
      <c r="AH8" s="6">
        <v>79.5</v>
      </c>
      <c r="AI8" s="6">
        <v>9.0500000000000007</v>
      </c>
      <c r="AK8" s="12">
        <v>12</v>
      </c>
      <c r="AL8" s="7">
        <v>0.21500000000000002</v>
      </c>
      <c r="AM8" s="6">
        <v>12.7</v>
      </c>
    </row>
    <row r="9" spans="1:39" x14ac:dyDescent="0.3">
      <c r="A9" s="5" t="s">
        <v>536</v>
      </c>
      <c r="B9" s="5" t="s">
        <v>93</v>
      </c>
      <c r="C9" s="14">
        <v>45243</v>
      </c>
      <c r="D9" s="3">
        <v>580.70000000000005</v>
      </c>
      <c r="E9" s="3">
        <v>569.66000000000008</v>
      </c>
      <c r="F9" s="3">
        <v>43.856250000000003</v>
      </c>
      <c r="G9" s="6">
        <v>4565.0600864501321</v>
      </c>
      <c r="H9" s="4">
        <v>17.649999999999999</v>
      </c>
      <c r="I9" s="4">
        <v>389.85</v>
      </c>
      <c r="J9" s="4">
        <v>372.2</v>
      </c>
      <c r="K9" s="4">
        <v>352.08000000000004</v>
      </c>
      <c r="L9" s="7">
        <v>5.4056958624395346</v>
      </c>
      <c r="M9" s="6">
        <v>4318.2868222390189</v>
      </c>
      <c r="N9" s="14">
        <v>45244</v>
      </c>
      <c r="O9" s="4">
        <v>16.77</v>
      </c>
      <c r="P9" s="13">
        <v>6.6549999999999994</v>
      </c>
      <c r="Q9" s="13">
        <v>10.96</v>
      </c>
      <c r="R9" s="8">
        <v>0.3724768220717346</v>
      </c>
      <c r="S9" s="8">
        <v>0.46230910767728023</v>
      </c>
      <c r="T9" s="8">
        <v>0.16521407025098517</v>
      </c>
      <c r="U9" s="6">
        <v>1700.3790735674631</v>
      </c>
      <c r="V9" s="6">
        <v>2110.4688550599285</v>
      </c>
      <c r="W9" s="6">
        <v>3810.8479286273914</v>
      </c>
      <c r="X9" s="6">
        <v>1608.4617523418392</v>
      </c>
      <c r="Y9" s="6">
        <v>1996.3833274838789</v>
      </c>
      <c r="Z9" s="6">
        <v>3604.8450798257181</v>
      </c>
      <c r="AB9" s="14">
        <v>45295</v>
      </c>
      <c r="AC9" s="6">
        <v>48.3</v>
      </c>
      <c r="AD9" s="11">
        <v>1.1145</v>
      </c>
      <c r="AE9" s="6">
        <v>81.5</v>
      </c>
      <c r="AF9" s="6">
        <v>29.049999999999997</v>
      </c>
      <c r="AG9" s="6">
        <v>5.05</v>
      </c>
      <c r="AH9" s="6">
        <v>80.5</v>
      </c>
      <c r="AI9" s="6">
        <v>8.6999999999999993</v>
      </c>
      <c r="AK9" s="12">
        <v>12.5</v>
      </c>
      <c r="AL9" s="7">
        <v>0.13</v>
      </c>
      <c r="AM9" s="6">
        <v>10.15</v>
      </c>
    </row>
    <row r="10" spans="1:39" x14ac:dyDescent="0.3">
      <c r="A10" s="5" t="s">
        <v>535</v>
      </c>
      <c r="B10" s="5" t="s">
        <v>93</v>
      </c>
      <c r="C10" s="14">
        <v>45243</v>
      </c>
      <c r="D10" s="3">
        <v>518.40000000000009</v>
      </c>
      <c r="E10" s="3">
        <v>507.36000000000007</v>
      </c>
      <c r="F10" s="3">
        <v>35.137499999999989</v>
      </c>
      <c r="G10" s="6">
        <v>4036.6228021653542</v>
      </c>
      <c r="H10" s="4">
        <v>17.72</v>
      </c>
      <c r="I10" s="4">
        <v>424.25</v>
      </c>
      <c r="J10" s="4">
        <v>406.53</v>
      </c>
      <c r="K10" s="4">
        <v>384.74</v>
      </c>
      <c r="L10" s="7">
        <v>5.3599980321255414</v>
      </c>
      <c r="M10" s="6">
        <v>3820.2598994049599</v>
      </c>
      <c r="N10" s="14">
        <v>45244</v>
      </c>
      <c r="O10" s="4">
        <v>15.39</v>
      </c>
      <c r="P10" s="13">
        <v>6.0600000000000005</v>
      </c>
      <c r="Q10" s="13">
        <v>10.39</v>
      </c>
      <c r="R10" s="8">
        <v>0.367068177629709</v>
      </c>
      <c r="S10" s="8">
        <v>0.4668498110683526</v>
      </c>
      <c r="T10" s="8">
        <v>0.16608201130193839</v>
      </c>
      <c r="U10" s="6">
        <v>1481.715775769366</v>
      </c>
      <c r="V10" s="6">
        <v>1884.4965925450997</v>
      </c>
      <c r="W10" s="6">
        <v>3366.2123683144655</v>
      </c>
      <c r="X10" s="6">
        <v>1402.2958393464341</v>
      </c>
      <c r="Y10" s="6">
        <v>1783.4876122692092</v>
      </c>
      <c r="Z10" s="6">
        <v>3185.7834516156436</v>
      </c>
      <c r="AB10" s="14">
        <v>45295</v>
      </c>
      <c r="AC10" s="6">
        <v>47.95</v>
      </c>
      <c r="AD10" s="11">
        <v>1.1404999999999998</v>
      </c>
      <c r="AE10" s="6">
        <v>81.75</v>
      </c>
      <c r="AF10" s="6">
        <v>30.1</v>
      </c>
      <c r="AG10" s="6">
        <v>5.25</v>
      </c>
      <c r="AH10" s="6">
        <v>80.55</v>
      </c>
      <c r="AI10" s="6">
        <v>8.75</v>
      </c>
      <c r="AK10" s="12">
        <v>10</v>
      </c>
      <c r="AL10" s="7">
        <v>0.18</v>
      </c>
      <c r="AM10" s="6">
        <v>9.3000000000000007</v>
      </c>
    </row>
    <row r="11" spans="1:39" x14ac:dyDescent="0.3">
      <c r="A11" s="5" t="s">
        <v>534</v>
      </c>
      <c r="B11" s="5" t="s">
        <v>93</v>
      </c>
      <c r="C11" s="14">
        <v>45243</v>
      </c>
      <c r="D11" s="3">
        <v>552.9</v>
      </c>
      <c r="E11" s="3">
        <v>541.86</v>
      </c>
      <c r="F11" s="3">
        <v>38.606250000000017</v>
      </c>
      <c r="G11" s="6">
        <v>4319.1411953740162</v>
      </c>
      <c r="H11" s="4">
        <v>17.75</v>
      </c>
      <c r="I11" s="4">
        <v>397.5</v>
      </c>
      <c r="J11" s="4">
        <v>379.75</v>
      </c>
      <c r="K11" s="4">
        <v>359.73</v>
      </c>
      <c r="L11" s="7">
        <v>5.2718894009216539</v>
      </c>
      <c r="M11" s="6">
        <v>4091.4408484842525</v>
      </c>
      <c r="N11" s="14">
        <v>45244</v>
      </c>
      <c r="O11" s="4">
        <v>19.39</v>
      </c>
      <c r="P11" s="13">
        <v>7.68</v>
      </c>
      <c r="Q11" s="13">
        <v>12.32</v>
      </c>
      <c r="R11" s="8">
        <v>0.37506531702409623</v>
      </c>
      <c r="S11" s="8">
        <v>0.47014932937815329</v>
      </c>
      <c r="T11" s="8">
        <v>0.15478535359775042</v>
      </c>
      <c r="U11" s="6">
        <v>1619.9600617147894</v>
      </c>
      <c r="V11" s="6">
        <v>2030.6413364946491</v>
      </c>
      <c r="W11" s="6">
        <v>3650.6013982094382</v>
      </c>
      <c r="X11" s="6">
        <v>1534.5575589220834</v>
      </c>
      <c r="Y11" s="6">
        <v>1923.5881711052539</v>
      </c>
      <c r="Z11" s="6">
        <v>3458.1457300273373</v>
      </c>
      <c r="AB11" s="14">
        <v>45295</v>
      </c>
      <c r="AC11" s="6">
        <v>49.5</v>
      </c>
      <c r="AD11" s="11">
        <v>1.1265000000000001</v>
      </c>
      <c r="AE11" s="6">
        <v>81.2</v>
      </c>
      <c r="AF11" s="6">
        <v>29.5</v>
      </c>
      <c r="AG11" s="6">
        <v>5.3</v>
      </c>
      <c r="AH11" s="6">
        <v>80.5</v>
      </c>
      <c r="AI11" s="6">
        <v>8.6999999999999993</v>
      </c>
      <c r="AK11" s="12">
        <v>11</v>
      </c>
      <c r="AL11" s="7">
        <v>0.115</v>
      </c>
      <c r="AM11" s="6">
        <v>11.05</v>
      </c>
    </row>
    <row r="12" spans="1:39" x14ac:dyDescent="0.3">
      <c r="A12" s="5" t="s">
        <v>533</v>
      </c>
      <c r="B12" s="5" t="s">
        <v>93</v>
      </c>
      <c r="C12" s="14">
        <v>45243</v>
      </c>
      <c r="D12" s="3">
        <v>521.20000000000005</v>
      </c>
      <c r="E12" s="3">
        <v>510.16</v>
      </c>
      <c r="F12" s="3">
        <v>42.543749999999996</v>
      </c>
      <c r="G12" s="6">
        <v>4112.5656064632549</v>
      </c>
      <c r="H12" s="4">
        <v>19.510000000000002</v>
      </c>
      <c r="I12" s="4">
        <v>385.42</v>
      </c>
      <c r="J12" s="4">
        <v>365.91</v>
      </c>
      <c r="K12" s="4">
        <v>347.37</v>
      </c>
      <c r="L12" s="7">
        <v>5.066819709764701</v>
      </c>
      <c r="M12" s="6">
        <v>3904.1893217379702</v>
      </c>
      <c r="N12" s="14">
        <v>45244</v>
      </c>
      <c r="O12" s="4">
        <v>17.12</v>
      </c>
      <c r="P12" s="13">
        <v>6.7</v>
      </c>
      <c r="Q12" s="13">
        <v>11.295</v>
      </c>
      <c r="R12" s="8">
        <v>0.36736585729119114</v>
      </c>
      <c r="S12" s="8">
        <v>0.47267820132235228</v>
      </c>
      <c r="T12" s="8">
        <v>0.15995594138645663</v>
      </c>
      <c r="U12" s="6">
        <v>1510.8161896846411</v>
      </c>
      <c r="V12" s="6">
        <v>1943.9201136832203</v>
      </c>
      <c r="W12" s="6">
        <v>3454.7363033678612</v>
      </c>
      <c r="X12" s="6">
        <v>1434.2658572073835</v>
      </c>
      <c r="Y12" s="6">
        <v>1845.4251862210383</v>
      </c>
      <c r="Z12" s="6">
        <v>3279.6910434284218</v>
      </c>
      <c r="AB12" s="14">
        <v>45295</v>
      </c>
      <c r="AC12" s="6">
        <v>46.900000000000006</v>
      </c>
      <c r="AD12" s="11">
        <v>1.1325000000000001</v>
      </c>
      <c r="AE12" s="6">
        <v>81.650000000000006</v>
      </c>
      <c r="AF12" s="6">
        <v>29.549999999999997</v>
      </c>
      <c r="AG12" s="6">
        <v>5.35</v>
      </c>
      <c r="AH12" s="6">
        <v>81.050000000000011</v>
      </c>
      <c r="AI12" s="6">
        <v>8.75</v>
      </c>
      <c r="AK12" s="12">
        <v>11</v>
      </c>
      <c r="AL12" s="7">
        <v>0.16999999999999998</v>
      </c>
      <c r="AM12" s="6">
        <v>10.3</v>
      </c>
    </row>
    <row r="13" spans="1:39" x14ac:dyDescent="0.3">
      <c r="A13" s="5" t="s">
        <v>532</v>
      </c>
      <c r="B13" s="5" t="s">
        <v>93</v>
      </c>
      <c r="C13" s="14">
        <v>45243</v>
      </c>
      <c r="D13" s="3">
        <v>544.6</v>
      </c>
      <c r="E13" s="3">
        <v>533.56000000000006</v>
      </c>
      <c r="F13" s="3">
        <v>29.699999999999985</v>
      </c>
      <c r="G13" s="6">
        <v>4191.1126955380569</v>
      </c>
      <c r="H13" s="4">
        <v>19.41</v>
      </c>
      <c r="I13" s="4">
        <v>386.49</v>
      </c>
      <c r="J13" s="4">
        <v>367.08000000000004</v>
      </c>
      <c r="K13" s="4">
        <v>348.90999999999997</v>
      </c>
      <c r="L13" s="7">
        <v>4.9498746867168109</v>
      </c>
      <c r="M13" s="6">
        <v>3983.6578691298437</v>
      </c>
      <c r="N13" s="14">
        <v>45244</v>
      </c>
      <c r="O13" s="4">
        <v>17.54</v>
      </c>
      <c r="P13" s="13">
        <v>6.8</v>
      </c>
      <c r="Q13" s="13">
        <v>11.42</v>
      </c>
      <c r="R13" s="8">
        <v>0.36419499786043036</v>
      </c>
      <c r="S13" s="8">
        <v>0.46838420186668556</v>
      </c>
      <c r="T13" s="8">
        <v>0.16742080027288403</v>
      </c>
      <c r="U13" s="6">
        <v>1526.3822791843052</v>
      </c>
      <c r="V13" s="6">
        <v>1963.0509748329259</v>
      </c>
      <c r="W13" s="6">
        <v>3489.4332540172309</v>
      </c>
      <c r="X13" s="6">
        <v>1450.8282691244299</v>
      </c>
      <c r="Y13" s="6">
        <v>1865.8824115423231</v>
      </c>
      <c r="Z13" s="6">
        <v>3316.710680666753</v>
      </c>
      <c r="AB13" s="14">
        <v>45295</v>
      </c>
      <c r="AC13" s="6">
        <v>47.45</v>
      </c>
      <c r="AD13" s="11">
        <v>1.1214999999999999</v>
      </c>
      <c r="AE13" s="6">
        <v>80.400000000000006</v>
      </c>
      <c r="AF13" s="6">
        <v>29.25</v>
      </c>
      <c r="AG13" s="6">
        <v>5.4</v>
      </c>
      <c r="AH13" s="6">
        <v>80.3</v>
      </c>
      <c r="AI13" s="6">
        <v>9.1000000000000014</v>
      </c>
      <c r="AK13" s="12">
        <v>9.5</v>
      </c>
      <c r="AL13" s="7">
        <v>0.125</v>
      </c>
      <c r="AM13" s="6">
        <v>11.4</v>
      </c>
    </row>
    <row r="14" spans="1:39" x14ac:dyDescent="0.3">
      <c r="A14" s="5" t="s">
        <v>531</v>
      </c>
      <c r="B14" s="5" t="s">
        <v>93</v>
      </c>
      <c r="C14" s="14">
        <v>45243</v>
      </c>
      <c r="D14" s="3">
        <v>607.19999999999993</v>
      </c>
      <c r="E14" s="3">
        <v>596.16</v>
      </c>
      <c r="F14" s="3">
        <v>31.200000000000021</v>
      </c>
      <c r="G14" s="6">
        <v>4668.0688503937008</v>
      </c>
      <c r="H14" s="4">
        <v>19.46</v>
      </c>
      <c r="I14" s="4">
        <v>386.4</v>
      </c>
      <c r="J14" s="4">
        <v>366.94</v>
      </c>
      <c r="K14" s="4">
        <v>350.3</v>
      </c>
      <c r="L14" s="7">
        <v>4.5348013299176939</v>
      </c>
      <c r="M14" s="6">
        <v>4456.3812020845735</v>
      </c>
      <c r="N14" s="14">
        <v>45244</v>
      </c>
      <c r="O14" s="4">
        <v>19.22</v>
      </c>
      <c r="P14" s="13">
        <v>7.5150000000000006</v>
      </c>
      <c r="Q14" s="13">
        <v>12.355</v>
      </c>
      <c r="R14" s="8">
        <v>0.36968104130364432</v>
      </c>
      <c r="S14" s="8">
        <v>0.47626150552066387</v>
      </c>
      <c r="T14" s="8">
        <v>0.15405745317569181</v>
      </c>
      <c r="U14" s="6">
        <v>1725.6965534906492</v>
      </c>
      <c r="V14" s="6">
        <v>2223.2214985626188</v>
      </c>
      <c r="W14" s="6">
        <v>3948.9180520532682</v>
      </c>
      <c r="X14" s="6">
        <v>1647.4396432326114</v>
      </c>
      <c r="Y14" s="6">
        <v>2122.4028204787846</v>
      </c>
      <c r="Z14" s="6">
        <v>3769.8424637113958</v>
      </c>
      <c r="AB14" s="14">
        <v>45295</v>
      </c>
      <c r="AC14" s="6">
        <v>49.349999999999994</v>
      </c>
      <c r="AD14" s="11">
        <v>1.0925</v>
      </c>
      <c r="AE14" s="6">
        <v>79.5</v>
      </c>
      <c r="AF14" s="6">
        <v>28.7</v>
      </c>
      <c r="AG14" s="6">
        <v>5.3000000000000007</v>
      </c>
      <c r="AH14" s="6">
        <v>80.599999999999994</v>
      </c>
      <c r="AI14" s="6">
        <v>9.15</v>
      </c>
      <c r="AK14" s="12">
        <v>6</v>
      </c>
      <c r="AL14" s="7">
        <v>7.4999999999999997E-2</v>
      </c>
      <c r="AM14" s="6">
        <v>13.35</v>
      </c>
    </row>
    <row r="15" spans="1:39" x14ac:dyDescent="0.3">
      <c r="A15" s="5" t="s">
        <v>530</v>
      </c>
      <c r="B15" s="5" t="s">
        <v>93</v>
      </c>
      <c r="C15" s="14">
        <v>45243</v>
      </c>
      <c r="D15" s="3">
        <v>593.5</v>
      </c>
      <c r="E15" s="3">
        <v>582.46</v>
      </c>
      <c r="F15" s="3">
        <v>37.200000000000017</v>
      </c>
      <c r="G15" s="6">
        <v>4610.7745853018378</v>
      </c>
      <c r="H15" s="4">
        <v>19.59</v>
      </c>
      <c r="I15" s="4">
        <v>372.76</v>
      </c>
      <c r="J15" s="4">
        <v>353.16999999999996</v>
      </c>
      <c r="K15" s="4">
        <v>333.56</v>
      </c>
      <c r="L15" s="7">
        <v>5.552566752555415</v>
      </c>
      <c r="M15" s="6">
        <v>4354.7582486430929</v>
      </c>
      <c r="N15" s="14">
        <v>45244</v>
      </c>
      <c r="O15" s="4">
        <v>18.329999999999998</v>
      </c>
      <c r="P15" s="13">
        <v>7.2949999999999999</v>
      </c>
      <c r="Q15" s="13">
        <v>11.844999999999999</v>
      </c>
      <c r="R15" s="8">
        <v>0.3757670113137011</v>
      </c>
      <c r="S15" s="8">
        <v>0.47145333688073171</v>
      </c>
      <c r="T15" s="8">
        <v>0.15277965180556724</v>
      </c>
      <c r="U15" s="6">
        <v>1732.5769857600412</v>
      </c>
      <c r="V15" s="6">
        <v>2173.7650638454234</v>
      </c>
      <c r="W15" s="6">
        <v>3906.3420496054646</v>
      </c>
      <c r="X15" s="6">
        <v>1636.3744920863023</v>
      </c>
      <c r="Y15" s="6">
        <v>2053.0653076316771</v>
      </c>
      <c r="Z15" s="6">
        <v>3689.4397997179794</v>
      </c>
      <c r="AB15" s="14">
        <v>45295</v>
      </c>
      <c r="AC15" s="6">
        <v>47.199999999999996</v>
      </c>
      <c r="AD15" s="11">
        <v>1.1425000000000001</v>
      </c>
      <c r="AE15" s="6">
        <v>81.699999999999989</v>
      </c>
      <c r="AF15" s="6">
        <v>29.6</v>
      </c>
      <c r="AG15" s="6">
        <v>5.3</v>
      </c>
      <c r="AH15" s="6">
        <v>80.699999999999989</v>
      </c>
      <c r="AI15" s="6">
        <v>8.9499999999999993</v>
      </c>
      <c r="AK15" s="12">
        <v>11</v>
      </c>
      <c r="AL15" s="7">
        <v>0.11499999999999999</v>
      </c>
      <c r="AM15" s="6">
        <v>9</v>
      </c>
    </row>
    <row r="16" spans="1:39" x14ac:dyDescent="0.3">
      <c r="A16" s="5" t="s">
        <v>529</v>
      </c>
      <c r="B16" s="5" t="s">
        <v>93</v>
      </c>
      <c r="C16" s="14">
        <v>45243</v>
      </c>
      <c r="D16" s="3">
        <v>712.9</v>
      </c>
      <c r="E16" s="3">
        <v>701.86</v>
      </c>
      <c r="F16" s="3">
        <v>41.981249999999996</v>
      </c>
      <c r="G16" s="6">
        <v>5534.784125164043</v>
      </c>
      <c r="H16" s="4">
        <v>19.63</v>
      </c>
      <c r="I16" s="4">
        <v>339.85</v>
      </c>
      <c r="J16" s="4">
        <v>320.22000000000003</v>
      </c>
      <c r="K16" s="4">
        <v>305.62</v>
      </c>
      <c r="L16" s="7">
        <v>4.559365436262576</v>
      </c>
      <c r="M16" s="6">
        <v>5282.4330907895655</v>
      </c>
      <c r="N16" s="14">
        <v>45244</v>
      </c>
      <c r="O16" s="4">
        <v>20.27</v>
      </c>
      <c r="P16" s="13">
        <v>7.91</v>
      </c>
      <c r="Q16" s="13">
        <v>12.719999999999999</v>
      </c>
      <c r="R16" s="8">
        <v>0.37002532234494534</v>
      </c>
      <c r="S16" s="8">
        <v>0.46945766461406069</v>
      </c>
      <c r="T16" s="8">
        <v>0.16051701304099397</v>
      </c>
      <c r="U16" s="6">
        <v>2048.0102800235113</v>
      </c>
      <c r="V16" s="6">
        <v>2598.3468295424886</v>
      </c>
      <c r="W16" s="6">
        <v>4646.357109566</v>
      </c>
      <c r="X16" s="6">
        <v>1954.634007185015</v>
      </c>
      <c r="Y16" s="6">
        <v>2479.8787022821039</v>
      </c>
      <c r="Z16" s="6">
        <v>4434.5127094671188</v>
      </c>
      <c r="AB16" s="14">
        <v>45295</v>
      </c>
      <c r="AC16" s="6">
        <v>48.9</v>
      </c>
      <c r="AD16" s="11">
        <v>1.1355</v>
      </c>
      <c r="AE16" s="6">
        <v>81.5</v>
      </c>
      <c r="AF16" s="6">
        <v>30.5</v>
      </c>
      <c r="AG16" s="6">
        <v>5.3</v>
      </c>
      <c r="AH16" s="6">
        <v>81.5</v>
      </c>
      <c r="AI16" s="6">
        <v>8.8000000000000007</v>
      </c>
      <c r="AK16" s="12">
        <v>5.5</v>
      </c>
      <c r="AL16" s="7">
        <v>7.0000000000000007E-2</v>
      </c>
      <c r="AM16" s="6">
        <v>9.3000000000000007</v>
      </c>
    </row>
    <row r="17" spans="1:39" x14ac:dyDescent="0.3">
      <c r="A17" s="5" t="s">
        <v>528</v>
      </c>
      <c r="B17" s="5" t="s">
        <v>93</v>
      </c>
      <c r="C17" s="14">
        <v>45243</v>
      </c>
      <c r="D17" s="3">
        <v>575.19999999999982</v>
      </c>
      <c r="E17" s="3">
        <v>562.77999999999986</v>
      </c>
      <c r="F17" s="3">
        <v>29.561250000000001</v>
      </c>
      <c r="G17" s="6">
        <v>4897.2231749416724</v>
      </c>
      <c r="H17" s="4">
        <v>19.78</v>
      </c>
      <c r="I17" s="4">
        <v>379.26</v>
      </c>
      <c r="J17" s="4">
        <v>359.48</v>
      </c>
      <c r="K17" s="4">
        <v>341.38</v>
      </c>
      <c r="L17" s="7">
        <v>5.0350506286858856</v>
      </c>
      <c r="M17" s="6">
        <v>4650.6455086836204</v>
      </c>
      <c r="N17" s="14">
        <v>45244</v>
      </c>
      <c r="O17" s="4">
        <v>19.05</v>
      </c>
      <c r="P17" s="13">
        <v>7.4049999999999994</v>
      </c>
      <c r="Q17" s="13">
        <v>12.29</v>
      </c>
      <c r="R17" s="8">
        <v>0.36715031657126818</v>
      </c>
      <c r="S17" s="8">
        <v>0.47711830351097412</v>
      </c>
      <c r="T17" s="8">
        <v>0.15573137991775771</v>
      </c>
      <c r="U17" s="6">
        <v>1798.017038999986</v>
      </c>
      <c r="V17" s="6">
        <v>2336.5548131427972</v>
      </c>
      <c r="W17" s="6">
        <v>4134.5718521427834</v>
      </c>
      <c r="X17" s="6">
        <v>1707.4859707739377</v>
      </c>
      <c r="Y17" s="6">
        <v>2218.9080953340604</v>
      </c>
      <c r="Z17" s="6">
        <v>3926.3940661079978</v>
      </c>
      <c r="AB17" s="14">
        <v>45295</v>
      </c>
      <c r="AC17" s="6">
        <v>49.15</v>
      </c>
      <c r="AD17" s="11">
        <v>1.1495</v>
      </c>
      <c r="AE17" s="6">
        <v>82</v>
      </c>
      <c r="AF17" s="6">
        <v>30.95</v>
      </c>
      <c r="AG17" s="6">
        <v>5.3</v>
      </c>
      <c r="AH17" s="6">
        <v>81.25</v>
      </c>
      <c r="AI17" s="6">
        <v>8.8999999999999986</v>
      </c>
      <c r="AK17" s="12">
        <v>14</v>
      </c>
      <c r="AL17" s="7">
        <v>0.28000000000000003</v>
      </c>
      <c r="AM17" s="6">
        <v>8.75</v>
      </c>
    </row>
    <row r="18" spans="1:39" x14ac:dyDescent="0.3">
      <c r="A18" s="5" t="s">
        <v>527</v>
      </c>
      <c r="B18" s="5" t="s">
        <v>93</v>
      </c>
      <c r="C18" s="14">
        <v>45243</v>
      </c>
      <c r="D18" s="3">
        <v>580.70000000000005</v>
      </c>
      <c r="E18" s="3">
        <v>569.66000000000008</v>
      </c>
      <c r="F18" s="3">
        <v>33.356249999999989</v>
      </c>
      <c r="G18" s="6">
        <v>4486.9315431430459</v>
      </c>
      <c r="H18" s="4">
        <v>19.380000000000003</v>
      </c>
      <c r="I18" s="4">
        <v>364.51</v>
      </c>
      <c r="J18" s="4">
        <v>345.13</v>
      </c>
      <c r="K18" s="4">
        <v>327.78999999999996</v>
      </c>
      <c r="L18" s="7">
        <v>5.0241937820531479</v>
      </c>
      <c r="M18" s="6">
        <v>4261.4994075474715</v>
      </c>
      <c r="N18" s="14">
        <v>45244</v>
      </c>
      <c r="O18" s="4">
        <v>18.059999999999999</v>
      </c>
      <c r="P18" s="13">
        <v>7.0750000000000002</v>
      </c>
      <c r="Q18" s="13">
        <v>11.9</v>
      </c>
      <c r="R18" s="8">
        <v>0.36904791853754487</v>
      </c>
      <c r="S18" s="8">
        <v>0.48178579443543718</v>
      </c>
      <c r="T18" s="8">
        <v>0.14916628702701801</v>
      </c>
      <c r="U18" s="6">
        <v>1655.8927466173952</v>
      </c>
      <c r="V18" s="6">
        <v>2161.7398780905946</v>
      </c>
      <c r="W18" s="6">
        <v>3817.6326247079896</v>
      </c>
      <c r="X18" s="6">
        <v>1572.6974862043751</v>
      </c>
      <c r="Y18" s="6">
        <v>2053.1298775514033</v>
      </c>
      <c r="Z18" s="6">
        <v>3625.8273637557786</v>
      </c>
      <c r="AB18" s="14">
        <v>45295</v>
      </c>
      <c r="AC18" s="6">
        <v>48.6</v>
      </c>
      <c r="AD18" s="11">
        <v>1.1475</v>
      </c>
      <c r="AE18" s="6">
        <v>81.900000000000006</v>
      </c>
      <c r="AF18" s="6">
        <v>30.75</v>
      </c>
      <c r="AG18" s="6">
        <v>5.3</v>
      </c>
      <c r="AH18" s="6">
        <v>81.400000000000006</v>
      </c>
      <c r="AI18" s="6">
        <v>8.8000000000000007</v>
      </c>
      <c r="AK18" s="12">
        <v>6.5</v>
      </c>
      <c r="AL18" s="7">
        <v>0.09</v>
      </c>
      <c r="AM18" s="6">
        <v>9.3000000000000007</v>
      </c>
    </row>
    <row r="19" spans="1:39" x14ac:dyDescent="0.3">
      <c r="AK1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Scale</vt:lpstr>
      <vt:lpstr>Plot 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2022-05-13T17:57:34Z</dcterms:created>
  <dcterms:modified xsi:type="dcterms:W3CDTF">2024-03-21T21:31:58Z</dcterms:modified>
</cp:coreProperties>
</file>