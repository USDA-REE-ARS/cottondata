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E:\mnt\Data1\USDA-ALARC\GIS\PDI project\cottondata\Data\2023_F013B4_CO_TILL\"/>
    </mc:Choice>
  </mc:AlternateContent>
  <xr:revisionPtr revIDLastSave="0" documentId="13_ncr:1_{728C4A64-2481-4704-818E-0E408A03FFFB}" xr6:coauthVersionLast="47" xr6:coauthVersionMax="47" xr10:uidLastSave="{00000000-0000-0000-0000-000000000000}"/>
  <bookViews>
    <workbookView xWindow="16455" yWindow="-28440" windowWidth="17805" windowHeight="11445" firstSheet="1" activeTab="4" xr2:uid="{00000000-000D-0000-FFFF-FFFF00000000}"/>
  </bookViews>
  <sheets>
    <sheet name="Height" sheetId="12" r:id="rId1"/>
    <sheet name="Width" sheetId="13" r:id="rId2"/>
    <sheet name="Density" sheetId="14" r:id="rId3"/>
    <sheet name="Develop" sheetId="16" r:id="rId4"/>
    <sheet name="PlotDevelop" sheetId="20" r:id="rId5"/>
    <sheet name="Blank Data Sheet" sheetId="1" r:id="rId6"/>
    <sheet name="Height Summary" sheetId="5" r:id="rId7"/>
    <sheet name="Cover Summary" sheetId="7" r:id="rId8"/>
    <sheet name="Averages" sheetId="8" r:id="rId9"/>
    <sheet name="Counts" sheetId="15" r:id="rId10"/>
    <sheet name="Counts2" sheetId="9" r:id="rId11"/>
    <sheet name="Emergence1" sheetId="17" r:id="rId12"/>
    <sheet name="Emergence2" sheetId="18" r:id="rId13"/>
    <sheet name="Anthesis" sheetId="19" r:id="rId14"/>
    <sheet name="NAWFd184" sheetId="21" r:id="rId15"/>
    <sheet name="NAWFd194" sheetId="22" r:id="rId16"/>
    <sheet name="NAWFd201" sheetId="23" r:id="rId17"/>
    <sheet name="NAWFd208" sheetId="24" r:id="rId18"/>
    <sheet name="NAWFd215" sheetId="25" r:id="rId19"/>
    <sheet name="NAWFd236" sheetId="26" r:id="rId20"/>
  </sheets>
  <definedNames>
    <definedName name="_xlnm._FilterDatabase" localSheetId="7" hidden="1">'Cover Summary'!$N$26:$N$192</definedName>
    <definedName name="_xlnm.Print_Area" localSheetId="9">Counts!$B$1:$L$103</definedName>
    <definedName name="_xlnm.Print_Area" localSheetId="7">'Cover Summary'!$A$1:$J$60</definedName>
    <definedName name="_xlnm.Print_Area" localSheetId="6">'Height Summary'!$A$1:$N$69</definedName>
    <definedName name="_xlnm.Print_Area" localSheetId="14">NAWFd184!$B$1:$M$18</definedName>
    <definedName name="_xlnm.Print_Area" localSheetId="15">NAWFd194!$B$1:$M$18</definedName>
    <definedName name="_xlnm.Print_Area" localSheetId="16">NAWFd201!$B$1:$M$18</definedName>
    <definedName name="_xlnm.Print_Area" localSheetId="17">NAWFd208!$B$1:$M$18</definedName>
    <definedName name="_xlnm.Print_Area" localSheetId="18">NAWFd215!$B$1:$M$18</definedName>
    <definedName name="_xlnm.Print_Area" localSheetId="19">NAWFd236!$B$1:$M$18</definedName>
    <definedName name="_xlnm.Print_Titles" localSheetId="13">Anthesis!$8:$8</definedName>
    <definedName name="_xlnm.Print_Titles" localSheetId="7">'Cover Summary'!$12:$12</definedName>
    <definedName name="_xlnm.Print_Titles" localSheetId="11">Emergence1!$12:$12</definedName>
    <definedName name="_xlnm.Print_Titles" localSheetId="6">'Height Summary'!$12:$12</definedName>
    <definedName name="_xlnm.Print_Titles" localSheetId="14">NAWFd184!$6:$6</definedName>
    <definedName name="_xlnm.Print_Titles" localSheetId="15">NAWFd194!$6:$6</definedName>
    <definedName name="_xlnm.Print_Titles" localSheetId="16">NAWFd201!$6:$6</definedName>
    <definedName name="_xlnm.Print_Titles" localSheetId="17">NAWFd208!$6:$6</definedName>
    <definedName name="_xlnm.Print_Titles" localSheetId="18">NAWFd215!$6:$6</definedName>
    <definedName name="_xlnm.Print_Titles" localSheetId="19">NAWFd236!$6:$6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3" i="18" l="1"/>
  <c r="I3" i="18"/>
  <c r="D224" i="17"/>
  <c r="N7" i="26" l="1"/>
  <c r="N8" i="26"/>
  <c r="N9" i="26"/>
  <c r="N10" i="26"/>
  <c r="N11" i="26"/>
  <c r="N12" i="26"/>
  <c r="N13" i="26"/>
  <c r="N14" i="26"/>
  <c r="N15" i="26"/>
  <c r="N16" i="26"/>
  <c r="N17" i="26"/>
  <c r="N18" i="26"/>
  <c r="N7" i="25"/>
  <c r="N8" i="25"/>
  <c r="N9" i="25"/>
  <c r="N10" i="25"/>
  <c r="N11" i="25"/>
  <c r="N12" i="25"/>
  <c r="N13" i="25"/>
  <c r="N14" i="25"/>
  <c r="N15" i="25"/>
  <c r="N16" i="25"/>
  <c r="N17" i="25"/>
  <c r="N18" i="25"/>
  <c r="N7" i="24"/>
  <c r="N8" i="24"/>
  <c r="N9" i="24"/>
  <c r="N10" i="24"/>
  <c r="N11" i="24"/>
  <c r="N12" i="24"/>
  <c r="N13" i="24"/>
  <c r="N14" i="24"/>
  <c r="N15" i="24"/>
  <c r="N16" i="24"/>
  <c r="N17" i="24"/>
  <c r="N18" i="24"/>
  <c r="N7" i="23"/>
  <c r="N8" i="23"/>
  <c r="N9" i="23"/>
  <c r="N10" i="23"/>
  <c r="N11" i="23"/>
  <c r="N12" i="23"/>
  <c r="N13" i="23"/>
  <c r="N14" i="23"/>
  <c r="N15" i="23"/>
  <c r="N16" i="23"/>
  <c r="N17" i="23"/>
  <c r="N18" i="23"/>
  <c r="N7" i="22"/>
  <c r="N8" i="22"/>
  <c r="N9" i="22"/>
  <c r="N10" i="22"/>
  <c r="N11" i="22"/>
  <c r="N12" i="22"/>
  <c r="N13" i="22"/>
  <c r="N14" i="22"/>
  <c r="N15" i="22"/>
  <c r="N16" i="22"/>
  <c r="N17" i="22"/>
  <c r="N18" i="22"/>
  <c r="N7" i="21"/>
  <c r="N8" i="21"/>
  <c r="N9" i="21"/>
  <c r="N10" i="21"/>
  <c r="N11" i="21"/>
  <c r="N12" i="21"/>
  <c r="N13" i="21"/>
  <c r="N14" i="21"/>
  <c r="N15" i="21"/>
  <c r="N16" i="21"/>
  <c r="N17" i="21"/>
  <c r="N18" i="21"/>
  <c r="F196" i="19"/>
  <c r="F197" i="19"/>
  <c r="F198" i="19"/>
  <c r="F199" i="19"/>
  <c r="F200" i="19"/>
  <c r="F201" i="19"/>
  <c r="F202" i="19"/>
  <c r="F203" i="19"/>
  <c r="F204" i="19"/>
  <c r="F205" i="19"/>
  <c r="F206" i="19"/>
  <c r="F195" i="19"/>
  <c r="D195" i="19"/>
  <c r="E195" i="19"/>
  <c r="D196" i="19"/>
  <c r="E196" i="19"/>
  <c r="D197" i="19"/>
  <c r="E197" i="19"/>
  <c r="D198" i="19"/>
  <c r="E198" i="19"/>
  <c r="D199" i="19"/>
  <c r="E199" i="19"/>
  <c r="D200" i="19"/>
  <c r="E200" i="19"/>
  <c r="D201" i="19"/>
  <c r="E201" i="19"/>
  <c r="D202" i="19"/>
  <c r="E202" i="19"/>
  <c r="D203" i="19"/>
  <c r="E203" i="19"/>
  <c r="D204" i="19"/>
  <c r="E204" i="19"/>
  <c r="D205" i="19"/>
  <c r="E205" i="19"/>
  <c r="D206" i="19"/>
  <c r="E206" i="19"/>
  <c r="C206" i="19"/>
  <c r="C205" i="19"/>
  <c r="C204" i="19"/>
  <c r="C203" i="19"/>
  <c r="C202" i="19"/>
  <c r="C201" i="19"/>
  <c r="C200" i="19"/>
  <c r="C199" i="19"/>
  <c r="C198" i="19"/>
  <c r="C197" i="19"/>
  <c r="C196" i="19"/>
  <c r="C195"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J101" i="19"/>
  <c r="J102" i="19"/>
  <c r="J103" i="19"/>
  <c r="J104" i="19"/>
  <c r="J105" i="19"/>
  <c r="J106" i="19"/>
  <c r="J107" i="19"/>
  <c r="J108" i="19"/>
  <c r="J109" i="19"/>
  <c r="J110" i="19"/>
  <c r="J111" i="19"/>
  <c r="J112" i="19"/>
  <c r="J113" i="19"/>
  <c r="J114" i="19"/>
  <c r="J115" i="19"/>
  <c r="J116" i="19"/>
  <c r="J117" i="19"/>
  <c r="J118" i="19"/>
  <c r="J119" i="19"/>
  <c r="J120" i="19"/>
  <c r="J121" i="19"/>
  <c r="J122" i="19"/>
  <c r="J123" i="19"/>
  <c r="J124" i="19"/>
  <c r="J125" i="19"/>
  <c r="J126" i="19"/>
  <c r="J127" i="19"/>
  <c r="J128" i="19"/>
  <c r="J129" i="19"/>
  <c r="J130" i="19"/>
  <c r="J131" i="19"/>
  <c r="J132" i="19"/>
  <c r="J133" i="19"/>
  <c r="J134" i="19"/>
  <c r="J135" i="19"/>
  <c r="J136" i="19"/>
  <c r="J137" i="19"/>
  <c r="J138" i="19"/>
  <c r="J139" i="19"/>
  <c r="J140" i="19"/>
  <c r="J141" i="19"/>
  <c r="J142" i="19"/>
  <c r="J143" i="19"/>
  <c r="J144" i="19"/>
  <c r="J145" i="19"/>
  <c r="J146" i="19"/>
  <c r="J147" i="19"/>
  <c r="J148" i="19"/>
  <c r="J149" i="19"/>
  <c r="J150" i="19"/>
  <c r="J151" i="19"/>
  <c r="J152" i="19"/>
  <c r="J153" i="19"/>
  <c r="J154" i="19"/>
  <c r="J155" i="19"/>
  <c r="J156" i="19"/>
  <c r="J157" i="19"/>
  <c r="J158" i="19"/>
  <c r="J159" i="19"/>
  <c r="J160" i="19"/>
  <c r="J161" i="19"/>
  <c r="J162" i="19"/>
  <c r="J163" i="19"/>
  <c r="J164" i="19"/>
  <c r="J165" i="19"/>
  <c r="J166" i="19"/>
  <c r="J167" i="19"/>
  <c r="J168" i="19"/>
  <c r="J169" i="19"/>
  <c r="J170" i="19"/>
  <c r="J171" i="19"/>
  <c r="J172" i="19"/>
  <c r="J173" i="19"/>
  <c r="J174" i="19"/>
  <c r="J175" i="19"/>
  <c r="J176" i="19"/>
  <c r="J177" i="19"/>
  <c r="J178" i="19"/>
  <c r="J179" i="19"/>
  <c r="J180" i="19"/>
  <c r="J181" i="19"/>
  <c r="J182" i="19"/>
  <c r="J183" i="19"/>
  <c r="J184" i="19"/>
  <c r="J185" i="19"/>
  <c r="J186" i="19"/>
  <c r="J187" i="19"/>
  <c r="J188" i="19"/>
  <c r="J189" i="19"/>
  <c r="J190" i="19"/>
  <c r="J191" i="19"/>
  <c r="O3" i="18"/>
  <c r="I4" i="18"/>
  <c r="J4" i="18"/>
  <c r="O4" i="18"/>
  <c r="I5" i="18"/>
  <c r="J5" i="18"/>
  <c r="O5" i="18"/>
  <c r="I6" i="18"/>
  <c r="J6" i="18"/>
  <c r="O6" i="18"/>
  <c r="I7" i="18"/>
  <c r="J7" i="18"/>
  <c r="O7" i="18"/>
  <c r="I8" i="18"/>
  <c r="J8" i="18"/>
  <c r="O8" i="18"/>
  <c r="I9" i="18"/>
  <c r="J9" i="18"/>
  <c r="O9" i="18"/>
  <c r="I10" i="18"/>
  <c r="J10" i="18"/>
  <c r="O10" i="18"/>
  <c r="I11" i="18"/>
  <c r="J11" i="18"/>
  <c r="O11" i="18"/>
  <c r="I12" i="18"/>
  <c r="J12" i="18"/>
  <c r="O12" i="18"/>
  <c r="I13" i="18"/>
  <c r="O13" i="18" s="1"/>
  <c r="J13" i="18"/>
  <c r="I14" i="18"/>
  <c r="J14" i="18"/>
  <c r="O14" i="18"/>
  <c r="I15" i="18"/>
  <c r="J15" i="18"/>
  <c r="O15" i="18"/>
  <c r="I16" i="18"/>
  <c r="J16" i="18"/>
  <c r="O16" i="18"/>
  <c r="I17" i="18"/>
  <c r="J17" i="18"/>
  <c r="O17" i="18"/>
  <c r="I18" i="18"/>
  <c r="J18" i="18"/>
  <c r="O18" i="18"/>
  <c r="I19" i="18"/>
  <c r="J19" i="18"/>
  <c r="O19" i="18"/>
  <c r="I20" i="18"/>
  <c r="J20" i="18"/>
  <c r="O20" i="18"/>
  <c r="I21" i="18"/>
  <c r="J21" i="18"/>
  <c r="O21" i="18"/>
  <c r="I22" i="18"/>
  <c r="J22" i="18"/>
  <c r="O22" i="18"/>
  <c r="I23" i="18"/>
  <c r="J23" i="18"/>
  <c r="O23" i="18"/>
  <c r="I24" i="18"/>
  <c r="J24" i="18" s="1"/>
  <c r="I25" i="18"/>
  <c r="J25" i="18"/>
  <c r="O25" i="18"/>
  <c r="I26" i="18"/>
  <c r="J26" i="18"/>
  <c r="O26" i="18"/>
  <c r="I27" i="18"/>
  <c r="J27" i="18"/>
  <c r="O27" i="18"/>
  <c r="I28" i="18"/>
  <c r="J28" i="18"/>
  <c r="O28" i="18"/>
  <c r="I29" i="18"/>
  <c r="J29" i="18"/>
  <c r="O29" i="18"/>
  <c r="I30" i="18"/>
  <c r="J30" i="18"/>
  <c r="O30" i="18"/>
  <c r="I31" i="18"/>
  <c r="J31" i="18"/>
  <c r="O31" i="18"/>
  <c r="I32" i="18"/>
  <c r="J32" i="18"/>
  <c r="O32" i="18"/>
  <c r="I33" i="18"/>
  <c r="J33" i="18"/>
  <c r="O33" i="18"/>
  <c r="I34" i="18"/>
  <c r="J34" i="18"/>
  <c r="O34" i="18"/>
  <c r="I35" i="18"/>
  <c r="I36" i="18"/>
  <c r="J36" i="18"/>
  <c r="O36" i="18"/>
  <c r="I37" i="18"/>
  <c r="J37" i="18"/>
  <c r="O37" i="18"/>
  <c r="I38" i="18"/>
  <c r="J38" i="18"/>
  <c r="O38" i="18"/>
  <c r="I39" i="18"/>
  <c r="J39" i="18"/>
  <c r="O39" i="18"/>
  <c r="I40" i="18"/>
  <c r="J40" i="18"/>
  <c r="O40" i="18"/>
  <c r="I41" i="18"/>
  <c r="J41" i="18"/>
  <c r="O41" i="18"/>
  <c r="I42" i="18"/>
  <c r="J42" i="18"/>
  <c r="O42" i="18"/>
  <c r="I43" i="18"/>
  <c r="J43" i="18"/>
  <c r="O43" i="18"/>
  <c r="I44" i="18"/>
  <c r="J44" i="18"/>
  <c r="O44" i="18"/>
  <c r="I45" i="18"/>
  <c r="J45" i="18"/>
  <c r="O45" i="18"/>
  <c r="I46" i="18"/>
  <c r="J46" i="18" s="1"/>
  <c r="I47" i="18"/>
  <c r="O47" i="18"/>
  <c r="I48" i="18"/>
  <c r="J48" i="18"/>
  <c r="O48" i="18"/>
  <c r="I49" i="18"/>
  <c r="J49" i="18"/>
  <c r="O49" i="18"/>
  <c r="I50" i="18"/>
  <c r="J50" i="18"/>
  <c r="O50" i="18"/>
  <c r="I51" i="18"/>
  <c r="J51" i="18"/>
  <c r="O51" i="18"/>
  <c r="I52" i="18"/>
  <c r="J52" i="18"/>
  <c r="O52" i="18"/>
  <c r="I53" i="18"/>
  <c r="J53" i="18"/>
  <c r="O53" i="18"/>
  <c r="I54" i="18"/>
  <c r="J54" i="18"/>
  <c r="O54" i="18"/>
  <c r="I55" i="18"/>
  <c r="J55" i="18"/>
  <c r="O55" i="18"/>
  <c r="I56" i="18"/>
  <c r="J56" i="18"/>
  <c r="O56" i="18"/>
  <c r="I57" i="18"/>
  <c r="J57" i="18" s="1"/>
  <c r="I58" i="18"/>
  <c r="J58" i="18"/>
  <c r="O58" i="18"/>
  <c r="I59" i="18"/>
  <c r="J59" i="18"/>
  <c r="O59" i="18"/>
  <c r="I60" i="18"/>
  <c r="J60" i="18"/>
  <c r="O60" i="18"/>
  <c r="I61" i="18"/>
  <c r="J61" i="18"/>
  <c r="O61" i="18"/>
  <c r="I62" i="18"/>
  <c r="J62" i="18"/>
  <c r="O62" i="18"/>
  <c r="I63" i="18"/>
  <c r="J63" i="18"/>
  <c r="O63" i="18"/>
  <c r="I64" i="18"/>
  <c r="J64" i="18"/>
  <c r="O64" i="18"/>
  <c r="I65" i="18"/>
  <c r="J65" i="18"/>
  <c r="O65" i="18"/>
  <c r="I66" i="18"/>
  <c r="J66" i="18"/>
  <c r="O66" i="18"/>
  <c r="I67" i="18"/>
  <c r="O67" i="18"/>
  <c r="I68" i="18"/>
  <c r="J68" i="18" s="1"/>
  <c r="I69" i="18"/>
  <c r="J69" i="18"/>
  <c r="O69" i="18"/>
  <c r="I70" i="18"/>
  <c r="J70" i="18"/>
  <c r="O70" i="18"/>
  <c r="I71" i="18"/>
  <c r="J71" i="18"/>
  <c r="O71" i="18"/>
  <c r="I72" i="18"/>
  <c r="J72" i="18"/>
  <c r="O72" i="18"/>
  <c r="I73" i="18"/>
  <c r="J73" i="18"/>
  <c r="O73" i="18"/>
  <c r="I74" i="18"/>
  <c r="J74" i="18"/>
  <c r="O74" i="18"/>
  <c r="I75" i="18"/>
  <c r="J75" i="18"/>
  <c r="O75" i="18"/>
  <c r="I76" i="18"/>
  <c r="J76" i="18"/>
  <c r="O76" i="18"/>
  <c r="I77" i="18"/>
  <c r="J77" i="18"/>
  <c r="O77" i="18"/>
  <c r="I78" i="18"/>
  <c r="J78" i="18"/>
  <c r="O78" i="18"/>
  <c r="I79" i="18"/>
  <c r="J79" i="18"/>
  <c r="O79" i="18"/>
  <c r="I80" i="18"/>
  <c r="J80" i="18"/>
  <c r="O80" i="18"/>
  <c r="I81" i="18"/>
  <c r="J81" i="18"/>
  <c r="O81" i="18"/>
  <c r="I82" i="18"/>
  <c r="J82" i="18"/>
  <c r="O82" i="18"/>
  <c r="I83" i="18"/>
  <c r="J83" i="18"/>
  <c r="O83" i="18"/>
  <c r="I84" i="18"/>
  <c r="J84" i="18"/>
  <c r="O84" i="18"/>
  <c r="I85" i="18"/>
  <c r="J85" i="18"/>
  <c r="O85" i="18"/>
  <c r="I86" i="18"/>
  <c r="J86" i="18"/>
  <c r="O86" i="18"/>
  <c r="I87" i="18"/>
  <c r="J87" i="18"/>
  <c r="O87" i="18"/>
  <c r="I88" i="18"/>
  <c r="J88" i="18"/>
  <c r="O88" i="18"/>
  <c r="I89" i="18"/>
  <c r="O89" i="18" s="1"/>
  <c r="J89" i="18"/>
  <c r="I90" i="18"/>
  <c r="J90" i="18"/>
  <c r="O90" i="18"/>
  <c r="I91" i="18"/>
  <c r="J91" i="18"/>
  <c r="O91" i="18"/>
  <c r="I92" i="18"/>
  <c r="J92" i="18"/>
  <c r="O92" i="18"/>
  <c r="I93" i="18"/>
  <c r="J93" i="18"/>
  <c r="O93" i="18"/>
  <c r="I94" i="18"/>
  <c r="J94" i="18"/>
  <c r="O94" i="18"/>
  <c r="I95" i="18"/>
  <c r="J95" i="18"/>
  <c r="O95" i="18"/>
  <c r="I96" i="18"/>
  <c r="J96" i="18"/>
  <c r="O96" i="18"/>
  <c r="I97" i="18"/>
  <c r="J97" i="18"/>
  <c r="O97" i="18"/>
  <c r="I98" i="18"/>
  <c r="J98" i="18"/>
  <c r="O98" i="18"/>
  <c r="I99" i="18"/>
  <c r="J99" i="18"/>
  <c r="O99" i="18"/>
  <c r="I100" i="18"/>
  <c r="J100" i="18" s="1"/>
  <c r="I101" i="18"/>
  <c r="J101" i="18"/>
  <c r="O101" i="18"/>
  <c r="I102" i="18"/>
  <c r="J102" i="18"/>
  <c r="O102" i="18"/>
  <c r="I103" i="18"/>
  <c r="J103" i="18"/>
  <c r="O103" i="18"/>
  <c r="I104" i="18"/>
  <c r="J104" i="18"/>
  <c r="O104" i="18"/>
  <c r="I105" i="18"/>
  <c r="J105" i="18"/>
  <c r="O105" i="18"/>
  <c r="I106" i="18"/>
  <c r="J106" i="18"/>
  <c r="O106" i="18"/>
  <c r="I107" i="18"/>
  <c r="J107" i="18"/>
  <c r="O107" i="18"/>
  <c r="I108" i="18"/>
  <c r="J108" i="18"/>
  <c r="O108" i="18"/>
  <c r="I109" i="18"/>
  <c r="J109" i="18"/>
  <c r="O109" i="18"/>
  <c r="I110" i="18"/>
  <c r="J110" i="18"/>
  <c r="O110" i="18"/>
  <c r="I111" i="18"/>
  <c r="J111" i="18"/>
  <c r="O111" i="18"/>
  <c r="I112" i="18"/>
  <c r="J112" i="18"/>
  <c r="O112" i="18"/>
  <c r="I113" i="18"/>
  <c r="J113" i="18"/>
  <c r="O113" i="18"/>
  <c r="I114" i="18"/>
  <c r="J114" i="18"/>
  <c r="O114" i="18"/>
  <c r="I115" i="18"/>
  <c r="J115" i="18"/>
  <c r="I116" i="18"/>
  <c r="J116" i="18"/>
  <c r="O116" i="18"/>
  <c r="I117" i="18"/>
  <c r="J117" i="18"/>
  <c r="I118" i="18"/>
  <c r="J118" i="18"/>
  <c r="O118" i="18"/>
  <c r="I119" i="18"/>
  <c r="J119" i="18"/>
  <c r="O119" i="18"/>
  <c r="I120" i="18"/>
  <c r="J120" i="18"/>
  <c r="O120" i="18"/>
  <c r="I121" i="18"/>
  <c r="J121" i="18"/>
  <c r="O121" i="18"/>
  <c r="I122" i="18"/>
  <c r="J122" i="18" s="1"/>
  <c r="I123" i="18"/>
  <c r="J123" i="18"/>
  <c r="O123" i="18"/>
  <c r="I124" i="18"/>
  <c r="J124" i="18"/>
  <c r="O124" i="18"/>
  <c r="I125" i="18"/>
  <c r="J125" i="18"/>
  <c r="O125" i="18"/>
  <c r="I126" i="18"/>
  <c r="J126" i="18"/>
  <c r="O126" i="18"/>
  <c r="I127" i="18"/>
  <c r="J127" i="18"/>
  <c r="O127" i="18"/>
  <c r="I128" i="18"/>
  <c r="J128" i="18"/>
  <c r="O128" i="18"/>
  <c r="I129" i="18"/>
  <c r="J129" i="18"/>
  <c r="O129" i="18"/>
  <c r="I130" i="18"/>
  <c r="J130" i="18"/>
  <c r="O130" i="18"/>
  <c r="I131" i="18"/>
  <c r="J131" i="18"/>
  <c r="O131" i="18"/>
  <c r="I132" i="18"/>
  <c r="J132" i="18"/>
  <c r="O132" i="18"/>
  <c r="I133" i="18"/>
  <c r="J133" i="18"/>
  <c r="O133" i="18"/>
  <c r="I134" i="18"/>
  <c r="J134" i="18"/>
  <c r="O134" i="18"/>
  <c r="I135" i="18"/>
  <c r="J135" i="18"/>
  <c r="O135" i="18"/>
  <c r="I136" i="18"/>
  <c r="J136" i="18"/>
  <c r="O136" i="18"/>
  <c r="I137" i="18"/>
  <c r="J137" i="18"/>
  <c r="O137" i="18"/>
  <c r="I138" i="18"/>
  <c r="J138" i="18"/>
  <c r="O138" i="18"/>
  <c r="I139" i="18"/>
  <c r="J139" i="18"/>
  <c r="O139" i="18"/>
  <c r="I140" i="18"/>
  <c r="J140" i="18"/>
  <c r="O140" i="18"/>
  <c r="I141" i="18"/>
  <c r="J141" i="18"/>
  <c r="O141" i="18"/>
  <c r="I142" i="18"/>
  <c r="J142" i="18"/>
  <c r="O142" i="18"/>
  <c r="I143" i="18"/>
  <c r="O143" i="18" s="1"/>
  <c r="J143" i="18"/>
  <c r="I144" i="18"/>
  <c r="J144" i="18"/>
  <c r="O144" i="18"/>
  <c r="I145" i="18"/>
  <c r="J145" i="18"/>
  <c r="O145" i="18"/>
  <c r="I146" i="18"/>
  <c r="J146" i="18"/>
  <c r="O146" i="18"/>
  <c r="I147" i="18"/>
  <c r="J147" i="18"/>
  <c r="O147" i="18"/>
  <c r="I148" i="18"/>
  <c r="J148" i="18"/>
  <c r="O148" i="18"/>
  <c r="I149" i="18"/>
  <c r="J149" i="18"/>
  <c r="O149" i="18"/>
  <c r="I150" i="18"/>
  <c r="J150" i="18"/>
  <c r="O150" i="18"/>
  <c r="I151" i="18"/>
  <c r="J151" i="18"/>
  <c r="O151" i="18"/>
  <c r="I152" i="18"/>
  <c r="J152" i="18"/>
  <c r="O152" i="18"/>
  <c r="I153" i="18"/>
  <c r="J153" i="18"/>
  <c r="O153" i="18"/>
  <c r="I154" i="18"/>
  <c r="J154" i="18" s="1"/>
  <c r="I155" i="18"/>
  <c r="J155" i="18"/>
  <c r="O155" i="18"/>
  <c r="I156" i="18"/>
  <c r="J156" i="18"/>
  <c r="O156" i="18"/>
  <c r="I157" i="18"/>
  <c r="J157" i="18"/>
  <c r="O157" i="18"/>
  <c r="I158" i="18"/>
  <c r="J158" i="18"/>
  <c r="O158" i="18"/>
  <c r="I159" i="18"/>
  <c r="J159" i="18"/>
  <c r="O159" i="18"/>
  <c r="I160" i="18"/>
  <c r="O160" i="18"/>
  <c r="I161" i="18"/>
  <c r="J161" i="18"/>
  <c r="O161" i="18"/>
  <c r="I162" i="18"/>
  <c r="J162" i="18"/>
  <c r="O162" i="18"/>
  <c r="I163" i="18"/>
  <c r="J163" i="18"/>
  <c r="O163" i="18"/>
  <c r="I164" i="18"/>
  <c r="J164" i="18"/>
  <c r="O164" i="18"/>
  <c r="I165" i="18"/>
  <c r="J165" i="18" s="1"/>
  <c r="I166" i="18"/>
  <c r="J166" i="18"/>
  <c r="O166" i="18"/>
  <c r="I167" i="18"/>
  <c r="J167" i="18"/>
  <c r="O167" i="18"/>
  <c r="I168" i="18"/>
  <c r="J168" i="18"/>
  <c r="O168" i="18"/>
  <c r="I169" i="18"/>
  <c r="J169" i="18"/>
  <c r="O169" i="18"/>
  <c r="I170" i="18"/>
  <c r="J170" i="18"/>
  <c r="O170" i="18"/>
  <c r="I171" i="18"/>
  <c r="J171" i="18"/>
  <c r="O171" i="18"/>
  <c r="I172" i="18"/>
  <c r="J172" i="18"/>
  <c r="O172" i="18"/>
  <c r="I173" i="18"/>
  <c r="J173" i="18"/>
  <c r="O173" i="18"/>
  <c r="I174" i="18"/>
  <c r="J174" i="18"/>
  <c r="O174" i="18"/>
  <c r="I175" i="18"/>
  <c r="J175" i="18"/>
  <c r="O175" i="18"/>
  <c r="I176" i="18"/>
  <c r="J176" i="18"/>
  <c r="O176" i="18"/>
  <c r="I177" i="18"/>
  <c r="J177" i="18"/>
  <c r="O177" i="18"/>
  <c r="I178" i="18"/>
  <c r="J178" i="18"/>
  <c r="O178" i="18"/>
  <c r="I179" i="18"/>
  <c r="J179" i="18"/>
  <c r="O179" i="18"/>
  <c r="I180" i="18"/>
  <c r="J180" i="18"/>
  <c r="O180" i="18"/>
  <c r="I181" i="18"/>
  <c r="J181" i="18"/>
  <c r="O181" i="18"/>
  <c r="I182" i="18"/>
  <c r="J182" i="18"/>
  <c r="O182" i="18"/>
  <c r="D197" i="17"/>
  <c r="F197" i="17"/>
  <c r="H197" i="17"/>
  <c r="J197" i="17"/>
  <c r="M197" i="17"/>
  <c r="P197" i="17"/>
  <c r="D198" i="17"/>
  <c r="F198" i="17"/>
  <c r="H198" i="17"/>
  <c r="J198" i="17"/>
  <c r="M198" i="17"/>
  <c r="P198" i="17"/>
  <c r="D199" i="17"/>
  <c r="F199" i="17"/>
  <c r="H199" i="17"/>
  <c r="J199" i="17"/>
  <c r="M199" i="17"/>
  <c r="P199" i="17"/>
  <c r="D200" i="17"/>
  <c r="F200" i="17"/>
  <c r="H200" i="17"/>
  <c r="J200" i="17"/>
  <c r="M200" i="17"/>
  <c r="P200" i="17"/>
  <c r="K207" i="17"/>
  <c r="L207" i="17"/>
  <c r="K208" i="17"/>
  <c r="L208" i="17"/>
  <c r="K209" i="17"/>
  <c r="L209" i="17"/>
  <c r="K210" i="17"/>
  <c r="L210" i="17"/>
  <c r="F224" i="17"/>
  <c r="H224" i="17"/>
  <c r="J224" i="17"/>
  <c r="L224" i="17"/>
  <c r="M224" i="17"/>
  <c r="O224" i="17"/>
  <c r="P224" i="17"/>
  <c r="R224" i="17"/>
  <c r="D225" i="17"/>
  <c r="F225" i="17"/>
  <c r="H225" i="17"/>
  <c r="J225" i="17"/>
  <c r="L225" i="17"/>
  <c r="M225" i="17"/>
  <c r="O225" i="17"/>
  <c r="P225" i="17"/>
  <c r="R225" i="17"/>
  <c r="D226" i="17"/>
  <c r="F226" i="17"/>
  <c r="H226" i="17"/>
  <c r="J226" i="17"/>
  <c r="L226" i="17"/>
  <c r="M226" i="17"/>
  <c r="O226" i="17"/>
  <c r="P226" i="17"/>
  <c r="R226" i="17"/>
  <c r="D227" i="17"/>
  <c r="F227" i="17"/>
  <c r="H227" i="17"/>
  <c r="J227" i="17"/>
  <c r="M227" i="17"/>
  <c r="O227" i="17"/>
  <c r="P227" i="17"/>
  <c r="R227" i="17"/>
  <c r="D228" i="17"/>
  <c r="F228" i="17"/>
  <c r="H228" i="17"/>
  <c r="J228" i="17"/>
  <c r="L228" i="17"/>
  <c r="M228" i="17"/>
  <c r="O228" i="17"/>
  <c r="P228" i="17"/>
  <c r="R228" i="17"/>
  <c r="D229" i="17"/>
  <c r="F229" i="17"/>
  <c r="H229" i="17"/>
  <c r="J229" i="17"/>
  <c r="L229" i="17"/>
  <c r="M229" i="17"/>
  <c r="O229" i="17"/>
  <c r="P229" i="17"/>
  <c r="R229" i="17"/>
  <c r="D230" i="17"/>
  <c r="F230" i="17"/>
  <c r="H230" i="17"/>
  <c r="J230" i="17"/>
  <c r="M230" i="17"/>
  <c r="O230" i="17"/>
  <c r="P230" i="17"/>
  <c r="R230" i="17"/>
  <c r="D231" i="17"/>
  <c r="F231" i="17"/>
  <c r="H231" i="17"/>
  <c r="J231" i="17"/>
  <c r="M231" i="17"/>
  <c r="O231" i="17"/>
  <c r="P231" i="17"/>
  <c r="R231" i="17"/>
  <c r="D232" i="17"/>
  <c r="F232" i="17"/>
  <c r="H232" i="17"/>
  <c r="J232" i="17"/>
  <c r="L232" i="17"/>
  <c r="M232" i="17"/>
  <c r="O232" i="17"/>
  <c r="P232" i="17"/>
  <c r="R232" i="17"/>
  <c r="D233" i="17"/>
  <c r="F233" i="17"/>
  <c r="H233" i="17"/>
  <c r="J233" i="17"/>
  <c r="M233" i="17"/>
  <c r="O233" i="17"/>
  <c r="P233" i="17"/>
  <c r="R233" i="17"/>
  <c r="D234" i="17"/>
  <c r="F234" i="17"/>
  <c r="H234" i="17"/>
  <c r="J234" i="17"/>
  <c r="M234" i="17"/>
  <c r="O234" i="17"/>
  <c r="P234" i="17"/>
  <c r="R234" i="17"/>
  <c r="D235" i="17"/>
  <c r="F235" i="17"/>
  <c r="H235" i="17"/>
  <c r="J235" i="17"/>
  <c r="M235" i="17"/>
  <c r="O235" i="17"/>
  <c r="P235" i="17"/>
  <c r="R235" i="17"/>
  <c r="K239" i="17"/>
  <c r="L239" i="17"/>
  <c r="K240" i="17"/>
  <c r="L240" i="17"/>
  <c r="K241" i="17"/>
  <c r="K242" i="17"/>
  <c r="L242" i="17"/>
  <c r="K243" i="17"/>
  <c r="L243" i="17"/>
  <c r="K244" i="17"/>
  <c r="L244" i="17"/>
  <c r="K245" i="17"/>
  <c r="L245" i="17"/>
  <c r="K246" i="17"/>
  <c r="L246" i="17"/>
  <c r="K247" i="17"/>
  <c r="L247" i="17"/>
  <c r="K248" i="17"/>
  <c r="L248" i="17"/>
  <c r="K249" i="17"/>
  <c r="L249" i="17"/>
  <c r="K250" i="17"/>
  <c r="L250" i="17"/>
  <c r="L254" i="17"/>
  <c r="L255" i="17"/>
  <c r="L256" i="17"/>
  <c r="L257" i="17"/>
  <c r="L258" i="17"/>
  <c r="L259" i="17"/>
  <c r="L260" i="17"/>
  <c r="L261" i="17"/>
  <c r="L262" i="17"/>
  <c r="L263" i="17"/>
  <c r="L264" i="17"/>
  <c r="L265" i="17"/>
  <c r="F181" i="9"/>
  <c r="F180" i="9"/>
  <c r="F179" i="9"/>
  <c r="F178" i="9"/>
  <c r="F177" i="9"/>
  <c r="F176" i="9"/>
  <c r="F175" i="9"/>
  <c r="F174" i="9"/>
  <c r="F173" i="9"/>
  <c r="F172" i="9"/>
  <c r="F171" i="9"/>
  <c r="F170" i="9"/>
  <c r="F169" i="9"/>
  <c r="F168" i="9"/>
  <c r="F167" i="9"/>
  <c r="F166" i="9"/>
  <c r="F165" i="9"/>
  <c r="F164" i="9"/>
  <c r="F163" i="9"/>
  <c r="F162" i="9"/>
  <c r="F161" i="9"/>
  <c r="F160" i="9"/>
  <c r="F159" i="9"/>
  <c r="F158" i="9"/>
  <c r="F157" i="9"/>
  <c r="F156" i="9"/>
  <c r="F155" i="9"/>
  <c r="F154" i="9"/>
  <c r="F153" i="9"/>
  <c r="F152" i="9"/>
  <c r="F151" i="9"/>
  <c r="F150" i="9"/>
  <c r="F149" i="9"/>
  <c r="F148" i="9"/>
  <c r="F147" i="9"/>
  <c r="F146" i="9"/>
  <c r="F145" i="9"/>
  <c r="F144" i="9"/>
  <c r="F143" i="9"/>
  <c r="F142" i="9"/>
  <c r="F141" i="9"/>
  <c r="F140" i="9"/>
  <c r="F139" i="9"/>
  <c r="F138" i="9"/>
  <c r="F137" i="9"/>
  <c r="F136" i="9"/>
  <c r="F135" i="9"/>
  <c r="F134" i="9"/>
  <c r="F133" i="9"/>
  <c r="F132" i="9"/>
  <c r="F131" i="9"/>
  <c r="F130" i="9"/>
  <c r="F129" i="9"/>
  <c r="F128" i="9"/>
  <c r="F127" i="9"/>
  <c r="F126" i="9"/>
  <c r="F125" i="9"/>
  <c r="F124" i="9"/>
  <c r="F123" i="9"/>
  <c r="F122" i="9"/>
  <c r="F121" i="9"/>
  <c r="F120" i="9"/>
  <c r="F119" i="9"/>
  <c r="F118" i="9"/>
  <c r="F117" i="9"/>
  <c r="F116" i="9"/>
  <c r="F115" i="9"/>
  <c r="F114" i="9"/>
  <c r="F113" i="9"/>
  <c r="F112" i="9"/>
  <c r="F111" i="9"/>
  <c r="F110" i="9"/>
  <c r="F109" i="9"/>
  <c r="F108" i="9"/>
  <c r="F107" i="9"/>
  <c r="F106" i="9"/>
  <c r="F105" i="9"/>
  <c r="F104" i="9"/>
  <c r="F103" i="9"/>
  <c r="F102" i="9"/>
  <c r="F101" i="9"/>
  <c r="F100" i="9"/>
  <c r="F99" i="9"/>
  <c r="F98" i="9"/>
  <c r="F97" i="9"/>
  <c r="F96" i="9"/>
  <c r="F95" i="9"/>
  <c r="F94" i="9"/>
  <c r="F93" i="9"/>
  <c r="F92" i="9"/>
  <c r="F91" i="9"/>
  <c r="F90" i="9"/>
  <c r="F89" i="9"/>
  <c r="F88" i="9"/>
  <c r="F87" i="9"/>
  <c r="F86" i="9"/>
  <c r="F85" i="9"/>
  <c r="F84" i="9"/>
  <c r="F83" i="9"/>
  <c r="F82" i="9"/>
  <c r="F81" i="9"/>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F3" i="9"/>
  <c r="F2" i="9"/>
  <c r="C105" i="15"/>
  <c r="D105" i="15"/>
  <c r="C106" i="15"/>
  <c r="D106" i="15"/>
  <c r="C107" i="15"/>
  <c r="D107" i="15"/>
  <c r="C108" i="15"/>
  <c r="D108" i="15"/>
  <c r="J23" i="8"/>
  <c r="H27" i="7"/>
  <c r="F23" i="8"/>
  <c r="F21" i="8"/>
  <c r="C6" i="8"/>
  <c r="L27" i="8"/>
  <c r="K27" i="8"/>
  <c r="J27" i="8"/>
  <c r="I27" i="8"/>
  <c r="H27" i="8"/>
  <c r="G27" i="8"/>
  <c r="F27" i="8"/>
  <c r="E27" i="8"/>
  <c r="D27" i="8"/>
  <c r="L25" i="8"/>
  <c r="K25" i="8"/>
  <c r="J25" i="8"/>
  <c r="I25" i="8"/>
  <c r="H25" i="8"/>
  <c r="G25" i="8"/>
  <c r="F25" i="8"/>
  <c r="E25" i="8"/>
  <c r="D25" i="8"/>
  <c r="L23" i="8"/>
  <c r="K23" i="8"/>
  <c r="I23" i="8"/>
  <c r="H23" i="8"/>
  <c r="G23" i="8"/>
  <c r="E23" i="8"/>
  <c r="D23" i="8"/>
  <c r="L21" i="8"/>
  <c r="K21" i="8"/>
  <c r="J21" i="8"/>
  <c r="I21" i="8"/>
  <c r="H21" i="8"/>
  <c r="G21" i="8"/>
  <c r="E21" i="8"/>
  <c r="D21" i="8"/>
  <c r="L20" i="8"/>
  <c r="K20" i="8"/>
  <c r="J20" i="8"/>
  <c r="I20" i="8"/>
  <c r="H20" i="8"/>
  <c r="G20" i="8"/>
  <c r="F20" i="8"/>
  <c r="E20" i="8"/>
  <c r="D20" i="8"/>
  <c r="L19" i="8"/>
  <c r="K19" i="8"/>
  <c r="J19" i="8"/>
  <c r="I19" i="8"/>
  <c r="H19" i="8"/>
  <c r="G19" i="8"/>
  <c r="F19" i="8"/>
  <c r="E19" i="8"/>
  <c r="D19" i="8"/>
  <c r="L6" i="8"/>
  <c r="K6" i="8"/>
  <c r="J6" i="8"/>
  <c r="I6" i="8"/>
  <c r="H6" i="8"/>
  <c r="G6" i="8"/>
  <c r="F6" i="8"/>
  <c r="E6" i="8"/>
  <c r="D6" i="8"/>
  <c r="L14" i="8"/>
  <c r="L12" i="8"/>
  <c r="L10" i="8"/>
  <c r="L8" i="8"/>
  <c r="L7" i="8"/>
  <c r="K7" i="8"/>
  <c r="J7" i="8"/>
  <c r="I7" i="8"/>
  <c r="H7" i="8"/>
  <c r="G7" i="8"/>
  <c r="F7" i="8"/>
  <c r="E7" i="8"/>
  <c r="D7" i="8"/>
  <c r="K14" i="8"/>
  <c r="J14" i="8"/>
  <c r="I14" i="8"/>
  <c r="H14" i="8"/>
  <c r="G14" i="8"/>
  <c r="F14" i="8"/>
  <c r="E14" i="8"/>
  <c r="D14" i="8"/>
  <c r="K12" i="8"/>
  <c r="J12" i="8"/>
  <c r="I12" i="8"/>
  <c r="H12" i="8"/>
  <c r="G12" i="8"/>
  <c r="F12" i="8"/>
  <c r="E12" i="8"/>
  <c r="D12" i="8"/>
  <c r="K10" i="8"/>
  <c r="J10" i="8"/>
  <c r="I10" i="8"/>
  <c r="H10" i="8"/>
  <c r="G10" i="8"/>
  <c r="F10" i="8"/>
  <c r="E10" i="8"/>
  <c r="D10" i="8"/>
  <c r="K8" i="8"/>
  <c r="J8" i="8"/>
  <c r="I8" i="8"/>
  <c r="H8" i="8"/>
  <c r="G8" i="8"/>
  <c r="F8" i="8"/>
  <c r="E8" i="8"/>
  <c r="D8" i="8"/>
  <c r="C27" i="8"/>
  <c r="C25" i="8"/>
  <c r="C23" i="8"/>
  <c r="C21" i="8"/>
  <c r="C14" i="8"/>
  <c r="C12" i="8"/>
  <c r="C10" i="8"/>
  <c r="C8" i="8"/>
  <c r="O165" i="18" l="1"/>
  <c r="O154" i="18"/>
  <c r="O122" i="18"/>
  <c r="O100" i="18"/>
  <c r="O68" i="18"/>
  <c r="O57" i="18"/>
  <c r="O46" i="18"/>
  <c r="O24" i="18"/>
  <c r="C19" i="8"/>
  <c r="C7" i="8"/>
  <c r="C20" i="8" l="1"/>
</calcChain>
</file>

<file path=xl/sharedStrings.xml><?xml version="1.0" encoding="utf-8"?>
<sst xmlns="http://schemas.openxmlformats.org/spreadsheetml/2006/main" count="3487" uniqueCount="504">
  <si>
    <t>01-</t>
  </si>
  <si>
    <t>02-</t>
  </si>
  <si>
    <t>03-</t>
  </si>
  <si>
    <t>04-</t>
  </si>
  <si>
    <t>05-</t>
  </si>
  <si>
    <t>06-</t>
  </si>
  <si>
    <t>Cotton</t>
  </si>
  <si>
    <t>Plot</t>
  </si>
  <si>
    <t>Flag</t>
  </si>
  <si>
    <t>by:</t>
  </si>
  <si>
    <t>Summary</t>
  </si>
  <si>
    <t>Canopy Heights - Summary</t>
  </si>
  <si>
    <t>Height (cm)</t>
  </si>
  <si>
    <t>Average Canopy Heights</t>
  </si>
  <si>
    <t>Average Canopy Widths</t>
  </si>
  <si>
    <t>TRT</t>
  </si>
  <si>
    <t>F13b4</t>
  </si>
  <si>
    <t>Initials:</t>
  </si>
  <si>
    <t>Date:</t>
  </si>
  <si>
    <t>Time:</t>
  </si>
  <si>
    <t>DOY:</t>
  </si>
  <si>
    <t>NAWF</t>
  </si>
  <si>
    <t>"--" = closed canopy</t>
  </si>
  <si>
    <t xml:space="preserve"> </t>
  </si>
  <si>
    <t>Width (cm)</t>
  </si>
  <si>
    <t>Canopy Measurements &amp; NAWF</t>
  </si>
  <si>
    <t>Cotton planted 24 April. Watered 25 April.</t>
  </si>
  <si>
    <t>01-01</t>
  </si>
  <si>
    <t>03-01</t>
  </si>
  <si>
    <t>01-02</t>
  </si>
  <si>
    <t>03-02</t>
  </si>
  <si>
    <t>01-03</t>
  </si>
  <si>
    <t>03-03</t>
  </si>
  <si>
    <t>01-04</t>
  </si>
  <si>
    <t>03-04</t>
  </si>
  <si>
    <t>01-05</t>
  </si>
  <si>
    <t>03-05</t>
  </si>
  <si>
    <t>01-06</t>
  </si>
  <si>
    <t>03-06</t>
  </si>
  <si>
    <t>01-07</t>
  </si>
  <si>
    <t>03-07</t>
  </si>
  <si>
    <t>01-08</t>
  </si>
  <si>
    <t>03-08</t>
  </si>
  <si>
    <t>01-09</t>
  </si>
  <si>
    <t>03-09</t>
  </si>
  <si>
    <t>01-10</t>
  </si>
  <si>
    <t>03-10</t>
  </si>
  <si>
    <t>01-11</t>
  </si>
  <si>
    <t>03-11</t>
  </si>
  <si>
    <t>01-12</t>
  </si>
  <si>
    <t>03-12</t>
  </si>
  <si>
    <t>01-13</t>
  </si>
  <si>
    <t>03-13</t>
  </si>
  <si>
    <t>01-14</t>
  </si>
  <si>
    <t>03-14</t>
  </si>
  <si>
    <t>01-15</t>
  </si>
  <si>
    <t>02-15</t>
  </si>
  <si>
    <t>04-15</t>
  </si>
  <si>
    <t>02-14</t>
  </si>
  <si>
    <t>04-14</t>
  </si>
  <si>
    <t>02-13</t>
  </si>
  <si>
    <t>04-13</t>
  </si>
  <si>
    <t>02-12</t>
  </si>
  <si>
    <t>04-12</t>
  </si>
  <si>
    <t>02-11</t>
  </si>
  <si>
    <t>04-11</t>
  </si>
  <si>
    <t>02-10</t>
  </si>
  <si>
    <t>04-10</t>
  </si>
  <si>
    <t>02-9</t>
  </si>
  <si>
    <t>04-9</t>
  </si>
  <si>
    <t>02-8</t>
  </si>
  <si>
    <t>04-8</t>
  </si>
  <si>
    <t>02-7</t>
  </si>
  <si>
    <t>04-7</t>
  </si>
  <si>
    <t>02-6</t>
  </si>
  <si>
    <t>04-6</t>
  </si>
  <si>
    <t>02-5</t>
  </si>
  <si>
    <t>04-5</t>
  </si>
  <si>
    <t>02-4</t>
  </si>
  <si>
    <t>04-4</t>
  </si>
  <si>
    <t>02-3</t>
  </si>
  <si>
    <t>04-3</t>
  </si>
  <si>
    <t>02-2</t>
  </si>
  <si>
    <t>04-2</t>
  </si>
  <si>
    <t>02-1</t>
  </si>
  <si>
    <t>04-1</t>
  </si>
  <si>
    <t>05-01</t>
  </si>
  <si>
    <t>07-01</t>
  </si>
  <si>
    <t>05-02</t>
  </si>
  <si>
    <t>07-02</t>
  </si>
  <si>
    <t>05-03</t>
  </si>
  <si>
    <t>07-03</t>
  </si>
  <si>
    <t>05-04</t>
  </si>
  <si>
    <t>07-04</t>
  </si>
  <si>
    <t>05-05</t>
  </si>
  <si>
    <t>07-05</t>
  </si>
  <si>
    <t>05-06</t>
  </si>
  <si>
    <t>07-06</t>
  </si>
  <si>
    <t>05-07</t>
  </si>
  <si>
    <t>07-07</t>
  </si>
  <si>
    <t>05-08</t>
  </si>
  <si>
    <t>07-08</t>
  </si>
  <si>
    <t>05-09</t>
  </si>
  <si>
    <t>07-09</t>
  </si>
  <si>
    <t>05-10</t>
  </si>
  <si>
    <t>07-10</t>
  </si>
  <si>
    <t>05-11</t>
  </si>
  <si>
    <t>07-11</t>
  </si>
  <si>
    <t>05-12</t>
  </si>
  <si>
    <t>07-12</t>
  </si>
  <si>
    <t>05-13</t>
  </si>
  <si>
    <t>07-13</t>
  </si>
  <si>
    <t>05-14</t>
  </si>
  <si>
    <t>07-14</t>
  </si>
  <si>
    <t>05-15</t>
  </si>
  <si>
    <t>07-15</t>
  </si>
  <si>
    <t>06-15</t>
  </si>
  <si>
    <t>08-15</t>
  </si>
  <si>
    <t>06-14</t>
  </si>
  <si>
    <t>08-14</t>
  </si>
  <si>
    <t>06-13</t>
  </si>
  <si>
    <t>08-13</t>
  </si>
  <si>
    <t>06-12</t>
  </si>
  <si>
    <t>08-12</t>
  </si>
  <si>
    <t>06-11</t>
  </si>
  <si>
    <t>08-11</t>
  </si>
  <si>
    <t>06-10</t>
  </si>
  <si>
    <t>08-10</t>
  </si>
  <si>
    <t>06-9</t>
  </si>
  <si>
    <t>08-9</t>
  </si>
  <si>
    <t>06-8</t>
  </si>
  <si>
    <t>08-8</t>
  </si>
  <si>
    <t>06-7</t>
  </si>
  <si>
    <t>08-7</t>
  </si>
  <si>
    <t>06-6</t>
  </si>
  <si>
    <t>08-6</t>
  </si>
  <si>
    <t>06-5</t>
  </si>
  <si>
    <t>08-5</t>
  </si>
  <si>
    <t>06-4</t>
  </si>
  <si>
    <t>08-4</t>
  </si>
  <si>
    <t>06-3</t>
  </si>
  <si>
    <t>08-3</t>
  </si>
  <si>
    <t>06-2</t>
  </si>
  <si>
    <t>08-2</t>
  </si>
  <si>
    <t>06-1</t>
  </si>
  <si>
    <t>08-1</t>
  </si>
  <si>
    <t>09-01</t>
  </si>
  <si>
    <t>11-01</t>
  </si>
  <si>
    <t>09-02</t>
  </si>
  <si>
    <t>11-02</t>
  </si>
  <si>
    <t>09-03</t>
  </si>
  <si>
    <t>11-03</t>
  </si>
  <si>
    <t>09-04</t>
  </si>
  <si>
    <t>11-04</t>
  </si>
  <si>
    <t>09-05</t>
  </si>
  <si>
    <t>11-05</t>
  </si>
  <si>
    <t>09-06</t>
  </si>
  <si>
    <t>11-06</t>
  </si>
  <si>
    <t>09-07</t>
  </si>
  <si>
    <t>11-07</t>
  </si>
  <si>
    <t>09-08</t>
  </si>
  <si>
    <t>11-08</t>
  </si>
  <si>
    <t>09-09</t>
  </si>
  <si>
    <t>11-09</t>
  </si>
  <si>
    <t>09-10</t>
  </si>
  <si>
    <t>11-10</t>
  </si>
  <si>
    <t>09-11</t>
  </si>
  <si>
    <t>11-11</t>
  </si>
  <si>
    <t>09-12</t>
  </si>
  <si>
    <t>11-12</t>
  </si>
  <si>
    <t>09-13</t>
  </si>
  <si>
    <t>11-13</t>
  </si>
  <si>
    <t>09-14</t>
  </si>
  <si>
    <t>11-14</t>
  </si>
  <si>
    <t>09-15</t>
  </si>
  <si>
    <t>11-15</t>
  </si>
  <si>
    <t>10-15</t>
  </si>
  <si>
    <t>12-15</t>
  </si>
  <si>
    <t>10-14</t>
  </si>
  <si>
    <t>12-14</t>
  </si>
  <si>
    <t>10-13</t>
  </si>
  <si>
    <t>12-13</t>
  </si>
  <si>
    <t>10-12</t>
  </si>
  <si>
    <t>12-12</t>
  </si>
  <si>
    <t>10-11</t>
  </si>
  <si>
    <t>12-11</t>
  </si>
  <si>
    <t>10-10</t>
  </si>
  <si>
    <t>12-10</t>
  </si>
  <si>
    <t>10-9</t>
  </si>
  <si>
    <t>12-9</t>
  </si>
  <si>
    <t>10-8</t>
  </si>
  <si>
    <t>12-8</t>
  </si>
  <si>
    <t>10-7</t>
  </si>
  <si>
    <t>12-7</t>
  </si>
  <si>
    <t>10-6</t>
  </si>
  <si>
    <t>12-6</t>
  </si>
  <si>
    <t>10-5</t>
  </si>
  <si>
    <t>12-5</t>
  </si>
  <si>
    <t>10-4</t>
  </si>
  <si>
    <t>12-4</t>
  </si>
  <si>
    <t>10-3</t>
  </si>
  <si>
    <t>12-3</t>
  </si>
  <si>
    <t>10-2</t>
  </si>
  <si>
    <t>12-2</t>
  </si>
  <si>
    <t>10-1</t>
  </si>
  <si>
    <t>12-1</t>
  </si>
  <si>
    <t>2023 - Averages by treatments</t>
  </si>
  <si>
    <t>STRIP</t>
  </si>
  <si>
    <t>NO TILL</t>
  </si>
  <si>
    <t>BEDS</t>
  </si>
  <si>
    <t>FLAT</t>
  </si>
  <si>
    <t>spans 4-6</t>
  </si>
  <si>
    <t>0900-1145</t>
  </si>
  <si>
    <t>--</t>
  </si>
  <si>
    <t>0915-1200</t>
  </si>
  <si>
    <t>0900-1130</t>
  </si>
  <si>
    <t>0830-1130</t>
  </si>
  <si>
    <t>0845-1200</t>
  </si>
  <si>
    <t>0900-1200</t>
  </si>
  <si>
    <t>0830-1200</t>
  </si>
  <si>
    <t>0815-1215</t>
  </si>
  <si>
    <t>0830-1300</t>
  </si>
  <si>
    <t>0815-1430</t>
  </si>
  <si>
    <t>SMM</t>
  </si>
  <si>
    <t>p12-15</t>
  </si>
  <si>
    <t>p12-14</t>
  </si>
  <si>
    <t>p12-13</t>
  </si>
  <si>
    <t>p12-12</t>
  </si>
  <si>
    <t>p12-11</t>
  </si>
  <si>
    <t>p12-10</t>
  </si>
  <si>
    <t>p12-09</t>
  </si>
  <si>
    <t>p12-08</t>
  </si>
  <si>
    <t>p12-07</t>
  </si>
  <si>
    <t>p12-06</t>
  </si>
  <si>
    <t>p12-05</t>
  </si>
  <si>
    <t>p12-04</t>
  </si>
  <si>
    <t>p12-03</t>
  </si>
  <si>
    <t>p12-02</t>
  </si>
  <si>
    <t>p12-01</t>
  </si>
  <si>
    <t>p11-15</t>
  </si>
  <si>
    <t>p11-14</t>
  </si>
  <si>
    <t>p11-13</t>
  </si>
  <si>
    <t>p11-12</t>
  </si>
  <si>
    <t>p11-11</t>
  </si>
  <si>
    <t>p11-10</t>
  </si>
  <si>
    <t>p11-09</t>
  </si>
  <si>
    <t>p11-08</t>
  </si>
  <si>
    <t>p11-07</t>
  </si>
  <si>
    <t>p11-06</t>
  </si>
  <si>
    <t>p11-05</t>
  </si>
  <si>
    <t>p11-04</t>
  </si>
  <si>
    <t>p11-03</t>
  </si>
  <si>
    <t>p11-02</t>
  </si>
  <si>
    <t>p11-01</t>
  </si>
  <si>
    <t>p10-15</t>
  </si>
  <si>
    <t>p10-14</t>
  </si>
  <si>
    <t>p10-13</t>
  </si>
  <si>
    <t>p10-12</t>
  </si>
  <si>
    <t>p10-11</t>
  </si>
  <si>
    <t>p10-10</t>
  </si>
  <si>
    <t>p10-09</t>
  </si>
  <si>
    <t>p10-08</t>
  </si>
  <si>
    <t>p10-07</t>
  </si>
  <si>
    <t>p10-06</t>
  </si>
  <si>
    <t>p10-05</t>
  </si>
  <si>
    <t>p10-04</t>
  </si>
  <si>
    <t>p10-03</t>
  </si>
  <si>
    <t>p10-02</t>
  </si>
  <si>
    <t>p10-01</t>
  </si>
  <si>
    <t>p09-15</t>
  </si>
  <si>
    <t>p09-14</t>
  </si>
  <si>
    <t>p09-13</t>
  </si>
  <si>
    <t>p09-12</t>
  </si>
  <si>
    <t>p09-11</t>
  </si>
  <si>
    <t>p09-10</t>
  </si>
  <si>
    <t>p09-09</t>
  </si>
  <si>
    <t>p09-08</t>
  </si>
  <si>
    <t>p09-07</t>
  </si>
  <si>
    <t>p09-06</t>
  </si>
  <si>
    <t>p09-05</t>
  </si>
  <si>
    <t>p09-04</t>
  </si>
  <si>
    <t>p09-03</t>
  </si>
  <si>
    <t>p09-02</t>
  </si>
  <si>
    <t>p09-01</t>
  </si>
  <si>
    <t>p08-15</t>
  </si>
  <si>
    <t>p08-14</t>
  </si>
  <si>
    <t>p08-13</t>
  </si>
  <si>
    <t>p08-12</t>
  </si>
  <si>
    <t>p08-11</t>
  </si>
  <si>
    <t>p08-10</t>
  </si>
  <si>
    <t>p08-09</t>
  </si>
  <si>
    <t>p08-08</t>
  </si>
  <si>
    <t>p08-07</t>
  </si>
  <si>
    <t>p08-06</t>
  </si>
  <si>
    <t>p08-05</t>
  </si>
  <si>
    <t>p08-04</t>
  </si>
  <si>
    <t>p08-03</t>
  </si>
  <si>
    <t>p08-02</t>
  </si>
  <si>
    <t>p08-01</t>
  </si>
  <si>
    <t>p07-15</t>
  </si>
  <si>
    <t>p07-14</t>
  </si>
  <si>
    <t>p07-13</t>
  </si>
  <si>
    <t>p07-12</t>
  </si>
  <si>
    <t>p07-11</t>
  </si>
  <si>
    <t>p07-10</t>
  </si>
  <si>
    <t>p07-09</t>
  </si>
  <si>
    <t>p07-08</t>
  </si>
  <si>
    <t>p07-07</t>
  </si>
  <si>
    <t>p07-06</t>
  </si>
  <si>
    <t>p07-05</t>
  </si>
  <si>
    <t>p07-04</t>
  </si>
  <si>
    <t>p07-03</t>
  </si>
  <si>
    <t>p07-02</t>
  </si>
  <si>
    <t>p07-01</t>
  </si>
  <si>
    <t>p06-15</t>
  </si>
  <si>
    <t>p06-14</t>
  </si>
  <si>
    <t>p06-13</t>
  </si>
  <si>
    <t>p06-12</t>
  </si>
  <si>
    <t>p06-11</t>
  </si>
  <si>
    <t>p06-10</t>
  </si>
  <si>
    <t>p06-09</t>
  </si>
  <si>
    <t>p06-08</t>
  </si>
  <si>
    <t>p06-07</t>
  </si>
  <si>
    <t>p06-06</t>
  </si>
  <si>
    <t>p06-05</t>
  </si>
  <si>
    <t>p06-04</t>
  </si>
  <si>
    <t>p06-03</t>
  </si>
  <si>
    <t>p06-02</t>
  </si>
  <si>
    <t>p06-01</t>
  </si>
  <si>
    <t>p05-15</t>
  </si>
  <si>
    <t>p05-14</t>
  </si>
  <si>
    <t>p05-13</t>
  </si>
  <si>
    <t>p05-12</t>
  </si>
  <si>
    <t>p05-11</t>
  </si>
  <si>
    <t>p05-10</t>
  </si>
  <si>
    <t>p05-09</t>
  </si>
  <si>
    <t>p05-08</t>
  </si>
  <si>
    <t>p05-07</t>
  </si>
  <si>
    <t>p05-06</t>
  </si>
  <si>
    <t>p05-05</t>
  </si>
  <si>
    <t>p05-04</t>
  </si>
  <si>
    <t>p05-03</t>
  </si>
  <si>
    <t>p05-02</t>
  </si>
  <si>
    <t>p05-01</t>
  </si>
  <si>
    <t>p04-15</t>
  </si>
  <si>
    <t>p04-14</t>
  </si>
  <si>
    <t>p04-13</t>
  </si>
  <si>
    <t>p04-12</t>
  </si>
  <si>
    <t>p04-11</t>
  </si>
  <si>
    <t>p04-10</t>
  </si>
  <si>
    <t>p04-09</t>
  </si>
  <si>
    <t>p04-08</t>
  </si>
  <si>
    <t>p04-07</t>
  </si>
  <si>
    <t>p04-06</t>
  </si>
  <si>
    <t>p04-05</t>
  </si>
  <si>
    <t>p04-04</t>
  </si>
  <si>
    <t>p04-03</t>
  </si>
  <si>
    <t>p04-02</t>
  </si>
  <si>
    <t>p04-01</t>
  </si>
  <si>
    <t>p03-15</t>
  </si>
  <si>
    <t>p03-14</t>
  </si>
  <si>
    <t>p03-13</t>
  </si>
  <si>
    <t>p03-12</t>
  </si>
  <si>
    <t>p03-11</t>
  </si>
  <si>
    <t>p03-10</t>
  </si>
  <si>
    <t>p03-09</t>
  </si>
  <si>
    <t>p03-08</t>
  </si>
  <si>
    <t>p03-07</t>
  </si>
  <si>
    <t>p03-06</t>
  </si>
  <si>
    <t>p03-05</t>
  </si>
  <si>
    <t>p03-04</t>
  </si>
  <si>
    <t>p03-03</t>
  </si>
  <si>
    <t>p03-02</t>
  </si>
  <si>
    <t>p03-01</t>
  </si>
  <si>
    <t>p02-15</t>
  </si>
  <si>
    <t>p02-14</t>
  </si>
  <si>
    <t>p02-13</t>
  </si>
  <si>
    <t>p02-12</t>
  </si>
  <si>
    <t>p02-11</t>
  </si>
  <si>
    <t>p02-10</t>
  </si>
  <si>
    <t>p02-09</t>
  </si>
  <si>
    <t>p02-08</t>
  </si>
  <si>
    <t>p02-07</t>
  </si>
  <si>
    <t>p02-06</t>
  </si>
  <si>
    <t>p02-05</t>
  </si>
  <si>
    <t>p02-04</t>
  </si>
  <si>
    <t>p02-03</t>
  </si>
  <si>
    <t>p02-02</t>
  </si>
  <si>
    <t>p02-01</t>
  </si>
  <si>
    <t>p01-15</t>
  </si>
  <si>
    <t>p01-14</t>
  </si>
  <si>
    <t>p01-13</t>
  </si>
  <si>
    <t>p01-12</t>
  </si>
  <si>
    <t>p01-11</t>
  </si>
  <si>
    <t>p01-10</t>
  </si>
  <si>
    <t>p01-09</t>
  </si>
  <si>
    <t>p01-08</t>
  </si>
  <si>
    <t>p01-07</t>
  </si>
  <si>
    <t>p01-06</t>
  </si>
  <si>
    <t>p01-05</t>
  </si>
  <si>
    <t>p01-04</t>
  </si>
  <si>
    <t>p01-03</t>
  </si>
  <si>
    <t>p01-02</t>
  </si>
  <si>
    <t>p01-01</t>
  </si>
  <si>
    <t>DOY236</t>
  </si>
  <si>
    <t>DOY215</t>
  </si>
  <si>
    <t>DOY208</t>
  </si>
  <si>
    <t>DOY201</t>
  </si>
  <si>
    <t>DOY194</t>
  </si>
  <si>
    <t>DOY184</t>
  </si>
  <si>
    <t>DOY177</t>
  </si>
  <si>
    <t>DOY171</t>
  </si>
  <si>
    <t>DOY163</t>
  </si>
  <si>
    <t>DOY156</t>
  </si>
  <si>
    <t>CCID</t>
  </si>
  <si>
    <t>NOTILL</t>
  </si>
  <si>
    <t>Notes</t>
  </si>
  <si>
    <t># plants /1.5 m</t>
  </si>
  <si>
    <t>1 row West of flag</t>
  </si>
  <si>
    <t>1 row East of flag</t>
  </si>
  <si>
    <t>Counted plants in 1.5 meter North of  each canopy height flag &amp; same relative location in the rows to the East and West of the flagged row. Where neutron tubes are located in the row to the East, the final density count in that row may be shifted North a bit.</t>
  </si>
  <si>
    <t>various</t>
  </si>
  <si>
    <t>Final density counts</t>
  </si>
  <si>
    <t>PLAPD</t>
  </si>
  <si>
    <t>03-15</t>
  </si>
  <si>
    <t>EDATE</t>
  </si>
  <si>
    <t>PLYRE</t>
  </si>
  <si>
    <t>PLDOE</t>
  </si>
  <si>
    <t>12</t>
  </si>
  <si>
    <t>11</t>
  </si>
  <si>
    <t>10</t>
  </si>
  <si>
    <t>9</t>
  </si>
  <si>
    <t>8</t>
  </si>
  <si>
    <t>7</t>
  </si>
  <si>
    <t>6</t>
  </si>
  <si>
    <t>5</t>
  </si>
  <si>
    <t>4</t>
  </si>
  <si>
    <t>3</t>
  </si>
  <si>
    <t>2</t>
  </si>
  <si>
    <t>1</t>
  </si>
  <si>
    <t>DOY</t>
  </si>
  <si>
    <t>50% First True Leaf</t>
  </si>
  <si>
    <t>First True Leaf</t>
  </si>
  <si>
    <t>50% Emergence</t>
  </si>
  <si>
    <t>Emergence (plants/m)</t>
  </si>
  <si>
    <t>Delayed due to too much water?</t>
  </si>
  <si>
    <t>Delayed due to too little water?</t>
  </si>
  <si>
    <t>Half</t>
  </si>
  <si>
    <t>NG4936</t>
  </si>
  <si>
    <t>NG3195</t>
  </si>
  <si>
    <t>1st true leaf</t>
  </si>
  <si>
    <t>plants starting to emerge</t>
  </si>
  <si>
    <t>plants/1 m</t>
  </si>
  <si>
    <t>1030-1215h</t>
  </si>
  <si>
    <t>1000-1145h</t>
  </si>
  <si>
    <t>1300-1440h</t>
  </si>
  <si>
    <t>1000-1125h</t>
  </si>
  <si>
    <t xml:space="preserve">1015-1140h </t>
  </si>
  <si>
    <t>1215-1345h</t>
  </si>
  <si>
    <t># plants per 1 meter (1 meter North of each flag)</t>
  </si>
  <si>
    <t>It also gives a little insight into seedling mortality.</t>
  </si>
  <si>
    <t xml:space="preserve">But this was just a count I started a few years back to get an idea of emergence over weekends or other times I couldn't get into the field for a few days. </t>
  </si>
  <si>
    <r>
      <rPr>
        <b/>
        <sz val="12"/>
        <color rgb="FFC00000"/>
        <rFont val="Calibri"/>
        <family val="2"/>
        <scheme val="minor"/>
      </rPr>
      <t>***</t>
    </r>
    <r>
      <rPr>
        <b/>
        <sz val="12"/>
        <rFont val="Calibri"/>
        <family val="2"/>
        <scheme val="minor"/>
      </rPr>
      <t>"Plants starting to emerge" may not be accurate in plots due to stubble remaining in the planting swath.</t>
    </r>
  </si>
  <si>
    <t>Counting emerged plants 1 meter from North of the flag.</t>
  </si>
  <si>
    <t xml:space="preserve">Emergence counts taken at the center flag placed in each plot for canopy measurements </t>
  </si>
  <si>
    <t>Emergence &amp; 1st true leaf</t>
  </si>
  <si>
    <t>50% DOY</t>
  </si>
  <si>
    <t>First Leaf</t>
  </si>
  <si>
    <t>Emergence</t>
  </si>
  <si>
    <t>LF1D</t>
  </si>
  <si>
    <t>50% flowering</t>
  </si>
  <si>
    <t># flowering plants/10 plants</t>
  </si>
  <si>
    <t>Number of plants out of 10 that are flowering. Taken at the flags for canopy measurements.</t>
  </si>
  <si>
    <t>Flowering</t>
  </si>
  <si>
    <t>F1b4</t>
  </si>
  <si>
    <t>ADOY</t>
  </si>
  <si>
    <t>ADAT</t>
  </si>
  <si>
    <t>p01</t>
  </si>
  <si>
    <t>p02</t>
  </si>
  <si>
    <t>p03</t>
  </si>
  <si>
    <t>p04</t>
  </si>
  <si>
    <t>p05</t>
  </si>
  <si>
    <t>p06</t>
  </si>
  <si>
    <t>p07</t>
  </si>
  <si>
    <t>p08</t>
  </si>
  <si>
    <t>p09</t>
  </si>
  <si>
    <t>p10</t>
  </si>
  <si>
    <t>p11</t>
  </si>
  <si>
    <t>p12</t>
  </si>
  <si>
    <t>NAWF184</t>
  </si>
  <si>
    <t>NAWF194</t>
  </si>
  <si>
    <t>NAWF201</t>
  </si>
  <si>
    <t>NAWF208</t>
  </si>
  <si>
    <t>NAWF215</t>
  </si>
  <si>
    <t>NAWF236</t>
  </si>
  <si>
    <t>beds</t>
  </si>
  <si>
    <t>flat</t>
  </si>
  <si>
    <t xml:space="preserve">strip </t>
  </si>
  <si>
    <t>no till</t>
  </si>
  <si>
    <t>stri</t>
  </si>
  <si>
    <t>Average</t>
  </si>
  <si>
    <t>Counting the nodes of the upermost white flower in the 1st position of ~11 plants per plot - between the 12 flags that mark the location for the plant heights in a plot.</t>
  </si>
  <si>
    <t>Nodes Above White Flower</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</si>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</sst>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409]d\-mmm\-yy;@"/>
    <numFmt numFmtId="167" formatCode="[$-409]d\-mmm\-yyyy;@"/>
    <numFmt numFmtId="168" formatCode="mm/dd/yyyy"/>
  </numFmts>
  <fonts count="37" x14ac:knownFonts="1">
    <font>
      <sz val="10"/>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Calibri"/>
      <family val="2"/>
    </font>
    <font>
      <b/>
      <sz val="12"/>
      <color theme="1"/>
      <name val="Calibri"/>
      <family val="2"/>
    </font>
    <font>
      <sz val="9"/>
      <color theme="1"/>
      <name val="Calibri"/>
      <family val="2"/>
    </font>
    <font>
      <b/>
      <sz val="9"/>
      <color theme="1"/>
      <name val="Calibri"/>
      <family val="2"/>
    </font>
    <font>
      <sz val="8"/>
      <color theme="1"/>
      <name val="Calibri"/>
      <family val="2"/>
    </font>
    <font>
      <sz val="10"/>
      <color theme="1"/>
      <name val="Calibri Light"/>
      <family val="2"/>
    </font>
    <font>
      <b/>
      <sz val="11"/>
      <color theme="1"/>
      <name val="Calibri"/>
      <family val="2"/>
    </font>
    <font>
      <b/>
      <sz val="14"/>
      <color theme="1"/>
      <name val="Calibri"/>
      <family val="2"/>
    </font>
    <font>
      <b/>
      <sz val="10"/>
      <color rgb="FFFF0000"/>
      <name val="Calibri"/>
      <family val="2"/>
    </font>
    <font>
      <sz val="7"/>
      <color theme="1"/>
      <name val="Calibri"/>
      <family val="2"/>
    </font>
    <font>
      <b/>
      <sz val="16"/>
      <color theme="1"/>
      <name val="Calibri"/>
      <family val="2"/>
    </font>
    <font>
      <b/>
      <sz val="18"/>
      <color theme="1"/>
      <name val="Calibri"/>
      <family val="2"/>
    </font>
    <font>
      <sz val="7"/>
      <color theme="1"/>
      <name val="Calibri Light"/>
      <family val="2"/>
    </font>
    <font>
      <b/>
      <sz val="11"/>
      <color theme="1"/>
      <name val="Calibri"/>
      <family val="2"/>
      <scheme val="minor"/>
    </font>
    <font>
      <b/>
      <sz val="14"/>
      <color theme="1"/>
      <name val="Calibri"/>
      <family val="2"/>
      <scheme val="minor"/>
    </font>
    <font>
      <sz val="9"/>
      <color theme="1"/>
      <name val="Calibri"/>
      <family val="2"/>
      <scheme val="minor"/>
    </font>
    <font>
      <b/>
      <sz val="12"/>
      <color theme="1"/>
      <name val="Calibri"/>
      <family val="2"/>
      <scheme val="minor"/>
    </font>
    <font>
      <b/>
      <sz val="8"/>
      <color theme="1"/>
      <name val="Calibri"/>
      <family val="2"/>
      <scheme val="minor"/>
    </font>
    <font>
      <b/>
      <sz val="9"/>
      <color theme="1"/>
      <name val="Calibri"/>
      <family val="2"/>
      <scheme val="minor"/>
    </font>
    <font>
      <b/>
      <sz val="11"/>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sz val="11"/>
      <color theme="1"/>
      <name val="Calibri"/>
      <family val="2"/>
    </font>
    <font>
      <sz val="14"/>
      <color theme="1"/>
      <name val="Calibri"/>
      <family val="2"/>
      <scheme val="minor"/>
    </font>
    <font>
      <b/>
      <sz val="12"/>
      <name val="Calibri"/>
      <family val="2"/>
      <scheme val="minor"/>
    </font>
    <font>
      <b/>
      <sz val="12"/>
      <color rgb="FFC00000"/>
      <name val="Calibri"/>
      <family val="2"/>
      <scheme val="minor"/>
    </font>
    <font>
      <b/>
      <sz val="16"/>
      <color theme="1"/>
      <name val="Calibri"/>
      <family val="2"/>
      <scheme val="minor"/>
    </font>
    <font>
      <sz val="8"/>
      <name val="Calibri"/>
      <family val="2"/>
    </font>
    <font>
      <b/>
      <i/>
      <sz val="10"/>
      <color theme="1"/>
      <name val="Calibri"/>
      <family val="2"/>
    </font>
    <font>
      <b/>
      <sz val="8"/>
      <color theme="1"/>
      <name val="Calibri"/>
      <family val="2"/>
    </font>
  </fonts>
  <fills count="8">
    <fill>
      <patternFill patternType="none"/>
    </fill>
    <fill>
      <patternFill patternType="gray125"/>
    </fill>
    <fill>
      <patternFill patternType="solid">
        <fgColor rgb="FFFFE5F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45">
    <border>
      <left/>
      <right/>
      <top/>
      <bottom/>
      <diagonal/>
    </border>
    <border>
      <left/>
      <right/>
      <top style="medium">
        <color theme="2" tint="-0.499984740745262"/>
      </top>
      <bottom style="thin">
        <color theme="2" tint="-0.499984740745262"/>
      </bottom>
      <diagonal/>
    </border>
    <border>
      <left/>
      <right style="thin">
        <color theme="2" tint="-0.499984740745262"/>
      </right>
      <top style="medium">
        <color theme="2" tint="-0.499984740745262"/>
      </top>
      <bottom style="thin">
        <color theme="2" tint="-0.499984740745262"/>
      </bottom>
      <diagonal/>
    </border>
    <border>
      <left style="thin">
        <color theme="2" tint="-0.499984740745262"/>
      </left>
      <right style="thin">
        <color theme="2" tint="-0.499984740745262"/>
      </right>
      <top style="medium">
        <color theme="2" tint="-0.499984740745262"/>
      </top>
      <bottom style="thin">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right/>
      <top/>
      <bottom style="thin">
        <color auto="1"/>
      </bottom>
      <diagonal/>
    </border>
    <border>
      <left style="thin">
        <color theme="2" tint="-0.499984740745262"/>
      </left>
      <right/>
      <top style="medium">
        <color theme="2" tint="-0.499984740745262"/>
      </top>
      <bottom style="thin">
        <color theme="2" tint="-0.499984740745262"/>
      </bottom>
      <diagonal/>
    </border>
    <border>
      <left/>
      <right/>
      <top/>
      <bottom style="thin">
        <color theme="2" tint="-0.499984740745262"/>
      </bottom>
      <diagonal/>
    </border>
    <border>
      <left/>
      <right/>
      <top style="thin">
        <color theme="2" tint="-0.499984740745262"/>
      </top>
      <bottom style="thin">
        <color theme="2" tint="-0.499984740745262"/>
      </bottom>
      <diagonal/>
    </border>
    <border>
      <left style="thin">
        <color theme="2" tint="-0.499984740745262"/>
      </left>
      <right style="thin">
        <color theme="2" tint="-0.499984740745262"/>
      </right>
      <top/>
      <bottom style="medium">
        <color theme="2" tint="-0.499984740745262"/>
      </bottom>
      <diagonal/>
    </border>
    <border>
      <left/>
      <right style="thin">
        <color theme="2" tint="-0.499984740745262"/>
      </right>
      <top/>
      <bottom style="medium">
        <color theme="2" tint="-0.499984740745262"/>
      </bottom>
      <diagonal/>
    </border>
    <border>
      <left style="medium">
        <color theme="2" tint="-0.499984740745262"/>
      </left>
      <right style="thin">
        <color theme="2" tint="-0.499984740745262"/>
      </right>
      <top style="medium">
        <color theme="2" tint="-0.499984740745262"/>
      </top>
      <bottom style="medium">
        <color theme="2" tint="-0.499984740745262"/>
      </bottom>
      <diagonal/>
    </border>
    <border>
      <left style="thin">
        <color theme="2" tint="-0.499984740745262"/>
      </left>
      <right style="thin">
        <color theme="2" tint="-0.499984740745262"/>
      </right>
      <top style="medium">
        <color theme="2" tint="-0.499984740745262"/>
      </top>
      <bottom/>
      <diagonal/>
    </border>
    <border>
      <left/>
      <right style="medium">
        <color theme="2" tint="-0.499984740745262"/>
      </right>
      <top/>
      <bottom/>
      <diagonal/>
    </border>
    <border>
      <left style="medium">
        <color theme="2" tint="-0.499984740745262"/>
      </left>
      <right style="thin">
        <color theme="2" tint="-0.499984740745262"/>
      </right>
      <top style="medium">
        <color theme="2" tint="-0.499984740745262"/>
      </top>
      <bottom/>
      <diagonal/>
    </border>
    <border>
      <left style="thin">
        <color theme="2" tint="-0.499984740745262"/>
      </left>
      <right style="thin">
        <color theme="2" tint="-0.499984740745262"/>
      </right>
      <top/>
      <bottom style="thin">
        <color theme="2" tint="-0.499984740745262"/>
      </bottom>
      <diagonal/>
    </border>
    <border>
      <left style="medium">
        <color theme="2" tint="-0.499984740745262"/>
      </left>
      <right style="thin">
        <color theme="2" tint="-0.499984740745262"/>
      </right>
      <top style="double">
        <color theme="2" tint="-0.499984740745262"/>
      </top>
      <bottom/>
      <diagonal/>
    </border>
    <border>
      <left/>
      <right/>
      <top style="thin">
        <color theme="2" tint="-0.499984740745262"/>
      </top>
      <bottom style="medium">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diagonalUp="1">
      <left style="thin">
        <color theme="2" tint="-0.499984740745262"/>
      </left>
      <right style="thin">
        <color theme="2" tint="-0.499984740745262"/>
      </right>
      <top style="medium">
        <color theme="2" tint="-0.499984740745262"/>
      </top>
      <bottom style="medium">
        <color theme="2" tint="-0.499984740745262"/>
      </bottom>
      <diagonal style="thin">
        <color theme="2" tint="-0.499984740745262"/>
      </diagonal>
    </border>
    <border>
      <left style="thin">
        <color theme="2" tint="-0.499984740745262"/>
      </left>
      <right/>
      <top style="thin">
        <color theme="2" tint="-0.499984740745262"/>
      </top>
      <bottom style="medium">
        <color theme="2" tint="-0.499984740745262"/>
      </bottom>
      <diagonal/>
    </border>
    <border>
      <left style="medium">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top style="thin">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thin">
        <color theme="2" tint="-0.499984740745262"/>
      </bottom>
      <diagonal/>
    </border>
    <border>
      <left style="medium">
        <color theme="2" tint="-0.499984740745262"/>
      </left>
      <right style="thin">
        <color theme="2" tint="-0.499984740745262"/>
      </right>
      <top style="medium">
        <color theme="2" tint="-0.499984740745262"/>
      </top>
      <bottom style="thin">
        <color theme="2" tint="-0.499984740745262"/>
      </bottom>
      <diagonal/>
    </border>
    <border>
      <left style="thin">
        <color theme="2" tint="-0.499984740745262"/>
      </left>
      <right style="medium">
        <color theme="2" tint="-0.499984740745262"/>
      </right>
      <top style="thin">
        <color theme="2" tint="-0.499984740745262"/>
      </top>
      <bottom style="thick">
        <color theme="2" tint="-0.499984740745262"/>
      </bottom>
      <diagonal/>
    </border>
    <border>
      <left/>
      <right/>
      <top style="thin">
        <color theme="2" tint="-0.499984740745262"/>
      </top>
      <bottom style="thick">
        <color theme="2" tint="-0.499984740745262"/>
      </bottom>
      <diagonal/>
    </border>
    <border>
      <left style="medium">
        <color theme="2" tint="-0.499984740745262"/>
      </left>
      <right style="thin">
        <color theme="2" tint="-0.499984740745262"/>
      </right>
      <top style="thin">
        <color theme="2" tint="-0.499984740745262"/>
      </top>
      <bottom style="thick">
        <color theme="2" tint="-0.499984740745262"/>
      </bottom>
      <diagonal/>
    </border>
    <border>
      <left style="thin">
        <color theme="2" tint="-0.499984740745262"/>
      </left>
      <right/>
      <top style="thin">
        <color theme="2" tint="-0.499984740745262"/>
      </top>
      <bottom style="thick">
        <color theme="2" tint="-0.499984740745262"/>
      </bottom>
      <diagonal/>
    </border>
    <border>
      <left style="thin">
        <color theme="2" tint="-0.499984740745262"/>
      </left>
      <right style="medium">
        <color theme="2" tint="-0.499984740745262"/>
      </right>
      <top style="thin">
        <color theme="2" tint="-0.499984740745262"/>
      </top>
      <bottom style="thin">
        <color theme="2" tint="-0.499984740745262"/>
      </bottom>
      <diagonal/>
    </border>
    <border>
      <left style="thin">
        <color theme="2" tint="-0.499984740745262"/>
      </left>
      <right/>
      <top/>
      <bottom style="thin">
        <color theme="2" tint="-0.499984740745262"/>
      </bottom>
      <diagonal/>
    </border>
    <border>
      <left style="thin">
        <color theme="2" tint="-0.499984740745262"/>
      </left>
      <right style="medium">
        <color theme="2" tint="-0.499984740745262"/>
      </right>
      <top style="medium">
        <color theme="2" tint="-0.499984740745262"/>
      </top>
      <bottom style="thin">
        <color theme="2" tint="-0.499984740745262"/>
      </bottom>
      <diagonal/>
    </border>
    <border>
      <left/>
      <right style="thin">
        <color theme="2" tint="-0.499984740745262"/>
      </right>
      <top/>
      <bottom/>
      <diagonal/>
    </border>
    <border>
      <left/>
      <right/>
      <top style="thin">
        <color theme="2" tint="-0.499984740745262"/>
      </top>
      <bottom/>
      <diagonal/>
    </border>
    <border>
      <left/>
      <right style="thin">
        <color theme="2" tint="-0.499984740745262"/>
      </right>
      <top style="thin">
        <color theme="2" tint="-0.499984740745262"/>
      </top>
      <bottom/>
      <diagonal/>
    </border>
    <border>
      <left style="thin">
        <color theme="2" tint="-0.499984740745262"/>
      </left>
      <right/>
      <top style="thin">
        <color theme="2" tint="-0.499984740745262"/>
      </top>
      <bottom/>
      <diagonal/>
    </border>
    <border>
      <left/>
      <right style="thin">
        <color theme="2" tint="-0.499984740745262"/>
      </right>
      <top/>
      <bottom style="thin">
        <color theme="2" tint="-0.499984740745262"/>
      </bottom>
      <diagonal/>
    </border>
    <border>
      <left style="thick">
        <color theme="2" tint="-0.499984740745262"/>
      </left>
      <right style="thick">
        <color theme="2" tint="-0.499984740745262"/>
      </right>
      <top style="thick">
        <color theme="2" tint="-0.499984740745262"/>
      </top>
      <bottom style="thick">
        <color theme="2" tint="-0.499984740745262"/>
      </bottom>
      <diagonal/>
    </border>
    <border>
      <left style="thin">
        <color theme="2" tint="-0.499984740745262"/>
      </left>
      <right style="thin">
        <color theme="2" tint="-0.499984740745262"/>
      </right>
      <top style="thin">
        <color theme="2" tint="-0.499984740745262"/>
      </top>
      <bottom/>
      <diagonal/>
    </border>
    <border>
      <left style="medium">
        <color theme="2" tint="-0.499984740745262"/>
      </left>
      <right style="medium">
        <color theme="2" tint="-0.499984740745262"/>
      </right>
      <top/>
      <bottom style="thick">
        <color theme="2" tint="-0.499984740745262"/>
      </bottom>
      <diagonal/>
    </border>
    <border>
      <left style="thin">
        <color theme="2" tint="-0.499984740745262"/>
      </left>
      <right style="thick">
        <color theme="2" tint="-0.499984740745262"/>
      </right>
      <top style="thin">
        <color theme="2" tint="-0.499984740745262"/>
      </top>
      <bottom/>
      <diagonal/>
    </border>
    <border>
      <left style="thin">
        <color theme="2" tint="-0.499984740745262"/>
      </left>
      <right style="thick">
        <color theme="2" tint="-0.499984740745262"/>
      </right>
      <top style="thin">
        <color theme="2" tint="-0.499984740745262"/>
      </top>
      <bottom style="thin">
        <color theme="2" tint="-0.499984740745262"/>
      </bottom>
      <diagonal/>
    </border>
    <border>
      <left style="thin">
        <color theme="2" tint="-0.499984740745262"/>
      </left>
      <right style="thick">
        <color theme="2" tint="-0.499984740745262"/>
      </right>
      <top style="medium">
        <color theme="2" tint="-0.499984740745262"/>
      </top>
      <bottom style="thin">
        <color theme="2" tint="-0.499984740745262"/>
      </bottom>
      <diagonal/>
    </border>
  </borders>
  <cellStyleXfs count="4">
    <xf numFmtId="0" fontId="0" fillId="0" borderId="0"/>
    <xf numFmtId="0" fontId="5" fillId="0" borderId="0"/>
    <xf numFmtId="0" fontId="3" fillId="0" borderId="0"/>
    <xf numFmtId="0" fontId="2" fillId="0" borderId="0"/>
  </cellStyleXfs>
  <cellXfs count="240">
    <xf numFmtId="0" fontId="0" fillId="0" borderId="0" xfId="0"/>
    <xf numFmtId="0" fontId="0" fillId="0" borderId="0" xfId="0" applyAlignment="1">
      <alignment horizontal="right"/>
    </xf>
    <xf numFmtId="0" fontId="0" fillId="0" borderId="0" xfId="0" applyAlignment="1">
      <alignment horizontal="left"/>
    </xf>
    <xf numFmtId="0" fontId="6" fillId="0" borderId="0" xfId="0" applyFont="1"/>
    <xf numFmtId="0" fontId="6" fillId="0" borderId="0" xfId="0" applyFont="1" applyAlignment="1">
      <alignment horizontal="right"/>
    </xf>
    <xf numFmtId="0" fontId="6" fillId="0" borderId="0" xfId="0" applyFont="1" applyAlignment="1">
      <alignment horizontal="left"/>
    </xf>
    <xf numFmtId="0" fontId="7" fillId="0" borderId="0" xfId="0" applyFont="1"/>
    <xf numFmtId="0" fontId="7" fillId="0" borderId="0" xfId="0" applyFont="1" applyAlignment="1">
      <alignment horizontal="right"/>
    </xf>
    <xf numFmtId="0" fontId="7" fillId="0" borderId="0" xfId="0" applyFont="1" applyAlignment="1">
      <alignment horizontal="left"/>
    </xf>
    <xf numFmtId="0" fontId="0" fillId="0" borderId="3" xfId="0" applyBorder="1" applyAlignment="1">
      <alignment horizontal="center" vertical="center"/>
    </xf>
    <xf numFmtId="0" fontId="0" fillId="0" borderId="5" xfId="0" applyBorder="1" applyAlignment="1">
      <alignment horizontal="center" vertical="center"/>
    </xf>
    <xf numFmtId="164" fontId="6" fillId="0" borderId="1" xfId="0" applyNumberFormat="1" applyFont="1" applyBorder="1" applyAlignment="1">
      <alignment horizontal="right" vertical="center"/>
    </xf>
    <xf numFmtId="0" fontId="6" fillId="0" borderId="0" xfId="0" applyFont="1" applyAlignment="1">
      <alignment horizontal="center"/>
    </xf>
    <xf numFmtId="0" fontId="0" fillId="0" borderId="6" xfId="0" applyBorder="1"/>
    <xf numFmtId="15" fontId="6" fillId="0" borderId="0" xfId="0" applyNumberFormat="1" applyFont="1" applyAlignment="1">
      <alignment horizontal="center" wrapText="1"/>
    </xf>
    <xf numFmtId="0" fontId="10" fillId="0" borderId="0" xfId="0" applyFont="1" applyAlignment="1">
      <alignment horizontal="center" vertical="center" wrapText="1"/>
    </xf>
    <xf numFmtId="165" fontId="0" fillId="0" borderId="0" xfId="0" applyNumberFormat="1" applyAlignment="1">
      <alignment horizontal="center" vertical="center"/>
    </xf>
    <xf numFmtId="0" fontId="7" fillId="0" borderId="0" xfId="0" applyFont="1" applyAlignment="1">
      <alignment horizontal="centerContinuous" vertical="center"/>
    </xf>
    <xf numFmtId="0" fontId="7" fillId="0" borderId="0" xfId="0" applyFont="1" applyAlignment="1">
      <alignment horizontal="centerContinuous"/>
    </xf>
    <xf numFmtId="0" fontId="12" fillId="0" borderId="0" xfId="0" applyFont="1" applyAlignment="1">
      <alignment horizontal="left"/>
    </xf>
    <xf numFmtId="164" fontId="11" fillId="0" borderId="0" xfId="0" applyNumberFormat="1" applyFont="1" applyAlignment="1">
      <alignment horizontal="right" vertical="center"/>
    </xf>
    <xf numFmtId="165" fontId="0" fillId="0" borderId="0" xfId="0" applyNumberFormat="1" applyAlignment="1">
      <alignment horizontal="left"/>
    </xf>
    <xf numFmtId="0" fontId="6" fillId="0" borderId="0" xfId="0" applyFont="1" applyAlignment="1">
      <alignment horizontal="center" vertical="center"/>
    </xf>
    <xf numFmtId="0" fontId="13" fillId="0" borderId="0" xfId="0" applyFont="1"/>
    <xf numFmtId="0" fontId="0" fillId="0" borderId="0" xfId="0" applyAlignment="1">
      <alignment horizontal="center"/>
    </xf>
    <xf numFmtId="0" fontId="14" fillId="0" borderId="0" xfId="0" applyFont="1"/>
    <xf numFmtId="165" fontId="0" fillId="0" borderId="0" xfId="0" quotePrefix="1" applyNumberFormat="1" applyAlignment="1">
      <alignment horizontal="center" vertical="center"/>
    </xf>
    <xf numFmtId="0" fontId="15" fillId="0" borderId="0" xfId="0" applyFont="1" applyAlignment="1">
      <alignment horizontal="right" vertical="center"/>
    </xf>
    <xf numFmtId="0" fontId="8" fillId="0" borderId="0" xfId="0" applyFont="1"/>
    <xf numFmtId="0" fontId="9" fillId="0" borderId="0" xfId="0" applyFont="1"/>
    <xf numFmtId="15" fontId="9" fillId="0" borderId="0" xfId="0" applyNumberFormat="1" applyFont="1" applyAlignment="1">
      <alignment horizontal="center" vertical="center"/>
    </xf>
    <xf numFmtId="1" fontId="9" fillId="0" borderId="0" xfId="0" applyNumberFormat="1" applyFont="1" applyAlignment="1">
      <alignment horizontal="center" vertical="center"/>
    </xf>
    <xf numFmtId="0" fontId="14" fillId="0" borderId="0" xfId="0" applyFont="1" applyAlignment="1">
      <alignment vertical="center"/>
    </xf>
    <xf numFmtId="0" fontId="15" fillId="0" borderId="0" xfId="0" applyFont="1" applyAlignment="1">
      <alignment horizontal="center" vertical="center"/>
    </xf>
    <xf numFmtId="0" fontId="0" fillId="0" borderId="0" xfId="0" applyAlignment="1">
      <alignment horizontal="center" vertical="center"/>
    </xf>
    <xf numFmtId="0" fontId="9" fillId="0" borderId="0" xfId="0" applyFont="1" applyAlignment="1">
      <alignment horizontal="center"/>
    </xf>
    <xf numFmtId="0" fontId="16" fillId="0" borderId="0" xfId="0" applyFont="1"/>
    <xf numFmtId="0" fontId="17" fillId="0" borderId="0" xfId="0" applyFont="1"/>
    <xf numFmtId="164" fontId="18" fillId="0" borderId="0" xfId="0" applyNumberFormat="1" applyFont="1" applyAlignment="1">
      <alignment horizontal="center" vertical="center"/>
    </xf>
    <xf numFmtId="166" fontId="6" fillId="0" borderId="0" xfId="0" applyNumberFormat="1" applyFont="1" applyAlignment="1">
      <alignment horizontal="center"/>
    </xf>
    <xf numFmtId="0" fontId="0" fillId="0" borderId="3" xfId="0" quotePrefix="1" applyBorder="1" applyAlignment="1">
      <alignment horizontal="center" vertical="center"/>
    </xf>
    <xf numFmtId="0" fontId="20" fillId="0" borderId="0" xfId="0" applyFont="1" applyAlignment="1">
      <alignment horizontal="left"/>
    </xf>
    <xf numFmtId="0" fontId="20" fillId="0" borderId="0" xfId="0" applyFont="1"/>
    <xf numFmtId="0" fontId="0" fillId="0" borderId="8" xfId="0" applyBorder="1" applyAlignment="1">
      <alignment horizontal="left"/>
    </xf>
    <xf numFmtId="0" fontId="0" fillId="0" borderId="6" xfId="0" applyBorder="1" applyAlignment="1">
      <alignment horizontal="left"/>
    </xf>
    <xf numFmtId="0" fontId="19" fillId="0" borderId="0" xfId="0" applyFont="1"/>
    <xf numFmtId="0" fontId="21" fillId="0" borderId="9" xfId="0" applyFont="1" applyBorder="1" applyAlignment="1">
      <alignment horizontal="left"/>
    </xf>
    <xf numFmtId="0" fontId="0" fillId="0" borderId="9" xfId="0" applyBorder="1" applyAlignment="1">
      <alignment horizontal="left"/>
    </xf>
    <xf numFmtId="0" fontId="22" fillId="0" borderId="0" xfId="0" applyFont="1" applyAlignment="1">
      <alignment horizontal="center" wrapText="1"/>
    </xf>
    <xf numFmtId="20" fontId="22" fillId="0" borderId="10" xfId="0" applyNumberFormat="1" applyFont="1" applyBorder="1" applyAlignment="1">
      <alignment horizontal="center" wrapText="1"/>
    </xf>
    <xf numFmtId="20" fontId="22" fillId="0" borderId="11" xfId="0" applyNumberFormat="1" applyFont="1" applyBorder="1" applyAlignment="1">
      <alignment horizontal="center" vertical="center" wrapText="1"/>
    </xf>
    <xf numFmtId="20" fontId="23" fillId="0" borderId="11" xfId="0" applyNumberFormat="1" applyFont="1" applyBorder="1" applyAlignment="1">
      <alignment horizontal="center" wrapText="1"/>
    </xf>
    <xf numFmtId="0" fontId="22" fillId="0" borderId="0" xfId="0" applyFont="1" applyAlignment="1">
      <alignment horizontal="center"/>
    </xf>
    <xf numFmtId="20" fontId="23" fillId="0" borderId="11" xfId="0" applyNumberFormat="1" applyFont="1" applyBorder="1" applyAlignment="1">
      <alignment horizontal="center" vertical="center" wrapText="1"/>
    </xf>
    <xf numFmtId="49" fontId="19" fillId="2" borderId="12" xfId="0" applyNumberFormat="1" applyFont="1" applyFill="1" applyBorder="1" applyAlignment="1">
      <alignment horizontal="left" vertical="center"/>
    </xf>
    <xf numFmtId="0" fontId="20" fillId="0" borderId="13" xfId="0" applyFont="1" applyBorder="1" applyAlignment="1">
      <alignment horizontal="left" vertical="center"/>
    </xf>
    <xf numFmtId="0" fontId="24" fillId="0" borderId="13" xfId="0" applyFont="1" applyBorder="1" applyAlignment="1">
      <alignment horizontal="left" vertical="center"/>
    </xf>
    <xf numFmtId="0" fontId="24" fillId="0" borderId="3" xfId="0" applyFont="1" applyBorder="1" applyAlignment="1">
      <alignment horizontal="center" vertical="center"/>
    </xf>
    <xf numFmtId="0" fontId="24" fillId="0" borderId="7" xfId="0" applyFont="1" applyBorder="1" applyAlignment="1">
      <alignment horizontal="center" vertical="center"/>
    </xf>
    <xf numFmtId="0" fontId="24" fillId="0" borderId="14" xfId="0" applyFont="1" applyBorder="1" applyAlignment="1">
      <alignment horizontal="center" vertical="center"/>
    </xf>
    <xf numFmtId="49" fontId="19" fillId="2" borderId="15" xfId="0" applyNumberFormat="1" applyFont="1" applyFill="1" applyBorder="1" applyAlignment="1">
      <alignment horizontal="left" vertical="center"/>
    </xf>
    <xf numFmtId="49" fontId="25" fillId="3" borderId="12" xfId="0" applyNumberFormat="1" applyFont="1" applyFill="1" applyBorder="1" applyAlignment="1">
      <alignment horizontal="left" vertical="center"/>
    </xf>
    <xf numFmtId="49" fontId="25" fillId="3" borderId="15" xfId="0" applyNumberFormat="1" applyFont="1" applyFill="1" applyBorder="1" applyAlignment="1">
      <alignment horizontal="left" vertical="center"/>
    </xf>
    <xf numFmtId="49" fontId="19" fillId="2" borderId="17" xfId="0" applyNumberFormat="1" applyFont="1" applyFill="1" applyBorder="1" applyAlignment="1">
      <alignment horizontal="left" vertical="center"/>
    </xf>
    <xf numFmtId="0" fontId="24" fillId="0" borderId="0" xfId="0" applyFont="1" applyAlignment="1">
      <alignment horizontal="center" vertical="center"/>
    </xf>
    <xf numFmtId="164" fontId="6" fillId="0" borderId="9" xfId="0" applyNumberFormat="1" applyFont="1" applyBorder="1" applyAlignment="1">
      <alignment horizontal="right" vertical="center"/>
    </xf>
    <xf numFmtId="164" fontId="6" fillId="0" borderId="18" xfId="0" applyNumberFormat="1" applyFont="1" applyBorder="1" applyAlignment="1">
      <alignment horizontal="right" vertical="center"/>
    </xf>
    <xf numFmtId="0" fontId="0" fillId="0" borderId="19" xfId="0" applyBorder="1" applyAlignment="1">
      <alignment horizontal="center" vertical="center"/>
    </xf>
    <xf numFmtId="0" fontId="0" fillId="0" borderId="19" xfId="0" quotePrefix="1" applyBorder="1" applyAlignment="1">
      <alignment horizontal="center" vertical="center"/>
    </xf>
    <xf numFmtId="164" fontId="6" fillId="0" borderId="2" xfId="0" applyNumberFormat="1" applyFont="1" applyBorder="1" applyAlignment="1">
      <alignment horizontal="left" vertical="center"/>
    </xf>
    <xf numFmtId="164" fontId="6" fillId="0" borderId="20" xfId="0" applyNumberFormat="1" applyFont="1" applyBorder="1" applyAlignment="1">
      <alignment horizontal="left" vertical="center"/>
    </xf>
    <xf numFmtId="164" fontId="6" fillId="0" borderId="4" xfId="0" applyNumberFormat="1" applyFont="1" applyBorder="1" applyAlignment="1">
      <alignment horizontal="left" vertical="center"/>
    </xf>
    <xf numFmtId="0" fontId="7" fillId="0" borderId="0" xfId="0" applyFont="1" applyAlignment="1">
      <alignment horizontal="center"/>
    </xf>
    <xf numFmtId="0" fontId="8" fillId="0" borderId="2" xfId="0" applyFont="1" applyBorder="1" applyAlignment="1">
      <alignment horizontal="center" vertical="center"/>
    </xf>
    <xf numFmtId="0" fontId="8" fillId="0" borderId="20" xfId="0" applyFont="1" applyBorder="1" applyAlignment="1">
      <alignment horizontal="center" vertical="center"/>
    </xf>
    <xf numFmtId="0" fontId="8" fillId="0" borderId="4" xfId="0" applyFont="1" applyBorder="1" applyAlignment="1">
      <alignment horizontal="center" vertical="center"/>
    </xf>
    <xf numFmtId="164" fontId="18" fillId="3" borderId="0" xfId="0" applyNumberFormat="1" applyFont="1" applyFill="1" applyAlignment="1">
      <alignment horizontal="center" vertical="center"/>
    </xf>
    <xf numFmtId="164" fontId="18" fillId="4" borderId="0" xfId="0" applyNumberFormat="1" applyFont="1" applyFill="1" applyAlignment="1">
      <alignment horizontal="center" vertical="center"/>
    </xf>
    <xf numFmtId="164" fontId="18" fillId="6" borderId="0" xfId="0" applyNumberFormat="1" applyFont="1" applyFill="1" applyAlignment="1">
      <alignment horizontal="center" vertical="center"/>
    </xf>
    <xf numFmtId="164" fontId="18" fillId="5" borderId="0" xfId="0" applyNumberFormat="1" applyFont="1" applyFill="1" applyAlignment="1">
      <alignment horizontal="center" vertical="center"/>
    </xf>
    <xf numFmtId="20" fontId="23" fillId="0" borderId="0" xfId="0" applyNumberFormat="1" applyFont="1" applyAlignment="1">
      <alignment horizontal="center" wrapText="1"/>
    </xf>
    <xf numFmtId="0" fontId="0" fillId="0" borderId="5" xfId="0" quotePrefix="1" applyBorder="1" applyAlignment="1">
      <alignment horizontal="center" vertical="center"/>
    </xf>
    <xf numFmtId="20" fontId="23" fillId="0" borderId="0" xfId="0" applyNumberFormat="1" applyFont="1" applyAlignment="1">
      <alignment horizontal="center" vertical="center" wrapText="1"/>
    </xf>
    <xf numFmtId="0" fontId="24" fillId="0" borderId="21" xfId="0" applyFont="1" applyBorder="1" applyAlignment="1">
      <alignment horizontal="center" vertical="center"/>
    </xf>
    <xf numFmtId="2" fontId="0" fillId="0" borderId="0" xfId="0" applyNumberFormat="1" applyAlignment="1">
      <alignment horizontal="center" vertical="center"/>
    </xf>
    <xf numFmtId="0" fontId="11" fillId="0" borderId="0" xfId="0" applyFont="1" applyAlignment="1">
      <alignment horizontal="center"/>
    </xf>
    <xf numFmtId="165" fontId="0" fillId="0" borderId="0" xfId="0" applyNumberFormat="1"/>
    <xf numFmtId="0" fontId="0" fillId="0" borderId="16" xfId="0" applyBorder="1" applyAlignment="1">
      <alignment horizontal="center" vertical="center"/>
    </xf>
    <xf numFmtId="0" fontId="10" fillId="0" borderId="0" xfId="0" applyFont="1" applyAlignment="1">
      <alignment horizontal="center" vertical="center"/>
    </xf>
    <xf numFmtId="0" fontId="0" fillId="0" borderId="16" xfId="0" quotePrefix="1" applyBorder="1" applyAlignment="1">
      <alignment horizontal="center" vertical="center"/>
    </xf>
    <xf numFmtId="0" fontId="5" fillId="0" borderId="0" xfId="1"/>
    <xf numFmtId="0" fontId="4" fillId="0" borderId="0" xfId="1" applyFont="1"/>
    <xf numFmtId="0" fontId="3" fillId="0" borderId="0" xfId="2"/>
    <xf numFmtId="0" fontId="24" fillId="0" borderId="22" xfId="2" applyFont="1" applyBorder="1" applyAlignment="1">
      <alignment horizontal="center" vertical="center"/>
    </xf>
    <xf numFmtId="0" fontId="20" fillId="0" borderId="5" xfId="2" applyFont="1" applyBorder="1" applyAlignment="1">
      <alignment horizontal="center" vertical="center"/>
    </xf>
    <xf numFmtId="49" fontId="19" fillId="2" borderId="23" xfId="2" applyNumberFormat="1" applyFont="1" applyFill="1" applyBorder="1" applyAlignment="1">
      <alignment horizontal="right" vertical="center"/>
    </xf>
    <xf numFmtId="0" fontId="24" fillId="0" borderId="24" xfId="2" applyFont="1" applyBorder="1" applyAlignment="1">
      <alignment horizontal="center" vertical="center"/>
    </xf>
    <xf numFmtId="0" fontId="20" fillId="0" borderId="19" xfId="2" applyFont="1" applyBorder="1" applyAlignment="1">
      <alignment horizontal="center" vertical="center"/>
    </xf>
    <xf numFmtId="49" fontId="25" fillId="3" borderId="25" xfId="2" applyNumberFormat="1" applyFont="1" applyFill="1" applyBorder="1" applyAlignment="1">
      <alignment horizontal="right" vertical="center"/>
    </xf>
    <xf numFmtId="49" fontId="19" fillId="2" borderId="25" xfId="2" applyNumberFormat="1" applyFont="1" applyFill="1" applyBorder="1" applyAlignment="1">
      <alignment horizontal="right" vertical="center"/>
    </xf>
    <xf numFmtId="0" fontId="24" fillId="0" borderId="7" xfId="2" applyFont="1" applyBorder="1" applyAlignment="1">
      <alignment horizontal="center" vertical="center"/>
    </xf>
    <xf numFmtId="0" fontId="20" fillId="0" borderId="3" xfId="2" applyFont="1" applyBorder="1" applyAlignment="1">
      <alignment horizontal="center" vertical="center"/>
    </xf>
    <xf numFmtId="49" fontId="19" fillId="2" borderId="26" xfId="2" applyNumberFormat="1" applyFont="1" applyFill="1" applyBorder="1" applyAlignment="1">
      <alignment horizontal="right" vertical="center"/>
    </xf>
    <xf numFmtId="49" fontId="19" fillId="2" borderId="23" xfId="2" applyNumberFormat="1" applyFont="1" applyFill="1" applyBorder="1" applyAlignment="1">
      <alignment horizontal="left" vertical="center"/>
    </xf>
    <xf numFmtId="49" fontId="25" fillId="3" borderId="25" xfId="2" applyNumberFormat="1" applyFont="1" applyFill="1" applyBorder="1" applyAlignment="1">
      <alignment horizontal="left" vertical="center"/>
    </xf>
    <xf numFmtId="49" fontId="19" fillId="2" borderId="25" xfId="2" applyNumberFormat="1" applyFont="1" applyFill="1" applyBorder="1" applyAlignment="1">
      <alignment horizontal="left" vertical="center"/>
    </xf>
    <xf numFmtId="49" fontId="19" fillId="2" borderId="26" xfId="2" applyNumberFormat="1" applyFont="1" applyFill="1" applyBorder="1" applyAlignment="1">
      <alignment horizontal="left" vertical="center"/>
    </xf>
    <xf numFmtId="0" fontId="26" fillId="0" borderId="0" xfId="2" applyFont="1" applyAlignment="1">
      <alignment horizontal="center"/>
    </xf>
    <xf numFmtId="20" fontId="26" fillId="0" borderId="11" xfId="2" applyNumberFormat="1" applyFont="1" applyBorder="1" applyAlignment="1">
      <alignment horizontal="center" wrapText="1"/>
    </xf>
    <xf numFmtId="20" fontId="27" fillId="0" borderId="10" xfId="2" applyNumberFormat="1" applyFont="1" applyBorder="1" applyAlignment="1">
      <alignment horizontal="center" wrapText="1"/>
    </xf>
    <xf numFmtId="0" fontId="19" fillId="0" borderId="0" xfId="2" applyFont="1" applyAlignment="1">
      <alignment horizontal="center" wrapText="1"/>
    </xf>
    <xf numFmtId="0" fontId="28" fillId="0" borderId="0" xfId="2" applyFont="1" applyAlignment="1">
      <alignment horizontal="center"/>
    </xf>
    <xf numFmtId="0" fontId="3" fillId="0" borderId="0" xfId="2" applyAlignment="1">
      <alignment horizontal="center" wrapText="1"/>
    </xf>
    <xf numFmtId="0" fontId="24" fillId="0" borderId="0" xfId="2" applyFont="1" applyAlignment="1">
      <alignment horizontal="center" vertical="center"/>
    </xf>
    <xf numFmtId="0" fontId="20" fillId="0" borderId="0" xfId="2" applyFont="1" applyAlignment="1">
      <alignment horizontal="center" vertical="center"/>
    </xf>
    <xf numFmtId="49" fontId="19" fillId="2" borderId="0" xfId="2" applyNumberFormat="1" applyFont="1" applyFill="1" applyAlignment="1">
      <alignment horizontal="right" vertical="center"/>
    </xf>
    <xf numFmtId="0" fontId="24" fillId="0" borderId="14" xfId="2" applyFont="1" applyBorder="1" applyAlignment="1">
      <alignment horizontal="center" vertical="center"/>
    </xf>
    <xf numFmtId="0" fontId="8" fillId="0" borderId="0" xfId="2" applyFont="1" applyAlignment="1">
      <alignment wrapText="1"/>
    </xf>
    <xf numFmtId="0" fontId="3" fillId="0" borderId="0" xfId="2" applyAlignment="1">
      <alignment horizontal="center" vertical="center"/>
    </xf>
    <xf numFmtId="0" fontId="3" fillId="0" borderId="9" xfId="2" applyBorder="1" applyAlignment="1">
      <alignment horizontal="right"/>
    </xf>
    <xf numFmtId="0" fontId="3" fillId="0" borderId="6" xfId="2" applyBorder="1" applyAlignment="1">
      <alignment horizontal="left"/>
    </xf>
    <xf numFmtId="0" fontId="3" fillId="0" borderId="8" xfId="2" applyBorder="1" applyAlignment="1">
      <alignment horizontal="right"/>
    </xf>
    <xf numFmtId="0" fontId="19" fillId="0" borderId="0" xfId="2" applyFont="1"/>
    <xf numFmtId="0" fontId="3" fillId="0" borderId="0" xfId="2" applyAlignment="1">
      <alignment horizontal="left"/>
    </xf>
    <xf numFmtId="0" fontId="3" fillId="0" borderId="0" xfId="2" applyAlignment="1">
      <alignment horizontal="right"/>
    </xf>
    <xf numFmtId="0" fontId="20" fillId="0" borderId="0" xfId="2" applyFont="1"/>
    <xf numFmtId="0" fontId="20" fillId="0" borderId="0" xfId="2" applyFont="1" applyAlignment="1">
      <alignment horizontal="left"/>
    </xf>
    <xf numFmtId="0" fontId="29" fillId="0" borderId="0" xfId="0" applyFont="1"/>
    <xf numFmtId="165" fontId="29" fillId="0" borderId="0" xfId="0" applyNumberFormat="1" applyFont="1"/>
    <xf numFmtId="0" fontId="2" fillId="0" borderId="0" xfId="1" applyFont="1"/>
    <xf numFmtId="0" fontId="2" fillId="0" borderId="0" xfId="3"/>
    <xf numFmtId="0" fontId="2" fillId="0" borderId="0" xfId="3" applyAlignment="1">
      <alignment horizontal="center"/>
    </xf>
    <xf numFmtId="49" fontId="2" fillId="0" borderId="0" xfId="3" applyNumberFormat="1" applyAlignment="1">
      <alignment horizontal="center"/>
    </xf>
    <xf numFmtId="0" fontId="2" fillId="0" borderId="0" xfId="3" applyAlignment="1">
      <alignment horizontal="right"/>
    </xf>
    <xf numFmtId="1" fontId="2" fillId="0" borderId="0" xfId="3" applyNumberFormat="1"/>
    <xf numFmtId="2" fontId="2" fillId="0" borderId="0" xfId="3" applyNumberFormat="1"/>
    <xf numFmtId="9" fontId="2" fillId="0" borderId="0" xfId="3" applyNumberFormat="1"/>
    <xf numFmtId="49" fontId="2" fillId="0" borderId="0" xfId="3" applyNumberFormat="1" applyAlignment="1">
      <alignment horizontal="left"/>
    </xf>
    <xf numFmtId="0" fontId="24" fillId="4" borderId="27" xfId="3" applyFont="1" applyFill="1" applyBorder="1" applyAlignment="1">
      <alignment horizontal="center" vertical="center"/>
    </xf>
    <xf numFmtId="0" fontId="20" fillId="7" borderId="28" xfId="3" applyFont="1" applyFill="1" applyBorder="1" applyAlignment="1">
      <alignment horizontal="center" vertical="center"/>
    </xf>
    <xf numFmtId="0" fontId="20" fillId="0" borderId="29" xfId="3" applyFont="1" applyBorder="1" applyAlignment="1">
      <alignment horizontal="center" vertical="center"/>
    </xf>
    <xf numFmtId="0" fontId="30" fillId="7" borderId="28" xfId="3" applyFont="1" applyFill="1" applyBorder="1" applyAlignment="1">
      <alignment horizontal="center" vertical="center"/>
    </xf>
    <xf numFmtId="0" fontId="24" fillId="7" borderId="27" xfId="3" applyFont="1" applyFill="1" applyBorder="1" applyAlignment="1">
      <alignment horizontal="center" vertical="center"/>
    </xf>
    <xf numFmtId="49" fontId="2" fillId="0" borderId="30" xfId="3" applyNumberFormat="1" applyBorder="1" applyAlignment="1">
      <alignment horizontal="center" vertical="center"/>
    </xf>
    <xf numFmtId="49" fontId="19" fillId="2" borderId="23" xfId="3" applyNumberFormat="1" applyFont="1" applyFill="1" applyBorder="1" applyAlignment="1">
      <alignment horizontal="right" vertical="center"/>
    </xf>
    <xf numFmtId="0" fontId="24" fillId="4" borderId="31" xfId="3" applyFont="1" applyFill="1" applyBorder="1" applyAlignment="1">
      <alignment horizontal="center" vertical="center"/>
    </xf>
    <xf numFmtId="0" fontId="20" fillId="7" borderId="9" xfId="3" applyFont="1" applyFill="1" applyBorder="1" applyAlignment="1">
      <alignment horizontal="center" vertical="center"/>
    </xf>
    <xf numFmtId="0" fontId="20" fillId="0" borderId="25" xfId="3" applyFont="1" applyBorder="1" applyAlignment="1">
      <alignment horizontal="center" vertical="center"/>
    </xf>
    <xf numFmtId="0" fontId="30" fillId="7" borderId="9" xfId="3" applyFont="1" applyFill="1" applyBorder="1" applyAlignment="1">
      <alignment horizontal="center" vertical="center"/>
    </xf>
    <xf numFmtId="0" fontId="24" fillId="7" borderId="31" xfId="3" applyFont="1" applyFill="1" applyBorder="1" applyAlignment="1">
      <alignment horizontal="center" vertical="center"/>
    </xf>
    <xf numFmtId="49" fontId="2" fillId="0" borderId="24" xfId="3" applyNumberFormat="1" applyBorder="1" applyAlignment="1">
      <alignment horizontal="center" vertical="center"/>
    </xf>
    <xf numFmtId="49" fontId="25" fillId="3" borderId="25" xfId="3" applyNumberFormat="1" applyFont="1" applyFill="1" applyBorder="1" applyAlignment="1">
      <alignment horizontal="right" vertical="center"/>
    </xf>
    <xf numFmtId="49" fontId="19" fillId="2" borderId="25" xfId="3" applyNumberFormat="1" applyFont="1" applyFill="1" applyBorder="1" applyAlignment="1">
      <alignment horizontal="right" vertical="center"/>
    </xf>
    <xf numFmtId="49" fontId="2" fillId="0" borderId="32" xfId="3" applyNumberFormat="1" applyBorder="1" applyAlignment="1">
      <alignment horizontal="center" vertical="center"/>
    </xf>
    <xf numFmtId="49" fontId="2" fillId="0" borderId="7" xfId="3" applyNumberFormat="1" applyBorder="1" applyAlignment="1">
      <alignment horizontal="center" vertical="center"/>
    </xf>
    <xf numFmtId="0" fontId="24" fillId="4" borderId="33" xfId="3" applyFont="1" applyFill="1" applyBorder="1" applyAlignment="1">
      <alignment horizontal="center" vertical="center"/>
    </xf>
    <xf numFmtId="0" fontId="20" fillId="7" borderId="1" xfId="3" applyFont="1" applyFill="1" applyBorder="1" applyAlignment="1">
      <alignment horizontal="center" vertical="center"/>
    </xf>
    <xf numFmtId="0" fontId="20" fillId="0" borderId="26" xfId="3" applyFont="1" applyBorder="1" applyAlignment="1">
      <alignment horizontal="center" vertical="center"/>
    </xf>
    <xf numFmtId="0" fontId="30" fillId="7" borderId="1" xfId="3" applyFont="1" applyFill="1" applyBorder="1" applyAlignment="1">
      <alignment horizontal="center" vertical="center"/>
    </xf>
    <xf numFmtId="0" fontId="24" fillId="7" borderId="33" xfId="3" applyFont="1" applyFill="1" applyBorder="1" applyAlignment="1">
      <alignment horizontal="center" vertical="center"/>
    </xf>
    <xf numFmtId="49" fontId="19" fillId="2" borderId="26" xfId="3" applyNumberFormat="1" applyFont="1" applyFill="1" applyBorder="1" applyAlignment="1">
      <alignment horizontal="right" vertical="center"/>
    </xf>
    <xf numFmtId="49" fontId="19" fillId="2" borderId="23" xfId="3" applyNumberFormat="1" applyFont="1" applyFill="1" applyBorder="1" applyAlignment="1">
      <alignment horizontal="left" vertical="center"/>
    </xf>
    <xf numFmtId="49" fontId="25" fillId="3" borderId="25" xfId="3" applyNumberFormat="1" applyFont="1" applyFill="1" applyBorder="1" applyAlignment="1">
      <alignment horizontal="left" vertical="center"/>
    </xf>
    <xf numFmtId="49" fontId="19" fillId="2" borderId="25" xfId="3" applyNumberFormat="1" applyFont="1" applyFill="1" applyBorder="1" applyAlignment="1">
      <alignment horizontal="left" vertical="center"/>
    </xf>
    <xf numFmtId="49" fontId="19" fillId="2" borderId="26" xfId="3" applyNumberFormat="1" applyFont="1" applyFill="1" applyBorder="1" applyAlignment="1">
      <alignment horizontal="left" vertical="center"/>
    </xf>
    <xf numFmtId="0" fontId="20" fillId="0" borderId="25" xfId="3" quotePrefix="1" applyFont="1" applyBorder="1" applyAlignment="1">
      <alignment horizontal="center" vertical="center"/>
    </xf>
    <xf numFmtId="0" fontId="27" fillId="0" borderId="34" xfId="3" applyFont="1" applyBorder="1" applyAlignment="1">
      <alignment horizontal="right" vertical="center" wrapText="1"/>
    </xf>
    <xf numFmtId="0" fontId="2" fillId="0" borderId="0" xfId="3" applyAlignment="1">
      <alignment horizontal="right" vertical="center"/>
    </xf>
    <xf numFmtId="0" fontId="2" fillId="0" borderId="34" xfId="3" applyBorder="1" applyAlignment="1">
      <alignment horizontal="right" vertical="center"/>
    </xf>
    <xf numFmtId="20" fontId="28" fillId="0" borderId="11" xfId="3" applyNumberFormat="1" applyFont="1" applyBorder="1" applyAlignment="1">
      <alignment horizontal="center" wrapText="1"/>
    </xf>
    <xf numFmtId="20" fontId="23" fillId="0" borderId="11" xfId="3" applyNumberFormat="1" applyFont="1" applyBorder="1" applyAlignment="1">
      <alignment horizontal="center" wrapText="1"/>
    </xf>
    <xf numFmtId="20" fontId="23" fillId="0" borderId="10" xfId="3" applyNumberFormat="1" applyFont="1" applyBorder="1" applyAlignment="1">
      <alignment horizontal="center" wrapText="1"/>
    </xf>
    <xf numFmtId="0" fontId="19" fillId="0" borderId="0" xfId="3" applyFont="1" applyAlignment="1">
      <alignment horizontal="center" wrapText="1"/>
    </xf>
    <xf numFmtId="49" fontId="19" fillId="0" borderId="0" xfId="3" applyNumberFormat="1" applyFont="1" applyAlignment="1">
      <alignment horizontal="center" wrapText="1"/>
    </xf>
    <xf numFmtId="0" fontId="21" fillId="0" borderId="0" xfId="3" applyFont="1" applyAlignment="1">
      <alignment horizontal="right" wrapText="1"/>
    </xf>
    <xf numFmtId="20" fontId="21" fillId="0" borderId="35" xfId="3" applyNumberFormat="1" applyFont="1" applyBorder="1" applyAlignment="1">
      <alignment horizontal="center" vertical="center"/>
    </xf>
    <xf numFmtId="0" fontId="2" fillId="0" borderId="35" xfId="3" applyBorder="1" applyAlignment="1">
      <alignment horizontal="center" vertical="center"/>
    </xf>
    <xf numFmtId="20" fontId="21" fillId="0" borderId="37" xfId="3" applyNumberFormat="1" applyFont="1" applyBorder="1" applyAlignment="1">
      <alignment horizontal="center" vertical="center"/>
    </xf>
    <xf numFmtId="0" fontId="21" fillId="0" borderId="0" xfId="3" applyFont="1"/>
    <xf numFmtId="0" fontId="21" fillId="0" borderId="24" xfId="3" applyFont="1" applyBorder="1" applyAlignment="1">
      <alignment horizontal="center" vertical="center"/>
    </xf>
    <xf numFmtId="0" fontId="21" fillId="0" borderId="9" xfId="3" applyFont="1" applyBorder="1" applyAlignment="1">
      <alignment horizontal="right"/>
    </xf>
    <xf numFmtId="49" fontId="21" fillId="0" borderId="9" xfId="3" applyNumberFormat="1" applyFont="1" applyBorder="1" applyAlignment="1">
      <alignment horizontal="right"/>
    </xf>
    <xf numFmtId="0" fontId="19" fillId="0" borderId="24" xfId="3" applyFont="1" applyBorder="1" applyAlignment="1">
      <alignment horizontal="center" vertical="center"/>
    </xf>
    <xf numFmtId="0" fontId="2" fillId="0" borderId="9" xfId="3" applyBorder="1" applyAlignment="1">
      <alignment horizontal="right"/>
    </xf>
    <xf numFmtId="49" fontId="2" fillId="0" borderId="9" xfId="3" applyNumberFormat="1" applyBorder="1" applyAlignment="1">
      <alignment horizontal="right"/>
    </xf>
    <xf numFmtId="167" fontId="19" fillId="0" borderId="32" xfId="3" applyNumberFormat="1" applyFont="1" applyBorder="1" applyAlignment="1">
      <alignment horizontal="center" vertical="center"/>
    </xf>
    <xf numFmtId="0" fontId="2" fillId="0" borderId="8" xfId="3" applyBorder="1" applyAlignment="1">
      <alignment horizontal="right"/>
    </xf>
    <xf numFmtId="49" fontId="2" fillId="0" borderId="8" xfId="3" applyNumberFormat="1" applyBorder="1" applyAlignment="1">
      <alignment horizontal="right"/>
    </xf>
    <xf numFmtId="0" fontId="19" fillId="0" borderId="0" xfId="3" applyFont="1"/>
    <xf numFmtId="49" fontId="19" fillId="0" borderId="0" xfId="3" applyNumberFormat="1" applyFont="1"/>
    <xf numFmtId="0" fontId="2" fillId="0" borderId="0" xfId="3" applyAlignment="1">
      <alignment horizontal="left"/>
    </xf>
    <xf numFmtId="0" fontId="31" fillId="0" borderId="0" xfId="3" applyFont="1"/>
    <xf numFmtId="49" fontId="2" fillId="0" borderId="0" xfId="3" applyNumberFormat="1"/>
    <xf numFmtId="0" fontId="20" fillId="0" borderId="0" xfId="3" applyFont="1"/>
    <xf numFmtId="0" fontId="20" fillId="0" borderId="0" xfId="3" applyFont="1" applyAlignment="1">
      <alignment horizontal="left"/>
    </xf>
    <xf numFmtId="49" fontId="20" fillId="0" borderId="0" xfId="3" applyNumberFormat="1" applyFont="1" applyAlignment="1">
      <alignment horizontal="right"/>
    </xf>
    <xf numFmtId="0" fontId="20" fillId="0" borderId="0" xfId="3" applyFont="1" applyAlignment="1">
      <alignment horizontal="right"/>
    </xf>
    <xf numFmtId="1" fontId="29" fillId="0" borderId="0" xfId="0" applyNumberFormat="1" applyFont="1"/>
    <xf numFmtId="168" fontId="29" fillId="0" borderId="0" xfId="0" applyNumberFormat="1" applyFont="1"/>
    <xf numFmtId="20" fontId="24" fillId="0" borderId="10" xfId="3" applyNumberFormat="1" applyFont="1" applyBorder="1" applyAlignment="1">
      <alignment horizontal="center" wrapText="1"/>
    </xf>
    <xf numFmtId="0" fontId="33" fillId="0" borderId="0" xfId="3" applyFont="1"/>
    <xf numFmtId="0" fontId="33" fillId="0" borderId="0" xfId="3" applyFont="1" applyAlignment="1">
      <alignment horizontal="right"/>
    </xf>
    <xf numFmtId="49" fontId="1" fillId="0" borderId="0" xfId="3" applyNumberFormat="1" applyFont="1" applyAlignment="1">
      <alignment horizontal="center"/>
    </xf>
    <xf numFmtId="165" fontId="2" fillId="0" borderId="0" xfId="3" applyNumberFormat="1"/>
    <xf numFmtId="165" fontId="6" fillId="0" borderId="39" xfId="0" applyNumberFormat="1" applyFont="1" applyBorder="1" applyAlignment="1">
      <alignment horizontal="center" vertical="center"/>
    </xf>
    <xf numFmtId="1" fontId="0" fillId="0" borderId="40" xfId="0" applyNumberFormat="1" applyBorder="1" applyAlignment="1">
      <alignment horizontal="center" vertical="center"/>
    </xf>
    <xf numFmtId="164" fontId="6" fillId="0" borderId="35" xfId="0" applyNumberFormat="1" applyFont="1" applyBorder="1" applyAlignment="1">
      <alignment horizontal="right" vertical="center"/>
    </xf>
    <xf numFmtId="1" fontId="0" fillId="0" borderId="19" xfId="0" applyNumberFormat="1" applyBorder="1" applyAlignment="1">
      <alignment horizontal="center" vertical="center"/>
    </xf>
    <xf numFmtId="1" fontId="0" fillId="0" borderId="3" xfId="0" applyNumberFormat="1" applyBorder="1" applyAlignment="1">
      <alignment horizontal="center" vertical="center"/>
    </xf>
    <xf numFmtId="0" fontId="35" fillId="0" borderId="41" xfId="0" applyFont="1" applyBorder="1" applyAlignment="1">
      <alignment horizontal="center" wrapText="1"/>
    </xf>
    <xf numFmtId="0" fontId="36" fillId="0" borderId="10" xfId="0" applyFont="1" applyBorder="1" applyAlignment="1">
      <alignment horizontal="center" wrapText="1"/>
    </xf>
    <xf numFmtId="0" fontId="6" fillId="0" borderId="0" xfId="0" applyFont="1" applyAlignment="1">
      <alignment horizontal="center" wrapText="1"/>
    </xf>
    <xf numFmtId="0" fontId="8" fillId="0" borderId="0" xfId="0" applyFont="1" applyAlignment="1">
      <alignment horizontal="left" vertical="center" wrapText="1"/>
    </xf>
    <xf numFmtId="0" fontId="0" fillId="0" borderId="0" xfId="0" applyAlignment="1">
      <alignment horizontal="left" vertical="center" wrapText="1"/>
    </xf>
    <xf numFmtId="166" fontId="0" fillId="0" borderId="0" xfId="0" applyNumberFormat="1"/>
    <xf numFmtId="15" fontId="6" fillId="0" borderId="0" xfId="0" applyNumberFormat="1" applyFont="1" applyAlignment="1">
      <alignment horizontal="right"/>
    </xf>
    <xf numFmtId="1" fontId="0" fillId="0" borderId="42" xfId="0" applyNumberFormat="1" applyBorder="1" applyAlignment="1">
      <alignment horizontal="center" vertical="center"/>
    </xf>
    <xf numFmtId="1" fontId="0" fillId="0" borderId="43" xfId="0" applyNumberFormat="1" applyBorder="1" applyAlignment="1">
      <alignment horizontal="center" vertical="center"/>
    </xf>
    <xf numFmtId="0" fontId="0" fillId="0" borderId="19" xfId="0" applyBorder="1"/>
    <xf numFmtId="1" fontId="0" fillId="0" borderId="44" xfId="0" applyNumberFormat="1" applyBorder="1" applyAlignment="1">
      <alignment horizontal="center" vertical="center"/>
    </xf>
    <xf numFmtId="0" fontId="6" fillId="0" borderId="0" xfId="0" applyFont="1" applyAlignment="1">
      <alignment horizontal="center"/>
    </xf>
    <xf numFmtId="16" fontId="19" fillId="0" borderId="8" xfId="2" applyNumberFormat="1" applyFont="1" applyBorder="1" applyAlignment="1">
      <alignment horizontal="center" vertical="center"/>
    </xf>
    <xf numFmtId="0" fontId="3" fillId="0" borderId="8" xfId="2" applyBorder="1" applyAlignment="1">
      <alignment horizontal="center" vertical="center"/>
    </xf>
    <xf numFmtId="0" fontId="19" fillId="0" borderId="9" xfId="2" applyFont="1" applyBorder="1" applyAlignment="1">
      <alignment horizontal="center" vertical="center"/>
    </xf>
    <xf numFmtId="0" fontId="3" fillId="0" borderId="9" xfId="2" applyBorder="1" applyAlignment="1">
      <alignment horizontal="center" vertical="center"/>
    </xf>
    <xf numFmtId="0" fontId="8" fillId="0" borderId="0" xfId="2" applyFont="1" applyAlignment="1">
      <alignment horizontal="left" vertical="center" wrapText="1"/>
    </xf>
    <xf numFmtId="0" fontId="3" fillId="0" borderId="0" xfId="2" applyAlignment="1">
      <alignment wrapText="1"/>
    </xf>
    <xf numFmtId="167" fontId="19" fillId="0" borderId="32" xfId="3" applyNumberFormat="1" applyFont="1" applyBorder="1" applyAlignment="1">
      <alignment horizontal="center" vertical="center"/>
    </xf>
    <xf numFmtId="167" fontId="2" fillId="0" borderId="38" xfId="3" applyNumberFormat="1" applyBorder="1" applyAlignment="1">
      <alignment horizontal="center" vertical="center"/>
    </xf>
    <xf numFmtId="0" fontId="19" fillId="0" borderId="24" xfId="3" applyFont="1" applyBorder="1" applyAlignment="1">
      <alignment horizontal="center" vertical="center"/>
    </xf>
    <xf numFmtId="0" fontId="2" fillId="0" borderId="20" xfId="3" applyBorder="1" applyAlignment="1">
      <alignment horizontal="center" vertical="center"/>
    </xf>
    <xf numFmtId="20" fontId="21" fillId="0" borderId="37" xfId="3" applyNumberFormat="1" applyFont="1" applyBorder="1" applyAlignment="1">
      <alignment horizontal="center" vertical="center"/>
    </xf>
    <xf numFmtId="0" fontId="2" fillId="0" borderId="36" xfId="3" applyBorder="1" applyAlignment="1">
      <alignment horizontal="center" vertical="center"/>
    </xf>
    <xf numFmtId="0" fontId="21" fillId="0" borderId="24" xfId="3" applyFont="1" applyBorder="1" applyAlignment="1">
      <alignment horizontal="center" vertical="center"/>
    </xf>
    <xf numFmtId="20" fontId="21" fillId="0" borderId="35" xfId="3" applyNumberFormat="1" applyFont="1" applyBorder="1" applyAlignment="1">
      <alignment horizontal="center" vertical="center"/>
    </xf>
    <xf numFmtId="0" fontId="21" fillId="0" borderId="9" xfId="3" applyFont="1" applyBorder="1" applyAlignment="1">
      <alignment horizontal="center" vertical="center"/>
    </xf>
    <xf numFmtId="167" fontId="19" fillId="0" borderId="8" xfId="3" applyNumberFormat="1" applyFont="1" applyBorder="1" applyAlignment="1">
      <alignment horizontal="center" vertical="center"/>
    </xf>
    <xf numFmtId="0" fontId="19" fillId="0" borderId="9" xfId="3" applyFont="1" applyBorder="1" applyAlignment="1">
      <alignment horizontal="center" vertical="center"/>
    </xf>
    <xf numFmtId="0" fontId="8" fillId="0" borderId="0" xfId="0" applyFont="1" applyAlignment="1">
      <alignment horizontal="left" vertical="center" wrapText="1"/>
    </xf>
    <xf numFmtId="0" fontId="0" fillId="0" borderId="0" xfId="0" applyAlignment="1">
      <alignment horizontal="left" vertical="center" wrapText="1"/>
    </xf>
  </cellXfs>
  <cellStyles count="4">
    <cellStyle name="Normal" xfId="0" builtinId="0"/>
    <cellStyle name="Normal 2" xfId="1" xr:uid="{E71F8AA4-08E5-4CEB-A964-1CFC738DC313}"/>
    <cellStyle name="Normal 3" xfId="2" xr:uid="{247D422B-3BD3-45EE-BE9E-DD843DC57022}"/>
    <cellStyle name="Normal 4" xfId="3" xr:uid="{B88CA808-F314-41ED-983F-14CCE3A7E3E0}"/>
  </cellStyles>
  <dxfs count="14">
    <dxf>
      <fill>
        <patternFill>
          <bgColor rgb="FF00B050"/>
        </patternFill>
      </fill>
    </dxf>
    <dxf>
      <font>
        <color theme="0"/>
      </font>
      <fill>
        <patternFill>
          <bgColor rgb="FFFF0000"/>
        </patternFill>
      </fill>
    </dxf>
    <dxf>
      <font>
        <color theme="0"/>
      </font>
      <fill>
        <patternFill>
          <bgColor rgb="FF0070C0"/>
        </patternFill>
      </fill>
    </dxf>
    <dxf>
      <fill>
        <patternFill>
          <bgColor theme="5" tint="0.39994506668294322"/>
        </patternFill>
      </fill>
    </dxf>
    <dxf>
      <fill>
        <patternFill>
          <bgColor theme="8" tint="0.59996337778862885"/>
        </patternFill>
      </fill>
    </dxf>
    <dxf>
      <fill>
        <patternFill>
          <bgColor theme="9" tint="0.59996337778862885"/>
        </patternFill>
      </fill>
    </dxf>
    <dxf>
      <fill>
        <patternFill>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s>
  <tableStyles count="0" defaultTableStyle="TableStyleMedium2" defaultPivotStyle="PivotStyleLight16"/>
  <colors>
    <mruColors>
      <color rgb="FFFFC1E0"/>
      <color rgb="FFFF5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Emergence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Emergence1!$F$213</c:f>
              <c:strCache>
                <c:ptCount val="1"/>
                <c:pt idx="0">
                  <c:v>BEDS</c:v>
                </c:pt>
              </c:strCache>
            </c:strRef>
          </c:tx>
          <c:spPr>
            <a:ln w="19050" cap="rnd">
              <a:solidFill>
                <a:srgbClr val="00B050"/>
              </a:solidFill>
              <a:round/>
            </a:ln>
            <a:effectLst/>
          </c:spPr>
          <c:marker>
            <c:symbol val="none"/>
          </c:marker>
          <c:xVal>
            <c:numRef>
              <c:f>Emergence1!$E$214:$E$219</c:f>
              <c:numCache>
                <c:formatCode>General</c:formatCode>
                <c:ptCount val="6"/>
                <c:pt idx="0">
                  <c:v>122</c:v>
                </c:pt>
                <c:pt idx="1">
                  <c:v>124</c:v>
                </c:pt>
                <c:pt idx="2">
                  <c:v>128</c:v>
                </c:pt>
                <c:pt idx="3">
                  <c:v>131</c:v>
                </c:pt>
                <c:pt idx="4">
                  <c:v>135</c:v>
                </c:pt>
                <c:pt idx="5">
                  <c:v>138</c:v>
                </c:pt>
              </c:numCache>
            </c:numRef>
          </c:xVal>
          <c:yVal>
            <c:numRef>
              <c:f>Emergence1!$F$214:$F$219</c:f>
              <c:numCache>
                <c:formatCode>General</c:formatCode>
                <c:ptCount val="6"/>
                <c:pt idx="0">
                  <c:v>0.44444444444444442</c:v>
                </c:pt>
                <c:pt idx="1">
                  <c:v>3.7111111111111112</c:v>
                </c:pt>
                <c:pt idx="2">
                  <c:v>7.6444444444444448</c:v>
                </c:pt>
                <c:pt idx="3">
                  <c:v>8.3111111111111118</c:v>
                </c:pt>
                <c:pt idx="4">
                  <c:v>8.5111111111111111</c:v>
                </c:pt>
                <c:pt idx="5">
                  <c:v>8.5111111111111111</c:v>
                </c:pt>
              </c:numCache>
            </c:numRef>
          </c:yVal>
          <c:smooth val="1"/>
          <c:extLst>
            <c:ext xmlns:c16="http://schemas.microsoft.com/office/drawing/2014/chart" uri="{C3380CC4-5D6E-409C-BE32-E72D297353CC}">
              <c16:uniqueId val="{00000000-764B-4BB6-9036-FDCAB0A7BA1F}"/>
            </c:ext>
          </c:extLst>
        </c:ser>
        <c:ser>
          <c:idx val="1"/>
          <c:order val="1"/>
          <c:tx>
            <c:strRef>
              <c:f>Emergence1!$G$213</c:f>
              <c:strCache>
                <c:ptCount val="1"/>
                <c:pt idx="0">
                  <c:v>FLAT</c:v>
                </c:pt>
              </c:strCache>
            </c:strRef>
          </c:tx>
          <c:spPr>
            <a:ln w="19050" cap="rnd">
              <a:solidFill>
                <a:srgbClr val="0070C0"/>
              </a:solidFill>
              <a:round/>
            </a:ln>
            <a:effectLst/>
          </c:spPr>
          <c:marker>
            <c:symbol val="none"/>
          </c:marker>
          <c:xVal>
            <c:numRef>
              <c:f>Emergence1!$E$214:$E$219</c:f>
              <c:numCache>
                <c:formatCode>General</c:formatCode>
                <c:ptCount val="6"/>
                <c:pt idx="0">
                  <c:v>122</c:v>
                </c:pt>
                <c:pt idx="1">
                  <c:v>124</c:v>
                </c:pt>
                <c:pt idx="2">
                  <c:v>128</c:v>
                </c:pt>
                <c:pt idx="3">
                  <c:v>131</c:v>
                </c:pt>
                <c:pt idx="4">
                  <c:v>135</c:v>
                </c:pt>
                <c:pt idx="5">
                  <c:v>138</c:v>
                </c:pt>
              </c:numCache>
            </c:numRef>
          </c:xVal>
          <c:yVal>
            <c:numRef>
              <c:f>Emergence1!$G$214:$G$219</c:f>
              <c:numCache>
                <c:formatCode>General</c:formatCode>
                <c:ptCount val="6"/>
                <c:pt idx="0">
                  <c:v>2.088888888888889</c:v>
                </c:pt>
                <c:pt idx="1">
                  <c:v>6.333333333333333</c:v>
                </c:pt>
                <c:pt idx="2">
                  <c:v>8.6222222222222218</c:v>
                </c:pt>
                <c:pt idx="3">
                  <c:v>9.0666666666666664</c:v>
                </c:pt>
                <c:pt idx="4">
                  <c:v>9.1333333333333329</c:v>
                </c:pt>
                <c:pt idx="5">
                  <c:v>9.1333333333333329</c:v>
                </c:pt>
              </c:numCache>
            </c:numRef>
          </c:yVal>
          <c:smooth val="1"/>
          <c:extLst>
            <c:ext xmlns:c16="http://schemas.microsoft.com/office/drawing/2014/chart" uri="{C3380CC4-5D6E-409C-BE32-E72D297353CC}">
              <c16:uniqueId val="{00000001-764B-4BB6-9036-FDCAB0A7BA1F}"/>
            </c:ext>
          </c:extLst>
        </c:ser>
        <c:ser>
          <c:idx val="2"/>
          <c:order val="2"/>
          <c:tx>
            <c:strRef>
              <c:f>Emergence1!$H$213</c:f>
              <c:strCache>
                <c:ptCount val="1"/>
                <c:pt idx="0">
                  <c:v>NOTILL</c:v>
                </c:pt>
              </c:strCache>
            </c:strRef>
          </c:tx>
          <c:spPr>
            <a:ln w="19050" cap="rnd">
              <a:solidFill>
                <a:schemeClr val="tx1"/>
              </a:solidFill>
              <a:round/>
            </a:ln>
            <a:effectLst/>
          </c:spPr>
          <c:marker>
            <c:symbol val="none"/>
          </c:marker>
          <c:xVal>
            <c:numRef>
              <c:f>Emergence1!$E$214:$E$219</c:f>
              <c:numCache>
                <c:formatCode>General</c:formatCode>
                <c:ptCount val="6"/>
                <c:pt idx="0">
                  <c:v>122</c:v>
                </c:pt>
                <c:pt idx="1">
                  <c:v>124</c:v>
                </c:pt>
                <c:pt idx="2">
                  <c:v>128</c:v>
                </c:pt>
                <c:pt idx="3">
                  <c:v>131</c:v>
                </c:pt>
                <c:pt idx="4">
                  <c:v>135</c:v>
                </c:pt>
                <c:pt idx="5">
                  <c:v>138</c:v>
                </c:pt>
              </c:numCache>
            </c:numRef>
          </c:xVal>
          <c:yVal>
            <c:numRef>
              <c:f>Emergence1!$H$214:$H$219</c:f>
              <c:numCache>
                <c:formatCode>General</c:formatCode>
                <c:ptCount val="6"/>
                <c:pt idx="0">
                  <c:v>2.9555555555555557</c:v>
                </c:pt>
                <c:pt idx="1">
                  <c:v>5.2666666666666666</c:v>
                </c:pt>
                <c:pt idx="2">
                  <c:v>6.3777777777777782</c:v>
                </c:pt>
                <c:pt idx="3">
                  <c:v>6.7777777777777777</c:v>
                </c:pt>
                <c:pt idx="4">
                  <c:v>6.9333333333333336</c:v>
                </c:pt>
                <c:pt idx="5">
                  <c:v>6.9333333333333336</c:v>
                </c:pt>
              </c:numCache>
            </c:numRef>
          </c:yVal>
          <c:smooth val="1"/>
          <c:extLst>
            <c:ext xmlns:c16="http://schemas.microsoft.com/office/drawing/2014/chart" uri="{C3380CC4-5D6E-409C-BE32-E72D297353CC}">
              <c16:uniqueId val="{00000002-764B-4BB6-9036-FDCAB0A7BA1F}"/>
            </c:ext>
          </c:extLst>
        </c:ser>
        <c:ser>
          <c:idx val="3"/>
          <c:order val="3"/>
          <c:tx>
            <c:strRef>
              <c:f>Emergence1!$I$213</c:f>
              <c:strCache>
                <c:ptCount val="1"/>
                <c:pt idx="0">
                  <c:v>STRIP</c:v>
                </c:pt>
              </c:strCache>
            </c:strRef>
          </c:tx>
          <c:spPr>
            <a:ln w="19050" cap="rnd">
              <a:solidFill>
                <a:srgbClr val="FF0000"/>
              </a:solidFill>
              <a:round/>
            </a:ln>
            <a:effectLst/>
          </c:spPr>
          <c:marker>
            <c:symbol val="none"/>
          </c:marker>
          <c:xVal>
            <c:numRef>
              <c:f>Emergence1!$E$214:$E$219</c:f>
              <c:numCache>
                <c:formatCode>General</c:formatCode>
                <c:ptCount val="6"/>
                <c:pt idx="0">
                  <c:v>122</c:v>
                </c:pt>
                <c:pt idx="1">
                  <c:v>124</c:v>
                </c:pt>
                <c:pt idx="2">
                  <c:v>128</c:v>
                </c:pt>
                <c:pt idx="3">
                  <c:v>131</c:v>
                </c:pt>
                <c:pt idx="4">
                  <c:v>135</c:v>
                </c:pt>
                <c:pt idx="5">
                  <c:v>138</c:v>
                </c:pt>
              </c:numCache>
            </c:numRef>
          </c:xVal>
          <c:yVal>
            <c:numRef>
              <c:f>Emergence1!$I$214:$I$219</c:f>
              <c:numCache>
                <c:formatCode>General</c:formatCode>
                <c:ptCount val="6"/>
                <c:pt idx="0">
                  <c:v>0.53333333333333333</c:v>
                </c:pt>
                <c:pt idx="1">
                  <c:v>3.5555555555555554</c:v>
                </c:pt>
                <c:pt idx="2">
                  <c:v>6.2444444444444445</c:v>
                </c:pt>
                <c:pt idx="3">
                  <c:v>7.2</c:v>
                </c:pt>
                <c:pt idx="4">
                  <c:v>7.4444444444444446</c:v>
                </c:pt>
                <c:pt idx="5">
                  <c:v>7.4444444444444446</c:v>
                </c:pt>
              </c:numCache>
            </c:numRef>
          </c:yVal>
          <c:smooth val="1"/>
          <c:extLst>
            <c:ext xmlns:c16="http://schemas.microsoft.com/office/drawing/2014/chart" uri="{C3380CC4-5D6E-409C-BE32-E72D297353CC}">
              <c16:uniqueId val="{00000003-764B-4BB6-9036-FDCAB0A7BA1F}"/>
            </c:ext>
          </c:extLst>
        </c:ser>
        <c:dLbls>
          <c:showLegendKey val="0"/>
          <c:showVal val="0"/>
          <c:showCatName val="0"/>
          <c:showSerName val="0"/>
          <c:showPercent val="0"/>
          <c:showBubbleSize val="0"/>
        </c:dLbls>
        <c:axId val="1594488047"/>
        <c:axId val="1594489967"/>
      </c:scatterChart>
      <c:valAx>
        <c:axId val="1594488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a:t>
                </a:r>
                <a:r>
                  <a:rPr lang="en-US" baseline="0"/>
                  <a:t> of Year in 2023</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489967"/>
        <c:crosses val="autoZero"/>
        <c:crossBetween val="midCat"/>
      </c:valAx>
      <c:valAx>
        <c:axId val="1594489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Plants</a:t>
                </a:r>
                <a:r>
                  <a:rPr lang="en-US" baseline="0"/>
                  <a:t> per meter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4880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257176</xdr:colOff>
      <xdr:row>201</xdr:row>
      <xdr:rowOff>114300</xdr:rowOff>
    </xdr:from>
    <xdr:to>
      <xdr:col>24</xdr:col>
      <xdr:colOff>285751</xdr:colOff>
      <xdr:row>220</xdr:row>
      <xdr:rowOff>104775</xdr:rowOff>
    </xdr:to>
    <xdr:graphicFrame macro="">
      <xdr:nvGraphicFramePr>
        <xdr:cNvPr id="2" name="Chart 1">
          <a:extLst>
            <a:ext uri="{FF2B5EF4-FFF2-40B4-BE49-F238E27FC236}">
              <a16:creationId xmlns:a16="http://schemas.microsoft.com/office/drawing/2014/main" id="{747B61CA-2145-4248-B485-2924403CA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1BA8D-AF34-415A-9102-96E98CECC1F2}">
  <dimension ref="A1:K181"/>
  <sheetViews>
    <sheetView workbookViewId="0"/>
  </sheetViews>
  <sheetFormatPr defaultRowHeight="15" x14ac:dyDescent="0.25"/>
  <cols>
    <col min="1" max="16384" width="9.140625" style="90"/>
  </cols>
  <sheetData>
    <row r="1" spans="1:11" x14ac:dyDescent="0.25">
      <c r="A1" s="91" t="s">
        <v>414</v>
      </c>
      <c r="B1" s="90" t="s">
        <v>413</v>
      </c>
      <c r="C1" s="90" t="s">
        <v>412</v>
      </c>
      <c r="D1" s="90" t="s">
        <v>411</v>
      </c>
      <c r="E1" s="90" t="s">
        <v>410</v>
      </c>
      <c r="F1" s="90" t="s">
        <v>409</v>
      </c>
      <c r="G1" s="90" t="s">
        <v>408</v>
      </c>
      <c r="H1" s="90" t="s">
        <v>407</v>
      </c>
      <c r="I1" s="90" t="s">
        <v>406</v>
      </c>
      <c r="J1" s="90" t="s">
        <v>405</v>
      </c>
      <c r="K1" s="90" t="s">
        <v>404</v>
      </c>
    </row>
    <row r="2" spans="1:11" x14ac:dyDescent="0.25">
      <c r="A2" s="90" t="s">
        <v>403</v>
      </c>
      <c r="B2" s="90">
        <v>13</v>
      </c>
      <c r="C2" s="90">
        <v>20</v>
      </c>
      <c r="D2" s="90">
        <v>28</v>
      </c>
      <c r="E2" s="90">
        <v>42</v>
      </c>
      <c r="F2" s="90">
        <v>55</v>
      </c>
      <c r="G2" s="90">
        <v>65</v>
      </c>
      <c r="H2" s="90">
        <v>76</v>
      </c>
      <c r="I2" s="90">
        <v>85</v>
      </c>
      <c r="J2" s="90">
        <v>98</v>
      </c>
      <c r="K2" s="90">
        <v>102</v>
      </c>
    </row>
    <row r="3" spans="1:11" x14ac:dyDescent="0.25">
      <c r="A3" s="90" t="s">
        <v>402</v>
      </c>
      <c r="B3" s="90">
        <v>15</v>
      </c>
      <c r="C3" s="90">
        <v>22</v>
      </c>
      <c r="D3" s="90">
        <v>32</v>
      </c>
      <c r="E3" s="90">
        <v>53</v>
      </c>
      <c r="F3" s="90">
        <v>77</v>
      </c>
      <c r="G3" s="90">
        <v>89</v>
      </c>
      <c r="H3" s="90">
        <v>100</v>
      </c>
      <c r="I3" s="90">
        <v>115</v>
      </c>
      <c r="J3" s="90">
        <v>125</v>
      </c>
      <c r="K3" s="90">
        <v>129</v>
      </c>
    </row>
    <row r="4" spans="1:11" x14ac:dyDescent="0.25">
      <c r="A4" s="90" t="s">
        <v>401</v>
      </c>
      <c r="B4" s="90">
        <v>13</v>
      </c>
      <c r="C4" s="90">
        <v>21</v>
      </c>
      <c r="D4" s="90">
        <v>31</v>
      </c>
      <c r="E4" s="90">
        <v>51</v>
      </c>
      <c r="F4" s="90">
        <v>74</v>
      </c>
      <c r="G4" s="90">
        <v>84</v>
      </c>
      <c r="H4" s="90">
        <v>92</v>
      </c>
      <c r="I4" s="90">
        <v>101</v>
      </c>
      <c r="J4" s="90">
        <v>112</v>
      </c>
      <c r="K4" s="90">
        <v>117</v>
      </c>
    </row>
    <row r="5" spans="1:11" x14ac:dyDescent="0.25">
      <c r="A5" s="90" t="s">
        <v>400</v>
      </c>
      <c r="B5" s="90">
        <v>9</v>
      </c>
      <c r="C5" s="90">
        <v>15</v>
      </c>
      <c r="D5" s="90">
        <v>25</v>
      </c>
      <c r="E5" s="90">
        <v>50</v>
      </c>
      <c r="F5" s="90">
        <v>77</v>
      </c>
      <c r="G5" s="90">
        <v>88</v>
      </c>
      <c r="H5" s="90">
        <v>99</v>
      </c>
      <c r="I5" s="90">
        <v>110</v>
      </c>
      <c r="J5" s="90">
        <v>122</v>
      </c>
      <c r="K5" s="90">
        <v>127</v>
      </c>
    </row>
    <row r="6" spans="1:11" x14ac:dyDescent="0.25">
      <c r="A6" s="90" t="s">
        <v>399</v>
      </c>
      <c r="B6" s="90">
        <v>9</v>
      </c>
      <c r="C6" s="90">
        <v>16</v>
      </c>
      <c r="D6" s="90">
        <v>26</v>
      </c>
      <c r="E6" s="90">
        <v>43</v>
      </c>
      <c r="F6" s="90">
        <v>66</v>
      </c>
      <c r="G6" s="90">
        <v>77</v>
      </c>
      <c r="H6" s="90">
        <v>89</v>
      </c>
      <c r="I6" s="90">
        <v>102</v>
      </c>
      <c r="J6" s="90">
        <v>113</v>
      </c>
      <c r="K6" s="90">
        <v>119</v>
      </c>
    </row>
    <row r="7" spans="1:11" x14ac:dyDescent="0.25">
      <c r="A7" s="90" t="s">
        <v>398</v>
      </c>
      <c r="B7" s="90">
        <v>12</v>
      </c>
      <c r="C7" s="90">
        <v>20</v>
      </c>
      <c r="D7" s="90">
        <v>29</v>
      </c>
      <c r="E7" s="90">
        <v>45</v>
      </c>
      <c r="F7" s="90">
        <v>67</v>
      </c>
      <c r="G7" s="90">
        <v>86</v>
      </c>
      <c r="H7" s="90">
        <v>107</v>
      </c>
      <c r="I7" s="90">
        <v>134</v>
      </c>
      <c r="J7" s="90">
        <v>148</v>
      </c>
      <c r="K7" s="90">
        <v>154</v>
      </c>
    </row>
    <row r="8" spans="1:11" x14ac:dyDescent="0.25">
      <c r="A8" s="90" t="s">
        <v>397</v>
      </c>
      <c r="B8" s="90">
        <v>10</v>
      </c>
      <c r="C8" s="90">
        <v>18</v>
      </c>
      <c r="D8" s="90">
        <v>28</v>
      </c>
      <c r="E8" s="90">
        <v>40</v>
      </c>
      <c r="F8" s="90">
        <v>58</v>
      </c>
      <c r="G8" s="90">
        <v>67</v>
      </c>
      <c r="H8" s="90">
        <v>76</v>
      </c>
      <c r="I8" s="90">
        <v>85</v>
      </c>
      <c r="J8" s="90">
        <v>100</v>
      </c>
      <c r="K8" s="90">
        <v>98</v>
      </c>
    </row>
    <row r="9" spans="1:11" x14ac:dyDescent="0.25">
      <c r="A9" s="90" t="s">
        <v>396</v>
      </c>
      <c r="B9" s="90">
        <v>20</v>
      </c>
      <c r="C9" s="90">
        <v>26</v>
      </c>
      <c r="D9" s="90">
        <v>35</v>
      </c>
      <c r="E9" s="90">
        <v>54</v>
      </c>
      <c r="F9" s="90">
        <v>80</v>
      </c>
      <c r="G9" s="90">
        <v>93</v>
      </c>
      <c r="H9" s="90">
        <v>105</v>
      </c>
      <c r="I9" s="90">
        <v>115</v>
      </c>
      <c r="J9" s="90">
        <v>131</v>
      </c>
      <c r="K9" s="90">
        <v>138</v>
      </c>
    </row>
    <row r="10" spans="1:11" x14ac:dyDescent="0.25">
      <c r="A10" s="90" t="s">
        <v>395</v>
      </c>
      <c r="B10" s="90">
        <v>18</v>
      </c>
      <c r="C10" s="90">
        <v>24</v>
      </c>
      <c r="D10" s="90">
        <v>32</v>
      </c>
      <c r="E10" s="90">
        <v>53</v>
      </c>
      <c r="F10" s="90">
        <v>80</v>
      </c>
      <c r="G10" s="90">
        <v>90</v>
      </c>
      <c r="H10" s="90">
        <v>97</v>
      </c>
      <c r="I10" s="90">
        <v>107</v>
      </c>
      <c r="J10" s="90">
        <v>118</v>
      </c>
      <c r="K10" s="90">
        <v>121</v>
      </c>
    </row>
    <row r="11" spans="1:11" x14ac:dyDescent="0.25">
      <c r="A11" s="90" t="s">
        <v>394</v>
      </c>
      <c r="B11" s="90">
        <v>13</v>
      </c>
      <c r="C11" s="90">
        <v>20</v>
      </c>
      <c r="D11" s="90">
        <v>29</v>
      </c>
      <c r="E11" s="90">
        <v>51</v>
      </c>
      <c r="F11" s="90">
        <v>81</v>
      </c>
      <c r="G11" s="90">
        <v>90</v>
      </c>
      <c r="H11" s="90">
        <v>98</v>
      </c>
      <c r="I11" s="90">
        <v>108</v>
      </c>
      <c r="J11" s="90">
        <v>117</v>
      </c>
      <c r="K11" s="90">
        <v>122</v>
      </c>
    </row>
    <row r="12" spans="1:11" x14ac:dyDescent="0.25">
      <c r="A12" s="90" t="s">
        <v>393</v>
      </c>
      <c r="B12" s="90">
        <v>15</v>
      </c>
      <c r="C12" s="90">
        <v>21</v>
      </c>
      <c r="D12" s="90">
        <v>30</v>
      </c>
      <c r="E12" s="90">
        <v>50</v>
      </c>
      <c r="F12" s="90">
        <v>64</v>
      </c>
      <c r="G12" s="90">
        <v>76</v>
      </c>
      <c r="H12" s="90">
        <v>88</v>
      </c>
      <c r="I12" s="90">
        <v>101</v>
      </c>
      <c r="J12" s="90">
        <v>116</v>
      </c>
      <c r="K12" s="90">
        <v>123</v>
      </c>
    </row>
    <row r="13" spans="1:11" x14ac:dyDescent="0.25">
      <c r="A13" s="90" t="s">
        <v>392</v>
      </c>
      <c r="B13" s="90">
        <v>14</v>
      </c>
      <c r="C13" s="90">
        <v>20</v>
      </c>
      <c r="D13" s="90">
        <v>29</v>
      </c>
      <c r="E13" s="90">
        <v>52</v>
      </c>
      <c r="F13" s="90">
        <v>67</v>
      </c>
      <c r="G13" s="90">
        <v>77</v>
      </c>
      <c r="H13" s="90">
        <v>86</v>
      </c>
      <c r="I13" s="90">
        <v>95</v>
      </c>
      <c r="J13" s="90">
        <v>107</v>
      </c>
      <c r="K13" s="90">
        <v>113</v>
      </c>
    </row>
    <row r="14" spans="1:11" x14ac:dyDescent="0.25">
      <c r="A14" s="90" t="s">
        <v>391</v>
      </c>
      <c r="B14" s="90">
        <v>9</v>
      </c>
      <c r="C14" s="90">
        <v>15</v>
      </c>
      <c r="D14" s="90">
        <v>26</v>
      </c>
      <c r="E14" s="90">
        <v>38</v>
      </c>
      <c r="F14" s="90">
        <v>54</v>
      </c>
      <c r="G14" s="90">
        <v>62</v>
      </c>
      <c r="H14" s="90">
        <v>73</v>
      </c>
      <c r="I14" s="90">
        <v>84</v>
      </c>
      <c r="J14" s="90">
        <v>102</v>
      </c>
      <c r="K14" s="90">
        <v>98</v>
      </c>
    </row>
    <row r="15" spans="1:11" x14ac:dyDescent="0.25">
      <c r="A15" s="90" t="s">
        <v>390</v>
      </c>
      <c r="B15" s="90">
        <v>12</v>
      </c>
      <c r="C15" s="90">
        <v>18</v>
      </c>
      <c r="D15" s="90">
        <v>28</v>
      </c>
      <c r="E15" s="90">
        <v>48</v>
      </c>
      <c r="F15" s="90">
        <v>75</v>
      </c>
      <c r="G15" s="90">
        <v>86</v>
      </c>
      <c r="H15" s="90">
        <v>96</v>
      </c>
      <c r="I15" s="90">
        <v>108</v>
      </c>
      <c r="J15" s="90">
        <v>119</v>
      </c>
      <c r="K15" s="90">
        <v>126</v>
      </c>
    </row>
    <row r="16" spans="1:11" x14ac:dyDescent="0.25">
      <c r="A16" s="90" t="s">
        <v>389</v>
      </c>
      <c r="B16" s="90">
        <v>13</v>
      </c>
      <c r="C16" s="90">
        <v>19</v>
      </c>
      <c r="D16" s="90">
        <v>29</v>
      </c>
      <c r="E16" s="90">
        <v>47</v>
      </c>
      <c r="F16" s="90">
        <v>69</v>
      </c>
      <c r="G16" s="90">
        <v>81</v>
      </c>
      <c r="H16" s="90">
        <v>93</v>
      </c>
      <c r="I16" s="90">
        <v>107</v>
      </c>
      <c r="J16" s="90">
        <v>121</v>
      </c>
      <c r="K16" s="90">
        <v>127</v>
      </c>
    </row>
    <row r="17" spans="1:11" x14ac:dyDescent="0.25">
      <c r="A17" s="90" t="s">
        <v>388</v>
      </c>
      <c r="B17" s="90">
        <v>27</v>
      </c>
      <c r="C17" s="90">
        <v>32</v>
      </c>
      <c r="D17" s="90">
        <v>41</v>
      </c>
      <c r="E17" s="90">
        <v>59</v>
      </c>
      <c r="F17" s="90">
        <v>80</v>
      </c>
      <c r="G17" s="90">
        <v>91</v>
      </c>
      <c r="H17" s="90">
        <v>100</v>
      </c>
      <c r="I17" s="90">
        <v>112</v>
      </c>
      <c r="J17" s="90">
        <v>128</v>
      </c>
      <c r="K17" s="90">
        <v>130</v>
      </c>
    </row>
    <row r="18" spans="1:11" x14ac:dyDescent="0.25">
      <c r="A18" s="90" t="s">
        <v>387</v>
      </c>
      <c r="B18" s="90">
        <v>29</v>
      </c>
      <c r="C18" s="90">
        <v>35</v>
      </c>
      <c r="D18" s="90">
        <v>44</v>
      </c>
      <c r="E18" s="90">
        <v>67</v>
      </c>
      <c r="F18" s="90">
        <v>97</v>
      </c>
      <c r="G18" s="90">
        <v>106</v>
      </c>
      <c r="H18" s="90">
        <v>116</v>
      </c>
      <c r="I18" s="90">
        <v>121</v>
      </c>
      <c r="J18" s="90">
        <v>130</v>
      </c>
      <c r="K18" s="90">
        <v>138</v>
      </c>
    </row>
    <row r="19" spans="1:11" x14ac:dyDescent="0.25">
      <c r="A19" s="90" t="s">
        <v>386</v>
      </c>
      <c r="B19" s="90">
        <v>25</v>
      </c>
      <c r="C19" s="90">
        <v>32</v>
      </c>
      <c r="D19" s="90">
        <v>41</v>
      </c>
      <c r="E19" s="90">
        <v>66</v>
      </c>
      <c r="F19" s="90">
        <v>94</v>
      </c>
      <c r="G19" s="90">
        <v>104</v>
      </c>
      <c r="H19" s="90">
        <v>113</v>
      </c>
      <c r="I19" s="90">
        <v>121</v>
      </c>
      <c r="J19" s="90">
        <v>131</v>
      </c>
      <c r="K19" s="90">
        <v>136</v>
      </c>
    </row>
    <row r="20" spans="1:11" x14ac:dyDescent="0.25">
      <c r="A20" s="90" t="s">
        <v>385</v>
      </c>
      <c r="B20" s="90">
        <v>26</v>
      </c>
      <c r="C20" s="90">
        <v>32</v>
      </c>
      <c r="D20" s="90">
        <v>41</v>
      </c>
      <c r="E20" s="90">
        <v>64</v>
      </c>
      <c r="F20" s="90">
        <v>91</v>
      </c>
      <c r="G20" s="90">
        <v>108</v>
      </c>
      <c r="H20" s="90">
        <v>122</v>
      </c>
      <c r="I20" s="90">
        <v>131</v>
      </c>
      <c r="J20" s="90">
        <v>154</v>
      </c>
      <c r="K20" s="90">
        <v>157</v>
      </c>
    </row>
    <row r="21" spans="1:11" x14ac:dyDescent="0.25">
      <c r="A21" s="90" t="s">
        <v>384</v>
      </c>
      <c r="B21" s="90">
        <v>18</v>
      </c>
      <c r="C21" s="90">
        <v>27</v>
      </c>
      <c r="D21" s="90">
        <v>35</v>
      </c>
      <c r="E21" s="90">
        <v>52</v>
      </c>
      <c r="F21" s="90">
        <v>75</v>
      </c>
      <c r="G21" s="90">
        <v>85</v>
      </c>
      <c r="H21" s="90">
        <v>94</v>
      </c>
      <c r="I21" s="90">
        <v>106</v>
      </c>
      <c r="J21" s="90">
        <v>117</v>
      </c>
      <c r="K21" s="90">
        <v>121</v>
      </c>
    </row>
    <row r="22" spans="1:11" x14ac:dyDescent="0.25">
      <c r="A22" s="90" t="s">
        <v>383</v>
      </c>
      <c r="B22" s="90">
        <v>12</v>
      </c>
      <c r="C22" s="90">
        <v>18</v>
      </c>
      <c r="D22" s="90">
        <v>25</v>
      </c>
      <c r="E22" s="90">
        <v>41</v>
      </c>
      <c r="F22" s="90">
        <v>61</v>
      </c>
      <c r="G22" s="90">
        <v>74</v>
      </c>
      <c r="H22" s="90">
        <v>86</v>
      </c>
      <c r="I22" s="90">
        <v>98</v>
      </c>
      <c r="J22" s="90">
        <v>114</v>
      </c>
      <c r="K22" s="90">
        <v>119</v>
      </c>
    </row>
    <row r="23" spans="1:11" x14ac:dyDescent="0.25">
      <c r="A23" s="90" t="s">
        <v>382</v>
      </c>
      <c r="B23" s="90">
        <v>20</v>
      </c>
      <c r="C23" s="90">
        <v>27</v>
      </c>
      <c r="D23" s="90">
        <v>37</v>
      </c>
      <c r="E23" s="90">
        <v>57</v>
      </c>
      <c r="F23" s="90">
        <v>84</v>
      </c>
      <c r="G23" s="90">
        <v>95</v>
      </c>
      <c r="H23" s="90">
        <v>101</v>
      </c>
      <c r="I23" s="90">
        <v>117</v>
      </c>
      <c r="J23" s="90">
        <v>113</v>
      </c>
      <c r="K23" s="90">
        <v>119</v>
      </c>
    </row>
    <row r="24" spans="1:11" x14ac:dyDescent="0.25">
      <c r="A24" s="90" t="s">
        <v>381</v>
      </c>
      <c r="B24" s="90">
        <v>21</v>
      </c>
      <c r="C24" s="90">
        <v>29</v>
      </c>
      <c r="D24" s="90">
        <v>37</v>
      </c>
      <c r="E24" s="90">
        <v>59</v>
      </c>
      <c r="F24" s="90">
        <v>87</v>
      </c>
      <c r="G24" s="90">
        <v>96</v>
      </c>
      <c r="H24" s="90">
        <v>105</v>
      </c>
      <c r="I24" s="90">
        <v>114</v>
      </c>
      <c r="J24" s="90">
        <v>124</v>
      </c>
      <c r="K24" s="90">
        <v>127</v>
      </c>
    </row>
    <row r="25" spans="1:11" x14ac:dyDescent="0.25">
      <c r="A25" s="90" t="s">
        <v>380</v>
      </c>
      <c r="B25" s="90">
        <v>13</v>
      </c>
      <c r="C25" s="90">
        <v>20</v>
      </c>
      <c r="D25" s="90">
        <v>31</v>
      </c>
      <c r="E25" s="90">
        <v>57</v>
      </c>
      <c r="F25" s="90">
        <v>87</v>
      </c>
      <c r="G25" s="90">
        <v>101</v>
      </c>
      <c r="H25" s="90">
        <v>115</v>
      </c>
      <c r="I25" s="90">
        <v>125</v>
      </c>
      <c r="J25" s="90">
        <v>141</v>
      </c>
      <c r="K25" s="90">
        <v>148</v>
      </c>
    </row>
    <row r="26" spans="1:11" x14ac:dyDescent="0.25">
      <c r="A26" s="90" t="s">
        <v>379</v>
      </c>
      <c r="B26" s="90">
        <v>22</v>
      </c>
      <c r="C26" s="90">
        <v>29</v>
      </c>
      <c r="D26" s="90">
        <v>37</v>
      </c>
      <c r="E26" s="90">
        <v>50</v>
      </c>
      <c r="F26" s="90">
        <v>65</v>
      </c>
      <c r="G26" s="90">
        <v>74</v>
      </c>
      <c r="H26" s="90">
        <v>82</v>
      </c>
      <c r="I26" s="90">
        <v>90</v>
      </c>
      <c r="J26" s="90">
        <v>101</v>
      </c>
      <c r="K26" s="90">
        <v>103</v>
      </c>
    </row>
    <row r="27" spans="1:11" x14ac:dyDescent="0.25">
      <c r="A27" s="90" t="s">
        <v>378</v>
      </c>
      <c r="B27" s="90">
        <v>19</v>
      </c>
      <c r="C27" s="90">
        <v>27</v>
      </c>
      <c r="D27" s="90">
        <v>35</v>
      </c>
      <c r="E27" s="90">
        <v>55</v>
      </c>
      <c r="F27" s="90">
        <v>75</v>
      </c>
      <c r="G27" s="90">
        <v>84</v>
      </c>
      <c r="H27" s="90">
        <v>93</v>
      </c>
      <c r="I27" s="90">
        <v>100</v>
      </c>
      <c r="J27" s="90">
        <v>112</v>
      </c>
      <c r="K27" s="90">
        <v>115</v>
      </c>
    </row>
    <row r="28" spans="1:11" x14ac:dyDescent="0.25">
      <c r="A28" s="90" t="s">
        <v>377</v>
      </c>
      <c r="B28" s="90">
        <v>20</v>
      </c>
      <c r="C28" s="90">
        <v>29</v>
      </c>
      <c r="D28" s="90">
        <v>37</v>
      </c>
      <c r="E28" s="90">
        <v>60</v>
      </c>
      <c r="F28" s="90">
        <v>85</v>
      </c>
      <c r="G28" s="90">
        <v>93</v>
      </c>
      <c r="H28" s="90">
        <v>103</v>
      </c>
      <c r="I28" s="90">
        <v>110</v>
      </c>
      <c r="J28" s="90">
        <v>119</v>
      </c>
      <c r="K28" s="90">
        <v>123</v>
      </c>
    </row>
    <row r="29" spans="1:11" x14ac:dyDescent="0.25">
      <c r="A29" s="90" t="s">
        <v>376</v>
      </c>
      <c r="B29" s="90">
        <v>20</v>
      </c>
      <c r="C29" s="90">
        <v>27</v>
      </c>
      <c r="D29" s="90">
        <v>34</v>
      </c>
      <c r="E29" s="90">
        <v>54</v>
      </c>
      <c r="F29" s="90">
        <v>73</v>
      </c>
      <c r="G29" s="90">
        <v>82</v>
      </c>
      <c r="H29" s="90">
        <v>91</v>
      </c>
      <c r="I29" s="90">
        <v>100</v>
      </c>
      <c r="J29" s="90">
        <v>110</v>
      </c>
      <c r="K29" s="90">
        <v>115</v>
      </c>
    </row>
    <row r="30" spans="1:11" x14ac:dyDescent="0.25">
      <c r="A30" s="90" t="s">
        <v>375</v>
      </c>
      <c r="B30" s="90">
        <v>16</v>
      </c>
      <c r="C30" s="90">
        <v>23</v>
      </c>
      <c r="D30" s="90">
        <v>32</v>
      </c>
      <c r="E30" s="90">
        <v>57</v>
      </c>
      <c r="F30" s="90">
        <v>85</v>
      </c>
      <c r="G30" s="90">
        <v>92</v>
      </c>
      <c r="H30" s="90">
        <v>99</v>
      </c>
      <c r="I30" s="90">
        <v>107</v>
      </c>
      <c r="J30" s="90">
        <v>116</v>
      </c>
      <c r="K30" s="90">
        <v>117</v>
      </c>
    </row>
    <row r="31" spans="1:11" x14ac:dyDescent="0.25">
      <c r="A31" s="90" t="s">
        <v>374</v>
      </c>
      <c r="B31" s="90">
        <v>21</v>
      </c>
      <c r="C31" s="90">
        <v>28</v>
      </c>
      <c r="D31" s="90">
        <v>36</v>
      </c>
      <c r="E31" s="90">
        <v>50</v>
      </c>
      <c r="F31" s="90">
        <v>65</v>
      </c>
      <c r="G31" s="90">
        <v>75</v>
      </c>
      <c r="H31" s="90">
        <v>85</v>
      </c>
      <c r="I31" s="90">
        <v>94</v>
      </c>
      <c r="J31" s="90">
        <v>106</v>
      </c>
      <c r="K31" s="90">
        <v>109</v>
      </c>
    </row>
    <row r="32" spans="1:11" x14ac:dyDescent="0.25">
      <c r="A32" s="90" t="s">
        <v>373</v>
      </c>
      <c r="B32" s="90">
        <v>23</v>
      </c>
      <c r="C32" s="90">
        <v>29</v>
      </c>
      <c r="D32" s="90">
        <v>39</v>
      </c>
      <c r="E32" s="90">
        <v>59</v>
      </c>
      <c r="F32" s="90">
        <v>82</v>
      </c>
      <c r="G32" s="90">
        <v>92</v>
      </c>
      <c r="H32" s="90">
        <v>101</v>
      </c>
      <c r="I32" s="90">
        <v>109</v>
      </c>
      <c r="J32" s="90">
        <v>119</v>
      </c>
      <c r="K32" s="90">
        <v>125</v>
      </c>
    </row>
    <row r="33" spans="1:11" x14ac:dyDescent="0.25">
      <c r="A33" s="90" t="s">
        <v>372</v>
      </c>
      <c r="B33" s="90">
        <v>19</v>
      </c>
      <c r="C33" s="90">
        <v>25</v>
      </c>
      <c r="D33" s="90">
        <v>34</v>
      </c>
      <c r="E33" s="90">
        <v>63</v>
      </c>
      <c r="F33" s="90">
        <v>92</v>
      </c>
      <c r="G33" s="90">
        <v>100</v>
      </c>
      <c r="H33" s="90">
        <v>107</v>
      </c>
      <c r="I33" s="90">
        <v>113</v>
      </c>
      <c r="J33" s="90">
        <v>123</v>
      </c>
      <c r="K33" s="90">
        <v>127</v>
      </c>
    </row>
    <row r="34" spans="1:11" x14ac:dyDescent="0.25">
      <c r="A34" s="90" t="s">
        <v>371</v>
      </c>
      <c r="B34" s="90">
        <v>20</v>
      </c>
      <c r="C34" s="90">
        <v>26</v>
      </c>
      <c r="D34" s="90">
        <v>36</v>
      </c>
      <c r="E34" s="90">
        <v>66</v>
      </c>
      <c r="F34" s="90">
        <v>95</v>
      </c>
      <c r="G34" s="90">
        <v>101</v>
      </c>
      <c r="H34" s="90">
        <v>106</v>
      </c>
      <c r="I34" s="90">
        <v>110</v>
      </c>
      <c r="J34" s="90">
        <v>119</v>
      </c>
      <c r="K34" s="90">
        <v>121</v>
      </c>
    </row>
    <row r="35" spans="1:11" x14ac:dyDescent="0.25">
      <c r="A35" s="90" t="s">
        <v>370</v>
      </c>
      <c r="B35" s="90">
        <v>24</v>
      </c>
      <c r="C35" s="90">
        <v>30</v>
      </c>
      <c r="D35" s="90">
        <v>40</v>
      </c>
      <c r="E35" s="90">
        <v>62</v>
      </c>
      <c r="F35" s="90">
        <v>88</v>
      </c>
      <c r="G35" s="90">
        <v>98</v>
      </c>
      <c r="H35" s="90">
        <v>107</v>
      </c>
      <c r="I35" s="90">
        <v>119</v>
      </c>
      <c r="J35" s="90">
        <v>131</v>
      </c>
      <c r="K35" s="90">
        <v>136</v>
      </c>
    </row>
    <row r="36" spans="1:11" x14ac:dyDescent="0.25">
      <c r="A36" s="90" t="s">
        <v>369</v>
      </c>
      <c r="B36" s="90">
        <v>26</v>
      </c>
      <c r="C36" s="90">
        <v>32</v>
      </c>
      <c r="D36" s="90">
        <v>41</v>
      </c>
      <c r="E36" s="90">
        <v>65</v>
      </c>
      <c r="F36" s="90">
        <v>94</v>
      </c>
      <c r="G36" s="90">
        <v>103</v>
      </c>
      <c r="H36" s="90">
        <v>110</v>
      </c>
      <c r="I36" s="90">
        <v>119</v>
      </c>
      <c r="J36" s="90">
        <v>129</v>
      </c>
      <c r="K36" s="90">
        <v>132</v>
      </c>
    </row>
    <row r="37" spans="1:11" x14ac:dyDescent="0.25">
      <c r="A37" s="90" t="s">
        <v>368</v>
      </c>
      <c r="B37" s="90">
        <v>29</v>
      </c>
      <c r="C37" s="90">
        <v>37</v>
      </c>
      <c r="D37" s="90">
        <v>45</v>
      </c>
      <c r="E37" s="90">
        <v>65</v>
      </c>
      <c r="F37" s="90">
        <v>95</v>
      </c>
      <c r="G37" s="90">
        <v>105</v>
      </c>
      <c r="H37" s="90">
        <v>116</v>
      </c>
      <c r="I37" s="90">
        <v>126</v>
      </c>
      <c r="J37" s="90">
        <v>139</v>
      </c>
      <c r="K37" s="90">
        <v>142</v>
      </c>
    </row>
    <row r="38" spans="1:11" x14ac:dyDescent="0.25">
      <c r="A38" s="90" t="s">
        <v>367</v>
      </c>
      <c r="B38" s="90">
        <v>18</v>
      </c>
      <c r="C38" s="90">
        <v>25</v>
      </c>
      <c r="D38" s="90">
        <v>35</v>
      </c>
      <c r="E38" s="90">
        <v>60</v>
      </c>
      <c r="F38" s="90">
        <v>90</v>
      </c>
      <c r="G38" s="90">
        <v>96</v>
      </c>
      <c r="H38" s="90">
        <v>104</v>
      </c>
      <c r="I38" s="90">
        <v>113</v>
      </c>
      <c r="J38" s="90">
        <v>124</v>
      </c>
      <c r="K38" s="90">
        <v>125</v>
      </c>
    </row>
    <row r="39" spans="1:11" x14ac:dyDescent="0.25">
      <c r="A39" s="90" t="s">
        <v>366</v>
      </c>
      <c r="B39" s="90">
        <v>22</v>
      </c>
      <c r="C39" s="90">
        <v>28</v>
      </c>
      <c r="D39" s="90">
        <v>40</v>
      </c>
      <c r="E39" s="90">
        <v>61</v>
      </c>
      <c r="F39" s="90">
        <v>86</v>
      </c>
      <c r="G39" s="90">
        <v>95</v>
      </c>
      <c r="H39" s="90">
        <v>105</v>
      </c>
      <c r="I39" s="90">
        <v>116</v>
      </c>
      <c r="J39" s="90">
        <v>121</v>
      </c>
      <c r="K39" s="90">
        <v>133</v>
      </c>
    </row>
    <row r="40" spans="1:11" x14ac:dyDescent="0.25">
      <c r="A40" s="90" t="s">
        <v>365</v>
      </c>
      <c r="B40" s="90">
        <v>15</v>
      </c>
      <c r="C40" s="90">
        <v>22</v>
      </c>
      <c r="D40" s="90">
        <v>33</v>
      </c>
      <c r="E40" s="90">
        <v>56</v>
      </c>
      <c r="F40" s="90">
        <v>82</v>
      </c>
      <c r="G40" s="90">
        <v>96</v>
      </c>
      <c r="H40" s="90">
        <v>110</v>
      </c>
      <c r="I40" s="90">
        <v>125</v>
      </c>
      <c r="J40" s="90">
        <v>137</v>
      </c>
      <c r="K40" s="90">
        <v>144</v>
      </c>
    </row>
    <row r="41" spans="1:11" x14ac:dyDescent="0.25">
      <c r="A41" s="90" t="s">
        <v>364</v>
      </c>
      <c r="B41" s="90">
        <v>19</v>
      </c>
      <c r="C41" s="90">
        <v>23</v>
      </c>
      <c r="D41" s="90">
        <v>37</v>
      </c>
      <c r="E41" s="90">
        <v>64</v>
      </c>
      <c r="F41" s="90">
        <v>94</v>
      </c>
      <c r="G41" s="90">
        <v>102</v>
      </c>
      <c r="H41" s="90">
        <v>111</v>
      </c>
      <c r="I41" s="90">
        <v>123</v>
      </c>
      <c r="J41" s="90">
        <v>134</v>
      </c>
      <c r="K41" s="90">
        <v>137</v>
      </c>
    </row>
    <row r="42" spans="1:11" x14ac:dyDescent="0.25">
      <c r="A42" s="90" t="s">
        <v>363</v>
      </c>
      <c r="B42" s="90">
        <v>22</v>
      </c>
      <c r="C42" s="90">
        <v>28</v>
      </c>
      <c r="D42" s="90">
        <v>35</v>
      </c>
      <c r="E42" s="90">
        <v>57</v>
      </c>
      <c r="F42" s="90">
        <v>82</v>
      </c>
      <c r="G42" s="90">
        <v>89</v>
      </c>
      <c r="H42" s="90">
        <v>95</v>
      </c>
      <c r="I42" s="90">
        <v>103</v>
      </c>
      <c r="J42" s="90">
        <v>114</v>
      </c>
      <c r="K42" s="90">
        <v>116</v>
      </c>
    </row>
    <row r="43" spans="1:11" x14ac:dyDescent="0.25">
      <c r="A43" s="90" t="s">
        <v>362</v>
      </c>
      <c r="B43" s="90">
        <v>23</v>
      </c>
      <c r="C43" s="90">
        <v>28</v>
      </c>
      <c r="D43" s="90">
        <v>35</v>
      </c>
      <c r="E43" s="90">
        <v>57</v>
      </c>
      <c r="F43" s="90">
        <v>80</v>
      </c>
      <c r="G43" s="90">
        <v>90</v>
      </c>
      <c r="H43" s="90">
        <v>100</v>
      </c>
      <c r="I43" s="90">
        <v>116</v>
      </c>
      <c r="J43" s="90">
        <v>127</v>
      </c>
      <c r="K43" s="90">
        <v>132</v>
      </c>
    </row>
    <row r="44" spans="1:11" x14ac:dyDescent="0.25">
      <c r="A44" s="90" t="s">
        <v>361</v>
      </c>
      <c r="B44" s="90">
        <v>11</v>
      </c>
      <c r="C44" s="90">
        <v>18</v>
      </c>
      <c r="D44" s="90">
        <v>29</v>
      </c>
      <c r="E44" s="90">
        <v>56</v>
      </c>
      <c r="F44" s="90">
        <v>83</v>
      </c>
      <c r="G44" s="90">
        <v>91</v>
      </c>
      <c r="H44" s="90">
        <v>102</v>
      </c>
      <c r="I44" s="90">
        <v>111</v>
      </c>
      <c r="J44" s="90">
        <v>121</v>
      </c>
      <c r="K44" s="90">
        <v>124</v>
      </c>
    </row>
    <row r="45" spans="1:11" x14ac:dyDescent="0.25">
      <c r="A45" s="90" t="s">
        <v>360</v>
      </c>
      <c r="B45" s="90">
        <v>15</v>
      </c>
      <c r="C45" s="90">
        <v>22</v>
      </c>
      <c r="D45" s="90">
        <v>33</v>
      </c>
      <c r="E45" s="90">
        <v>53</v>
      </c>
      <c r="F45" s="90">
        <v>76</v>
      </c>
      <c r="G45" s="90">
        <v>87</v>
      </c>
      <c r="H45" s="90">
        <v>97</v>
      </c>
      <c r="I45" s="90">
        <v>108</v>
      </c>
      <c r="J45" s="90">
        <v>126</v>
      </c>
      <c r="K45" s="90">
        <v>126</v>
      </c>
    </row>
    <row r="46" spans="1:11" x14ac:dyDescent="0.25">
      <c r="A46" s="90" t="s">
        <v>359</v>
      </c>
      <c r="B46" s="90">
        <v>21</v>
      </c>
      <c r="C46" s="90">
        <v>29</v>
      </c>
      <c r="D46" s="90">
        <v>38</v>
      </c>
      <c r="E46" s="90">
        <v>62</v>
      </c>
      <c r="F46" s="90">
        <v>90</v>
      </c>
      <c r="G46" s="90">
        <v>100</v>
      </c>
      <c r="H46" s="90">
        <v>109</v>
      </c>
      <c r="I46" s="90">
        <v>118</v>
      </c>
      <c r="J46" s="90">
        <v>129</v>
      </c>
      <c r="K46" s="90">
        <v>132</v>
      </c>
    </row>
    <row r="47" spans="1:11" x14ac:dyDescent="0.25">
      <c r="A47" s="90" t="s">
        <v>358</v>
      </c>
      <c r="B47" s="90">
        <v>15</v>
      </c>
      <c r="C47" s="90">
        <v>24</v>
      </c>
      <c r="D47" s="90">
        <v>35</v>
      </c>
      <c r="E47" s="90">
        <v>54</v>
      </c>
      <c r="F47" s="90">
        <v>77</v>
      </c>
      <c r="G47" s="90">
        <v>89</v>
      </c>
      <c r="H47" s="90">
        <v>99</v>
      </c>
      <c r="I47" s="90">
        <v>109</v>
      </c>
      <c r="J47" s="90">
        <v>123</v>
      </c>
      <c r="K47" s="90">
        <v>128</v>
      </c>
    </row>
    <row r="48" spans="1:11" x14ac:dyDescent="0.25">
      <c r="A48" s="90" t="s">
        <v>357</v>
      </c>
      <c r="B48" s="90">
        <v>11</v>
      </c>
      <c r="C48" s="90">
        <v>19</v>
      </c>
      <c r="D48" s="90">
        <v>28</v>
      </c>
      <c r="E48" s="90">
        <v>50</v>
      </c>
      <c r="F48" s="90">
        <v>72</v>
      </c>
      <c r="G48" s="90">
        <v>83</v>
      </c>
      <c r="H48" s="90">
        <v>94</v>
      </c>
      <c r="I48" s="90">
        <v>104</v>
      </c>
      <c r="J48" s="90">
        <v>118</v>
      </c>
      <c r="K48" s="90">
        <v>122</v>
      </c>
    </row>
    <row r="49" spans="1:11" x14ac:dyDescent="0.25">
      <c r="A49" s="90" t="s">
        <v>356</v>
      </c>
      <c r="B49" s="90">
        <v>17</v>
      </c>
      <c r="C49" s="90">
        <v>25</v>
      </c>
      <c r="D49" s="90">
        <v>33</v>
      </c>
      <c r="E49" s="90">
        <v>54</v>
      </c>
      <c r="F49" s="90">
        <v>79</v>
      </c>
      <c r="G49" s="90">
        <v>88</v>
      </c>
      <c r="H49" s="90">
        <v>98</v>
      </c>
      <c r="I49" s="90">
        <v>107</v>
      </c>
      <c r="J49" s="90">
        <v>124</v>
      </c>
      <c r="K49" s="90">
        <v>118</v>
      </c>
    </row>
    <row r="50" spans="1:11" x14ac:dyDescent="0.25">
      <c r="A50" s="90" t="s">
        <v>355</v>
      </c>
      <c r="B50" s="90">
        <v>16</v>
      </c>
      <c r="C50" s="90">
        <v>23</v>
      </c>
      <c r="D50" s="90">
        <v>31</v>
      </c>
      <c r="E50" s="90">
        <v>58</v>
      </c>
      <c r="F50" s="90">
        <v>81</v>
      </c>
      <c r="G50" s="90">
        <v>93</v>
      </c>
      <c r="H50" s="90">
        <v>106</v>
      </c>
      <c r="I50" s="90">
        <v>115</v>
      </c>
      <c r="J50" s="90">
        <v>123</v>
      </c>
      <c r="K50" s="90">
        <v>128</v>
      </c>
    </row>
    <row r="51" spans="1:11" x14ac:dyDescent="0.25">
      <c r="A51" s="90" t="s">
        <v>354</v>
      </c>
      <c r="B51" s="90">
        <v>20</v>
      </c>
      <c r="C51" s="90">
        <v>26</v>
      </c>
      <c r="D51" s="90">
        <v>34</v>
      </c>
      <c r="E51" s="90">
        <v>55</v>
      </c>
      <c r="F51" s="90">
        <v>77</v>
      </c>
      <c r="G51" s="90">
        <v>88</v>
      </c>
      <c r="H51" s="90">
        <v>98</v>
      </c>
      <c r="I51" s="90">
        <v>111</v>
      </c>
      <c r="J51" s="90">
        <v>124</v>
      </c>
      <c r="K51" s="90">
        <v>129</v>
      </c>
    </row>
    <row r="52" spans="1:11" x14ac:dyDescent="0.25">
      <c r="A52" s="90" t="s">
        <v>353</v>
      </c>
      <c r="B52" s="90">
        <v>9</v>
      </c>
      <c r="C52" s="90">
        <v>19</v>
      </c>
      <c r="D52" s="90">
        <v>29</v>
      </c>
      <c r="E52" s="90">
        <v>57</v>
      </c>
      <c r="F52" s="90">
        <v>87</v>
      </c>
      <c r="G52" s="90">
        <v>98</v>
      </c>
      <c r="H52" s="90">
        <v>108</v>
      </c>
      <c r="I52" s="90">
        <v>116</v>
      </c>
      <c r="J52" s="90">
        <v>127</v>
      </c>
      <c r="K52" s="90">
        <v>132</v>
      </c>
    </row>
    <row r="53" spans="1:11" x14ac:dyDescent="0.25">
      <c r="A53" s="90" t="s">
        <v>352</v>
      </c>
      <c r="B53" s="90">
        <v>13</v>
      </c>
      <c r="C53" s="90">
        <v>22</v>
      </c>
      <c r="D53" s="90">
        <v>31</v>
      </c>
      <c r="E53" s="90">
        <v>53</v>
      </c>
      <c r="F53" s="90">
        <v>80</v>
      </c>
      <c r="G53" s="90">
        <v>90</v>
      </c>
      <c r="H53" s="90">
        <v>100</v>
      </c>
      <c r="I53" s="90">
        <v>111</v>
      </c>
      <c r="J53" s="90">
        <v>123</v>
      </c>
      <c r="K53" s="90">
        <v>127</v>
      </c>
    </row>
    <row r="54" spans="1:11" x14ac:dyDescent="0.25">
      <c r="A54" s="90" t="s">
        <v>351</v>
      </c>
      <c r="B54" s="90">
        <v>9</v>
      </c>
      <c r="C54" s="90">
        <v>18</v>
      </c>
      <c r="D54" s="90">
        <v>26</v>
      </c>
      <c r="E54" s="90">
        <v>46</v>
      </c>
      <c r="F54" s="90">
        <v>69</v>
      </c>
      <c r="G54" s="90">
        <v>84</v>
      </c>
      <c r="H54" s="90">
        <v>97</v>
      </c>
      <c r="I54" s="90">
        <v>111</v>
      </c>
      <c r="J54" s="90">
        <v>128</v>
      </c>
      <c r="K54" s="90">
        <v>134</v>
      </c>
    </row>
    <row r="55" spans="1:11" x14ac:dyDescent="0.25">
      <c r="A55" s="90" t="s">
        <v>350</v>
      </c>
      <c r="B55" s="90">
        <v>6</v>
      </c>
      <c r="C55" s="90">
        <v>14</v>
      </c>
      <c r="D55" s="90">
        <v>23</v>
      </c>
      <c r="E55" s="90">
        <v>47</v>
      </c>
      <c r="F55" s="90">
        <v>72</v>
      </c>
      <c r="G55" s="90">
        <v>87</v>
      </c>
      <c r="H55" s="90">
        <v>103</v>
      </c>
      <c r="I55" s="90">
        <v>119</v>
      </c>
      <c r="J55" s="90">
        <v>138</v>
      </c>
      <c r="K55" s="90">
        <v>145</v>
      </c>
    </row>
    <row r="56" spans="1:11" x14ac:dyDescent="0.25">
      <c r="A56" s="90" t="s">
        <v>349</v>
      </c>
      <c r="B56" s="90">
        <v>14</v>
      </c>
      <c r="C56" s="90">
        <v>21</v>
      </c>
      <c r="D56" s="90">
        <v>30</v>
      </c>
      <c r="E56" s="90">
        <v>46</v>
      </c>
      <c r="F56" s="90">
        <v>69</v>
      </c>
      <c r="G56" s="90">
        <v>80</v>
      </c>
      <c r="H56" s="90">
        <v>93</v>
      </c>
      <c r="I56" s="90">
        <v>106</v>
      </c>
      <c r="J56" s="90">
        <v>121</v>
      </c>
      <c r="K56" s="90">
        <v>128</v>
      </c>
    </row>
    <row r="57" spans="1:11" x14ac:dyDescent="0.25">
      <c r="A57" s="90" t="s">
        <v>348</v>
      </c>
      <c r="B57" s="90">
        <v>11</v>
      </c>
      <c r="C57" s="90">
        <v>18</v>
      </c>
      <c r="D57" s="90">
        <v>28</v>
      </c>
      <c r="E57" s="90">
        <v>48</v>
      </c>
      <c r="F57" s="90">
        <v>72</v>
      </c>
      <c r="G57" s="90">
        <v>83</v>
      </c>
      <c r="H57" s="90">
        <v>92</v>
      </c>
      <c r="I57" s="90">
        <v>103</v>
      </c>
      <c r="J57" s="90">
        <v>117</v>
      </c>
      <c r="K57" s="90">
        <v>121</v>
      </c>
    </row>
    <row r="58" spans="1:11" x14ac:dyDescent="0.25">
      <c r="A58" s="90" t="s">
        <v>347</v>
      </c>
      <c r="B58" s="90">
        <v>9</v>
      </c>
      <c r="C58" s="90">
        <v>17</v>
      </c>
      <c r="D58" s="90">
        <v>26</v>
      </c>
      <c r="E58" s="90">
        <v>45</v>
      </c>
      <c r="F58" s="90">
        <v>69</v>
      </c>
      <c r="G58" s="90">
        <v>82</v>
      </c>
      <c r="H58" s="90">
        <v>97</v>
      </c>
      <c r="I58" s="90">
        <v>110</v>
      </c>
      <c r="J58" s="90">
        <v>128</v>
      </c>
      <c r="K58" s="90">
        <v>134</v>
      </c>
    </row>
    <row r="59" spans="1:11" x14ac:dyDescent="0.25">
      <c r="A59" s="90" t="s">
        <v>346</v>
      </c>
      <c r="B59" s="90">
        <v>10</v>
      </c>
      <c r="C59" s="90">
        <v>18</v>
      </c>
      <c r="D59" s="90">
        <v>27</v>
      </c>
      <c r="E59" s="90">
        <v>48</v>
      </c>
      <c r="F59" s="90">
        <v>73</v>
      </c>
      <c r="G59" s="90">
        <v>89</v>
      </c>
      <c r="H59" s="90">
        <v>105</v>
      </c>
      <c r="I59" s="90">
        <v>128</v>
      </c>
      <c r="J59" s="90">
        <v>140</v>
      </c>
      <c r="K59" s="90">
        <v>147</v>
      </c>
    </row>
    <row r="60" spans="1:11" x14ac:dyDescent="0.25">
      <c r="A60" s="90" t="s">
        <v>345</v>
      </c>
      <c r="B60" s="90">
        <v>6</v>
      </c>
      <c r="C60" s="90">
        <v>13</v>
      </c>
      <c r="D60" s="90">
        <v>22</v>
      </c>
      <c r="E60" s="90">
        <v>38</v>
      </c>
      <c r="F60" s="90">
        <v>57</v>
      </c>
      <c r="G60" s="90">
        <v>69</v>
      </c>
      <c r="H60" s="90">
        <v>82</v>
      </c>
      <c r="I60" s="90">
        <v>92</v>
      </c>
      <c r="J60" s="90">
        <v>107</v>
      </c>
      <c r="K60" s="90">
        <v>112</v>
      </c>
    </row>
    <row r="61" spans="1:11" x14ac:dyDescent="0.25">
      <c r="A61" s="90" t="s">
        <v>344</v>
      </c>
      <c r="B61" s="90">
        <v>7</v>
      </c>
      <c r="C61" s="90">
        <v>15</v>
      </c>
      <c r="D61" s="90">
        <v>25</v>
      </c>
      <c r="E61" s="90">
        <v>52</v>
      </c>
      <c r="F61" s="90">
        <v>81</v>
      </c>
      <c r="G61" s="90">
        <v>92</v>
      </c>
      <c r="H61" s="90">
        <v>102</v>
      </c>
      <c r="I61" s="90">
        <v>114</v>
      </c>
      <c r="J61" s="90">
        <v>129</v>
      </c>
      <c r="K61" s="90">
        <v>133</v>
      </c>
    </row>
    <row r="62" spans="1:11" x14ac:dyDescent="0.25">
      <c r="A62" s="90" t="s">
        <v>343</v>
      </c>
      <c r="B62" s="90">
        <v>18</v>
      </c>
      <c r="C62" s="90">
        <v>24</v>
      </c>
      <c r="D62" s="90">
        <v>31</v>
      </c>
      <c r="E62" s="90">
        <v>53</v>
      </c>
      <c r="F62" s="90">
        <v>80</v>
      </c>
      <c r="G62" s="90">
        <v>92</v>
      </c>
      <c r="H62" s="90">
        <v>102</v>
      </c>
      <c r="I62" s="90">
        <v>112</v>
      </c>
      <c r="J62" s="90">
        <v>126</v>
      </c>
      <c r="K62" s="90">
        <v>131</v>
      </c>
    </row>
    <row r="63" spans="1:11" x14ac:dyDescent="0.25">
      <c r="A63" s="90" t="s">
        <v>342</v>
      </c>
      <c r="B63" s="90">
        <v>22</v>
      </c>
      <c r="C63" s="90">
        <v>30</v>
      </c>
      <c r="D63" s="90">
        <v>37</v>
      </c>
      <c r="E63" s="90">
        <v>58</v>
      </c>
      <c r="F63" s="90">
        <v>86</v>
      </c>
      <c r="G63" s="90">
        <v>96</v>
      </c>
      <c r="H63" s="90">
        <v>104</v>
      </c>
      <c r="I63" s="90">
        <v>112</v>
      </c>
      <c r="J63" s="90">
        <v>128</v>
      </c>
      <c r="K63" s="90">
        <v>123</v>
      </c>
    </row>
    <row r="64" spans="1:11" x14ac:dyDescent="0.25">
      <c r="A64" s="90" t="s">
        <v>341</v>
      </c>
      <c r="B64" s="90">
        <v>20</v>
      </c>
      <c r="C64" s="90">
        <v>27</v>
      </c>
      <c r="D64" s="90">
        <v>35</v>
      </c>
      <c r="E64" s="90">
        <v>57</v>
      </c>
      <c r="F64" s="90">
        <v>84</v>
      </c>
      <c r="G64" s="90">
        <v>93</v>
      </c>
      <c r="H64" s="90">
        <v>101</v>
      </c>
      <c r="I64" s="90">
        <v>109</v>
      </c>
      <c r="J64" s="90">
        <v>119</v>
      </c>
      <c r="K64" s="90">
        <v>121</v>
      </c>
    </row>
    <row r="65" spans="1:11" x14ac:dyDescent="0.25">
      <c r="A65" s="90" t="s">
        <v>340</v>
      </c>
      <c r="B65" s="90">
        <v>24</v>
      </c>
      <c r="C65" s="90">
        <v>33</v>
      </c>
      <c r="D65" s="90">
        <v>43</v>
      </c>
      <c r="E65" s="90">
        <v>66</v>
      </c>
      <c r="F65" s="90">
        <v>90</v>
      </c>
      <c r="G65" s="90">
        <v>99</v>
      </c>
      <c r="H65" s="90">
        <v>106</v>
      </c>
      <c r="I65" s="90">
        <v>113</v>
      </c>
      <c r="J65" s="90">
        <v>126</v>
      </c>
      <c r="K65" s="90">
        <v>128</v>
      </c>
    </row>
    <row r="66" spans="1:11" x14ac:dyDescent="0.25">
      <c r="A66" s="90" t="s">
        <v>339</v>
      </c>
      <c r="B66" s="90">
        <v>22</v>
      </c>
      <c r="C66" s="90">
        <v>32</v>
      </c>
      <c r="D66" s="90">
        <v>42</v>
      </c>
      <c r="E66" s="90">
        <v>64</v>
      </c>
      <c r="F66" s="90">
        <v>89</v>
      </c>
      <c r="G66" s="90">
        <v>96</v>
      </c>
      <c r="H66" s="90">
        <v>100</v>
      </c>
      <c r="I66" s="90">
        <v>107</v>
      </c>
      <c r="J66" s="90">
        <v>115</v>
      </c>
      <c r="K66" s="90">
        <v>116</v>
      </c>
    </row>
    <row r="67" spans="1:11" x14ac:dyDescent="0.25">
      <c r="A67" s="90" t="s">
        <v>338</v>
      </c>
      <c r="B67" s="90">
        <v>21</v>
      </c>
      <c r="C67" s="90">
        <v>31</v>
      </c>
      <c r="D67" s="90">
        <v>40</v>
      </c>
      <c r="E67" s="90">
        <v>61</v>
      </c>
      <c r="F67" s="90">
        <v>87</v>
      </c>
      <c r="G67" s="90">
        <v>98</v>
      </c>
      <c r="H67" s="90">
        <v>107</v>
      </c>
      <c r="I67" s="90">
        <v>116</v>
      </c>
      <c r="J67" s="90">
        <v>128</v>
      </c>
      <c r="K67" s="90">
        <v>136</v>
      </c>
    </row>
    <row r="68" spans="1:11" x14ac:dyDescent="0.25">
      <c r="A68" s="90" t="s">
        <v>337</v>
      </c>
      <c r="B68" s="90">
        <v>27</v>
      </c>
      <c r="C68" s="90">
        <v>36</v>
      </c>
      <c r="D68" s="90">
        <v>45</v>
      </c>
      <c r="E68" s="90">
        <v>67</v>
      </c>
      <c r="F68" s="90">
        <v>92</v>
      </c>
      <c r="G68" s="90">
        <v>99</v>
      </c>
      <c r="H68" s="90">
        <v>105</v>
      </c>
      <c r="I68" s="90">
        <v>114</v>
      </c>
      <c r="J68" s="90">
        <v>126</v>
      </c>
      <c r="K68" s="90">
        <v>121</v>
      </c>
    </row>
    <row r="69" spans="1:11" x14ac:dyDescent="0.25">
      <c r="A69" s="90" t="s">
        <v>336</v>
      </c>
      <c r="B69" s="90">
        <v>22</v>
      </c>
      <c r="C69" s="90">
        <v>29</v>
      </c>
      <c r="D69" s="90">
        <v>38</v>
      </c>
      <c r="E69" s="90">
        <v>61</v>
      </c>
      <c r="F69" s="90">
        <v>87</v>
      </c>
      <c r="G69" s="90">
        <v>96</v>
      </c>
      <c r="H69" s="90">
        <v>105</v>
      </c>
      <c r="I69" s="90">
        <v>113</v>
      </c>
      <c r="J69" s="90">
        <v>127</v>
      </c>
      <c r="K69" s="90">
        <v>129</v>
      </c>
    </row>
    <row r="70" spans="1:11" x14ac:dyDescent="0.25">
      <c r="A70" s="90" t="s">
        <v>335</v>
      </c>
      <c r="B70" s="90">
        <v>21</v>
      </c>
      <c r="C70" s="90">
        <v>29</v>
      </c>
      <c r="D70" s="90">
        <v>37</v>
      </c>
      <c r="E70" s="90">
        <v>61</v>
      </c>
      <c r="F70" s="90">
        <v>86</v>
      </c>
      <c r="G70" s="90">
        <v>93</v>
      </c>
      <c r="H70" s="90">
        <v>100</v>
      </c>
      <c r="I70" s="90">
        <v>107</v>
      </c>
      <c r="J70" s="90">
        <v>116</v>
      </c>
      <c r="K70" s="90">
        <v>118</v>
      </c>
    </row>
    <row r="71" spans="1:11" x14ac:dyDescent="0.25">
      <c r="A71" s="90" t="s">
        <v>334</v>
      </c>
      <c r="B71" s="90">
        <v>16</v>
      </c>
      <c r="C71" s="90">
        <v>24</v>
      </c>
      <c r="D71" s="90">
        <v>33</v>
      </c>
      <c r="E71" s="90">
        <v>55</v>
      </c>
      <c r="F71" s="90">
        <v>80</v>
      </c>
      <c r="G71" s="90">
        <v>89</v>
      </c>
      <c r="H71" s="90">
        <v>99</v>
      </c>
      <c r="I71" s="90">
        <v>110</v>
      </c>
      <c r="J71" s="90">
        <v>127</v>
      </c>
      <c r="K71" s="90">
        <v>124</v>
      </c>
    </row>
    <row r="72" spans="1:11" x14ac:dyDescent="0.25">
      <c r="A72" s="90" t="s">
        <v>333</v>
      </c>
      <c r="B72" s="90">
        <v>25</v>
      </c>
      <c r="C72" s="90">
        <v>32</v>
      </c>
      <c r="D72" s="90">
        <v>40</v>
      </c>
      <c r="E72" s="90">
        <v>61</v>
      </c>
      <c r="F72" s="90">
        <v>85</v>
      </c>
      <c r="G72" s="90">
        <v>97</v>
      </c>
      <c r="H72" s="90">
        <v>110</v>
      </c>
      <c r="I72" s="90">
        <v>119</v>
      </c>
      <c r="J72" s="90">
        <v>124</v>
      </c>
      <c r="K72" s="90">
        <v>139</v>
      </c>
    </row>
    <row r="73" spans="1:11" x14ac:dyDescent="0.25">
      <c r="A73" s="90" t="s">
        <v>332</v>
      </c>
      <c r="B73" s="90">
        <v>16</v>
      </c>
      <c r="C73" s="90">
        <v>23</v>
      </c>
      <c r="D73" s="90">
        <v>33</v>
      </c>
      <c r="E73" s="90">
        <v>56</v>
      </c>
      <c r="F73" s="90">
        <v>81</v>
      </c>
      <c r="G73" s="90">
        <v>94</v>
      </c>
      <c r="H73" s="90">
        <v>105</v>
      </c>
      <c r="I73" s="90">
        <v>118</v>
      </c>
      <c r="J73" s="90">
        <v>133</v>
      </c>
      <c r="K73" s="90">
        <v>139</v>
      </c>
    </row>
    <row r="74" spans="1:11" x14ac:dyDescent="0.25">
      <c r="A74" s="90" t="s">
        <v>331</v>
      </c>
      <c r="B74" s="90">
        <v>25</v>
      </c>
      <c r="C74" s="90">
        <v>33</v>
      </c>
      <c r="D74" s="90">
        <v>41</v>
      </c>
      <c r="E74" s="90">
        <v>64</v>
      </c>
      <c r="F74" s="90">
        <v>88</v>
      </c>
      <c r="G74" s="90">
        <v>97</v>
      </c>
      <c r="H74" s="90">
        <v>105</v>
      </c>
      <c r="I74" s="90">
        <v>112</v>
      </c>
      <c r="J74" s="90">
        <v>120</v>
      </c>
      <c r="K74" s="90">
        <v>126</v>
      </c>
    </row>
    <row r="75" spans="1:11" x14ac:dyDescent="0.25">
      <c r="A75" s="90" t="s">
        <v>330</v>
      </c>
      <c r="B75" s="90">
        <v>12</v>
      </c>
      <c r="C75" s="90">
        <v>20</v>
      </c>
      <c r="D75" s="90">
        <v>29</v>
      </c>
      <c r="E75" s="90">
        <v>51</v>
      </c>
      <c r="F75" s="90">
        <v>76</v>
      </c>
      <c r="G75" s="90">
        <v>87</v>
      </c>
      <c r="H75" s="90">
        <v>96</v>
      </c>
      <c r="I75" s="90">
        <v>106</v>
      </c>
      <c r="J75" s="90">
        <v>119</v>
      </c>
      <c r="K75" s="90">
        <v>124</v>
      </c>
    </row>
    <row r="76" spans="1:11" x14ac:dyDescent="0.25">
      <c r="A76" s="90" t="s">
        <v>329</v>
      </c>
      <c r="B76" s="90">
        <v>15</v>
      </c>
      <c r="C76" s="90">
        <v>22</v>
      </c>
      <c r="D76" s="90">
        <v>31</v>
      </c>
      <c r="E76" s="90">
        <v>53</v>
      </c>
      <c r="F76" s="90">
        <v>78</v>
      </c>
      <c r="G76" s="90">
        <v>87</v>
      </c>
      <c r="H76" s="90">
        <v>95</v>
      </c>
      <c r="I76" s="90">
        <v>106</v>
      </c>
      <c r="J76" s="90">
        <v>126</v>
      </c>
      <c r="K76" s="90">
        <v>125</v>
      </c>
    </row>
    <row r="77" spans="1:11" x14ac:dyDescent="0.25">
      <c r="A77" s="90" t="s">
        <v>328</v>
      </c>
      <c r="B77" s="90">
        <v>18</v>
      </c>
      <c r="C77" s="90">
        <v>26</v>
      </c>
      <c r="D77" s="90">
        <v>35</v>
      </c>
      <c r="E77" s="90">
        <v>55</v>
      </c>
      <c r="F77" s="90">
        <v>81</v>
      </c>
      <c r="G77" s="90">
        <v>91</v>
      </c>
      <c r="H77" s="90">
        <v>100</v>
      </c>
      <c r="I77" s="90">
        <v>108</v>
      </c>
      <c r="J77" s="90">
        <v>124</v>
      </c>
      <c r="K77" s="90">
        <v>126</v>
      </c>
    </row>
    <row r="78" spans="1:11" x14ac:dyDescent="0.25">
      <c r="A78" s="90" t="s">
        <v>327</v>
      </c>
      <c r="B78" s="90">
        <v>17</v>
      </c>
      <c r="C78" s="90">
        <v>24</v>
      </c>
      <c r="D78" s="90">
        <v>32</v>
      </c>
      <c r="E78" s="90">
        <v>53</v>
      </c>
      <c r="F78" s="90">
        <v>78</v>
      </c>
      <c r="G78" s="90">
        <v>87</v>
      </c>
      <c r="H78" s="90">
        <v>95</v>
      </c>
      <c r="I78" s="90">
        <v>104</v>
      </c>
      <c r="J78" s="90">
        <v>117</v>
      </c>
      <c r="K78" s="90">
        <v>117</v>
      </c>
    </row>
    <row r="79" spans="1:11" x14ac:dyDescent="0.25">
      <c r="A79" s="90" t="s">
        <v>326</v>
      </c>
      <c r="B79" s="90">
        <v>16</v>
      </c>
      <c r="C79" s="90">
        <v>23</v>
      </c>
      <c r="D79" s="90">
        <v>32</v>
      </c>
      <c r="E79" s="90">
        <v>54</v>
      </c>
      <c r="F79" s="90">
        <v>80</v>
      </c>
      <c r="G79" s="90">
        <v>91</v>
      </c>
      <c r="H79" s="90">
        <v>101</v>
      </c>
      <c r="I79" s="90">
        <v>111</v>
      </c>
      <c r="J79" s="90">
        <v>122</v>
      </c>
      <c r="K79" s="90">
        <v>129</v>
      </c>
    </row>
    <row r="80" spans="1:11" x14ac:dyDescent="0.25">
      <c r="A80" s="90" t="s">
        <v>325</v>
      </c>
      <c r="B80" s="90">
        <v>11</v>
      </c>
      <c r="C80" s="90">
        <v>19</v>
      </c>
      <c r="D80" s="90">
        <v>28</v>
      </c>
      <c r="E80" s="90">
        <v>48</v>
      </c>
      <c r="F80" s="90">
        <v>74</v>
      </c>
      <c r="G80" s="90">
        <v>86</v>
      </c>
      <c r="H80" s="90">
        <v>96</v>
      </c>
      <c r="I80" s="90">
        <v>105</v>
      </c>
      <c r="J80" s="90">
        <v>120</v>
      </c>
      <c r="K80" s="90">
        <v>124</v>
      </c>
    </row>
    <row r="81" spans="1:11" x14ac:dyDescent="0.25">
      <c r="A81" s="90" t="s">
        <v>324</v>
      </c>
      <c r="B81" s="90">
        <v>15</v>
      </c>
      <c r="C81" s="90">
        <v>23</v>
      </c>
      <c r="D81" s="90">
        <v>31</v>
      </c>
      <c r="E81" s="90">
        <v>51</v>
      </c>
      <c r="F81" s="90">
        <v>76</v>
      </c>
      <c r="G81" s="90">
        <v>84</v>
      </c>
      <c r="H81" s="90">
        <v>91</v>
      </c>
      <c r="I81" s="90">
        <v>100</v>
      </c>
      <c r="J81" s="90">
        <v>108</v>
      </c>
      <c r="K81" s="90">
        <v>111</v>
      </c>
    </row>
    <row r="82" spans="1:11" x14ac:dyDescent="0.25">
      <c r="A82" s="90" t="s">
        <v>323</v>
      </c>
      <c r="B82" s="90">
        <v>11</v>
      </c>
      <c r="C82" s="90">
        <v>17</v>
      </c>
      <c r="D82" s="90">
        <v>28</v>
      </c>
      <c r="E82" s="90">
        <v>47</v>
      </c>
      <c r="F82" s="90">
        <v>74</v>
      </c>
      <c r="G82" s="90">
        <v>84</v>
      </c>
      <c r="H82" s="90">
        <v>93</v>
      </c>
      <c r="I82" s="90">
        <v>102</v>
      </c>
      <c r="J82" s="90">
        <v>114</v>
      </c>
      <c r="K82" s="90">
        <v>117</v>
      </c>
    </row>
    <row r="83" spans="1:11" x14ac:dyDescent="0.25">
      <c r="A83" s="90" t="s">
        <v>322</v>
      </c>
      <c r="B83" s="90">
        <v>14</v>
      </c>
      <c r="C83" s="90">
        <v>22</v>
      </c>
      <c r="D83" s="90">
        <v>31</v>
      </c>
      <c r="E83" s="90">
        <v>52</v>
      </c>
      <c r="F83" s="90">
        <v>75</v>
      </c>
      <c r="G83" s="90">
        <v>85</v>
      </c>
      <c r="H83" s="90">
        <v>95</v>
      </c>
      <c r="I83" s="90">
        <v>106</v>
      </c>
      <c r="J83" s="90">
        <v>119</v>
      </c>
      <c r="K83" s="90">
        <v>123</v>
      </c>
    </row>
    <row r="84" spans="1:11" x14ac:dyDescent="0.25">
      <c r="A84" s="90" t="s">
        <v>321</v>
      </c>
      <c r="B84" s="90">
        <v>16</v>
      </c>
      <c r="C84" s="90">
        <v>24</v>
      </c>
      <c r="D84" s="90">
        <v>32</v>
      </c>
      <c r="E84" s="90">
        <v>53</v>
      </c>
      <c r="F84" s="90">
        <v>77</v>
      </c>
      <c r="G84" s="90">
        <v>86</v>
      </c>
      <c r="H84" s="90">
        <v>97</v>
      </c>
      <c r="I84" s="90">
        <v>105</v>
      </c>
      <c r="J84" s="90">
        <v>129</v>
      </c>
      <c r="K84" s="90">
        <v>131</v>
      </c>
    </row>
    <row r="85" spans="1:11" x14ac:dyDescent="0.25">
      <c r="A85" s="90" t="s">
        <v>320</v>
      </c>
      <c r="B85" s="90">
        <v>18</v>
      </c>
      <c r="C85" s="90">
        <v>25</v>
      </c>
      <c r="D85" s="90">
        <v>34</v>
      </c>
      <c r="E85" s="90">
        <v>56</v>
      </c>
      <c r="F85" s="90">
        <v>80</v>
      </c>
      <c r="G85" s="90">
        <v>94</v>
      </c>
      <c r="H85" s="90">
        <v>108</v>
      </c>
      <c r="I85" s="90">
        <v>122</v>
      </c>
      <c r="J85" s="90">
        <v>137</v>
      </c>
      <c r="K85" s="90">
        <v>145</v>
      </c>
    </row>
    <row r="86" spans="1:11" x14ac:dyDescent="0.25">
      <c r="A86" s="90" t="s">
        <v>319</v>
      </c>
      <c r="B86" s="90">
        <v>13</v>
      </c>
      <c r="C86" s="90">
        <v>20</v>
      </c>
      <c r="D86" s="90">
        <v>30</v>
      </c>
      <c r="E86" s="90">
        <v>51</v>
      </c>
      <c r="F86" s="90">
        <v>75</v>
      </c>
      <c r="G86" s="90">
        <v>86</v>
      </c>
      <c r="H86" s="90">
        <v>97</v>
      </c>
      <c r="I86" s="90">
        <v>106</v>
      </c>
      <c r="J86" s="90">
        <v>125</v>
      </c>
      <c r="K86" s="90">
        <v>129</v>
      </c>
    </row>
    <row r="87" spans="1:11" x14ac:dyDescent="0.25">
      <c r="A87" s="90" t="s">
        <v>318</v>
      </c>
      <c r="B87" s="90">
        <v>13</v>
      </c>
      <c r="C87" s="90">
        <v>20</v>
      </c>
      <c r="D87" s="90">
        <v>31</v>
      </c>
      <c r="E87" s="90">
        <v>52</v>
      </c>
      <c r="F87" s="90">
        <v>77</v>
      </c>
      <c r="G87" s="90">
        <v>91</v>
      </c>
      <c r="H87" s="90">
        <v>106</v>
      </c>
      <c r="I87" s="90">
        <v>121</v>
      </c>
      <c r="J87" s="90">
        <v>139</v>
      </c>
      <c r="K87" s="90">
        <v>144</v>
      </c>
    </row>
    <row r="88" spans="1:11" x14ac:dyDescent="0.25">
      <c r="A88" s="90" t="s">
        <v>317</v>
      </c>
      <c r="B88" s="90">
        <v>4</v>
      </c>
      <c r="C88" s="90">
        <v>12</v>
      </c>
      <c r="D88" s="90">
        <v>21</v>
      </c>
      <c r="E88" s="90">
        <v>39</v>
      </c>
      <c r="F88" s="90">
        <v>62</v>
      </c>
      <c r="G88" s="90">
        <v>73</v>
      </c>
      <c r="H88" s="90">
        <v>86</v>
      </c>
      <c r="I88" s="90">
        <v>94</v>
      </c>
      <c r="J88" s="90">
        <v>115</v>
      </c>
      <c r="K88" s="90">
        <v>122</v>
      </c>
    </row>
    <row r="89" spans="1:11" x14ac:dyDescent="0.25">
      <c r="A89" s="90" t="s">
        <v>316</v>
      </c>
      <c r="B89" s="90">
        <v>12</v>
      </c>
      <c r="C89" s="90">
        <v>20</v>
      </c>
      <c r="D89" s="90">
        <v>27</v>
      </c>
      <c r="E89" s="90">
        <v>46</v>
      </c>
      <c r="F89" s="90">
        <v>70</v>
      </c>
      <c r="G89" s="90">
        <v>84</v>
      </c>
      <c r="H89" s="90">
        <v>96</v>
      </c>
      <c r="I89" s="90">
        <v>110</v>
      </c>
      <c r="J89" s="90">
        <v>133</v>
      </c>
      <c r="K89" s="90">
        <v>142</v>
      </c>
    </row>
    <row r="90" spans="1:11" x14ac:dyDescent="0.25">
      <c r="A90" s="90" t="s">
        <v>315</v>
      </c>
      <c r="B90" s="90">
        <v>8</v>
      </c>
      <c r="C90" s="90">
        <v>15</v>
      </c>
      <c r="D90" s="90">
        <v>24</v>
      </c>
      <c r="E90" s="90">
        <v>42</v>
      </c>
      <c r="F90" s="90">
        <v>68</v>
      </c>
      <c r="G90" s="90">
        <v>78</v>
      </c>
      <c r="H90" s="90">
        <v>90</v>
      </c>
      <c r="I90" s="90">
        <v>98</v>
      </c>
      <c r="J90" s="90">
        <v>113</v>
      </c>
      <c r="K90" s="90">
        <v>118</v>
      </c>
    </row>
    <row r="91" spans="1:11" x14ac:dyDescent="0.25">
      <c r="A91" s="90" t="s">
        <v>314</v>
      </c>
      <c r="B91" s="90">
        <v>14</v>
      </c>
      <c r="C91" s="90">
        <v>21</v>
      </c>
      <c r="D91" s="90">
        <v>31</v>
      </c>
      <c r="E91" s="90">
        <v>51</v>
      </c>
      <c r="F91" s="90">
        <v>76</v>
      </c>
      <c r="G91" s="90">
        <v>84</v>
      </c>
      <c r="H91" s="90">
        <v>93</v>
      </c>
      <c r="I91" s="90">
        <v>100</v>
      </c>
      <c r="J91" s="90">
        <v>109</v>
      </c>
      <c r="K91" s="90">
        <v>113</v>
      </c>
    </row>
    <row r="92" spans="1:11" x14ac:dyDescent="0.25">
      <c r="A92" s="90" t="s">
        <v>313</v>
      </c>
      <c r="B92" s="90">
        <v>15</v>
      </c>
      <c r="C92" s="90">
        <v>26</v>
      </c>
      <c r="D92" s="90">
        <v>31</v>
      </c>
      <c r="E92" s="90">
        <v>51</v>
      </c>
      <c r="F92" s="90">
        <v>74</v>
      </c>
      <c r="G92" s="90">
        <v>82</v>
      </c>
      <c r="H92" s="90">
        <v>91</v>
      </c>
      <c r="I92" s="90">
        <v>99</v>
      </c>
      <c r="J92" s="90">
        <v>117</v>
      </c>
      <c r="K92" s="90">
        <v>114</v>
      </c>
    </row>
    <row r="93" spans="1:11" x14ac:dyDescent="0.25">
      <c r="A93" s="90" t="s">
        <v>312</v>
      </c>
      <c r="B93" s="90">
        <v>13</v>
      </c>
      <c r="C93" s="90">
        <v>23</v>
      </c>
      <c r="D93" s="90">
        <v>29</v>
      </c>
      <c r="E93" s="90">
        <v>48</v>
      </c>
      <c r="F93" s="90">
        <v>68</v>
      </c>
      <c r="G93" s="90">
        <v>78</v>
      </c>
      <c r="H93" s="90">
        <v>88</v>
      </c>
      <c r="I93" s="90">
        <v>98</v>
      </c>
      <c r="J93" s="90">
        <v>120</v>
      </c>
      <c r="K93" s="90">
        <v>116</v>
      </c>
    </row>
    <row r="94" spans="1:11" x14ac:dyDescent="0.25">
      <c r="A94" s="90" t="s">
        <v>311</v>
      </c>
      <c r="B94" s="90">
        <v>7</v>
      </c>
      <c r="C94" s="90">
        <v>13</v>
      </c>
      <c r="D94" s="90">
        <v>25</v>
      </c>
      <c r="E94" s="90">
        <v>45</v>
      </c>
      <c r="F94" s="90">
        <v>83</v>
      </c>
      <c r="G94" s="90">
        <v>89</v>
      </c>
      <c r="H94" s="90">
        <v>95</v>
      </c>
      <c r="I94" s="90">
        <v>102</v>
      </c>
      <c r="J94" s="90">
        <v>118</v>
      </c>
      <c r="K94" s="90">
        <v>109</v>
      </c>
    </row>
    <row r="95" spans="1:11" x14ac:dyDescent="0.25">
      <c r="A95" s="90" t="s">
        <v>310</v>
      </c>
      <c r="B95" s="90">
        <v>10</v>
      </c>
      <c r="C95" s="90">
        <v>18</v>
      </c>
      <c r="D95" s="90">
        <v>27</v>
      </c>
      <c r="E95" s="90">
        <v>48</v>
      </c>
      <c r="F95" s="90">
        <v>67</v>
      </c>
      <c r="G95" s="90">
        <v>77</v>
      </c>
      <c r="H95" s="90">
        <v>90</v>
      </c>
      <c r="I95" s="90">
        <v>101</v>
      </c>
      <c r="J95" s="90">
        <v>117</v>
      </c>
      <c r="K95" s="90">
        <v>118</v>
      </c>
    </row>
    <row r="96" spans="1:11" x14ac:dyDescent="0.25">
      <c r="A96" s="90" t="s">
        <v>309</v>
      </c>
      <c r="B96" s="90">
        <v>18</v>
      </c>
      <c r="C96" s="90">
        <v>25</v>
      </c>
      <c r="D96" s="90">
        <v>33</v>
      </c>
      <c r="E96" s="90">
        <v>53</v>
      </c>
      <c r="F96" s="90">
        <v>71</v>
      </c>
      <c r="G96" s="90">
        <v>83</v>
      </c>
      <c r="H96" s="90">
        <v>95</v>
      </c>
      <c r="I96" s="90">
        <v>107</v>
      </c>
      <c r="J96" s="90">
        <v>120</v>
      </c>
      <c r="K96" s="90">
        <v>126</v>
      </c>
    </row>
    <row r="97" spans="1:11" x14ac:dyDescent="0.25">
      <c r="A97" s="90" t="s">
        <v>308</v>
      </c>
      <c r="B97" s="90">
        <v>8</v>
      </c>
      <c r="C97" s="90">
        <v>14</v>
      </c>
      <c r="D97" s="90">
        <v>24</v>
      </c>
      <c r="E97" s="90">
        <v>45</v>
      </c>
      <c r="F97" s="90">
        <v>65</v>
      </c>
      <c r="G97" s="90">
        <v>76</v>
      </c>
      <c r="H97" s="90">
        <v>86</v>
      </c>
      <c r="I97" s="90">
        <v>95</v>
      </c>
      <c r="J97" s="90">
        <v>112</v>
      </c>
      <c r="K97" s="90">
        <v>114</v>
      </c>
    </row>
    <row r="98" spans="1:11" x14ac:dyDescent="0.25">
      <c r="A98" s="90" t="s">
        <v>307</v>
      </c>
      <c r="B98" s="90">
        <v>11</v>
      </c>
      <c r="C98" s="90">
        <v>19</v>
      </c>
      <c r="D98" s="90">
        <v>26</v>
      </c>
      <c r="E98" s="90">
        <v>45</v>
      </c>
      <c r="F98" s="90">
        <v>65</v>
      </c>
      <c r="G98" s="90">
        <v>75</v>
      </c>
      <c r="H98" s="90">
        <v>85</v>
      </c>
      <c r="I98" s="90">
        <v>94</v>
      </c>
      <c r="J98" s="90">
        <v>107</v>
      </c>
      <c r="K98" s="90">
        <v>112</v>
      </c>
    </row>
    <row r="99" spans="1:11" x14ac:dyDescent="0.25">
      <c r="A99" s="90" t="s">
        <v>306</v>
      </c>
      <c r="B99" s="90">
        <v>2</v>
      </c>
      <c r="C99" s="90">
        <v>8</v>
      </c>
      <c r="D99" s="90">
        <v>15</v>
      </c>
      <c r="E99" s="90">
        <v>38</v>
      </c>
      <c r="F99" s="90">
        <v>58</v>
      </c>
      <c r="G99" s="90">
        <v>69</v>
      </c>
      <c r="H99" s="90">
        <v>83</v>
      </c>
      <c r="I99" s="90">
        <v>95</v>
      </c>
      <c r="J99" s="90">
        <v>109</v>
      </c>
      <c r="K99" s="90">
        <v>114</v>
      </c>
    </row>
    <row r="100" spans="1:11" x14ac:dyDescent="0.25">
      <c r="A100" s="90" t="s">
        <v>305</v>
      </c>
      <c r="B100" s="90">
        <v>4</v>
      </c>
      <c r="C100" s="90">
        <v>11</v>
      </c>
      <c r="D100" s="90">
        <v>21</v>
      </c>
      <c r="E100" s="90">
        <v>46</v>
      </c>
      <c r="F100" s="90">
        <v>68</v>
      </c>
      <c r="G100" s="90">
        <v>83</v>
      </c>
      <c r="H100" s="90">
        <v>94</v>
      </c>
      <c r="I100" s="90">
        <v>113</v>
      </c>
      <c r="J100" s="90">
        <v>135</v>
      </c>
      <c r="K100" s="90">
        <v>138</v>
      </c>
    </row>
    <row r="101" spans="1:11" x14ac:dyDescent="0.25">
      <c r="A101" s="90" t="s">
        <v>304</v>
      </c>
      <c r="B101" s="90">
        <v>6</v>
      </c>
      <c r="C101" s="90">
        <v>13</v>
      </c>
      <c r="D101" s="90">
        <v>23</v>
      </c>
      <c r="E101" s="90">
        <v>48</v>
      </c>
      <c r="F101" s="90">
        <v>68</v>
      </c>
      <c r="G101" s="90">
        <v>81</v>
      </c>
      <c r="H101" s="90">
        <v>92</v>
      </c>
      <c r="I101" s="90">
        <v>110</v>
      </c>
      <c r="J101" s="90">
        <v>120</v>
      </c>
      <c r="K101" s="90">
        <v>126</v>
      </c>
    </row>
    <row r="102" spans="1:11" x14ac:dyDescent="0.25">
      <c r="A102" s="90" t="s">
        <v>303</v>
      </c>
      <c r="B102" s="90">
        <v>11</v>
      </c>
      <c r="C102" s="90">
        <v>17</v>
      </c>
      <c r="D102" s="90">
        <v>26</v>
      </c>
      <c r="E102" s="90">
        <v>47</v>
      </c>
      <c r="F102" s="90">
        <v>67</v>
      </c>
      <c r="G102" s="90">
        <v>78</v>
      </c>
      <c r="H102" s="90">
        <v>89</v>
      </c>
      <c r="I102" s="90">
        <v>98</v>
      </c>
      <c r="J102" s="90">
        <v>116</v>
      </c>
      <c r="K102" s="90">
        <v>121</v>
      </c>
    </row>
    <row r="103" spans="1:11" x14ac:dyDescent="0.25">
      <c r="A103" s="90" t="s">
        <v>302</v>
      </c>
      <c r="B103" s="90">
        <v>10</v>
      </c>
      <c r="C103" s="90">
        <v>17</v>
      </c>
      <c r="D103" s="90">
        <v>25</v>
      </c>
      <c r="E103" s="90">
        <v>43</v>
      </c>
      <c r="F103" s="90">
        <v>62</v>
      </c>
      <c r="G103" s="90">
        <v>74</v>
      </c>
      <c r="H103" s="90">
        <v>86</v>
      </c>
      <c r="I103" s="90">
        <v>105</v>
      </c>
      <c r="J103" s="90">
        <v>129</v>
      </c>
      <c r="K103" s="90">
        <v>132</v>
      </c>
    </row>
    <row r="104" spans="1:11" x14ac:dyDescent="0.25">
      <c r="A104" s="90" t="s">
        <v>301</v>
      </c>
      <c r="B104" s="90">
        <v>8</v>
      </c>
      <c r="C104" s="90">
        <v>16</v>
      </c>
      <c r="D104" s="90">
        <v>24</v>
      </c>
      <c r="E104" s="90">
        <v>44</v>
      </c>
      <c r="F104" s="90">
        <v>64</v>
      </c>
      <c r="G104" s="90">
        <v>78</v>
      </c>
      <c r="H104" s="90">
        <v>91</v>
      </c>
      <c r="I104" s="90">
        <v>106</v>
      </c>
      <c r="J104" s="90">
        <v>130</v>
      </c>
      <c r="K104" s="90">
        <v>129</v>
      </c>
    </row>
    <row r="105" spans="1:11" x14ac:dyDescent="0.25">
      <c r="A105" s="90" t="s">
        <v>300</v>
      </c>
      <c r="B105" s="90">
        <v>10</v>
      </c>
      <c r="C105" s="90">
        <v>16</v>
      </c>
      <c r="D105" s="90">
        <v>25</v>
      </c>
      <c r="E105" s="90">
        <v>44</v>
      </c>
      <c r="F105" s="90">
        <v>65</v>
      </c>
      <c r="G105" s="90">
        <v>79</v>
      </c>
      <c r="H105" s="90">
        <v>93</v>
      </c>
      <c r="I105" s="90">
        <v>107</v>
      </c>
      <c r="J105" s="90">
        <v>128</v>
      </c>
      <c r="K105" s="90">
        <v>131</v>
      </c>
    </row>
    <row r="106" spans="1:11" x14ac:dyDescent="0.25">
      <c r="A106" s="90" t="s">
        <v>299</v>
      </c>
      <c r="B106" s="90">
        <v>4</v>
      </c>
      <c r="C106" s="90">
        <v>9</v>
      </c>
      <c r="D106" s="90">
        <v>18</v>
      </c>
      <c r="E106" s="90">
        <v>38</v>
      </c>
      <c r="F106" s="90">
        <v>58</v>
      </c>
      <c r="G106" s="90">
        <v>67</v>
      </c>
      <c r="H106" s="90">
        <v>75</v>
      </c>
      <c r="I106" s="90">
        <v>84</v>
      </c>
      <c r="J106" s="90">
        <v>101</v>
      </c>
      <c r="K106" s="90">
        <v>96</v>
      </c>
    </row>
    <row r="107" spans="1:11" x14ac:dyDescent="0.25">
      <c r="A107" s="90" t="s">
        <v>298</v>
      </c>
      <c r="B107" s="90">
        <v>16</v>
      </c>
      <c r="C107" s="90">
        <v>23</v>
      </c>
      <c r="D107" s="90">
        <v>32</v>
      </c>
      <c r="E107" s="90">
        <v>55</v>
      </c>
      <c r="F107" s="90">
        <v>79</v>
      </c>
      <c r="G107" s="90">
        <v>89</v>
      </c>
      <c r="H107" s="90">
        <v>98</v>
      </c>
      <c r="I107" s="90">
        <v>108</v>
      </c>
      <c r="J107" s="90">
        <v>119</v>
      </c>
      <c r="K107" s="90">
        <v>122</v>
      </c>
    </row>
    <row r="108" spans="1:11" x14ac:dyDescent="0.25">
      <c r="A108" s="90" t="s">
        <v>297</v>
      </c>
      <c r="B108" s="90">
        <v>13</v>
      </c>
      <c r="C108" s="90">
        <v>21</v>
      </c>
      <c r="D108" s="90">
        <v>28</v>
      </c>
      <c r="E108" s="90">
        <v>52</v>
      </c>
      <c r="F108" s="90">
        <v>77</v>
      </c>
      <c r="G108" s="90">
        <v>86</v>
      </c>
      <c r="H108" s="90">
        <v>94</v>
      </c>
      <c r="I108" s="90">
        <v>104</v>
      </c>
      <c r="J108" s="90">
        <v>115</v>
      </c>
      <c r="K108" s="90">
        <v>118</v>
      </c>
    </row>
    <row r="109" spans="1:11" x14ac:dyDescent="0.25">
      <c r="A109" s="90" t="s">
        <v>296</v>
      </c>
      <c r="B109" s="90">
        <v>14</v>
      </c>
      <c r="C109" s="90">
        <v>21</v>
      </c>
      <c r="D109" s="90">
        <v>29</v>
      </c>
      <c r="E109" s="90">
        <v>53</v>
      </c>
      <c r="F109" s="90">
        <v>78</v>
      </c>
      <c r="G109" s="90">
        <v>86</v>
      </c>
      <c r="H109" s="90">
        <v>95</v>
      </c>
      <c r="I109" s="90">
        <v>104</v>
      </c>
      <c r="J109" s="90">
        <v>119</v>
      </c>
      <c r="K109" s="90">
        <v>115</v>
      </c>
    </row>
    <row r="110" spans="1:11" x14ac:dyDescent="0.25">
      <c r="A110" s="90" t="s">
        <v>295</v>
      </c>
      <c r="B110" s="90">
        <v>19</v>
      </c>
      <c r="C110" s="90">
        <v>26</v>
      </c>
      <c r="D110" s="90">
        <v>33</v>
      </c>
      <c r="E110" s="90">
        <v>55</v>
      </c>
      <c r="F110" s="90">
        <v>81</v>
      </c>
      <c r="G110" s="90">
        <v>92</v>
      </c>
      <c r="H110" s="90">
        <v>101</v>
      </c>
      <c r="I110" s="90">
        <v>110</v>
      </c>
      <c r="J110" s="90">
        <v>127</v>
      </c>
      <c r="K110" s="90">
        <v>133</v>
      </c>
    </row>
    <row r="111" spans="1:11" x14ac:dyDescent="0.25">
      <c r="A111" s="90" t="s">
        <v>294</v>
      </c>
      <c r="B111" s="90">
        <v>8</v>
      </c>
      <c r="C111" s="90">
        <v>17</v>
      </c>
      <c r="D111" s="90">
        <v>25</v>
      </c>
      <c r="E111" s="90">
        <v>47</v>
      </c>
      <c r="F111" s="90">
        <v>69</v>
      </c>
      <c r="G111" s="90">
        <v>80</v>
      </c>
      <c r="H111" s="90">
        <v>90</v>
      </c>
      <c r="I111" s="90">
        <v>101</v>
      </c>
      <c r="J111" s="90">
        <v>118</v>
      </c>
      <c r="K111" s="90">
        <v>126</v>
      </c>
    </row>
    <row r="112" spans="1:11" x14ac:dyDescent="0.25">
      <c r="A112" s="90" t="s">
        <v>293</v>
      </c>
      <c r="B112" s="90">
        <v>14</v>
      </c>
      <c r="C112" s="90">
        <v>21</v>
      </c>
      <c r="D112" s="90">
        <v>29</v>
      </c>
      <c r="E112" s="90">
        <v>52</v>
      </c>
      <c r="F112" s="90">
        <v>77</v>
      </c>
      <c r="G112" s="90">
        <v>90</v>
      </c>
      <c r="H112" s="90">
        <v>101</v>
      </c>
      <c r="I112" s="90">
        <v>121</v>
      </c>
      <c r="J112" s="90">
        <v>139</v>
      </c>
      <c r="K112" s="90">
        <v>148</v>
      </c>
    </row>
    <row r="113" spans="1:11" x14ac:dyDescent="0.25">
      <c r="A113" s="90" t="s">
        <v>292</v>
      </c>
      <c r="B113" s="90">
        <v>7</v>
      </c>
      <c r="C113" s="90">
        <v>14</v>
      </c>
      <c r="D113" s="90">
        <v>24</v>
      </c>
      <c r="E113" s="90">
        <v>48</v>
      </c>
      <c r="F113" s="90">
        <v>70</v>
      </c>
      <c r="G113" s="90">
        <v>77</v>
      </c>
      <c r="H113" s="90">
        <v>85</v>
      </c>
      <c r="I113" s="90">
        <v>93</v>
      </c>
      <c r="J113" s="90">
        <v>110</v>
      </c>
      <c r="K113" s="90">
        <v>100</v>
      </c>
    </row>
    <row r="114" spans="1:11" x14ac:dyDescent="0.25">
      <c r="A114" s="90" t="s">
        <v>291</v>
      </c>
      <c r="B114" s="90">
        <v>19</v>
      </c>
      <c r="C114" s="90">
        <v>26</v>
      </c>
      <c r="D114" s="90">
        <v>34</v>
      </c>
      <c r="E114" s="90">
        <v>58</v>
      </c>
      <c r="F114" s="90">
        <v>82</v>
      </c>
      <c r="G114" s="90">
        <v>90</v>
      </c>
      <c r="H114" s="90">
        <v>97</v>
      </c>
      <c r="I114" s="90">
        <v>105</v>
      </c>
      <c r="J114" s="90">
        <v>116</v>
      </c>
      <c r="K114" s="90">
        <v>118</v>
      </c>
    </row>
    <row r="115" spans="1:11" x14ac:dyDescent="0.25">
      <c r="A115" s="90" t="s">
        <v>290</v>
      </c>
      <c r="B115" s="90">
        <v>11</v>
      </c>
      <c r="C115" s="90">
        <v>19</v>
      </c>
      <c r="D115" s="90">
        <v>27</v>
      </c>
      <c r="E115" s="90">
        <v>51</v>
      </c>
      <c r="F115" s="90">
        <v>74</v>
      </c>
      <c r="G115" s="90">
        <v>84</v>
      </c>
      <c r="H115" s="90">
        <v>94</v>
      </c>
      <c r="I115" s="90">
        <v>101</v>
      </c>
      <c r="J115" s="90">
        <v>116</v>
      </c>
      <c r="K115" s="90">
        <v>118</v>
      </c>
    </row>
    <row r="116" spans="1:11" x14ac:dyDescent="0.25">
      <c r="A116" s="90" t="s">
        <v>289</v>
      </c>
      <c r="B116" s="90">
        <v>3</v>
      </c>
      <c r="C116" s="90">
        <v>10</v>
      </c>
      <c r="D116" s="90">
        <v>18</v>
      </c>
      <c r="E116" s="90">
        <v>42</v>
      </c>
      <c r="F116" s="90">
        <v>67</v>
      </c>
      <c r="G116" s="90">
        <v>76</v>
      </c>
      <c r="H116" s="90">
        <v>86</v>
      </c>
      <c r="I116" s="90">
        <v>95</v>
      </c>
      <c r="J116" s="90">
        <v>113</v>
      </c>
      <c r="K116" s="90">
        <v>109</v>
      </c>
    </row>
    <row r="117" spans="1:11" x14ac:dyDescent="0.25">
      <c r="A117" s="90" t="s">
        <v>288</v>
      </c>
      <c r="B117" s="90">
        <v>11</v>
      </c>
      <c r="C117" s="90">
        <v>19</v>
      </c>
      <c r="D117" s="90">
        <v>28</v>
      </c>
      <c r="E117" s="90">
        <v>53</v>
      </c>
      <c r="F117" s="90">
        <v>75</v>
      </c>
      <c r="G117" s="90">
        <v>86</v>
      </c>
      <c r="H117" s="90">
        <v>98</v>
      </c>
      <c r="I117" s="90">
        <v>110</v>
      </c>
      <c r="J117" s="90">
        <v>124</v>
      </c>
      <c r="K117" s="90">
        <v>129</v>
      </c>
    </row>
    <row r="118" spans="1:11" x14ac:dyDescent="0.25">
      <c r="A118" s="90" t="s">
        <v>287</v>
      </c>
      <c r="B118" s="90">
        <v>6</v>
      </c>
      <c r="C118" s="90">
        <v>11</v>
      </c>
      <c r="D118" s="90">
        <v>23</v>
      </c>
      <c r="E118" s="90">
        <v>45</v>
      </c>
      <c r="F118" s="90">
        <v>65</v>
      </c>
      <c r="G118" s="90">
        <v>74</v>
      </c>
      <c r="H118" s="90">
        <v>83</v>
      </c>
      <c r="I118" s="90">
        <v>91</v>
      </c>
      <c r="J118" s="90">
        <v>110</v>
      </c>
      <c r="K118" s="90">
        <v>107</v>
      </c>
    </row>
    <row r="119" spans="1:11" x14ac:dyDescent="0.25">
      <c r="A119" s="90" t="s">
        <v>286</v>
      </c>
      <c r="B119" s="90">
        <v>10</v>
      </c>
      <c r="C119" s="90">
        <v>17</v>
      </c>
      <c r="D119" s="90">
        <v>26</v>
      </c>
      <c r="E119" s="90">
        <v>47</v>
      </c>
      <c r="F119" s="90">
        <v>70</v>
      </c>
      <c r="G119" s="90">
        <v>77</v>
      </c>
      <c r="H119" s="90">
        <v>86</v>
      </c>
      <c r="I119" s="90">
        <v>94</v>
      </c>
      <c r="J119" s="90">
        <v>112</v>
      </c>
      <c r="K119" s="90">
        <v>88</v>
      </c>
    </row>
    <row r="120" spans="1:11" x14ac:dyDescent="0.25">
      <c r="A120" s="90" t="s">
        <v>285</v>
      </c>
      <c r="B120" s="90">
        <v>11</v>
      </c>
      <c r="C120" s="90">
        <v>18</v>
      </c>
      <c r="D120" s="90">
        <v>28</v>
      </c>
      <c r="E120" s="90">
        <v>50</v>
      </c>
      <c r="F120" s="90">
        <v>72</v>
      </c>
      <c r="G120" s="90">
        <v>80</v>
      </c>
      <c r="H120" s="90">
        <v>88</v>
      </c>
      <c r="I120" s="90">
        <v>92</v>
      </c>
      <c r="J120" s="90">
        <v>104</v>
      </c>
      <c r="K120" s="90">
        <v>106</v>
      </c>
    </row>
    <row r="121" spans="1:11" x14ac:dyDescent="0.25">
      <c r="A121" s="90" t="s">
        <v>284</v>
      </c>
      <c r="B121" s="90">
        <v>8</v>
      </c>
      <c r="C121" s="90">
        <v>14</v>
      </c>
      <c r="D121" s="90">
        <v>24</v>
      </c>
      <c r="E121" s="90">
        <v>47</v>
      </c>
      <c r="F121" s="90">
        <v>68</v>
      </c>
      <c r="G121" s="90">
        <v>79</v>
      </c>
      <c r="H121" s="90">
        <v>90</v>
      </c>
      <c r="I121" s="90">
        <v>99</v>
      </c>
      <c r="J121" s="90">
        <v>124</v>
      </c>
      <c r="K121" s="90">
        <v>122</v>
      </c>
    </row>
    <row r="122" spans="1:11" x14ac:dyDescent="0.25">
      <c r="A122" s="90" t="s">
        <v>283</v>
      </c>
      <c r="B122" s="90">
        <v>23</v>
      </c>
      <c r="C122" s="90">
        <v>30</v>
      </c>
      <c r="D122" s="90">
        <v>38</v>
      </c>
      <c r="E122" s="90">
        <v>61</v>
      </c>
      <c r="F122" s="90">
        <v>85</v>
      </c>
      <c r="G122" s="90">
        <v>98</v>
      </c>
      <c r="H122" s="90">
        <v>107</v>
      </c>
      <c r="I122" s="90">
        <v>111</v>
      </c>
      <c r="J122" s="90">
        <v>134</v>
      </c>
      <c r="K122" s="90">
        <v>140</v>
      </c>
    </row>
    <row r="123" spans="1:11" x14ac:dyDescent="0.25">
      <c r="A123" s="90" t="s">
        <v>282</v>
      </c>
      <c r="B123" s="90">
        <v>15</v>
      </c>
      <c r="C123" s="90">
        <v>23</v>
      </c>
      <c r="D123" s="90">
        <v>31</v>
      </c>
      <c r="E123" s="90">
        <v>55</v>
      </c>
      <c r="F123" s="90">
        <v>77</v>
      </c>
      <c r="G123" s="90">
        <v>83</v>
      </c>
      <c r="H123" s="90">
        <v>87</v>
      </c>
      <c r="I123" s="90">
        <v>92</v>
      </c>
      <c r="J123" s="90">
        <v>102</v>
      </c>
      <c r="K123" s="90">
        <v>98</v>
      </c>
    </row>
    <row r="124" spans="1:11" x14ac:dyDescent="0.25">
      <c r="A124" s="90" t="s">
        <v>281</v>
      </c>
      <c r="B124" s="90">
        <v>13</v>
      </c>
      <c r="C124" s="90">
        <v>22</v>
      </c>
      <c r="D124" s="90">
        <v>30</v>
      </c>
      <c r="E124" s="90">
        <v>55</v>
      </c>
      <c r="F124" s="90">
        <v>79</v>
      </c>
      <c r="G124" s="90">
        <v>88</v>
      </c>
      <c r="H124" s="90">
        <v>96</v>
      </c>
      <c r="I124" s="90">
        <v>105</v>
      </c>
      <c r="J124" s="90">
        <v>117</v>
      </c>
      <c r="K124" s="90">
        <v>120</v>
      </c>
    </row>
    <row r="125" spans="1:11" x14ac:dyDescent="0.25">
      <c r="A125" s="90" t="s">
        <v>280</v>
      </c>
      <c r="B125" s="90">
        <v>12</v>
      </c>
      <c r="C125" s="90">
        <v>20</v>
      </c>
      <c r="D125" s="90">
        <v>30</v>
      </c>
      <c r="E125" s="90">
        <v>55</v>
      </c>
      <c r="F125" s="90">
        <v>79</v>
      </c>
      <c r="G125" s="90">
        <v>88</v>
      </c>
      <c r="H125" s="90">
        <v>99</v>
      </c>
      <c r="I125" s="90">
        <v>108</v>
      </c>
      <c r="J125" s="90">
        <v>119</v>
      </c>
      <c r="K125" s="90">
        <v>122</v>
      </c>
    </row>
    <row r="126" spans="1:11" x14ac:dyDescent="0.25">
      <c r="A126" s="90" t="s">
        <v>279</v>
      </c>
      <c r="B126" s="90">
        <v>13</v>
      </c>
      <c r="C126" s="90">
        <v>21</v>
      </c>
      <c r="D126" s="90">
        <v>31</v>
      </c>
      <c r="E126" s="90">
        <v>56</v>
      </c>
      <c r="F126" s="90">
        <v>81</v>
      </c>
      <c r="G126" s="90">
        <v>92</v>
      </c>
      <c r="H126" s="90">
        <v>101</v>
      </c>
      <c r="I126" s="90">
        <v>112</v>
      </c>
      <c r="J126" s="90">
        <v>125</v>
      </c>
      <c r="K126" s="90">
        <v>129</v>
      </c>
    </row>
    <row r="127" spans="1:11" x14ac:dyDescent="0.25">
      <c r="A127" s="90" t="s">
        <v>278</v>
      </c>
      <c r="B127" s="90">
        <v>15</v>
      </c>
      <c r="C127" s="90">
        <v>23</v>
      </c>
      <c r="D127" s="90">
        <v>32</v>
      </c>
      <c r="E127" s="90">
        <v>58</v>
      </c>
      <c r="F127" s="90">
        <v>81</v>
      </c>
      <c r="G127" s="90">
        <v>92</v>
      </c>
      <c r="H127" s="90">
        <v>103</v>
      </c>
      <c r="I127" s="90">
        <v>114</v>
      </c>
      <c r="J127" s="90">
        <v>126</v>
      </c>
      <c r="K127" s="90">
        <v>131</v>
      </c>
    </row>
    <row r="128" spans="1:11" x14ac:dyDescent="0.25">
      <c r="A128" s="90" t="s">
        <v>277</v>
      </c>
      <c r="B128" s="90">
        <v>13</v>
      </c>
      <c r="C128" s="90">
        <v>24</v>
      </c>
      <c r="D128" s="90">
        <v>28</v>
      </c>
      <c r="E128" s="90">
        <v>52</v>
      </c>
      <c r="F128" s="90">
        <v>74</v>
      </c>
      <c r="G128" s="90">
        <v>79</v>
      </c>
      <c r="H128" s="90">
        <v>88</v>
      </c>
      <c r="I128" s="90">
        <v>95</v>
      </c>
      <c r="J128" s="90">
        <v>110</v>
      </c>
      <c r="K128" s="90">
        <v>103</v>
      </c>
    </row>
    <row r="129" spans="1:11" x14ac:dyDescent="0.25">
      <c r="A129" s="90" t="s">
        <v>276</v>
      </c>
      <c r="B129" s="90">
        <v>19</v>
      </c>
      <c r="C129" s="90">
        <v>26</v>
      </c>
      <c r="D129" s="90">
        <v>34</v>
      </c>
      <c r="E129" s="90">
        <v>58</v>
      </c>
      <c r="F129" s="90">
        <v>80</v>
      </c>
      <c r="G129" s="90">
        <v>93</v>
      </c>
      <c r="H129" s="90">
        <v>105</v>
      </c>
      <c r="I129" s="90">
        <v>116</v>
      </c>
      <c r="J129" s="90">
        <v>134</v>
      </c>
      <c r="K129" s="90">
        <v>141</v>
      </c>
    </row>
    <row r="130" spans="1:11" x14ac:dyDescent="0.25">
      <c r="A130" s="90" t="s">
        <v>275</v>
      </c>
      <c r="B130" s="90">
        <v>9</v>
      </c>
      <c r="C130" s="90">
        <v>18</v>
      </c>
      <c r="D130" s="90">
        <v>25</v>
      </c>
      <c r="E130" s="90">
        <v>48</v>
      </c>
      <c r="F130" s="90">
        <v>71</v>
      </c>
      <c r="G130" s="90">
        <v>85</v>
      </c>
      <c r="H130" s="90">
        <v>97</v>
      </c>
      <c r="I130" s="90">
        <v>111</v>
      </c>
      <c r="J130" s="90">
        <v>129</v>
      </c>
      <c r="K130" s="90">
        <v>137</v>
      </c>
    </row>
    <row r="131" spans="1:11" x14ac:dyDescent="0.25">
      <c r="A131" s="90" t="s">
        <v>274</v>
      </c>
      <c r="B131" s="90">
        <v>15</v>
      </c>
      <c r="C131" s="90">
        <v>23</v>
      </c>
      <c r="D131" s="90">
        <v>32</v>
      </c>
      <c r="E131" s="90">
        <v>56</v>
      </c>
      <c r="F131" s="90">
        <v>80</v>
      </c>
      <c r="G131" s="90">
        <v>93</v>
      </c>
      <c r="H131" s="90">
        <v>105</v>
      </c>
      <c r="I131" s="90">
        <v>118</v>
      </c>
      <c r="J131" s="90">
        <v>130</v>
      </c>
      <c r="K131" s="90">
        <v>138</v>
      </c>
    </row>
    <row r="132" spans="1:11" x14ac:dyDescent="0.25">
      <c r="A132" s="90" t="s">
        <v>273</v>
      </c>
      <c r="B132" s="90">
        <v>11</v>
      </c>
      <c r="C132" s="90">
        <v>19</v>
      </c>
      <c r="D132" s="90">
        <v>29</v>
      </c>
      <c r="E132" s="90">
        <v>51</v>
      </c>
      <c r="F132" s="90">
        <v>74</v>
      </c>
      <c r="G132" s="90">
        <v>83</v>
      </c>
      <c r="H132" s="90">
        <v>91</v>
      </c>
      <c r="I132" s="90">
        <v>100</v>
      </c>
      <c r="J132" s="90">
        <v>112</v>
      </c>
      <c r="K132" s="90">
        <v>114</v>
      </c>
    </row>
    <row r="133" spans="1:11" x14ac:dyDescent="0.25">
      <c r="A133" s="90" t="s">
        <v>272</v>
      </c>
      <c r="B133" s="90">
        <v>11</v>
      </c>
      <c r="C133" s="90">
        <v>18</v>
      </c>
      <c r="D133" s="90">
        <v>28</v>
      </c>
      <c r="E133" s="90">
        <v>53</v>
      </c>
      <c r="F133" s="90">
        <v>75</v>
      </c>
      <c r="G133" s="90">
        <v>85</v>
      </c>
      <c r="H133" s="90">
        <v>93</v>
      </c>
      <c r="I133" s="90">
        <v>100</v>
      </c>
      <c r="J133" s="90">
        <v>116</v>
      </c>
      <c r="K133" s="90">
        <v>121</v>
      </c>
    </row>
    <row r="134" spans="1:11" x14ac:dyDescent="0.25">
      <c r="A134" s="90" t="s">
        <v>271</v>
      </c>
      <c r="B134" s="90">
        <v>10</v>
      </c>
      <c r="C134" s="90">
        <v>18</v>
      </c>
      <c r="D134" s="90">
        <v>27</v>
      </c>
      <c r="E134" s="90">
        <v>50</v>
      </c>
      <c r="F134" s="90">
        <v>72</v>
      </c>
      <c r="G134" s="90">
        <v>84</v>
      </c>
      <c r="H134" s="90">
        <v>96</v>
      </c>
      <c r="I134" s="90">
        <v>107</v>
      </c>
      <c r="J134" s="90">
        <v>120</v>
      </c>
      <c r="K134" s="90">
        <v>126</v>
      </c>
    </row>
    <row r="135" spans="1:11" x14ac:dyDescent="0.25">
      <c r="A135" s="90" t="s">
        <v>270</v>
      </c>
      <c r="B135" s="90">
        <v>11</v>
      </c>
      <c r="C135" s="90">
        <v>19</v>
      </c>
      <c r="D135" s="90">
        <v>28</v>
      </c>
      <c r="E135" s="90">
        <v>51</v>
      </c>
      <c r="F135" s="90">
        <v>74</v>
      </c>
      <c r="G135" s="90">
        <v>83</v>
      </c>
      <c r="H135" s="90">
        <v>91</v>
      </c>
      <c r="I135" s="90">
        <v>99</v>
      </c>
      <c r="J135" s="90">
        <v>111</v>
      </c>
      <c r="K135" s="90">
        <v>113</v>
      </c>
    </row>
    <row r="136" spans="1:11" x14ac:dyDescent="0.25">
      <c r="A136" s="90" t="s">
        <v>269</v>
      </c>
      <c r="B136" s="90">
        <v>11</v>
      </c>
      <c r="C136" s="90">
        <v>18</v>
      </c>
      <c r="D136" s="90">
        <v>28</v>
      </c>
      <c r="E136" s="90">
        <v>50</v>
      </c>
      <c r="F136" s="90">
        <v>74</v>
      </c>
      <c r="G136" s="90">
        <v>83</v>
      </c>
      <c r="H136" s="90">
        <v>94</v>
      </c>
      <c r="I136" s="90">
        <v>103</v>
      </c>
      <c r="J136" s="90">
        <v>115</v>
      </c>
      <c r="K136" s="90">
        <v>118</v>
      </c>
    </row>
    <row r="137" spans="1:11" x14ac:dyDescent="0.25">
      <c r="A137" s="90" t="s">
        <v>268</v>
      </c>
      <c r="B137" s="90">
        <v>8</v>
      </c>
      <c r="C137" s="90">
        <v>16</v>
      </c>
      <c r="D137" s="90">
        <v>24</v>
      </c>
      <c r="E137" s="90">
        <v>47</v>
      </c>
      <c r="F137" s="90">
        <v>67</v>
      </c>
      <c r="G137" s="90">
        <v>79</v>
      </c>
      <c r="H137" s="90">
        <v>90</v>
      </c>
      <c r="I137" s="90">
        <v>101</v>
      </c>
      <c r="J137" s="90">
        <v>114</v>
      </c>
      <c r="K137" s="90">
        <v>120</v>
      </c>
    </row>
    <row r="138" spans="1:11" x14ac:dyDescent="0.25">
      <c r="A138" s="90" t="s">
        <v>267</v>
      </c>
      <c r="B138" s="90">
        <v>9</v>
      </c>
      <c r="C138" s="90">
        <v>16</v>
      </c>
      <c r="D138" s="90">
        <v>24</v>
      </c>
      <c r="E138" s="90">
        <v>48</v>
      </c>
      <c r="F138" s="90">
        <v>69</v>
      </c>
      <c r="G138" s="90">
        <v>82</v>
      </c>
      <c r="H138" s="90">
        <v>95</v>
      </c>
      <c r="I138" s="90">
        <v>104</v>
      </c>
      <c r="J138" s="90">
        <v>122</v>
      </c>
      <c r="K138" s="90">
        <v>129</v>
      </c>
    </row>
    <row r="139" spans="1:11" x14ac:dyDescent="0.25">
      <c r="A139" s="90" t="s">
        <v>266</v>
      </c>
      <c r="B139" s="90">
        <v>6</v>
      </c>
      <c r="C139" s="90">
        <v>14</v>
      </c>
      <c r="D139" s="90">
        <v>22</v>
      </c>
      <c r="E139" s="90">
        <v>47</v>
      </c>
      <c r="F139" s="90">
        <v>67</v>
      </c>
      <c r="G139" s="90">
        <v>82</v>
      </c>
      <c r="H139" s="90">
        <v>96</v>
      </c>
      <c r="I139" s="90">
        <v>107</v>
      </c>
      <c r="J139" s="90">
        <v>138</v>
      </c>
      <c r="K139" s="90">
        <v>149</v>
      </c>
    </row>
    <row r="140" spans="1:11" x14ac:dyDescent="0.25">
      <c r="A140" s="90" t="s">
        <v>265</v>
      </c>
      <c r="B140" s="90">
        <v>8</v>
      </c>
      <c r="C140" s="90">
        <v>15</v>
      </c>
      <c r="D140" s="90">
        <v>23</v>
      </c>
      <c r="E140" s="90">
        <v>47</v>
      </c>
      <c r="F140" s="90">
        <v>66</v>
      </c>
      <c r="G140" s="90">
        <v>77</v>
      </c>
      <c r="H140" s="90">
        <v>89</v>
      </c>
      <c r="I140" s="90">
        <v>101</v>
      </c>
      <c r="J140" s="90">
        <v>113</v>
      </c>
      <c r="K140" s="90">
        <v>119</v>
      </c>
    </row>
    <row r="141" spans="1:11" x14ac:dyDescent="0.25">
      <c r="A141" s="90" t="s">
        <v>264</v>
      </c>
      <c r="B141" s="90">
        <v>6</v>
      </c>
      <c r="C141" s="90">
        <v>13</v>
      </c>
      <c r="D141" s="90">
        <v>21</v>
      </c>
      <c r="E141" s="90">
        <v>44</v>
      </c>
      <c r="F141" s="90">
        <v>65</v>
      </c>
      <c r="G141" s="90">
        <v>82</v>
      </c>
      <c r="H141" s="90">
        <v>98</v>
      </c>
      <c r="I141" s="90">
        <v>113</v>
      </c>
      <c r="J141" s="90">
        <v>132</v>
      </c>
      <c r="K141" s="90">
        <v>143</v>
      </c>
    </row>
    <row r="142" spans="1:11" x14ac:dyDescent="0.25">
      <c r="A142" s="90" t="s">
        <v>263</v>
      </c>
      <c r="B142" s="90">
        <v>7</v>
      </c>
      <c r="C142" s="90">
        <v>14</v>
      </c>
      <c r="D142" s="90">
        <v>22</v>
      </c>
      <c r="E142" s="90">
        <v>46</v>
      </c>
      <c r="F142" s="90">
        <v>66</v>
      </c>
      <c r="G142" s="90">
        <v>80</v>
      </c>
      <c r="H142" s="90">
        <v>92</v>
      </c>
      <c r="I142" s="90">
        <v>101</v>
      </c>
      <c r="J142" s="90">
        <v>128</v>
      </c>
      <c r="K142" s="90">
        <v>136</v>
      </c>
    </row>
    <row r="143" spans="1:11" x14ac:dyDescent="0.25">
      <c r="A143" s="90" t="s">
        <v>262</v>
      </c>
      <c r="B143" s="90">
        <v>6</v>
      </c>
      <c r="C143" s="90">
        <v>13</v>
      </c>
      <c r="D143" s="90">
        <v>20</v>
      </c>
      <c r="E143" s="90">
        <v>44</v>
      </c>
      <c r="F143" s="90">
        <v>64</v>
      </c>
      <c r="G143" s="90">
        <v>75</v>
      </c>
      <c r="H143" s="90">
        <v>87</v>
      </c>
      <c r="I143" s="90">
        <v>97</v>
      </c>
      <c r="J143" s="90">
        <v>114</v>
      </c>
      <c r="K143" s="90">
        <v>119</v>
      </c>
    </row>
    <row r="144" spans="1:11" x14ac:dyDescent="0.25">
      <c r="A144" s="90" t="s">
        <v>261</v>
      </c>
      <c r="B144" s="90">
        <v>3</v>
      </c>
      <c r="C144" s="90">
        <v>9</v>
      </c>
      <c r="D144" s="90">
        <v>17</v>
      </c>
      <c r="E144" s="90">
        <v>39</v>
      </c>
      <c r="F144" s="90">
        <v>57</v>
      </c>
      <c r="G144" s="90">
        <v>66</v>
      </c>
      <c r="H144" s="90">
        <v>75</v>
      </c>
      <c r="I144" s="90">
        <v>83</v>
      </c>
      <c r="J144" s="90">
        <v>90</v>
      </c>
      <c r="K144" s="90">
        <v>96</v>
      </c>
    </row>
    <row r="145" spans="1:11" x14ac:dyDescent="0.25">
      <c r="A145" s="90" t="s">
        <v>260</v>
      </c>
      <c r="B145" s="90">
        <v>6</v>
      </c>
      <c r="C145" s="90">
        <v>14</v>
      </c>
      <c r="D145" s="90">
        <v>21</v>
      </c>
      <c r="E145" s="90">
        <v>44</v>
      </c>
      <c r="F145" s="90">
        <v>64</v>
      </c>
      <c r="G145" s="90">
        <v>76</v>
      </c>
      <c r="H145" s="90">
        <v>88</v>
      </c>
      <c r="I145" s="90">
        <v>99</v>
      </c>
      <c r="J145" s="90">
        <v>118</v>
      </c>
      <c r="K145" s="90">
        <v>124</v>
      </c>
    </row>
    <row r="146" spans="1:11" x14ac:dyDescent="0.25">
      <c r="A146" s="90" t="s">
        <v>259</v>
      </c>
      <c r="B146" s="90">
        <v>11</v>
      </c>
      <c r="C146" s="90">
        <v>18</v>
      </c>
      <c r="D146" s="90">
        <v>28</v>
      </c>
      <c r="E146" s="90">
        <v>52</v>
      </c>
      <c r="F146" s="90">
        <v>71</v>
      </c>
      <c r="G146" s="90">
        <v>83</v>
      </c>
      <c r="H146" s="90">
        <v>94</v>
      </c>
      <c r="I146" s="90">
        <v>107</v>
      </c>
      <c r="J146" s="90">
        <v>119</v>
      </c>
      <c r="K146" s="90">
        <v>127</v>
      </c>
    </row>
    <row r="147" spans="1:11" x14ac:dyDescent="0.25">
      <c r="A147" s="90" t="s">
        <v>258</v>
      </c>
      <c r="B147" s="90">
        <v>8</v>
      </c>
      <c r="C147" s="90">
        <v>14</v>
      </c>
      <c r="D147" s="90">
        <v>24</v>
      </c>
      <c r="E147" s="90">
        <v>47</v>
      </c>
      <c r="F147" s="90">
        <v>66</v>
      </c>
      <c r="G147" s="90">
        <v>75</v>
      </c>
      <c r="H147" s="90">
        <v>83</v>
      </c>
      <c r="I147" s="90">
        <v>92</v>
      </c>
      <c r="J147" s="90">
        <v>103</v>
      </c>
      <c r="K147" s="90">
        <v>105</v>
      </c>
    </row>
    <row r="148" spans="1:11" x14ac:dyDescent="0.25">
      <c r="A148" s="90" t="s">
        <v>257</v>
      </c>
      <c r="B148" s="90">
        <v>5</v>
      </c>
      <c r="C148" s="90">
        <v>11</v>
      </c>
      <c r="D148" s="90">
        <v>20</v>
      </c>
      <c r="E148" s="90">
        <v>42</v>
      </c>
      <c r="F148" s="90">
        <v>62</v>
      </c>
      <c r="G148" s="90">
        <v>71</v>
      </c>
      <c r="H148" s="90">
        <v>80</v>
      </c>
      <c r="I148" s="90">
        <v>89</v>
      </c>
      <c r="J148" s="90">
        <v>102</v>
      </c>
      <c r="K148" s="90">
        <v>103</v>
      </c>
    </row>
    <row r="149" spans="1:11" x14ac:dyDescent="0.25">
      <c r="A149" s="90" t="s">
        <v>256</v>
      </c>
      <c r="B149" s="90">
        <v>2</v>
      </c>
      <c r="C149" s="90">
        <v>8</v>
      </c>
      <c r="D149" s="90">
        <v>18</v>
      </c>
      <c r="E149" s="90">
        <v>39</v>
      </c>
      <c r="F149" s="90">
        <v>59</v>
      </c>
      <c r="G149" s="90">
        <v>66</v>
      </c>
      <c r="H149" s="90">
        <v>75</v>
      </c>
      <c r="I149" s="90">
        <v>83</v>
      </c>
      <c r="J149" s="90">
        <v>99</v>
      </c>
      <c r="K149" s="90">
        <v>97</v>
      </c>
    </row>
    <row r="150" spans="1:11" x14ac:dyDescent="0.25">
      <c r="A150" s="90" t="s">
        <v>255</v>
      </c>
      <c r="B150" s="90">
        <v>5</v>
      </c>
      <c r="C150" s="90">
        <v>12</v>
      </c>
      <c r="D150" s="90">
        <v>21</v>
      </c>
      <c r="E150" s="90">
        <v>45</v>
      </c>
      <c r="F150" s="90">
        <v>65</v>
      </c>
      <c r="G150" s="90">
        <v>73</v>
      </c>
      <c r="H150" s="90">
        <v>82</v>
      </c>
      <c r="I150" s="90">
        <v>88</v>
      </c>
      <c r="J150" s="90">
        <v>101</v>
      </c>
      <c r="K150" s="90">
        <v>98</v>
      </c>
    </row>
    <row r="151" spans="1:11" x14ac:dyDescent="0.25">
      <c r="A151" s="90" t="s">
        <v>254</v>
      </c>
      <c r="B151" s="90">
        <v>9</v>
      </c>
      <c r="C151" s="90">
        <v>16</v>
      </c>
      <c r="D151" s="90">
        <v>24</v>
      </c>
      <c r="E151" s="90">
        <v>48</v>
      </c>
      <c r="F151" s="90">
        <v>66</v>
      </c>
      <c r="G151" s="90">
        <v>79</v>
      </c>
      <c r="H151" s="90">
        <v>91</v>
      </c>
      <c r="I151" s="90">
        <v>102</v>
      </c>
      <c r="J151" s="90">
        <v>119</v>
      </c>
      <c r="K151" s="90">
        <v>123</v>
      </c>
    </row>
    <row r="152" spans="1:11" x14ac:dyDescent="0.25">
      <c r="A152" s="90" t="s">
        <v>253</v>
      </c>
      <c r="B152" s="90">
        <v>15</v>
      </c>
      <c r="C152" s="90">
        <v>23</v>
      </c>
      <c r="D152" s="90">
        <v>30</v>
      </c>
      <c r="E152" s="90">
        <v>53</v>
      </c>
      <c r="F152" s="90">
        <v>75</v>
      </c>
      <c r="G152" s="90">
        <v>84</v>
      </c>
      <c r="H152" s="90">
        <v>94</v>
      </c>
      <c r="I152" s="90">
        <v>103</v>
      </c>
      <c r="J152" s="90">
        <v>114</v>
      </c>
      <c r="K152" s="90">
        <v>117</v>
      </c>
    </row>
    <row r="153" spans="1:11" x14ac:dyDescent="0.25">
      <c r="A153" s="90" t="s">
        <v>252</v>
      </c>
      <c r="B153" s="90">
        <v>15</v>
      </c>
      <c r="C153" s="90">
        <v>22</v>
      </c>
      <c r="D153" s="90">
        <v>30</v>
      </c>
      <c r="E153" s="90">
        <v>53</v>
      </c>
      <c r="F153" s="90">
        <v>76</v>
      </c>
      <c r="G153" s="90">
        <v>85</v>
      </c>
      <c r="H153" s="90">
        <v>96</v>
      </c>
      <c r="I153" s="90">
        <v>101</v>
      </c>
      <c r="J153" s="90">
        <v>110</v>
      </c>
      <c r="K153" s="90">
        <v>113</v>
      </c>
    </row>
    <row r="154" spans="1:11" x14ac:dyDescent="0.25">
      <c r="A154" s="90" t="s">
        <v>251</v>
      </c>
      <c r="B154" s="90">
        <v>17</v>
      </c>
      <c r="C154" s="90">
        <v>24</v>
      </c>
      <c r="D154" s="90">
        <v>31</v>
      </c>
      <c r="E154" s="90">
        <v>55</v>
      </c>
      <c r="F154" s="90">
        <v>79</v>
      </c>
      <c r="G154" s="90">
        <v>87</v>
      </c>
      <c r="H154" s="90">
        <v>94</v>
      </c>
      <c r="I154" s="90">
        <v>101</v>
      </c>
      <c r="J154" s="90">
        <v>109</v>
      </c>
      <c r="K154" s="90">
        <v>111</v>
      </c>
    </row>
    <row r="155" spans="1:11" x14ac:dyDescent="0.25">
      <c r="A155" s="90" t="s">
        <v>250</v>
      </c>
      <c r="B155" s="90">
        <v>18</v>
      </c>
      <c r="C155" s="90">
        <v>25</v>
      </c>
      <c r="D155" s="90">
        <v>33</v>
      </c>
      <c r="E155" s="90">
        <v>56</v>
      </c>
      <c r="F155" s="90">
        <v>80</v>
      </c>
      <c r="G155" s="90">
        <v>89</v>
      </c>
      <c r="H155" s="90">
        <v>100</v>
      </c>
      <c r="I155" s="90">
        <v>111</v>
      </c>
      <c r="J155" s="90">
        <v>125</v>
      </c>
      <c r="K155" s="90">
        <v>129</v>
      </c>
    </row>
    <row r="156" spans="1:11" x14ac:dyDescent="0.25">
      <c r="A156" s="90" t="s">
        <v>249</v>
      </c>
      <c r="B156" s="90">
        <v>16</v>
      </c>
      <c r="C156" s="90">
        <v>23</v>
      </c>
      <c r="D156" s="90">
        <v>31</v>
      </c>
      <c r="E156" s="90">
        <v>54</v>
      </c>
      <c r="F156" s="90">
        <v>78</v>
      </c>
      <c r="G156" s="90">
        <v>88</v>
      </c>
      <c r="H156" s="90">
        <v>101</v>
      </c>
      <c r="I156" s="90">
        <v>113</v>
      </c>
      <c r="J156" s="90">
        <v>126</v>
      </c>
      <c r="K156" s="90">
        <v>131</v>
      </c>
    </row>
    <row r="157" spans="1:11" x14ac:dyDescent="0.25">
      <c r="A157" s="90" t="s">
        <v>248</v>
      </c>
      <c r="B157" s="90">
        <v>5</v>
      </c>
      <c r="C157" s="90">
        <v>13</v>
      </c>
      <c r="D157" s="90">
        <v>20</v>
      </c>
      <c r="E157" s="90">
        <v>42</v>
      </c>
      <c r="F157" s="90">
        <v>64</v>
      </c>
      <c r="G157" s="90">
        <v>74</v>
      </c>
      <c r="H157" s="90">
        <v>85</v>
      </c>
      <c r="I157" s="90">
        <v>95</v>
      </c>
      <c r="J157" s="90">
        <v>108</v>
      </c>
      <c r="K157" s="90">
        <v>113</v>
      </c>
    </row>
    <row r="158" spans="1:11" x14ac:dyDescent="0.25">
      <c r="A158" s="90" t="s">
        <v>247</v>
      </c>
      <c r="B158" s="90">
        <v>11</v>
      </c>
      <c r="C158" s="90">
        <v>18</v>
      </c>
      <c r="D158" s="90">
        <v>26</v>
      </c>
      <c r="E158" s="90">
        <v>50</v>
      </c>
      <c r="F158" s="90">
        <v>74</v>
      </c>
      <c r="G158" s="90">
        <v>80</v>
      </c>
      <c r="H158" s="90">
        <v>88</v>
      </c>
      <c r="I158" s="90">
        <v>92</v>
      </c>
      <c r="J158" s="90">
        <v>107</v>
      </c>
      <c r="K158" s="90">
        <v>104</v>
      </c>
    </row>
    <row r="159" spans="1:11" x14ac:dyDescent="0.25">
      <c r="A159" s="90" t="s">
        <v>246</v>
      </c>
      <c r="B159" s="90">
        <v>17</v>
      </c>
      <c r="C159" s="90">
        <v>24</v>
      </c>
      <c r="D159" s="90">
        <v>32</v>
      </c>
      <c r="E159" s="90">
        <v>55</v>
      </c>
      <c r="F159" s="90">
        <v>78</v>
      </c>
      <c r="G159" s="90">
        <v>87</v>
      </c>
      <c r="H159" s="90">
        <v>86</v>
      </c>
      <c r="I159" s="90">
        <v>101</v>
      </c>
      <c r="J159" s="90">
        <v>115</v>
      </c>
      <c r="K159" s="90">
        <v>117</v>
      </c>
    </row>
    <row r="160" spans="1:11" x14ac:dyDescent="0.25">
      <c r="A160" s="90" t="s">
        <v>245</v>
      </c>
      <c r="B160" s="90">
        <v>6</v>
      </c>
      <c r="C160" s="90">
        <v>14</v>
      </c>
      <c r="D160" s="90">
        <v>22</v>
      </c>
      <c r="E160" s="90">
        <v>46</v>
      </c>
      <c r="F160" s="90">
        <v>67</v>
      </c>
      <c r="G160" s="90">
        <v>80</v>
      </c>
      <c r="H160" s="90">
        <v>91</v>
      </c>
      <c r="I160" s="90">
        <v>102</v>
      </c>
      <c r="J160" s="90">
        <v>122</v>
      </c>
      <c r="K160" s="90">
        <v>130</v>
      </c>
    </row>
    <row r="161" spans="1:11" x14ac:dyDescent="0.25">
      <c r="A161" s="90" t="s">
        <v>244</v>
      </c>
      <c r="B161" s="90">
        <v>11</v>
      </c>
      <c r="C161" s="90">
        <v>19</v>
      </c>
      <c r="D161" s="90">
        <v>26</v>
      </c>
      <c r="E161" s="90">
        <v>49</v>
      </c>
      <c r="F161" s="90">
        <v>72</v>
      </c>
      <c r="G161" s="90">
        <v>84</v>
      </c>
      <c r="H161" s="90">
        <v>97</v>
      </c>
      <c r="I161" s="90">
        <v>110</v>
      </c>
      <c r="J161" s="90">
        <v>130</v>
      </c>
      <c r="K161" s="90">
        <v>138</v>
      </c>
    </row>
    <row r="162" spans="1:11" x14ac:dyDescent="0.25">
      <c r="A162" s="90" t="s">
        <v>243</v>
      </c>
      <c r="B162" s="90">
        <v>12</v>
      </c>
      <c r="C162" s="90">
        <v>19</v>
      </c>
      <c r="D162" s="90">
        <v>27</v>
      </c>
      <c r="E162" s="90">
        <v>51</v>
      </c>
      <c r="F162" s="90">
        <v>74</v>
      </c>
      <c r="G162" s="90">
        <v>83</v>
      </c>
      <c r="H162" s="90">
        <v>94</v>
      </c>
      <c r="I162" s="90">
        <v>103</v>
      </c>
      <c r="J162" s="90">
        <v>116</v>
      </c>
      <c r="K162" s="90">
        <v>118</v>
      </c>
    </row>
    <row r="163" spans="1:11" x14ac:dyDescent="0.25">
      <c r="A163" s="90" t="s">
        <v>242</v>
      </c>
      <c r="B163" s="90">
        <v>10</v>
      </c>
      <c r="C163" s="90">
        <v>18</v>
      </c>
      <c r="D163" s="90">
        <v>25</v>
      </c>
      <c r="E163" s="90">
        <v>47</v>
      </c>
      <c r="F163" s="90">
        <v>70</v>
      </c>
      <c r="G163" s="90">
        <v>77</v>
      </c>
      <c r="H163" s="90">
        <v>83</v>
      </c>
      <c r="I163" s="90">
        <v>88</v>
      </c>
      <c r="J163" s="90">
        <v>103</v>
      </c>
      <c r="K163" s="90">
        <v>98</v>
      </c>
    </row>
    <row r="164" spans="1:11" x14ac:dyDescent="0.25">
      <c r="A164" s="90" t="s">
        <v>241</v>
      </c>
      <c r="B164" s="90">
        <v>11</v>
      </c>
      <c r="C164" s="90">
        <v>18</v>
      </c>
      <c r="D164" s="90">
        <v>26</v>
      </c>
      <c r="E164" s="90">
        <v>48</v>
      </c>
      <c r="F164" s="90">
        <v>72</v>
      </c>
      <c r="G164" s="90">
        <v>79</v>
      </c>
      <c r="H164" s="90">
        <v>85</v>
      </c>
      <c r="I164" s="90">
        <v>92</v>
      </c>
      <c r="J164" s="90">
        <v>106</v>
      </c>
      <c r="K164" s="90">
        <v>100</v>
      </c>
    </row>
    <row r="165" spans="1:11" x14ac:dyDescent="0.25">
      <c r="A165" s="90" t="s">
        <v>240</v>
      </c>
      <c r="B165" s="90">
        <v>19</v>
      </c>
      <c r="C165" s="90">
        <v>27</v>
      </c>
      <c r="D165" s="90">
        <v>35</v>
      </c>
      <c r="E165" s="90">
        <v>59</v>
      </c>
      <c r="F165" s="90">
        <v>80</v>
      </c>
      <c r="G165" s="90">
        <v>89</v>
      </c>
      <c r="H165" s="90">
        <v>97</v>
      </c>
      <c r="I165" s="90">
        <v>106</v>
      </c>
      <c r="J165" s="90">
        <v>118</v>
      </c>
      <c r="K165" s="90">
        <v>121</v>
      </c>
    </row>
    <row r="166" spans="1:11" x14ac:dyDescent="0.25">
      <c r="A166" s="90" t="s">
        <v>239</v>
      </c>
      <c r="B166" s="90">
        <v>5</v>
      </c>
      <c r="C166" s="90">
        <v>13</v>
      </c>
      <c r="D166" s="90">
        <v>21</v>
      </c>
      <c r="E166" s="90">
        <v>44</v>
      </c>
      <c r="F166" s="90">
        <v>67</v>
      </c>
      <c r="G166" s="90">
        <v>74</v>
      </c>
      <c r="H166" s="90">
        <v>82</v>
      </c>
      <c r="I166" s="90">
        <v>88</v>
      </c>
      <c r="J166" s="90">
        <v>96</v>
      </c>
      <c r="K166" s="90">
        <v>97</v>
      </c>
    </row>
    <row r="167" spans="1:11" x14ac:dyDescent="0.25">
      <c r="A167" s="90" t="s">
        <v>238</v>
      </c>
      <c r="B167" s="90">
        <v>11</v>
      </c>
      <c r="C167" s="90">
        <v>19</v>
      </c>
      <c r="D167" s="90">
        <v>27</v>
      </c>
      <c r="E167" s="90">
        <v>50</v>
      </c>
      <c r="F167" s="90">
        <v>66</v>
      </c>
      <c r="G167" s="90">
        <v>76</v>
      </c>
      <c r="H167" s="90">
        <v>86</v>
      </c>
      <c r="I167" s="90">
        <v>97</v>
      </c>
      <c r="J167" s="90">
        <v>108</v>
      </c>
      <c r="K167" s="90">
        <v>112</v>
      </c>
    </row>
    <row r="168" spans="1:11" x14ac:dyDescent="0.25">
      <c r="A168" s="90" t="s">
        <v>237</v>
      </c>
      <c r="B168" s="90">
        <v>16</v>
      </c>
      <c r="C168" s="90">
        <v>23</v>
      </c>
      <c r="D168" s="90">
        <v>32</v>
      </c>
      <c r="E168" s="90">
        <v>56</v>
      </c>
      <c r="F168" s="90">
        <v>72</v>
      </c>
      <c r="G168" s="90">
        <v>81</v>
      </c>
      <c r="H168" s="90">
        <v>90</v>
      </c>
      <c r="I168" s="90">
        <v>99</v>
      </c>
      <c r="J168" s="90">
        <v>109</v>
      </c>
      <c r="K168" s="90">
        <v>112</v>
      </c>
    </row>
    <row r="169" spans="1:11" x14ac:dyDescent="0.25">
      <c r="A169" s="90" t="s">
        <v>236</v>
      </c>
      <c r="B169" s="90">
        <v>13</v>
      </c>
      <c r="C169" s="90">
        <v>22</v>
      </c>
      <c r="D169" s="90">
        <v>30</v>
      </c>
      <c r="E169" s="90">
        <v>53</v>
      </c>
      <c r="F169" s="90">
        <v>71</v>
      </c>
      <c r="G169" s="90">
        <v>80</v>
      </c>
      <c r="H169" s="90">
        <v>88</v>
      </c>
      <c r="I169" s="90">
        <v>96</v>
      </c>
      <c r="J169" s="90">
        <v>108</v>
      </c>
      <c r="K169" s="90">
        <v>113</v>
      </c>
    </row>
    <row r="170" spans="1:11" x14ac:dyDescent="0.25">
      <c r="A170" s="90" t="s">
        <v>235</v>
      </c>
      <c r="B170" s="90">
        <v>13</v>
      </c>
      <c r="C170" s="90">
        <v>20</v>
      </c>
      <c r="D170" s="90">
        <v>29</v>
      </c>
      <c r="E170" s="90">
        <v>53</v>
      </c>
      <c r="F170" s="90">
        <v>71</v>
      </c>
      <c r="G170" s="90">
        <v>85</v>
      </c>
      <c r="H170" s="90">
        <v>98</v>
      </c>
      <c r="I170" s="90">
        <v>110</v>
      </c>
      <c r="J170" s="90">
        <v>124</v>
      </c>
      <c r="K170" s="90">
        <v>131</v>
      </c>
    </row>
    <row r="171" spans="1:11" x14ac:dyDescent="0.25">
      <c r="A171" s="90" t="s">
        <v>234</v>
      </c>
      <c r="B171" s="90">
        <v>12</v>
      </c>
      <c r="C171" s="90">
        <v>20</v>
      </c>
      <c r="D171" s="90">
        <v>29</v>
      </c>
      <c r="E171" s="90">
        <v>54</v>
      </c>
      <c r="F171" s="90">
        <v>70</v>
      </c>
      <c r="G171" s="90">
        <v>81</v>
      </c>
      <c r="H171" s="90">
        <v>94</v>
      </c>
      <c r="I171" s="90">
        <v>105</v>
      </c>
      <c r="J171" s="90">
        <v>119</v>
      </c>
      <c r="K171" s="90">
        <v>128</v>
      </c>
    </row>
    <row r="172" spans="1:11" x14ac:dyDescent="0.25">
      <c r="A172" s="90" t="s">
        <v>233</v>
      </c>
      <c r="B172" s="90">
        <v>11</v>
      </c>
      <c r="C172" s="90">
        <v>18</v>
      </c>
      <c r="D172" s="90">
        <v>27</v>
      </c>
      <c r="E172" s="90">
        <v>51</v>
      </c>
      <c r="F172" s="90">
        <v>68</v>
      </c>
      <c r="G172" s="90">
        <v>79</v>
      </c>
      <c r="H172" s="90">
        <v>89</v>
      </c>
      <c r="I172" s="90">
        <v>97</v>
      </c>
      <c r="J172" s="90">
        <v>110</v>
      </c>
      <c r="K172" s="90">
        <v>116</v>
      </c>
    </row>
    <row r="173" spans="1:11" x14ac:dyDescent="0.25">
      <c r="A173" s="90" t="s">
        <v>232</v>
      </c>
      <c r="B173" s="90">
        <v>11</v>
      </c>
      <c r="C173" s="90">
        <v>18</v>
      </c>
      <c r="D173" s="90">
        <v>27</v>
      </c>
      <c r="E173" s="90">
        <v>51</v>
      </c>
      <c r="F173" s="90">
        <v>68</v>
      </c>
      <c r="G173" s="90">
        <v>78</v>
      </c>
      <c r="H173" s="90">
        <v>88</v>
      </c>
      <c r="I173" s="90">
        <v>97</v>
      </c>
      <c r="J173" s="90">
        <v>110</v>
      </c>
      <c r="K173" s="90">
        <v>113</v>
      </c>
    </row>
    <row r="174" spans="1:11" x14ac:dyDescent="0.25">
      <c r="A174" s="90" t="s">
        <v>231</v>
      </c>
      <c r="B174" s="90">
        <v>14</v>
      </c>
      <c r="C174" s="90">
        <v>22</v>
      </c>
      <c r="D174" s="90">
        <v>32</v>
      </c>
      <c r="E174" s="90">
        <v>56</v>
      </c>
      <c r="F174" s="90">
        <v>71</v>
      </c>
      <c r="G174" s="90">
        <v>79</v>
      </c>
      <c r="H174" s="90">
        <v>88</v>
      </c>
      <c r="I174" s="90">
        <v>97</v>
      </c>
      <c r="J174" s="90">
        <v>105</v>
      </c>
      <c r="K174" s="90">
        <v>109</v>
      </c>
    </row>
    <row r="175" spans="1:11" x14ac:dyDescent="0.25">
      <c r="A175" s="90" t="s">
        <v>230</v>
      </c>
      <c r="B175" s="90">
        <v>17</v>
      </c>
      <c r="C175" s="90">
        <v>25</v>
      </c>
      <c r="D175" s="90">
        <v>34</v>
      </c>
      <c r="E175" s="90">
        <v>57</v>
      </c>
      <c r="F175" s="90">
        <v>73</v>
      </c>
      <c r="G175" s="90">
        <v>85</v>
      </c>
      <c r="H175" s="90">
        <v>97</v>
      </c>
      <c r="I175" s="90">
        <v>109</v>
      </c>
      <c r="J175" s="90">
        <v>125</v>
      </c>
      <c r="K175" s="90">
        <v>127</v>
      </c>
    </row>
    <row r="176" spans="1:11" x14ac:dyDescent="0.25">
      <c r="A176" s="90" t="s">
        <v>229</v>
      </c>
      <c r="B176" s="90">
        <v>16</v>
      </c>
      <c r="C176" s="90">
        <v>24</v>
      </c>
      <c r="D176" s="90">
        <v>33</v>
      </c>
      <c r="E176" s="90">
        <v>56</v>
      </c>
      <c r="F176" s="90">
        <v>70</v>
      </c>
      <c r="G176" s="90">
        <v>80</v>
      </c>
      <c r="H176" s="90">
        <v>90</v>
      </c>
      <c r="I176" s="90">
        <v>99</v>
      </c>
      <c r="J176" s="90">
        <v>111</v>
      </c>
      <c r="K176" s="90">
        <v>114</v>
      </c>
    </row>
    <row r="177" spans="1:11" x14ac:dyDescent="0.25">
      <c r="A177" s="90" t="s">
        <v>228</v>
      </c>
      <c r="B177" s="90">
        <v>11</v>
      </c>
      <c r="C177" s="90">
        <v>19</v>
      </c>
      <c r="D177" s="90">
        <v>28</v>
      </c>
      <c r="E177" s="90">
        <v>50</v>
      </c>
      <c r="F177" s="90">
        <v>68</v>
      </c>
      <c r="G177" s="90">
        <v>73</v>
      </c>
      <c r="H177" s="90">
        <v>85</v>
      </c>
      <c r="I177" s="90">
        <v>94</v>
      </c>
      <c r="J177" s="90">
        <v>105</v>
      </c>
      <c r="K177" s="90">
        <v>108</v>
      </c>
    </row>
    <row r="178" spans="1:11" x14ac:dyDescent="0.25">
      <c r="A178" s="90" t="s">
        <v>227</v>
      </c>
      <c r="B178" s="90">
        <v>17</v>
      </c>
      <c r="C178" s="90">
        <v>25</v>
      </c>
      <c r="D178" s="90">
        <v>33</v>
      </c>
      <c r="E178" s="90">
        <v>57</v>
      </c>
      <c r="F178" s="90">
        <v>72</v>
      </c>
      <c r="G178" s="90">
        <v>84</v>
      </c>
      <c r="H178" s="90">
        <v>96</v>
      </c>
      <c r="I178" s="90">
        <v>107</v>
      </c>
      <c r="J178" s="90">
        <v>125</v>
      </c>
      <c r="K178" s="90">
        <v>128</v>
      </c>
    </row>
    <row r="179" spans="1:11" x14ac:dyDescent="0.25">
      <c r="A179" s="90" t="s">
        <v>226</v>
      </c>
      <c r="B179" s="90">
        <v>8</v>
      </c>
      <c r="C179" s="90">
        <v>15</v>
      </c>
      <c r="D179" s="90">
        <v>26</v>
      </c>
      <c r="E179" s="90">
        <v>49</v>
      </c>
      <c r="F179" s="90">
        <v>66</v>
      </c>
      <c r="G179" s="90">
        <v>76</v>
      </c>
      <c r="H179" s="90">
        <v>87</v>
      </c>
      <c r="I179" s="90">
        <v>99</v>
      </c>
      <c r="J179" s="90">
        <v>105</v>
      </c>
      <c r="K179" s="90">
        <v>111</v>
      </c>
    </row>
    <row r="180" spans="1:11" x14ac:dyDescent="0.25">
      <c r="A180" s="90" t="s">
        <v>225</v>
      </c>
      <c r="B180" s="90">
        <v>5</v>
      </c>
      <c r="C180" s="90">
        <v>13</v>
      </c>
      <c r="D180" s="90">
        <v>23</v>
      </c>
      <c r="E180" s="90">
        <v>45</v>
      </c>
      <c r="F180" s="90">
        <v>62</v>
      </c>
      <c r="G180" s="90">
        <v>69</v>
      </c>
      <c r="H180" s="90">
        <v>76</v>
      </c>
      <c r="I180" s="90">
        <v>82</v>
      </c>
      <c r="J180" s="90">
        <v>98</v>
      </c>
      <c r="K180" s="90">
        <v>91</v>
      </c>
    </row>
    <row r="181" spans="1:11" x14ac:dyDescent="0.25">
      <c r="A181" s="90" t="s">
        <v>224</v>
      </c>
      <c r="B181" s="90">
        <v>9</v>
      </c>
      <c r="C181" s="90">
        <v>16</v>
      </c>
      <c r="D181" s="90">
        <v>26</v>
      </c>
      <c r="E181" s="90">
        <v>49</v>
      </c>
      <c r="F181" s="90">
        <v>67</v>
      </c>
      <c r="G181" s="90">
        <v>76</v>
      </c>
      <c r="H181" s="90">
        <v>86</v>
      </c>
      <c r="I181" s="90">
        <v>96</v>
      </c>
      <c r="J181" s="90">
        <v>107</v>
      </c>
      <c r="K181" s="90">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84417-D8F2-4B69-A5F0-8C413220C07A}">
  <dimension ref="A1:K181"/>
  <sheetViews>
    <sheetView workbookViewId="0">
      <selection sqref="A1:A1048576"/>
    </sheetView>
  </sheetViews>
  <sheetFormatPr defaultRowHeight="15" x14ac:dyDescent="0.25"/>
  <cols>
    <col min="1" max="16384" width="9.140625" style="90"/>
  </cols>
  <sheetData>
    <row r="1" spans="1:11" x14ac:dyDescent="0.25">
      <c r="A1" s="91" t="s">
        <v>414</v>
      </c>
      <c r="B1" s="90" t="s">
        <v>413</v>
      </c>
      <c r="C1" s="90" t="s">
        <v>412</v>
      </c>
      <c r="D1" s="90" t="s">
        <v>411</v>
      </c>
      <c r="E1" s="90" t="s">
        <v>410</v>
      </c>
      <c r="F1" s="90" t="s">
        <v>409</v>
      </c>
      <c r="G1" s="90" t="s">
        <v>408</v>
      </c>
      <c r="H1" s="90" t="s">
        <v>407</v>
      </c>
      <c r="I1" s="90" t="s">
        <v>406</v>
      </c>
      <c r="J1" s="90" t="s">
        <v>405</v>
      </c>
      <c r="K1" s="90" t="s">
        <v>404</v>
      </c>
    </row>
    <row r="2" spans="1:11" x14ac:dyDescent="0.25">
      <c r="A2" s="90" t="s">
        <v>403</v>
      </c>
      <c r="B2" s="90">
        <v>13</v>
      </c>
      <c r="C2" s="90">
        <v>21</v>
      </c>
      <c r="D2" s="90">
        <v>26</v>
      </c>
      <c r="E2" s="90">
        <v>40</v>
      </c>
      <c r="F2" s="90">
        <v>55</v>
      </c>
      <c r="G2" s="90">
        <v>90</v>
      </c>
      <c r="H2" s="90">
        <v>72</v>
      </c>
      <c r="I2" s="90">
        <v>84</v>
      </c>
      <c r="J2" s="90">
        <v>85</v>
      </c>
      <c r="K2" s="90">
        <v>89</v>
      </c>
    </row>
    <row r="3" spans="1:11" x14ac:dyDescent="0.25">
      <c r="A3" s="90" t="s">
        <v>402</v>
      </c>
      <c r="B3" s="90">
        <v>15</v>
      </c>
      <c r="C3" s="90">
        <v>22</v>
      </c>
      <c r="D3" s="90">
        <v>28</v>
      </c>
      <c r="E3" s="90">
        <v>54</v>
      </c>
      <c r="F3" s="90">
        <v>73</v>
      </c>
      <c r="G3" s="90">
        <v>85</v>
      </c>
      <c r="H3" s="90">
        <v>96</v>
      </c>
      <c r="I3" s="90">
        <v>102</v>
      </c>
      <c r="J3" s="90">
        <v>102</v>
      </c>
      <c r="K3" s="90">
        <v>102</v>
      </c>
    </row>
    <row r="4" spans="1:11" x14ac:dyDescent="0.25">
      <c r="A4" s="90" t="s">
        <v>401</v>
      </c>
      <c r="B4" s="90">
        <v>14</v>
      </c>
      <c r="C4" s="90">
        <v>22</v>
      </c>
      <c r="D4" s="90">
        <v>31</v>
      </c>
      <c r="E4" s="90">
        <v>50</v>
      </c>
      <c r="F4" s="90">
        <v>71</v>
      </c>
      <c r="G4" s="90">
        <v>81</v>
      </c>
      <c r="H4" s="90">
        <v>89</v>
      </c>
      <c r="I4" s="90">
        <v>87</v>
      </c>
      <c r="J4" s="90">
        <v>102</v>
      </c>
      <c r="K4" s="90">
        <v>102</v>
      </c>
    </row>
    <row r="5" spans="1:11" x14ac:dyDescent="0.25">
      <c r="A5" s="90" t="s">
        <v>400</v>
      </c>
      <c r="B5" s="90">
        <v>10</v>
      </c>
      <c r="C5" s="90">
        <v>20</v>
      </c>
      <c r="D5" s="90">
        <v>34</v>
      </c>
      <c r="E5" s="90">
        <v>52</v>
      </c>
      <c r="F5" s="90">
        <v>77</v>
      </c>
      <c r="G5" s="90">
        <v>84</v>
      </c>
      <c r="H5" s="90">
        <v>94</v>
      </c>
      <c r="I5" s="90">
        <v>102</v>
      </c>
      <c r="J5" s="90">
        <v>102</v>
      </c>
      <c r="K5" s="90">
        <v>102</v>
      </c>
    </row>
    <row r="6" spans="1:11" x14ac:dyDescent="0.25">
      <c r="A6" s="90" t="s">
        <v>399</v>
      </c>
      <c r="B6" s="90">
        <v>12</v>
      </c>
      <c r="C6" s="90">
        <v>19</v>
      </c>
      <c r="D6" s="90">
        <v>28</v>
      </c>
      <c r="E6" s="90">
        <v>47</v>
      </c>
      <c r="F6" s="90">
        <v>67</v>
      </c>
      <c r="G6" s="90">
        <v>75</v>
      </c>
      <c r="H6" s="90">
        <v>83</v>
      </c>
      <c r="I6" s="90">
        <v>96</v>
      </c>
      <c r="J6" s="90">
        <v>102</v>
      </c>
      <c r="K6" s="90">
        <v>102</v>
      </c>
    </row>
    <row r="7" spans="1:11" x14ac:dyDescent="0.25">
      <c r="A7" s="90" t="s">
        <v>398</v>
      </c>
      <c r="B7" s="90">
        <v>13</v>
      </c>
      <c r="C7" s="90">
        <v>19</v>
      </c>
      <c r="D7" s="90">
        <v>26</v>
      </c>
      <c r="E7" s="90">
        <v>42</v>
      </c>
      <c r="F7" s="90">
        <v>61</v>
      </c>
      <c r="G7" s="90">
        <v>83</v>
      </c>
      <c r="H7" s="90">
        <v>95</v>
      </c>
      <c r="I7" s="90">
        <v>102</v>
      </c>
      <c r="J7" s="90">
        <v>102</v>
      </c>
      <c r="K7" s="90">
        <v>102</v>
      </c>
    </row>
    <row r="8" spans="1:11" x14ac:dyDescent="0.25">
      <c r="A8" s="90" t="s">
        <v>397</v>
      </c>
      <c r="B8" s="90">
        <v>12</v>
      </c>
      <c r="C8" s="90">
        <v>20</v>
      </c>
      <c r="D8" s="90">
        <v>27</v>
      </c>
      <c r="E8" s="90">
        <v>53</v>
      </c>
      <c r="F8" s="90">
        <v>61</v>
      </c>
      <c r="G8" s="90">
        <v>66</v>
      </c>
      <c r="H8" s="90">
        <v>73</v>
      </c>
      <c r="I8" s="90">
        <v>83</v>
      </c>
      <c r="J8" s="90">
        <v>84</v>
      </c>
      <c r="K8" s="90">
        <v>87</v>
      </c>
    </row>
    <row r="9" spans="1:11" x14ac:dyDescent="0.25">
      <c r="A9" s="90" t="s">
        <v>396</v>
      </c>
      <c r="B9" s="90">
        <v>19</v>
      </c>
      <c r="C9" s="90">
        <v>25</v>
      </c>
      <c r="D9" s="90">
        <v>31</v>
      </c>
      <c r="E9" s="90">
        <v>55</v>
      </c>
      <c r="F9" s="90">
        <v>81</v>
      </c>
      <c r="G9" s="90">
        <v>89</v>
      </c>
      <c r="H9" s="90">
        <v>100</v>
      </c>
      <c r="I9" s="90">
        <v>102</v>
      </c>
      <c r="J9" s="90">
        <v>102</v>
      </c>
      <c r="K9" s="90">
        <v>102</v>
      </c>
    </row>
    <row r="10" spans="1:11" x14ac:dyDescent="0.25">
      <c r="A10" s="90" t="s">
        <v>395</v>
      </c>
      <c r="B10" s="90">
        <v>18</v>
      </c>
      <c r="C10" s="90">
        <v>24</v>
      </c>
      <c r="D10" s="90">
        <v>29</v>
      </c>
      <c r="E10" s="90">
        <v>50</v>
      </c>
      <c r="F10" s="90">
        <v>68</v>
      </c>
      <c r="G10" s="90">
        <v>81</v>
      </c>
      <c r="H10" s="90">
        <v>94</v>
      </c>
      <c r="I10" s="90">
        <v>102</v>
      </c>
      <c r="J10" s="90">
        <v>102</v>
      </c>
      <c r="K10" s="90">
        <v>102</v>
      </c>
    </row>
    <row r="11" spans="1:11" x14ac:dyDescent="0.25">
      <c r="A11" s="90" t="s">
        <v>394</v>
      </c>
      <c r="B11" s="90">
        <v>14</v>
      </c>
      <c r="C11" s="90">
        <v>21</v>
      </c>
      <c r="D11" s="90">
        <v>27</v>
      </c>
      <c r="E11" s="90">
        <v>52</v>
      </c>
      <c r="F11" s="90">
        <v>76</v>
      </c>
      <c r="G11" s="90">
        <v>86</v>
      </c>
      <c r="H11" s="90">
        <v>96</v>
      </c>
      <c r="I11" s="90">
        <v>102</v>
      </c>
      <c r="J11" s="90">
        <v>102</v>
      </c>
      <c r="K11" s="90">
        <v>102</v>
      </c>
    </row>
    <row r="12" spans="1:11" x14ac:dyDescent="0.25">
      <c r="A12" s="90" t="s">
        <v>393</v>
      </c>
      <c r="B12" s="90">
        <v>16</v>
      </c>
      <c r="C12" s="90">
        <v>21</v>
      </c>
      <c r="D12" s="90">
        <v>28</v>
      </c>
      <c r="E12" s="90">
        <v>49</v>
      </c>
      <c r="F12" s="90">
        <v>63</v>
      </c>
      <c r="G12" s="90">
        <v>72</v>
      </c>
      <c r="H12" s="90">
        <v>84</v>
      </c>
      <c r="I12" s="90">
        <v>100</v>
      </c>
      <c r="J12" s="90">
        <v>102</v>
      </c>
      <c r="K12" s="90">
        <v>102</v>
      </c>
    </row>
    <row r="13" spans="1:11" x14ac:dyDescent="0.25">
      <c r="A13" s="90" t="s">
        <v>392</v>
      </c>
      <c r="B13" s="90">
        <v>16</v>
      </c>
      <c r="C13" s="90">
        <v>20</v>
      </c>
      <c r="D13" s="90">
        <v>25</v>
      </c>
      <c r="E13" s="90">
        <v>52</v>
      </c>
      <c r="F13" s="90">
        <v>64</v>
      </c>
      <c r="G13" s="90">
        <v>74</v>
      </c>
      <c r="H13" s="90">
        <v>83</v>
      </c>
      <c r="I13" s="90">
        <v>96</v>
      </c>
      <c r="J13" s="90">
        <v>102</v>
      </c>
      <c r="K13" s="90">
        <v>102</v>
      </c>
    </row>
    <row r="14" spans="1:11" x14ac:dyDescent="0.25">
      <c r="A14" s="90" t="s">
        <v>391</v>
      </c>
      <c r="B14" s="90">
        <v>12</v>
      </c>
      <c r="C14" s="90">
        <v>17</v>
      </c>
      <c r="D14" s="90">
        <v>24</v>
      </c>
      <c r="E14" s="90">
        <v>39</v>
      </c>
      <c r="F14" s="90">
        <v>53</v>
      </c>
      <c r="G14" s="90">
        <v>60</v>
      </c>
      <c r="H14" s="90">
        <v>71</v>
      </c>
      <c r="I14" s="90">
        <v>84</v>
      </c>
      <c r="J14" s="90">
        <v>94</v>
      </c>
      <c r="K14" s="90">
        <v>97</v>
      </c>
    </row>
    <row r="15" spans="1:11" x14ac:dyDescent="0.25">
      <c r="A15" s="90" t="s">
        <v>390</v>
      </c>
      <c r="B15" s="90">
        <v>14</v>
      </c>
      <c r="C15" s="90">
        <v>18</v>
      </c>
      <c r="D15" s="90">
        <v>26</v>
      </c>
      <c r="E15" s="90">
        <v>50</v>
      </c>
      <c r="F15" s="90">
        <v>75</v>
      </c>
      <c r="G15" s="90">
        <v>82</v>
      </c>
      <c r="H15" s="90">
        <v>93</v>
      </c>
      <c r="I15" s="90">
        <v>102</v>
      </c>
      <c r="J15" s="90">
        <v>102</v>
      </c>
      <c r="K15" s="90">
        <v>102</v>
      </c>
    </row>
    <row r="16" spans="1:11" x14ac:dyDescent="0.25">
      <c r="A16" s="90" t="s">
        <v>389</v>
      </c>
      <c r="B16" s="90">
        <v>14</v>
      </c>
      <c r="C16" s="90">
        <v>19</v>
      </c>
      <c r="D16" s="90">
        <v>28</v>
      </c>
      <c r="E16" s="90">
        <v>46</v>
      </c>
      <c r="F16" s="90">
        <v>64</v>
      </c>
      <c r="G16" s="90">
        <v>77</v>
      </c>
      <c r="H16" s="90">
        <v>88</v>
      </c>
      <c r="I16" s="90">
        <v>94</v>
      </c>
      <c r="J16" s="90">
        <v>102</v>
      </c>
      <c r="K16" s="90">
        <v>102</v>
      </c>
    </row>
    <row r="17" spans="1:11" x14ac:dyDescent="0.25">
      <c r="A17" s="90" t="s">
        <v>388</v>
      </c>
      <c r="B17" s="90">
        <v>16</v>
      </c>
      <c r="C17" s="90">
        <v>31</v>
      </c>
      <c r="D17" s="90">
        <v>39</v>
      </c>
      <c r="E17" s="90">
        <v>54</v>
      </c>
      <c r="F17" s="90">
        <v>71</v>
      </c>
      <c r="G17" s="90">
        <v>84</v>
      </c>
      <c r="H17" s="90">
        <v>97</v>
      </c>
      <c r="I17" s="90">
        <v>102</v>
      </c>
      <c r="J17" s="90">
        <v>102</v>
      </c>
      <c r="K17" s="90">
        <v>102</v>
      </c>
    </row>
    <row r="18" spans="1:11" x14ac:dyDescent="0.25">
      <c r="A18" s="90" t="s">
        <v>387</v>
      </c>
      <c r="B18" s="90">
        <v>17</v>
      </c>
      <c r="C18" s="90">
        <v>33</v>
      </c>
      <c r="D18" s="90">
        <v>40</v>
      </c>
      <c r="E18" s="90">
        <v>65</v>
      </c>
      <c r="F18" s="90">
        <v>87</v>
      </c>
      <c r="G18" s="90">
        <v>99</v>
      </c>
      <c r="H18" s="90">
        <v>102</v>
      </c>
      <c r="I18" s="90">
        <v>102</v>
      </c>
      <c r="J18" s="90">
        <v>102</v>
      </c>
      <c r="K18" s="90">
        <v>102</v>
      </c>
    </row>
    <row r="19" spans="1:11" x14ac:dyDescent="0.25">
      <c r="A19" s="90" t="s">
        <v>386</v>
      </c>
      <c r="B19" s="90">
        <v>24</v>
      </c>
      <c r="C19" s="90">
        <v>32</v>
      </c>
      <c r="D19" s="90">
        <v>37</v>
      </c>
      <c r="E19" s="90">
        <v>62</v>
      </c>
      <c r="F19" s="90">
        <v>86</v>
      </c>
      <c r="G19" s="90">
        <v>97</v>
      </c>
      <c r="H19" s="90">
        <v>102</v>
      </c>
      <c r="I19" s="90">
        <v>102</v>
      </c>
      <c r="J19" s="90">
        <v>102</v>
      </c>
      <c r="K19" s="90">
        <v>102</v>
      </c>
    </row>
    <row r="20" spans="1:11" x14ac:dyDescent="0.25">
      <c r="A20" s="90" t="s">
        <v>385</v>
      </c>
      <c r="B20" s="90">
        <v>24</v>
      </c>
      <c r="C20" s="90">
        <v>31</v>
      </c>
      <c r="D20" s="90">
        <v>36</v>
      </c>
      <c r="E20" s="90">
        <v>60</v>
      </c>
      <c r="F20" s="90">
        <v>86</v>
      </c>
      <c r="G20" s="90">
        <v>98</v>
      </c>
      <c r="H20" s="90">
        <v>102</v>
      </c>
      <c r="I20" s="90">
        <v>102</v>
      </c>
      <c r="J20" s="90">
        <v>102</v>
      </c>
      <c r="K20" s="90">
        <v>102</v>
      </c>
    </row>
    <row r="21" spans="1:11" x14ac:dyDescent="0.25">
      <c r="A21" s="90" t="s">
        <v>384</v>
      </c>
      <c r="B21" s="90">
        <v>17</v>
      </c>
      <c r="C21" s="90">
        <v>25</v>
      </c>
      <c r="D21" s="90">
        <v>32</v>
      </c>
      <c r="E21" s="90">
        <v>51</v>
      </c>
      <c r="F21" s="90">
        <v>71</v>
      </c>
      <c r="G21" s="90">
        <v>82</v>
      </c>
      <c r="H21" s="90">
        <v>94</v>
      </c>
      <c r="I21" s="90">
        <v>102</v>
      </c>
      <c r="J21" s="90">
        <v>102</v>
      </c>
      <c r="K21" s="90">
        <v>102</v>
      </c>
    </row>
    <row r="22" spans="1:11" x14ac:dyDescent="0.25">
      <c r="A22" s="90" t="s">
        <v>383</v>
      </c>
      <c r="B22" s="90">
        <v>13</v>
      </c>
      <c r="C22" s="90">
        <v>19</v>
      </c>
      <c r="D22" s="90">
        <v>23</v>
      </c>
      <c r="E22" s="90">
        <v>42</v>
      </c>
      <c r="F22" s="90">
        <v>56</v>
      </c>
      <c r="G22" s="90">
        <v>68</v>
      </c>
      <c r="H22" s="90">
        <v>79</v>
      </c>
      <c r="I22" s="90">
        <v>91</v>
      </c>
      <c r="J22" s="90">
        <v>102</v>
      </c>
      <c r="K22" s="90">
        <v>102</v>
      </c>
    </row>
    <row r="23" spans="1:11" x14ac:dyDescent="0.25">
      <c r="A23" s="90" t="s">
        <v>382</v>
      </c>
      <c r="B23" s="90">
        <v>20</v>
      </c>
      <c r="C23" s="90">
        <v>28</v>
      </c>
      <c r="D23" s="90">
        <v>35</v>
      </c>
      <c r="E23" s="90">
        <v>56</v>
      </c>
      <c r="F23" s="90">
        <v>82</v>
      </c>
      <c r="G23" s="90">
        <v>94</v>
      </c>
      <c r="H23" s="90">
        <v>102</v>
      </c>
      <c r="I23" s="90">
        <v>102</v>
      </c>
      <c r="J23" s="90">
        <v>102</v>
      </c>
      <c r="K23" s="90">
        <v>102</v>
      </c>
    </row>
    <row r="24" spans="1:11" x14ac:dyDescent="0.25">
      <c r="A24" s="90" t="s">
        <v>381</v>
      </c>
      <c r="B24" s="90">
        <v>20</v>
      </c>
      <c r="C24" s="90">
        <v>27</v>
      </c>
      <c r="D24" s="90">
        <v>33</v>
      </c>
      <c r="E24" s="90">
        <v>55</v>
      </c>
      <c r="F24" s="90">
        <v>77</v>
      </c>
      <c r="G24" s="90">
        <v>91</v>
      </c>
      <c r="H24" s="90">
        <v>102</v>
      </c>
      <c r="I24" s="90">
        <v>102</v>
      </c>
      <c r="J24" s="90">
        <v>102</v>
      </c>
      <c r="K24" s="90">
        <v>102</v>
      </c>
    </row>
    <row r="25" spans="1:11" x14ac:dyDescent="0.25">
      <c r="A25" s="90" t="s">
        <v>380</v>
      </c>
      <c r="B25" s="90">
        <v>15</v>
      </c>
      <c r="C25" s="90">
        <v>20</v>
      </c>
      <c r="D25" s="90">
        <v>29</v>
      </c>
      <c r="E25" s="90">
        <v>55</v>
      </c>
      <c r="F25" s="90">
        <v>78</v>
      </c>
      <c r="G25" s="90">
        <v>92</v>
      </c>
      <c r="H25" s="90">
        <v>101</v>
      </c>
      <c r="I25" s="90">
        <v>102</v>
      </c>
      <c r="J25" s="90">
        <v>102</v>
      </c>
      <c r="K25" s="90">
        <v>102</v>
      </c>
    </row>
    <row r="26" spans="1:11" x14ac:dyDescent="0.25">
      <c r="A26" s="90" t="s">
        <v>379</v>
      </c>
      <c r="B26" s="90">
        <v>21</v>
      </c>
      <c r="C26" s="90">
        <v>29</v>
      </c>
      <c r="D26" s="90">
        <v>35</v>
      </c>
      <c r="E26" s="90">
        <v>51</v>
      </c>
      <c r="F26" s="90">
        <v>58</v>
      </c>
      <c r="G26" s="90">
        <v>69</v>
      </c>
      <c r="H26" s="90">
        <v>75</v>
      </c>
      <c r="I26" s="90">
        <v>91</v>
      </c>
      <c r="J26" s="90">
        <v>97</v>
      </c>
      <c r="K26" s="90">
        <v>102</v>
      </c>
    </row>
    <row r="27" spans="1:11" x14ac:dyDescent="0.25">
      <c r="A27" s="90" t="s">
        <v>378</v>
      </c>
      <c r="B27" s="90">
        <v>18</v>
      </c>
      <c r="C27" s="90">
        <v>27</v>
      </c>
      <c r="D27" s="90">
        <v>33</v>
      </c>
      <c r="E27" s="90">
        <v>52</v>
      </c>
      <c r="F27" s="90">
        <v>68</v>
      </c>
      <c r="G27" s="90">
        <v>76</v>
      </c>
      <c r="H27" s="90">
        <v>84</v>
      </c>
      <c r="I27" s="90">
        <v>97</v>
      </c>
      <c r="J27" s="90">
        <v>102</v>
      </c>
      <c r="K27" s="90">
        <v>102</v>
      </c>
    </row>
    <row r="28" spans="1:11" x14ac:dyDescent="0.25">
      <c r="A28" s="90" t="s">
        <v>377</v>
      </c>
      <c r="B28" s="90">
        <v>21</v>
      </c>
      <c r="C28" s="90">
        <v>28</v>
      </c>
      <c r="D28" s="90">
        <v>34</v>
      </c>
      <c r="E28" s="90">
        <v>55</v>
      </c>
      <c r="F28" s="90">
        <v>81</v>
      </c>
      <c r="G28" s="90">
        <v>90</v>
      </c>
      <c r="H28" s="90">
        <v>101</v>
      </c>
      <c r="I28" s="90">
        <v>102</v>
      </c>
      <c r="J28" s="90">
        <v>102</v>
      </c>
      <c r="K28" s="90">
        <v>102</v>
      </c>
    </row>
    <row r="29" spans="1:11" x14ac:dyDescent="0.25">
      <c r="A29" s="90" t="s">
        <v>376</v>
      </c>
      <c r="B29" s="90">
        <v>20</v>
      </c>
      <c r="C29" s="90">
        <v>24</v>
      </c>
      <c r="D29" s="90">
        <v>30</v>
      </c>
      <c r="E29" s="90">
        <v>49</v>
      </c>
      <c r="F29" s="90">
        <v>65</v>
      </c>
      <c r="G29" s="90">
        <v>77</v>
      </c>
      <c r="H29" s="90">
        <v>88</v>
      </c>
      <c r="I29" s="90">
        <v>99</v>
      </c>
      <c r="J29" s="90">
        <v>102</v>
      </c>
      <c r="K29" s="90">
        <v>102</v>
      </c>
    </row>
    <row r="30" spans="1:11" x14ac:dyDescent="0.25">
      <c r="A30" s="90" t="s">
        <v>375</v>
      </c>
      <c r="B30" s="90">
        <v>17</v>
      </c>
      <c r="C30" s="90">
        <v>22</v>
      </c>
      <c r="D30" s="90">
        <v>28</v>
      </c>
      <c r="E30" s="90">
        <v>53</v>
      </c>
      <c r="F30" s="90">
        <v>78</v>
      </c>
      <c r="G30" s="90">
        <v>89</v>
      </c>
      <c r="H30" s="90">
        <v>97</v>
      </c>
      <c r="I30" s="90">
        <v>102</v>
      </c>
      <c r="J30" s="90">
        <v>102</v>
      </c>
      <c r="K30" s="90">
        <v>102</v>
      </c>
    </row>
    <row r="31" spans="1:11" x14ac:dyDescent="0.25">
      <c r="A31" s="90" t="s">
        <v>374</v>
      </c>
      <c r="B31" s="90">
        <v>19</v>
      </c>
      <c r="C31" s="90">
        <v>26</v>
      </c>
      <c r="D31" s="90">
        <v>33</v>
      </c>
      <c r="E31" s="90">
        <v>48</v>
      </c>
      <c r="F31" s="90">
        <v>62</v>
      </c>
      <c r="G31" s="90">
        <v>74</v>
      </c>
      <c r="H31" s="90">
        <v>83</v>
      </c>
      <c r="I31" s="90">
        <v>92</v>
      </c>
      <c r="J31" s="90">
        <v>102</v>
      </c>
      <c r="K31" s="90">
        <v>102</v>
      </c>
    </row>
    <row r="32" spans="1:11" x14ac:dyDescent="0.25">
      <c r="A32" s="90" t="s">
        <v>373</v>
      </c>
      <c r="B32" s="90">
        <v>20</v>
      </c>
      <c r="C32" s="90">
        <v>30</v>
      </c>
      <c r="D32" s="90">
        <v>39</v>
      </c>
      <c r="E32" s="90">
        <v>56</v>
      </c>
      <c r="F32" s="90">
        <v>76</v>
      </c>
      <c r="G32" s="90">
        <v>87</v>
      </c>
      <c r="H32" s="90">
        <v>99</v>
      </c>
      <c r="I32" s="90">
        <v>102</v>
      </c>
      <c r="J32" s="90">
        <v>102</v>
      </c>
      <c r="K32" s="90">
        <v>102</v>
      </c>
    </row>
    <row r="33" spans="1:11" x14ac:dyDescent="0.25">
      <c r="A33" s="90" t="s">
        <v>372</v>
      </c>
      <c r="B33" s="90">
        <v>16</v>
      </c>
      <c r="C33" s="90">
        <v>26</v>
      </c>
      <c r="D33" s="90">
        <v>34</v>
      </c>
      <c r="E33" s="90">
        <v>60</v>
      </c>
      <c r="F33" s="90">
        <v>83</v>
      </c>
      <c r="G33" s="90">
        <v>94</v>
      </c>
      <c r="H33" s="90">
        <v>101</v>
      </c>
      <c r="I33" s="90">
        <v>102</v>
      </c>
      <c r="J33" s="90">
        <v>102</v>
      </c>
      <c r="K33" s="90">
        <v>102</v>
      </c>
    </row>
    <row r="34" spans="1:11" x14ac:dyDescent="0.25">
      <c r="A34" s="90" t="s">
        <v>371</v>
      </c>
      <c r="B34" s="90">
        <v>19</v>
      </c>
      <c r="C34" s="90">
        <v>26</v>
      </c>
      <c r="D34" s="90">
        <v>36</v>
      </c>
      <c r="E34" s="90">
        <v>64</v>
      </c>
      <c r="F34" s="90">
        <v>88</v>
      </c>
      <c r="G34" s="90">
        <v>97</v>
      </c>
      <c r="H34" s="90">
        <v>102</v>
      </c>
      <c r="I34" s="90">
        <v>102</v>
      </c>
      <c r="J34" s="90">
        <v>102</v>
      </c>
      <c r="K34" s="90">
        <v>102</v>
      </c>
    </row>
    <row r="35" spans="1:11" x14ac:dyDescent="0.25">
      <c r="A35" s="90" t="s">
        <v>370</v>
      </c>
      <c r="B35" s="90">
        <v>22</v>
      </c>
      <c r="C35" s="90">
        <v>31</v>
      </c>
      <c r="D35" s="90">
        <v>40</v>
      </c>
      <c r="E35" s="90">
        <v>60</v>
      </c>
      <c r="F35" s="90">
        <v>86</v>
      </c>
      <c r="G35" s="90">
        <v>94</v>
      </c>
      <c r="H35" s="90">
        <v>102</v>
      </c>
      <c r="I35" s="90">
        <v>102</v>
      </c>
      <c r="J35" s="90">
        <v>102</v>
      </c>
      <c r="K35" s="90">
        <v>102</v>
      </c>
    </row>
    <row r="36" spans="1:11" x14ac:dyDescent="0.25">
      <c r="A36" s="90" t="s">
        <v>369</v>
      </c>
      <c r="B36" s="90">
        <v>23</v>
      </c>
      <c r="C36" s="90">
        <v>32</v>
      </c>
      <c r="D36" s="90">
        <v>41</v>
      </c>
      <c r="E36" s="90">
        <v>62</v>
      </c>
      <c r="F36" s="90">
        <v>87</v>
      </c>
      <c r="G36" s="90">
        <v>98</v>
      </c>
      <c r="H36" s="90">
        <v>102</v>
      </c>
      <c r="I36" s="90">
        <v>102</v>
      </c>
      <c r="J36" s="90">
        <v>102</v>
      </c>
      <c r="K36" s="90">
        <v>102</v>
      </c>
    </row>
    <row r="37" spans="1:11" x14ac:dyDescent="0.25">
      <c r="A37" s="90" t="s">
        <v>368</v>
      </c>
      <c r="B37" s="90">
        <v>28</v>
      </c>
      <c r="C37" s="90">
        <v>35</v>
      </c>
      <c r="D37" s="90">
        <v>45</v>
      </c>
      <c r="E37" s="90">
        <v>67</v>
      </c>
      <c r="F37" s="90">
        <v>97</v>
      </c>
      <c r="G37" s="90">
        <v>102</v>
      </c>
      <c r="H37" s="90">
        <v>102</v>
      </c>
      <c r="I37" s="90">
        <v>102</v>
      </c>
      <c r="J37" s="90">
        <v>102</v>
      </c>
      <c r="K37" s="90">
        <v>102</v>
      </c>
    </row>
    <row r="38" spans="1:11" x14ac:dyDescent="0.25">
      <c r="A38" s="90" t="s">
        <v>367</v>
      </c>
      <c r="B38" s="90">
        <v>16</v>
      </c>
      <c r="C38" s="90">
        <v>37</v>
      </c>
      <c r="D38" s="90">
        <v>35</v>
      </c>
      <c r="E38" s="90">
        <v>58</v>
      </c>
      <c r="F38" s="90">
        <v>82</v>
      </c>
      <c r="G38" s="90">
        <v>94</v>
      </c>
      <c r="H38" s="90">
        <v>102</v>
      </c>
      <c r="I38" s="90">
        <v>102</v>
      </c>
      <c r="J38" s="90">
        <v>102</v>
      </c>
      <c r="K38" s="90">
        <v>102</v>
      </c>
    </row>
    <row r="39" spans="1:11" x14ac:dyDescent="0.25">
      <c r="A39" s="90" t="s">
        <v>366</v>
      </c>
      <c r="B39" s="90">
        <v>21</v>
      </c>
      <c r="C39" s="90">
        <v>31</v>
      </c>
      <c r="D39" s="90">
        <v>40</v>
      </c>
      <c r="E39" s="90">
        <v>59</v>
      </c>
      <c r="F39" s="90">
        <v>83</v>
      </c>
      <c r="G39" s="90">
        <v>95</v>
      </c>
      <c r="H39" s="90">
        <v>102</v>
      </c>
      <c r="I39" s="90">
        <v>102</v>
      </c>
      <c r="J39" s="90">
        <v>102</v>
      </c>
      <c r="K39" s="90">
        <v>102</v>
      </c>
    </row>
    <row r="40" spans="1:11" x14ac:dyDescent="0.25">
      <c r="A40" s="90" t="s">
        <v>365</v>
      </c>
      <c r="B40" s="90">
        <v>18</v>
      </c>
      <c r="C40" s="90">
        <v>24</v>
      </c>
      <c r="D40" s="90">
        <v>33</v>
      </c>
      <c r="E40" s="90">
        <v>57</v>
      </c>
      <c r="F40" s="90">
        <v>72</v>
      </c>
      <c r="G40" s="90">
        <v>89</v>
      </c>
      <c r="H40" s="90">
        <v>92</v>
      </c>
      <c r="I40" s="90">
        <v>102</v>
      </c>
      <c r="J40" s="90">
        <v>102</v>
      </c>
      <c r="K40" s="90">
        <v>102</v>
      </c>
    </row>
    <row r="41" spans="1:11" x14ac:dyDescent="0.25">
      <c r="A41" s="90" t="s">
        <v>364</v>
      </c>
      <c r="B41" s="90">
        <v>18</v>
      </c>
      <c r="C41" s="90">
        <v>29</v>
      </c>
      <c r="D41" s="90">
        <v>37</v>
      </c>
      <c r="E41" s="90">
        <v>62</v>
      </c>
      <c r="F41" s="90">
        <v>89</v>
      </c>
      <c r="G41" s="90">
        <v>98</v>
      </c>
      <c r="H41" s="90">
        <v>102</v>
      </c>
      <c r="I41" s="90">
        <v>102</v>
      </c>
      <c r="J41" s="90">
        <v>102</v>
      </c>
      <c r="K41" s="90">
        <v>102</v>
      </c>
    </row>
    <row r="42" spans="1:11" x14ac:dyDescent="0.25">
      <c r="A42" s="90" t="s">
        <v>363</v>
      </c>
      <c r="B42" s="90">
        <v>20</v>
      </c>
      <c r="C42" s="90">
        <v>28</v>
      </c>
      <c r="D42" s="90">
        <v>35</v>
      </c>
      <c r="E42" s="90">
        <v>55</v>
      </c>
      <c r="F42" s="90">
        <v>77</v>
      </c>
      <c r="G42" s="90">
        <v>85</v>
      </c>
      <c r="H42" s="90">
        <v>93</v>
      </c>
      <c r="I42" s="90">
        <v>102</v>
      </c>
      <c r="J42" s="90">
        <v>102</v>
      </c>
      <c r="K42" s="90">
        <v>102</v>
      </c>
    </row>
    <row r="43" spans="1:11" x14ac:dyDescent="0.25">
      <c r="A43" s="90" t="s">
        <v>362</v>
      </c>
      <c r="B43" s="90">
        <v>22</v>
      </c>
      <c r="C43" s="90">
        <v>28</v>
      </c>
      <c r="D43" s="90">
        <v>35</v>
      </c>
      <c r="E43" s="90">
        <v>58</v>
      </c>
      <c r="F43" s="90">
        <v>72</v>
      </c>
      <c r="G43" s="90">
        <v>81</v>
      </c>
      <c r="H43" s="90">
        <v>94</v>
      </c>
      <c r="I43" s="90">
        <v>102</v>
      </c>
      <c r="J43" s="90">
        <v>102</v>
      </c>
      <c r="K43" s="90">
        <v>102</v>
      </c>
    </row>
    <row r="44" spans="1:11" x14ac:dyDescent="0.25">
      <c r="A44" s="90" t="s">
        <v>361</v>
      </c>
      <c r="B44" s="90">
        <v>15</v>
      </c>
      <c r="C44" s="90">
        <v>22</v>
      </c>
      <c r="D44" s="90">
        <v>29</v>
      </c>
      <c r="E44" s="90">
        <v>58</v>
      </c>
      <c r="F44" s="90">
        <v>76</v>
      </c>
      <c r="G44" s="90">
        <v>85</v>
      </c>
      <c r="H44" s="90">
        <v>96</v>
      </c>
      <c r="I44" s="90">
        <v>102</v>
      </c>
      <c r="J44" s="90">
        <v>102</v>
      </c>
      <c r="K44" s="90">
        <v>102</v>
      </c>
    </row>
    <row r="45" spans="1:11" x14ac:dyDescent="0.25">
      <c r="A45" s="90" t="s">
        <v>360</v>
      </c>
      <c r="B45" s="90">
        <v>17</v>
      </c>
      <c r="C45" s="90">
        <v>26</v>
      </c>
      <c r="D45" s="90">
        <v>33</v>
      </c>
      <c r="E45" s="90">
        <v>53</v>
      </c>
      <c r="F45" s="90">
        <v>69</v>
      </c>
      <c r="G45" s="90">
        <v>81</v>
      </c>
      <c r="H45" s="90">
        <v>94</v>
      </c>
      <c r="I45" s="90">
        <v>102</v>
      </c>
      <c r="J45" s="90">
        <v>102</v>
      </c>
      <c r="K45" s="90">
        <v>102</v>
      </c>
    </row>
    <row r="46" spans="1:11" x14ac:dyDescent="0.25">
      <c r="A46" s="90" t="s">
        <v>359</v>
      </c>
      <c r="B46" s="90">
        <v>20</v>
      </c>
      <c r="C46" s="90">
        <v>31</v>
      </c>
      <c r="D46" s="90">
        <v>38</v>
      </c>
      <c r="E46" s="90">
        <v>61</v>
      </c>
      <c r="F46" s="90">
        <v>88</v>
      </c>
      <c r="G46" s="90">
        <v>98</v>
      </c>
      <c r="H46" s="90">
        <v>102</v>
      </c>
      <c r="I46" s="90">
        <v>102</v>
      </c>
      <c r="J46" s="90">
        <v>102</v>
      </c>
      <c r="K46" s="90">
        <v>102</v>
      </c>
    </row>
    <row r="47" spans="1:11" x14ac:dyDescent="0.25">
      <c r="A47" s="90" t="s">
        <v>358</v>
      </c>
      <c r="B47" s="90">
        <v>15</v>
      </c>
      <c r="C47" s="90">
        <v>26</v>
      </c>
      <c r="D47" s="90">
        <v>35</v>
      </c>
      <c r="E47" s="90">
        <v>55</v>
      </c>
      <c r="F47" s="90">
        <v>74</v>
      </c>
      <c r="G47" s="90">
        <v>85</v>
      </c>
      <c r="H47" s="90">
        <v>95</v>
      </c>
      <c r="I47" s="90">
        <v>102</v>
      </c>
      <c r="J47" s="90">
        <v>102</v>
      </c>
      <c r="K47" s="90">
        <v>102</v>
      </c>
    </row>
    <row r="48" spans="1:11" x14ac:dyDescent="0.25">
      <c r="A48" s="90" t="s">
        <v>357</v>
      </c>
      <c r="B48" s="90">
        <v>13</v>
      </c>
      <c r="C48" s="90">
        <v>21</v>
      </c>
      <c r="D48" s="90">
        <v>28</v>
      </c>
      <c r="E48" s="90">
        <v>47</v>
      </c>
      <c r="F48" s="90">
        <v>65</v>
      </c>
      <c r="G48" s="90">
        <v>83</v>
      </c>
      <c r="H48" s="90">
        <v>94</v>
      </c>
      <c r="I48" s="90">
        <v>102</v>
      </c>
      <c r="J48" s="90">
        <v>102</v>
      </c>
      <c r="K48" s="90">
        <v>102</v>
      </c>
    </row>
    <row r="49" spans="1:11" x14ac:dyDescent="0.25">
      <c r="A49" s="90" t="s">
        <v>356</v>
      </c>
      <c r="B49" s="90">
        <v>16</v>
      </c>
      <c r="C49" s="90">
        <v>24</v>
      </c>
      <c r="D49" s="90">
        <v>33</v>
      </c>
      <c r="E49" s="90">
        <v>52</v>
      </c>
      <c r="F49" s="90">
        <v>70</v>
      </c>
      <c r="G49" s="90">
        <v>80</v>
      </c>
      <c r="H49" s="90">
        <v>91</v>
      </c>
      <c r="I49" s="90">
        <v>102</v>
      </c>
      <c r="J49" s="90">
        <v>102</v>
      </c>
      <c r="K49" s="90">
        <v>102</v>
      </c>
    </row>
    <row r="50" spans="1:11" x14ac:dyDescent="0.25">
      <c r="A50" s="90" t="s">
        <v>355</v>
      </c>
      <c r="B50" s="90">
        <v>18</v>
      </c>
      <c r="C50" s="90">
        <v>24</v>
      </c>
      <c r="D50" s="90">
        <v>31</v>
      </c>
      <c r="E50" s="90">
        <v>56</v>
      </c>
      <c r="F50" s="90">
        <v>72</v>
      </c>
      <c r="G50" s="90">
        <v>83</v>
      </c>
      <c r="H50" s="90">
        <v>92</v>
      </c>
      <c r="I50" s="90">
        <v>101</v>
      </c>
      <c r="J50" s="90">
        <v>102</v>
      </c>
      <c r="K50" s="90">
        <v>102</v>
      </c>
    </row>
    <row r="51" spans="1:11" x14ac:dyDescent="0.25">
      <c r="A51" s="90" t="s">
        <v>354</v>
      </c>
      <c r="B51" s="90">
        <v>19</v>
      </c>
      <c r="C51" s="90">
        <v>27</v>
      </c>
      <c r="D51" s="90">
        <v>34</v>
      </c>
      <c r="E51" s="90">
        <v>59</v>
      </c>
      <c r="F51" s="90">
        <v>74</v>
      </c>
      <c r="G51" s="90">
        <v>84</v>
      </c>
      <c r="H51" s="90">
        <v>93</v>
      </c>
      <c r="I51" s="90">
        <v>102</v>
      </c>
      <c r="J51" s="90">
        <v>102</v>
      </c>
      <c r="K51" s="90">
        <v>102</v>
      </c>
    </row>
    <row r="52" spans="1:11" x14ac:dyDescent="0.25">
      <c r="A52" s="90" t="s">
        <v>353</v>
      </c>
      <c r="B52" s="90">
        <v>13</v>
      </c>
      <c r="C52" s="90">
        <v>20</v>
      </c>
      <c r="D52" s="90">
        <v>29</v>
      </c>
      <c r="E52" s="90">
        <v>56</v>
      </c>
      <c r="F52" s="90">
        <v>83</v>
      </c>
      <c r="G52" s="90">
        <v>94</v>
      </c>
      <c r="H52" s="90">
        <v>102</v>
      </c>
      <c r="I52" s="90">
        <v>102</v>
      </c>
      <c r="J52" s="90">
        <v>102</v>
      </c>
      <c r="K52" s="90">
        <v>102</v>
      </c>
    </row>
    <row r="53" spans="1:11" x14ac:dyDescent="0.25">
      <c r="A53" s="90" t="s">
        <v>352</v>
      </c>
      <c r="B53" s="90">
        <v>16</v>
      </c>
      <c r="C53" s="90">
        <v>21</v>
      </c>
      <c r="D53" s="90">
        <v>31</v>
      </c>
      <c r="E53" s="90">
        <v>55</v>
      </c>
      <c r="F53" s="90">
        <v>77</v>
      </c>
      <c r="G53" s="90">
        <v>86</v>
      </c>
      <c r="H53" s="90">
        <v>97</v>
      </c>
      <c r="I53" s="90">
        <v>102</v>
      </c>
      <c r="J53" s="90">
        <v>102</v>
      </c>
      <c r="K53" s="90">
        <v>102</v>
      </c>
    </row>
    <row r="54" spans="1:11" x14ac:dyDescent="0.25">
      <c r="A54" s="90" t="s">
        <v>351</v>
      </c>
      <c r="B54" s="90">
        <v>11</v>
      </c>
      <c r="C54" s="90">
        <v>19</v>
      </c>
      <c r="D54" s="90">
        <v>26</v>
      </c>
      <c r="E54" s="90">
        <v>43</v>
      </c>
      <c r="F54" s="90">
        <v>64</v>
      </c>
      <c r="G54" s="90">
        <v>80</v>
      </c>
      <c r="H54" s="90">
        <v>92</v>
      </c>
      <c r="I54" s="90">
        <v>102</v>
      </c>
      <c r="J54" s="90">
        <v>102</v>
      </c>
      <c r="K54" s="90">
        <v>102</v>
      </c>
    </row>
    <row r="55" spans="1:11" x14ac:dyDescent="0.25">
      <c r="A55" s="90" t="s">
        <v>350</v>
      </c>
      <c r="B55" s="90">
        <v>12</v>
      </c>
      <c r="C55" s="90">
        <v>18</v>
      </c>
      <c r="D55" s="90">
        <v>23</v>
      </c>
      <c r="E55" s="90">
        <v>45</v>
      </c>
      <c r="F55" s="90">
        <v>69</v>
      </c>
      <c r="G55" s="90">
        <v>83</v>
      </c>
      <c r="H55" s="90">
        <v>94</v>
      </c>
      <c r="I55" s="90">
        <v>102</v>
      </c>
      <c r="J55" s="90">
        <v>102</v>
      </c>
      <c r="K55" s="90">
        <v>102</v>
      </c>
    </row>
    <row r="56" spans="1:11" x14ac:dyDescent="0.25">
      <c r="A56" s="90" t="s">
        <v>349</v>
      </c>
      <c r="B56" s="90">
        <v>16</v>
      </c>
      <c r="C56" s="90">
        <v>23</v>
      </c>
      <c r="D56" s="90">
        <v>30</v>
      </c>
      <c r="E56" s="90">
        <v>49</v>
      </c>
      <c r="F56" s="90">
        <v>66</v>
      </c>
      <c r="G56" s="90">
        <v>77</v>
      </c>
      <c r="H56" s="90">
        <v>89</v>
      </c>
      <c r="I56" s="90">
        <v>101</v>
      </c>
      <c r="J56" s="90">
        <v>102</v>
      </c>
      <c r="K56" s="90">
        <v>102</v>
      </c>
    </row>
    <row r="57" spans="1:11" x14ac:dyDescent="0.25">
      <c r="A57" s="90" t="s">
        <v>348</v>
      </c>
      <c r="B57" s="90">
        <v>14</v>
      </c>
      <c r="C57" s="90">
        <v>21</v>
      </c>
      <c r="D57" s="90">
        <v>28</v>
      </c>
      <c r="E57" s="90">
        <v>46</v>
      </c>
      <c r="F57" s="90">
        <v>70</v>
      </c>
      <c r="G57" s="90">
        <v>79</v>
      </c>
      <c r="H57" s="90">
        <v>88</v>
      </c>
      <c r="I57" s="90">
        <v>100</v>
      </c>
      <c r="J57" s="90">
        <v>102</v>
      </c>
      <c r="K57" s="90">
        <v>102</v>
      </c>
    </row>
    <row r="58" spans="1:11" x14ac:dyDescent="0.25">
      <c r="A58" s="90" t="s">
        <v>347</v>
      </c>
      <c r="B58" s="90">
        <v>11</v>
      </c>
      <c r="C58" s="90">
        <v>18</v>
      </c>
      <c r="D58" s="90">
        <v>26</v>
      </c>
      <c r="E58" s="90">
        <v>44</v>
      </c>
      <c r="F58" s="90">
        <v>69</v>
      </c>
      <c r="G58" s="90">
        <v>78</v>
      </c>
      <c r="H58" s="90">
        <v>92</v>
      </c>
      <c r="I58" s="90">
        <v>102</v>
      </c>
      <c r="J58" s="90">
        <v>102</v>
      </c>
      <c r="K58" s="90">
        <v>102</v>
      </c>
    </row>
    <row r="59" spans="1:11" x14ac:dyDescent="0.25">
      <c r="A59" s="90" t="s">
        <v>346</v>
      </c>
      <c r="B59" s="90">
        <v>13</v>
      </c>
      <c r="C59" s="90">
        <v>20</v>
      </c>
      <c r="D59" s="90">
        <v>27</v>
      </c>
      <c r="E59" s="90">
        <v>46</v>
      </c>
      <c r="F59" s="90">
        <v>72</v>
      </c>
      <c r="G59" s="90">
        <v>85</v>
      </c>
      <c r="H59" s="90">
        <v>98</v>
      </c>
      <c r="I59" s="90">
        <v>102</v>
      </c>
      <c r="J59" s="90">
        <v>102</v>
      </c>
      <c r="K59" s="90">
        <v>102</v>
      </c>
    </row>
    <row r="60" spans="1:11" x14ac:dyDescent="0.25">
      <c r="A60" s="90" t="s">
        <v>345</v>
      </c>
      <c r="B60" s="90">
        <v>11</v>
      </c>
      <c r="C60" s="90">
        <v>17</v>
      </c>
      <c r="D60" s="90">
        <v>22</v>
      </c>
      <c r="E60" s="90">
        <v>37</v>
      </c>
      <c r="F60" s="90">
        <v>55</v>
      </c>
      <c r="G60" s="90">
        <v>66</v>
      </c>
      <c r="H60" s="90">
        <v>78</v>
      </c>
      <c r="I60" s="90">
        <v>89</v>
      </c>
      <c r="J60" s="90">
        <v>102</v>
      </c>
      <c r="K60" s="90">
        <v>102</v>
      </c>
    </row>
    <row r="61" spans="1:11" x14ac:dyDescent="0.25">
      <c r="A61" s="90" t="s">
        <v>344</v>
      </c>
      <c r="B61" s="90">
        <v>13</v>
      </c>
      <c r="C61" s="90">
        <v>18</v>
      </c>
      <c r="D61" s="90">
        <v>25</v>
      </c>
      <c r="E61" s="90">
        <v>50</v>
      </c>
      <c r="F61" s="90">
        <v>72</v>
      </c>
      <c r="G61" s="90">
        <v>82</v>
      </c>
      <c r="H61" s="90">
        <v>91</v>
      </c>
      <c r="I61" s="90">
        <v>102</v>
      </c>
      <c r="J61" s="90">
        <v>102</v>
      </c>
      <c r="K61" s="90">
        <v>102</v>
      </c>
    </row>
    <row r="62" spans="1:11" x14ac:dyDescent="0.25">
      <c r="A62" s="90" t="s">
        <v>343</v>
      </c>
      <c r="B62" s="90">
        <v>16</v>
      </c>
      <c r="C62" s="90">
        <v>23</v>
      </c>
      <c r="D62" s="90">
        <v>28</v>
      </c>
      <c r="E62" s="90">
        <v>51</v>
      </c>
      <c r="F62" s="90">
        <v>74</v>
      </c>
      <c r="G62" s="90">
        <v>87</v>
      </c>
      <c r="H62" s="90">
        <v>100</v>
      </c>
      <c r="I62" s="90">
        <v>102</v>
      </c>
      <c r="J62" s="90">
        <v>102</v>
      </c>
      <c r="K62" s="90">
        <v>102</v>
      </c>
    </row>
    <row r="63" spans="1:11" x14ac:dyDescent="0.25">
      <c r="A63" s="90" t="s">
        <v>342</v>
      </c>
      <c r="B63" s="90">
        <v>20</v>
      </c>
      <c r="C63" s="90">
        <v>31</v>
      </c>
      <c r="D63" s="90">
        <v>37</v>
      </c>
      <c r="E63" s="90">
        <v>58</v>
      </c>
      <c r="F63" s="90">
        <v>85</v>
      </c>
      <c r="G63" s="90">
        <v>93</v>
      </c>
      <c r="H63" s="90">
        <v>101</v>
      </c>
      <c r="I63" s="90">
        <v>102</v>
      </c>
      <c r="J63" s="90">
        <v>102</v>
      </c>
      <c r="K63" s="90">
        <v>102</v>
      </c>
    </row>
    <row r="64" spans="1:11" x14ac:dyDescent="0.25">
      <c r="A64" s="90" t="s">
        <v>341</v>
      </c>
      <c r="B64" s="90">
        <v>19</v>
      </c>
      <c r="C64" s="90">
        <v>29</v>
      </c>
      <c r="D64" s="90">
        <v>34</v>
      </c>
      <c r="E64" s="90">
        <v>55</v>
      </c>
      <c r="F64" s="90">
        <v>83</v>
      </c>
      <c r="G64" s="90">
        <v>90</v>
      </c>
      <c r="H64" s="90">
        <v>99</v>
      </c>
      <c r="I64" s="90">
        <v>102</v>
      </c>
      <c r="J64" s="90">
        <v>102</v>
      </c>
      <c r="K64" s="90">
        <v>102</v>
      </c>
    </row>
    <row r="65" spans="1:11" x14ac:dyDescent="0.25">
      <c r="A65" s="90" t="s">
        <v>340</v>
      </c>
      <c r="B65" s="90">
        <v>23</v>
      </c>
      <c r="C65" s="90">
        <v>32</v>
      </c>
      <c r="D65" s="90">
        <v>40</v>
      </c>
      <c r="E65" s="90">
        <v>62</v>
      </c>
      <c r="F65" s="90">
        <v>86</v>
      </c>
      <c r="G65" s="90">
        <v>95</v>
      </c>
      <c r="H65" s="90">
        <v>102</v>
      </c>
      <c r="I65" s="90">
        <v>102</v>
      </c>
      <c r="J65" s="90">
        <v>102</v>
      </c>
      <c r="K65" s="90">
        <v>102</v>
      </c>
    </row>
    <row r="66" spans="1:11" x14ac:dyDescent="0.25">
      <c r="A66" s="90" t="s">
        <v>339</v>
      </c>
      <c r="B66" s="90">
        <v>22</v>
      </c>
      <c r="C66" s="90">
        <v>30</v>
      </c>
      <c r="D66" s="90">
        <v>38</v>
      </c>
      <c r="E66" s="90">
        <v>58</v>
      </c>
      <c r="F66" s="90">
        <v>85</v>
      </c>
      <c r="G66" s="90">
        <v>92</v>
      </c>
      <c r="H66" s="90">
        <v>101</v>
      </c>
      <c r="I66" s="90">
        <v>102</v>
      </c>
      <c r="J66" s="90">
        <v>102</v>
      </c>
      <c r="K66" s="90">
        <v>102</v>
      </c>
    </row>
    <row r="67" spans="1:11" x14ac:dyDescent="0.25">
      <c r="A67" s="90" t="s">
        <v>338</v>
      </c>
      <c r="B67" s="90">
        <v>19</v>
      </c>
      <c r="C67" s="90">
        <v>31</v>
      </c>
      <c r="D67" s="90">
        <v>40</v>
      </c>
      <c r="E67" s="90">
        <v>59</v>
      </c>
      <c r="F67" s="90">
        <v>87</v>
      </c>
      <c r="G67" s="90">
        <v>97</v>
      </c>
      <c r="H67" s="90">
        <v>102</v>
      </c>
      <c r="I67" s="90">
        <v>102</v>
      </c>
      <c r="J67" s="90">
        <v>102</v>
      </c>
      <c r="K67" s="90">
        <v>102</v>
      </c>
    </row>
    <row r="68" spans="1:11" x14ac:dyDescent="0.25">
      <c r="A68" s="90" t="s">
        <v>337</v>
      </c>
      <c r="B68" s="90">
        <v>26</v>
      </c>
      <c r="C68" s="90">
        <v>34</v>
      </c>
      <c r="D68" s="90">
        <v>43</v>
      </c>
      <c r="E68" s="90">
        <v>64</v>
      </c>
      <c r="F68" s="90">
        <v>86</v>
      </c>
      <c r="G68" s="90">
        <v>99</v>
      </c>
      <c r="H68" s="90">
        <v>102</v>
      </c>
      <c r="I68" s="90">
        <v>102</v>
      </c>
      <c r="J68" s="90">
        <v>102</v>
      </c>
      <c r="K68" s="90">
        <v>102</v>
      </c>
    </row>
    <row r="69" spans="1:11" x14ac:dyDescent="0.25">
      <c r="A69" s="90" t="s">
        <v>336</v>
      </c>
      <c r="B69" s="90">
        <v>19</v>
      </c>
      <c r="C69" s="90">
        <v>29</v>
      </c>
      <c r="D69" s="90">
        <v>35</v>
      </c>
      <c r="E69" s="90">
        <v>60</v>
      </c>
      <c r="F69" s="90">
        <v>85</v>
      </c>
      <c r="G69" s="90">
        <v>96</v>
      </c>
      <c r="H69" s="90">
        <v>102</v>
      </c>
      <c r="I69" s="90">
        <v>102</v>
      </c>
      <c r="J69" s="90">
        <v>102</v>
      </c>
      <c r="K69" s="90">
        <v>102</v>
      </c>
    </row>
    <row r="70" spans="1:11" x14ac:dyDescent="0.25">
      <c r="A70" s="90" t="s">
        <v>335</v>
      </c>
      <c r="B70" s="90">
        <v>19</v>
      </c>
      <c r="C70" s="90">
        <v>29</v>
      </c>
      <c r="D70" s="90">
        <v>36</v>
      </c>
      <c r="E70" s="90">
        <v>52</v>
      </c>
      <c r="F70" s="90">
        <v>79</v>
      </c>
      <c r="G70" s="90">
        <v>93</v>
      </c>
      <c r="H70" s="90">
        <v>102</v>
      </c>
      <c r="I70" s="90">
        <v>102</v>
      </c>
      <c r="J70" s="90">
        <v>102</v>
      </c>
      <c r="K70" s="90">
        <v>102</v>
      </c>
    </row>
    <row r="71" spans="1:11" x14ac:dyDescent="0.25">
      <c r="A71" s="90" t="s">
        <v>334</v>
      </c>
      <c r="B71" s="90">
        <v>16</v>
      </c>
      <c r="C71" s="90">
        <v>25</v>
      </c>
      <c r="D71" s="90">
        <v>33</v>
      </c>
      <c r="E71" s="90">
        <v>57</v>
      </c>
      <c r="F71" s="90">
        <v>83</v>
      </c>
      <c r="G71" s="90">
        <v>90</v>
      </c>
      <c r="H71" s="90">
        <v>99</v>
      </c>
      <c r="I71" s="90">
        <v>102</v>
      </c>
      <c r="J71" s="90">
        <v>102</v>
      </c>
      <c r="K71" s="90">
        <v>102</v>
      </c>
    </row>
    <row r="72" spans="1:11" x14ac:dyDescent="0.25">
      <c r="A72" s="90" t="s">
        <v>333</v>
      </c>
      <c r="B72" s="90">
        <v>21</v>
      </c>
      <c r="C72" s="90">
        <v>30</v>
      </c>
      <c r="D72" s="90">
        <v>38</v>
      </c>
      <c r="E72" s="90">
        <v>63</v>
      </c>
      <c r="F72" s="90">
        <v>87</v>
      </c>
      <c r="G72" s="90">
        <v>93</v>
      </c>
      <c r="H72" s="90">
        <v>102</v>
      </c>
      <c r="I72" s="90">
        <v>102</v>
      </c>
      <c r="J72" s="90">
        <v>102</v>
      </c>
      <c r="K72" s="90">
        <v>102</v>
      </c>
    </row>
    <row r="73" spans="1:11" x14ac:dyDescent="0.25">
      <c r="A73" s="90" t="s">
        <v>332</v>
      </c>
      <c r="B73" s="90">
        <v>14</v>
      </c>
      <c r="C73" s="90">
        <v>24</v>
      </c>
      <c r="D73" s="90">
        <v>30</v>
      </c>
      <c r="E73" s="90">
        <v>59</v>
      </c>
      <c r="F73" s="90">
        <v>80</v>
      </c>
      <c r="G73" s="90">
        <v>88</v>
      </c>
      <c r="H73" s="90">
        <v>99</v>
      </c>
      <c r="I73" s="90">
        <v>102</v>
      </c>
      <c r="J73" s="90">
        <v>102</v>
      </c>
      <c r="K73" s="90">
        <v>102</v>
      </c>
    </row>
    <row r="74" spans="1:11" x14ac:dyDescent="0.25">
      <c r="A74" s="90" t="s">
        <v>331</v>
      </c>
      <c r="B74" s="90">
        <v>24</v>
      </c>
      <c r="C74" s="90">
        <v>33</v>
      </c>
      <c r="D74" s="90">
        <v>39</v>
      </c>
      <c r="E74" s="90">
        <v>63</v>
      </c>
      <c r="F74" s="90">
        <v>88</v>
      </c>
      <c r="G74" s="90">
        <v>95</v>
      </c>
      <c r="H74" s="90">
        <v>102</v>
      </c>
      <c r="I74" s="90">
        <v>102</v>
      </c>
      <c r="J74" s="90">
        <v>102</v>
      </c>
      <c r="K74" s="90">
        <v>102</v>
      </c>
    </row>
    <row r="75" spans="1:11" x14ac:dyDescent="0.25">
      <c r="A75" s="90" t="s">
        <v>330</v>
      </c>
      <c r="B75" s="90">
        <v>15</v>
      </c>
      <c r="C75" s="90">
        <v>21</v>
      </c>
      <c r="D75" s="90">
        <v>27</v>
      </c>
      <c r="E75" s="90">
        <v>52</v>
      </c>
      <c r="F75" s="90">
        <v>77</v>
      </c>
      <c r="G75" s="90">
        <v>86</v>
      </c>
      <c r="H75" s="90">
        <v>97</v>
      </c>
      <c r="I75" s="90">
        <v>102</v>
      </c>
      <c r="J75" s="90">
        <v>102</v>
      </c>
      <c r="K75" s="90">
        <v>102</v>
      </c>
    </row>
    <row r="76" spans="1:11" x14ac:dyDescent="0.25">
      <c r="A76" s="90" t="s">
        <v>329</v>
      </c>
      <c r="B76" s="90">
        <v>15</v>
      </c>
      <c r="C76" s="90">
        <v>22</v>
      </c>
      <c r="D76" s="90">
        <v>29</v>
      </c>
      <c r="E76" s="90">
        <v>53</v>
      </c>
      <c r="F76" s="90">
        <v>78</v>
      </c>
      <c r="G76" s="90">
        <v>85</v>
      </c>
      <c r="H76" s="90">
        <v>97</v>
      </c>
      <c r="I76" s="90">
        <v>102</v>
      </c>
      <c r="J76" s="90">
        <v>102</v>
      </c>
      <c r="K76" s="90">
        <v>102</v>
      </c>
    </row>
    <row r="77" spans="1:11" x14ac:dyDescent="0.25">
      <c r="A77" s="90" t="s">
        <v>328</v>
      </c>
      <c r="B77" s="90">
        <v>17</v>
      </c>
      <c r="C77" s="90">
        <v>28</v>
      </c>
      <c r="D77" s="90">
        <v>35</v>
      </c>
      <c r="E77" s="90">
        <v>53</v>
      </c>
      <c r="F77" s="90">
        <v>79</v>
      </c>
      <c r="G77" s="90">
        <v>85</v>
      </c>
      <c r="H77" s="90">
        <v>95</v>
      </c>
      <c r="I77" s="90">
        <v>102</v>
      </c>
      <c r="J77" s="90">
        <v>102</v>
      </c>
      <c r="K77" s="90">
        <v>102</v>
      </c>
    </row>
    <row r="78" spans="1:11" x14ac:dyDescent="0.25">
      <c r="A78" s="90" t="s">
        <v>327</v>
      </c>
      <c r="B78" s="90">
        <v>16</v>
      </c>
      <c r="C78" s="90">
        <v>24</v>
      </c>
      <c r="D78" s="90">
        <v>30</v>
      </c>
      <c r="E78" s="90">
        <v>53</v>
      </c>
      <c r="F78" s="90">
        <v>77</v>
      </c>
      <c r="G78" s="90">
        <v>84</v>
      </c>
      <c r="H78" s="90">
        <v>92</v>
      </c>
      <c r="I78" s="90">
        <v>102</v>
      </c>
      <c r="J78" s="90">
        <v>102</v>
      </c>
      <c r="K78" s="90">
        <v>102</v>
      </c>
    </row>
    <row r="79" spans="1:11" x14ac:dyDescent="0.25">
      <c r="A79" s="90" t="s">
        <v>326</v>
      </c>
      <c r="B79" s="90">
        <v>16</v>
      </c>
      <c r="C79" s="90">
        <v>22</v>
      </c>
      <c r="D79" s="90">
        <v>29</v>
      </c>
      <c r="E79" s="90">
        <v>54</v>
      </c>
      <c r="F79" s="90">
        <v>78</v>
      </c>
      <c r="G79" s="90">
        <v>82</v>
      </c>
      <c r="H79" s="90">
        <v>90</v>
      </c>
      <c r="I79" s="90">
        <v>102</v>
      </c>
      <c r="J79" s="90">
        <v>102</v>
      </c>
      <c r="K79" s="90">
        <v>102</v>
      </c>
    </row>
    <row r="80" spans="1:11" x14ac:dyDescent="0.25">
      <c r="A80" s="90" t="s">
        <v>325</v>
      </c>
      <c r="B80" s="90">
        <v>12</v>
      </c>
      <c r="C80" s="90">
        <v>20</v>
      </c>
      <c r="D80" s="90">
        <v>25</v>
      </c>
      <c r="E80" s="90">
        <v>49</v>
      </c>
      <c r="F80" s="90">
        <v>75</v>
      </c>
      <c r="G80" s="90">
        <v>81</v>
      </c>
      <c r="H80" s="90">
        <v>93</v>
      </c>
      <c r="I80" s="90">
        <v>102</v>
      </c>
      <c r="J80" s="90">
        <v>102</v>
      </c>
      <c r="K80" s="90">
        <v>102</v>
      </c>
    </row>
    <row r="81" spans="1:11" x14ac:dyDescent="0.25">
      <c r="A81" s="90" t="s">
        <v>324</v>
      </c>
      <c r="B81" s="90">
        <v>14</v>
      </c>
      <c r="C81" s="90">
        <v>22</v>
      </c>
      <c r="D81" s="90">
        <v>28</v>
      </c>
      <c r="E81" s="90">
        <v>52</v>
      </c>
      <c r="F81" s="90">
        <v>73</v>
      </c>
      <c r="G81" s="90">
        <v>78</v>
      </c>
      <c r="H81" s="90">
        <v>88</v>
      </c>
      <c r="I81" s="90">
        <v>97</v>
      </c>
      <c r="J81" s="90">
        <v>102</v>
      </c>
      <c r="K81" s="90">
        <v>102</v>
      </c>
    </row>
    <row r="82" spans="1:11" x14ac:dyDescent="0.25">
      <c r="A82" s="90" t="s">
        <v>323</v>
      </c>
      <c r="B82" s="90">
        <v>11</v>
      </c>
      <c r="C82" s="90">
        <v>18</v>
      </c>
      <c r="D82" s="90">
        <v>27</v>
      </c>
      <c r="E82" s="90">
        <v>49</v>
      </c>
      <c r="F82" s="90">
        <v>70</v>
      </c>
      <c r="G82" s="90">
        <v>77</v>
      </c>
      <c r="H82" s="90">
        <v>89</v>
      </c>
      <c r="I82" s="90">
        <v>100</v>
      </c>
      <c r="J82" s="90">
        <v>102</v>
      </c>
      <c r="K82" s="90">
        <v>102</v>
      </c>
    </row>
    <row r="83" spans="1:11" x14ac:dyDescent="0.25">
      <c r="A83" s="90" t="s">
        <v>322</v>
      </c>
      <c r="B83" s="90">
        <v>13</v>
      </c>
      <c r="C83" s="90">
        <v>24</v>
      </c>
      <c r="D83" s="90">
        <v>31</v>
      </c>
      <c r="E83" s="90">
        <v>53</v>
      </c>
      <c r="F83" s="90">
        <v>72</v>
      </c>
      <c r="G83" s="90">
        <v>78</v>
      </c>
      <c r="H83" s="90">
        <v>89</v>
      </c>
      <c r="I83" s="90">
        <v>98</v>
      </c>
      <c r="J83" s="90">
        <v>102</v>
      </c>
      <c r="K83" s="90">
        <v>102</v>
      </c>
    </row>
    <row r="84" spans="1:11" x14ac:dyDescent="0.25">
      <c r="A84" s="90" t="s">
        <v>321</v>
      </c>
      <c r="B84" s="90">
        <v>15</v>
      </c>
      <c r="C84" s="90">
        <v>26</v>
      </c>
      <c r="D84" s="90">
        <v>31</v>
      </c>
      <c r="E84" s="90">
        <v>52</v>
      </c>
      <c r="F84" s="90">
        <v>77</v>
      </c>
      <c r="G84" s="90">
        <v>85</v>
      </c>
      <c r="H84" s="90">
        <v>94</v>
      </c>
      <c r="I84" s="90">
        <v>101</v>
      </c>
      <c r="J84" s="90">
        <v>102</v>
      </c>
      <c r="K84" s="90">
        <v>102</v>
      </c>
    </row>
    <row r="85" spans="1:11" x14ac:dyDescent="0.25">
      <c r="A85" s="90" t="s">
        <v>320</v>
      </c>
      <c r="B85" s="90">
        <v>16</v>
      </c>
      <c r="C85" s="90">
        <v>24</v>
      </c>
      <c r="D85" s="90">
        <v>33</v>
      </c>
      <c r="E85" s="90">
        <v>54</v>
      </c>
      <c r="F85" s="90">
        <v>80</v>
      </c>
      <c r="G85" s="90">
        <v>89</v>
      </c>
      <c r="H85" s="90">
        <v>101</v>
      </c>
      <c r="I85" s="90">
        <v>102</v>
      </c>
      <c r="J85" s="90">
        <v>102</v>
      </c>
      <c r="K85" s="90">
        <v>102</v>
      </c>
    </row>
    <row r="86" spans="1:11" x14ac:dyDescent="0.25">
      <c r="A86" s="90" t="s">
        <v>319</v>
      </c>
      <c r="B86" s="90">
        <v>14</v>
      </c>
      <c r="C86" s="90">
        <v>22</v>
      </c>
      <c r="D86" s="90">
        <v>30</v>
      </c>
      <c r="E86" s="90">
        <v>52</v>
      </c>
      <c r="F86" s="90">
        <v>76</v>
      </c>
      <c r="G86" s="90">
        <v>86</v>
      </c>
      <c r="H86" s="90">
        <v>99</v>
      </c>
      <c r="I86" s="90">
        <v>102</v>
      </c>
      <c r="J86" s="90">
        <v>102</v>
      </c>
      <c r="K86" s="90">
        <v>102</v>
      </c>
    </row>
    <row r="87" spans="1:11" x14ac:dyDescent="0.25">
      <c r="A87" s="90" t="s">
        <v>318</v>
      </c>
      <c r="B87" s="90">
        <v>15</v>
      </c>
      <c r="C87" s="90">
        <v>22</v>
      </c>
      <c r="D87" s="90">
        <v>30</v>
      </c>
      <c r="E87" s="90">
        <v>52</v>
      </c>
      <c r="F87" s="90">
        <v>75</v>
      </c>
      <c r="G87" s="90">
        <v>85</v>
      </c>
      <c r="H87" s="90">
        <v>95</v>
      </c>
      <c r="I87" s="90">
        <v>102</v>
      </c>
      <c r="J87" s="90">
        <v>102</v>
      </c>
      <c r="K87" s="90">
        <v>102</v>
      </c>
    </row>
    <row r="88" spans="1:11" x14ac:dyDescent="0.25">
      <c r="A88" s="90" t="s">
        <v>317</v>
      </c>
      <c r="B88" s="90">
        <v>9</v>
      </c>
      <c r="C88" s="90">
        <v>13</v>
      </c>
      <c r="D88" s="90">
        <v>20</v>
      </c>
      <c r="E88" s="90">
        <v>42</v>
      </c>
      <c r="F88" s="90">
        <v>66</v>
      </c>
      <c r="G88" s="90">
        <v>72</v>
      </c>
      <c r="H88" s="90">
        <v>80</v>
      </c>
      <c r="I88" s="90">
        <v>91</v>
      </c>
      <c r="J88" s="90">
        <v>101</v>
      </c>
      <c r="K88" s="90">
        <v>102</v>
      </c>
    </row>
    <row r="89" spans="1:11" x14ac:dyDescent="0.25">
      <c r="A89" s="90" t="s">
        <v>316</v>
      </c>
      <c r="B89" s="90">
        <v>11</v>
      </c>
      <c r="C89" s="90">
        <v>19</v>
      </c>
      <c r="D89" s="90">
        <v>24</v>
      </c>
      <c r="E89" s="90">
        <v>48</v>
      </c>
      <c r="F89" s="90">
        <v>68</v>
      </c>
      <c r="G89" s="90">
        <v>77</v>
      </c>
      <c r="H89" s="90">
        <v>89</v>
      </c>
      <c r="I89" s="90">
        <v>99</v>
      </c>
      <c r="J89" s="90">
        <v>102</v>
      </c>
      <c r="K89" s="90">
        <v>102</v>
      </c>
    </row>
    <row r="90" spans="1:11" x14ac:dyDescent="0.25">
      <c r="A90" s="90" t="s">
        <v>315</v>
      </c>
      <c r="B90" s="90">
        <v>11</v>
      </c>
      <c r="C90" s="90">
        <v>15</v>
      </c>
      <c r="D90" s="90">
        <v>21</v>
      </c>
      <c r="E90" s="90">
        <v>46</v>
      </c>
      <c r="F90" s="90">
        <v>67</v>
      </c>
      <c r="G90" s="90">
        <v>74</v>
      </c>
      <c r="H90" s="90">
        <v>83</v>
      </c>
      <c r="I90" s="90">
        <v>94</v>
      </c>
      <c r="J90" s="90">
        <v>98</v>
      </c>
      <c r="K90" s="90">
        <v>97</v>
      </c>
    </row>
    <row r="91" spans="1:11" x14ac:dyDescent="0.25">
      <c r="A91" s="90" t="s">
        <v>314</v>
      </c>
      <c r="B91" s="90">
        <v>16</v>
      </c>
      <c r="C91" s="90">
        <v>22</v>
      </c>
      <c r="D91" s="90">
        <v>28</v>
      </c>
      <c r="E91" s="90">
        <v>56</v>
      </c>
      <c r="F91" s="90">
        <v>78</v>
      </c>
      <c r="G91" s="90">
        <v>83</v>
      </c>
      <c r="H91" s="90">
        <v>92</v>
      </c>
      <c r="I91" s="90">
        <v>102</v>
      </c>
      <c r="J91" s="90">
        <v>102</v>
      </c>
      <c r="K91" s="90">
        <v>102</v>
      </c>
    </row>
    <row r="92" spans="1:11" x14ac:dyDescent="0.25">
      <c r="A92" s="90" t="s">
        <v>313</v>
      </c>
      <c r="B92" s="90">
        <v>17</v>
      </c>
      <c r="C92" s="90">
        <v>19</v>
      </c>
      <c r="D92" s="90">
        <v>39</v>
      </c>
      <c r="E92" s="90">
        <v>52</v>
      </c>
      <c r="F92" s="90">
        <v>72</v>
      </c>
      <c r="G92" s="90">
        <v>79</v>
      </c>
      <c r="H92" s="90">
        <v>88</v>
      </c>
      <c r="I92" s="90">
        <v>98</v>
      </c>
      <c r="J92" s="90">
        <v>101</v>
      </c>
      <c r="K92" s="90">
        <v>99</v>
      </c>
    </row>
    <row r="93" spans="1:11" x14ac:dyDescent="0.25">
      <c r="A93" s="90" t="s">
        <v>312</v>
      </c>
      <c r="B93" s="90">
        <v>15</v>
      </c>
      <c r="C93" s="90">
        <v>21</v>
      </c>
      <c r="D93" s="90">
        <v>27</v>
      </c>
      <c r="E93" s="90">
        <v>45</v>
      </c>
      <c r="F93" s="90">
        <v>68</v>
      </c>
      <c r="G93" s="90">
        <v>73</v>
      </c>
      <c r="H93" s="90">
        <v>84</v>
      </c>
      <c r="I93" s="90">
        <v>94</v>
      </c>
      <c r="J93" s="90">
        <v>100</v>
      </c>
      <c r="K93" s="90">
        <v>102</v>
      </c>
    </row>
    <row r="94" spans="1:11" x14ac:dyDescent="0.25">
      <c r="A94" s="90" t="s">
        <v>311</v>
      </c>
      <c r="B94" s="90">
        <v>11</v>
      </c>
      <c r="C94" s="90">
        <v>17</v>
      </c>
      <c r="D94" s="90">
        <v>22</v>
      </c>
      <c r="E94" s="90">
        <v>46</v>
      </c>
      <c r="F94" s="90">
        <v>76</v>
      </c>
      <c r="G94" s="90">
        <v>83</v>
      </c>
      <c r="H94" s="90">
        <v>92</v>
      </c>
      <c r="I94" s="90">
        <v>102</v>
      </c>
      <c r="J94" s="90">
        <v>102</v>
      </c>
      <c r="K94" s="90">
        <v>102</v>
      </c>
    </row>
    <row r="95" spans="1:11" x14ac:dyDescent="0.25">
      <c r="A95" s="90" t="s">
        <v>310</v>
      </c>
      <c r="B95" s="90">
        <v>10</v>
      </c>
      <c r="C95" s="90">
        <v>19</v>
      </c>
      <c r="D95" s="90">
        <v>26</v>
      </c>
      <c r="E95" s="90">
        <v>50</v>
      </c>
      <c r="F95" s="90">
        <v>66</v>
      </c>
      <c r="G95" s="90">
        <v>72</v>
      </c>
      <c r="H95" s="90">
        <v>83</v>
      </c>
      <c r="I95" s="90">
        <v>93</v>
      </c>
      <c r="J95" s="90">
        <v>102</v>
      </c>
      <c r="K95" s="90">
        <v>102</v>
      </c>
    </row>
    <row r="96" spans="1:11" x14ac:dyDescent="0.25">
      <c r="A96" s="90" t="s">
        <v>309</v>
      </c>
      <c r="B96" s="90">
        <v>17</v>
      </c>
      <c r="C96" s="90">
        <v>25</v>
      </c>
      <c r="D96" s="90">
        <v>31</v>
      </c>
      <c r="E96" s="90">
        <v>51</v>
      </c>
      <c r="F96" s="90">
        <v>70</v>
      </c>
      <c r="G96" s="90">
        <v>80</v>
      </c>
      <c r="H96" s="90">
        <v>90</v>
      </c>
      <c r="I96" s="90">
        <v>101</v>
      </c>
      <c r="J96" s="90">
        <v>102</v>
      </c>
      <c r="K96" s="90">
        <v>102</v>
      </c>
    </row>
    <row r="97" spans="1:11" x14ac:dyDescent="0.25">
      <c r="A97" s="90" t="s">
        <v>308</v>
      </c>
      <c r="B97" s="90">
        <v>10</v>
      </c>
      <c r="C97" s="90">
        <v>15</v>
      </c>
      <c r="D97" s="90">
        <v>22</v>
      </c>
      <c r="E97" s="90">
        <v>46</v>
      </c>
      <c r="F97" s="90">
        <v>67</v>
      </c>
      <c r="G97" s="90">
        <v>72</v>
      </c>
      <c r="H97" s="90">
        <v>81</v>
      </c>
      <c r="I97" s="90">
        <v>90</v>
      </c>
      <c r="J97" s="90">
        <v>99</v>
      </c>
      <c r="K97" s="90">
        <v>102</v>
      </c>
    </row>
    <row r="98" spans="1:11" x14ac:dyDescent="0.25">
      <c r="A98" s="90" t="s">
        <v>307</v>
      </c>
      <c r="B98" s="90">
        <v>11</v>
      </c>
      <c r="C98" s="90">
        <v>19</v>
      </c>
      <c r="D98" s="90">
        <v>25</v>
      </c>
      <c r="E98" s="90">
        <v>48</v>
      </c>
      <c r="F98" s="90">
        <v>65</v>
      </c>
      <c r="G98" s="90">
        <v>71</v>
      </c>
      <c r="H98" s="90">
        <v>80</v>
      </c>
      <c r="I98" s="90">
        <v>92</v>
      </c>
      <c r="J98" s="90">
        <v>100</v>
      </c>
      <c r="K98" s="90">
        <v>102</v>
      </c>
    </row>
    <row r="99" spans="1:11" x14ac:dyDescent="0.25">
      <c r="A99" s="90" t="s">
        <v>306</v>
      </c>
      <c r="B99" s="90">
        <v>4</v>
      </c>
      <c r="C99" s="90">
        <v>9</v>
      </c>
      <c r="D99" s="90">
        <v>13</v>
      </c>
      <c r="E99" s="90">
        <v>39</v>
      </c>
      <c r="F99" s="90">
        <v>55</v>
      </c>
      <c r="G99" s="90">
        <v>63</v>
      </c>
      <c r="H99" s="90">
        <v>74</v>
      </c>
      <c r="I99" s="90">
        <v>89</v>
      </c>
      <c r="J99" s="90">
        <v>99</v>
      </c>
      <c r="K99" s="90">
        <v>102</v>
      </c>
    </row>
    <row r="100" spans="1:11" x14ac:dyDescent="0.25">
      <c r="A100" s="90" t="s">
        <v>305</v>
      </c>
      <c r="B100" s="90">
        <v>6</v>
      </c>
      <c r="C100" s="90">
        <v>11</v>
      </c>
      <c r="D100" s="90">
        <v>20</v>
      </c>
      <c r="E100" s="90">
        <v>47</v>
      </c>
      <c r="F100" s="90">
        <v>66</v>
      </c>
      <c r="G100" s="90">
        <v>75</v>
      </c>
      <c r="H100" s="90">
        <v>84</v>
      </c>
      <c r="I100" s="90">
        <v>96</v>
      </c>
      <c r="J100" s="90">
        <v>102</v>
      </c>
      <c r="K100" s="90">
        <v>102</v>
      </c>
    </row>
    <row r="101" spans="1:11" x14ac:dyDescent="0.25">
      <c r="A101" s="90" t="s">
        <v>304</v>
      </c>
      <c r="B101" s="90">
        <v>7</v>
      </c>
      <c r="C101" s="90">
        <v>13</v>
      </c>
      <c r="D101" s="90">
        <v>21</v>
      </c>
      <c r="E101" s="90">
        <v>49</v>
      </c>
      <c r="F101" s="90">
        <v>68</v>
      </c>
      <c r="G101" s="90">
        <v>78</v>
      </c>
      <c r="H101" s="90">
        <v>89</v>
      </c>
      <c r="I101" s="90">
        <v>100</v>
      </c>
      <c r="J101" s="90">
        <v>102</v>
      </c>
      <c r="K101" s="90">
        <v>102</v>
      </c>
    </row>
    <row r="102" spans="1:11" x14ac:dyDescent="0.25">
      <c r="A102" s="90" t="s">
        <v>303</v>
      </c>
      <c r="B102" s="90">
        <v>11</v>
      </c>
      <c r="C102" s="90">
        <v>16</v>
      </c>
      <c r="D102" s="90">
        <v>25</v>
      </c>
      <c r="E102" s="90">
        <v>45</v>
      </c>
      <c r="F102" s="90">
        <v>64</v>
      </c>
      <c r="G102" s="90">
        <v>72</v>
      </c>
      <c r="H102" s="90">
        <v>83</v>
      </c>
      <c r="I102" s="90">
        <v>95</v>
      </c>
      <c r="J102" s="90">
        <v>102</v>
      </c>
      <c r="K102" s="90">
        <v>102</v>
      </c>
    </row>
    <row r="103" spans="1:11" x14ac:dyDescent="0.25">
      <c r="A103" s="90" t="s">
        <v>302</v>
      </c>
      <c r="B103" s="90">
        <v>10</v>
      </c>
      <c r="C103" s="90">
        <v>16</v>
      </c>
      <c r="D103" s="90">
        <v>25</v>
      </c>
      <c r="E103" s="90">
        <v>44</v>
      </c>
      <c r="F103" s="90">
        <v>60</v>
      </c>
      <c r="G103" s="90">
        <v>67</v>
      </c>
      <c r="H103" s="90">
        <v>78</v>
      </c>
      <c r="I103" s="90">
        <v>88</v>
      </c>
      <c r="J103" s="90">
        <v>99</v>
      </c>
      <c r="K103" s="90">
        <v>102</v>
      </c>
    </row>
    <row r="104" spans="1:11" x14ac:dyDescent="0.25">
      <c r="A104" s="90" t="s">
        <v>301</v>
      </c>
      <c r="B104" s="90">
        <v>9</v>
      </c>
      <c r="C104" s="90">
        <v>15</v>
      </c>
      <c r="D104" s="90">
        <v>24</v>
      </c>
      <c r="E104" s="90">
        <v>43</v>
      </c>
      <c r="F104" s="90">
        <v>61</v>
      </c>
      <c r="G104" s="90">
        <v>69</v>
      </c>
      <c r="H104" s="90">
        <v>81</v>
      </c>
      <c r="I104" s="90">
        <v>94</v>
      </c>
      <c r="J104" s="90">
        <v>102</v>
      </c>
      <c r="K104" s="90">
        <v>102</v>
      </c>
    </row>
    <row r="105" spans="1:11" x14ac:dyDescent="0.25">
      <c r="A105" s="90" t="s">
        <v>300</v>
      </c>
      <c r="B105" s="90">
        <v>11</v>
      </c>
      <c r="C105" s="90">
        <v>16</v>
      </c>
      <c r="D105" s="90">
        <v>24</v>
      </c>
      <c r="E105" s="90">
        <v>44</v>
      </c>
      <c r="F105" s="90">
        <v>63</v>
      </c>
      <c r="G105" s="90">
        <v>74</v>
      </c>
      <c r="H105" s="90">
        <v>87</v>
      </c>
      <c r="I105" s="90">
        <v>98</v>
      </c>
      <c r="J105" s="90">
        <v>102</v>
      </c>
      <c r="K105" s="90">
        <v>102</v>
      </c>
    </row>
    <row r="106" spans="1:11" x14ac:dyDescent="0.25">
      <c r="A106" s="90" t="s">
        <v>299</v>
      </c>
      <c r="B106" s="90">
        <v>7</v>
      </c>
      <c r="C106" s="90">
        <v>11</v>
      </c>
      <c r="D106" s="90">
        <v>22</v>
      </c>
      <c r="E106" s="90">
        <v>40</v>
      </c>
      <c r="F106" s="90">
        <v>55</v>
      </c>
      <c r="G106" s="90">
        <v>62</v>
      </c>
      <c r="H106" s="90">
        <v>73</v>
      </c>
      <c r="I106" s="90">
        <v>84</v>
      </c>
      <c r="J106" s="90">
        <v>97</v>
      </c>
      <c r="K106" s="90">
        <v>98</v>
      </c>
    </row>
    <row r="107" spans="1:11" x14ac:dyDescent="0.25">
      <c r="A107" s="90" t="s">
        <v>298</v>
      </c>
      <c r="B107" s="90">
        <v>16</v>
      </c>
      <c r="C107" s="90">
        <v>23</v>
      </c>
      <c r="D107" s="90">
        <v>32</v>
      </c>
      <c r="E107" s="90">
        <v>53</v>
      </c>
      <c r="F107" s="90">
        <v>78</v>
      </c>
      <c r="G107" s="90">
        <v>84</v>
      </c>
      <c r="H107" s="90">
        <v>90</v>
      </c>
      <c r="I107" s="90">
        <v>97</v>
      </c>
      <c r="J107" s="90">
        <v>100</v>
      </c>
      <c r="K107" s="90">
        <v>102</v>
      </c>
    </row>
    <row r="108" spans="1:11" x14ac:dyDescent="0.25">
      <c r="A108" s="90" t="s">
        <v>297</v>
      </c>
      <c r="B108" s="90">
        <v>15</v>
      </c>
      <c r="C108" s="90">
        <v>21</v>
      </c>
      <c r="D108" s="90">
        <v>26</v>
      </c>
      <c r="E108" s="90">
        <v>50</v>
      </c>
      <c r="F108" s="90">
        <v>76</v>
      </c>
      <c r="G108" s="90">
        <v>83</v>
      </c>
      <c r="H108" s="90">
        <v>90</v>
      </c>
      <c r="I108" s="90">
        <v>98</v>
      </c>
      <c r="J108" s="90">
        <v>102</v>
      </c>
      <c r="K108" s="90">
        <v>102</v>
      </c>
    </row>
    <row r="109" spans="1:11" x14ac:dyDescent="0.25">
      <c r="A109" s="90" t="s">
        <v>296</v>
      </c>
      <c r="B109" s="90">
        <v>15</v>
      </c>
      <c r="C109" s="90">
        <v>22</v>
      </c>
      <c r="D109" s="90">
        <v>27</v>
      </c>
      <c r="E109" s="90">
        <v>51</v>
      </c>
      <c r="F109" s="90">
        <v>74</v>
      </c>
      <c r="G109" s="90">
        <v>85</v>
      </c>
      <c r="H109" s="90">
        <v>94</v>
      </c>
      <c r="I109" s="90">
        <v>102</v>
      </c>
      <c r="J109" s="90">
        <v>102</v>
      </c>
      <c r="K109" s="90">
        <v>102</v>
      </c>
    </row>
    <row r="110" spans="1:11" x14ac:dyDescent="0.25">
      <c r="A110" s="90" t="s">
        <v>295</v>
      </c>
      <c r="B110" s="90">
        <v>17</v>
      </c>
      <c r="C110" s="90">
        <v>26</v>
      </c>
      <c r="D110" s="90">
        <v>32</v>
      </c>
      <c r="E110" s="90">
        <v>52</v>
      </c>
      <c r="F110" s="90">
        <v>76</v>
      </c>
      <c r="G110" s="90">
        <v>88</v>
      </c>
      <c r="H110" s="90">
        <v>99</v>
      </c>
      <c r="I110" s="90">
        <v>102</v>
      </c>
      <c r="J110" s="90">
        <v>102</v>
      </c>
      <c r="K110" s="90">
        <v>102</v>
      </c>
    </row>
    <row r="111" spans="1:11" x14ac:dyDescent="0.25">
      <c r="A111" s="90" t="s">
        <v>294</v>
      </c>
      <c r="B111" s="90">
        <v>11</v>
      </c>
      <c r="C111" s="90">
        <v>18</v>
      </c>
      <c r="D111" s="90">
        <v>23</v>
      </c>
      <c r="E111" s="90">
        <v>44</v>
      </c>
      <c r="F111" s="90">
        <v>67</v>
      </c>
      <c r="G111" s="90">
        <v>75</v>
      </c>
      <c r="H111" s="90">
        <v>85</v>
      </c>
      <c r="I111" s="90">
        <v>97</v>
      </c>
      <c r="J111" s="90">
        <v>102</v>
      </c>
      <c r="K111" s="90">
        <v>102</v>
      </c>
    </row>
    <row r="112" spans="1:11" x14ac:dyDescent="0.25">
      <c r="A112" s="90" t="s">
        <v>293</v>
      </c>
      <c r="B112" s="90">
        <v>15</v>
      </c>
      <c r="C112" s="90">
        <v>21</v>
      </c>
      <c r="D112" s="90">
        <v>30</v>
      </c>
      <c r="E112" s="90">
        <v>49</v>
      </c>
      <c r="F112" s="90">
        <v>73</v>
      </c>
      <c r="G112" s="90">
        <v>85</v>
      </c>
      <c r="H112" s="90">
        <v>98</v>
      </c>
      <c r="I112" s="90">
        <v>102</v>
      </c>
      <c r="J112" s="90">
        <v>102</v>
      </c>
      <c r="K112" s="90">
        <v>102</v>
      </c>
    </row>
    <row r="113" spans="1:11" x14ac:dyDescent="0.25">
      <c r="A113" s="90" t="s">
        <v>292</v>
      </c>
      <c r="B113" s="90">
        <v>10</v>
      </c>
      <c r="C113" s="90">
        <v>18</v>
      </c>
      <c r="D113" s="90">
        <v>25</v>
      </c>
      <c r="E113" s="90">
        <v>48</v>
      </c>
      <c r="F113" s="90">
        <v>68</v>
      </c>
      <c r="G113" s="90">
        <v>75</v>
      </c>
      <c r="H113" s="90">
        <v>84</v>
      </c>
      <c r="I113" s="90">
        <v>95</v>
      </c>
      <c r="J113" s="90">
        <v>102</v>
      </c>
      <c r="K113" s="90">
        <v>102</v>
      </c>
    </row>
    <row r="114" spans="1:11" x14ac:dyDescent="0.25">
      <c r="A114" s="90" t="s">
        <v>291</v>
      </c>
      <c r="B114" s="90">
        <v>17</v>
      </c>
      <c r="C114" s="90">
        <v>27</v>
      </c>
      <c r="D114" s="90">
        <v>34</v>
      </c>
      <c r="E114" s="90">
        <v>55</v>
      </c>
      <c r="F114" s="90">
        <v>77</v>
      </c>
      <c r="G114" s="90">
        <v>89</v>
      </c>
      <c r="H114" s="90">
        <v>98</v>
      </c>
      <c r="I114" s="90">
        <v>102</v>
      </c>
      <c r="J114" s="90">
        <v>102</v>
      </c>
      <c r="K114" s="90">
        <v>102</v>
      </c>
    </row>
    <row r="115" spans="1:11" x14ac:dyDescent="0.25">
      <c r="A115" s="90" t="s">
        <v>290</v>
      </c>
      <c r="B115" s="90">
        <v>12</v>
      </c>
      <c r="C115" s="90">
        <v>19</v>
      </c>
      <c r="D115" s="90">
        <v>26</v>
      </c>
      <c r="E115" s="90">
        <v>48</v>
      </c>
      <c r="F115" s="90">
        <v>70</v>
      </c>
      <c r="G115" s="90">
        <v>81</v>
      </c>
      <c r="H115" s="90">
        <v>95</v>
      </c>
      <c r="I115" s="90">
        <v>102</v>
      </c>
      <c r="J115" s="90">
        <v>102</v>
      </c>
      <c r="K115" s="90">
        <v>102</v>
      </c>
    </row>
    <row r="116" spans="1:11" x14ac:dyDescent="0.25">
      <c r="A116" s="90" t="s">
        <v>289</v>
      </c>
      <c r="B116" s="90">
        <v>6</v>
      </c>
      <c r="C116" s="90">
        <v>10</v>
      </c>
      <c r="D116" s="90">
        <v>16</v>
      </c>
      <c r="E116" s="90">
        <v>44</v>
      </c>
      <c r="F116" s="90">
        <v>62</v>
      </c>
      <c r="G116" s="90">
        <v>74</v>
      </c>
      <c r="H116" s="90">
        <v>85</v>
      </c>
      <c r="I116" s="90">
        <v>95</v>
      </c>
      <c r="J116" s="90">
        <v>102</v>
      </c>
      <c r="K116" s="90">
        <v>102</v>
      </c>
    </row>
    <row r="117" spans="1:11" x14ac:dyDescent="0.25">
      <c r="A117" s="90" t="s">
        <v>288</v>
      </c>
      <c r="B117" s="90">
        <v>12</v>
      </c>
      <c r="C117" s="90">
        <v>18</v>
      </c>
      <c r="D117" s="90">
        <v>25</v>
      </c>
      <c r="E117" s="90">
        <v>52</v>
      </c>
      <c r="F117" s="90">
        <v>71</v>
      </c>
      <c r="G117" s="90">
        <v>82</v>
      </c>
      <c r="H117" s="90">
        <v>93</v>
      </c>
      <c r="I117" s="90">
        <v>102</v>
      </c>
      <c r="J117" s="90">
        <v>102</v>
      </c>
      <c r="K117" s="90">
        <v>102</v>
      </c>
    </row>
    <row r="118" spans="1:11" x14ac:dyDescent="0.25">
      <c r="A118" s="90" t="s">
        <v>287</v>
      </c>
      <c r="B118" s="90">
        <v>8</v>
      </c>
      <c r="C118" s="90">
        <v>16</v>
      </c>
      <c r="D118" s="90">
        <v>22</v>
      </c>
      <c r="E118" s="90">
        <v>44</v>
      </c>
      <c r="F118" s="90">
        <v>64</v>
      </c>
      <c r="G118" s="90">
        <v>70</v>
      </c>
      <c r="H118" s="90">
        <v>81</v>
      </c>
      <c r="I118" s="90">
        <v>93</v>
      </c>
      <c r="J118" s="90">
        <v>102</v>
      </c>
      <c r="K118" s="90">
        <v>102</v>
      </c>
    </row>
    <row r="119" spans="1:11" x14ac:dyDescent="0.25">
      <c r="A119" s="90" t="s">
        <v>286</v>
      </c>
      <c r="B119" s="90">
        <v>11</v>
      </c>
      <c r="C119" s="90">
        <v>17</v>
      </c>
      <c r="D119" s="90">
        <v>24</v>
      </c>
      <c r="E119" s="90">
        <v>45</v>
      </c>
      <c r="F119" s="90">
        <v>63</v>
      </c>
      <c r="G119" s="90">
        <v>70</v>
      </c>
      <c r="H119" s="90">
        <v>79</v>
      </c>
      <c r="I119" s="90">
        <v>89</v>
      </c>
      <c r="J119" s="90">
        <v>96</v>
      </c>
      <c r="K119" s="90">
        <v>97</v>
      </c>
    </row>
    <row r="120" spans="1:11" x14ac:dyDescent="0.25">
      <c r="A120" s="90" t="s">
        <v>285</v>
      </c>
      <c r="B120" s="90">
        <v>10</v>
      </c>
      <c r="C120" s="90">
        <v>19</v>
      </c>
      <c r="D120" s="90">
        <v>27</v>
      </c>
      <c r="E120" s="90">
        <v>47</v>
      </c>
      <c r="F120" s="90">
        <v>66</v>
      </c>
      <c r="G120" s="90">
        <v>74</v>
      </c>
      <c r="H120" s="90">
        <v>85</v>
      </c>
      <c r="I120" s="90">
        <v>91</v>
      </c>
      <c r="J120" s="90">
        <v>99</v>
      </c>
      <c r="K120" s="90">
        <v>99</v>
      </c>
    </row>
    <row r="121" spans="1:11" x14ac:dyDescent="0.25">
      <c r="A121" s="90" t="s">
        <v>284</v>
      </c>
      <c r="B121" s="90">
        <v>9</v>
      </c>
      <c r="C121" s="90">
        <v>14</v>
      </c>
      <c r="D121" s="90">
        <v>20</v>
      </c>
      <c r="E121" s="90">
        <v>48</v>
      </c>
      <c r="F121" s="90">
        <v>62</v>
      </c>
      <c r="G121" s="90">
        <v>72</v>
      </c>
      <c r="H121" s="90">
        <v>83</v>
      </c>
      <c r="I121" s="90">
        <v>90</v>
      </c>
      <c r="J121" s="90">
        <v>99</v>
      </c>
      <c r="K121" s="90">
        <v>102</v>
      </c>
    </row>
    <row r="122" spans="1:11" x14ac:dyDescent="0.25">
      <c r="A122" s="90" t="s">
        <v>283</v>
      </c>
      <c r="B122" s="90">
        <v>21</v>
      </c>
      <c r="C122" s="90">
        <v>37</v>
      </c>
      <c r="D122" s="90">
        <v>37</v>
      </c>
      <c r="E122" s="90">
        <v>60</v>
      </c>
      <c r="F122" s="90">
        <v>80</v>
      </c>
      <c r="G122" s="90">
        <v>81</v>
      </c>
      <c r="H122" s="90">
        <v>91</v>
      </c>
      <c r="I122" s="90">
        <v>100</v>
      </c>
      <c r="J122" s="90">
        <v>102</v>
      </c>
      <c r="K122" s="90">
        <v>102</v>
      </c>
    </row>
    <row r="123" spans="1:11" x14ac:dyDescent="0.25">
      <c r="A123" s="90" t="s">
        <v>282</v>
      </c>
      <c r="B123" s="90">
        <v>16</v>
      </c>
      <c r="C123" s="90">
        <v>23</v>
      </c>
      <c r="D123" s="90">
        <v>28</v>
      </c>
      <c r="E123" s="90">
        <v>52</v>
      </c>
      <c r="F123" s="90">
        <v>74</v>
      </c>
      <c r="G123" s="90">
        <v>76</v>
      </c>
      <c r="H123" s="90">
        <v>85</v>
      </c>
      <c r="I123" s="90">
        <v>96</v>
      </c>
      <c r="J123" s="90">
        <v>102</v>
      </c>
      <c r="K123" s="90">
        <v>93</v>
      </c>
    </row>
    <row r="124" spans="1:11" x14ac:dyDescent="0.25">
      <c r="A124" s="90" t="s">
        <v>281</v>
      </c>
      <c r="B124" s="90">
        <v>14</v>
      </c>
      <c r="C124" s="90">
        <v>20</v>
      </c>
      <c r="D124" s="90">
        <v>28</v>
      </c>
      <c r="E124" s="90">
        <v>53</v>
      </c>
      <c r="F124" s="90">
        <v>76</v>
      </c>
      <c r="G124" s="90">
        <v>80</v>
      </c>
      <c r="H124" s="90">
        <v>91</v>
      </c>
      <c r="I124" s="90">
        <v>102</v>
      </c>
      <c r="J124" s="90">
        <v>102</v>
      </c>
      <c r="K124" s="90">
        <v>102</v>
      </c>
    </row>
    <row r="125" spans="1:11" x14ac:dyDescent="0.25">
      <c r="A125" s="90" t="s">
        <v>280</v>
      </c>
      <c r="B125" s="90">
        <v>12</v>
      </c>
      <c r="C125" s="90">
        <v>21</v>
      </c>
      <c r="D125" s="90">
        <v>30</v>
      </c>
      <c r="E125" s="90">
        <v>55</v>
      </c>
      <c r="F125" s="90">
        <v>77</v>
      </c>
      <c r="G125" s="90">
        <v>82</v>
      </c>
      <c r="H125" s="90">
        <v>94</v>
      </c>
      <c r="I125" s="90">
        <v>102</v>
      </c>
      <c r="J125" s="90">
        <v>102</v>
      </c>
      <c r="K125" s="90">
        <v>102</v>
      </c>
    </row>
    <row r="126" spans="1:11" x14ac:dyDescent="0.25">
      <c r="A126" s="90" t="s">
        <v>279</v>
      </c>
      <c r="B126" s="90">
        <v>12</v>
      </c>
      <c r="C126" s="90">
        <v>22</v>
      </c>
      <c r="D126" s="90">
        <v>29</v>
      </c>
      <c r="E126" s="90">
        <v>55</v>
      </c>
      <c r="F126" s="90">
        <v>78</v>
      </c>
      <c r="G126" s="90">
        <v>84</v>
      </c>
      <c r="H126" s="90">
        <v>92</v>
      </c>
      <c r="I126" s="90">
        <v>102</v>
      </c>
      <c r="J126" s="90">
        <v>102</v>
      </c>
      <c r="K126" s="90">
        <v>102</v>
      </c>
    </row>
    <row r="127" spans="1:11" x14ac:dyDescent="0.25">
      <c r="A127" s="90" t="s">
        <v>278</v>
      </c>
      <c r="B127" s="90">
        <v>12</v>
      </c>
      <c r="C127" s="90">
        <v>25</v>
      </c>
      <c r="D127" s="90">
        <v>32</v>
      </c>
      <c r="E127" s="90">
        <v>57</v>
      </c>
      <c r="F127" s="90">
        <v>78</v>
      </c>
      <c r="G127" s="90">
        <v>86</v>
      </c>
      <c r="H127" s="90">
        <v>95</v>
      </c>
      <c r="I127" s="90">
        <v>102</v>
      </c>
      <c r="J127" s="90">
        <v>102</v>
      </c>
      <c r="K127" s="90">
        <v>102</v>
      </c>
    </row>
    <row r="128" spans="1:11" x14ac:dyDescent="0.25">
      <c r="A128" s="90" t="s">
        <v>277</v>
      </c>
      <c r="B128" s="90">
        <v>14</v>
      </c>
      <c r="C128" s="90">
        <v>23</v>
      </c>
      <c r="D128" s="90">
        <v>28</v>
      </c>
      <c r="E128" s="90">
        <v>50</v>
      </c>
      <c r="F128" s="90">
        <v>70</v>
      </c>
      <c r="G128" s="90">
        <v>77</v>
      </c>
      <c r="H128" s="90">
        <v>84</v>
      </c>
      <c r="I128" s="90">
        <v>93</v>
      </c>
      <c r="J128" s="90">
        <v>95</v>
      </c>
      <c r="K128" s="90">
        <v>93</v>
      </c>
    </row>
    <row r="129" spans="1:11" x14ac:dyDescent="0.25">
      <c r="A129" s="90" t="s">
        <v>276</v>
      </c>
      <c r="B129" s="90">
        <v>17</v>
      </c>
      <c r="C129" s="90">
        <v>24</v>
      </c>
      <c r="D129" s="90">
        <v>32</v>
      </c>
      <c r="E129" s="90">
        <v>55</v>
      </c>
      <c r="F129" s="90">
        <v>74</v>
      </c>
      <c r="G129" s="90">
        <v>85</v>
      </c>
      <c r="H129" s="90">
        <v>96</v>
      </c>
      <c r="I129" s="90">
        <v>102</v>
      </c>
      <c r="J129" s="90">
        <v>102</v>
      </c>
      <c r="K129" s="90">
        <v>102</v>
      </c>
    </row>
    <row r="130" spans="1:11" x14ac:dyDescent="0.25">
      <c r="A130" s="90" t="s">
        <v>275</v>
      </c>
      <c r="B130" s="90">
        <v>11</v>
      </c>
      <c r="C130" s="90">
        <v>17</v>
      </c>
      <c r="D130" s="90">
        <v>23</v>
      </c>
      <c r="E130" s="90">
        <v>47</v>
      </c>
      <c r="F130" s="90">
        <v>68</v>
      </c>
      <c r="G130" s="90">
        <v>80</v>
      </c>
      <c r="H130" s="90">
        <v>91</v>
      </c>
      <c r="I130" s="90">
        <v>102</v>
      </c>
      <c r="J130" s="90">
        <v>102</v>
      </c>
      <c r="K130" s="90">
        <v>102</v>
      </c>
    </row>
    <row r="131" spans="1:11" x14ac:dyDescent="0.25">
      <c r="A131" s="90" t="s">
        <v>274</v>
      </c>
      <c r="B131" s="90">
        <v>15</v>
      </c>
      <c r="C131" s="90">
        <v>24</v>
      </c>
      <c r="D131" s="90">
        <v>30</v>
      </c>
      <c r="E131" s="90">
        <v>53</v>
      </c>
      <c r="F131" s="90">
        <v>72</v>
      </c>
      <c r="G131" s="90">
        <v>81</v>
      </c>
      <c r="H131" s="90">
        <v>90</v>
      </c>
      <c r="I131" s="90">
        <v>99</v>
      </c>
      <c r="J131" s="90">
        <v>101</v>
      </c>
      <c r="K131" s="90">
        <v>100</v>
      </c>
    </row>
    <row r="132" spans="1:11" x14ac:dyDescent="0.25">
      <c r="A132" s="90" t="s">
        <v>273</v>
      </c>
      <c r="B132" s="90">
        <v>11</v>
      </c>
      <c r="C132" s="90">
        <v>22</v>
      </c>
      <c r="D132" s="90">
        <v>28</v>
      </c>
      <c r="E132" s="90">
        <v>50</v>
      </c>
      <c r="F132" s="90">
        <v>70</v>
      </c>
      <c r="G132" s="90">
        <v>81</v>
      </c>
      <c r="H132" s="90">
        <v>88</v>
      </c>
      <c r="I132" s="90">
        <v>98</v>
      </c>
      <c r="J132" s="90">
        <v>100</v>
      </c>
      <c r="K132" s="90">
        <v>102</v>
      </c>
    </row>
    <row r="133" spans="1:11" x14ac:dyDescent="0.25">
      <c r="A133" s="90" t="s">
        <v>272</v>
      </c>
      <c r="B133" s="90">
        <v>10</v>
      </c>
      <c r="C133" s="90">
        <v>20</v>
      </c>
      <c r="D133" s="90">
        <v>27</v>
      </c>
      <c r="E133" s="90">
        <v>51</v>
      </c>
      <c r="F133" s="90">
        <v>73</v>
      </c>
      <c r="G133" s="90">
        <v>83</v>
      </c>
      <c r="H133" s="90">
        <v>90</v>
      </c>
      <c r="I133" s="90">
        <v>100</v>
      </c>
      <c r="J133" s="90">
        <v>102</v>
      </c>
      <c r="K133" s="90">
        <v>102</v>
      </c>
    </row>
    <row r="134" spans="1:11" x14ac:dyDescent="0.25">
      <c r="A134" s="90" t="s">
        <v>271</v>
      </c>
      <c r="B134" s="90">
        <v>11</v>
      </c>
      <c r="C134" s="90">
        <v>18</v>
      </c>
      <c r="D134" s="90">
        <v>26</v>
      </c>
      <c r="E134" s="90">
        <v>51</v>
      </c>
      <c r="F134" s="90">
        <v>72</v>
      </c>
      <c r="G134" s="90">
        <v>80</v>
      </c>
      <c r="H134" s="90">
        <v>89</v>
      </c>
      <c r="I134" s="90">
        <v>94</v>
      </c>
      <c r="J134" s="90">
        <v>96</v>
      </c>
      <c r="K134" s="90">
        <v>96</v>
      </c>
    </row>
    <row r="135" spans="1:11" x14ac:dyDescent="0.25">
      <c r="A135" s="90" t="s">
        <v>270</v>
      </c>
      <c r="B135" s="90">
        <v>13</v>
      </c>
      <c r="C135" s="90">
        <v>19</v>
      </c>
      <c r="D135" s="90">
        <v>25</v>
      </c>
      <c r="E135" s="90">
        <v>51</v>
      </c>
      <c r="F135" s="90">
        <v>71</v>
      </c>
      <c r="G135" s="90">
        <v>78</v>
      </c>
      <c r="H135" s="90">
        <v>86</v>
      </c>
      <c r="I135" s="90">
        <v>90</v>
      </c>
      <c r="J135" s="90">
        <v>92</v>
      </c>
      <c r="K135" s="90">
        <v>94</v>
      </c>
    </row>
    <row r="136" spans="1:11" x14ac:dyDescent="0.25">
      <c r="A136" s="90" t="s">
        <v>269</v>
      </c>
      <c r="B136" s="90">
        <v>12</v>
      </c>
      <c r="C136" s="90">
        <v>19</v>
      </c>
      <c r="D136" s="90">
        <v>26</v>
      </c>
      <c r="E136" s="90">
        <v>50</v>
      </c>
      <c r="F136" s="90">
        <v>71</v>
      </c>
      <c r="G136" s="90">
        <v>80</v>
      </c>
      <c r="H136" s="90">
        <v>90</v>
      </c>
      <c r="I136" s="90">
        <v>97</v>
      </c>
      <c r="J136" s="90">
        <v>102</v>
      </c>
      <c r="K136" s="90">
        <v>102</v>
      </c>
    </row>
    <row r="137" spans="1:11" x14ac:dyDescent="0.25">
      <c r="A137" s="90" t="s">
        <v>268</v>
      </c>
      <c r="B137" s="90">
        <v>10</v>
      </c>
      <c r="C137" s="90">
        <v>16</v>
      </c>
      <c r="D137" s="90">
        <v>23</v>
      </c>
      <c r="E137" s="90">
        <v>44</v>
      </c>
      <c r="F137" s="90">
        <v>66</v>
      </c>
      <c r="G137" s="90">
        <v>75</v>
      </c>
      <c r="H137" s="90">
        <v>83</v>
      </c>
      <c r="I137" s="90">
        <v>89</v>
      </c>
      <c r="J137" s="90">
        <v>93</v>
      </c>
      <c r="K137" s="90">
        <v>95</v>
      </c>
    </row>
    <row r="138" spans="1:11" x14ac:dyDescent="0.25">
      <c r="A138" s="90" t="s">
        <v>267</v>
      </c>
      <c r="B138" s="90">
        <v>10</v>
      </c>
      <c r="C138" s="90">
        <v>15</v>
      </c>
      <c r="D138" s="90">
        <v>24</v>
      </c>
      <c r="E138" s="90">
        <v>46</v>
      </c>
      <c r="F138" s="90">
        <v>67</v>
      </c>
      <c r="G138" s="90">
        <v>78</v>
      </c>
      <c r="H138" s="90">
        <v>90</v>
      </c>
      <c r="I138" s="90">
        <v>99</v>
      </c>
      <c r="J138" s="90">
        <v>102</v>
      </c>
      <c r="K138" s="90">
        <v>102</v>
      </c>
    </row>
    <row r="139" spans="1:11" x14ac:dyDescent="0.25">
      <c r="A139" s="90" t="s">
        <v>266</v>
      </c>
      <c r="B139" s="90">
        <v>8</v>
      </c>
      <c r="C139" s="90">
        <v>16</v>
      </c>
      <c r="D139" s="90">
        <v>21</v>
      </c>
      <c r="E139" s="90">
        <v>45</v>
      </c>
      <c r="F139" s="90">
        <v>64</v>
      </c>
      <c r="G139" s="90">
        <v>74</v>
      </c>
      <c r="H139" s="90">
        <v>85</v>
      </c>
      <c r="I139" s="90">
        <v>96</v>
      </c>
      <c r="J139" s="90">
        <v>102</v>
      </c>
      <c r="K139" s="90">
        <v>102</v>
      </c>
    </row>
    <row r="140" spans="1:11" x14ac:dyDescent="0.25">
      <c r="A140" s="90" t="s">
        <v>265</v>
      </c>
      <c r="B140" s="90">
        <v>10</v>
      </c>
      <c r="C140" s="90">
        <v>15</v>
      </c>
      <c r="D140" s="90">
        <v>22</v>
      </c>
      <c r="E140" s="90">
        <v>45</v>
      </c>
      <c r="F140" s="90">
        <v>62</v>
      </c>
      <c r="G140" s="90">
        <v>74</v>
      </c>
      <c r="H140" s="90">
        <v>84</v>
      </c>
      <c r="I140" s="90">
        <v>93</v>
      </c>
      <c r="J140" s="90">
        <v>98</v>
      </c>
      <c r="K140" s="90">
        <v>102</v>
      </c>
    </row>
    <row r="141" spans="1:11" x14ac:dyDescent="0.25">
      <c r="A141" s="90" t="s">
        <v>264</v>
      </c>
      <c r="B141" s="90">
        <v>5</v>
      </c>
      <c r="C141" s="90">
        <v>13</v>
      </c>
      <c r="D141" s="90">
        <v>20</v>
      </c>
      <c r="E141" s="90">
        <v>40</v>
      </c>
      <c r="F141" s="90">
        <v>64</v>
      </c>
      <c r="G141" s="90">
        <v>77</v>
      </c>
      <c r="H141" s="90">
        <v>88</v>
      </c>
      <c r="I141" s="90">
        <v>102</v>
      </c>
      <c r="J141" s="90">
        <v>102</v>
      </c>
      <c r="K141" s="90">
        <v>102</v>
      </c>
    </row>
    <row r="142" spans="1:11" x14ac:dyDescent="0.25">
      <c r="A142" s="90" t="s">
        <v>263</v>
      </c>
      <c r="B142" s="90">
        <v>9</v>
      </c>
      <c r="C142" s="90">
        <v>17</v>
      </c>
      <c r="D142" s="90">
        <v>23</v>
      </c>
      <c r="E142" s="90">
        <v>44</v>
      </c>
      <c r="F142" s="90">
        <v>61</v>
      </c>
      <c r="G142" s="90">
        <v>73</v>
      </c>
      <c r="H142" s="90">
        <v>84</v>
      </c>
      <c r="I142" s="90">
        <v>96</v>
      </c>
      <c r="J142" s="90">
        <v>102</v>
      </c>
      <c r="K142" s="90">
        <v>102</v>
      </c>
    </row>
    <row r="143" spans="1:11" x14ac:dyDescent="0.25">
      <c r="A143" s="90" t="s">
        <v>262</v>
      </c>
      <c r="B143" s="90">
        <v>8</v>
      </c>
      <c r="C143" s="90">
        <v>14</v>
      </c>
      <c r="D143" s="90">
        <v>19</v>
      </c>
      <c r="E143" s="90">
        <v>45</v>
      </c>
      <c r="F143" s="90">
        <v>59</v>
      </c>
      <c r="G143" s="90">
        <v>69</v>
      </c>
      <c r="H143" s="90">
        <v>79</v>
      </c>
      <c r="I143" s="90">
        <v>88</v>
      </c>
      <c r="J143" s="90">
        <v>100</v>
      </c>
      <c r="K143" s="90">
        <v>102</v>
      </c>
    </row>
    <row r="144" spans="1:11" x14ac:dyDescent="0.25">
      <c r="A144" s="90" t="s">
        <v>261</v>
      </c>
      <c r="B144" s="90">
        <v>4</v>
      </c>
      <c r="C144" s="90">
        <v>11</v>
      </c>
      <c r="D144" s="90">
        <v>14</v>
      </c>
      <c r="E144" s="90">
        <v>41</v>
      </c>
      <c r="F144" s="90">
        <v>54</v>
      </c>
      <c r="G144" s="90">
        <v>62</v>
      </c>
      <c r="H144" s="90">
        <v>70</v>
      </c>
      <c r="I144" s="90">
        <v>80</v>
      </c>
      <c r="J144" s="90">
        <v>92</v>
      </c>
      <c r="K144" s="90">
        <v>102</v>
      </c>
    </row>
    <row r="145" spans="1:11" x14ac:dyDescent="0.25">
      <c r="A145" s="90" t="s">
        <v>260</v>
      </c>
      <c r="B145" s="90">
        <v>8</v>
      </c>
      <c r="C145" s="90">
        <v>15</v>
      </c>
      <c r="D145" s="90">
        <v>18</v>
      </c>
      <c r="E145" s="90">
        <v>44</v>
      </c>
      <c r="F145" s="90">
        <v>61</v>
      </c>
      <c r="G145" s="90">
        <v>73</v>
      </c>
      <c r="H145" s="90">
        <v>82</v>
      </c>
      <c r="I145" s="90">
        <v>94</v>
      </c>
      <c r="J145" s="90">
        <v>102</v>
      </c>
      <c r="K145" s="90">
        <v>102</v>
      </c>
    </row>
    <row r="146" spans="1:11" x14ac:dyDescent="0.25">
      <c r="A146" s="90" t="s">
        <v>259</v>
      </c>
      <c r="B146" s="90">
        <v>12</v>
      </c>
      <c r="C146" s="90">
        <v>17</v>
      </c>
      <c r="D146" s="90">
        <v>26</v>
      </c>
      <c r="E146" s="90">
        <v>50</v>
      </c>
      <c r="F146" s="90">
        <v>68</v>
      </c>
      <c r="G146" s="90">
        <v>79</v>
      </c>
      <c r="H146" s="90">
        <v>89</v>
      </c>
      <c r="I146" s="90">
        <v>101</v>
      </c>
      <c r="J146" s="90">
        <v>102</v>
      </c>
      <c r="K146" s="90">
        <v>102</v>
      </c>
    </row>
    <row r="147" spans="1:11" x14ac:dyDescent="0.25">
      <c r="A147" s="90" t="s">
        <v>258</v>
      </c>
      <c r="B147" s="90">
        <v>9</v>
      </c>
      <c r="C147" s="90">
        <v>14</v>
      </c>
      <c r="D147" s="90">
        <v>23</v>
      </c>
      <c r="E147" s="90">
        <v>47</v>
      </c>
      <c r="F147" s="90">
        <v>62</v>
      </c>
      <c r="G147" s="90">
        <v>71</v>
      </c>
      <c r="H147" s="90">
        <v>78</v>
      </c>
      <c r="I147" s="90">
        <v>89</v>
      </c>
      <c r="J147" s="90">
        <v>99</v>
      </c>
      <c r="K147" s="90">
        <v>102</v>
      </c>
    </row>
    <row r="148" spans="1:11" x14ac:dyDescent="0.25">
      <c r="A148" s="90" t="s">
        <v>257</v>
      </c>
      <c r="B148" s="90">
        <v>7</v>
      </c>
      <c r="C148" s="90">
        <v>12</v>
      </c>
      <c r="D148" s="90">
        <v>20</v>
      </c>
      <c r="E148" s="90">
        <v>44</v>
      </c>
      <c r="F148" s="90">
        <v>60</v>
      </c>
      <c r="G148" s="90">
        <v>68</v>
      </c>
      <c r="H148" s="90">
        <v>76</v>
      </c>
      <c r="I148" s="90">
        <v>86</v>
      </c>
      <c r="J148" s="90">
        <v>98</v>
      </c>
      <c r="K148" s="90">
        <v>102</v>
      </c>
    </row>
    <row r="149" spans="1:11" x14ac:dyDescent="0.25">
      <c r="A149" s="90" t="s">
        <v>256</v>
      </c>
      <c r="B149" s="90">
        <v>5</v>
      </c>
      <c r="C149" s="90">
        <v>10</v>
      </c>
      <c r="D149" s="90">
        <v>16</v>
      </c>
      <c r="E149" s="90">
        <v>42</v>
      </c>
      <c r="F149" s="90">
        <v>58</v>
      </c>
      <c r="G149" s="90">
        <v>63</v>
      </c>
      <c r="H149" s="90">
        <v>70</v>
      </c>
      <c r="I149" s="90">
        <v>79</v>
      </c>
      <c r="J149" s="90">
        <v>88</v>
      </c>
      <c r="K149" s="90">
        <v>95</v>
      </c>
    </row>
    <row r="150" spans="1:11" x14ac:dyDescent="0.25">
      <c r="A150" s="90" t="s">
        <v>255</v>
      </c>
      <c r="B150" s="90">
        <v>8</v>
      </c>
      <c r="C150" s="90">
        <v>13</v>
      </c>
      <c r="D150" s="90">
        <v>21</v>
      </c>
      <c r="E150" s="90">
        <v>47</v>
      </c>
      <c r="F150" s="90">
        <v>62</v>
      </c>
      <c r="G150" s="90">
        <v>70</v>
      </c>
      <c r="H150" s="90">
        <v>79</v>
      </c>
      <c r="I150" s="90">
        <v>88</v>
      </c>
      <c r="J150" s="90">
        <v>92</v>
      </c>
      <c r="K150" s="90">
        <v>90</v>
      </c>
    </row>
    <row r="151" spans="1:11" x14ac:dyDescent="0.25">
      <c r="A151" s="90" t="s">
        <v>254</v>
      </c>
      <c r="B151" s="90">
        <v>12</v>
      </c>
      <c r="C151" s="90">
        <v>19</v>
      </c>
      <c r="D151" s="90">
        <v>22</v>
      </c>
      <c r="E151" s="90">
        <v>48</v>
      </c>
      <c r="F151" s="90">
        <v>64</v>
      </c>
      <c r="G151" s="90">
        <v>74</v>
      </c>
      <c r="H151" s="90">
        <v>85</v>
      </c>
      <c r="I151" s="90">
        <v>95</v>
      </c>
      <c r="J151" s="90">
        <v>99</v>
      </c>
      <c r="K151" s="90">
        <v>98</v>
      </c>
    </row>
    <row r="152" spans="1:11" x14ac:dyDescent="0.25">
      <c r="A152" s="90" t="s">
        <v>253</v>
      </c>
      <c r="B152" s="90">
        <v>17</v>
      </c>
      <c r="C152" s="90">
        <v>24</v>
      </c>
      <c r="D152" s="90">
        <v>30</v>
      </c>
      <c r="E152" s="90">
        <v>51</v>
      </c>
      <c r="F152" s="90">
        <v>73</v>
      </c>
      <c r="G152" s="90">
        <v>80</v>
      </c>
      <c r="H152" s="90">
        <v>89</v>
      </c>
      <c r="I152" s="90">
        <v>90</v>
      </c>
      <c r="J152" s="90">
        <v>93</v>
      </c>
      <c r="K152" s="90">
        <v>96</v>
      </c>
    </row>
    <row r="153" spans="1:11" x14ac:dyDescent="0.25">
      <c r="A153" s="90" t="s">
        <v>252</v>
      </c>
      <c r="B153" s="90">
        <v>15</v>
      </c>
      <c r="C153" s="90">
        <v>22</v>
      </c>
      <c r="D153" s="90">
        <v>29</v>
      </c>
      <c r="E153" s="90">
        <v>50</v>
      </c>
      <c r="F153" s="90">
        <v>71</v>
      </c>
      <c r="G153" s="90">
        <v>79</v>
      </c>
      <c r="H153" s="90">
        <v>87</v>
      </c>
      <c r="I153" s="90">
        <v>87</v>
      </c>
      <c r="J153" s="90">
        <v>88</v>
      </c>
      <c r="K153" s="90">
        <v>89</v>
      </c>
    </row>
    <row r="154" spans="1:11" x14ac:dyDescent="0.25">
      <c r="A154" s="90" t="s">
        <v>251</v>
      </c>
      <c r="B154" s="90">
        <v>17</v>
      </c>
      <c r="C154" s="90">
        <v>27</v>
      </c>
      <c r="D154" s="90">
        <v>32</v>
      </c>
      <c r="E154" s="90">
        <v>52</v>
      </c>
      <c r="F154" s="90">
        <v>75</v>
      </c>
      <c r="G154" s="90">
        <v>81</v>
      </c>
      <c r="H154" s="90">
        <v>90</v>
      </c>
      <c r="I154" s="90">
        <v>91</v>
      </c>
      <c r="J154" s="90">
        <v>93</v>
      </c>
      <c r="K154" s="90">
        <v>93</v>
      </c>
    </row>
    <row r="155" spans="1:11" x14ac:dyDescent="0.25">
      <c r="A155" s="90" t="s">
        <v>250</v>
      </c>
      <c r="B155" s="90">
        <v>20</v>
      </c>
      <c r="C155" s="90">
        <v>27</v>
      </c>
      <c r="D155" s="90">
        <v>33</v>
      </c>
      <c r="E155" s="90">
        <v>52</v>
      </c>
      <c r="F155" s="90">
        <v>77</v>
      </c>
      <c r="G155" s="90">
        <v>85</v>
      </c>
      <c r="H155" s="90">
        <v>94</v>
      </c>
      <c r="I155" s="90">
        <v>101</v>
      </c>
      <c r="J155" s="90">
        <v>102</v>
      </c>
      <c r="K155" s="90">
        <v>102</v>
      </c>
    </row>
    <row r="156" spans="1:11" x14ac:dyDescent="0.25">
      <c r="A156" s="90" t="s">
        <v>249</v>
      </c>
      <c r="B156" s="90">
        <v>15</v>
      </c>
      <c r="C156" s="90">
        <v>24</v>
      </c>
      <c r="D156" s="90">
        <v>31</v>
      </c>
      <c r="E156" s="90">
        <v>50</v>
      </c>
      <c r="F156" s="90">
        <v>73</v>
      </c>
      <c r="G156" s="90">
        <v>82</v>
      </c>
      <c r="H156" s="90">
        <v>93</v>
      </c>
      <c r="I156" s="90">
        <v>102</v>
      </c>
      <c r="J156" s="90">
        <v>102</v>
      </c>
      <c r="K156" s="90">
        <v>102</v>
      </c>
    </row>
    <row r="157" spans="1:11" x14ac:dyDescent="0.25">
      <c r="A157" s="90" t="s">
        <v>248</v>
      </c>
      <c r="B157" s="90">
        <v>9</v>
      </c>
      <c r="C157" s="90">
        <v>14</v>
      </c>
      <c r="D157" s="90">
        <v>20</v>
      </c>
      <c r="E157" s="90">
        <v>43</v>
      </c>
      <c r="F157" s="90">
        <v>60</v>
      </c>
      <c r="G157" s="90">
        <v>69</v>
      </c>
      <c r="H157" s="90">
        <v>77</v>
      </c>
      <c r="I157" s="90">
        <v>89</v>
      </c>
      <c r="J157" s="90">
        <v>95</v>
      </c>
      <c r="K157" s="90">
        <v>102</v>
      </c>
    </row>
    <row r="158" spans="1:11" x14ac:dyDescent="0.25">
      <c r="A158" s="90" t="s">
        <v>247</v>
      </c>
      <c r="B158" s="90">
        <v>11</v>
      </c>
      <c r="C158" s="90">
        <v>20</v>
      </c>
      <c r="D158" s="90">
        <v>28</v>
      </c>
      <c r="E158" s="90">
        <v>48</v>
      </c>
      <c r="F158" s="90">
        <v>68</v>
      </c>
      <c r="G158" s="90">
        <v>77</v>
      </c>
      <c r="H158" s="90">
        <v>86</v>
      </c>
      <c r="I158" s="90">
        <v>94</v>
      </c>
      <c r="J158" s="90">
        <v>96</v>
      </c>
      <c r="K158" s="90">
        <v>99</v>
      </c>
    </row>
    <row r="159" spans="1:11" x14ac:dyDescent="0.25">
      <c r="A159" s="90" t="s">
        <v>246</v>
      </c>
      <c r="B159" s="90">
        <v>15</v>
      </c>
      <c r="C159" s="90">
        <v>26</v>
      </c>
      <c r="D159" s="90">
        <v>32</v>
      </c>
      <c r="E159" s="90">
        <v>51</v>
      </c>
      <c r="F159" s="90">
        <v>73</v>
      </c>
      <c r="G159" s="90">
        <v>83</v>
      </c>
      <c r="H159" s="90">
        <v>90</v>
      </c>
      <c r="I159" s="90">
        <v>102</v>
      </c>
      <c r="J159" s="90">
        <v>102</v>
      </c>
      <c r="K159" s="90">
        <v>102</v>
      </c>
    </row>
    <row r="160" spans="1:11" x14ac:dyDescent="0.25">
      <c r="A160" s="90" t="s">
        <v>245</v>
      </c>
      <c r="B160" s="90">
        <v>8</v>
      </c>
      <c r="C160" s="90">
        <v>12</v>
      </c>
      <c r="D160" s="90">
        <v>20</v>
      </c>
      <c r="E160" s="90">
        <v>43</v>
      </c>
      <c r="F160" s="90">
        <v>63</v>
      </c>
      <c r="G160" s="90">
        <v>72</v>
      </c>
      <c r="H160" s="90">
        <v>83</v>
      </c>
      <c r="I160" s="90">
        <v>92</v>
      </c>
      <c r="J160" s="90">
        <v>102</v>
      </c>
      <c r="K160" s="90">
        <v>102</v>
      </c>
    </row>
    <row r="161" spans="1:11" x14ac:dyDescent="0.25">
      <c r="A161" s="90" t="s">
        <v>244</v>
      </c>
      <c r="B161" s="90">
        <v>10</v>
      </c>
      <c r="C161" s="90">
        <v>20</v>
      </c>
      <c r="D161" s="90">
        <v>26</v>
      </c>
      <c r="E161" s="90">
        <v>46</v>
      </c>
      <c r="F161" s="90">
        <v>68</v>
      </c>
      <c r="G161" s="90">
        <v>78</v>
      </c>
      <c r="H161" s="90">
        <v>90</v>
      </c>
      <c r="I161" s="90">
        <v>100</v>
      </c>
      <c r="J161" s="90">
        <v>102</v>
      </c>
      <c r="K161" s="90">
        <v>102</v>
      </c>
    </row>
    <row r="162" spans="1:11" x14ac:dyDescent="0.25">
      <c r="A162" s="90" t="s">
        <v>243</v>
      </c>
      <c r="B162" s="90">
        <v>11</v>
      </c>
      <c r="C162" s="90">
        <v>20</v>
      </c>
      <c r="D162" s="90">
        <v>24</v>
      </c>
      <c r="E162" s="90">
        <v>46</v>
      </c>
      <c r="F162" s="90">
        <v>70</v>
      </c>
      <c r="G162" s="90">
        <v>80</v>
      </c>
      <c r="H162" s="90">
        <v>91</v>
      </c>
      <c r="I162" s="90">
        <v>102</v>
      </c>
      <c r="J162" s="90">
        <v>102</v>
      </c>
      <c r="K162" s="90">
        <v>102</v>
      </c>
    </row>
    <row r="163" spans="1:11" x14ac:dyDescent="0.25">
      <c r="A163" s="90" t="s">
        <v>242</v>
      </c>
      <c r="B163" s="90">
        <v>9</v>
      </c>
      <c r="C163" s="90">
        <v>18</v>
      </c>
      <c r="D163" s="90">
        <v>23</v>
      </c>
      <c r="E163" s="90">
        <v>47</v>
      </c>
      <c r="F163" s="90">
        <v>68</v>
      </c>
      <c r="G163" s="90">
        <v>75</v>
      </c>
      <c r="H163" s="90">
        <v>82</v>
      </c>
      <c r="I163" s="90">
        <v>89</v>
      </c>
      <c r="J163" s="90">
        <v>92</v>
      </c>
      <c r="K163" s="90">
        <v>91</v>
      </c>
    </row>
    <row r="164" spans="1:11" x14ac:dyDescent="0.25">
      <c r="A164" s="90" t="s">
        <v>241</v>
      </c>
      <c r="B164" s="90">
        <v>11</v>
      </c>
      <c r="C164" s="90">
        <v>22</v>
      </c>
      <c r="D164" s="90">
        <v>25</v>
      </c>
      <c r="E164" s="90">
        <v>47</v>
      </c>
      <c r="F164" s="90">
        <v>68</v>
      </c>
      <c r="G164" s="90">
        <v>76</v>
      </c>
      <c r="H164" s="90">
        <v>82</v>
      </c>
      <c r="I164" s="90">
        <v>90</v>
      </c>
      <c r="J164" s="90">
        <v>93</v>
      </c>
      <c r="K164" s="90">
        <v>95</v>
      </c>
    </row>
    <row r="165" spans="1:11" x14ac:dyDescent="0.25">
      <c r="A165" s="90" t="s">
        <v>240</v>
      </c>
      <c r="B165" s="90">
        <v>17</v>
      </c>
      <c r="C165" s="90">
        <v>28</v>
      </c>
      <c r="D165" s="90">
        <v>35</v>
      </c>
      <c r="E165" s="90">
        <v>54</v>
      </c>
      <c r="F165" s="90">
        <v>75</v>
      </c>
      <c r="G165" s="90">
        <v>84</v>
      </c>
      <c r="H165" s="90">
        <v>92</v>
      </c>
      <c r="I165" s="90">
        <v>101</v>
      </c>
      <c r="J165" s="90">
        <v>102</v>
      </c>
      <c r="K165" s="90">
        <v>102</v>
      </c>
    </row>
    <row r="166" spans="1:11" x14ac:dyDescent="0.25">
      <c r="A166" s="90" t="s">
        <v>239</v>
      </c>
      <c r="B166" s="90">
        <v>7</v>
      </c>
      <c r="C166" s="90">
        <v>14</v>
      </c>
      <c r="D166" s="90">
        <v>21</v>
      </c>
      <c r="E166" s="90">
        <v>43</v>
      </c>
      <c r="F166" s="90">
        <v>64</v>
      </c>
      <c r="G166" s="90">
        <v>71</v>
      </c>
      <c r="H166" s="90">
        <v>79</v>
      </c>
      <c r="I166" s="90">
        <v>85</v>
      </c>
      <c r="J166" s="90">
        <v>87</v>
      </c>
      <c r="K166" s="90">
        <v>90</v>
      </c>
    </row>
    <row r="167" spans="1:11" x14ac:dyDescent="0.25">
      <c r="A167" s="90" t="s">
        <v>238</v>
      </c>
      <c r="B167" s="90">
        <v>13</v>
      </c>
      <c r="C167" s="90">
        <v>22</v>
      </c>
      <c r="D167" s="90">
        <v>28</v>
      </c>
      <c r="E167" s="90">
        <v>48</v>
      </c>
      <c r="F167" s="90">
        <v>65</v>
      </c>
      <c r="G167" s="90">
        <v>70</v>
      </c>
      <c r="H167" s="90">
        <v>81</v>
      </c>
      <c r="I167" s="90">
        <v>89</v>
      </c>
      <c r="J167" s="90">
        <v>95</v>
      </c>
      <c r="K167" s="90">
        <v>102</v>
      </c>
    </row>
    <row r="168" spans="1:11" x14ac:dyDescent="0.25">
      <c r="A168" s="90" t="s">
        <v>237</v>
      </c>
      <c r="B168" s="90">
        <v>16</v>
      </c>
      <c r="C168" s="90">
        <v>25</v>
      </c>
      <c r="D168" s="90">
        <v>31</v>
      </c>
      <c r="E168" s="90">
        <v>53</v>
      </c>
      <c r="F168" s="90">
        <v>69</v>
      </c>
      <c r="G168" s="90">
        <v>76</v>
      </c>
      <c r="H168" s="90">
        <v>86</v>
      </c>
      <c r="I168" s="90">
        <v>93</v>
      </c>
      <c r="J168" s="90">
        <v>98</v>
      </c>
      <c r="K168" s="90">
        <v>102</v>
      </c>
    </row>
    <row r="169" spans="1:11" x14ac:dyDescent="0.25">
      <c r="A169" s="90" t="s">
        <v>236</v>
      </c>
      <c r="B169" s="90">
        <v>13</v>
      </c>
      <c r="C169" s="90">
        <v>22</v>
      </c>
      <c r="D169" s="90">
        <v>30</v>
      </c>
      <c r="E169" s="90">
        <v>52</v>
      </c>
      <c r="F169" s="90">
        <v>69</v>
      </c>
      <c r="G169" s="90">
        <v>75</v>
      </c>
      <c r="H169" s="90">
        <v>86</v>
      </c>
      <c r="I169" s="90">
        <v>94</v>
      </c>
      <c r="J169" s="90">
        <v>100</v>
      </c>
      <c r="K169" s="90">
        <v>102</v>
      </c>
    </row>
    <row r="170" spans="1:11" x14ac:dyDescent="0.25">
      <c r="A170" s="90" t="s">
        <v>235</v>
      </c>
      <c r="B170" s="90">
        <v>13</v>
      </c>
      <c r="C170" s="90">
        <v>21</v>
      </c>
      <c r="D170" s="90">
        <v>29</v>
      </c>
      <c r="E170" s="90">
        <v>50</v>
      </c>
      <c r="F170" s="90">
        <v>68</v>
      </c>
      <c r="G170" s="90">
        <v>77</v>
      </c>
      <c r="H170" s="90">
        <v>89</v>
      </c>
      <c r="I170" s="90">
        <v>99</v>
      </c>
      <c r="J170" s="90">
        <v>102</v>
      </c>
      <c r="K170" s="90">
        <v>102</v>
      </c>
    </row>
    <row r="171" spans="1:11" x14ac:dyDescent="0.25">
      <c r="A171" s="90" t="s">
        <v>234</v>
      </c>
      <c r="B171" s="90">
        <v>13</v>
      </c>
      <c r="C171" s="90">
        <v>23</v>
      </c>
      <c r="D171" s="90">
        <v>30</v>
      </c>
      <c r="E171" s="90">
        <v>51</v>
      </c>
      <c r="F171" s="90">
        <v>67</v>
      </c>
      <c r="G171" s="90">
        <v>77</v>
      </c>
      <c r="H171" s="90">
        <v>87</v>
      </c>
      <c r="I171" s="90">
        <v>96</v>
      </c>
      <c r="J171" s="90">
        <v>102</v>
      </c>
      <c r="K171" s="90">
        <v>102</v>
      </c>
    </row>
    <row r="172" spans="1:11" x14ac:dyDescent="0.25">
      <c r="A172" s="90" t="s">
        <v>233</v>
      </c>
      <c r="B172" s="90">
        <v>11</v>
      </c>
      <c r="C172" s="90">
        <v>17</v>
      </c>
      <c r="D172" s="90">
        <v>26</v>
      </c>
      <c r="E172" s="90">
        <v>51</v>
      </c>
      <c r="F172" s="90">
        <v>65</v>
      </c>
      <c r="G172" s="90">
        <v>74</v>
      </c>
      <c r="H172" s="90">
        <v>85</v>
      </c>
      <c r="I172" s="90">
        <v>97</v>
      </c>
      <c r="J172" s="90">
        <v>102</v>
      </c>
      <c r="K172" s="90">
        <v>102</v>
      </c>
    </row>
    <row r="173" spans="1:11" x14ac:dyDescent="0.25">
      <c r="A173" s="90" t="s">
        <v>232</v>
      </c>
      <c r="B173" s="90">
        <v>12</v>
      </c>
      <c r="C173" s="90">
        <v>20</v>
      </c>
      <c r="D173" s="90">
        <v>25</v>
      </c>
      <c r="E173" s="90">
        <v>49</v>
      </c>
      <c r="F173" s="90">
        <v>64</v>
      </c>
      <c r="G173" s="90">
        <v>72</v>
      </c>
      <c r="H173" s="90">
        <v>82</v>
      </c>
      <c r="I173" s="90">
        <v>93</v>
      </c>
      <c r="J173" s="90">
        <v>100</v>
      </c>
      <c r="K173" s="90">
        <v>102</v>
      </c>
    </row>
    <row r="174" spans="1:11" x14ac:dyDescent="0.25">
      <c r="A174" s="90" t="s">
        <v>231</v>
      </c>
      <c r="B174" s="90">
        <v>16</v>
      </c>
      <c r="C174" s="90">
        <v>23</v>
      </c>
      <c r="D174" s="90">
        <v>32</v>
      </c>
      <c r="E174" s="90">
        <v>53</v>
      </c>
      <c r="F174" s="90">
        <v>68</v>
      </c>
      <c r="G174" s="90">
        <v>74</v>
      </c>
      <c r="H174" s="90">
        <v>85</v>
      </c>
      <c r="I174" s="90">
        <v>99</v>
      </c>
      <c r="J174" s="90">
        <v>102</v>
      </c>
      <c r="K174" s="90">
        <v>102</v>
      </c>
    </row>
    <row r="175" spans="1:11" x14ac:dyDescent="0.25">
      <c r="A175" s="90" t="s">
        <v>230</v>
      </c>
      <c r="B175" s="90">
        <v>17</v>
      </c>
      <c r="C175" s="90">
        <v>26</v>
      </c>
      <c r="D175" s="90">
        <v>33</v>
      </c>
      <c r="E175" s="90">
        <v>55</v>
      </c>
      <c r="F175" s="90">
        <v>69</v>
      </c>
      <c r="G175" s="90">
        <v>76</v>
      </c>
      <c r="H175" s="90">
        <v>88</v>
      </c>
      <c r="I175" s="90">
        <v>100</v>
      </c>
      <c r="J175" s="90">
        <v>102</v>
      </c>
      <c r="K175" s="90">
        <v>102</v>
      </c>
    </row>
    <row r="176" spans="1:11" x14ac:dyDescent="0.25">
      <c r="A176" s="90" t="s">
        <v>229</v>
      </c>
      <c r="B176" s="90">
        <v>16</v>
      </c>
      <c r="C176" s="90">
        <v>28</v>
      </c>
      <c r="D176" s="90">
        <v>32</v>
      </c>
      <c r="E176" s="90">
        <v>53</v>
      </c>
      <c r="F176" s="90">
        <v>67</v>
      </c>
      <c r="G176" s="90">
        <v>73</v>
      </c>
      <c r="H176" s="90">
        <v>85</v>
      </c>
      <c r="I176" s="90">
        <v>95</v>
      </c>
      <c r="J176" s="90">
        <v>102</v>
      </c>
      <c r="K176" s="90">
        <v>102</v>
      </c>
    </row>
    <row r="177" spans="1:11" x14ac:dyDescent="0.25">
      <c r="A177" s="90" t="s">
        <v>228</v>
      </c>
      <c r="B177" s="90">
        <v>12</v>
      </c>
      <c r="C177" s="90">
        <v>23</v>
      </c>
      <c r="D177" s="90">
        <v>28</v>
      </c>
      <c r="E177" s="90">
        <v>48</v>
      </c>
      <c r="F177" s="90">
        <v>64</v>
      </c>
      <c r="G177" s="90">
        <v>70</v>
      </c>
      <c r="H177" s="90">
        <v>78</v>
      </c>
      <c r="I177" s="90">
        <v>87</v>
      </c>
      <c r="J177" s="90">
        <v>96</v>
      </c>
      <c r="K177" s="90">
        <v>102</v>
      </c>
    </row>
    <row r="178" spans="1:11" x14ac:dyDescent="0.25">
      <c r="A178" s="90" t="s">
        <v>227</v>
      </c>
      <c r="B178" s="90">
        <v>15</v>
      </c>
      <c r="C178" s="90">
        <v>26</v>
      </c>
      <c r="D178" s="90">
        <v>32</v>
      </c>
      <c r="E178" s="90">
        <v>53</v>
      </c>
      <c r="F178" s="90">
        <v>68</v>
      </c>
      <c r="G178" s="90">
        <v>77</v>
      </c>
      <c r="H178" s="90">
        <v>84</v>
      </c>
      <c r="I178" s="90">
        <v>94</v>
      </c>
      <c r="J178" s="90">
        <v>102</v>
      </c>
      <c r="K178" s="90">
        <v>102</v>
      </c>
    </row>
    <row r="179" spans="1:11" x14ac:dyDescent="0.25">
      <c r="A179" s="90" t="s">
        <v>226</v>
      </c>
      <c r="B179" s="90">
        <v>9</v>
      </c>
      <c r="C179" s="90">
        <v>19</v>
      </c>
      <c r="D179" s="90">
        <v>26</v>
      </c>
      <c r="E179" s="90">
        <v>47</v>
      </c>
      <c r="F179" s="90">
        <v>63</v>
      </c>
      <c r="G179" s="90">
        <v>71</v>
      </c>
      <c r="H179" s="90">
        <v>77</v>
      </c>
      <c r="I179" s="90">
        <v>85</v>
      </c>
      <c r="J179" s="90">
        <v>94</v>
      </c>
      <c r="K179" s="90">
        <v>99</v>
      </c>
    </row>
    <row r="180" spans="1:11" x14ac:dyDescent="0.25">
      <c r="A180" s="90" t="s">
        <v>225</v>
      </c>
      <c r="B180" s="90">
        <v>7</v>
      </c>
      <c r="C180" s="90">
        <v>16</v>
      </c>
      <c r="D180" s="90">
        <v>22</v>
      </c>
      <c r="E180" s="90">
        <v>43</v>
      </c>
      <c r="F180" s="90">
        <v>60</v>
      </c>
      <c r="G180" s="90">
        <v>67</v>
      </c>
      <c r="H180" s="90">
        <v>72</v>
      </c>
      <c r="I180" s="90">
        <v>80</v>
      </c>
      <c r="J180" s="90">
        <v>87</v>
      </c>
      <c r="K180" s="90">
        <v>90</v>
      </c>
    </row>
    <row r="181" spans="1:11" x14ac:dyDescent="0.25">
      <c r="A181" s="90" t="s">
        <v>224</v>
      </c>
      <c r="B181" s="90">
        <v>10</v>
      </c>
      <c r="C181" s="90">
        <v>19</v>
      </c>
      <c r="D181" s="90">
        <v>26</v>
      </c>
      <c r="E181" s="90">
        <v>46</v>
      </c>
      <c r="F181" s="90">
        <v>65</v>
      </c>
      <c r="G181" s="90">
        <v>71</v>
      </c>
      <c r="H181" s="90">
        <v>78</v>
      </c>
      <c r="I181" s="90">
        <v>85</v>
      </c>
      <c r="J181" s="90">
        <v>89</v>
      </c>
      <c r="K181" s="90">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29D7C-561F-4915-8CE5-DEAC786E5332}">
  <dimension ref="A1:B181"/>
  <sheetViews>
    <sheetView workbookViewId="0">
      <selection sqref="A1:A1048576"/>
    </sheetView>
  </sheetViews>
  <sheetFormatPr defaultRowHeight="15" x14ac:dyDescent="0.25"/>
  <cols>
    <col min="1" max="1" width="9.140625" style="90"/>
    <col min="2" max="2" width="9.140625" style="127"/>
  </cols>
  <sheetData>
    <row r="1" spans="1:2" x14ac:dyDescent="0.25">
      <c r="A1" s="91" t="s">
        <v>414</v>
      </c>
      <c r="B1" s="127" t="s">
        <v>423</v>
      </c>
    </row>
    <row r="2" spans="1:2" x14ac:dyDescent="0.25">
      <c r="A2" s="90" t="s">
        <v>403</v>
      </c>
      <c r="B2" s="128">
        <v>8.3114610673665794</v>
      </c>
    </row>
    <row r="3" spans="1:2" x14ac:dyDescent="0.25">
      <c r="A3" s="90" t="s">
        <v>402</v>
      </c>
      <c r="B3" s="128">
        <v>8.530183727034121</v>
      </c>
    </row>
    <row r="4" spans="1:2" x14ac:dyDescent="0.25">
      <c r="A4" s="90" t="s">
        <v>401</v>
      </c>
      <c r="B4" s="128">
        <v>6.7804024496937885</v>
      </c>
    </row>
    <row r="5" spans="1:2" x14ac:dyDescent="0.25">
      <c r="A5" s="90" t="s">
        <v>400</v>
      </c>
      <c r="B5" s="128">
        <v>7.2178477690288716</v>
      </c>
    </row>
    <row r="6" spans="1:2" x14ac:dyDescent="0.25">
      <c r="A6" s="90" t="s">
        <v>399</v>
      </c>
      <c r="B6" s="128">
        <v>8.0927384076990379</v>
      </c>
    </row>
    <row r="7" spans="1:2" x14ac:dyDescent="0.25">
      <c r="A7" s="90" t="s">
        <v>398</v>
      </c>
      <c r="B7" s="128">
        <v>8.530183727034121</v>
      </c>
    </row>
    <row r="8" spans="1:2" x14ac:dyDescent="0.25">
      <c r="A8" s="90" t="s">
        <v>397</v>
      </c>
      <c r="B8" s="128">
        <v>7.8740157480314963</v>
      </c>
    </row>
    <row r="9" spans="1:2" x14ac:dyDescent="0.25">
      <c r="A9" s="90" t="s">
        <v>396</v>
      </c>
      <c r="B9" s="128">
        <v>8.9676290463692041</v>
      </c>
    </row>
    <row r="10" spans="1:2" x14ac:dyDescent="0.25">
      <c r="A10" s="90" t="s">
        <v>395</v>
      </c>
      <c r="B10" s="128">
        <v>6.99912510936133</v>
      </c>
    </row>
    <row r="11" spans="1:2" x14ac:dyDescent="0.25">
      <c r="A11" s="90" t="s">
        <v>394</v>
      </c>
      <c r="B11" s="128">
        <v>6.99912510936133</v>
      </c>
    </row>
    <row r="12" spans="1:2" x14ac:dyDescent="0.25">
      <c r="A12" s="90" t="s">
        <v>393</v>
      </c>
      <c r="B12" s="128">
        <v>8.9676290463692041</v>
      </c>
    </row>
    <row r="13" spans="1:2" x14ac:dyDescent="0.25">
      <c r="A13" s="90" t="s">
        <v>392</v>
      </c>
      <c r="B13" s="128">
        <v>8.3114610673665794</v>
      </c>
    </row>
    <row r="14" spans="1:2" x14ac:dyDescent="0.25">
      <c r="A14" s="90" t="s">
        <v>391</v>
      </c>
      <c r="B14" s="128">
        <v>8.7489063867016625</v>
      </c>
    </row>
    <row r="15" spans="1:2" x14ac:dyDescent="0.25">
      <c r="A15" s="90" t="s">
        <v>390</v>
      </c>
      <c r="B15" s="128">
        <v>10.279965004374453</v>
      </c>
    </row>
    <row r="16" spans="1:2" x14ac:dyDescent="0.25">
      <c r="A16" s="90" t="s">
        <v>389</v>
      </c>
      <c r="B16" s="128">
        <v>9.1863517060367457</v>
      </c>
    </row>
    <row r="17" spans="1:2" x14ac:dyDescent="0.25">
      <c r="A17" s="90" t="s">
        <v>388</v>
      </c>
      <c r="B17" s="128">
        <v>6.5616797900262469</v>
      </c>
    </row>
    <row r="18" spans="1:2" x14ac:dyDescent="0.25">
      <c r="A18" s="90" t="s">
        <v>387</v>
      </c>
      <c r="B18" s="128">
        <v>8.9676290463692041</v>
      </c>
    </row>
    <row r="19" spans="1:2" x14ac:dyDescent="0.25">
      <c r="A19" s="90" t="s">
        <v>386</v>
      </c>
      <c r="B19" s="128">
        <v>8.530183727034121</v>
      </c>
    </row>
    <row r="20" spans="1:2" x14ac:dyDescent="0.25">
      <c r="A20" s="90" t="s">
        <v>385</v>
      </c>
      <c r="B20" s="128">
        <v>9.4050743657042872</v>
      </c>
    </row>
    <row r="21" spans="1:2" x14ac:dyDescent="0.25">
      <c r="A21" s="90" t="s">
        <v>384</v>
      </c>
      <c r="B21" s="128">
        <v>9.4050743657042872</v>
      </c>
    </row>
    <row r="22" spans="1:2" x14ac:dyDescent="0.25">
      <c r="A22" s="90" t="s">
        <v>383</v>
      </c>
      <c r="B22" s="128">
        <v>6.3429571303587053</v>
      </c>
    </row>
    <row r="23" spans="1:2" x14ac:dyDescent="0.25">
      <c r="A23" s="90" t="s">
        <v>382</v>
      </c>
      <c r="B23" s="128">
        <v>6.5616797900262469</v>
      </c>
    </row>
    <row r="24" spans="1:2" x14ac:dyDescent="0.25">
      <c r="A24" s="90" t="s">
        <v>381</v>
      </c>
      <c r="B24" s="128">
        <v>6.99912510936133</v>
      </c>
    </row>
    <row r="25" spans="1:2" x14ac:dyDescent="0.25">
      <c r="A25" s="90" t="s">
        <v>380</v>
      </c>
      <c r="B25" s="128">
        <v>7.4365704286964132</v>
      </c>
    </row>
    <row r="26" spans="1:2" x14ac:dyDescent="0.25">
      <c r="A26" s="90" t="s">
        <v>379</v>
      </c>
      <c r="B26" s="128">
        <v>5.6867891513560807</v>
      </c>
    </row>
    <row r="27" spans="1:2" x14ac:dyDescent="0.25">
      <c r="A27" s="90" t="s">
        <v>378</v>
      </c>
      <c r="B27" s="128">
        <v>6.7804024496937885</v>
      </c>
    </row>
    <row r="28" spans="1:2" x14ac:dyDescent="0.25">
      <c r="A28" s="90" t="s">
        <v>377</v>
      </c>
      <c r="B28" s="128">
        <v>9.8425196850393704</v>
      </c>
    </row>
    <row r="29" spans="1:2" x14ac:dyDescent="0.25">
      <c r="A29" s="90" t="s">
        <v>376</v>
      </c>
      <c r="B29" s="128">
        <v>6.1242344706911638</v>
      </c>
    </row>
    <row r="30" spans="1:2" x14ac:dyDescent="0.25">
      <c r="A30" s="90" t="s">
        <v>375</v>
      </c>
      <c r="B30" s="128">
        <v>10.061242344706912</v>
      </c>
    </row>
    <row r="31" spans="1:2" x14ac:dyDescent="0.25">
      <c r="A31" s="90" t="s">
        <v>374</v>
      </c>
      <c r="B31" s="128">
        <v>7.4365704286964132</v>
      </c>
    </row>
    <row r="32" spans="1:2" x14ac:dyDescent="0.25">
      <c r="A32" s="90" t="s">
        <v>373</v>
      </c>
      <c r="B32" s="128">
        <v>10.498687664041995</v>
      </c>
    </row>
    <row r="33" spans="1:2" x14ac:dyDescent="0.25">
      <c r="A33" s="90" t="s">
        <v>372</v>
      </c>
      <c r="B33" s="128">
        <v>8.0927384076990379</v>
      </c>
    </row>
    <row r="34" spans="1:2" x14ac:dyDescent="0.25">
      <c r="A34" s="90" t="s">
        <v>371</v>
      </c>
      <c r="B34" s="128">
        <v>5.9055118110236222</v>
      </c>
    </row>
    <row r="35" spans="1:2" x14ac:dyDescent="0.25">
      <c r="A35" s="90" t="s">
        <v>370</v>
      </c>
      <c r="B35" s="128">
        <v>8.9676290463692041</v>
      </c>
    </row>
    <row r="36" spans="1:2" x14ac:dyDescent="0.25">
      <c r="A36" s="90" t="s">
        <v>369</v>
      </c>
      <c r="B36" s="128">
        <v>7.2178477690288716</v>
      </c>
    </row>
    <row r="37" spans="1:2" x14ac:dyDescent="0.25">
      <c r="A37" s="90" t="s">
        <v>368</v>
      </c>
      <c r="B37" s="128">
        <v>8.7489063867016625</v>
      </c>
    </row>
    <row r="38" spans="1:2" x14ac:dyDescent="0.25">
      <c r="A38" s="90" t="s">
        <v>367</v>
      </c>
      <c r="B38" s="128">
        <v>5.4680664916885391</v>
      </c>
    </row>
    <row r="39" spans="1:2" x14ac:dyDescent="0.25">
      <c r="A39" s="90" t="s">
        <v>366</v>
      </c>
      <c r="B39" s="128">
        <v>7.2178477690288716</v>
      </c>
    </row>
    <row r="40" spans="1:2" x14ac:dyDescent="0.25">
      <c r="A40" s="90" t="s">
        <v>365</v>
      </c>
      <c r="B40" s="128">
        <v>8.7489063867016625</v>
      </c>
    </row>
    <row r="41" spans="1:2" x14ac:dyDescent="0.25">
      <c r="A41" s="90" t="s">
        <v>364</v>
      </c>
      <c r="B41" s="128">
        <v>8.9676290463692041</v>
      </c>
    </row>
    <row r="42" spans="1:2" x14ac:dyDescent="0.25">
      <c r="A42" s="90" t="s">
        <v>363</v>
      </c>
      <c r="B42" s="128">
        <v>6.5616797900262469</v>
      </c>
    </row>
    <row r="43" spans="1:2" x14ac:dyDescent="0.25">
      <c r="A43" s="90" t="s">
        <v>362</v>
      </c>
      <c r="B43" s="128">
        <v>8.7489063867016625</v>
      </c>
    </row>
    <row r="44" spans="1:2" x14ac:dyDescent="0.25">
      <c r="A44" s="90" t="s">
        <v>361</v>
      </c>
      <c r="B44" s="128">
        <v>8.9676290463692041</v>
      </c>
    </row>
    <row r="45" spans="1:2" x14ac:dyDescent="0.25">
      <c r="A45" s="90" t="s">
        <v>360</v>
      </c>
      <c r="B45" s="128">
        <v>9.8425196850393704</v>
      </c>
    </row>
    <row r="46" spans="1:2" x14ac:dyDescent="0.25">
      <c r="A46" s="90" t="s">
        <v>359</v>
      </c>
      <c r="B46" s="128">
        <v>8.9676290463692041</v>
      </c>
    </row>
    <row r="47" spans="1:2" x14ac:dyDescent="0.25">
      <c r="A47" s="90" t="s">
        <v>358</v>
      </c>
      <c r="B47" s="128">
        <v>9.6237970253718288</v>
      </c>
    </row>
    <row r="48" spans="1:2" x14ac:dyDescent="0.25">
      <c r="A48" s="90" t="s">
        <v>357</v>
      </c>
      <c r="B48" s="128">
        <v>8.3114610673665794</v>
      </c>
    </row>
    <row r="49" spans="1:2" x14ac:dyDescent="0.25">
      <c r="A49" s="90" t="s">
        <v>356</v>
      </c>
      <c r="B49" s="128">
        <v>6.7804024496937885</v>
      </c>
    </row>
    <row r="50" spans="1:2" x14ac:dyDescent="0.25">
      <c r="A50" s="90" t="s">
        <v>355</v>
      </c>
      <c r="B50" s="128">
        <v>7.6552930883639547</v>
      </c>
    </row>
    <row r="51" spans="1:2" x14ac:dyDescent="0.25">
      <c r="A51" s="90" t="s">
        <v>354</v>
      </c>
      <c r="B51" s="128">
        <v>7.8740157480314963</v>
      </c>
    </row>
    <row r="52" spans="1:2" x14ac:dyDescent="0.25">
      <c r="A52" s="90" t="s">
        <v>353</v>
      </c>
      <c r="B52" s="128">
        <v>9.6237970253718288</v>
      </c>
    </row>
    <row r="53" spans="1:2" x14ac:dyDescent="0.25">
      <c r="A53" s="90" t="s">
        <v>352</v>
      </c>
      <c r="B53" s="128">
        <v>7.2178477690288716</v>
      </c>
    </row>
    <row r="54" spans="1:2" x14ac:dyDescent="0.25">
      <c r="A54" s="90" t="s">
        <v>351</v>
      </c>
      <c r="B54" s="128">
        <v>9.1863517060367457</v>
      </c>
    </row>
    <row r="55" spans="1:2" x14ac:dyDescent="0.25">
      <c r="A55" s="90" t="s">
        <v>350</v>
      </c>
      <c r="B55" s="128">
        <v>7.2178477690288716</v>
      </c>
    </row>
    <row r="56" spans="1:2" x14ac:dyDescent="0.25">
      <c r="A56" s="90" t="s">
        <v>349</v>
      </c>
      <c r="B56" s="128">
        <v>8.3114610673665794</v>
      </c>
    </row>
    <row r="57" spans="1:2" x14ac:dyDescent="0.25">
      <c r="A57" s="90" t="s">
        <v>348</v>
      </c>
      <c r="B57" s="128">
        <v>8.3114610673665794</v>
      </c>
    </row>
    <row r="58" spans="1:2" x14ac:dyDescent="0.25">
      <c r="A58" s="90" t="s">
        <v>347</v>
      </c>
      <c r="B58" s="128">
        <v>7.8740157480314963</v>
      </c>
    </row>
    <row r="59" spans="1:2" x14ac:dyDescent="0.25">
      <c r="A59" s="90" t="s">
        <v>346</v>
      </c>
      <c r="B59" s="128">
        <v>7.2178477690288716</v>
      </c>
    </row>
    <row r="60" spans="1:2" x14ac:dyDescent="0.25">
      <c r="A60" s="90" t="s">
        <v>345</v>
      </c>
      <c r="B60" s="128">
        <v>8.7489063867016625</v>
      </c>
    </row>
    <row r="61" spans="1:2" x14ac:dyDescent="0.25">
      <c r="A61" s="90" t="s">
        <v>344</v>
      </c>
      <c r="B61" s="128">
        <v>8.3114610673665794</v>
      </c>
    </row>
    <row r="62" spans="1:2" x14ac:dyDescent="0.25">
      <c r="A62" s="90" t="s">
        <v>343</v>
      </c>
      <c r="B62" s="128">
        <v>5.6867891513560807</v>
      </c>
    </row>
    <row r="63" spans="1:2" x14ac:dyDescent="0.25">
      <c r="A63" s="90" t="s">
        <v>342</v>
      </c>
      <c r="B63" s="128">
        <v>6.3429571303587053</v>
      </c>
    </row>
    <row r="64" spans="1:2" x14ac:dyDescent="0.25">
      <c r="A64" s="90" t="s">
        <v>341</v>
      </c>
      <c r="B64" s="128">
        <v>7.4365704286964132</v>
      </c>
    </row>
    <row r="65" spans="1:2" x14ac:dyDescent="0.25">
      <c r="A65" s="90" t="s">
        <v>340</v>
      </c>
      <c r="B65" s="128">
        <v>8.530183727034121</v>
      </c>
    </row>
    <row r="66" spans="1:2" x14ac:dyDescent="0.25">
      <c r="A66" s="90" t="s">
        <v>339</v>
      </c>
      <c r="B66" s="128">
        <v>8.0927384076990379</v>
      </c>
    </row>
    <row r="67" spans="1:2" x14ac:dyDescent="0.25">
      <c r="A67" s="90" t="s">
        <v>338</v>
      </c>
      <c r="B67" s="128">
        <v>7.6552930883639547</v>
      </c>
    </row>
    <row r="68" spans="1:2" x14ac:dyDescent="0.25">
      <c r="A68" s="90" t="s">
        <v>337</v>
      </c>
      <c r="B68" s="128">
        <v>9.4050743657042872</v>
      </c>
    </row>
    <row r="69" spans="1:2" x14ac:dyDescent="0.25">
      <c r="A69" s="90" t="s">
        <v>336</v>
      </c>
      <c r="B69" s="128">
        <v>8.9676290463692041</v>
      </c>
    </row>
    <row r="70" spans="1:2" x14ac:dyDescent="0.25">
      <c r="A70" s="90" t="s">
        <v>335</v>
      </c>
      <c r="B70" s="128">
        <v>6.3429571303587053</v>
      </c>
    </row>
    <row r="71" spans="1:2" x14ac:dyDescent="0.25">
      <c r="A71" s="90" t="s">
        <v>334</v>
      </c>
      <c r="B71" s="128">
        <v>8.7489063867016625</v>
      </c>
    </row>
    <row r="72" spans="1:2" x14ac:dyDescent="0.25">
      <c r="A72" s="90" t="s">
        <v>333</v>
      </c>
      <c r="B72" s="128">
        <v>8.530183727034121</v>
      </c>
    </row>
    <row r="73" spans="1:2" x14ac:dyDescent="0.25">
      <c r="A73" s="90" t="s">
        <v>332</v>
      </c>
      <c r="B73" s="128">
        <v>9.1863517060367457</v>
      </c>
    </row>
    <row r="74" spans="1:2" x14ac:dyDescent="0.25">
      <c r="A74" s="90" t="s">
        <v>331</v>
      </c>
      <c r="B74" s="128">
        <v>9.8425196850393704</v>
      </c>
    </row>
    <row r="75" spans="1:2" x14ac:dyDescent="0.25">
      <c r="A75" s="90" t="s">
        <v>330</v>
      </c>
      <c r="B75" s="128">
        <v>6.99912510936133</v>
      </c>
    </row>
    <row r="76" spans="1:2" x14ac:dyDescent="0.25">
      <c r="A76" s="90" t="s">
        <v>329</v>
      </c>
      <c r="B76" s="128">
        <v>6.1242344706911638</v>
      </c>
    </row>
    <row r="77" spans="1:2" x14ac:dyDescent="0.25">
      <c r="A77" s="90" t="s">
        <v>328</v>
      </c>
      <c r="B77" s="128">
        <v>8.530183727034121</v>
      </c>
    </row>
    <row r="78" spans="1:2" x14ac:dyDescent="0.25">
      <c r="A78" s="90" t="s">
        <v>327</v>
      </c>
      <c r="B78" s="128">
        <v>7.8740157480314963</v>
      </c>
    </row>
    <row r="79" spans="1:2" x14ac:dyDescent="0.25">
      <c r="A79" s="90" t="s">
        <v>326</v>
      </c>
      <c r="B79" s="128">
        <v>7.6552930883639547</v>
      </c>
    </row>
    <row r="80" spans="1:2" x14ac:dyDescent="0.25">
      <c r="A80" s="90" t="s">
        <v>325</v>
      </c>
      <c r="B80" s="128">
        <v>7.4365704286964132</v>
      </c>
    </row>
    <row r="81" spans="1:2" x14ac:dyDescent="0.25">
      <c r="A81" s="90" t="s">
        <v>324</v>
      </c>
      <c r="B81" s="128">
        <v>8.530183727034121</v>
      </c>
    </row>
    <row r="82" spans="1:2" x14ac:dyDescent="0.25">
      <c r="A82" s="90" t="s">
        <v>323</v>
      </c>
      <c r="B82" s="128">
        <v>7.4365704286964132</v>
      </c>
    </row>
    <row r="83" spans="1:2" x14ac:dyDescent="0.25">
      <c r="A83" s="90" t="s">
        <v>322</v>
      </c>
      <c r="B83" s="128">
        <v>8.9676290463692041</v>
      </c>
    </row>
    <row r="84" spans="1:2" x14ac:dyDescent="0.25">
      <c r="A84" s="90" t="s">
        <v>321</v>
      </c>
      <c r="B84" s="128">
        <v>6.3429571303587053</v>
      </c>
    </row>
    <row r="85" spans="1:2" x14ac:dyDescent="0.25">
      <c r="A85" s="90" t="s">
        <v>320</v>
      </c>
      <c r="B85" s="128">
        <v>7.8740157480314963</v>
      </c>
    </row>
    <row r="86" spans="1:2" x14ac:dyDescent="0.25">
      <c r="A86" s="90" t="s">
        <v>319</v>
      </c>
      <c r="B86" s="128">
        <v>8.7489063867016625</v>
      </c>
    </row>
    <row r="87" spans="1:2" x14ac:dyDescent="0.25">
      <c r="A87" s="90" t="s">
        <v>318</v>
      </c>
      <c r="B87" s="128">
        <v>7.8740157480314963</v>
      </c>
    </row>
    <row r="88" spans="1:2" x14ac:dyDescent="0.25">
      <c r="A88" s="90" t="s">
        <v>317</v>
      </c>
      <c r="B88" s="128">
        <v>8.7489063867016625</v>
      </c>
    </row>
    <row r="89" spans="1:2" x14ac:dyDescent="0.25">
      <c r="A89" s="90" t="s">
        <v>316</v>
      </c>
      <c r="B89" s="128">
        <v>9.4050743657042872</v>
      </c>
    </row>
    <row r="90" spans="1:2" x14ac:dyDescent="0.25">
      <c r="A90" s="90" t="s">
        <v>315</v>
      </c>
      <c r="B90" s="128">
        <v>6.1242344706911638</v>
      </c>
    </row>
    <row r="91" spans="1:2" x14ac:dyDescent="0.25">
      <c r="A91" s="90" t="s">
        <v>314</v>
      </c>
      <c r="B91" s="128">
        <v>9.6237970253718288</v>
      </c>
    </row>
    <row r="92" spans="1:2" x14ac:dyDescent="0.25">
      <c r="A92" s="90" t="s">
        <v>313</v>
      </c>
      <c r="B92" s="128">
        <v>7.8740157480314963</v>
      </c>
    </row>
    <row r="93" spans="1:2" x14ac:dyDescent="0.25">
      <c r="A93" s="90" t="s">
        <v>312</v>
      </c>
      <c r="B93" s="128">
        <v>7.6552930883639547</v>
      </c>
    </row>
    <row r="94" spans="1:2" x14ac:dyDescent="0.25">
      <c r="A94" s="90" t="s">
        <v>311</v>
      </c>
      <c r="B94" s="128">
        <v>8.0927384076990379</v>
      </c>
    </row>
    <row r="95" spans="1:2" x14ac:dyDescent="0.25">
      <c r="A95" s="90" t="s">
        <v>310</v>
      </c>
      <c r="B95" s="128">
        <v>8.530183727034121</v>
      </c>
    </row>
    <row r="96" spans="1:2" x14ac:dyDescent="0.25">
      <c r="A96" s="90" t="s">
        <v>309</v>
      </c>
      <c r="B96" s="128">
        <v>9.4050743657042872</v>
      </c>
    </row>
    <row r="97" spans="1:2" x14ac:dyDescent="0.25">
      <c r="A97" s="90" t="s">
        <v>308</v>
      </c>
      <c r="B97" s="128">
        <v>9.4050743657042872</v>
      </c>
    </row>
    <row r="98" spans="1:2" x14ac:dyDescent="0.25">
      <c r="A98" s="90" t="s">
        <v>307</v>
      </c>
      <c r="B98" s="128">
        <v>8.9676290463692041</v>
      </c>
    </row>
    <row r="99" spans="1:2" x14ac:dyDescent="0.25">
      <c r="A99" s="90" t="s">
        <v>306</v>
      </c>
      <c r="B99" s="128">
        <v>6.7804024496937885</v>
      </c>
    </row>
    <row r="100" spans="1:2" x14ac:dyDescent="0.25">
      <c r="A100" s="90" t="s">
        <v>305</v>
      </c>
      <c r="B100" s="128">
        <v>9.1863517060367457</v>
      </c>
    </row>
    <row r="101" spans="1:2" x14ac:dyDescent="0.25">
      <c r="A101" s="90" t="s">
        <v>304</v>
      </c>
      <c r="B101" s="128">
        <v>9.4050743657042872</v>
      </c>
    </row>
    <row r="102" spans="1:2" x14ac:dyDescent="0.25">
      <c r="A102" s="90" t="s">
        <v>303</v>
      </c>
      <c r="B102" s="128">
        <v>10.717410323709537</v>
      </c>
    </row>
    <row r="103" spans="1:2" x14ac:dyDescent="0.25">
      <c r="A103" s="90" t="s">
        <v>302</v>
      </c>
      <c r="B103" s="128">
        <v>10.717410323709537</v>
      </c>
    </row>
    <row r="104" spans="1:2" x14ac:dyDescent="0.25">
      <c r="A104" s="90" t="s">
        <v>301</v>
      </c>
      <c r="B104" s="128">
        <v>8.7489063867016625</v>
      </c>
    </row>
    <row r="105" spans="1:2" x14ac:dyDescent="0.25">
      <c r="A105" s="90" t="s">
        <v>300</v>
      </c>
      <c r="B105" s="128">
        <v>7.6552930883639547</v>
      </c>
    </row>
    <row r="106" spans="1:2" x14ac:dyDescent="0.25">
      <c r="A106" s="90" t="s">
        <v>299</v>
      </c>
      <c r="B106" s="128">
        <v>8.530183727034121</v>
      </c>
    </row>
    <row r="107" spans="1:2" x14ac:dyDescent="0.25">
      <c r="A107" s="90" t="s">
        <v>298</v>
      </c>
      <c r="B107" s="128">
        <v>7.8740157480314963</v>
      </c>
    </row>
    <row r="108" spans="1:2" x14ac:dyDescent="0.25">
      <c r="A108" s="90" t="s">
        <v>297</v>
      </c>
      <c r="B108" s="128">
        <v>6.99912510936133</v>
      </c>
    </row>
    <row r="109" spans="1:2" x14ac:dyDescent="0.25">
      <c r="A109" s="90" t="s">
        <v>296</v>
      </c>
      <c r="B109" s="128">
        <v>8.3114610673665794</v>
      </c>
    </row>
    <row r="110" spans="1:2" x14ac:dyDescent="0.25">
      <c r="A110" s="90" t="s">
        <v>295</v>
      </c>
      <c r="B110" s="128">
        <v>9.6237970253718288</v>
      </c>
    </row>
    <row r="111" spans="1:2" x14ac:dyDescent="0.25">
      <c r="A111" s="90" t="s">
        <v>294</v>
      </c>
      <c r="B111" s="128">
        <v>9.8425196850393704</v>
      </c>
    </row>
    <row r="112" spans="1:2" x14ac:dyDescent="0.25">
      <c r="A112" s="90" t="s">
        <v>293</v>
      </c>
      <c r="B112" s="128">
        <v>7.2178477690288716</v>
      </c>
    </row>
    <row r="113" spans="1:2" x14ac:dyDescent="0.25">
      <c r="A113" s="90" t="s">
        <v>292</v>
      </c>
      <c r="B113" s="128">
        <v>8.7489063867016625</v>
      </c>
    </row>
    <row r="114" spans="1:2" x14ac:dyDescent="0.25">
      <c r="A114" s="90" t="s">
        <v>291</v>
      </c>
      <c r="B114" s="128">
        <v>6.99912510936133</v>
      </c>
    </row>
    <row r="115" spans="1:2" x14ac:dyDescent="0.25">
      <c r="A115" s="90" t="s">
        <v>290</v>
      </c>
      <c r="B115" s="128">
        <v>8.0927384076990379</v>
      </c>
    </row>
    <row r="116" spans="1:2" x14ac:dyDescent="0.25">
      <c r="A116" s="90" t="s">
        <v>289</v>
      </c>
      <c r="B116" s="128">
        <v>7.2178477690288716</v>
      </c>
    </row>
    <row r="117" spans="1:2" x14ac:dyDescent="0.25">
      <c r="A117" s="90" t="s">
        <v>288</v>
      </c>
      <c r="B117" s="128">
        <v>9.4050743657042872</v>
      </c>
    </row>
    <row r="118" spans="1:2" x14ac:dyDescent="0.25">
      <c r="A118" s="90" t="s">
        <v>287</v>
      </c>
      <c r="B118" s="128">
        <v>8.9676290463692041</v>
      </c>
    </row>
    <row r="119" spans="1:2" x14ac:dyDescent="0.25">
      <c r="A119" s="90" t="s">
        <v>286</v>
      </c>
      <c r="B119" s="128">
        <v>9.1863517060367457</v>
      </c>
    </row>
    <row r="120" spans="1:2" x14ac:dyDescent="0.25">
      <c r="A120" s="90" t="s">
        <v>285</v>
      </c>
      <c r="B120" s="128">
        <v>8.7489063867016625</v>
      </c>
    </row>
    <row r="121" spans="1:2" x14ac:dyDescent="0.25">
      <c r="A121" s="90" t="s">
        <v>284</v>
      </c>
      <c r="B121" s="128">
        <v>9.6237970253718288</v>
      </c>
    </row>
    <row r="122" spans="1:2" x14ac:dyDescent="0.25">
      <c r="A122" s="90" t="s">
        <v>283</v>
      </c>
      <c r="B122" s="128">
        <v>10.061242344706912</v>
      </c>
    </row>
    <row r="123" spans="1:2" x14ac:dyDescent="0.25">
      <c r="A123" s="90" t="s">
        <v>282</v>
      </c>
      <c r="B123" s="128">
        <v>9.1863517060367457</v>
      </c>
    </row>
    <row r="124" spans="1:2" x14ac:dyDescent="0.25">
      <c r="A124" s="90" t="s">
        <v>281</v>
      </c>
      <c r="B124" s="128">
        <v>9.4050743657042872</v>
      </c>
    </row>
    <row r="125" spans="1:2" x14ac:dyDescent="0.25">
      <c r="A125" s="90" t="s">
        <v>280</v>
      </c>
      <c r="B125" s="128">
        <v>9.8425196850393704</v>
      </c>
    </row>
    <row r="126" spans="1:2" x14ac:dyDescent="0.25">
      <c r="A126" s="90" t="s">
        <v>279</v>
      </c>
      <c r="B126" s="128">
        <v>9.1863517060367457</v>
      </c>
    </row>
    <row r="127" spans="1:2" x14ac:dyDescent="0.25">
      <c r="A127" s="90" t="s">
        <v>278</v>
      </c>
      <c r="B127" s="128">
        <v>9.4050743657042872</v>
      </c>
    </row>
    <row r="128" spans="1:2" x14ac:dyDescent="0.25">
      <c r="A128" s="90" t="s">
        <v>277</v>
      </c>
      <c r="B128" s="128">
        <v>10.061242344706912</v>
      </c>
    </row>
    <row r="129" spans="1:2" x14ac:dyDescent="0.25">
      <c r="A129" s="90" t="s">
        <v>276</v>
      </c>
      <c r="B129" s="128">
        <v>8.530183727034121</v>
      </c>
    </row>
    <row r="130" spans="1:2" x14ac:dyDescent="0.25">
      <c r="A130" s="90" t="s">
        <v>275</v>
      </c>
      <c r="B130" s="128">
        <v>10.061242344706912</v>
      </c>
    </row>
    <row r="131" spans="1:2" x14ac:dyDescent="0.25">
      <c r="A131" s="90" t="s">
        <v>274</v>
      </c>
      <c r="B131" s="128">
        <v>8.7489063867016625</v>
      </c>
    </row>
    <row r="132" spans="1:2" x14ac:dyDescent="0.25">
      <c r="A132" s="90" t="s">
        <v>273</v>
      </c>
      <c r="B132" s="128">
        <v>10.498687664041995</v>
      </c>
    </row>
    <row r="133" spans="1:2" x14ac:dyDescent="0.25">
      <c r="A133" s="90" t="s">
        <v>272</v>
      </c>
      <c r="B133" s="128">
        <v>9.8425196850393704</v>
      </c>
    </row>
    <row r="134" spans="1:2" x14ac:dyDescent="0.25">
      <c r="A134" s="90" t="s">
        <v>271</v>
      </c>
      <c r="B134" s="128">
        <v>10.717410323709537</v>
      </c>
    </row>
    <row r="135" spans="1:2" x14ac:dyDescent="0.25">
      <c r="A135" s="90" t="s">
        <v>270</v>
      </c>
      <c r="B135" s="128">
        <v>8.530183727034121</v>
      </c>
    </row>
    <row r="136" spans="1:2" x14ac:dyDescent="0.25">
      <c r="A136" s="90" t="s">
        <v>269</v>
      </c>
      <c r="B136" s="128">
        <v>9.6237970253718288</v>
      </c>
    </row>
    <row r="137" spans="1:2" x14ac:dyDescent="0.25">
      <c r="A137" s="90" t="s">
        <v>268</v>
      </c>
      <c r="B137" s="128">
        <v>6.99912510936133</v>
      </c>
    </row>
    <row r="138" spans="1:2" x14ac:dyDescent="0.25">
      <c r="A138" s="90" t="s">
        <v>267</v>
      </c>
      <c r="B138" s="128">
        <v>8.0927384076990379</v>
      </c>
    </row>
    <row r="139" spans="1:2" x14ac:dyDescent="0.25">
      <c r="A139" s="90" t="s">
        <v>266</v>
      </c>
      <c r="B139" s="128">
        <v>8.3114610673665794</v>
      </c>
    </row>
    <row r="140" spans="1:2" x14ac:dyDescent="0.25">
      <c r="A140" s="90" t="s">
        <v>265</v>
      </c>
      <c r="B140" s="128">
        <v>9.4050743657042872</v>
      </c>
    </row>
    <row r="141" spans="1:2" x14ac:dyDescent="0.25">
      <c r="A141" s="90" t="s">
        <v>264</v>
      </c>
      <c r="B141" s="128">
        <v>7.4365704286964132</v>
      </c>
    </row>
    <row r="142" spans="1:2" x14ac:dyDescent="0.25">
      <c r="A142" s="90" t="s">
        <v>263</v>
      </c>
      <c r="B142" s="128">
        <v>8.3114610673665794</v>
      </c>
    </row>
    <row r="143" spans="1:2" x14ac:dyDescent="0.25">
      <c r="A143" s="90" t="s">
        <v>262</v>
      </c>
      <c r="B143" s="128">
        <v>6.1242344706911638</v>
      </c>
    </row>
    <row r="144" spans="1:2" x14ac:dyDescent="0.25">
      <c r="A144" s="90" t="s">
        <v>261</v>
      </c>
      <c r="B144" s="128">
        <v>4.8118985126859144</v>
      </c>
    </row>
    <row r="145" spans="1:2" x14ac:dyDescent="0.25">
      <c r="A145" s="90" t="s">
        <v>260</v>
      </c>
      <c r="B145" s="128">
        <v>7.8740157480314963</v>
      </c>
    </row>
    <row r="146" spans="1:2" x14ac:dyDescent="0.25">
      <c r="A146" s="90" t="s">
        <v>259</v>
      </c>
      <c r="B146" s="128">
        <v>6.5616797900262469</v>
      </c>
    </row>
    <row r="147" spans="1:2" x14ac:dyDescent="0.25">
      <c r="A147" s="90" t="s">
        <v>258</v>
      </c>
      <c r="B147" s="128">
        <v>8.3114610673665794</v>
      </c>
    </row>
    <row r="148" spans="1:2" x14ac:dyDescent="0.25">
      <c r="A148" s="90" t="s">
        <v>257</v>
      </c>
      <c r="B148" s="128">
        <v>8.7489063867016625</v>
      </c>
    </row>
    <row r="149" spans="1:2" x14ac:dyDescent="0.25">
      <c r="A149" s="90" t="s">
        <v>256</v>
      </c>
      <c r="B149" s="128">
        <v>7.8740157480314963</v>
      </c>
    </row>
    <row r="150" spans="1:2" x14ac:dyDescent="0.25">
      <c r="A150" s="90" t="s">
        <v>255</v>
      </c>
      <c r="B150" s="128">
        <v>5.9055118110236222</v>
      </c>
    </row>
    <row r="151" spans="1:2" x14ac:dyDescent="0.25">
      <c r="A151" s="90" t="s">
        <v>254</v>
      </c>
      <c r="B151" s="128">
        <v>7.2178477690288716</v>
      </c>
    </row>
    <row r="152" spans="1:2" x14ac:dyDescent="0.25">
      <c r="A152" s="90" t="s">
        <v>253</v>
      </c>
      <c r="B152" s="128">
        <v>7.4365704286964132</v>
      </c>
    </row>
    <row r="153" spans="1:2" x14ac:dyDescent="0.25">
      <c r="A153" s="90" t="s">
        <v>252</v>
      </c>
      <c r="B153" s="128">
        <v>8.7489063867016625</v>
      </c>
    </row>
    <row r="154" spans="1:2" x14ac:dyDescent="0.25">
      <c r="A154" s="90" t="s">
        <v>251</v>
      </c>
      <c r="B154" s="128">
        <v>8.3114610673665794</v>
      </c>
    </row>
    <row r="155" spans="1:2" x14ac:dyDescent="0.25">
      <c r="A155" s="90" t="s">
        <v>250</v>
      </c>
      <c r="B155" s="128">
        <v>9.8425196850393704</v>
      </c>
    </row>
    <row r="156" spans="1:2" x14ac:dyDescent="0.25">
      <c r="A156" s="90" t="s">
        <v>249</v>
      </c>
      <c r="B156" s="128">
        <v>9.1863517060367457</v>
      </c>
    </row>
    <row r="157" spans="1:2" x14ac:dyDescent="0.25">
      <c r="A157" s="90" t="s">
        <v>248</v>
      </c>
      <c r="B157" s="128">
        <v>7.8740157480314963</v>
      </c>
    </row>
    <row r="158" spans="1:2" x14ac:dyDescent="0.25">
      <c r="A158" s="90" t="s">
        <v>247</v>
      </c>
      <c r="B158" s="128">
        <v>7.2178477690288716</v>
      </c>
    </row>
    <row r="159" spans="1:2" x14ac:dyDescent="0.25">
      <c r="A159" s="90" t="s">
        <v>246</v>
      </c>
      <c r="B159" s="128">
        <v>8.3114610673665794</v>
      </c>
    </row>
    <row r="160" spans="1:2" x14ac:dyDescent="0.25">
      <c r="A160" s="90" t="s">
        <v>245</v>
      </c>
      <c r="B160" s="128">
        <v>8.9676290463692041</v>
      </c>
    </row>
    <row r="161" spans="1:2" x14ac:dyDescent="0.25">
      <c r="A161" s="90" t="s">
        <v>244</v>
      </c>
      <c r="B161" s="128">
        <v>8.9676290463692041</v>
      </c>
    </row>
    <row r="162" spans="1:2" x14ac:dyDescent="0.25">
      <c r="A162" s="90" t="s">
        <v>243</v>
      </c>
      <c r="B162" s="128">
        <v>8.0927384076990379</v>
      </c>
    </row>
    <row r="163" spans="1:2" x14ac:dyDescent="0.25">
      <c r="A163" s="90" t="s">
        <v>242</v>
      </c>
      <c r="B163" s="128">
        <v>8.9676290463692041</v>
      </c>
    </row>
    <row r="164" spans="1:2" x14ac:dyDescent="0.25">
      <c r="A164" s="90" t="s">
        <v>241</v>
      </c>
      <c r="B164" s="128">
        <v>7.6552930883639547</v>
      </c>
    </row>
    <row r="165" spans="1:2" x14ac:dyDescent="0.25">
      <c r="A165" s="90" t="s">
        <v>240</v>
      </c>
      <c r="B165" s="128">
        <v>9.8425196850393704</v>
      </c>
    </row>
    <row r="166" spans="1:2" x14ac:dyDescent="0.25">
      <c r="A166" s="90" t="s">
        <v>239</v>
      </c>
      <c r="B166" s="128">
        <v>9.1863517060367457</v>
      </c>
    </row>
    <row r="167" spans="1:2" x14ac:dyDescent="0.25">
      <c r="A167" s="90" t="s">
        <v>238</v>
      </c>
      <c r="B167" s="128">
        <v>7.8740157480314963</v>
      </c>
    </row>
    <row r="168" spans="1:2" x14ac:dyDescent="0.25">
      <c r="A168" s="90" t="s">
        <v>237</v>
      </c>
      <c r="B168" s="128">
        <v>8.0927384076990379</v>
      </c>
    </row>
    <row r="169" spans="1:2" x14ac:dyDescent="0.25">
      <c r="A169" s="90" t="s">
        <v>236</v>
      </c>
      <c r="B169" s="128">
        <v>8.530183727034121</v>
      </c>
    </row>
    <row r="170" spans="1:2" x14ac:dyDescent="0.25">
      <c r="A170" s="90" t="s">
        <v>235</v>
      </c>
      <c r="B170" s="128">
        <v>9.6237970253718288</v>
      </c>
    </row>
    <row r="171" spans="1:2" x14ac:dyDescent="0.25">
      <c r="A171" s="90" t="s">
        <v>234</v>
      </c>
      <c r="B171" s="128">
        <v>9.1863517060367457</v>
      </c>
    </row>
    <row r="172" spans="1:2" x14ac:dyDescent="0.25">
      <c r="A172" s="90" t="s">
        <v>233</v>
      </c>
      <c r="B172" s="128">
        <v>8.530183727034121</v>
      </c>
    </row>
    <row r="173" spans="1:2" x14ac:dyDescent="0.25">
      <c r="A173" s="90" t="s">
        <v>232</v>
      </c>
      <c r="B173" s="128">
        <v>6.5616797900262469</v>
      </c>
    </row>
    <row r="174" spans="1:2" x14ac:dyDescent="0.25">
      <c r="A174" s="90" t="s">
        <v>231</v>
      </c>
      <c r="B174" s="128">
        <v>8.0927384076990379</v>
      </c>
    </row>
    <row r="175" spans="1:2" x14ac:dyDescent="0.25">
      <c r="A175" s="90" t="s">
        <v>230</v>
      </c>
      <c r="B175" s="128">
        <v>9.1863517060367457</v>
      </c>
    </row>
    <row r="176" spans="1:2" x14ac:dyDescent="0.25">
      <c r="A176" s="90" t="s">
        <v>229</v>
      </c>
      <c r="B176" s="128">
        <v>7.6552930883639547</v>
      </c>
    </row>
    <row r="177" spans="1:2" x14ac:dyDescent="0.25">
      <c r="A177" s="90" t="s">
        <v>228</v>
      </c>
      <c r="B177" s="128">
        <v>8.530183727034121</v>
      </c>
    </row>
    <row r="178" spans="1:2" x14ac:dyDescent="0.25">
      <c r="A178" s="90" t="s">
        <v>227</v>
      </c>
      <c r="B178" s="128">
        <v>8.0927384076990379</v>
      </c>
    </row>
    <row r="179" spans="1:2" x14ac:dyDescent="0.25">
      <c r="A179" s="90" t="s">
        <v>226</v>
      </c>
      <c r="B179" s="128">
        <v>8.9676290463692041</v>
      </c>
    </row>
    <row r="180" spans="1:2" x14ac:dyDescent="0.25">
      <c r="A180" s="90" t="s">
        <v>225</v>
      </c>
      <c r="B180" s="128">
        <v>8.7489063867016625</v>
      </c>
    </row>
    <row r="181" spans="1:2" x14ac:dyDescent="0.25">
      <c r="A181" s="90" t="s">
        <v>224</v>
      </c>
      <c r="B181" s="128">
        <v>9.4050743657042872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00FB5-0666-4362-BCD1-C478487201D6}">
  <dimension ref="A1:J181"/>
  <sheetViews>
    <sheetView workbookViewId="0">
      <selection activeCell="G1" sqref="A1:G1"/>
    </sheetView>
  </sheetViews>
  <sheetFormatPr defaultRowHeight="15" x14ac:dyDescent="0.25"/>
  <cols>
    <col min="1" max="1" width="9.140625" style="129"/>
    <col min="2" max="2" width="10.7109375" style="127" bestFit="1" customWidth="1"/>
    <col min="3" max="4" width="9.140625" style="127"/>
    <col min="5" max="6" width="10.7109375" style="127" bestFit="1" customWidth="1"/>
    <col min="7" max="10" width="9.140625" style="127"/>
  </cols>
  <sheetData>
    <row r="1" spans="1:7" x14ac:dyDescent="0.25">
      <c r="A1" s="129" t="s">
        <v>414</v>
      </c>
      <c r="B1" s="127" t="s">
        <v>425</v>
      </c>
      <c r="C1" s="127" t="s">
        <v>426</v>
      </c>
      <c r="D1" s="127" t="s">
        <v>427</v>
      </c>
      <c r="E1" s="127" t="s">
        <v>469</v>
      </c>
      <c r="F1" s="127" t="s">
        <v>476</v>
      </c>
      <c r="G1" s="127" t="s">
        <v>475</v>
      </c>
    </row>
    <row r="2" spans="1:7" x14ac:dyDescent="0.25">
      <c r="A2" s="129" t="s">
        <v>403</v>
      </c>
      <c r="B2" s="198">
        <v>45052</v>
      </c>
      <c r="C2" s="127">
        <v>2023</v>
      </c>
      <c r="D2" s="197">
        <v>125.5</v>
      </c>
      <c r="E2" s="198">
        <v>45060</v>
      </c>
      <c r="F2" s="198">
        <v>45107</v>
      </c>
      <c r="G2" s="197">
        <v>181.2</v>
      </c>
    </row>
    <row r="3" spans="1:7" x14ac:dyDescent="0.25">
      <c r="A3" s="129" t="s">
        <v>402</v>
      </c>
      <c r="B3" s="198">
        <v>45052</v>
      </c>
      <c r="C3" s="127">
        <v>2023</v>
      </c>
      <c r="D3" s="197">
        <v>126</v>
      </c>
      <c r="E3" s="198">
        <v>45060</v>
      </c>
      <c r="F3" s="198">
        <v>45109</v>
      </c>
      <c r="G3" s="197">
        <v>182.6</v>
      </c>
    </row>
    <row r="4" spans="1:7" x14ac:dyDescent="0.25">
      <c r="A4" s="129" t="s">
        <v>401</v>
      </c>
      <c r="B4" s="198">
        <v>45049</v>
      </c>
      <c r="C4" s="127">
        <v>2023</v>
      </c>
      <c r="D4" s="197">
        <v>123.25</v>
      </c>
      <c r="E4" s="198">
        <v>45062</v>
      </c>
      <c r="F4" s="198">
        <v>45108</v>
      </c>
      <c r="G4" s="197">
        <v>181.66666666666666</v>
      </c>
    </row>
    <row r="5" spans="1:7" x14ac:dyDescent="0.25">
      <c r="A5" s="129" t="s">
        <v>400</v>
      </c>
      <c r="B5" s="198">
        <v>45049</v>
      </c>
      <c r="C5" s="127">
        <v>2023</v>
      </c>
      <c r="D5" s="197">
        <v>123.2</v>
      </c>
      <c r="E5" s="198">
        <v>45061</v>
      </c>
      <c r="F5" s="198">
        <v>45108</v>
      </c>
      <c r="G5" s="197">
        <v>182</v>
      </c>
    </row>
    <row r="6" spans="1:7" x14ac:dyDescent="0.25">
      <c r="A6" s="129" t="s">
        <v>399</v>
      </c>
      <c r="B6" s="198">
        <v>45049</v>
      </c>
      <c r="C6" s="127">
        <v>2023</v>
      </c>
      <c r="D6" s="197">
        <v>123</v>
      </c>
      <c r="E6" s="198">
        <v>45060</v>
      </c>
      <c r="F6" s="198">
        <v>45109</v>
      </c>
      <c r="G6" s="197">
        <v>182.83333333333334</v>
      </c>
    </row>
    <row r="7" spans="1:7" x14ac:dyDescent="0.25">
      <c r="A7" s="129" t="s">
        <v>398</v>
      </c>
      <c r="B7" s="198">
        <v>45050</v>
      </c>
      <c r="C7" s="127">
        <v>2023</v>
      </c>
      <c r="D7" s="197">
        <v>124</v>
      </c>
      <c r="E7" s="198">
        <v>45062</v>
      </c>
      <c r="F7" s="198">
        <v>45110</v>
      </c>
      <c r="G7" s="197">
        <v>184</v>
      </c>
    </row>
    <row r="8" spans="1:7" x14ac:dyDescent="0.25">
      <c r="A8" s="129" t="s">
        <v>397</v>
      </c>
      <c r="B8" s="198">
        <v>45052</v>
      </c>
      <c r="C8" s="127">
        <v>2023</v>
      </c>
      <c r="D8" s="197">
        <v>126</v>
      </c>
      <c r="E8" s="198">
        <v>45060</v>
      </c>
      <c r="F8" s="198">
        <v>45110</v>
      </c>
      <c r="G8" s="197">
        <v>184</v>
      </c>
    </row>
    <row r="9" spans="1:7" x14ac:dyDescent="0.25">
      <c r="A9" s="129" t="s">
        <v>396</v>
      </c>
      <c r="B9" s="198">
        <v>45050</v>
      </c>
      <c r="C9" s="127">
        <v>2023</v>
      </c>
      <c r="D9" s="197">
        <v>123.5</v>
      </c>
      <c r="E9" s="198">
        <v>45060</v>
      </c>
      <c r="F9" s="198">
        <v>45108</v>
      </c>
      <c r="G9" s="197">
        <v>181.66666666666666</v>
      </c>
    </row>
    <row r="10" spans="1:7" x14ac:dyDescent="0.25">
      <c r="A10" s="129" t="s">
        <v>395</v>
      </c>
      <c r="B10" s="198">
        <v>45050</v>
      </c>
      <c r="C10" s="127">
        <v>2023</v>
      </c>
      <c r="D10" s="197">
        <v>123.5</v>
      </c>
      <c r="E10" s="198">
        <v>45062</v>
      </c>
      <c r="F10" s="198">
        <v>45109</v>
      </c>
      <c r="G10" s="197">
        <v>182.83333333333334</v>
      </c>
    </row>
    <row r="11" spans="1:7" x14ac:dyDescent="0.25">
      <c r="A11" s="129" t="s">
        <v>394</v>
      </c>
      <c r="B11" s="198">
        <v>45050</v>
      </c>
      <c r="C11" s="127">
        <v>2023</v>
      </c>
      <c r="D11" s="197">
        <v>124</v>
      </c>
      <c r="E11" s="198">
        <v>45062</v>
      </c>
      <c r="F11" s="198">
        <v>45108</v>
      </c>
      <c r="G11" s="197">
        <v>182</v>
      </c>
    </row>
    <row r="12" spans="1:7" x14ac:dyDescent="0.25">
      <c r="A12" s="129" t="s">
        <v>393</v>
      </c>
      <c r="B12" s="198">
        <v>45051</v>
      </c>
      <c r="C12" s="127">
        <v>2023</v>
      </c>
      <c r="D12" s="197">
        <v>125.2</v>
      </c>
      <c r="E12" s="198">
        <v>45061</v>
      </c>
      <c r="F12" s="198">
        <v>45108</v>
      </c>
      <c r="G12" s="197">
        <v>181.66666666666666</v>
      </c>
    </row>
    <row r="13" spans="1:7" x14ac:dyDescent="0.25">
      <c r="A13" s="129" t="s">
        <v>392</v>
      </c>
      <c r="B13" s="198">
        <v>45051</v>
      </c>
      <c r="C13" s="127">
        <v>2023</v>
      </c>
      <c r="D13" s="197">
        <v>124.66666666666667</v>
      </c>
      <c r="E13" s="198">
        <v>45061</v>
      </c>
      <c r="F13" s="198">
        <v>45108</v>
      </c>
      <c r="G13" s="197">
        <v>181.66666666666666</v>
      </c>
    </row>
    <row r="14" spans="1:7" x14ac:dyDescent="0.25">
      <c r="A14" s="129" t="s">
        <v>391</v>
      </c>
      <c r="B14" s="198">
        <v>45053</v>
      </c>
      <c r="C14" s="127">
        <v>2023</v>
      </c>
      <c r="D14" s="197">
        <v>127</v>
      </c>
      <c r="E14" s="198">
        <v>45061</v>
      </c>
      <c r="F14" s="198">
        <v>45109</v>
      </c>
      <c r="G14" s="197">
        <v>182.83333333333334</v>
      </c>
    </row>
    <row r="15" spans="1:7" x14ac:dyDescent="0.25">
      <c r="A15" s="129" t="s">
        <v>390</v>
      </c>
      <c r="B15" s="198">
        <v>45051</v>
      </c>
      <c r="C15" s="127">
        <v>2023</v>
      </c>
      <c r="D15" s="197">
        <v>125</v>
      </c>
      <c r="E15" s="198">
        <v>45060</v>
      </c>
      <c r="F15" s="198">
        <v>45109</v>
      </c>
      <c r="G15" s="197">
        <v>182.83333333333334</v>
      </c>
    </row>
    <row r="16" spans="1:7" x14ac:dyDescent="0.25">
      <c r="A16" s="129" t="s">
        <v>389</v>
      </c>
      <c r="B16" s="198">
        <v>45050</v>
      </c>
      <c r="C16" s="127">
        <v>2023</v>
      </c>
      <c r="D16" s="197">
        <v>124</v>
      </c>
      <c r="E16" s="198">
        <v>45061</v>
      </c>
      <c r="F16" s="198">
        <v>45108</v>
      </c>
      <c r="G16" s="197">
        <v>181.66666666666666</v>
      </c>
    </row>
    <row r="17" spans="1:7" x14ac:dyDescent="0.25">
      <c r="A17" s="129" t="s">
        <v>388</v>
      </c>
      <c r="B17" s="198">
        <v>45048</v>
      </c>
      <c r="C17" s="127">
        <v>2023</v>
      </c>
      <c r="D17" s="197">
        <v>122</v>
      </c>
      <c r="E17" s="198">
        <v>45063</v>
      </c>
      <c r="F17" s="198">
        <v>45113</v>
      </c>
      <c r="G17" s="197">
        <v>186.5</v>
      </c>
    </row>
    <row r="18" spans="1:7" x14ac:dyDescent="0.25">
      <c r="A18" s="129" t="s">
        <v>387</v>
      </c>
      <c r="B18" s="198">
        <v>45048</v>
      </c>
      <c r="C18" s="127">
        <v>2023</v>
      </c>
      <c r="D18" s="197">
        <v>122.25</v>
      </c>
      <c r="E18" s="198">
        <v>45061</v>
      </c>
      <c r="F18" s="198">
        <v>45108</v>
      </c>
      <c r="G18" s="197">
        <v>181.66666666666666</v>
      </c>
    </row>
    <row r="19" spans="1:7" x14ac:dyDescent="0.25">
      <c r="A19" s="129" t="s">
        <v>386</v>
      </c>
      <c r="B19" s="198">
        <v>45049</v>
      </c>
      <c r="C19" s="127">
        <v>2023</v>
      </c>
      <c r="D19" s="197">
        <v>122.66666666666667</v>
      </c>
      <c r="E19" s="198">
        <v>45060</v>
      </c>
      <c r="F19" s="198">
        <v>45109</v>
      </c>
      <c r="G19" s="197">
        <v>182.6</v>
      </c>
    </row>
    <row r="20" spans="1:7" x14ac:dyDescent="0.25">
      <c r="A20" s="129" t="s">
        <v>385</v>
      </c>
      <c r="B20" s="198">
        <v>45047</v>
      </c>
      <c r="C20" s="127">
        <v>2023</v>
      </c>
      <c r="D20" s="197">
        <v>121.33333333333333</v>
      </c>
      <c r="E20" s="198">
        <v>45062</v>
      </c>
      <c r="F20" s="198">
        <v>45110</v>
      </c>
      <c r="G20" s="197">
        <v>184</v>
      </c>
    </row>
    <row r="21" spans="1:7" x14ac:dyDescent="0.25">
      <c r="A21" s="129" t="s">
        <v>384</v>
      </c>
      <c r="B21" s="198">
        <v>45049</v>
      </c>
      <c r="C21" s="127">
        <v>2023</v>
      </c>
      <c r="D21" s="197">
        <v>123</v>
      </c>
      <c r="E21" s="198">
        <v>45061</v>
      </c>
      <c r="F21" s="198">
        <v>45110</v>
      </c>
      <c r="G21" s="197">
        <v>184</v>
      </c>
    </row>
    <row r="22" spans="1:7" x14ac:dyDescent="0.25">
      <c r="A22" s="129" t="s">
        <v>383</v>
      </c>
      <c r="B22" s="198">
        <v>45050</v>
      </c>
      <c r="C22" s="127">
        <v>2023</v>
      </c>
      <c r="D22" s="197">
        <v>123.5</v>
      </c>
      <c r="E22" s="198">
        <v>45062</v>
      </c>
      <c r="F22" s="198">
        <v>45112</v>
      </c>
      <c r="G22" s="197">
        <v>186</v>
      </c>
    </row>
    <row r="23" spans="1:7" x14ac:dyDescent="0.25">
      <c r="A23" s="129" t="s">
        <v>382</v>
      </c>
      <c r="B23" s="198">
        <v>45047</v>
      </c>
      <c r="C23" s="127">
        <v>2023</v>
      </c>
      <c r="D23" s="197">
        <v>121</v>
      </c>
      <c r="E23" s="198">
        <v>45060</v>
      </c>
      <c r="F23" s="198">
        <v>45108</v>
      </c>
      <c r="G23" s="197">
        <v>181.66666666666666</v>
      </c>
    </row>
    <row r="24" spans="1:7" x14ac:dyDescent="0.25">
      <c r="A24" s="129" t="s">
        <v>381</v>
      </c>
      <c r="B24" s="198">
        <v>45049</v>
      </c>
      <c r="C24" s="127">
        <v>2023</v>
      </c>
      <c r="D24" s="197">
        <v>123.33333333333333</v>
      </c>
      <c r="E24" s="198">
        <v>45061</v>
      </c>
      <c r="F24" s="198">
        <v>45109</v>
      </c>
      <c r="G24" s="197">
        <v>182.83333333333334</v>
      </c>
    </row>
    <row r="25" spans="1:7" x14ac:dyDescent="0.25">
      <c r="A25" s="129" t="s">
        <v>380</v>
      </c>
      <c r="B25" s="198">
        <v>45049</v>
      </c>
      <c r="C25" s="127">
        <v>2023</v>
      </c>
      <c r="D25" s="197">
        <v>123.25</v>
      </c>
      <c r="E25" s="198">
        <v>45061</v>
      </c>
      <c r="F25" s="198">
        <v>45109</v>
      </c>
      <c r="G25" s="197">
        <v>182.83333333333334</v>
      </c>
    </row>
    <row r="26" spans="1:7" x14ac:dyDescent="0.25">
      <c r="A26" s="129" t="s">
        <v>379</v>
      </c>
      <c r="B26" s="198">
        <v>45048</v>
      </c>
      <c r="C26" s="127">
        <v>2023</v>
      </c>
      <c r="D26" s="197">
        <v>122</v>
      </c>
      <c r="E26" s="198">
        <v>45059</v>
      </c>
      <c r="F26" s="198">
        <v>45110</v>
      </c>
      <c r="G26" s="197">
        <v>184</v>
      </c>
    </row>
    <row r="27" spans="1:7" x14ac:dyDescent="0.25">
      <c r="A27" s="129" t="s">
        <v>378</v>
      </c>
      <c r="B27" s="198">
        <v>45048</v>
      </c>
      <c r="C27" s="127">
        <v>2023</v>
      </c>
      <c r="D27" s="197">
        <v>122</v>
      </c>
      <c r="E27" s="198">
        <v>45062</v>
      </c>
      <c r="F27" s="198">
        <v>45110</v>
      </c>
      <c r="G27" s="197">
        <v>184</v>
      </c>
    </row>
    <row r="28" spans="1:7" x14ac:dyDescent="0.25">
      <c r="A28" s="129" t="s">
        <v>377</v>
      </c>
      <c r="B28" s="198">
        <v>45049</v>
      </c>
      <c r="C28" s="127">
        <v>2023</v>
      </c>
      <c r="D28" s="197">
        <v>123.25</v>
      </c>
      <c r="E28" s="198">
        <v>45061</v>
      </c>
      <c r="F28" s="198">
        <v>45109</v>
      </c>
      <c r="G28" s="197">
        <v>182.83333333333334</v>
      </c>
    </row>
    <row r="29" spans="1:7" x14ac:dyDescent="0.25">
      <c r="A29" s="129" t="s">
        <v>376</v>
      </c>
      <c r="B29" s="198">
        <v>45049</v>
      </c>
      <c r="C29" s="127">
        <v>2023</v>
      </c>
      <c r="D29" s="197">
        <v>122.5</v>
      </c>
      <c r="E29" s="198">
        <v>45059</v>
      </c>
      <c r="F29" s="198">
        <v>45109</v>
      </c>
      <c r="G29" s="197">
        <v>182.83333333333334</v>
      </c>
    </row>
    <row r="30" spans="1:7" x14ac:dyDescent="0.25">
      <c r="A30" s="129" t="s">
        <v>375</v>
      </c>
      <c r="B30" s="198">
        <v>45050</v>
      </c>
      <c r="C30" s="127">
        <v>2023</v>
      </c>
      <c r="D30" s="197">
        <v>124</v>
      </c>
      <c r="E30" s="198">
        <v>45060</v>
      </c>
      <c r="F30" s="198">
        <v>45109</v>
      </c>
      <c r="G30" s="197">
        <v>182.83333333333334</v>
      </c>
    </row>
    <row r="31" spans="1:7" x14ac:dyDescent="0.25">
      <c r="A31" s="129" t="s">
        <v>374</v>
      </c>
      <c r="B31" s="198">
        <v>45048</v>
      </c>
      <c r="C31" s="127">
        <v>2023</v>
      </c>
      <c r="D31" s="197">
        <v>122</v>
      </c>
      <c r="E31" s="198">
        <v>45058</v>
      </c>
      <c r="F31" s="198">
        <v>45108</v>
      </c>
      <c r="G31" s="197">
        <v>181.66666666666666</v>
      </c>
    </row>
    <row r="32" spans="1:7" x14ac:dyDescent="0.25">
      <c r="A32" s="129" t="s">
        <v>373</v>
      </c>
      <c r="B32" s="198">
        <v>45046</v>
      </c>
      <c r="C32" s="127">
        <v>2023</v>
      </c>
      <c r="D32" s="197">
        <v>119.5</v>
      </c>
      <c r="E32" s="198">
        <v>45059</v>
      </c>
      <c r="F32" s="198">
        <v>45109</v>
      </c>
      <c r="G32" s="197">
        <v>182.83333333333334</v>
      </c>
    </row>
    <row r="33" spans="1:7" x14ac:dyDescent="0.25">
      <c r="A33" s="129" t="s">
        <v>372</v>
      </c>
      <c r="B33" s="198">
        <v>45049</v>
      </c>
      <c r="C33" s="127">
        <v>2023</v>
      </c>
      <c r="D33" s="197">
        <v>123</v>
      </c>
      <c r="E33" s="198">
        <v>45060</v>
      </c>
      <c r="F33" s="198">
        <v>45110</v>
      </c>
      <c r="G33" s="197">
        <v>184</v>
      </c>
    </row>
    <row r="34" spans="1:7" x14ac:dyDescent="0.25">
      <c r="A34" s="129" t="s">
        <v>371</v>
      </c>
      <c r="B34" s="198">
        <v>45048</v>
      </c>
      <c r="C34" s="127">
        <v>2023</v>
      </c>
      <c r="D34" s="197">
        <v>122</v>
      </c>
      <c r="E34" s="198">
        <v>45061</v>
      </c>
      <c r="F34" s="198">
        <v>45108</v>
      </c>
      <c r="G34" s="197">
        <v>181.66666666666666</v>
      </c>
    </row>
    <row r="35" spans="1:7" x14ac:dyDescent="0.25">
      <c r="A35" s="129" t="s">
        <v>370</v>
      </c>
      <c r="B35" s="198">
        <v>45046</v>
      </c>
      <c r="C35" s="127">
        <v>2023</v>
      </c>
      <c r="D35" s="197">
        <v>120</v>
      </c>
      <c r="E35" s="198">
        <v>45060</v>
      </c>
      <c r="F35" s="198">
        <v>45109</v>
      </c>
      <c r="G35" s="197">
        <v>182.83333333333334</v>
      </c>
    </row>
    <row r="36" spans="1:7" x14ac:dyDescent="0.25">
      <c r="A36" s="129" t="s">
        <v>369</v>
      </c>
      <c r="B36" s="198">
        <v>45046</v>
      </c>
      <c r="C36" s="127">
        <v>2023</v>
      </c>
      <c r="D36" s="197">
        <v>120</v>
      </c>
      <c r="E36" s="198">
        <v>45060</v>
      </c>
      <c r="F36" s="198">
        <v>45109</v>
      </c>
      <c r="G36" s="197">
        <v>182.83333333333334</v>
      </c>
    </row>
    <row r="37" spans="1:7" x14ac:dyDescent="0.25">
      <c r="A37" s="129" t="s">
        <v>368</v>
      </c>
      <c r="B37" s="198">
        <v>45048</v>
      </c>
      <c r="C37" s="127">
        <v>2023</v>
      </c>
      <c r="D37" s="197">
        <v>121.5</v>
      </c>
      <c r="E37" s="198">
        <v>45059</v>
      </c>
      <c r="F37" s="198">
        <v>45109</v>
      </c>
      <c r="G37" s="197">
        <v>182.83333333333334</v>
      </c>
    </row>
    <row r="38" spans="1:7" x14ac:dyDescent="0.25">
      <c r="A38" s="129" t="s">
        <v>367</v>
      </c>
      <c r="B38" s="198">
        <v>45050</v>
      </c>
      <c r="C38" s="127">
        <v>2023</v>
      </c>
      <c r="D38" s="197">
        <v>124</v>
      </c>
      <c r="E38" s="198">
        <v>45064</v>
      </c>
      <c r="F38" s="198">
        <v>45109</v>
      </c>
      <c r="G38" s="197">
        <v>182.83333333333334</v>
      </c>
    </row>
    <row r="39" spans="1:7" x14ac:dyDescent="0.25">
      <c r="A39" s="129" t="s">
        <v>366</v>
      </c>
      <c r="B39" s="198">
        <v>45047</v>
      </c>
      <c r="C39" s="127">
        <v>2023</v>
      </c>
      <c r="D39" s="197">
        <v>121.33333333333333</v>
      </c>
      <c r="E39" s="198">
        <v>45061</v>
      </c>
      <c r="F39" s="198">
        <v>45109</v>
      </c>
      <c r="G39" s="197">
        <v>182.83333333333334</v>
      </c>
    </row>
    <row r="40" spans="1:7" x14ac:dyDescent="0.25">
      <c r="A40" s="129" t="s">
        <v>365</v>
      </c>
      <c r="B40" s="198">
        <v>45048</v>
      </c>
      <c r="C40" s="127">
        <v>2023</v>
      </c>
      <c r="D40" s="197">
        <v>122</v>
      </c>
      <c r="E40" s="198">
        <v>45061</v>
      </c>
      <c r="F40" s="198">
        <v>45108</v>
      </c>
      <c r="G40" s="197">
        <v>182</v>
      </c>
    </row>
    <row r="41" spans="1:7" x14ac:dyDescent="0.25">
      <c r="A41" s="129" t="s">
        <v>364</v>
      </c>
      <c r="B41" s="198">
        <v>45048</v>
      </c>
      <c r="C41" s="127">
        <v>2023</v>
      </c>
      <c r="D41" s="197">
        <v>122.4</v>
      </c>
      <c r="E41" s="198">
        <v>45062</v>
      </c>
      <c r="F41" s="198">
        <v>45108</v>
      </c>
      <c r="G41" s="197">
        <v>181.66666666666666</v>
      </c>
    </row>
    <row r="42" spans="1:7" x14ac:dyDescent="0.25">
      <c r="A42" s="129" t="s">
        <v>363</v>
      </c>
      <c r="B42" s="198">
        <v>45049</v>
      </c>
      <c r="C42" s="127">
        <v>2023</v>
      </c>
      <c r="D42" s="197">
        <v>123</v>
      </c>
      <c r="E42" s="198">
        <v>45062</v>
      </c>
      <c r="F42" s="198">
        <v>45110</v>
      </c>
      <c r="G42" s="197">
        <v>184</v>
      </c>
    </row>
    <row r="43" spans="1:7" x14ac:dyDescent="0.25">
      <c r="A43" s="129" t="s">
        <v>362</v>
      </c>
      <c r="B43" s="198">
        <v>45049</v>
      </c>
      <c r="C43" s="127">
        <v>2023</v>
      </c>
      <c r="D43" s="197">
        <v>122.5</v>
      </c>
      <c r="E43" s="198">
        <v>45059</v>
      </c>
      <c r="F43" s="198">
        <v>45110</v>
      </c>
      <c r="G43" s="197">
        <v>184</v>
      </c>
    </row>
    <row r="44" spans="1:7" x14ac:dyDescent="0.25">
      <c r="A44" s="129" t="s">
        <v>361</v>
      </c>
      <c r="B44" s="198">
        <v>45051</v>
      </c>
      <c r="C44" s="127">
        <v>2023</v>
      </c>
      <c r="D44" s="197">
        <v>125</v>
      </c>
      <c r="E44" s="198">
        <v>45061</v>
      </c>
      <c r="F44" s="198">
        <v>45109</v>
      </c>
      <c r="G44" s="197">
        <v>182.83333333333334</v>
      </c>
    </row>
    <row r="45" spans="1:7" x14ac:dyDescent="0.25">
      <c r="A45" s="129" t="s">
        <v>360</v>
      </c>
      <c r="B45" s="198">
        <v>45047</v>
      </c>
      <c r="C45" s="127">
        <v>2023</v>
      </c>
      <c r="D45" s="197">
        <v>121</v>
      </c>
      <c r="E45" s="198">
        <v>45061</v>
      </c>
      <c r="F45" s="198">
        <v>45110</v>
      </c>
      <c r="G45" s="197">
        <v>184</v>
      </c>
    </row>
    <row r="46" spans="1:7" x14ac:dyDescent="0.25">
      <c r="A46" s="129" t="s">
        <v>359</v>
      </c>
      <c r="B46" s="198">
        <v>45046</v>
      </c>
      <c r="C46" s="127">
        <v>2023</v>
      </c>
      <c r="D46" s="197">
        <v>120</v>
      </c>
      <c r="E46" s="198">
        <v>45062</v>
      </c>
      <c r="F46" s="198">
        <v>45109</v>
      </c>
      <c r="G46" s="197">
        <v>182.6</v>
      </c>
    </row>
    <row r="47" spans="1:7" x14ac:dyDescent="0.25">
      <c r="A47" s="129" t="s">
        <v>358</v>
      </c>
      <c r="B47" s="198">
        <v>45051</v>
      </c>
      <c r="C47" s="127">
        <v>2023</v>
      </c>
      <c r="D47" s="197">
        <v>124.66666666666667</v>
      </c>
      <c r="E47" s="198">
        <v>45062</v>
      </c>
      <c r="F47" s="198">
        <v>45109</v>
      </c>
      <c r="G47" s="197">
        <v>182.83333333333334</v>
      </c>
    </row>
    <row r="48" spans="1:7" x14ac:dyDescent="0.25">
      <c r="A48" s="129" t="s">
        <v>357</v>
      </c>
      <c r="B48" s="198">
        <v>45050</v>
      </c>
      <c r="C48" s="127">
        <v>2023</v>
      </c>
      <c r="D48" s="197">
        <v>123.5</v>
      </c>
      <c r="E48" s="198">
        <v>45062</v>
      </c>
      <c r="F48" s="198">
        <v>45109</v>
      </c>
      <c r="G48" s="197">
        <v>182.83333333333334</v>
      </c>
    </row>
    <row r="49" spans="1:7" x14ac:dyDescent="0.25">
      <c r="A49" s="129" t="s">
        <v>356</v>
      </c>
      <c r="B49" s="198">
        <v>45052</v>
      </c>
      <c r="C49" s="127">
        <v>2023</v>
      </c>
      <c r="D49" s="197">
        <v>126</v>
      </c>
      <c r="E49" s="198">
        <v>45062</v>
      </c>
      <c r="F49" s="198">
        <v>45108</v>
      </c>
      <c r="G49" s="197">
        <v>181.66666666666666</v>
      </c>
    </row>
    <row r="50" spans="1:7" x14ac:dyDescent="0.25">
      <c r="A50" s="129" t="s">
        <v>355</v>
      </c>
      <c r="B50" s="198">
        <v>45050</v>
      </c>
      <c r="C50" s="127">
        <v>2023</v>
      </c>
      <c r="D50" s="197">
        <v>123.75</v>
      </c>
      <c r="E50" s="198">
        <v>45062</v>
      </c>
      <c r="F50" s="198">
        <v>45107</v>
      </c>
      <c r="G50" s="197">
        <v>180.5</v>
      </c>
    </row>
    <row r="51" spans="1:7" x14ac:dyDescent="0.25">
      <c r="A51" s="129" t="s">
        <v>354</v>
      </c>
      <c r="B51" s="198">
        <v>45051</v>
      </c>
      <c r="C51" s="127">
        <v>2023</v>
      </c>
      <c r="D51" s="197">
        <v>124.66666666666667</v>
      </c>
      <c r="E51" s="198">
        <v>45062</v>
      </c>
      <c r="F51" s="198">
        <v>45109</v>
      </c>
      <c r="G51" s="197">
        <v>182.83333333333334</v>
      </c>
    </row>
    <row r="52" spans="1:7" x14ac:dyDescent="0.25">
      <c r="A52" s="129" t="s">
        <v>353</v>
      </c>
      <c r="B52" s="198">
        <v>45050</v>
      </c>
      <c r="C52" s="127">
        <v>2023</v>
      </c>
      <c r="D52" s="197">
        <v>124.4</v>
      </c>
      <c r="E52" s="198">
        <v>45062</v>
      </c>
      <c r="F52" s="198">
        <v>45109</v>
      </c>
      <c r="G52" s="197">
        <v>182.83333333333334</v>
      </c>
    </row>
    <row r="53" spans="1:7" x14ac:dyDescent="0.25">
      <c r="A53" s="129" t="s">
        <v>352</v>
      </c>
      <c r="B53" s="198">
        <v>45052</v>
      </c>
      <c r="C53" s="127">
        <v>2023</v>
      </c>
      <c r="D53" s="197">
        <v>126</v>
      </c>
      <c r="E53" s="198">
        <v>45063</v>
      </c>
      <c r="F53" s="198">
        <v>45108</v>
      </c>
      <c r="G53" s="197">
        <v>181.66666666666666</v>
      </c>
    </row>
    <row r="54" spans="1:7" x14ac:dyDescent="0.25">
      <c r="A54" s="129" t="s">
        <v>351</v>
      </c>
      <c r="B54" s="198">
        <v>45054</v>
      </c>
      <c r="C54" s="127">
        <v>2023</v>
      </c>
      <c r="D54" s="197">
        <v>128</v>
      </c>
      <c r="E54" s="198">
        <v>45062</v>
      </c>
      <c r="F54" s="198">
        <v>45109</v>
      </c>
      <c r="G54" s="197">
        <v>182.83333333333334</v>
      </c>
    </row>
    <row r="55" spans="1:7" x14ac:dyDescent="0.25">
      <c r="A55" s="129" t="s">
        <v>350</v>
      </c>
      <c r="B55" s="198">
        <v>45052</v>
      </c>
      <c r="C55" s="127">
        <v>2023</v>
      </c>
      <c r="D55" s="197">
        <v>126</v>
      </c>
      <c r="E55" s="198">
        <v>45062</v>
      </c>
      <c r="F55" s="198">
        <v>45108</v>
      </c>
      <c r="G55" s="197">
        <v>181.66666666666666</v>
      </c>
    </row>
    <row r="56" spans="1:7" x14ac:dyDescent="0.25">
      <c r="A56" s="129" t="s">
        <v>349</v>
      </c>
      <c r="B56" s="198">
        <v>45050</v>
      </c>
      <c r="C56" s="127">
        <v>2023</v>
      </c>
      <c r="D56" s="197">
        <v>123.75</v>
      </c>
      <c r="E56" s="198">
        <v>45061</v>
      </c>
      <c r="F56" s="198">
        <v>45107</v>
      </c>
      <c r="G56" s="197">
        <v>181.375</v>
      </c>
    </row>
    <row r="57" spans="1:7" x14ac:dyDescent="0.25">
      <c r="A57" s="129" t="s">
        <v>348</v>
      </c>
      <c r="B57" s="198">
        <v>45050</v>
      </c>
      <c r="C57" s="127">
        <v>2023</v>
      </c>
      <c r="D57" s="197">
        <v>123.6</v>
      </c>
      <c r="E57" s="198">
        <v>45061</v>
      </c>
      <c r="F57" s="198">
        <v>45108</v>
      </c>
      <c r="G57" s="197">
        <v>182</v>
      </c>
    </row>
    <row r="58" spans="1:7" x14ac:dyDescent="0.25">
      <c r="A58" s="129" t="s">
        <v>347</v>
      </c>
      <c r="B58" s="198">
        <v>45050</v>
      </c>
      <c r="C58" s="127">
        <v>2023</v>
      </c>
      <c r="D58" s="197">
        <v>124</v>
      </c>
      <c r="E58" s="198">
        <v>45061</v>
      </c>
      <c r="F58" s="198">
        <v>45108</v>
      </c>
      <c r="G58" s="197">
        <v>181.66666666666666</v>
      </c>
    </row>
    <row r="59" spans="1:7" x14ac:dyDescent="0.25">
      <c r="A59" s="129" t="s">
        <v>346</v>
      </c>
      <c r="B59" s="198">
        <v>45050</v>
      </c>
      <c r="C59" s="127">
        <v>2023</v>
      </c>
      <c r="D59" s="197">
        <v>123.5</v>
      </c>
      <c r="E59" s="198">
        <v>45060</v>
      </c>
      <c r="F59" s="198">
        <v>45107</v>
      </c>
      <c r="G59" s="197">
        <v>180.5</v>
      </c>
    </row>
    <row r="60" spans="1:7" x14ac:dyDescent="0.25">
      <c r="A60" s="129" t="s">
        <v>345</v>
      </c>
      <c r="B60" s="198">
        <v>45051</v>
      </c>
      <c r="C60" s="127">
        <v>2023</v>
      </c>
      <c r="D60" s="197">
        <v>125.33333333333333</v>
      </c>
      <c r="E60" s="198">
        <v>45063</v>
      </c>
      <c r="F60" s="198">
        <v>45108</v>
      </c>
      <c r="G60" s="197">
        <v>181.66666666666666</v>
      </c>
    </row>
    <row r="61" spans="1:7" x14ac:dyDescent="0.25">
      <c r="A61" s="129" t="s">
        <v>344</v>
      </c>
      <c r="B61" s="198">
        <v>45050</v>
      </c>
      <c r="C61" s="127">
        <v>2023</v>
      </c>
      <c r="D61" s="197">
        <v>124</v>
      </c>
      <c r="E61" s="198">
        <v>45062</v>
      </c>
      <c r="F61" s="198">
        <v>45108</v>
      </c>
      <c r="G61" s="197">
        <v>181.66666666666666</v>
      </c>
    </row>
    <row r="62" spans="1:7" x14ac:dyDescent="0.25">
      <c r="A62" s="129" t="s">
        <v>343</v>
      </c>
      <c r="B62" s="198">
        <v>45046</v>
      </c>
      <c r="C62" s="127">
        <v>2023</v>
      </c>
      <c r="D62" s="197">
        <v>120</v>
      </c>
      <c r="E62" s="198">
        <v>45062</v>
      </c>
      <c r="F62" s="198">
        <v>45109</v>
      </c>
      <c r="G62" s="197">
        <v>182.83333333333334</v>
      </c>
    </row>
    <row r="63" spans="1:7" x14ac:dyDescent="0.25">
      <c r="A63" s="129" t="s">
        <v>342</v>
      </c>
      <c r="B63" s="198">
        <v>45049</v>
      </c>
      <c r="C63" s="127">
        <v>2023</v>
      </c>
      <c r="D63" s="197">
        <v>123</v>
      </c>
      <c r="E63" s="198">
        <v>45061</v>
      </c>
      <c r="F63" s="198">
        <v>45109</v>
      </c>
      <c r="G63" s="197">
        <v>182.83333333333334</v>
      </c>
    </row>
    <row r="64" spans="1:7" x14ac:dyDescent="0.25">
      <c r="A64" s="129" t="s">
        <v>341</v>
      </c>
      <c r="B64" s="198">
        <v>45050</v>
      </c>
      <c r="C64" s="127">
        <v>2023</v>
      </c>
      <c r="D64" s="197">
        <v>123.66666666666667</v>
      </c>
      <c r="E64" s="198">
        <v>45060</v>
      </c>
      <c r="F64" s="198">
        <v>45110</v>
      </c>
      <c r="G64" s="197">
        <v>184</v>
      </c>
    </row>
    <row r="65" spans="1:7" x14ac:dyDescent="0.25">
      <c r="A65" s="129" t="s">
        <v>340</v>
      </c>
      <c r="B65" s="198">
        <v>45046</v>
      </c>
      <c r="C65" s="127">
        <v>2023</v>
      </c>
      <c r="D65" s="197">
        <v>120</v>
      </c>
      <c r="E65" s="198">
        <v>45059</v>
      </c>
      <c r="F65" s="198">
        <v>45108</v>
      </c>
      <c r="G65" s="197">
        <v>181.66666666666666</v>
      </c>
    </row>
    <row r="66" spans="1:7" x14ac:dyDescent="0.25">
      <c r="A66" s="129" t="s">
        <v>339</v>
      </c>
      <c r="B66" s="198">
        <v>45046</v>
      </c>
      <c r="C66" s="127">
        <v>2023</v>
      </c>
      <c r="D66" s="197">
        <v>120</v>
      </c>
      <c r="E66" s="198">
        <v>45060</v>
      </c>
      <c r="F66" s="198">
        <v>45108</v>
      </c>
      <c r="G66" s="197">
        <v>181.66666666666666</v>
      </c>
    </row>
    <row r="67" spans="1:7" x14ac:dyDescent="0.25">
      <c r="A67" s="129" t="s">
        <v>338</v>
      </c>
      <c r="B67" s="198">
        <v>45049</v>
      </c>
      <c r="C67" s="127">
        <v>2023</v>
      </c>
      <c r="D67" s="197">
        <v>122.6</v>
      </c>
      <c r="E67" s="198">
        <v>45059</v>
      </c>
      <c r="F67" s="198">
        <v>45109</v>
      </c>
      <c r="G67" s="197">
        <v>182.83333333333334</v>
      </c>
    </row>
    <row r="68" spans="1:7" x14ac:dyDescent="0.25">
      <c r="A68" s="129" t="s">
        <v>337</v>
      </c>
      <c r="B68" s="198">
        <v>45050</v>
      </c>
      <c r="C68" s="127">
        <v>2023</v>
      </c>
      <c r="D68" s="197">
        <v>124</v>
      </c>
      <c r="E68" s="198">
        <v>45062</v>
      </c>
      <c r="F68" s="198">
        <v>45108</v>
      </c>
      <c r="G68" s="197">
        <v>182</v>
      </c>
    </row>
    <row r="69" spans="1:7" x14ac:dyDescent="0.25">
      <c r="A69" s="129" t="s">
        <v>336</v>
      </c>
      <c r="B69" s="198">
        <v>45048</v>
      </c>
      <c r="C69" s="127">
        <v>2023</v>
      </c>
      <c r="D69" s="197">
        <v>122</v>
      </c>
      <c r="E69" s="198">
        <v>45061</v>
      </c>
      <c r="F69" s="198">
        <v>45108</v>
      </c>
      <c r="G69" s="197">
        <v>181.66666666666666</v>
      </c>
    </row>
    <row r="70" spans="1:7" x14ac:dyDescent="0.25">
      <c r="A70" s="129" t="s">
        <v>335</v>
      </c>
      <c r="B70" s="198">
        <v>45048</v>
      </c>
      <c r="C70" s="127">
        <v>2023</v>
      </c>
      <c r="D70" s="197">
        <v>122</v>
      </c>
      <c r="E70" s="198">
        <v>45061</v>
      </c>
      <c r="F70" s="198">
        <v>45109</v>
      </c>
      <c r="G70" s="197">
        <v>182.83333333333334</v>
      </c>
    </row>
    <row r="71" spans="1:7" x14ac:dyDescent="0.25">
      <c r="A71" s="129" t="s">
        <v>334</v>
      </c>
      <c r="B71" s="198">
        <v>45049</v>
      </c>
      <c r="C71" s="127">
        <v>2023</v>
      </c>
      <c r="D71" s="197">
        <v>123.33333333333333</v>
      </c>
      <c r="E71" s="198">
        <v>45060</v>
      </c>
      <c r="F71" s="198">
        <v>45110</v>
      </c>
      <c r="G71" s="197">
        <v>184</v>
      </c>
    </row>
    <row r="72" spans="1:7" x14ac:dyDescent="0.25">
      <c r="A72" s="129" t="s">
        <v>333</v>
      </c>
      <c r="B72" s="198">
        <v>45048</v>
      </c>
      <c r="C72" s="127">
        <v>2023</v>
      </c>
      <c r="D72" s="197">
        <v>122.33333333333333</v>
      </c>
      <c r="E72" s="198">
        <v>45061</v>
      </c>
      <c r="F72" s="198">
        <v>45109</v>
      </c>
      <c r="G72" s="197">
        <v>182.83333333333334</v>
      </c>
    </row>
    <row r="73" spans="1:7" x14ac:dyDescent="0.25">
      <c r="A73" s="129" t="s">
        <v>332</v>
      </c>
      <c r="B73" s="198">
        <v>45051</v>
      </c>
      <c r="C73" s="127">
        <v>2023</v>
      </c>
      <c r="D73" s="197">
        <v>125</v>
      </c>
      <c r="E73" s="198">
        <v>45062</v>
      </c>
      <c r="F73" s="198">
        <v>45110</v>
      </c>
      <c r="G73" s="197">
        <v>184</v>
      </c>
    </row>
    <row r="74" spans="1:7" x14ac:dyDescent="0.25">
      <c r="A74" s="129" t="s">
        <v>331</v>
      </c>
      <c r="B74" s="198">
        <v>45050</v>
      </c>
      <c r="C74" s="127">
        <v>2023</v>
      </c>
      <c r="D74" s="197">
        <v>123.5</v>
      </c>
      <c r="E74" s="198">
        <v>45061</v>
      </c>
      <c r="F74" s="198">
        <v>45109</v>
      </c>
      <c r="G74" s="197">
        <v>182.83333333333334</v>
      </c>
    </row>
    <row r="75" spans="1:7" x14ac:dyDescent="0.25">
      <c r="A75" s="129" t="s">
        <v>330</v>
      </c>
      <c r="B75" s="198">
        <v>45047</v>
      </c>
      <c r="C75" s="127">
        <v>2023</v>
      </c>
      <c r="D75" s="197">
        <v>121</v>
      </c>
      <c r="E75" s="198">
        <v>45062</v>
      </c>
      <c r="F75" s="198">
        <v>45110</v>
      </c>
      <c r="G75" s="197">
        <v>184</v>
      </c>
    </row>
    <row r="76" spans="1:7" x14ac:dyDescent="0.25">
      <c r="A76" s="129" t="s">
        <v>329</v>
      </c>
      <c r="B76" s="198">
        <v>45049</v>
      </c>
      <c r="C76" s="127">
        <v>2023</v>
      </c>
      <c r="D76" s="197">
        <v>123</v>
      </c>
      <c r="E76" s="198">
        <v>45063</v>
      </c>
      <c r="F76" s="198">
        <v>45110</v>
      </c>
      <c r="G76" s="197">
        <v>184</v>
      </c>
    </row>
    <row r="77" spans="1:7" x14ac:dyDescent="0.25">
      <c r="A77" s="129" t="s">
        <v>328</v>
      </c>
      <c r="B77" s="198">
        <v>45050</v>
      </c>
      <c r="C77" s="127">
        <v>2023</v>
      </c>
      <c r="D77" s="197">
        <v>124</v>
      </c>
      <c r="E77" s="198">
        <v>45062</v>
      </c>
      <c r="F77" s="198">
        <v>45109</v>
      </c>
      <c r="G77" s="197">
        <v>182.83333333333334</v>
      </c>
    </row>
    <row r="78" spans="1:7" x14ac:dyDescent="0.25">
      <c r="A78" s="129" t="s">
        <v>327</v>
      </c>
      <c r="B78" s="198">
        <v>45051</v>
      </c>
      <c r="C78" s="127">
        <v>2023</v>
      </c>
      <c r="D78" s="197">
        <v>125.33333333333333</v>
      </c>
      <c r="E78" s="198">
        <v>45062</v>
      </c>
      <c r="F78" s="198">
        <v>45110</v>
      </c>
      <c r="G78" s="197">
        <v>184</v>
      </c>
    </row>
    <row r="79" spans="1:7" x14ac:dyDescent="0.25">
      <c r="A79" s="129" t="s">
        <v>326</v>
      </c>
      <c r="B79" s="198">
        <v>45050</v>
      </c>
      <c r="C79" s="127">
        <v>2023</v>
      </c>
      <c r="D79" s="197">
        <v>123.66666666666667</v>
      </c>
      <c r="E79" s="198">
        <v>45061</v>
      </c>
      <c r="F79" s="198">
        <v>45109</v>
      </c>
      <c r="G79" s="197">
        <v>182.83333333333334</v>
      </c>
    </row>
    <row r="80" spans="1:7" x14ac:dyDescent="0.25">
      <c r="A80" s="129" t="s">
        <v>325</v>
      </c>
      <c r="B80" s="198">
        <v>45050</v>
      </c>
      <c r="C80" s="127">
        <v>2023</v>
      </c>
      <c r="D80" s="197">
        <v>123.66666666666667</v>
      </c>
      <c r="E80" s="198">
        <v>45060</v>
      </c>
      <c r="F80" s="198">
        <v>45110</v>
      </c>
      <c r="G80" s="197">
        <v>184</v>
      </c>
    </row>
    <row r="81" spans="1:7" x14ac:dyDescent="0.25">
      <c r="A81" s="129" t="s">
        <v>324</v>
      </c>
      <c r="B81" s="198">
        <v>45053</v>
      </c>
      <c r="C81" s="127">
        <v>2023</v>
      </c>
      <c r="D81" s="197">
        <v>126.8</v>
      </c>
      <c r="E81" s="198">
        <v>45063</v>
      </c>
      <c r="F81" s="198">
        <v>45108</v>
      </c>
      <c r="G81" s="197">
        <v>181.66666666666666</v>
      </c>
    </row>
    <row r="82" spans="1:7" x14ac:dyDescent="0.25">
      <c r="A82" s="129" t="s">
        <v>323</v>
      </c>
      <c r="B82" s="198">
        <v>45052</v>
      </c>
      <c r="C82" s="127">
        <v>2023</v>
      </c>
      <c r="D82" s="197">
        <v>126</v>
      </c>
      <c r="E82" s="198">
        <v>45062</v>
      </c>
      <c r="F82" s="198">
        <v>45109</v>
      </c>
      <c r="G82" s="197">
        <v>182.83333333333334</v>
      </c>
    </row>
    <row r="83" spans="1:7" x14ac:dyDescent="0.25">
      <c r="A83" s="129" t="s">
        <v>322</v>
      </c>
      <c r="B83" s="198">
        <v>45049</v>
      </c>
      <c r="C83" s="127">
        <v>2023</v>
      </c>
      <c r="D83" s="197">
        <v>123.33333333333333</v>
      </c>
      <c r="E83" s="198">
        <v>45061</v>
      </c>
      <c r="F83" s="198">
        <v>45109</v>
      </c>
      <c r="G83" s="197">
        <v>182.83333333333334</v>
      </c>
    </row>
    <row r="84" spans="1:7" x14ac:dyDescent="0.25">
      <c r="A84" s="129" t="s">
        <v>321</v>
      </c>
      <c r="B84" s="198">
        <v>45052</v>
      </c>
      <c r="C84" s="127">
        <v>2023</v>
      </c>
      <c r="D84" s="197">
        <v>126</v>
      </c>
      <c r="E84" s="198">
        <v>45059</v>
      </c>
      <c r="F84" s="198">
        <v>45108</v>
      </c>
      <c r="G84" s="197">
        <v>181.66666666666666</v>
      </c>
    </row>
    <row r="85" spans="1:7" x14ac:dyDescent="0.25">
      <c r="A85" s="129" t="s">
        <v>320</v>
      </c>
      <c r="B85" s="198">
        <v>45049</v>
      </c>
      <c r="C85" s="127">
        <v>2023</v>
      </c>
      <c r="D85" s="197">
        <v>122.6</v>
      </c>
      <c r="E85" s="198">
        <v>45062</v>
      </c>
      <c r="F85" s="198">
        <v>45108</v>
      </c>
      <c r="G85" s="197">
        <v>181.66666666666666</v>
      </c>
    </row>
    <row r="86" spans="1:7" x14ac:dyDescent="0.25">
      <c r="A86" s="129" t="s">
        <v>319</v>
      </c>
      <c r="B86" s="198">
        <v>45050</v>
      </c>
      <c r="C86" s="127">
        <v>2023</v>
      </c>
      <c r="D86" s="197">
        <v>123.66666666666667</v>
      </c>
      <c r="E86" s="198">
        <v>45062</v>
      </c>
      <c r="F86" s="198">
        <v>45109</v>
      </c>
      <c r="G86" s="197">
        <v>182.83333333333334</v>
      </c>
    </row>
    <row r="87" spans="1:7" x14ac:dyDescent="0.25">
      <c r="A87" s="129" t="s">
        <v>318</v>
      </c>
      <c r="B87" s="198">
        <v>45050</v>
      </c>
      <c r="C87" s="127">
        <v>2023</v>
      </c>
      <c r="D87" s="197">
        <v>123.75</v>
      </c>
      <c r="E87" s="198">
        <v>45062</v>
      </c>
      <c r="F87" s="198">
        <v>45108</v>
      </c>
      <c r="G87" s="197">
        <v>182</v>
      </c>
    </row>
    <row r="88" spans="1:7" x14ac:dyDescent="0.25">
      <c r="A88" s="129" t="s">
        <v>317</v>
      </c>
      <c r="B88" s="198">
        <v>45051</v>
      </c>
      <c r="C88" s="127">
        <v>2023</v>
      </c>
      <c r="D88" s="197">
        <v>124.66666666666667</v>
      </c>
      <c r="E88" s="198">
        <v>45061</v>
      </c>
      <c r="F88" s="198">
        <v>45109</v>
      </c>
      <c r="G88" s="197">
        <v>182.83333333333334</v>
      </c>
    </row>
    <row r="89" spans="1:7" x14ac:dyDescent="0.25">
      <c r="A89" s="129" t="s">
        <v>316</v>
      </c>
      <c r="B89" s="198">
        <v>45052</v>
      </c>
      <c r="C89" s="127">
        <v>2023</v>
      </c>
      <c r="D89" s="197">
        <v>125.6</v>
      </c>
      <c r="E89" s="198">
        <v>45062</v>
      </c>
      <c r="F89" s="198">
        <v>45108</v>
      </c>
      <c r="G89" s="197">
        <v>181.66666666666666</v>
      </c>
    </row>
    <row r="90" spans="1:7" x14ac:dyDescent="0.25">
      <c r="A90" s="129" t="s">
        <v>315</v>
      </c>
      <c r="B90" s="198">
        <v>45051</v>
      </c>
      <c r="C90" s="127">
        <v>2023</v>
      </c>
      <c r="D90" s="197">
        <v>124.66666666666667</v>
      </c>
      <c r="E90" s="198">
        <v>45062</v>
      </c>
      <c r="F90" s="198">
        <v>45108</v>
      </c>
      <c r="G90" s="197">
        <v>181.66666666666666</v>
      </c>
    </row>
    <row r="91" spans="1:7" x14ac:dyDescent="0.25">
      <c r="A91" s="129" t="s">
        <v>314</v>
      </c>
      <c r="B91" s="198">
        <v>45052</v>
      </c>
      <c r="C91" s="127">
        <v>2023</v>
      </c>
      <c r="D91" s="197">
        <v>126</v>
      </c>
      <c r="E91" s="198">
        <v>45061</v>
      </c>
      <c r="F91" s="198">
        <v>45106</v>
      </c>
      <c r="G91" s="197">
        <v>179.8</v>
      </c>
    </row>
    <row r="92" spans="1:7" x14ac:dyDescent="0.25">
      <c r="A92" s="129" t="s">
        <v>313</v>
      </c>
      <c r="B92" s="198">
        <v>45051</v>
      </c>
      <c r="C92" s="127">
        <v>2023</v>
      </c>
      <c r="D92" s="197">
        <v>124.8</v>
      </c>
      <c r="E92" s="198">
        <v>45063</v>
      </c>
      <c r="F92" s="198">
        <v>45109</v>
      </c>
      <c r="G92" s="197">
        <v>182.83333333333334</v>
      </c>
    </row>
    <row r="93" spans="1:7" x14ac:dyDescent="0.25">
      <c r="A93" s="129" t="s">
        <v>312</v>
      </c>
      <c r="B93" s="198">
        <v>45050</v>
      </c>
      <c r="C93" s="127">
        <v>2023</v>
      </c>
      <c r="D93" s="197">
        <v>123.75</v>
      </c>
      <c r="E93" s="198">
        <v>45063</v>
      </c>
      <c r="F93" s="198">
        <v>45110</v>
      </c>
      <c r="G93" s="197">
        <v>184</v>
      </c>
    </row>
    <row r="94" spans="1:7" x14ac:dyDescent="0.25">
      <c r="A94" s="129" t="s">
        <v>311</v>
      </c>
      <c r="B94" s="198">
        <v>45052</v>
      </c>
      <c r="C94" s="127">
        <v>2023</v>
      </c>
      <c r="D94" s="197">
        <v>125.5</v>
      </c>
      <c r="E94" s="198">
        <v>45063</v>
      </c>
      <c r="F94" s="198">
        <v>45108</v>
      </c>
      <c r="G94" s="197">
        <v>181.66666666666666</v>
      </c>
    </row>
    <row r="95" spans="1:7" x14ac:dyDescent="0.25">
      <c r="A95" s="129" t="s">
        <v>310</v>
      </c>
      <c r="B95" s="198">
        <v>45051</v>
      </c>
      <c r="C95" s="127">
        <v>2023</v>
      </c>
      <c r="D95" s="197">
        <v>124.66666666666667</v>
      </c>
      <c r="E95" s="198">
        <v>45063</v>
      </c>
      <c r="F95" s="198">
        <v>45110</v>
      </c>
      <c r="G95" s="197">
        <v>184</v>
      </c>
    </row>
    <row r="96" spans="1:7" x14ac:dyDescent="0.25">
      <c r="A96" s="129" t="s">
        <v>309</v>
      </c>
      <c r="B96" s="198">
        <v>45048</v>
      </c>
      <c r="C96" s="127">
        <v>2023</v>
      </c>
      <c r="D96" s="197">
        <v>122.4</v>
      </c>
      <c r="E96" s="198">
        <v>45062</v>
      </c>
      <c r="F96" s="198">
        <v>45109</v>
      </c>
      <c r="G96" s="197">
        <v>182.83333333333334</v>
      </c>
    </row>
    <row r="97" spans="1:7" x14ac:dyDescent="0.25">
      <c r="A97" s="129" t="s">
        <v>308</v>
      </c>
      <c r="B97" s="198">
        <v>45049</v>
      </c>
      <c r="C97" s="127">
        <v>2023</v>
      </c>
      <c r="D97" s="197">
        <v>123.33333333333333</v>
      </c>
      <c r="E97" s="198">
        <v>45063</v>
      </c>
      <c r="F97" s="198">
        <v>45110</v>
      </c>
      <c r="G97" s="197">
        <v>184</v>
      </c>
    </row>
    <row r="98" spans="1:7" x14ac:dyDescent="0.25">
      <c r="A98" s="129" t="s">
        <v>307</v>
      </c>
      <c r="B98" s="198">
        <v>45052</v>
      </c>
      <c r="C98" s="127">
        <v>2023</v>
      </c>
      <c r="D98" s="197">
        <v>126</v>
      </c>
      <c r="E98" s="198">
        <v>45063</v>
      </c>
      <c r="F98" s="198">
        <v>45110</v>
      </c>
      <c r="G98" s="197">
        <v>184</v>
      </c>
    </row>
    <row r="99" spans="1:7" x14ac:dyDescent="0.25">
      <c r="A99" s="129" t="s">
        <v>306</v>
      </c>
      <c r="B99" s="198">
        <v>45055</v>
      </c>
      <c r="C99" s="127">
        <v>2023</v>
      </c>
      <c r="D99" s="197">
        <v>128.5</v>
      </c>
      <c r="E99" s="198">
        <v>45065</v>
      </c>
      <c r="F99" s="198">
        <v>45112</v>
      </c>
      <c r="G99" s="197">
        <v>185.66666666666666</v>
      </c>
    </row>
    <row r="100" spans="1:7" x14ac:dyDescent="0.25">
      <c r="A100" s="129" t="s">
        <v>305</v>
      </c>
      <c r="B100" s="198">
        <v>45052</v>
      </c>
      <c r="C100" s="127">
        <v>2023</v>
      </c>
      <c r="D100" s="197">
        <v>126</v>
      </c>
      <c r="E100" s="198">
        <v>45063</v>
      </c>
      <c r="F100" s="198">
        <v>45109</v>
      </c>
      <c r="G100" s="197">
        <v>182.83333333333334</v>
      </c>
    </row>
    <row r="101" spans="1:7" x14ac:dyDescent="0.25">
      <c r="A101" s="129" t="s">
        <v>304</v>
      </c>
      <c r="B101" s="198">
        <v>45049</v>
      </c>
      <c r="C101" s="127">
        <v>2023</v>
      </c>
      <c r="D101" s="197">
        <v>122.75</v>
      </c>
      <c r="E101" s="198">
        <v>45062</v>
      </c>
      <c r="F101" s="198">
        <v>45109</v>
      </c>
      <c r="G101" s="197">
        <v>182.83333333333334</v>
      </c>
    </row>
    <row r="102" spans="1:7" x14ac:dyDescent="0.25">
      <c r="A102" s="129" t="s">
        <v>303</v>
      </c>
      <c r="B102" s="198">
        <v>45047</v>
      </c>
      <c r="C102" s="127">
        <v>2023</v>
      </c>
      <c r="D102" s="197">
        <v>120.5</v>
      </c>
      <c r="E102" s="198">
        <v>45063</v>
      </c>
      <c r="F102" s="198">
        <v>45110</v>
      </c>
      <c r="G102" s="197">
        <v>184</v>
      </c>
    </row>
    <row r="103" spans="1:7" x14ac:dyDescent="0.25">
      <c r="A103" s="129" t="s">
        <v>302</v>
      </c>
      <c r="B103" s="198">
        <v>45049</v>
      </c>
      <c r="C103" s="127">
        <v>2023</v>
      </c>
      <c r="D103" s="197">
        <v>123.33333333333333</v>
      </c>
      <c r="E103" s="198">
        <v>45063</v>
      </c>
      <c r="F103" s="198">
        <v>45110</v>
      </c>
      <c r="G103" s="197">
        <v>184</v>
      </c>
    </row>
    <row r="104" spans="1:7" x14ac:dyDescent="0.25">
      <c r="A104" s="129" t="s">
        <v>301</v>
      </c>
      <c r="B104" s="198">
        <v>45052</v>
      </c>
      <c r="C104" s="127">
        <v>2023</v>
      </c>
      <c r="D104" s="197">
        <v>125.5</v>
      </c>
      <c r="E104" s="198">
        <v>45063</v>
      </c>
      <c r="F104" s="198">
        <v>45109</v>
      </c>
      <c r="G104" s="197">
        <v>182.83333333333334</v>
      </c>
    </row>
    <row r="105" spans="1:7" x14ac:dyDescent="0.25">
      <c r="A105" s="129" t="s">
        <v>300</v>
      </c>
      <c r="B105" s="198">
        <v>45051</v>
      </c>
      <c r="C105" s="127">
        <v>2023</v>
      </c>
      <c r="D105" s="197">
        <v>125.33333333333333</v>
      </c>
      <c r="E105" s="198">
        <v>45063</v>
      </c>
      <c r="F105" s="198">
        <v>45110</v>
      </c>
      <c r="G105" s="197">
        <v>184</v>
      </c>
    </row>
    <row r="106" spans="1:7" x14ac:dyDescent="0.25">
      <c r="A106" s="129" t="s">
        <v>299</v>
      </c>
      <c r="B106" s="198">
        <v>45052</v>
      </c>
      <c r="C106" s="127">
        <v>2023</v>
      </c>
      <c r="D106" s="197">
        <v>125.5</v>
      </c>
      <c r="E106" s="198">
        <v>45063</v>
      </c>
      <c r="F106" s="198">
        <v>45113</v>
      </c>
      <c r="G106" s="197">
        <v>186.5</v>
      </c>
    </row>
    <row r="107" spans="1:7" x14ac:dyDescent="0.25">
      <c r="A107" s="129" t="s">
        <v>298</v>
      </c>
      <c r="B107" s="198">
        <v>45049</v>
      </c>
      <c r="C107" s="127">
        <v>2023</v>
      </c>
      <c r="D107" s="197">
        <v>123.25</v>
      </c>
      <c r="E107" s="198">
        <v>45063</v>
      </c>
      <c r="F107" s="198">
        <v>45110</v>
      </c>
      <c r="G107" s="197">
        <v>184</v>
      </c>
    </row>
    <row r="108" spans="1:7" x14ac:dyDescent="0.25">
      <c r="A108" s="129" t="s">
        <v>297</v>
      </c>
      <c r="B108" s="198">
        <v>45049</v>
      </c>
      <c r="C108" s="127">
        <v>2023</v>
      </c>
      <c r="D108" s="197">
        <v>123</v>
      </c>
      <c r="E108" s="198">
        <v>45064</v>
      </c>
      <c r="F108" s="198">
        <v>45109</v>
      </c>
      <c r="G108" s="197">
        <v>182.83333333333334</v>
      </c>
    </row>
    <row r="109" spans="1:7" x14ac:dyDescent="0.25">
      <c r="A109" s="129" t="s">
        <v>296</v>
      </c>
      <c r="B109" s="198">
        <v>45050</v>
      </c>
      <c r="C109" s="127">
        <v>2023</v>
      </c>
      <c r="D109" s="197">
        <v>123.6</v>
      </c>
      <c r="E109" s="198">
        <v>45063</v>
      </c>
      <c r="F109" s="198">
        <v>45109</v>
      </c>
      <c r="G109" s="197">
        <v>182.83333333333334</v>
      </c>
    </row>
    <row r="110" spans="1:7" x14ac:dyDescent="0.25">
      <c r="A110" s="129" t="s">
        <v>295</v>
      </c>
      <c r="B110" s="198">
        <v>45049</v>
      </c>
      <c r="C110" s="127">
        <v>2023</v>
      </c>
      <c r="D110" s="197">
        <v>122.5</v>
      </c>
      <c r="E110" s="198">
        <v>45063</v>
      </c>
      <c r="F110" s="198">
        <v>45110</v>
      </c>
      <c r="G110" s="197">
        <v>184</v>
      </c>
    </row>
    <row r="111" spans="1:7" x14ac:dyDescent="0.25">
      <c r="A111" s="129" t="s">
        <v>294</v>
      </c>
      <c r="B111" s="198">
        <v>45048</v>
      </c>
      <c r="C111" s="127">
        <v>2023</v>
      </c>
      <c r="D111" s="197">
        <v>121.75</v>
      </c>
      <c r="E111" s="198">
        <v>45063</v>
      </c>
      <c r="F111" s="198">
        <v>45109</v>
      </c>
      <c r="G111" s="197">
        <v>182.83333333333334</v>
      </c>
    </row>
    <row r="112" spans="1:7" x14ac:dyDescent="0.25">
      <c r="A112" s="129" t="s">
        <v>293</v>
      </c>
      <c r="B112" s="198">
        <v>45049</v>
      </c>
      <c r="C112" s="127">
        <v>2023</v>
      </c>
      <c r="D112" s="197">
        <v>122.5</v>
      </c>
      <c r="E112" s="198">
        <v>45063</v>
      </c>
      <c r="F112" s="198">
        <v>45110</v>
      </c>
      <c r="G112" s="197">
        <v>184</v>
      </c>
    </row>
    <row r="113" spans="1:7" x14ac:dyDescent="0.25">
      <c r="A113" s="129" t="s">
        <v>292</v>
      </c>
      <c r="B113" s="198">
        <v>45050</v>
      </c>
      <c r="C113" s="127">
        <v>2023</v>
      </c>
      <c r="D113" s="197">
        <v>123.6</v>
      </c>
      <c r="E113" s="198">
        <v>45063</v>
      </c>
      <c r="F113" s="198">
        <v>45109</v>
      </c>
      <c r="G113" s="197">
        <v>182.83333333333334</v>
      </c>
    </row>
    <row r="114" spans="1:7" x14ac:dyDescent="0.25">
      <c r="A114" s="129" t="s">
        <v>291</v>
      </c>
      <c r="B114" s="198">
        <v>45048</v>
      </c>
      <c r="C114" s="127">
        <v>2023</v>
      </c>
      <c r="D114" s="197">
        <v>122</v>
      </c>
      <c r="E114" s="198">
        <v>45066</v>
      </c>
      <c r="F114" s="198">
        <v>45109</v>
      </c>
      <c r="G114" s="197">
        <v>182.83333333333334</v>
      </c>
    </row>
    <row r="115" spans="1:7" x14ac:dyDescent="0.25">
      <c r="A115" s="129" t="s">
        <v>290</v>
      </c>
      <c r="B115" s="198">
        <v>45049</v>
      </c>
      <c r="C115" s="127">
        <v>2023</v>
      </c>
      <c r="D115" s="197">
        <v>123.33333333333333</v>
      </c>
      <c r="E115" s="198">
        <v>45063</v>
      </c>
      <c r="F115" s="198">
        <v>45110</v>
      </c>
      <c r="G115" s="197">
        <v>184</v>
      </c>
    </row>
    <row r="116" spans="1:7" x14ac:dyDescent="0.25">
      <c r="A116" s="129" t="s">
        <v>289</v>
      </c>
      <c r="B116" s="198">
        <v>45049</v>
      </c>
      <c r="C116" s="127">
        <v>2023</v>
      </c>
      <c r="D116" s="197">
        <v>122.75</v>
      </c>
      <c r="E116" s="198">
        <v>45065</v>
      </c>
      <c r="F116" s="198">
        <v>45108</v>
      </c>
      <c r="G116" s="197">
        <v>181.66666666666666</v>
      </c>
    </row>
    <row r="117" spans="1:7" x14ac:dyDescent="0.25">
      <c r="A117" s="129" t="s">
        <v>288</v>
      </c>
      <c r="B117" s="198">
        <v>45049</v>
      </c>
      <c r="C117" s="127">
        <v>2023</v>
      </c>
      <c r="D117" s="197">
        <v>123.42857142857143</v>
      </c>
      <c r="E117" s="198">
        <v>45063</v>
      </c>
      <c r="F117" s="198">
        <v>45110</v>
      </c>
      <c r="G117" s="197">
        <v>184</v>
      </c>
    </row>
    <row r="118" spans="1:7" x14ac:dyDescent="0.25">
      <c r="A118" s="129" t="s">
        <v>287</v>
      </c>
      <c r="B118" s="198">
        <v>45049</v>
      </c>
      <c r="C118" s="127">
        <v>2023</v>
      </c>
      <c r="D118" s="197">
        <v>123</v>
      </c>
      <c r="E118" s="198">
        <v>45062</v>
      </c>
      <c r="F118" s="198">
        <v>45109</v>
      </c>
      <c r="G118" s="197">
        <v>182.6</v>
      </c>
    </row>
    <row r="119" spans="1:7" x14ac:dyDescent="0.25">
      <c r="A119" s="129" t="s">
        <v>286</v>
      </c>
      <c r="B119" s="198">
        <v>45049</v>
      </c>
      <c r="C119" s="127">
        <v>2023</v>
      </c>
      <c r="D119" s="197">
        <v>123.25</v>
      </c>
      <c r="E119" s="198">
        <v>45063</v>
      </c>
      <c r="F119" s="198">
        <v>45108</v>
      </c>
      <c r="G119" s="197">
        <v>182</v>
      </c>
    </row>
    <row r="120" spans="1:7" x14ac:dyDescent="0.25">
      <c r="A120" s="129" t="s">
        <v>285</v>
      </c>
      <c r="B120" s="198">
        <v>45049</v>
      </c>
      <c r="C120" s="127">
        <v>2023</v>
      </c>
      <c r="D120" s="197">
        <v>123</v>
      </c>
      <c r="E120" s="198">
        <v>45062</v>
      </c>
      <c r="F120" s="198">
        <v>45109</v>
      </c>
      <c r="G120" s="197">
        <v>182.83333333333334</v>
      </c>
    </row>
    <row r="121" spans="1:7" x14ac:dyDescent="0.25">
      <c r="A121" s="129" t="s">
        <v>284</v>
      </c>
      <c r="B121" s="198">
        <v>45050</v>
      </c>
      <c r="C121" s="127">
        <v>2023</v>
      </c>
      <c r="D121" s="197">
        <v>123.75</v>
      </c>
      <c r="E121" s="198">
        <v>45062</v>
      </c>
      <c r="F121" s="198">
        <v>45109</v>
      </c>
      <c r="G121" s="197">
        <v>182.6</v>
      </c>
    </row>
    <row r="122" spans="1:7" x14ac:dyDescent="0.25">
      <c r="A122" s="129" t="s">
        <v>283</v>
      </c>
      <c r="B122" s="198">
        <v>45049</v>
      </c>
      <c r="C122" s="127">
        <v>2023</v>
      </c>
      <c r="D122" s="197">
        <v>122.625</v>
      </c>
      <c r="E122" s="198">
        <v>45062</v>
      </c>
      <c r="F122" s="198">
        <v>45107</v>
      </c>
      <c r="G122" s="197">
        <v>181.2</v>
      </c>
    </row>
    <row r="123" spans="1:7" x14ac:dyDescent="0.25">
      <c r="A123" s="129" t="s">
        <v>282</v>
      </c>
      <c r="B123" s="198">
        <v>45051</v>
      </c>
      <c r="C123" s="127">
        <v>2023</v>
      </c>
      <c r="D123" s="197">
        <v>124.8</v>
      </c>
      <c r="E123" s="198">
        <v>45063</v>
      </c>
      <c r="F123" s="198">
        <v>45109</v>
      </c>
      <c r="G123" s="197">
        <v>182.6</v>
      </c>
    </row>
    <row r="124" spans="1:7" x14ac:dyDescent="0.25">
      <c r="A124" s="129" t="s">
        <v>281</v>
      </c>
      <c r="B124" s="198">
        <v>45051</v>
      </c>
      <c r="C124" s="127">
        <v>2023</v>
      </c>
      <c r="D124" s="197">
        <v>125</v>
      </c>
      <c r="E124" s="198">
        <v>45064</v>
      </c>
      <c r="F124" s="198">
        <v>45108</v>
      </c>
      <c r="G124" s="197">
        <v>181.66666666666666</v>
      </c>
    </row>
    <row r="125" spans="1:7" x14ac:dyDescent="0.25">
      <c r="A125" s="129" t="s">
        <v>280</v>
      </c>
      <c r="B125" s="198">
        <v>45050</v>
      </c>
      <c r="C125" s="127">
        <v>2023</v>
      </c>
      <c r="D125" s="197">
        <v>124</v>
      </c>
      <c r="E125" s="198">
        <v>45062</v>
      </c>
      <c r="F125" s="198">
        <v>45108</v>
      </c>
      <c r="G125" s="197">
        <v>182</v>
      </c>
    </row>
    <row r="126" spans="1:7" x14ac:dyDescent="0.25">
      <c r="A126" s="129" t="s">
        <v>279</v>
      </c>
      <c r="B126" s="198">
        <v>45049</v>
      </c>
      <c r="C126" s="127">
        <v>2023</v>
      </c>
      <c r="D126" s="197">
        <v>122.75</v>
      </c>
      <c r="E126" s="198">
        <v>45062</v>
      </c>
      <c r="F126" s="198">
        <v>45108</v>
      </c>
      <c r="G126" s="197">
        <v>181.66666666666666</v>
      </c>
    </row>
    <row r="127" spans="1:7" x14ac:dyDescent="0.25">
      <c r="A127" s="129" t="s">
        <v>278</v>
      </c>
      <c r="B127" s="198">
        <v>45050</v>
      </c>
      <c r="C127" s="127">
        <v>2023</v>
      </c>
      <c r="D127" s="197">
        <v>124</v>
      </c>
      <c r="E127" s="198">
        <v>45062</v>
      </c>
      <c r="F127" s="198">
        <v>45108</v>
      </c>
      <c r="G127" s="197">
        <v>181.66666666666666</v>
      </c>
    </row>
    <row r="128" spans="1:7" x14ac:dyDescent="0.25">
      <c r="A128" s="129" t="s">
        <v>277</v>
      </c>
      <c r="B128" s="198">
        <v>45051</v>
      </c>
      <c r="C128" s="127">
        <v>2023</v>
      </c>
      <c r="D128" s="197">
        <v>125</v>
      </c>
      <c r="E128" s="198">
        <v>45063</v>
      </c>
      <c r="F128" s="198">
        <v>45109</v>
      </c>
      <c r="G128" s="197">
        <v>182.83333333333334</v>
      </c>
    </row>
    <row r="129" spans="1:7" x14ac:dyDescent="0.25">
      <c r="A129" s="129" t="s">
        <v>276</v>
      </c>
      <c r="B129" s="198">
        <v>45049</v>
      </c>
      <c r="C129" s="127">
        <v>2023</v>
      </c>
      <c r="D129" s="197">
        <v>123.33333333333333</v>
      </c>
      <c r="E129" s="198">
        <v>45060</v>
      </c>
      <c r="F129" s="198">
        <v>45108</v>
      </c>
      <c r="G129" s="197">
        <v>182</v>
      </c>
    </row>
    <row r="130" spans="1:7" x14ac:dyDescent="0.25">
      <c r="A130" s="129" t="s">
        <v>275</v>
      </c>
      <c r="B130" s="198">
        <v>45049</v>
      </c>
      <c r="C130" s="127">
        <v>2023</v>
      </c>
      <c r="D130" s="197">
        <v>123.2</v>
      </c>
      <c r="E130" s="198">
        <v>45061</v>
      </c>
      <c r="F130" s="198">
        <v>45110</v>
      </c>
      <c r="G130" s="197">
        <v>184</v>
      </c>
    </row>
    <row r="131" spans="1:7" x14ac:dyDescent="0.25">
      <c r="A131" s="129" t="s">
        <v>274</v>
      </c>
      <c r="B131" s="198">
        <v>45050</v>
      </c>
      <c r="C131" s="127">
        <v>2023</v>
      </c>
      <c r="D131" s="197">
        <v>124</v>
      </c>
      <c r="E131" s="198">
        <v>45062</v>
      </c>
      <c r="F131" s="198">
        <v>45108</v>
      </c>
      <c r="G131" s="197">
        <v>181.66666666666666</v>
      </c>
    </row>
    <row r="132" spans="1:7" x14ac:dyDescent="0.25">
      <c r="A132" s="129" t="s">
        <v>273</v>
      </c>
      <c r="B132" s="198">
        <v>45051</v>
      </c>
      <c r="C132" s="127">
        <v>2023</v>
      </c>
      <c r="D132" s="197">
        <v>125</v>
      </c>
      <c r="E132" s="198">
        <v>45062</v>
      </c>
      <c r="F132" s="198">
        <v>45109</v>
      </c>
      <c r="G132" s="197">
        <v>182.83333333333334</v>
      </c>
    </row>
    <row r="133" spans="1:7" x14ac:dyDescent="0.25">
      <c r="A133" s="129" t="s">
        <v>272</v>
      </c>
      <c r="B133" s="198">
        <v>45050</v>
      </c>
      <c r="C133" s="127">
        <v>2023</v>
      </c>
      <c r="D133" s="197">
        <v>123.66666666666667</v>
      </c>
      <c r="E133" s="198">
        <v>45062</v>
      </c>
      <c r="F133" s="198">
        <v>45109</v>
      </c>
      <c r="G133" s="197">
        <v>182.83333333333334</v>
      </c>
    </row>
    <row r="134" spans="1:7" x14ac:dyDescent="0.25">
      <c r="A134" s="129" t="s">
        <v>271</v>
      </c>
      <c r="B134" s="198">
        <v>45051</v>
      </c>
      <c r="C134" s="127">
        <v>2023</v>
      </c>
      <c r="D134" s="197">
        <v>124.5</v>
      </c>
      <c r="E134" s="198">
        <v>45061</v>
      </c>
      <c r="F134" s="198">
        <v>45110</v>
      </c>
      <c r="G134" s="197">
        <v>184</v>
      </c>
    </row>
    <row r="135" spans="1:7" x14ac:dyDescent="0.25">
      <c r="A135" s="129" t="s">
        <v>270</v>
      </c>
      <c r="B135" s="198">
        <v>45050</v>
      </c>
      <c r="C135" s="127">
        <v>2023</v>
      </c>
      <c r="D135" s="197">
        <v>124</v>
      </c>
      <c r="E135" s="198">
        <v>45062</v>
      </c>
      <c r="F135" s="198">
        <v>45109</v>
      </c>
      <c r="G135" s="197">
        <v>182.83333333333334</v>
      </c>
    </row>
    <row r="136" spans="1:7" x14ac:dyDescent="0.25">
      <c r="A136" s="129" t="s">
        <v>269</v>
      </c>
      <c r="B136" s="198">
        <v>45050</v>
      </c>
      <c r="C136" s="127">
        <v>2023</v>
      </c>
      <c r="D136" s="197">
        <v>123.5</v>
      </c>
      <c r="E136" s="198">
        <v>45062</v>
      </c>
      <c r="F136" s="198">
        <v>45109</v>
      </c>
      <c r="G136" s="197">
        <v>182.6</v>
      </c>
    </row>
    <row r="137" spans="1:7" x14ac:dyDescent="0.25">
      <c r="A137" s="129" t="s">
        <v>268</v>
      </c>
      <c r="B137" s="198">
        <v>45052</v>
      </c>
      <c r="C137" s="127">
        <v>2023</v>
      </c>
      <c r="D137" s="197">
        <v>126</v>
      </c>
      <c r="E137" s="198">
        <v>45063</v>
      </c>
      <c r="F137" s="198">
        <v>45110</v>
      </c>
      <c r="G137" s="197">
        <v>184</v>
      </c>
    </row>
    <row r="138" spans="1:7" x14ac:dyDescent="0.25">
      <c r="A138" s="129" t="s">
        <v>267</v>
      </c>
      <c r="B138" s="198">
        <v>45051</v>
      </c>
      <c r="C138" s="127">
        <v>2023</v>
      </c>
      <c r="D138" s="197">
        <v>125.33333333333333</v>
      </c>
      <c r="E138" s="198">
        <v>45062</v>
      </c>
      <c r="F138" s="198">
        <v>45110</v>
      </c>
      <c r="G138" s="197">
        <v>184</v>
      </c>
    </row>
    <row r="139" spans="1:7" x14ac:dyDescent="0.25">
      <c r="A139" s="129" t="s">
        <v>266</v>
      </c>
      <c r="B139" s="198">
        <v>45052</v>
      </c>
      <c r="C139" s="127">
        <v>2023</v>
      </c>
      <c r="D139" s="197">
        <v>126</v>
      </c>
      <c r="E139" s="198">
        <v>45063</v>
      </c>
      <c r="F139" s="198">
        <v>45113</v>
      </c>
      <c r="G139" s="197">
        <v>186.5</v>
      </c>
    </row>
    <row r="140" spans="1:7" x14ac:dyDescent="0.25">
      <c r="A140" s="129" t="s">
        <v>265</v>
      </c>
      <c r="B140" s="198">
        <v>45052</v>
      </c>
      <c r="C140" s="127">
        <v>2023</v>
      </c>
      <c r="D140" s="197">
        <v>126</v>
      </c>
      <c r="E140" s="198">
        <v>45063</v>
      </c>
      <c r="F140" s="198">
        <v>45110</v>
      </c>
      <c r="G140" s="197">
        <v>184</v>
      </c>
    </row>
    <row r="141" spans="1:7" x14ac:dyDescent="0.25">
      <c r="A141" s="129" t="s">
        <v>264</v>
      </c>
      <c r="B141" s="198">
        <v>45051</v>
      </c>
      <c r="C141" s="127">
        <v>2023</v>
      </c>
      <c r="D141" s="197">
        <v>125.2</v>
      </c>
      <c r="E141" s="198">
        <v>45062</v>
      </c>
      <c r="F141" s="198">
        <v>45110</v>
      </c>
      <c r="G141" s="197">
        <v>184</v>
      </c>
    </row>
    <row r="142" spans="1:7" x14ac:dyDescent="0.25">
      <c r="A142" s="129" t="s">
        <v>263</v>
      </c>
      <c r="B142" s="198">
        <v>45052</v>
      </c>
      <c r="C142" s="127">
        <v>2023</v>
      </c>
      <c r="D142" s="197">
        <v>125.71428571428571</v>
      </c>
      <c r="E142" s="198">
        <v>45063</v>
      </c>
      <c r="F142" s="198">
        <v>45109</v>
      </c>
      <c r="G142" s="197">
        <v>182.83333333333334</v>
      </c>
    </row>
    <row r="143" spans="1:7" x14ac:dyDescent="0.25">
      <c r="A143" s="129" t="s">
        <v>262</v>
      </c>
      <c r="B143" s="198">
        <v>45053</v>
      </c>
      <c r="C143" s="127">
        <v>2023</v>
      </c>
      <c r="D143" s="197">
        <v>127</v>
      </c>
      <c r="E143" s="198">
        <v>45066</v>
      </c>
      <c r="F143" s="198">
        <v>45110</v>
      </c>
      <c r="G143" s="197">
        <v>184</v>
      </c>
    </row>
    <row r="144" spans="1:7" x14ac:dyDescent="0.25">
      <c r="A144" s="129" t="s">
        <v>261</v>
      </c>
      <c r="B144" s="198">
        <v>45054</v>
      </c>
      <c r="C144" s="127">
        <v>2023</v>
      </c>
      <c r="D144" s="197">
        <v>128</v>
      </c>
      <c r="E144" s="198">
        <v>45064</v>
      </c>
      <c r="F144" s="198">
        <v>45112</v>
      </c>
      <c r="G144" s="197">
        <v>186</v>
      </c>
    </row>
    <row r="145" spans="1:7" x14ac:dyDescent="0.25">
      <c r="A145" s="129" t="s">
        <v>260</v>
      </c>
      <c r="B145" s="198">
        <v>45051</v>
      </c>
      <c r="C145" s="127">
        <v>2023</v>
      </c>
      <c r="D145" s="197">
        <v>125.42857142857143</v>
      </c>
      <c r="E145" s="198">
        <v>45062</v>
      </c>
      <c r="F145" s="198">
        <v>45109</v>
      </c>
      <c r="G145" s="197">
        <v>182.83333333333334</v>
      </c>
    </row>
    <row r="146" spans="1:7" x14ac:dyDescent="0.25">
      <c r="A146" s="129" t="s">
        <v>259</v>
      </c>
      <c r="B146" s="198">
        <v>45052</v>
      </c>
      <c r="C146" s="127">
        <v>2023</v>
      </c>
      <c r="D146" s="197">
        <v>125.66666666666667</v>
      </c>
      <c r="E146" s="198">
        <v>45063</v>
      </c>
      <c r="F146" s="198">
        <v>45109</v>
      </c>
      <c r="G146" s="197">
        <v>182.83333333333334</v>
      </c>
    </row>
    <row r="147" spans="1:7" x14ac:dyDescent="0.25">
      <c r="A147" s="129" t="s">
        <v>258</v>
      </c>
      <c r="B147" s="198">
        <v>45050</v>
      </c>
      <c r="C147" s="127">
        <v>2023</v>
      </c>
      <c r="D147" s="197">
        <v>124.4</v>
      </c>
      <c r="E147" s="198">
        <v>45063</v>
      </c>
      <c r="F147" s="198">
        <v>45109</v>
      </c>
      <c r="G147" s="197">
        <v>182.83333333333334</v>
      </c>
    </row>
    <row r="148" spans="1:7" x14ac:dyDescent="0.25">
      <c r="A148" s="129" t="s">
        <v>257</v>
      </c>
      <c r="B148" s="198">
        <v>45051</v>
      </c>
      <c r="C148" s="127">
        <v>2023</v>
      </c>
      <c r="D148" s="197">
        <v>124.8</v>
      </c>
      <c r="E148" s="198">
        <v>45062</v>
      </c>
      <c r="F148" s="198">
        <v>45109</v>
      </c>
      <c r="G148" s="197">
        <v>182.83333333333334</v>
      </c>
    </row>
    <row r="149" spans="1:7" x14ac:dyDescent="0.25">
      <c r="A149" s="129" t="s">
        <v>256</v>
      </c>
      <c r="B149" s="198">
        <v>45049</v>
      </c>
      <c r="C149" s="127">
        <v>2023</v>
      </c>
      <c r="D149" s="197">
        <v>123.33333333333333</v>
      </c>
      <c r="E149" s="198">
        <v>45063</v>
      </c>
      <c r="F149" s="198">
        <v>45108</v>
      </c>
      <c r="G149" s="197">
        <v>181.66666666666666</v>
      </c>
    </row>
    <row r="150" spans="1:7" x14ac:dyDescent="0.25">
      <c r="A150" s="129" t="s">
        <v>255</v>
      </c>
      <c r="B150" s="198">
        <v>45052</v>
      </c>
      <c r="C150" s="127">
        <v>2023</v>
      </c>
      <c r="D150" s="197">
        <v>126</v>
      </c>
      <c r="E150" s="198">
        <v>45062</v>
      </c>
      <c r="F150" s="198">
        <v>45108</v>
      </c>
      <c r="G150" s="197">
        <v>181.66666666666666</v>
      </c>
    </row>
    <row r="151" spans="1:7" x14ac:dyDescent="0.25">
      <c r="A151" s="129" t="s">
        <v>254</v>
      </c>
      <c r="B151" s="198">
        <v>45052</v>
      </c>
      <c r="C151" s="127">
        <v>2023</v>
      </c>
      <c r="D151" s="197">
        <v>126.33333333333333</v>
      </c>
      <c r="E151" s="198">
        <v>45062</v>
      </c>
      <c r="F151" s="198">
        <v>45107</v>
      </c>
      <c r="G151" s="197">
        <v>181.2</v>
      </c>
    </row>
    <row r="152" spans="1:7" x14ac:dyDescent="0.25">
      <c r="A152" s="129" t="s">
        <v>253</v>
      </c>
      <c r="B152" s="198">
        <v>45049</v>
      </c>
      <c r="C152" s="127">
        <v>2023</v>
      </c>
      <c r="D152" s="197">
        <v>123</v>
      </c>
      <c r="E152" s="198">
        <v>45063</v>
      </c>
      <c r="F152" s="198">
        <v>45107</v>
      </c>
      <c r="G152" s="197">
        <v>181.2</v>
      </c>
    </row>
    <row r="153" spans="1:7" x14ac:dyDescent="0.25">
      <c r="A153" s="129" t="s">
        <v>252</v>
      </c>
      <c r="B153" s="198">
        <v>45049</v>
      </c>
      <c r="C153" s="127">
        <v>2023</v>
      </c>
      <c r="D153" s="197">
        <v>122.6</v>
      </c>
      <c r="E153" s="198">
        <v>45063</v>
      </c>
      <c r="F153" s="198">
        <v>45108</v>
      </c>
      <c r="G153" s="197">
        <v>181.66666666666666</v>
      </c>
    </row>
    <row r="154" spans="1:7" x14ac:dyDescent="0.25">
      <c r="A154" s="129" t="s">
        <v>251</v>
      </c>
      <c r="B154" s="198">
        <v>45049</v>
      </c>
      <c r="C154" s="127">
        <v>2023</v>
      </c>
      <c r="D154" s="197">
        <v>123.33333333333333</v>
      </c>
      <c r="E154" s="198">
        <v>45063</v>
      </c>
      <c r="F154" s="198">
        <v>45107</v>
      </c>
      <c r="G154" s="197">
        <v>181</v>
      </c>
    </row>
    <row r="155" spans="1:7" x14ac:dyDescent="0.25">
      <c r="A155" s="129" t="s">
        <v>250</v>
      </c>
      <c r="B155" s="198">
        <v>45049</v>
      </c>
      <c r="C155" s="127">
        <v>2023</v>
      </c>
      <c r="D155" s="197">
        <v>122.85714285714286</v>
      </c>
      <c r="E155" s="198">
        <v>45063</v>
      </c>
      <c r="F155" s="198">
        <v>45107</v>
      </c>
      <c r="G155" s="197">
        <v>180.5</v>
      </c>
    </row>
    <row r="156" spans="1:7" x14ac:dyDescent="0.25">
      <c r="A156" s="129" t="s">
        <v>249</v>
      </c>
      <c r="B156" s="198">
        <v>45049</v>
      </c>
      <c r="C156" s="127">
        <v>2023</v>
      </c>
      <c r="D156" s="197">
        <v>123.25</v>
      </c>
      <c r="E156" s="198">
        <v>45062</v>
      </c>
      <c r="F156" s="198">
        <v>45108</v>
      </c>
      <c r="G156" s="197">
        <v>181.66666666666666</v>
      </c>
    </row>
    <row r="157" spans="1:7" x14ac:dyDescent="0.25">
      <c r="A157" s="129" t="s">
        <v>248</v>
      </c>
      <c r="B157" s="198">
        <v>45049</v>
      </c>
      <c r="C157" s="127">
        <v>2023</v>
      </c>
      <c r="D157" s="197">
        <v>123.33333333333333</v>
      </c>
      <c r="E157" s="198">
        <v>45063</v>
      </c>
      <c r="F157" s="198">
        <v>45109</v>
      </c>
      <c r="G157" s="197">
        <v>182.83333333333334</v>
      </c>
    </row>
    <row r="158" spans="1:7" x14ac:dyDescent="0.25">
      <c r="A158" s="129" t="s">
        <v>247</v>
      </c>
      <c r="B158" s="198">
        <v>45049</v>
      </c>
      <c r="C158" s="127">
        <v>2023</v>
      </c>
      <c r="D158" s="197">
        <v>122.66666666666667</v>
      </c>
      <c r="E158" s="198">
        <v>45063</v>
      </c>
      <c r="F158" s="198">
        <v>45108</v>
      </c>
      <c r="G158" s="197">
        <v>182</v>
      </c>
    </row>
    <row r="159" spans="1:7" x14ac:dyDescent="0.25">
      <c r="A159" s="129" t="s">
        <v>246</v>
      </c>
      <c r="B159" s="198">
        <v>45046</v>
      </c>
      <c r="C159" s="127">
        <v>2023</v>
      </c>
      <c r="D159" s="197">
        <v>120</v>
      </c>
      <c r="E159" s="198">
        <v>45063</v>
      </c>
      <c r="F159" s="198">
        <v>45108</v>
      </c>
      <c r="G159" s="197">
        <v>181.66666666666666</v>
      </c>
    </row>
    <row r="160" spans="1:7" x14ac:dyDescent="0.25">
      <c r="A160" s="129" t="s">
        <v>245</v>
      </c>
      <c r="B160" s="198">
        <v>45049</v>
      </c>
      <c r="C160" s="127">
        <v>2023</v>
      </c>
      <c r="D160" s="197">
        <v>122.5</v>
      </c>
      <c r="E160" s="198">
        <v>45063</v>
      </c>
      <c r="F160" s="198">
        <v>45109</v>
      </c>
      <c r="G160" s="197">
        <v>182.83333333333334</v>
      </c>
    </row>
    <row r="161" spans="1:7" x14ac:dyDescent="0.25">
      <c r="A161" s="129" t="s">
        <v>244</v>
      </c>
      <c r="B161" s="198">
        <v>45049</v>
      </c>
      <c r="C161" s="127">
        <v>2023</v>
      </c>
      <c r="D161" s="197">
        <v>122.6</v>
      </c>
      <c r="E161" s="198">
        <v>45063</v>
      </c>
      <c r="F161" s="198">
        <v>45109</v>
      </c>
      <c r="G161" s="197">
        <v>182.83333333333334</v>
      </c>
    </row>
    <row r="162" spans="1:7" x14ac:dyDescent="0.25">
      <c r="A162" s="129" t="s">
        <v>243</v>
      </c>
      <c r="B162" s="198">
        <v>45050</v>
      </c>
      <c r="C162" s="127">
        <v>2023</v>
      </c>
      <c r="D162" s="197">
        <v>123.66666666666667</v>
      </c>
      <c r="E162" s="198">
        <v>45063</v>
      </c>
      <c r="F162" s="198">
        <v>45108</v>
      </c>
      <c r="G162" s="197">
        <v>182</v>
      </c>
    </row>
    <row r="163" spans="1:7" x14ac:dyDescent="0.25">
      <c r="A163" s="129" t="s">
        <v>242</v>
      </c>
      <c r="B163" s="198">
        <v>45049</v>
      </c>
      <c r="C163" s="127">
        <v>2023</v>
      </c>
      <c r="D163" s="197">
        <v>122.8</v>
      </c>
      <c r="E163" s="198">
        <v>45063</v>
      </c>
      <c r="F163" s="198">
        <v>45109</v>
      </c>
      <c r="G163" s="197">
        <v>182.83333333333334</v>
      </c>
    </row>
    <row r="164" spans="1:7" x14ac:dyDescent="0.25">
      <c r="A164" s="129" t="s">
        <v>241</v>
      </c>
      <c r="B164" s="198">
        <v>45049</v>
      </c>
      <c r="C164" s="127">
        <v>2023</v>
      </c>
      <c r="D164" s="197">
        <v>123</v>
      </c>
      <c r="E164" s="198">
        <v>45062</v>
      </c>
      <c r="F164" s="198">
        <v>45109</v>
      </c>
      <c r="G164" s="197">
        <v>182.83333333333334</v>
      </c>
    </row>
    <row r="165" spans="1:7" x14ac:dyDescent="0.25">
      <c r="A165" s="129" t="s">
        <v>240</v>
      </c>
      <c r="B165" s="198">
        <v>45049</v>
      </c>
      <c r="C165" s="127">
        <v>2023</v>
      </c>
      <c r="D165" s="197">
        <v>122.5</v>
      </c>
      <c r="E165" s="198">
        <v>45062</v>
      </c>
      <c r="F165" s="198">
        <v>45107</v>
      </c>
      <c r="G165" s="197">
        <v>181.2</v>
      </c>
    </row>
    <row r="166" spans="1:7" x14ac:dyDescent="0.25">
      <c r="A166" s="129" t="s">
        <v>239</v>
      </c>
      <c r="B166" s="198">
        <v>45049</v>
      </c>
      <c r="C166" s="127">
        <v>2023</v>
      </c>
      <c r="D166" s="197">
        <v>122.5</v>
      </c>
      <c r="E166" s="198">
        <v>45063</v>
      </c>
      <c r="F166" s="198">
        <v>45109</v>
      </c>
      <c r="G166" s="197">
        <v>182.83333333333334</v>
      </c>
    </row>
    <row r="167" spans="1:7" x14ac:dyDescent="0.25">
      <c r="A167" s="129" t="s">
        <v>238</v>
      </c>
      <c r="B167" s="198">
        <v>45050</v>
      </c>
      <c r="C167" s="127">
        <v>2023</v>
      </c>
      <c r="D167" s="197">
        <v>123.5</v>
      </c>
      <c r="E167" s="198">
        <v>45066</v>
      </c>
      <c r="F167" s="198">
        <v>45109</v>
      </c>
      <c r="G167" s="197">
        <v>182.6</v>
      </c>
    </row>
    <row r="168" spans="1:7" x14ac:dyDescent="0.25">
      <c r="A168" s="129" t="s">
        <v>237</v>
      </c>
      <c r="B168" s="198">
        <v>45049</v>
      </c>
      <c r="C168" s="127">
        <v>2023</v>
      </c>
      <c r="D168" s="197">
        <v>123.25</v>
      </c>
      <c r="E168" s="198">
        <v>45063</v>
      </c>
      <c r="F168" s="198">
        <v>45110</v>
      </c>
      <c r="G168" s="197">
        <v>184</v>
      </c>
    </row>
    <row r="169" spans="1:7" x14ac:dyDescent="0.25">
      <c r="A169" s="129" t="s">
        <v>236</v>
      </c>
      <c r="B169" s="198">
        <v>45051</v>
      </c>
      <c r="C169" s="127">
        <v>2023</v>
      </c>
      <c r="D169" s="197">
        <v>125.33333333333333</v>
      </c>
      <c r="E169" s="198">
        <v>45063</v>
      </c>
      <c r="F169" s="198">
        <v>45109</v>
      </c>
      <c r="G169" s="197">
        <v>182.83333333333334</v>
      </c>
    </row>
    <row r="170" spans="1:7" x14ac:dyDescent="0.25">
      <c r="A170" s="129" t="s">
        <v>235</v>
      </c>
      <c r="B170" s="198">
        <v>45049</v>
      </c>
      <c r="C170" s="127">
        <v>2023</v>
      </c>
      <c r="D170" s="197">
        <v>123.33333333333333</v>
      </c>
      <c r="E170" s="198">
        <v>45063</v>
      </c>
      <c r="F170" s="198">
        <v>45108</v>
      </c>
      <c r="G170" s="197">
        <v>182</v>
      </c>
    </row>
    <row r="171" spans="1:7" x14ac:dyDescent="0.25">
      <c r="A171" s="129" t="s">
        <v>234</v>
      </c>
      <c r="B171" s="198">
        <v>45051</v>
      </c>
      <c r="C171" s="127">
        <v>2023</v>
      </c>
      <c r="D171" s="197">
        <v>125</v>
      </c>
      <c r="E171" s="198">
        <v>45062</v>
      </c>
      <c r="F171" s="198">
        <v>45109</v>
      </c>
      <c r="G171" s="197">
        <v>182.83333333333334</v>
      </c>
    </row>
    <row r="172" spans="1:7" x14ac:dyDescent="0.25">
      <c r="A172" s="129" t="s">
        <v>233</v>
      </c>
      <c r="B172" s="198">
        <v>45049</v>
      </c>
      <c r="C172" s="127">
        <v>2023</v>
      </c>
      <c r="D172" s="197">
        <v>123.33333333333333</v>
      </c>
      <c r="E172" s="198">
        <v>45063</v>
      </c>
      <c r="F172" s="198">
        <v>45109</v>
      </c>
      <c r="G172" s="197">
        <v>182.83333333333334</v>
      </c>
    </row>
    <row r="173" spans="1:7" x14ac:dyDescent="0.25">
      <c r="A173" s="129" t="s">
        <v>232</v>
      </c>
      <c r="B173" s="198">
        <v>45053</v>
      </c>
      <c r="C173" s="127">
        <v>2023</v>
      </c>
      <c r="D173" s="197">
        <v>127</v>
      </c>
      <c r="E173" s="198">
        <v>45063</v>
      </c>
      <c r="F173" s="198">
        <v>45108</v>
      </c>
      <c r="G173" s="197">
        <v>181.66666666666666</v>
      </c>
    </row>
    <row r="174" spans="1:7" x14ac:dyDescent="0.25">
      <c r="A174" s="129" t="s">
        <v>231</v>
      </c>
      <c r="B174" s="198">
        <v>45050</v>
      </c>
      <c r="C174" s="127">
        <v>2023</v>
      </c>
      <c r="D174" s="197">
        <v>123.5</v>
      </c>
      <c r="E174" s="198">
        <v>45063</v>
      </c>
      <c r="F174" s="198">
        <v>45108</v>
      </c>
      <c r="G174" s="197">
        <v>182</v>
      </c>
    </row>
    <row r="175" spans="1:7" x14ac:dyDescent="0.25">
      <c r="A175" s="129" t="s">
        <v>230</v>
      </c>
      <c r="B175" s="198">
        <v>45051</v>
      </c>
      <c r="C175" s="127">
        <v>2023</v>
      </c>
      <c r="D175" s="197">
        <v>124.66666666666667</v>
      </c>
      <c r="E175" s="198">
        <v>45063</v>
      </c>
      <c r="F175" s="198">
        <v>45109</v>
      </c>
      <c r="G175" s="197">
        <v>182.83333333333334</v>
      </c>
    </row>
    <row r="176" spans="1:7" x14ac:dyDescent="0.25">
      <c r="A176" s="129" t="s">
        <v>229</v>
      </c>
      <c r="B176" s="198">
        <v>45051</v>
      </c>
      <c r="C176" s="127">
        <v>2023</v>
      </c>
      <c r="D176" s="197">
        <v>125.33333333333333</v>
      </c>
      <c r="E176" s="198">
        <v>45063</v>
      </c>
      <c r="F176" s="198">
        <v>45109</v>
      </c>
      <c r="G176" s="197">
        <v>182.83333333333334</v>
      </c>
    </row>
    <row r="177" spans="1:7" x14ac:dyDescent="0.25">
      <c r="A177" s="129" t="s">
        <v>228</v>
      </c>
      <c r="B177" s="198">
        <v>45052</v>
      </c>
      <c r="C177" s="127">
        <v>2023</v>
      </c>
      <c r="D177" s="197">
        <v>126</v>
      </c>
      <c r="E177" s="198">
        <v>45064</v>
      </c>
      <c r="F177" s="198">
        <v>45109</v>
      </c>
      <c r="G177" s="197">
        <v>182.83333333333334</v>
      </c>
    </row>
    <row r="178" spans="1:7" x14ac:dyDescent="0.25">
      <c r="A178" s="129" t="s">
        <v>227</v>
      </c>
      <c r="B178" s="198">
        <v>45050</v>
      </c>
      <c r="C178" s="127">
        <v>2023</v>
      </c>
      <c r="D178" s="197">
        <v>123.5</v>
      </c>
      <c r="E178" s="198">
        <v>45064</v>
      </c>
      <c r="F178" s="198">
        <v>45108</v>
      </c>
      <c r="G178" s="197">
        <v>181.66666666666666</v>
      </c>
    </row>
    <row r="179" spans="1:7" x14ac:dyDescent="0.25">
      <c r="A179" s="129" t="s">
        <v>226</v>
      </c>
      <c r="B179" s="198">
        <v>45049</v>
      </c>
      <c r="C179" s="127">
        <v>2023</v>
      </c>
      <c r="D179" s="197">
        <v>123.28571428571429</v>
      </c>
      <c r="E179" s="198">
        <v>45063</v>
      </c>
      <c r="F179" s="198">
        <v>45108</v>
      </c>
      <c r="G179" s="197">
        <v>182</v>
      </c>
    </row>
    <row r="180" spans="1:7" x14ac:dyDescent="0.25">
      <c r="A180" s="129" t="s">
        <v>225</v>
      </c>
      <c r="B180" s="198">
        <v>45051</v>
      </c>
      <c r="C180" s="127">
        <v>2023</v>
      </c>
      <c r="D180" s="197">
        <v>124.8</v>
      </c>
      <c r="E180" s="198">
        <v>45063</v>
      </c>
      <c r="F180" s="198">
        <v>45108</v>
      </c>
      <c r="G180" s="197">
        <v>181.66666666666666</v>
      </c>
    </row>
    <row r="181" spans="1:7" x14ac:dyDescent="0.25">
      <c r="A181" s="129" t="s">
        <v>224</v>
      </c>
      <c r="B181" s="198">
        <v>45050</v>
      </c>
      <c r="C181" s="127">
        <v>2023</v>
      </c>
      <c r="D181" s="197">
        <v>124</v>
      </c>
      <c r="E181" s="198">
        <v>45062</v>
      </c>
      <c r="F181" s="198">
        <v>45109</v>
      </c>
      <c r="G181" s="197">
        <v>182.83333333333334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74E75-4236-45CE-9AF3-5C133859A3F5}">
  <dimension ref="A1:M13"/>
  <sheetViews>
    <sheetView tabSelected="1" workbookViewId="0">
      <selection activeCell="H15" sqref="H15"/>
    </sheetView>
  </sheetViews>
  <sheetFormatPr defaultRowHeight="12.75" x14ac:dyDescent="0.2"/>
  <cols>
    <col min="2" max="2" width="10.7109375" bestFit="1" customWidth="1"/>
    <col min="3" max="4" width="9.28515625" bestFit="1" customWidth="1"/>
    <col min="5" max="5" width="10.7109375" bestFit="1" customWidth="1"/>
    <col min="6" max="6" width="10.85546875" bestFit="1" customWidth="1"/>
    <col min="7" max="7" width="9.28515625" bestFit="1" customWidth="1"/>
    <col min="8" max="13" width="9.5703125" bestFit="1" customWidth="1"/>
  </cols>
  <sheetData>
    <row r="1" spans="1:13" ht="15" x14ac:dyDescent="0.25">
      <c r="A1" s="127" t="s">
        <v>7</v>
      </c>
      <c r="B1" s="127" t="s">
        <v>425</v>
      </c>
      <c r="C1" s="127" t="s">
        <v>426</v>
      </c>
      <c r="D1" s="127" t="s">
        <v>427</v>
      </c>
      <c r="E1" s="127" t="s">
        <v>469</v>
      </c>
      <c r="F1" s="127" t="s">
        <v>476</v>
      </c>
      <c r="G1" s="127" t="s">
        <v>475</v>
      </c>
      <c r="H1" s="127" t="s">
        <v>489</v>
      </c>
      <c r="I1" s="127" t="s">
        <v>490</v>
      </c>
      <c r="J1" s="127" t="s">
        <v>491</v>
      </c>
      <c r="K1" s="127" t="s">
        <v>492</v>
      </c>
      <c r="L1" s="127" t="s">
        <v>493</v>
      </c>
      <c r="M1" s="127" t="s">
        <v>494</v>
      </c>
    </row>
    <row r="2" spans="1:13" ht="15" x14ac:dyDescent="0.25">
      <c r="A2" s="127" t="s">
        <v>477</v>
      </c>
      <c r="B2" s="198">
        <v>45050</v>
      </c>
      <c r="C2" s="127">
        <v>2023</v>
      </c>
      <c r="D2" s="127">
        <v>124</v>
      </c>
      <c r="E2" s="198">
        <v>45061</v>
      </c>
      <c r="F2" s="198">
        <v>45108</v>
      </c>
      <c r="G2" s="197">
        <v>182.32954545454547</v>
      </c>
      <c r="H2" s="128">
        <v>6.2727272727272725</v>
      </c>
      <c r="I2" s="128">
        <v>5.9090909090909092</v>
      </c>
      <c r="J2" s="128">
        <v>4.7272727272727275</v>
      </c>
      <c r="K2" s="128">
        <v>3.0909090909090908</v>
      </c>
      <c r="L2" s="128">
        <v>2.3636363636363638</v>
      </c>
      <c r="M2" s="128">
        <v>1.0909090909090908</v>
      </c>
    </row>
    <row r="3" spans="1:13" ht="15" x14ac:dyDescent="0.25">
      <c r="A3" s="127" t="s">
        <v>478</v>
      </c>
      <c r="B3" s="198">
        <v>45049</v>
      </c>
      <c r="C3" s="127">
        <v>2023</v>
      </c>
      <c r="D3" s="127">
        <v>123</v>
      </c>
      <c r="E3" s="198">
        <v>45061</v>
      </c>
      <c r="F3" s="198">
        <v>45109</v>
      </c>
      <c r="G3" s="197">
        <v>183.1358024691358</v>
      </c>
      <c r="H3" s="128">
        <v>7.1818181818181817</v>
      </c>
      <c r="I3" s="128">
        <v>6.8181818181818183</v>
      </c>
      <c r="J3" s="128">
        <v>5.0909090909090908</v>
      </c>
      <c r="K3" s="128">
        <v>3.6363636363636362</v>
      </c>
      <c r="L3" s="128">
        <v>3.0909090909090908</v>
      </c>
      <c r="M3" s="128">
        <v>2</v>
      </c>
    </row>
    <row r="4" spans="1:13" ht="15" x14ac:dyDescent="0.25">
      <c r="A4" s="127" t="s">
        <v>479</v>
      </c>
      <c r="B4" s="198">
        <v>45048</v>
      </c>
      <c r="C4" s="127">
        <v>2023</v>
      </c>
      <c r="D4" s="127">
        <v>122</v>
      </c>
      <c r="E4" s="198">
        <v>45060</v>
      </c>
      <c r="F4" s="198">
        <v>45109</v>
      </c>
      <c r="G4" s="197">
        <v>182.86046511627907</v>
      </c>
      <c r="H4" s="128">
        <v>7.2727272727272725</v>
      </c>
      <c r="I4" s="128">
        <v>6.7272727272727275</v>
      </c>
      <c r="J4" s="128">
        <v>5.2727272727272725</v>
      </c>
      <c r="K4" s="128">
        <v>3.6363636363636362</v>
      </c>
      <c r="L4" s="128">
        <v>3.1818181818181817</v>
      </c>
      <c r="M4" s="128">
        <v>1.6363636363636365</v>
      </c>
    </row>
    <row r="5" spans="1:13" ht="15" x14ac:dyDescent="0.25">
      <c r="A5" s="127" t="s">
        <v>480</v>
      </c>
      <c r="B5" s="198">
        <v>45050</v>
      </c>
      <c r="C5" s="127">
        <v>2023</v>
      </c>
      <c r="D5" s="127">
        <v>124</v>
      </c>
      <c r="E5" s="198">
        <v>45062</v>
      </c>
      <c r="F5" s="198">
        <v>45108</v>
      </c>
      <c r="G5" s="197">
        <v>181.89247311827958</v>
      </c>
      <c r="H5" s="128">
        <v>6.6363636363636367</v>
      </c>
      <c r="I5" s="128">
        <v>5.8181818181818183</v>
      </c>
      <c r="J5" s="128">
        <v>4.3636363636363633</v>
      </c>
      <c r="K5" s="128">
        <v>2.5454545454545454</v>
      </c>
      <c r="L5" s="128">
        <v>2.0909090909090908</v>
      </c>
      <c r="M5" s="128">
        <v>0.81818181818181823</v>
      </c>
    </row>
    <row r="6" spans="1:13" ht="15" x14ac:dyDescent="0.25">
      <c r="A6" s="127" t="s">
        <v>481</v>
      </c>
      <c r="B6" s="198">
        <v>45049</v>
      </c>
      <c r="C6" s="127">
        <v>2023</v>
      </c>
      <c r="D6" s="127">
        <v>123</v>
      </c>
      <c r="E6" s="198">
        <v>45061</v>
      </c>
      <c r="F6" s="198">
        <v>45109</v>
      </c>
      <c r="G6" s="197">
        <v>182.86046511627907</v>
      </c>
      <c r="H6" s="128">
        <v>7.1818181818181817</v>
      </c>
      <c r="I6" s="128">
        <v>6.6363636363636367</v>
      </c>
      <c r="J6" s="128">
        <v>5.1818181818181817</v>
      </c>
      <c r="K6" s="128">
        <v>4.0909090909090908</v>
      </c>
      <c r="L6" s="128">
        <v>3.2727272727272729</v>
      </c>
      <c r="M6" s="128">
        <v>1.9090909090909092</v>
      </c>
    </row>
    <row r="7" spans="1:13" ht="15" x14ac:dyDescent="0.25">
      <c r="A7" s="127" t="s">
        <v>482</v>
      </c>
      <c r="B7" s="198">
        <v>45050</v>
      </c>
      <c r="C7" s="127">
        <v>2023</v>
      </c>
      <c r="D7" s="127">
        <v>124</v>
      </c>
      <c r="E7" s="198">
        <v>45061</v>
      </c>
      <c r="F7" s="198">
        <v>45108</v>
      </c>
      <c r="G7" s="197">
        <v>182.32954545454547</v>
      </c>
      <c r="H7" s="128">
        <v>6.7272727272727275</v>
      </c>
      <c r="I7" s="128">
        <v>5.6363636363636367</v>
      </c>
      <c r="J7" s="128">
        <v>4.1818181818181817</v>
      </c>
      <c r="K7" s="128">
        <v>2.6363636363636362</v>
      </c>
      <c r="L7" s="128">
        <v>2</v>
      </c>
      <c r="M7" s="128">
        <v>1</v>
      </c>
    </row>
    <row r="8" spans="1:13" ht="15" x14ac:dyDescent="0.25">
      <c r="A8" s="127" t="s">
        <v>483</v>
      </c>
      <c r="B8" s="198">
        <v>45050</v>
      </c>
      <c r="C8" s="127">
        <v>2023</v>
      </c>
      <c r="D8" s="127">
        <v>124</v>
      </c>
      <c r="E8" s="198">
        <v>45063</v>
      </c>
      <c r="F8" s="198">
        <v>45110</v>
      </c>
      <c r="G8" s="197">
        <v>183.55696202531647</v>
      </c>
      <c r="H8" s="128">
        <v>6.2727272727272725</v>
      </c>
      <c r="I8" s="128">
        <v>5.3636363636363633</v>
      </c>
      <c r="J8" s="128">
        <v>3.6363636363636362</v>
      </c>
      <c r="K8" s="128">
        <v>2.0909090909090908</v>
      </c>
      <c r="L8" s="128">
        <v>1.3636363636363635</v>
      </c>
      <c r="M8" s="128">
        <v>0.81818181818181823</v>
      </c>
    </row>
    <row r="9" spans="1:13" ht="15" x14ac:dyDescent="0.25">
      <c r="A9" s="127" t="s">
        <v>484</v>
      </c>
      <c r="B9" s="198">
        <v>45049</v>
      </c>
      <c r="C9" s="127">
        <v>2023</v>
      </c>
      <c r="D9" s="127">
        <v>123</v>
      </c>
      <c r="E9" s="198">
        <v>45063</v>
      </c>
      <c r="F9" s="198">
        <v>45109</v>
      </c>
      <c r="G9" s="197">
        <v>183</v>
      </c>
      <c r="H9" s="128">
        <v>6.8181818181818183</v>
      </c>
      <c r="I9" s="128">
        <v>5.8181818181818183</v>
      </c>
      <c r="J9" s="128">
        <v>4.0909090909090908</v>
      </c>
      <c r="K9" s="128">
        <v>2.8181818181818183</v>
      </c>
      <c r="L9" s="128">
        <v>2.2727272727272729</v>
      </c>
      <c r="M9" s="128">
        <v>1.3636363636363635</v>
      </c>
    </row>
    <row r="10" spans="1:13" ht="15" x14ac:dyDescent="0.25">
      <c r="A10" s="127" t="s">
        <v>485</v>
      </c>
      <c r="B10" s="198">
        <v>45050</v>
      </c>
      <c r="C10" s="127">
        <v>2023</v>
      </c>
      <c r="D10" s="127">
        <v>124</v>
      </c>
      <c r="E10" s="198">
        <v>45062</v>
      </c>
      <c r="F10" s="198">
        <v>45108</v>
      </c>
      <c r="G10" s="197">
        <v>182.39080459770116</v>
      </c>
      <c r="H10" s="128">
        <v>6.6363636363636367</v>
      </c>
      <c r="I10" s="128">
        <v>6.0909090909090908</v>
      </c>
      <c r="J10" s="128">
        <v>4.3636363636363633</v>
      </c>
      <c r="K10" s="128">
        <v>3</v>
      </c>
      <c r="L10" s="128">
        <v>2.0909090909090908</v>
      </c>
      <c r="M10" s="128">
        <v>1.5454545454545454</v>
      </c>
    </row>
    <row r="11" spans="1:13" ht="15" x14ac:dyDescent="0.25">
      <c r="A11" s="127" t="s">
        <v>486</v>
      </c>
      <c r="B11" s="198">
        <v>45051</v>
      </c>
      <c r="C11" s="127">
        <v>2023</v>
      </c>
      <c r="D11" s="127">
        <v>125</v>
      </c>
      <c r="E11" s="198">
        <v>45063</v>
      </c>
      <c r="F11" s="198">
        <v>45109</v>
      </c>
      <c r="G11" s="197">
        <v>183.21250000000001</v>
      </c>
      <c r="H11" s="128">
        <v>6.0909090909090908</v>
      </c>
      <c r="I11" s="128">
        <v>5.5454545454545459</v>
      </c>
      <c r="J11" s="128">
        <v>3.9090909090909092</v>
      </c>
      <c r="K11" s="128">
        <v>2.2727272727272729</v>
      </c>
      <c r="L11" s="128">
        <v>1.8181818181818181</v>
      </c>
      <c r="M11" s="128">
        <v>1</v>
      </c>
    </row>
    <row r="12" spans="1:13" ht="15" x14ac:dyDescent="0.25">
      <c r="A12" s="127" t="s">
        <v>487</v>
      </c>
      <c r="B12" s="198">
        <v>45049</v>
      </c>
      <c r="C12" s="127">
        <v>2023</v>
      </c>
      <c r="D12" s="127">
        <v>123</v>
      </c>
      <c r="E12" s="198">
        <v>45063</v>
      </c>
      <c r="F12" s="198">
        <v>45108</v>
      </c>
      <c r="G12" s="197">
        <v>182</v>
      </c>
      <c r="H12" s="128">
        <v>6.7272727272727275</v>
      </c>
      <c r="I12" s="128">
        <v>6.1818181818181817</v>
      </c>
      <c r="J12" s="128">
        <v>4.4545454545454541</v>
      </c>
      <c r="K12" s="128">
        <v>2.7272727272727271</v>
      </c>
      <c r="L12" s="128">
        <v>2</v>
      </c>
      <c r="M12" s="128">
        <v>1.4545454545454546</v>
      </c>
    </row>
    <row r="13" spans="1:13" ht="15" x14ac:dyDescent="0.25">
      <c r="A13" s="127" t="s">
        <v>488</v>
      </c>
      <c r="B13" s="198">
        <v>45050</v>
      </c>
      <c r="C13" s="127">
        <v>2023</v>
      </c>
      <c r="D13" s="127">
        <v>124</v>
      </c>
      <c r="E13" s="198">
        <v>45063</v>
      </c>
      <c r="F13" s="198">
        <v>45108</v>
      </c>
      <c r="G13" s="197">
        <v>182.46153846153845</v>
      </c>
      <c r="H13" s="128">
        <v>6.2727272727272725</v>
      </c>
      <c r="I13" s="128">
        <v>5.7272727272727275</v>
      </c>
      <c r="J13" s="128">
        <v>4</v>
      </c>
      <c r="K13" s="128">
        <v>2.1818181818181817</v>
      </c>
      <c r="L13" s="128">
        <v>1.6363636363636365</v>
      </c>
      <c r="M13" s="128">
        <v>0.90909090909090906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6"/>
  <sheetViews>
    <sheetView zoomScale="70" zoomScaleNormal="70" zoomScaleSheetLayoutView="55" workbookViewId="0">
      <selection activeCell="F2" sqref="F2"/>
    </sheetView>
  </sheetViews>
  <sheetFormatPr defaultRowHeight="12.75" x14ac:dyDescent="0.2"/>
  <sheetData>
    <row r="1" spans="1:37" ht="18.75" x14ac:dyDescent="0.3">
      <c r="A1" s="41">
        <v>2023</v>
      </c>
      <c r="B1" s="42" t="s">
        <v>16</v>
      </c>
      <c r="C1" s="41" t="s">
        <v>6</v>
      </c>
    </row>
    <row r="2" spans="1:37" ht="14.45" customHeight="1" x14ac:dyDescent="0.3">
      <c r="A2" s="42" t="s">
        <v>25</v>
      </c>
      <c r="J2" s="43" t="s">
        <v>18</v>
      </c>
      <c r="K2" s="13"/>
      <c r="L2" s="44" t="s">
        <v>19</v>
      </c>
      <c r="M2" s="13"/>
    </row>
    <row r="3" spans="1:37" ht="15" x14ac:dyDescent="0.25">
      <c r="A3" t="s">
        <v>26</v>
      </c>
      <c r="B3" s="45"/>
      <c r="J3" s="46" t="s">
        <v>20</v>
      </c>
      <c r="K3" s="47"/>
      <c r="L3" s="47" t="s">
        <v>9</v>
      </c>
      <c r="M3" s="47"/>
      <c r="N3" s="2"/>
      <c r="O3" s="2"/>
      <c r="P3" s="2"/>
      <c r="Q3" s="2"/>
      <c r="R3" s="2"/>
    </row>
    <row r="4" spans="1:37" ht="7.9" customHeight="1" x14ac:dyDescent="0.25">
      <c r="B4" s="45"/>
    </row>
    <row r="5" spans="1:37" ht="32.25" thickBot="1" x14ac:dyDescent="0.3">
      <c r="A5" s="48" t="s">
        <v>7</v>
      </c>
      <c r="B5" s="49" t="s">
        <v>12</v>
      </c>
      <c r="C5" s="50" t="s">
        <v>24</v>
      </c>
      <c r="D5" s="51" t="s">
        <v>21</v>
      </c>
      <c r="E5" s="51" t="s">
        <v>21</v>
      </c>
      <c r="F5" s="51" t="s">
        <v>21</v>
      </c>
      <c r="G5" s="51" t="s">
        <v>21</v>
      </c>
      <c r="H5" s="51" t="s">
        <v>21</v>
      </c>
      <c r="I5" s="80"/>
      <c r="J5" s="48" t="s">
        <v>7</v>
      </c>
      <c r="K5" s="49" t="s">
        <v>12</v>
      </c>
      <c r="L5" s="50" t="s">
        <v>24</v>
      </c>
      <c r="M5" s="51" t="s">
        <v>21</v>
      </c>
      <c r="N5" s="51" t="s">
        <v>21</v>
      </c>
      <c r="O5" s="51" t="s">
        <v>21</v>
      </c>
      <c r="P5" s="51" t="s">
        <v>21</v>
      </c>
      <c r="Q5" s="51" t="s">
        <v>21</v>
      </c>
      <c r="R5" s="80"/>
      <c r="S5" s="52"/>
      <c r="T5" s="48" t="s">
        <v>7</v>
      </c>
      <c r="U5" s="49" t="s">
        <v>12</v>
      </c>
      <c r="V5" s="50" t="s">
        <v>24</v>
      </c>
      <c r="W5" s="53" t="s">
        <v>21</v>
      </c>
      <c r="X5" s="51" t="s">
        <v>21</v>
      </c>
      <c r="Y5" s="51" t="s">
        <v>21</v>
      </c>
      <c r="Z5" s="51" t="s">
        <v>21</v>
      </c>
      <c r="AA5" s="51" t="s">
        <v>21</v>
      </c>
      <c r="AB5" s="82"/>
      <c r="AD5" s="48" t="s">
        <v>7</v>
      </c>
      <c r="AE5" s="49" t="s">
        <v>12</v>
      </c>
      <c r="AF5" s="50" t="s">
        <v>24</v>
      </c>
      <c r="AG5" s="51" t="s">
        <v>21</v>
      </c>
      <c r="AH5" s="51" t="s">
        <v>21</v>
      </c>
      <c r="AI5" s="51" t="s">
        <v>21</v>
      </c>
      <c r="AJ5" s="51" t="s">
        <v>21</v>
      </c>
      <c r="AK5" s="51" t="s">
        <v>21</v>
      </c>
    </row>
    <row r="6" spans="1:37" ht="35.1" customHeight="1" thickTop="1" thickBot="1" x14ac:dyDescent="0.25">
      <c r="A6" s="54" t="s">
        <v>27</v>
      </c>
      <c r="B6" s="55"/>
      <c r="C6" s="56"/>
      <c r="D6" s="83"/>
      <c r="E6" s="83"/>
      <c r="F6" s="83"/>
      <c r="G6" s="83"/>
      <c r="H6" s="83"/>
      <c r="I6" s="64"/>
      <c r="J6" s="54" t="s">
        <v>56</v>
      </c>
      <c r="K6" s="55"/>
      <c r="L6" s="56"/>
      <c r="M6" s="83"/>
      <c r="N6" s="83"/>
      <c r="O6" s="83"/>
      <c r="P6" s="83"/>
      <c r="Q6" s="83"/>
      <c r="R6" s="64"/>
      <c r="S6" s="59"/>
      <c r="T6" s="60" t="s">
        <v>28</v>
      </c>
      <c r="U6" s="55"/>
      <c r="V6" s="56"/>
      <c r="W6" s="83"/>
      <c r="X6" s="83"/>
      <c r="Y6" s="83"/>
      <c r="Z6" s="83"/>
      <c r="AA6" s="83"/>
      <c r="AB6" s="64"/>
      <c r="AD6" s="63" t="s">
        <v>57</v>
      </c>
      <c r="AE6" s="55"/>
      <c r="AF6" s="56"/>
      <c r="AG6" s="83"/>
      <c r="AH6" s="83"/>
      <c r="AI6" s="83"/>
      <c r="AJ6" s="83"/>
      <c r="AK6" s="83"/>
    </row>
    <row r="7" spans="1:37" ht="35.1" customHeight="1" thickBot="1" x14ac:dyDescent="0.25">
      <c r="A7" s="61" t="s">
        <v>29</v>
      </c>
      <c r="B7" s="55"/>
      <c r="C7" s="56"/>
      <c r="D7" s="83"/>
      <c r="E7" s="83"/>
      <c r="F7" s="83"/>
      <c r="G7" s="83"/>
      <c r="H7" s="83"/>
      <c r="I7" s="64"/>
      <c r="J7" s="61" t="s">
        <v>58</v>
      </c>
      <c r="K7" s="55"/>
      <c r="L7" s="56"/>
      <c r="M7" s="83"/>
      <c r="N7" s="83"/>
      <c r="O7" s="83"/>
      <c r="P7" s="83"/>
      <c r="Q7" s="83"/>
      <c r="R7" s="64"/>
      <c r="S7" s="59"/>
      <c r="T7" s="62" t="s">
        <v>30</v>
      </c>
      <c r="U7" s="55"/>
      <c r="V7" s="56"/>
      <c r="W7" s="83"/>
      <c r="X7" s="83"/>
      <c r="Y7" s="83"/>
      <c r="Z7" s="83"/>
      <c r="AA7" s="83"/>
      <c r="AB7" s="64"/>
      <c r="AD7" s="62" t="s">
        <v>59</v>
      </c>
      <c r="AE7" s="55"/>
      <c r="AF7" s="56"/>
      <c r="AG7" s="83"/>
      <c r="AH7" s="83"/>
      <c r="AI7" s="83"/>
      <c r="AJ7" s="83"/>
      <c r="AK7" s="83"/>
    </row>
    <row r="8" spans="1:37" ht="35.1" customHeight="1" thickBot="1" x14ac:dyDescent="0.25">
      <c r="A8" s="54" t="s">
        <v>31</v>
      </c>
      <c r="B8" s="55"/>
      <c r="C8" s="56"/>
      <c r="D8" s="83"/>
      <c r="E8" s="83"/>
      <c r="F8" s="83"/>
      <c r="G8" s="83"/>
      <c r="H8" s="83"/>
      <c r="I8" s="64"/>
      <c r="J8" s="54" t="s">
        <v>60</v>
      </c>
      <c r="K8" s="55"/>
      <c r="L8" s="56"/>
      <c r="M8" s="83"/>
      <c r="N8" s="83"/>
      <c r="O8" s="83"/>
      <c r="P8" s="83"/>
      <c r="Q8" s="83"/>
      <c r="R8" s="64"/>
      <c r="S8" s="59"/>
      <c r="T8" s="60" t="s">
        <v>32</v>
      </c>
      <c r="U8" s="55"/>
      <c r="V8" s="56"/>
      <c r="W8" s="83"/>
      <c r="X8" s="83"/>
      <c r="Y8" s="83"/>
      <c r="Z8" s="83"/>
      <c r="AA8" s="83"/>
      <c r="AB8" s="64"/>
      <c r="AD8" s="60" t="s">
        <v>61</v>
      </c>
      <c r="AE8" s="55"/>
      <c r="AF8" s="56"/>
      <c r="AG8" s="83"/>
      <c r="AH8" s="83"/>
      <c r="AI8" s="83"/>
      <c r="AJ8" s="83"/>
      <c r="AK8" s="83"/>
    </row>
    <row r="9" spans="1:37" ht="35.1" customHeight="1" thickBot="1" x14ac:dyDescent="0.25">
      <c r="A9" s="61" t="s">
        <v>33</v>
      </c>
      <c r="B9" s="55"/>
      <c r="C9" s="56"/>
      <c r="D9" s="83"/>
      <c r="E9" s="83"/>
      <c r="F9" s="83"/>
      <c r="G9" s="83"/>
      <c r="H9" s="83"/>
      <c r="I9" s="64"/>
      <c r="J9" s="61" t="s">
        <v>62</v>
      </c>
      <c r="K9" s="55"/>
      <c r="L9" s="56"/>
      <c r="M9" s="83"/>
      <c r="N9" s="83"/>
      <c r="O9" s="83"/>
      <c r="P9" s="83"/>
      <c r="Q9" s="83"/>
      <c r="R9" s="64"/>
      <c r="S9" s="59"/>
      <c r="T9" s="62" t="s">
        <v>34</v>
      </c>
      <c r="U9" s="55"/>
      <c r="V9" s="56"/>
      <c r="W9" s="83"/>
      <c r="X9" s="83"/>
      <c r="Y9" s="83"/>
      <c r="Z9" s="83"/>
      <c r="AA9" s="83"/>
      <c r="AB9" s="64"/>
      <c r="AD9" s="62" t="s">
        <v>63</v>
      </c>
      <c r="AE9" s="55"/>
      <c r="AF9" s="56"/>
      <c r="AG9" s="83"/>
      <c r="AH9" s="83"/>
      <c r="AI9" s="83"/>
      <c r="AJ9" s="83"/>
      <c r="AK9" s="83"/>
    </row>
    <row r="10" spans="1:37" ht="35.1" customHeight="1" thickBot="1" x14ac:dyDescent="0.25">
      <c r="A10" s="54" t="s">
        <v>35</v>
      </c>
      <c r="B10" s="55"/>
      <c r="C10" s="56"/>
      <c r="D10" s="83"/>
      <c r="E10" s="83"/>
      <c r="F10" s="83"/>
      <c r="G10" s="83"/>
      <c r="H10" s="83"/>
      <c r="I10" s="64"/>
      <c r="J10" s="54" t="s">
        <v>64</v>
      </c>
      <c r="K10" s="55"/>
      <c r="L10" s="56"/>
      <c r="M10" s="83"/>
      <c r="N10" s="83"/>
      <c r="O10" s="83"/>
      <c r="P10" s="83"/>
      <c r="Q10" s="83"/>
      <c r="R10" s="64"/>
      <c r="S10" s="59"/>
      <c r="T10" s="60" t="s">
        <v>36</v>
      </c>
      <c r="U10" s="55"/>
      <c r="V10" s="56"/>
      <c r="W10" s="83"/>
      <c r="X10" s="83"/>
      <c r="Y10" s="83"/>
      <c r="Z10" s="83"/>
      <c r="AA10" s="83"/>
      <c r="AB10" s="64"/>
      <c r="AD10" s="60" t="s">
        <v>65</v>
      </c>
      <c r="AE10" s="55"/>
      <c r="AF10" s="56"/>
      <c r="AG10" s="83"/>
      <c r="AH10" s="83"/>
      <c r="AI10" s="83"/>
      <c r="AJ10" s="83"/>
      <c r="AK10" s="83"/>
    </row>
    <row r="11" spans="1:37" ht="35.1" customHeight="1" thickBot="1" x14ac:dyDescent="0.25">
      <c r="A11" s="61" t="s">
        <v>37</v>
      </c>
      <c r="B11" s="55"/>
      <c r="C11" s="56"/>
      <c r="D11" s="83"/>
      <c r="E11" s="83"/>
      <c r="F11" s="83"/>
      <c r="G11" s="83"/>
      <c r="H11" s="83"/>
      <c r="I11" s="64"/>
      <c r="J11" s="61" t="s">
        <v>66</v>
      </c>
      <c r="K11" s="55"/>
      <c r="L11" s="56"/>
      <c r="M11" s="83"/>
      <c r="N11" s="83"/>
      <c r="O11" s="83"/>
      <c r="P11" s="83"/>
      <c r="Q11" s="83"/>
      <c r="R11" s="64"/>
      <c r="S11" s="59"/>
      <c r="T11" s="62" t="s">
        <v>38</v>
      </c>
      <c r="U11" s="55"/>
      <c r="V11" s="56"/>
      <c r="W11" s="83"/>
      <c r="X11" s="83"/>
      <c r="Y11" s="83"/>
      <c r="Z11" s="83"/>
      <c r="AA11" s="83"/>
      <c r="AB11" s="64"/>
      <c r="AD11" s="62" t="s">
        <v>67</v>
      </c>
      <c r="AE11" s="55"/>
      <c r="AF11" s="56"/>
      <c r="AG11" s="83"/>
      <c r="AH11" s="83"/>
      <c r="AI11" s="83"/>
      <c r="AJ11" s="83"/>
      <c r="AK11" s="83"/>
    </row>
    <row r="12" spans="1:37" ht="35.1" customHeight="1" thickBot="1" x14ac:dyDescent="0.25">
      <c r="A12" s="54" t="s">
        <v>39</v>
      </c>
      <c r="B12" s="55"/>
      <c r="C12" s="56"/>
      <c r="D12" s="83"/>
      <c r="E12" s="83"/>
      <c r="F12" s="83"/>
      <c r="G12" s="83"/>
      <c r="H12" s="83"/>
      <c r="I12" s="64"/>
      <c r="J12" s="54" t="s">
        <v>68</v>
      </c>
      <c r="K12" s="55"/>
      <c r="L12" s="56"/>
      <c r="M12" s="83"/>
      <c r="N12" s="83"/>
      <c r="O12" s="83"/>
      <c r="P12" s="83"/>
      <c r="Q12" s="83"/>
      <c r="R12" s="64"/>
      <c r="S12" s="59"/>
      <c r="T12" s="60" t="s">
        <v>40</v>
      </c>
      <c r="U12" s="55"/>
      <c r="V12" s="56"/>
      <c r="W12" s="83"/>
      <c r="X12" s="83"/>
      <c r="Y12" s="83"/>
      <c r="Z12" s="83"/>
      <c r="AA12" s="83"/>
      <c r="AB12" s="64"/>
      <c r="AD12" s="60" t="s">
        <v>69</v>
      </c>
      <c r="AE12" s="55"/>
      <c r="AF12" s="56"/>
      <c r="AG12" s="83"/>
      <c r="AH12" s="83"/>
      <c r="AI12" s="83"/>
      <c r="AJ12" s="83"/>
      <c r="AK12" s="83"/>
    </row>
    <row r="13" spans="1:37" ht="35.1" customHeight="1" thickBot="1" x14ac:dyDescent="0.25">
      <c r="A13" s="61" t="s">
        <v>41</v>
      </c>
      <c r="B13" s="55"/>
      <c r="C13" s="56"/>
      <c r="D13" s="83"/>
      <c r="E13" s="83"/>
      <c r="F13" s="83"/>
      <c r="G13" s="83"/>
      <c r="H13" s="83"/>
      <c r="I13" s="64"/>
      <c r="J13" s="61" t="s">
        <v>70</v>
      </c>
      <c r="K13" s="55"/>
      <c r="L13" s="56"/>
      <c r="M13" s="83"/>
      <c r="N13" s="83"/>
      <c r="O13" s="83"/>
      <c r="P13" s="83"/>
      <c r="Q13" s="83"/>
      <c r="R13" s="64"/>
      <c r="S13" s="59"/>
      <c r="T13" s="62" t="s">
        <v>42</v>
      </c>
      <c r="U13" s="55"/>
      <c r="V13" s="56"/>
      <c r="W13" s="83"/>
      <c r="X13" s="83"/>
      <c r="Y13" s="83"/>
      <c r="Z13" s="83"/>
      <c r="AA13" s="83"/>
      <c r="AB13" s="64"/>
      <c r="AD13" s="62" t="s">
        <v>71</v>
      </c>
      <c r="AE13" s="55"/>
      <c r="AF13" s="56"/>
      <c r="AG13" s="83"/>
      <c r="AH13" s="83"/>
      <c r="AI13" s="83"/>
      <c r="AJ13" s="83"/>
      <c r="AK13" s="83"/>
    </row>
    <row r="14" spans="1:37" ht="35.1" customHeight="1" thickBot="1" x14ac:dyDescent="0.25">
      <c r="A14" s="54" t="s">
        <v>43</v>
      </c>
      <c r="B14" s="55"/>
      <c r="C14" s="56"/>
      <c r="D14" s="83"/>
      <c r="E14" s="83"/>
      <c r="F14" s="83"/>
      <c r="G14" s="83"/>
      <c r="H14" s="83"/>
      <c r="I14" s="64"/>
      <c r="J14" s="54" t="s">
        <v>72</v>
      </c>
      <c r="K14" s="55"/>
      <c r="L14" s="56"/>
      <c r="M14" s="83"/>
      <c r="N14" s="83"/>
      <c r="O14" s="83"/>
      <c r="P14" s="83"/>
      <c r="Q14" s="83"/>
      <c r="R14" s="64"/>
      <c r="S14" s="59"/>
      <c r="T14" s="60" t="s">
        <v>44</v>
      </c>
      <c r="U14" s="55"/>
      <c r="V14" s="56"/>
      <c r="W14" s="83"/>
      <c r="X14" s="83"/>
      <c r="Y14" s="83"/>
      <c r="Z14" s="83"/>
      <c r="AA14" s="83"/>
      <c r="AB14" s="64"/>
      <c r="AD14" s="60" t="s">
        <v>73</v>
      </c>
      <c r="AE14" s="55"/>
      <c r="AF14" s="56"/>
      <c r="AG14" s="83"/>
      <c r="AH14" s="83"/>
      <c r="AI14" s="83"/>
      <c r="AJ14" s="83"/>
      <c r="AK14" s="83"/>
    </row>
    <row r="15" spans="1:37" ht="35.1" customHeight="1" thickBot="1" x14ac:dyDescent="0.25">
      <c r="A15" s="61" t="s">
        <v>45</v>
      </c>
      <c r="B15" s="55"/>
      <c r="C15" s="56"/>
      <c r="D15" s="83"/>
      <c r="E15" s="83"/>
      <c r="F15" s="83"/>
      <c r="G15" s="83"/>
      <c r="H15" s="83"/>
      <c r="I15" s="64"/>
      <c r="J15" s="61" t="s">
        <v>74</v>
      </c>
      <c r="K15" s="55"/>
      <c r="L15" s="56"/>
      <c r="M15" s="83"/>
      <c r="N15" s="83"/>
      <c r="O15" s="83"/>
      <c r="P15" s="83"/>
      <c r="Q15" s="83"/>
      <c r="R15" s="64"/>
      <c r="S15" s="59"/>
      <c r="T15" s="62" t="s">
        <v>46</v>
      </c>
      <c r="U15" s="55"/>
      <c r="V15" s="56"/>
      <c r="W15" s="83"/>
      <c r="X15" s="83"/>
      <c r="Y15" s="83"/>
      <c r="Z15" s="83"/>
      <c r="AA15" s="83"/>
      <c r="AB15" s="64"/>
      <c r="AD15" s="62" t="s">
        <v>75</v>
      </c>
      <c r="AE15" s="55"/>
      <c r="AF15" s="56"/>
      <c r="AG15" s="83"/>
      <c r="AH15" s="83"/>
      <c r="AI15" s="83"/>
      <c r="AJ15" s="83"/>
      <c r="AK15" s="83"/>
    </row>
    <row r="16" spans="1:37" ht="35.1" customHeight="1" thickBot="1" x14ac:dyDescent="0.25">
      <c r="A16" s="54" t="s">
        <v>47</v>
      </c>
      <c r="B16" s="55"/>
      <c r="C16" s="56"/>
      <c r="D16" s="83"/>
      <c r="E16" s="83"/>
      <c r="F16" s="83"/>
      <c r="G16" s="83"/>
      <c r="H16" s="83"/>
      <c r="I16" s="64"/>
      <c r="J16" s="54" t="s">
        <v>76</v>
      </c>
      <c r="K16" s="55"/>
      <c r="L16" s="56"/>
      <c r="M16" s="83"/>
      <c r="N16" s="83"/>
      <c r="O16" s="83"/>
      <c r="P16" s="83"/>
      <c r="Q16" s="83"/>
      <c r="R16" s="64"/>
      <c r="S16" s="59"/>
      <c r="T16" s="60" t="s">
        <v>48</v>
      </c>
      <c r="U16" s="55"/>
      <c r="V16" s="56"/>
      <c r="W16" s="83"/>
      <c r="X16" s="83"/>
      <c r="Y16" s="83"/>
      <c r="Z16" s="83"/>
      <c r="AA16" s="83"/>
      <c r="AB16" s="64"/>
      <c r="AD16" s="60" t="s">
        <v>77</v>
      </c>
      <c r="AE16" s="55"/>
      <c r="AF16" s="56"/>
      <c r="AG16" s="83"/>
      <c r="AH16" s="83"/>
      <c r="AI16" s="83"/>
      <c r="AJ16" s="83"/>
      <c r="AK16" s="83"/>
    </row>
    <row r="17" spans="1:37" ht="35.1" customHeight="1" thickBot="1" x14ac:dyDescent="0.25">
      <c r="A17" s="61" t="s">
        <v>49</v>
      </c>
      <c r="B17" s="55"/>
      <c r="C17" s="56"/>
      <c r="D17" s="83"/>
      <c r="E17" s="83"/>
      <c r="F17" s="83"/>
      <c r="G17" s="83"/>
      <c r="H17" s="83"/>
      <c r="I17" s="64"/>
      <c r="J17" s="61" t="s">
        <v>78</v>
      </c>
      <c r="K17" s="55"/>
      <c r="L17" s="56"/>
      <c r="M17" s="83"/>
      <c r="N17" s="83"/>
      <c r="O17" s="83"/>
      <c r="P17" s="83"/>
      <c r="Q17" s="83"/>
      <c r="R17" s="64"/>
      <c r="S17" s="59"/>
      <c r="T17" s="62" t="s">
        <v>50</v>
      </c>
      <c r="U17" s="55"/>
      <c r="V17" s="56"/>
      <c r="W17" s="83"/>
      <c r="X17" s="83"/>
      <c r="Y17" s="83"/>
      <c r="Z17" s="83"/>
      <c r="AA17" s="83"/>
      <c r="AB17" s="64"/>
      <c r="AD17" s="62" t="s">
        <v>79</v>
      </c>
      <c r="AE17" s="55"/>
      <c r="AF17" s="56"/>
      <c r="AG17" s="83"/>
      <c r="AH17" s="83"/>
      <c r="AI17" s="83"/>
      <c r="AJ17" s="83"/>
      <c r="AK17" s="83"/>
    </row>
    <row r="18" spans="1:37" ht="35.1" customHeight="1" thickBot="1" x14ac:dyDescent="0.25">
      <c r="A18" s="54" t="s">
        <v>51</v>
      </c>
      <c r="B18" s="55"/>
      <c r="C18" s="56"/>
      <c r="D18" s="83"/>
      <c r="E18" s="83"/>
      <c r="F18" s="83"/>
      <c r="G18" s="83"/>
      <c r="H18" s="83"/>
      <c r="I18" s="64"/>
      <c r="J18" s="54" t="s">
        <v>80</v>
      </c>
      <c r="K18" s="55"/>
      <c r="L18" s="56"/>
      <c r="M18" s="83"/>
      <c r="N18" s="83"/>
      <c r="O18" s="83"/>
      <c r="P18" s="83"/>
      <c r="Q18" s="83"/>
      <c r="R18" s="64"/>
      <c r="S18" s="59"/>
      <c r="T18" s="60" t="s">
        <v>52</v>
      </c>
      <c r="U18" s="55"/>
      <c r="V18" s="56"/>
      <c r="W18" s="83"/>
      <c r="X18" s="83"/>
      <c r="Y18" s="83"/>
      <c r="Z18" s="83"/>
      <c r="AA18" s="83"/>
      <c r="AB18" s="64"/>
      <c r="AD18" s="60" t="s">
        <v>81</v>
      </c>
      <c r="AE18" s="55"/>
      <c r="AF18" s="56"/>
      <c r="AG18" s="83"/>
      <c r="AH18" s="83"/>
      <c r="AI18" s="83"/>
      <c r="AJ18" s="83"/>
      <c r="AK18" s="83"/>
    </row>
    <row r="19" spans="1:37" ht="35.1" customHeight="1" thickBot="1" x14ac:dyDescent="0.25">
      <c r="A19" s="61" t="s">
        <v>53</v>
      </c>
      <c r="B19" s="55"/>
      <c r="C19" s="56"/>
      <c r="D19" s="83"/>
      <c r="E19" s="83"/>
      <c r="F19" s="83"/>
      <c r="G19" s="83"/>
      <c r="H19" s="83"/>
      <c r="I19" s="64"/>
      <c r="J19" s="61" t="s">
        <v>82</v>
      </c>
      <c r="K19" s="55"/>
      <c r="L19" s="56"/>
      <c r="M19" s="83"/>
      <c r="N19" s="83"/>
      <c r="O19" s="83"/>
      <c r="P19" s="83"/>
      <c r="Q19" s="83"/>
      <c r="R19" s="64"/>
      <c r="S19" s="59"/>
      <c r="T19" s="62" t="s">
        <v>54</v>
      </c>
      <c r="U19" s="55"/>
      <c r="V19" s="56"/>
      <c r="W19" s="83"/>
      <c r="X19" s="83"/>
      <c r="Y19" s="83"/>
      <c r="Z19" s="83"/>
      <c r="AA19" s="83"/>
      <c r="AB19" s="64"/>
      <c r="AD19" s="62" t="s">
        <v>83</v>
      </c>
      <c r="AE19" s="55"/>
      <c r="AF19" s="56"/>
      <c r="AG19" s="83"/>
      <c r="AH19" s="83"/>
      <c r="AI19" s="83"/>
      <c r="AJ19" s="83"/>
      <c r="AK19" s="83"/>
    </row>
    <row r="20" spans="1:37" ht="35.1" customHeight="1" thickBot="1" x14ac:dyDescent="0.25">
      <c r="A20" s="54" t="s">
        <v>55</v>
      </c>
      <c r="B20" s="55"/>
      <c r="C20" s="56"/>
      <c r="D20" s="83"/>
      <c r="E20" s="83"/>
      <c r="F20" s="83"/>
      <c r="G20" s="83"/>
      <c r="H20" s="83"/>
      <c r="I20" s="64"/>
      <c r="J20" s="54" t="s">
        <v>84</v>
      </c>
      <c r="K20" s="55"/>
      <c r="L20" s="56"/>
      <c r="M20" s="83"/>
      <c r="N20" s="83"/>
      <c r="O20" s="83"/>
      <c r="P20" s="83"/>
      <c r="Q20" s="83"/>
      <c r="R20" s="64"/>
      <c r="S20" s="59"/>
      <c r="T20" s="60" t="s">
        <v>55</v>
      </c>
      <c r="U20" s="55"/>
      <c r="V20" s="56"/>
      <c r="W20" s="83"/>
      <c r="X20" s="83"/>
      <c r="Y20" s="83"/>
      <c r="Z20" s="83"/>
      <c r="AA20" s="83"/>
      <c r="AB20" s="64"/>
      <c r="AD20" s="60" t="s">
        <v>85</v>
      </c>
      <c r="AE20" s="55"/>
      <c r="AF20" s="56"/>
      <c r="AG20" s="83"/>
      <c r="AH20" s="83"/>
      <c r="AI20" s="83"/>
      <c r="AJ20" s="83"/>
      <c r="AK20" s="83"/>
    </row>
    <row r="21" spans="1:37" ht="30.75" customHeight="1" x14ac:dyDescent="0.2">
      <c r="I21" s="64"/>
      <c r="J21" s="64"/>
      <c r="K21" s="64"/>
      <c r="L21" s="64"/>
      <c r="M21" s="64"/>
      <c r="R21" s="64"/>
      <c r="S21" s="64"/>
    </row>
    <row r="22" spans="1:37" ht="35.1" customHeight="1" thickBot="1" x14ac:dyDescent="0.3">
      <c r="A22" s="48" t="s">
        <v>7</v>
      </c>
      <c r="B22" s="49" t="s">
        <v>12</v>
      </c>
      <c r="C22" s="50" t="s">
        <v>24</v>
      </c>
      <c r="D22" s="51" t="s">
        <v>21</v>
      </c>
      <c r="E22" s="51" t="s">
        <v>21</v>
      </c>
      <c r="F22" s="51" t="s">
        <v>21</v>
      </c>
      <c r="G22" s="51" t="s">
        <v>21</v>
      </c>
      <c r="H22" s="51" t="s">
        <v>21</v>
      </c>
      <c r="I22" s="80"/>
      <c r="J22" s="48" t="s">
        <v>7</v>
      </c>
      <c r="K22" s="49" t="s">
        <v>12</v>
      </c>
      <c r="L22" s="50" t="s">
        <v>24</v>
      </c>
      <c r="M22" s="51" t="s">
        <v>21</v>
      </c>
      <c r="N22" s="51" t="s">
        <v>21</v>
      </c>
      <c r="O22" s="51" t="s">
        <v>21</v>
      </c>
      <c r="P22" s="51" t="s">
        <v>21</v>
      </c>
      <c r="Q22" s="51" t="s">
        <v>21</v>
      </c>
      <c r="R22" s="80"/>
      <c r="S22" s="52"/>
      <c r="T22" s="48" t="s">
        <v>7</v>
      </c>
      <c r="U22" s="49" t="s">
        <v>12</v>
      </c>
      <c r="V22" s="50" t="s">
        <v>24</v>
      </c>
      <c r="W22" s="53" t="s">
        <v>21</v>
      </c>
      <c r="X22" s="51" t="s">
        <v>21</v>
      </c>
      <c r="Y22" s="51" t="s">
        <v>21</v>
      </c>
      <c r="Z22" s="51" t="s">
        <v>21</v>
      </c>
      <c r="AA22" s="51" t="s">
        <v>21</v>
      </c>
      <c r="AB22" s="82"/>
      <c r="AD22" s="48" t="s">
        <v>7</v>
      </c>
      <c r="AE22" s="49" t="s">
        <v>12</v>
      </c>
      <c r="AF22" s="50" t="s">
        <v>24</v>
      </c>
      <c r="AG22" s="51" t="s">
        <v>21</v>
      </c>
      <c r="AH22" s="51" t="s">
        <v>21</v>
      </c>
      <c r="AI22" s="51" t="s">
        <v>21</v>
      </c>
      <c r="AJ22" s="51" t="s">
        <v>21</v>
      </c>
      <c r="AK22" s="51" t="s">
        <v>21</v>
      </c>
    </row>
    <row r="23" spans="1:37" ht="35.1" customHeight="1" thickTop="1" thickBot="1" x14ac:dyDescent="0.25">
      <c r="A23" s="54" t="s">
        <v>86</v>
      </c>
      <c r="B23" s="55"/>
      <c r="C23" s="56"/>
      <c r="D23" s="83"/>
      <c r="E23" s="83"/>
      <c r="F23" s="83"/>
      <c r="G23" s="83"/>
      <c r="H23" s="83"/>
      <c r="I23" s="64"/>
      <c r="J23" s="54" t="s">
        <v>116</v>
      </c>
      <c r="K23" s="55"/>
      <c r="L23" s="56"/>
      <c r="M23" s="83"/>
      <c r="N23" s="83"/>
      <c r="O23" s="83"/>
      <c r="P23" s="83"/>
      <c r="Q23" s="83"/>
      <c r="R23" s="64"/>
      <c r="S23" s="59"/>
      <c r="T23" s="60" t="s">
        <v>87</v>
      </c>
      <c r="U23" s="55"/>
      <c r="V23" s="56"/>
      <c r="W23" s="83"/>
      <c r="X23" s="83"/>
      <c r="Y23" s="83"/>
      <c r="Z23" s="83"/>
      <c r="AA23" s="83"/>
      <c r="AB23" s="64"/>
      <c r="AD23" s="63" t="s">
        <v>117</v>
      </c>
      <c r="AE23" s="55"/>
      <c r="AF23" s="56"/>
      <c r="AG23" s="83"/>
      <c r="AH23" s="83"/>
      <c r="AI23" s="83"/>
      <c r="AJ23" s="83"/>
      <c r="AK23" s="83"/>
    </row>
    <row r="24" spans="1:37" ht="35.1" customHeight="1" thickBot="1" x14ac:dyDescent="0.25">
      <c r="A24" s="61" t="s">
        <v>88</v>
      </c>
      <c r="B24" s="55"/>
      <c r="C24" s="56"/>
      <c r="D24" s="83"/>
      <c r="E24" s="83"/>
      <c r="F24" s="83"/>
      <c r="G24" s="83"/>
      <c r="H24" s="83"/>
      <c r="I24" s="64"/>
      <c r="J24" s="61" t="s">
        <v>118</v>
      </c>
      <c r="K24" s="55"/>
      <c r="L24" s="56"/>
      <c r="M24" s="83"/>
      <c r="N24" s="83"/>
      <c r="O24" s="83"/>
      <c r="P24" s="83"/>
      <c r="Q24" s="83"/>
      <c r="R24" s="64"/>
      <c r="S24" s="59"/>
      <c r="T24" s="62" t="s">
        <v>89</v>
      </c>
      <c r="U24" s="55"/>
      <c r="V24" s="56"/>
      <c r="W24" s="83"/>
      <c r="X24" s="83"/>
      <c r="Y24" s="83"/>
      <c r="Z24" s="83"/>
      <c r="AA24" s="83"/>
      <c r="AB24" s="64"/>
      <c r="AD24" s="62" t="s">
        <v>119</v>
      </c>
      <c r="AE24" s="55"/>
      <c r="AF24" s="56"/>
      <c r="AG24" s="83"/>
      <c r="AH24" s="83"/>
      <c r="AI24" s="83"/>
      <c r="AJ24" s="83"/>
      <c r="AK24" s="83"/>
    </row>
    <row r="25" spans="1:37" ht="35.1" customHeight="1" thickBot="1" x14ac:dyDescent="0.25">
      <c r="A25" s="54" t="s">
        <v>90</v>
      </c>
      <c r="B25" s="55"/>
      <c r="C25" s="56"/>
      <c r="D25" s="83"/>
      <c r="E25" s="83"/>
      <c r="F25" s="83"/>
      <c r="G25" s="83"/>
      <c r="H25" s="83"/>
      <c r="I25" s="64"/>
      <c r="J25" s="54" t="s">
        <v>120</v>
      </c>
      <c r="K25" s="55"/>
      <c r="L25" s="56"/>
      <c r="M25" s="83"/>
      <c r="N25" s="83"/>
      <c r="O25" s="83"/>
      <c r="P25" s="83"/>
      <c r="Q25" s="83"/>
      <c r="R25" s="64"/>
      <c r="S25" s="59"/>
      <c r="T25" s="60" t="s">
        <v>91</v>
      </c>
      <c r="U25" s="55"/>
      <c r="V25" s="56"/>
      <c r="W25" s="83"/>
      <c r="X25" s="83"/>
      <c r="Y25" s="83"/>
      <c r="Z25" s="83"/>
      <c r="AA25" s="83"/>
      <c r="AB25" s="64"/>
      <c r="AD25" s="60" t="s">
        <v>121</v>
      </c>
      <c r="AE25" s="55"/>
      <c r="AF25" s="56"/>
      <c r="AG25" s="83"/>
      <c r="AH25" s="83"/>
      <c r="AI25" s="83"/>
      <c r="AJ25" s="83"/>
      <c r="AK25" s="83"/>
    </row>
    <row r="26" spans="1:37" ht="35.1" customHeight="1" thickBot="1" x14ac:dyDescent="0.25">
      <c r="A26" s="61" t="s">
        <v>92</v>
      </c>
      <c r="B26" s="55"/>
      <c r="C26" s="56"/>
      <c r="D26" s="83"/>
      <c r="E26" s="83"/>
      <c r="F26" s="83"/>
      <c r="G26" s="83"/>
      <c r="H26" s="83"/>
      <c r="I26" s="64"/>
      <c r="J26" s="61" t="s">
        <v>122</v>
      </c>
      <c r="K26" s="55"/>
      <c r="L26" s="56"/>
      <c r="M26" s="83"/>
      <c r="N26" s="83"/>
      <c r="O26" s="83"/>
      <c r="P26" s="83"/>
      <c r="Q26" s="83"/>
      <c r="R26" s="64"/>
      <c r="S26" s="59"/>
      <c r="T26" s="62" t="s">
        <v>93</v>
      </c>
      <c r="U26" s="55"/>
      <c r="V26" s="56"/>
      <c r="W26" s="83"/>
      <c r="X26" s="83"/>
      <c r="Y26" s="83"/>
      <c r="Z26" s="83"/>
      <c r="AA26" s="83"/>
      <c r="AB26" s="64"/>
      <c r="AD26" s="62" t="s">
        <v>123</v>
      </c>
      <c r="AE26" s="55"/>
      <c r="AF26" s="56"/>
      <c r="AG26" s="83"/>
      <c r="AH26" s="83"/>
      <c r="AI26" s="83"/>
      <c r="AJ26" s="83"/>
      <c r="AK26" s="83"/>
    </row>
    <row r="27" spans="1:37" ht="35.1" customHeight="1" thickBot="1" x14ac:dyDescent="0.25">
      <c r="A27" s="54" t="s">
        <v>94</v>
      </c>
      <c r="B27" s="55"/>
      <c r="C27" s="56"/>
      <c r="D27" s="83"/>
      <c r="E27" s="83"/>
      <c r="F27" s="83"/>
      <c r="G27" s="83"/>
      <c r="H27" s="83"/>
      <c r="I27" s="64"/>
      <c r="J27" s="54" t="s">
        <v>124</v>
      </c>
      <c r="K27" s="55"/>
      <c r="L27" s="56"/>
      <c r="M27" s="83"/>
      <c r="N27" s="83"/>
      <c r="O27" s="83"/>
      <c r="P27" s="83"/>
      <c r="Q27" s="83"/>
      <c r="R27" s="64"/>
      <c r="S27" s="59"/>
      <c r="T27" s="60" t="s">
        <v>95</v>
      </c>
      <c r="U27" s="55"/>
      <c r="V27" s="56"/>
      <c r="W27" s="83"/>
      <c r="X27" s="83"/>
      <c r="Y27" s="83"/>
      <c r="Z27" s="83"/>
      <c r="AA27" s="83"/>
      <c r="AB27" s="64"/>
      <c r="AD27" s="60" t="s">
        <v>125</v>
      </c>
      <c r="AE27" s="55"/>
      <c r="AF27" s="56"/>
      <c r="AG27" s="83"/>
      <c r="AH27" s="83"/>
      <c r="AI27" s="83"/>
      <c r="AJ27" s="83"/>
      <c r="AK27" s="83"/>
    </row>
    <row r="28" spans="1:37" ht="35.1" customHeight="1" thickBot="1" x14ac:dyDescent="0.25">
      <c r="A28" s="61" t="s">
        <v>96</v>
      </c>
      <c r="B28" s="55"/>
      <c r="C28" s="56"/>
      <c r="D28" s="83"/>
      <c r="E28" s="83"/>
      <c r="F28" s="83"/>
      <c r="G28" s="83"/>
      <c r="H28" s="83"/>
      <c r="I28" s="64"/>
      <c r="J28" s="61" t="s">
        <v>126</v>
      </c>
      <c r="K28" s="55"/>
      <c r="L28" s="56"/>
      <c r="M28" s="83"/>
      <c r="N28" s="83"/>
      <c r="O28" s="83"/>
      <c r="P28" s="83"/>
      <c r="Q28" s="83"/>
      <c r="R28" s="64"/>
      <c r="S28" s="59"/>
      <c r="T28" s="62" t="s">
        <v>97</v>
      </c>
      <c r="U28" s="55"/>
      <c r="V28" s="56"/>
      <c r="W28" s="83"/>
      <c r="X28" s="83"/>
      <c r="Y28" s="83"/>
      <c r="Z28" s="83"/>
      <c r="AA28" s="83"/>
      <c r="AB28" s="64"/>
      <c r="AD28" s="62" t="s">
        <v>127</v>
      </c>
      <c r="AE28" s="55"/>
      <c r="AF28" s="56"/>
      <c r="AG28" s="83"/>
      <c r="AH28" s="83"/>
      <c r="AI28" s="83"/>
      <c r="AJ28" s="83"/>
      <c r="AK28" s="83"/>
    </row>
    <row r="29" spans="1:37" ht="35.1" customHeight="1" thickBot="1" x14ac:dyDescent="0.25">
      <c r="A29" s="54" t="s">
        <v>98</v>
      </c>
      <c r="B29" s="55"/>
      <c r="C29" s="56"/>
      <c r="D29" s="83"/>
      <c r="E29" s="83"/>
      <c r="F29" s="83"/>
      <c r="G29" s="83"/>
      <c r="H29" s="83"/>
      <c r="I29" s="64"/>
      <c r="J29" s="54" t="s">
        <v>128</v>
      </c>
      <c r="K29" s="55"/>
      <c r="L29" s="56"/>
      <c r="M29" s="83"/>
      <c r="N29" s="83"/>
      <c r="O29" s="83"/>
      <c r="P29" s="83"/>
      <c r="Q29" s="83"/>
      <c r="R29" s="64"/>
      <c r="S29" s="59"/>
      <c r="T29" s="60" t="s">
        <v>99</v>
      </c>
      <c r="U29" s="55"/>
      <c r="V29" s="56"/>
      <c r="W29" s="83"/>
      <c r="X29" s="83"/>
      <c r="Y29" s="83"/>
      <c r="Z29" s="83"/>
      <c r="AA29" s="83"/>
      <c r="AB29" s="64"/>
      <c r="AD29" s="60" t="s">
        <v>129</v>
      </c>
      <c r="AE29" s="55"/>
      <c r="AF29" s="56"/>
      <c r="AG29" s="83"/>
      <c r="AH29" s="83"/>
      <c r="AI29" s="83"/>
      <c r="AJ29" s="83"/>
      <c r="AK29" s="83"/>
    </row>
    <row r="30" spans="1:37" ht="35.1" customHeight="1" thickBot="1" x14ac:dyDescent="0.25">
      <c r="A30" s="61" t="s">
        <v>100</v>
      </c>
      <c r="B30" s="55"/>
      <c r="C30" s="56"/>
      <c r="D30" s="83"/>
      <c r="E30" s="83"/>
      <c r="F30" s="83"/>
      <c r="G30" s="83"/>
      <c r="H30" s="83"/>
      <c r="I30" s="64"/>
      <c r="J30" s="61" t="s">
        <v>130</v>
      </c>
      <c r="K30" s="55"/>
      <c r="L30" s="56"/>
      <c r="M30" s="83"/>
      <c r="N30" s="83"/>
      <c r="O30" s="83"/>
      <c r="P30" s="83"/>
      <c r="Q30" s="83"/>
      <c r="R30" s="64"/>
      <c r="S30" s="59"/>
      <c r="T30" s="62" t="s">
        <v>101</v>
      </c>
      <c r="U30" s="55"/>
      <c r="V30" s="56"/>
      <c r="W30" s="83"/>
      <c r="X30" s="83"/>
      <c r="Y30" s="83"/>
      <c r="Z30" s="83"/>
      <c r="AA30" s="83"/>
      <c r="AB30" s="64"/>
      <c r="AD30" s="62" t="s">
        <v>131</v>
      </c>
      <c r="AE30" s="55"/>
      <c r="AF30" s="56"/>
      <c r="AG30" s="83"/>
      <c r="AH30" s="83"/>
      <c r="AI30" s="83"/>
      <c r="AJ30" s="83"/>
      <c r="AK30" s="83"/>
    </row>
    <row r="31" spans="1:37" ht="35.1" customHeight="1" thickBot="1" x14ac:dyDescent="0.25">
      <c r="A31" s="54" t="s">
        <v>102</v>
      </c>
      <c r="B31" s="55"/>
      <c r="C31" s="56"/>
      <c r="D31" s="83"/>
      <c r="E31" s="83"/>
      <c r="F31" s="83"/>
      <c r="G31" s="83"/>
      <c r="H31" s="83"/>
      <c r="I31" s="64"/>
      <c r="J31" s="54" t="s">
        <v>132</v>
      </c>
      <c r="K31" s="55"/>
      <c r="L31" s="56"/>
      <c r="M31" s="83"/>
      <c r="N31" s="83"/>
      <c r="O31" s="83"/>
      <c r="P31" s="83"/>
      <c r="Q31" s="83"/>
      <c r="R31" s="64"/>
      <c r="S31" s="59"/>
      <c r="T31" s="60" t="s">
        <v>103</v>
      </c>
      <c r="U31" s="55"/>
      <c r="V31" s="56"/>
      <c r="W31" s="83"/>
      <c r="X31" s="83"/>
      <c r="Y31" s="83"/>
      <c r="Z31" s="83"/>
      <c r="AA31" s="83"/>
      <c r="AB31" s="64"/>
      <c r="AD31" s="60" t="s">
        <v>133</v>
      </c>
      <c r="AE31" s="55"/>
      <c r="AF31" s="56"/>
      <c r="AG31" s="83"/>
      <c r="AH31" s="83"/>
      <c r="AI31" s="83"/>
      <c r="AJ31" s="83"/>
      <c r="AK31" s="83"/>
    </row>
    <row r="32" spans="1:37" ht="35.1" customHeight="1" thickBot="1" x14ac:dyDescent="0.25">
      <c r="A32" s="61" t="s">
        <v>104</v>
      </c>
      <c r="B32" s="55"/>
      <c r="C32" s="56"/>
      <c r="D32" s="83"/>
      <c r="E32" s="83"/>
      <c r="F32" s="83"/>
      <c r="G32" s="83"/>
      <c r="H32" s="83"/>
      <c r="I32" s="64"/>
      <c r="J32" s="61" t="s">
        <v>134</v>
      </c>
      <c r="K32" s="55"/>
      <c r="L32" s="56"/>
      <c r="M32" s="83"/>
      <c r="N32" s="83"/>
      <c r="O32" s="83"/>
      <c r="P32" s="83"/>
      <c r="Q32" s="83"/>
      <c r="R32" s="64"/>
      <c r="S32" s="59"/>
      <c r="T32" s="62" t="s">
        <v>105</v>
      </c>
      <c r="U32" s="55"/>
      <c r="V32" s="56"/>
      <c r="W32" s="83"/>
      <c r="X32" s="83"/>
      <c r="Y32" s="83"/>
      <c r="Z32" s="83"/>
      <c r="AA32" s="83"/>
      <c r="AB32" s="64"/>
      <c r="AD32" s="62" t="s">
        <v>135</v>
      </c>
      <c r="AE32" s="55"/>
      <c r="AF32" s="56"/>
      <c r="AG32" s="83"/>
      <c r="AH32" s="83"/>
      <c r="AI32" s="83"/>
      <c r="AJ32" s="83"/>
      <c r="AK32" s="83"/>
    </row>
    <row r="33" spans="1:37" ht="35.1" customHeight="1" thickBot="1" x14ac:dyDescent="0.25">
      <c r="A33" s="54" t="s">
        <v>106</v>
      </c>
      <c r="B33" s="55"/>
      <c r="C33" s="56"/>
      <c r="D33" s="83"/>
      <c r="E33" s="83"/>
      <c r="F33" s="83"/>
      <c r="G33" s="83"/>
      <c r="H33" s="83"/>
      <c r="I33" s="64"/>
      <c r="J33" s="54" t="s">
        <v>136</v>
      </c>
      <c r="K33" s="55"/>
      <c r="L33" s="56"/>
      <c r="M33" s="83"/>
      <c r="N33" s="83"/>
      <c r="O33" s="83"/>
      <c r="P33" s="83"/>
      <c r="Q33" s="83"/>
      <c r="R33" s="64"/>
      <c r="S33" s="59"/>
      <c r="T33" s="60" t="s">
        <v>107</v>
      </c>
      <c r="U33" s="55"/>
      <c r="V33" s="56"/>
      <c r="W33" s="83"/>
      <c r="X33" s="83"/>
      <c r="Y33" s="83"/>
      <c r="Z33" s="83"/>
      <c r="AA33" s="83"/>
      <c r="AB33" s="64"/>
      <c r="AD33" s="60" t="s">
        <v>137</v>
      </c>
      <c r="AE33" s="55"/>
      <c r="AF33" s="56"/>
      <c r="AG33" s="83"/>
      <c r="AH33" s="83"/>
      <c r="AI33" s="83"/>
      <c r="AJ33" s="83"/>
      <c r="AK33" s="83"/>
    </row>
    <row r="34" spans="1:37" ht="35.1" customHeight="1" thickBot="1" x14ac:dyDescent="0.25">
      <c r="A34" s="61" t="s">
        <v>108</v>
      </c>
      <c r="B34" s="55"/>
      <c r="C34" s="56"/>
      <c r="D34" s="83"/>
      <c r="E34" s="83"/>
      <c r="F34" s="83"/>
      <c r="G34" s="83"/>
      <c r="H34" s="83"/>
      <c r="I34" s="64"/>
      <c r="J34" s="61" t="s">
        <v>138</v>
      </c>
      <c r="K34" s="55"/>
      <c r="L34" s="56"/>
      <c r="M34" s="83"/>
      <c r="N34" s="83"/>
      <c r="O34" s="83"/>
      <c r="P34" s="83"/>
      <c r="Q34" s="83"/>
      <c r="R34" s="64"/>
      <c r="S34" s="59"/>
      <c r="T34" s="62" t="s">
        <v>109</v>
      </c>
      <c r="U34" s="55"/>
      <c r="V34" s="56"/>
      <c r="W34" s="83"/>
      <c r="X34" s="83"/>
      <c r="Y34" s="83"/>
      <c r="Z34" s="83"/>
      <c r="AA34" s="83"/>
      <c r="AB34" s="64"/>
      <c r="AD34" s="62" t="s">
        <v>139</v>
      </c>
      <c r="AE34" s="55"/>
      <c r="AF34" s="56"/>
      <c r="AG34" s="83"/>
      <c r="AH34" s="83"/>
      <c r="AI34" s="83"/>
      <c r="AJ34" s="83"/>
      <c r="AK34" s="83"/>
    </row>
    <row r="35" spans="1:37" ht="35.1" customHeight="1" thickBot="1" x14ac:dyDescent="0.25">
      <c r="A35" s="54" t="s">
        <v>110</v>
      </c>
      <c r="B35" s="55"/>
      <c r="C35" s="56"/>
      <c r="D35" s="83"/>
      <c r="E35" s="83"/>
      <c r="F35" s="83"/>
      <c r="G35" s="83"/>
      <c r="H35" s="83"/>
      <c r="I35" s="64"/>
      <c r="J35" s="54" t="s">
        <v>140</v>
      </c>
      <c r="K35" s="55"/>
      <c r="L35" s="56"/>
      <c r="M35" s="83"/>
      <c r="N35" s="83"/>
      <c r="O35" s="83"/>
      <c r="P35" s="83"/>
      <c r="Q35" s="83"/>
      <c r="R35" s="64"/>
      <c r="S35" s="59"/>
      <c r="T35" s="60" t="s">
        <v>111</v>
      </c>
      <c r="U35" s="55"/>
      <c r="V35" s="56"/>
      <c r="W35" s="83"/>
      <c r="X35" s="83"/>
      <c r="Y35" s="83"/>
      <c r="Z35" s="83"/>
      <c r="AA35" s="83"/>
      <c r="AB35" s="64"/>
      <c r="AD35" s="60" t="s">
        <v>141</v>
      </c>
      <c r="AE35" s="55"/>
      <c r="AF35" s="56"/>
      <c r="AG35" s="83"/>
      <c r="AH35" s="83"/>
      <c r="AI35" s="83"/>
      <c r="AJ35" s="83"/>
      <c r="AK35" s="83"/>
    </row>
    <row r="36" spans="1:37" ht="35.1" customHeight="1" thickBot="1" x14ac:dyDescent="0.25">
      <c r="A36" s="61" t="s">
        <v>112</v>
      </c>
      <c r="B36" s="55"/>
      <c r="C36" s="56"/>
      <c r="D36" s="83"/>
      <c r="E36" s="83"/>
      <c r="F36" s="83"/>
      <c r="G36" s="83"/>
      <c r="H36" s="83"/>
      <c r="I36" s="64"/>
      <c r="J36" s="61" t="s">
        <v>142</v>
      </c>
      <c r="K36" s="55"/>
      <c r="L36" s="56"/>
      <c r="M36" s="83"/>
      <c r="N36" s="83"/>
      <c r="O36" s="83"/>
      <c r="P36" s="83"/>
      <c r="Q36" s="83"/>
      <c r="R36" s="64"/>
      <c r="S36" s="59"/>
      <c r="T36" s="62" t="s">
        <v>113</v>
      </c>
      <c r="U36" s="55"/>
      <c r="V36" s="56"/>
      <c r="W36" s="83"/>
      <c r="X36" s="83"/>
      <c r="Y36" s="83"/>
      <c r="Z36" s="83"/>
      <c r="AA36" s="83"/>
      <c r="AB36" s="64"/>
      <c r="AD36" s="62" t="s">
        <v>143</v>
      </c>
      <c r="AE36" s="55"/>
      <c r="AF36" s="56"/>
      <c r="AG36" s="83"/>
      <c r="AH36" s="83"/>
      <c r="AI36" s="83"/>
      <c r="AJ36" s="83"/>
      <c r="AK36" s="83"/>
    </row>
    <row r="37" spans="1:37" ht="35.1" customHeight="1" thickBot="1" x14ac:dyDescent="0.25">
      <c r="A37" s="54" t="s">
        <v>114</v>
      </c>
      <c r="B37" s="55"/>
      <c r="C37" s="56"/>
      <c r="D37" s="83"/>
      <c r="E37" s="83"/>
      <c r="F37" s="83"/>
      <c r="G37" s="83"/>
      <c r="H37" s="83"/>
      <c r="I37" s="64"/>
      <c r="J37" s="54" t="s">
        <v>144</v>
      </c>
      <c r="K37" s="55"/>
      <c r="L37" s="56"/>
      <c r="M37" s="83"/>
      <c r="N37" s="83"/>
      <c r="O37" s="83"/>
      <c r="P37" s="83"/>
      <c r="Q37" s="83"/>
      <c r="R37" s="64"/>
      <c r="S37" s="59"/>
      <c r="T37" s="60" t="s">
        <v>115</v>
      </c>
      <c r="U37" s="55"/>
      <c r="V37" s="56"/>
      <c r="W37" s="83"/>
      <c r="X37" s="83"/>
      <c r="Y37" s="83"/>
      <c r="Z37" s="83"/>
      <c r="AA37" s="83"/>
      <c r="AB37" s="64"/>
      <c r="AD37" s="60" t="s">
        <v>145</v>
      </c>
      <c r="AE37" s="55"/>
      <c r="AF37" s="56"/>
      <c r="AG37" s="83"/>
      <c r="AH37" s="83"/>
      <c r="AI37" s="83"/>
      <c r="AJ37" s="83"/>
      <c r="AK37" s="83"/>
    </row>
    <row r="38" spans="1:37" ht="35.1" customHeight="1" x14ac:dyDescent="0.2">
      <c r="I38" s="64"/>
      <c r="S38" s="64"/>
    </row>
    <row r="39" spans="1:37" ht="35.1" customHeight="1" thickBot="1" x14ac:dyDescent="0.3">
      <c r="A39" s="48" t="s">
        <v>7</v>
      </c>
      <c r="B39" s="49" t="s">
        <v>12</v>
      </c>
      <c r="C39" s="50" t="s">
        <v>24</v>
      </c>
      <c r="D39" s="51" t="s">
        <v>21</v>
      </c>
      <c r="E39" s="51" t="s">
        <v>21</v>
      </c>
      <c r="F39" s="51" t="s">
        <v>21</v>
      </c>
      <c r="G39" s="51" t="s">
        <v>21</v>
      </c>
      <c r="H39" s="51" t="s">
        <v>21</v>
      </c>
      <c r="I39" s="80"/>
      <c r="J39" s="48" t="s">
        <v>7</v>
      </c>
      <c r="K39" s="49" t="s">
        <v>12</v>
      </c>
      <c r="L39" s="50" t="s">
        <v>24</v>
      </c>
      <c r="M39" s="51" t="s">
        <v>21</v>
      </c>
      <c r="N39" s="51" t="s">
        <v>21</v>
      </c>
      <c r="O39" s="51" t="s">
        <v>21</v>
      </c>
      <c r="P39" s="51" t="s">
        <v>21</v>
      </c>
      <c r="Q39" s="51" t="s">
        <v>21</v>
      </c>
      <c r="R39" s="80"/>
      <c r="S39" s="52"/>
      <c r="T39" s="48" t="s">
        <v>7</v>
      </c>
      <c r="U39" s="49" t="s">
        <v>12</v>
      </c>
      <c r="V39" s="50" t="s">
        <v>24</v>
      </c>
      <c r="W39" s="53" t="s">
        <v>21</v>
      </c>
      <c r="X39" s="51" t="s">
        <v>21</v>
      </c>
      <c r="Y39" s="51" t="s">
        <v>21</v>
      </c>
      <c r="Z39" s="51" t="s">
        <v>21</v>
      </c>
      <c r="AA39" s="51" t="s">
        <v>21</v>
      </c>
      <c r="AB39" s="82"/>
      <c r="AD39" s="48" t="s">
        <v>7</v>
      </c>
      <c r="AE39" s="49" t="s">
        <v>12</v>
      </c>
      <c r="AF39" s="50" t="s">
        <v>24</v>
      </c>
      <c r="AG39" s="51" t="s">
        <v>21</v>
      </c>
      <c r="AH39" s="51" t="s">
        <v>21</v>
      </c>
      <c r="AI39" s="51" t="s">
        <v>21</v>
      </c>
      <c r="AJ39" s="51" t="s">
        <v>21</v>
      </c>
      <c r="AK39" s="51" t="s">
        <v>21</v>
      </c>
    </row>
    <row r="40" spans="1:37" ht="35.1" customHeight="1" thickTop="1" thickBot="1" x14ac:dyDescent="0.25">
      <c r="A40" s="54" t="s">
        <v>146</v>
      </c>
      <c r="B40" s="55"/>
      <c r="C40" s="56"/>
      <c r="D40" s="83"/>
      <c r="E40" s="83"/>
      <c r="F40" s="83"/>
      <c r="G40" s="83"/>
      <c r="H40" s="83"/>
      <c r="I40" s="64"/>
      <c r="J40" s="54" t="s">
        <v>176</v>
      </c>
      <c r="K40" s="55"/>
      <c r="L40" s="56"/>
      <c r="M40" s="83"/>
      <c r="N40" s="83"/>
      <c r="O40" s="83"/>
      <c r="P40" s="83"/>
      <c r="Q40" s="83"/>
      <c r="R40" s="64"/>
      <c r="S40" s="59"/>
      <c r="T40" s="60" t="s">
        <v>147</v>
      </c>
      <c r="U40" s="55"/>
      <c r="V40" s="56"/>
      <c r="W40" s="57"/>
      <c r="X40" s="58"/>
      <c r="Y40" s="58"/>
      <c r="Z40" s="58"/>
      <c r="AA40" s="58"/>
      <c r="AB40" s="64"/>
      <c r="AD40" s="63" t="s">
        <v>177</v>
      </c>
      <c r="AE40" s="55"/>
      <c r="AF40" s="56"/>
      <c r="AG40" s="57"/>
      <c r="AH40" s="58"/>
      <c r="AI40" s="58"/>
      <c r="AJ40" s="58"/>
      <c r="AK40" s="58"/>
    </row>
    <row r="41" spans="1:37" ht="35.1" customHeight="1" thickBot="1" x14ac:dyDescent="0.25">
      <c r="A41" s="61" t="s">
        <v>148</v>
      </c>
      <c r="B41" s="55"/>
      <c r="C41" s="56"/>
      <c r="D41" s="83"/>
      <c r="E41" s="83"/>
      <c r="F41" s="83"/>
      <c r="G41" s="83"/>
      <c r="H41" s="83"/>
      <c r="I41" s="64"/>
      <c r="J41" s="61" t="s">
        <v>178</v>
      </c>
      <c r="K41" s="55"/>
      <c r="L41" s="56"/>
      <c r="M41" s="83"/>
      <c r="N41" s="83"/>
      <c r="O41" s="83"/>
      <c r="P41" s="83"/>
      <c r="Q41" s="83"/>
      <c r="R41" s="64"/>
      <c r="S41" s="59"/>
      <c r="T41" s="62" t="s">
        <v>149</v>
      </c>
      <c r="U41" s="55"/>
      <c r="V41" s="56"/>
      <c r="W41" s="57"/>
      <c r="X41" s="58"/>
      <c r="Y41" s="58"/>
      <c r="Z41" s="58"/>
      <c r="AA41" s="58"/>
      <c r="AB41" s="64"/>
      <c r="AD41" s="62" t="s">
        <v>179</v>
      </c>
      <c r="AE41" s="55"/>
      <c r="AF41" s="56"/>
      <c r="AG41" s="57"/>
      <c r="AH41" s="58"/>
      <c r="AI41" s="58"/>
      <c r="AJ41" s="58"/>
      <c r="AK41" s="58"/>
    </row>
    <row r="42" spans="1:37" ht="35.1" customHeight="1" thickBot="1" x14ac:dyDescent="0.25">
      <c r="A42" s="54" t="s">
        <v>150</v>
      </c>
      <c r="B42" s="55"/>
      <c r="C42" s="56"/>
      <c r="D42" s="83"/>
      <c r="E42" s="83"/>
      <c r="F42" s="83"/>
      <c r="G42" s="83"/>
      <c r="H42" s="83"/>
      <c r="I42" s="64"/>
      <c r="J42" s="54" t="s">
        <v>180</v>
      </c>
      <c r="K42" s="55"/>
      <c r="L42" s="56"/>
      <c r="M42" s="83"/>
      <c r="N42" s="83"/>
      <c r="O42" s="83"/>
      <c r="P42" s="83"/>
      <c r="Q42" s="83"/>
      <c r="R42" s="64"/>
      <c r="S42" s="59"/>
      <c r="T42" s="60" t="s">
        <v>151</v>
      </c>
      <c r="U42" s="55"/>
      <c r="V42" s="56"/>
      <c r="W42" s="57"/>
      <c r="X42" s="58"/>
      <c r="Y42" s="58"/>
      <c r="Z42" s="58"/>
      <c r="AA42" s="58"/>
      <c r="AB42" s="64"/>
      <c r="AD42" s="60" t="s">
        <v>181</v>
      </c>
      <c r="AE42" s="55"/>
      <c r="AF42" s="56"/>
      <c r="AG42" s="57"/>
      <c r="AH42" s="58"/>
      <c r="AI42" s="58"/>
      <c r="AJ42" s="58"/>
      <c r="AK42" s="58"/>
    </row>
    <row r="43" spans="1:37" ht="35.1" customHeight="1" thickBot="1" x14ac:dyDescent="0.25">
      <c r="A43" s="61" t="s">
        <v>152</v>
      </c>
      <c r="B43" s="55"/>
      <c r="C43" s="56"/>
      <c r="D43" s="83"/>
      <c r="E43" s="83"/>
      <c r="F43" s="83"/>
      <c r="G43" s="83"/>
      <c r="H43" s="83"/>
      <c r="I43" s="64"/>
      <c r="J43" s="61" t="s">
        <v>182</v>
      </c>
      <c r="K43" s="55"/>
      <c r="L43" s="56"/>
      <c r="M43" s="83"/>
      <c r="N43" s="83"/>
      <c r="O43" s="83"/>
      <c r="P43" s="83"/>
      <c r="Q43" s="83"/>
      <c r="R43" s="64"/>
      <c r="S43" s="59"/>
      <c r="T43" s="62" t="s">
        <v>153</v>
      </c>
      <c r="U43" s="55"/>
      <c r="V43" s="56"/>
      <c r="W43" s="57"/>
      <c r="X43" s="58"/>
      <c r="Y43" s="58"/>
      <c r="Z43" s="58"/>
      <c r="AA43" s="58"/>
      <c r="AB43" s="64"/>
      <c r="AD43" s="62" t="s">
        <v>183</v>
      </c>
      <c r="AE43" s="55"/>
      <c r="AF43" s="56"/>
      <c r="AG43" s="57"/>
      <c r="AH43" s="58"/>
      <c r="AI43" s="58"/>
      <c r="AJ43" s="58"/>
      <c r="AK43" s="58"/>
    </row>
    <row r="44" spans="1:37" ht="35.1" customHeight="1" thickBot="1" x14ac:dyDescent="0.25">
      <c r="A44" s="54" t="s">
        <v>154</v>
      </c>
      <c r="B44" s="55"/>
      <c r="C44" s="56"/>
      <c r="D44" s="83"/>
      <c r="E44" s="83"/>
      <c r="F44" s="83"/>
      <c r="G44" s="83"/>
      <c r="H44" s="83"/>
      <c r="I44" s="64"/>
      <c r="J44" s="54" t="s">
        <v>184</v>
      </c>
      <c r="K44" s="55"/>
      <c r="L44" s="56"/>
      <c r="M44" s="83"/>
      <c r="N44" s="83"/>
      <c r="O44" s="83"/>
      <c r="P44" s="83"/>
      <c r="Q44" s="83"/>
      <c r="R44" s="64"/>
      <c r="S44" s="59"/>
      <c r="T44" s="60" t="s">
        <v>155</v>
      </c>
      <c r="U44" s="55"/>
      <c r="V44" s="56"/>
      <c r="W44" s="57"/>
      <c r="X44" s="58"/>
      <c r="Y44" s="58"/>
      <c r="Z44" s="58"/>
      <c r="AA44" s="58"/>
      <c r="AB44" s="64"/>
      <c r="AD44" s="60" t="s">
        <v>185</v>
      </c>
      <c r="AE44" s="55"/>
      <c r="AF44" s="56"/>
      <c r="AG44" s="57"/>
      <c r="AH44" s="58"/>
      <c r="AI44" s="58"/>
      <c r="AJ44" s="58"/>
      <c r="AK44" s="58"/>
    </row>
    <row r="45" spans="1:37" ht="35.1" customHeight="1" thickBot="1" x14ac:dyDescent="0.25">
      <c r="A45" s="61" t="s">
        <v>156</v>
      </c>
      <c r="B45" s="55"/>
      <c r="C45" s="56"/>
      <c r="D45" s="83"/>
      <c r="E45" s="83"/>
      <c r="F45" s="83"/>
      <c r="G45" s="83"/>
      <c r="H45" s="83"/>
      <c r="I45" s="64"/>
      <c r="J45" s="61" t="s">
        <v>186</v>
      </c>
      <c r="K45" s="55"/>
      <c r="L45" s="56"/>
      <c r="M45" s="83"/>
      <c r="N45" s="83"/>
      <c r="O45" s="83"/>
      <c r="P45" s="83"/>
      <c r="Q45" s="83"/>
      <c r="R45" s="64"/>
      <c r="S45" s="59"/>
      <c r="T45" s="62" t="s">
        <v>157</v>
      </c>
      <c r="U45" s="55"/>
      <c r="V45" s="56"/>
      <c r="W45" s="57"/>
      <c r="X45" s="58"/>
      <c r="Y45" s="58"/>
      <c r="Z45" s="58"/>
      <c r="AA45" s="58"/>
      <c r="AB45" s="64"/>
      <c r="AD45" s="62" t="s">
        <v>187</v>
      </c>
      <c r="AE45" s="55"/>
      <c r="AF45" s="56"/>
      <c r="AG45" s="57"/>
      <c r="AH45" s="58"/>
      <c r="AI45" s="58"/>
      <c r="AJ45" s="58"/>
      <c r="AK45" s="58"/>
    </row>
    <row r="46" spans="1:37" ht="35.1" customHeight="1" thickBot="1" x14ac:dyDescent="0.25">
      <c r="A46" s="54" t="s">
        <v>158</v>
      </c>
      <c r="B46" s="55"/>
      <c r="C46" s="56"/>
      <c r="D46" s="83"/>
      <c r="E46" s="83"/>
      <c r="F46" s="83"/>
      <c r="G46" s="83"/>
      <c r="H46" s="83"/>
      <c r="I46" s="64"/>
      <c r="J46" s="54" t="s">
        <v>188</v>
      </c>
      <c r="K46" s="55"/>
      <c r="L46" s="56"/>
      <c r="M46" s="83"/>
      <c r="N46" s="83"/>
      <c r="O46" s="83"/>
      <c r="P46" s="83"/>
      <c r="Q46" s="83"/>
      <c r="R46" s="64"/>
      <c r="S46" s="59"/>
      <c r="T46" s="60" t="s">
        <v>159</v>
      </c>
      <c r="U46" s="55"/>
      <c r="V46" s="56"/>
      <c r="W46" s="57"/>
      <c r="X46" s="58"/>
      <c r="Y46" s="58"/>
      <c r="Z46" s="58"/>
      <c r="AA46" s="58"/>
      <c r="AB46" s="64"/>
      <c r="AD46" s="60" t="s">
        <v>189</v>
      </c>
      <c r="AE46" s="55"/>
      <c r="AF46" s="56"/>
      <c r="AG46" s="57"/>
      <c r="AH46" s="58"/>
      <c r="AI46" s="58"/>
      <c r="AJ46" s="58"/>
      <c r="AK46" s="58"/>
    </row>
    <row r="47" spans="1:37" ht="35.1" customHeight="1" thickBot="1" x14ac:dyDescent="0.25">
      <c r="A47" s="61" t="s">
        <v>160</v>
      </c>
      <c r="B47" s="55"/>
      <c r="C47" s="56"/>
      <c r="D47" s="83"/>
      <c r="E47" s="83"/>
      <c r="F47" s="83"/>
      <c r="G47" s="83"/>
      <c r="H47" s="83"/>
      <c r="I47" s="64"/>
      <c r="J47" s="61" t="s">
        <v>190</v>
      </c>
      <c r="K47" s="55"/>
      <c r="L47" s="56"/>
      <c r="M47" s="83"/>
      <c r="N47" s="83"/>
      <c r="O47" s="83"/>
      <c r="P47" s="83"/>
      <c r="Q47" s="83"/>
      <c r="R47" s="64"/>
      <c r="S47" s="59"/>
      <c r="T47" s="62" t="s">
        <v>161</v>
      </c>
      <c r="U47" s="55"/>
      <c r="V47" s="56"/>
      <c r="W47" s="57"/>
      <c r="X47" s="58"/>
      <c r="Y47" s="58"/>
      <c r="Z47" s="58"/>
      <c r="AA47" s="58"/>
      <c r="AB47" s="64"/>
      <c r="AD47" s="62" t="s">
        <v>191</v>
      </c>
      <c r="AE47" s="55"/>
      <c r="AF47" s="56"/>
      <c r="AG47" s="57"/>
      <c r="AH47" s="58"/>
      <c r="AI47" s="58"/>
      <c r="AJ47" s="58"/>
      <c r="AK47" s="58"/>
    </row>
    <row r="48" spans="1:37" ht="35.1" customHeight="1" thickBot="1" x14ac:dyDescent="0.25">
      <c r="A48" s="54" t="s">
        <v>162</v>
      </c>
      <c r="B48" s="55"/>
      <c r="C48" s="56"/>
      <c r="D48" s="83"/>
      <c r="E48" s="83"/>
      <c r="F48" s="83"/>
      <c r="G48" s="83"/>
      <c r="H48" s="83"/>
      <c r="I48" s="64"/>
      <c r="J48" s="54" t="s">
        <v>192</v>
      </c>
      <c r="K48" s="55"/>
      <c r="L48" s="56"/>
      <c r="M48" s="83"/>
      <c r="N48" s="83"/>
      <c r="O48" s="83"/>
      <c r="P48" s="83"/>
      <c r="Q48" s="83"/>
      <c r="R48" s="64"/>
      <c r="S48" s="59"/>
      <c r="T48" s="60" t="s">
        <v>163</v>
      </c>
      <c r="U48" s="55"/>
      <c r="V48" s="56"/>
      <c r="W48" s="57"/>
      <c r="X48" s="58"/>
      <c r="Y48" s="58"/>
      <c r="Z48" s="58"/>
      <c r="AA48" s="58"/>
      <c r="AB48" s="64"/>
      <c r="AD48" s="60" t="s">
        <v>193</v>
      </c>
      <c r="AE48" s="55"/>
      <c r="AF48" s="56"/>
      <c r="AG48" s="57"/>
      <c r="AH48" s="58"/>
      <c r="AI48" s="58"/>
      <c r="AJ48" s="58"/>
      <c r="AK48" s="58"/>
    </row>
    <row r="49" spans="1:37" ht="35.1" customHeight="1" thickBot="1" x14ac:dyDescent="0.25">
      <c r="A49" s="61" t="s">
        <v>164</v>
      </c>
      <c r="B49" s="55"/>
      <c r="C49" s="56"/>
      <c r="D49" s="83"/>
      <c r="E49" s="83"/>
      <c r="F49" s="83"/>
      <c r="G49" s="83"/>
      <c r="H49" s="83"/>
      <c r="I49" s="64"/>
      <c r="J49" s="61" t="s">
        <v>194</v>
      </c>
      <c r="K49" s="55"/>
      <c r="L49" s="56"/>
      <c r="M49" s="83"/>
      <c r="N49" s="83"/>
      <c r="O49" s="83"/>
      <c r="P49" s="83"/>
      <c r="Q49" s="83"/>
      <c r="R49" s="64"/>
      <c r="S49" s="59"/>
      <c r="T49" s="62" t="s">
        <v>165</v>
      </c>
      <c r="U49" s="55"/>
      <c r="V49" s="56"/>
      <c r="W49" s="57"/>
      <c r="X49" s="58"/>
      <c r="Y49" s="58"/>
      <c r="Z49" s="58"/>
      <c r="AA49" s="58"/>
      <c r="AB49" s="64"/>
      <c r="AD49" s="62" t="s">
        <v>195</v>
      </c>
      <c r="AE49" s="55"/>
      <c r="AF49" s="56"/>
      <c r="AG49" s="57"/>
      <c r="AH49" s="58"/>
      <c r="AI49" s="58"/>
      <c r="AJ49" s="58"/>
      <c r="AK49" s="58"/>
    </row>
    <row r="50" spans="1:37" ht="35.1" customHeight="1" thickBot="1" x14ac:dyDescent="0.25">
      <c r="A50" s="54" t="s">
        <v>166</v>
      </c>
      <c r="B50" s="55"/>
      <c r="C50" s="56"/>
      <c r="D50" s="83"/>
      <c r="E50" s="83"/>
      <c r="F50" s="83"/>
      <c r="G50" s="83"/>
      <c r="H50" s="83"/>
      <c r="I50" s="64"/>
      <c r="J50" s="54" t="s">
        <v>196</v>
      </c>
      <c r="K50" s="55"/>
      <c r="L50" s="56"/>
      <c r="M50" s="83"/>
      <c r="N50" s="83"/>
      <c r="O50" s="83"/>
      <c r="P50" s="83"/>
      <c r="Q50" s="83"/>
      <c r="R50" s="64"/>
      <c r="S50" s="59"/>
      <c r="T50" s="60" t="s">
        <v>167</v>
      </c>
      <c r="U50" s="55"/>
      <c r="V50" s="56"/>
      <c r="W50" s="57"/>
      <c r="X50" s="58"/>
      <c r="Y50" s="58"/>
      <c r="Z50" s="58"/>
      <c r="AA50" s="58"/>
      <c r="AB50" s="64"/>
      <c r="AD50" s="60" t="s">
        <v>197</v>
      </c>
      <c r="AE50" s="55"/>
      <c r="AF50" s="56"/>
      <c r="AG50" s="57"/>
      <c r="AH50" s="58"/>
      <c r="AI50" s="58"/>
      <c r="AJ50" s="58"/>
      <c r="AK50" s="58"/>
    </row>
    <row r="51" spans="1:37" ht="35.1" customHeight="1" thickBot="1" x14ac:dyDescent="0.25">
      <c r="A51" s="61" t="s">
        <v>168</v>
      </c>
      <c r="B51" s="55"/>
      <c r="C51" s="56"/>
      <c r="D51" s="83"/>
      <c r="E51" s="83"/>
      <c r="F51" s="83"/>
      <c r="G51" s="83"/>
      <c r="H51" s="83"/>
      <c r="I51" s="64"/>
      <c r="J51" s="61" t="s">
        <v>198</v>
      </c>
      <c r="K51" s="55"/>
      <c r="L51" s="56"/>
      <c r="M51" s="83"/>
      <c r="N51" s="83"/>
      <c r="O51" s="83"/>
      <c r="P51" s="83"/>
      <c r="Q51" s="83"/>
      <c r="R51" s="64"/>
      <c r="S51" s="59"/>
      <c r="T51" s="62" t="s">
        <v>169</v>
      </c>
      <c r="U51" s="55"/>
      <c r="V51" s="56"/>
      <c r="W51" s="57"/>
      <c r="X51" s="58"/>
      <c r="Y51" s="58"/>
      <c r="Z51" s="58"/>
      <c r="AA51" s="58"/>
      <c r="AB51" s="64"/>
      <c r="AD51" s="62" t="s">
        <v>199</v>
      </c>
      <c r="AE51" s="55"/>
      <c r="AF51" s="56"/>
      <c r="AG51" s="57"/>
      <c r="AH51" s="58"/>
      <c r="AI51" s="58"/>
      <c r="AJ51" s="58"/>
      <c r="AK51" s="58"/>
    </row>
    <row r="52" spans="1:37" ht="35.1" customHeight="1" thickBot="1" x14ac:dyDescent="0.25">
      <c r="A52" s="54" t="s">
        <v>170</v>
      </c>
      <c r="B52" s="55"/>
      <c r="C52" s="56"/>
      <c r="D52" s="83"/>
      <c r="E52" s="83"/>
      <c r="F52" s="83"/>
      <c r="G52" s="83"/>
      <c r="H52" s="83"/>
      <c r="I52" s="64"/>
      <c r="J52" s="54" t="s">
        <v>200</v>
      </c>
      <c r="K52" s="55"/>
      <c r="L52" s="56"/>
      <c r="M52" s="83"/>
      <c r="N52" s="83"/>
      <c r="O52" s="83"/>
      <c r="P52" s="83"/>
      <c r="Q52" s="83"/>
      <c r="R52" s="64"/>
      <c r="S52" s="59"/>
      <c r="T52" s="60" t="s">
        <v>171</v>
      </c>
      <c r="U52" s="55"/>
      <c r="V52" s="56"/>
      <c r="W52" s="57"/>
      <c r="X52" s="58"/>
      <c r="Y52" s="58"/>
      <c r="Z52" s="58"/>
      <c r="AA52" s="58"/>
      <c r="AB52" s="64"/>
      <c r="AD52" s="60" t="s">
        <v>201</v>
      </c>
      <c r="AE52" s="55"/>
      <c r="AF52" s="56"/>
      <c r="AG52" s="57"/>
      <c r="AH52" s="58"/>
      <c r="AI52" s="58"/>
      <c r="AJ52" s="58"/>
      <c r="AK52" s="58"/>
    </row>
    <row r="53" spans="1:37" ht="35.1" customHeight="1" thickBot="1" x14ac:dyDescent="0.25">
      <c r="A53" s="61" t="s">
        <v>172</v>
      </c>
      <c r="B53" s="55"/>
      <c r="C53" s="56"/>
      <c r="D53" s="83"/>
      <c r="E53" s="83"/>
      <c r="F53" s="83"/>
      <c r="G53" s="83"/>
      <c r="H53" s="83"/>
      <c r="J53" s="61" t="s">
        <v>202</v>
      </c>
      <c r="K53" s="55"/>
      <c r="L53" s="56"/>
      <c r="M53" s="83"/>
      <c r="N53" s="83"/>
      <c r="O53" s="83"/>
      <c r="P53" s="83"/>
      <c r="Q53" s="83"/>
      <c r="R53" s="64"/>
      <c r="T53" s="62" t="s">
        <v>173</v>
      </c>
      <c r="U53" s="55"/>
      <c r="V53" s="56"/>
      <c r="W53" s="57"/>
      <c r="X53" s="58"/>
      <c r="Y53" s="58"/>
      <c r="Z53" s="58"/>
      <c r="AA53" s="58"/>
      <c r="AB53" s="64"/>
      <c r="AD53" s="62" t="s">
        <v>203</v>
      </c>
      <c r="AE53" s="55"/>
      <c r="AF53" s="56"/>
      <c r="AG53" s="57"/>
      <c r="AH53" s="58"/>
      <c r="AI53" s="58"/>
      <c r="AJ53" s="58"/>
      <c r="AK53" s="58"/>
    </row>
    <row r="54" spans="1:37" ht="35.1" customHeight="1" thickBot="1" x14ac:dyDescent="0.3">
      <c r="A54" s="54" t="s">
        <v>174</v>
      </c>
      <c r="B54" s="55"/>
      <c r="C54" s="56"/>
      <c r="D54" s="83"/>
      <c r="E54" s="83"/>
      <c r="F54" s="83"/>
      <c r="G54" s="83"/>
      <c r="H54" s="83"/>
      <c r="I54" s="80"/>
      <c r="J54" s="54" t="s">
        <v>204</v>
      </c>
      <c r="K54" s="55"/>
      <c r="L54" s="56"/>
      <c r="M54" s="83"/>
      <c r="N54" s="83"/>
      <c r="O54" s="83"/>
      <c r="P54" s="83"/>
      <c r="Q54" s="83"/>
      <c r="R54" s="64"/>
      <c r="S54" s="52"/>
      <c r="T54" s="60" t="s">
        <v>175</v>
      </c>
      <c r="U54" s="55"/>
      <c r="V54" s="56"/>
      <c r="W54" s="57"/>
      <c r="X54" s="58"/>
      <c r="Y54" s="58"/>
      <c r="Z54" s="58"/>
      <c r="AA54" s="58"/>
      <c r="AB54" s="64"/>
      <c r="AD54" s="60" t="s">
        <v>205</v>
      </c>
      <c r="AE54" s="55"/>
      <c r="AF54" s="56"/>
      <c r="AG54" s="57"/>
      <c r="AH54" s="58"/>
      <c r="AI54" s="58"/>
      <c r="AJ54" s="58"/>
      <c r="AK54" s="58"/>
    </row>
    <row r="55" spans="1:37" ht="35.1" customHeight="1" x14ac:dyDescent="0.2">
      <c r="I55" s="64"/>
      <c r="J55" s="64"/>
      <c r="K55" s="64"/>
      <c r="L55" s="64"/>
      <c r="M55" s="64"/>
      <c r="N55" s="64"/>
      <c r="O55" s="64"/>
      <c r="P55" s="64"/>
      <c r="Q55" s="64"/>
      <c r="R55" s="64"/>
      <c r="S55" s="64"/>
    </row>
    <row r="56" spans="1:37" ht="35.1" customHeight="1" x14ac:dyDescent="0.2">
      <c r="I56" s="64"/>
      <c r="J56" s="64"/>
      <c r="K56" s="64"/>
      <c r="L56" s="64"/>
      <c r="M56" s="64"/>
      <c r="N56" s="64"/>
      <c r="O56" s="64"/>
      <c r="P56" s="64"/>
      <c r="Q56" s="64"/>
      <c r="R56" s="64"/>
      <c r="S56" s="64"/>
    </row>
  </sheetData>
  <printOptions horizontalCentered="1" verticalCentered="1"/>
  <pageMargins left="0.2" right="0.2" top="0.25" bottom="0.25" header="0" footer="0"/>
  <pageSetup scale="73" fitToHeight="6" pageOrder="overThenDown" orientation="landscape" r:id="rId1"/>
  <headerFooter>
    <oddFooter>&amp;R&amp;8&amp;D&amp;   &amp;Z&amp;F&amp;' page &amp;P&amp;' o&amp;Of &amp;N</oddFooter>
  </headerFooter>
  <rowBreaks count="2" manualBreakCount="2">
    <brk id="21" max="16383" man="1"/>
    <brk id="38"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2"/>
  <sheetViews>
    <sheetView zoomScaleNormal="100" zoomScaleSheetLayoutView="70" workbookViewId="0">
      <selection activeCell="E8" sqref="E8:N8"/>
    </sheetView>
  </sheetViews>
  <sheetFormatPr defaultRowHeight="12.75" x14ac:dyDescent="0.2"/>
  <cols>
    <col min="1" max="1" width="15.28515625" customWidth="1"/>
    <col min="2" max="2" width="4.7109375" style="1" customWidth="1"/>
    <col min="3" max="3" width="6.7109375" style="2" customWidth="1"/>
    <col min="4" max="4" width="9.28515625" style="24" customWidth="1"/>
    <col min="5" max="14" width="11.140625" customWidth="1"/>
  </cols>
  <sheetData>
    <row r="1" spans="1:14" ht="15.75" x14ac:dyDescent="0.25">
      <c r="A1" s="6" t="s">
        <v>10</v>
      </c>
      <c r="B1" s="17">
        <v>2023</v>
      </c>
      <c r="C1" s="18"/>
      <c r="D1" s="72" t="s">
        <v>16</v>
      </c>
      <c r="F1" s="8" t="s">
        <v>6</v>
      </c>
    </row>
    <row r="2" spans="1:14" ht="14.45" customHeight="1" x14ac:dyDescent="0.25">
      <c r="A2" s="6"/>
      <c r="B2" s="7"/>
      <c r="C2" s="8"/>
      <c r="D2" s="24" t="s">
        <v>211</v>
      </c>
    </row>
    <row r="3" spans="1:14" ht="15" x14ac:dyDescent="0.25">
      <c r="B3" s="19" t="s">
        <v>11</v>
      </c>
    </row>
    <row r="4" spans="1:14" ht="7.9" customHeight="1" x14ac:dyDescent="0.2">
      <c r="B4" s="5"/>
      <c r="M4" s="4"/>
      <c r="N4" s="4"/>
    </row>
    <row r="5" spans="1:14" x14ac:dyDescent="0.2">
      <c r="B5" s="2"/>
      <c r="M5" s="4"/>
      <c r="N5" s="4"/>
    </row>
    <row r="6" spans="1:14" x14ac:dyDescent="0.2">
      <c r="B6" s="2"/>
      <c r="M6" s="85"/>
      <c r="N6" s="4"/>
    </row>
    <row r="7" spans="1:14" ht="12" customHeight="1" x14ac:dyDescent="0.2">
      <c r="B7" s="2"/>
      <c r="H7" s="32"/>
      <c r="I7" s="25"/>
      <c r="M7" s="85"/>
      <c r="N7" s="32"/>
    </row>
    <row r="8" spans="1:14" s="24" customFormat="1" x14ac:dyDescent="0.2">
      <c r="D8" s="27" t="s">
        <v>17</v>
      </c>
      <c r="E8" s="24" t="s">
        <v>223</v>
      </c>
      <c r="F8" s="24" t="s">
        <v>223</v>
      </c>
      <c r="G8" s="24" t="s">
        <v>223</v>
      </c>
      <c r="H8" s="24" t="s">
        <v>223</v>
      </c>
      <c r="I8" s="24" t="s">
        <v>223</v>
      </c>
      <c r="J8" s="24" t="s">
        <v>223</v>
      </c>
      <c r="K8" s="24" t="s">
        <v>223</v>
      </c>
      <c r="L8" s="24" t="s">
        <v>223</v>
      </c>
      <c r="M8" s="24" t="s">
        <v>223</v>
      </c>
      <c r="N8" s="24" t="s">
        <v>223</v>
      </c>
    </row>
    <row r="9" spans="1:14" x14ac:dyDescent="0.2">
      <c r="B9" s="2"/>
      <c r="D9" s="27" t="s">
        <v>18</v>
      </c>
      <c r="E9" s="39">
        <v>45082</v>
      </c>
      <c r="F9" s="14">
        <v>45089</v>
      </c>
      <c r="G9" s="14">
        <v>45097</v>
      </c>
      <c r="H9" s="39">
        <v>45103</v>
      </c>
      <c r="I9" s="39">
        <v>45110</v>
      </c>
      <c r="J9" s="39">
        <v>45120</v>
      </c>
      <c r="K9" s="39">
        <v>45127</v>
      </c>
      <c r="L9" s="39">
        <v>45134</v>
      </c>
      <c r="M9" s="39">
        <v>45141</v>
      </c>
      <c r="N9" s="39">
        <v>45162</v>
      </c>
    </row>
    <row r="10" spans="1:14" ht="15.6" customHeight="1" x14ac:dyDescent="0.2">
      <c r="B10" s="5"/>
      <c r="D10" s="27" t="s">
        <v>20</v>
      </c>
      <c r="E10" s="12">
        <v>156</v>
      </c>
      <c r="F10" s="12">
        <v>163</v>
      </c>
      <c r="G10" s="12">
        <v>171</v>
      </c>
      <c r="H10" s="12">
        <v>177</v>
      </c>
      <c r="I10" s="12">
        <v>184</v>
      </c>
      <c r="J10" s="12">
        <v>194</v>
      </c>
      <c r="K10" s="12">
        <v>201</v>
      </c>
      <c r="L10" s="12">
        <v>208</v>
      </c>
      <c r="M10" s="12">
        <v>215</v>
      </c>
      <c r="N10" s="12">
        <v>236</v>
      </c>
    </row>
    <row r="11" spans="1:14" s="34" customFormat="1" ht="22.15" customHeight="1" x14ac:dyDescent="0.2">
      <c r="B11" s="22"/>
      <c r="D11" s="27" t="s">
        <v>19</v>
      </c>
      <c r="E11" s="88" t="s">
        <v>214</v>
      </c>
      <c r="F11" s="15" t="s">
        <v>215</v>
      </c>
      <c r="G11" s="15" t="s">
        <v>212</v>
      </c>
      <c r="H11" s="88" t="s">
        <v>216</v>
      </c>
      <c r="I11" s="88" t="s">
        <v>217</v>
      </c>
      <c r="J11" s="88" t="s">
        <v>218</v>
      </c>
      <c r="K11" s="88" t="s">
        <v>219</v>
      </c>
      <c r="L11" s="88" t="s">
        <v>220</v>
      </c>
      <c r="M11" s="88" t="s">
        <v>221</v>
      </c>
      <c r="N11" s="88" t="s">
        <v>222</v>
      </c>
    </row>
    <row r="12" spans="1:14" ht="20.45" customHeight="1" thickBot="1" x14ac:dyDescent="0.25">
      <c r="B12" s="220" t="s">
        <v>7</v>
      </c>
      <c r="C12" s="220"/>
      <c r="D12" s="35" t="s">
        <v>15</v>
      </c>
      <c r="E12" s="12" t="s">
        <v>12</v>
      </c>
      <c r="F12" s="12" t="s">
        <v>12</v>
      </c>
      <c r="G12" s="12" t="s">
        <v>12</v>
      </c>
      <c r="H12" s="12" t="s">
        <v>12</v>
      </c>
      <c r="I12" s="12" t="s">
        <v>12</v>
      </c>
      <c r="J12" s="12" t="s">
        <v>12</v>
      </c>
      <c r="K12" s="12" t="s">
        <v>12</v>
      </c>
      <c r="L12" s="12" t="s">
        <v>12</v>
      </c>
      <c r="M12" s="12" t="s">
        <v>12</v>
      </c>
      <c r="N12" s="12" t="s">
        <v>12</v>
      </c>
    </row>
    <row r="13" spans="1:14" ht="19.899999999999999" customHeight="1" x14ac:dyDescent="0.2">
      <c r="A13" s="34"/>
      <c r="B13" s="11" t="s">
        <v>0</v>
      </c>
      <c r="C13" s="69">
        <v>1</v>
      </c>
      <c r="D13" s="73" t="s">
        <v>207</v>
      </c>
      <c r="E13" s="9">
        <v>13</v>
      </c>
      <c r="F13" s="9">
        <v>20</v>
      </c>
      <c r="G13" s="9">
        <v>28</v>
      </c>
      <c r="H13" s="9">
        <v>42</v>
      </c>
      <c r="I13" s="9">
        <v>55</v>
      </c>
      <c r="J13" s="9">
        <v>65</v>
      </c>
      <c r="K13" s="9">
        <v>76</v>
      </c>
      <c r="L13" s="9">
        <v>85</v>
      </c>
      <c r="M13" s="9">
        <v>98</v>
      </c>
      <c r="N13" s="9">
        <v>102</v>
      </c>
    </row>
    <row r="14" spans="1:14" ht="19.899999999999999" customHeight="1" x14ac:dyDescent="0.2">
      <c r="A14" s="34"/>
      <c r="B14" s="65" t="s">
        <v>0</v>
      </c>
      <c r="C14" s="70">
        <v>2</v>
      </c>
      <c r="D14" s="74" t="s">
        <v>207</v>
      </c>
      <c r="E14" s="67">
        <v>15</v>
      </c>
      <c r="F14" s="67">
        <v>22</v>
      </c>
      <c r="G14" s="67">
        <v>32</v>
      </c>
      <c r="H14" s="67">
        <v>53</v>
      </c>
      <c r="I14" s="67">
        <v>77</v>
      </c>
      <c r="J14" s="67">
        <v>89</v>
      </c>
      <c r="K14" s="67">
        <v>100</v>
      </c>
      <c r="L14" s="67">
        <v>115</v>
      </c>
      <c r="M14" s="67">
        <v>125</v>
      </c>
      <c r="N14" s="67">
        <v>129</v>
      </c>
    </row>
    <row r="15" spans="1:14" ht="19.899999999999999" customHeight="1" x14ac:dyDescent="0.2">
      <c r="A15" s="34"/>
      <c r="B15" s="65" t="s">
        <v>0</v>
      </c>
      <c r="C15" s="70">
        <v>3</v>
      </c>
      <c r="D15" s="74" t="s">
        <v>207</v>
      </c>
      <c r="E15" s="67">
        <v>13</v>
      </c>
      <c r="F15" s="67">
        <v>21</v>
      </c>
      <c r="G15" s="67">
        <v>31</v>
      </c>
      <c r="H15" s="67">
        <v>51</v>
      </c>
      <c r="I15" s="67">
        <v>74</v>
      </c>
      <c r="J15" s="67">
        <v>84</v>
      </c>
      <c r="K15" s="67">
        <v>92</v>
      </c>
      <c r="L15" s="67">
        <v>101</v>
      </c>
      <c r="M15" s="67">
        <v>112</v>
      </c>
      <c r="N15" s="67">
        <v>117</v>
      </c>
    </row>
    <row r="16" spans="1:14" ht="19.899999999999999" customHeight="1" x14ac:dyDescent="0.2">
      <c r="A16" s="34"/>
      <c r="B16" s="65" t="s">
        <v>0</v>
      </c>
      <c r="C16" s="70">
        <v>4</v>
      </c>
      <c r="D16" s="74" t="s">
        <v>207</v>
      </c>
      <c r="E16" s="67">
        <v>9</v>
      </c>
      <c r="F16" s="67">
        <v>15</v>
      </c>
      <c r="G16" s="67">
        <v>25</v>
      </c>
      <c r="H16" s="67">
        <v>50</v>
      </c>
      <c r="I16" s="67">
        <v>77</v>
      </c>
      <c r="J16" s="67">
        <v>88</v>
      </c>
      <c r="K16" s="67">
        <v>99</v>
      </c>
      <c r="L16" s="67">
        <v>110</v>
      </c>
      <c r="M16" s="67">
        <v>122</v>
      </c>
      <c r="N16" s="67">
        <v>127</v>
      </c>
    </row>
    <row r="17" spans="1:14" ht="19.899999999999999" customHeight="1" x14ac:dyDescent="0.2">
      <c r="A17" s="34"/>
      <c r="B17" s="65" t="s">
        <v>0</v>
      </c>
      <c r="C17" s="70">
        <v>5</v>
      </c>
      <c r="D17" s="74" t="s">
        <v>207</v>
      </c>
      <c r="E17" s="67">
        <v>9</v>
      </c>
      <c r="F17" s="67">
        <v>16</v>
      </c>
      <c r="G17" s="67">
        <v>26</v>
      </c>
      <c r="H17" s="67">
        <v>43</v>
      </c>
      <c r="I17" s="67">
        <v>66</v>
      </c>
      <c r="J17" s="67">
        <v>77</v>
      </c>
      <c r="K17" s="67">
        <v>89</v>
      </c>
      <c r="L17" s="67">
        <v>102</v>
      </c>
      <c r="M17" s="67">
        <v>113</v>
      </c>
      <c r="N17" s="67">
        <v>119</v>
      </c>
    </row>
    <row r="18" spans="1:14" ht="19.899999999999999" customHeight="1" x14ac:dyDescent="0.2">
      <c r="A18" s="34"/>
      <c r="B18" s="65" t="s">
        <v>0</v>
      </c>
      <c r="C18" s="70">
        <v>6</v>
      </c>
      <c r="D18" s="74" t="s">
        <v>207</v>
      </c>
      <c r="E18" s="67">
        <v>12</v>
      </c>
      <c r="F18" s="67">
        <v>20</v>
      </c>
      <c r="G18" s="67">
        <v>29</v>
      </c>
      <c r="H18" s="67">
        <v>45</v>
      </c>
      <c r="I18" s="67">
        <v>67</v>
      </c>
      <c r="J18" s="67">
        <v>86</v>
      </c>
      <c r="K18" s="67">
        <v>107</v>
      </c>
      <c r="L18" s="67">
        <v>134</v>
      </c>
      <c r="M18" s="67">
        <v>148</v>
      </c>
      <c r="N18" s="67">
        <v>154</v>
      </c>
    </row>
    <row r="19" spans="1:14" ht="19.899999999999999" customHeight="1" x14ac:dyDescent="0.2">
      <c r="A19" s="34"/>
      <c r="B19" s="65" t="s">
        <v>0</v>
      </c>
      <c r="C19" s="70">
        <v>7</v>
      </c>
      <c r="D19" s="74" t="s">
        <v>207</v>
      </c>
      <c r="E19" s="67">
        <v>10</v>
      </c>
      <c r="F19" s="67">
        <v>18</v>
      </c>
      <c r="G19" s="67">
        <v>28</v>
      </c>
      <c r="H19" s="67">
        <v>40</v>
      </c>
      <c r="I19" s="67">
        <v>58</v>
      </c>
      <c r="J19" s="67">
        <v>67</v>
      </c>
      <c r="K19" s="67">
        <v>76</v>
      </c>
      <c r="L19" s="67">
        <v>85</v>
      </c>
      <c r="M19" s="67">
        <v>100</v>
      </c>
      <c r="N19" s="67">
        <v>98</v>
      </c>
    </row>
    <row r="20" spans="1:14" ht="19.899999999999999" customHeight="1" x14ac:dyDescent="0.2">
      <c r="A20" s="34"/>
      <c r="B20" s="65" t="s">
        <v>0</v>
      </c>
      <c r="C20" s="70">
        <v>8</v>
      </c>
      <c r="D20" s="74" t="s">
        <v>207</v>
      </c>
      <c r="E20" s="67">
        <v>20</v>
      </c>
      <c r="F20" s="67">
        <v>26</v>
      </c>
      <c r="G20" s="67">
        <v>35</v>
      </c>
      <c r="H20" s="67">
        <v>54</v>
      </c>
      <c r="I20" s="67">
        <v>80</v>
      </c>
      <c r="J20" s="67">
        <v>93</v>
      </c>
      <c r="K20" s="67">
        <v>105</v>
      </c>
      <c r="L20" s="67">
        <v>115</v>
      </c>
      <c r="M20" s="67">
        <v>131</v>
      </c>
      <c r="N20" s="67">
        <v>138</v>
      </c>
    </row>
    <row r="21" spans="1:14" ht="19.899999999999999" customHeight="1" x14ac:dyDescent="0.2">
      <c r="A21" s="34"/>
      <c r="B21" s="65" t="s">
        <v>0</v>
      </c>
      <c r="C21" s="70">
        <v>9</v>
      </c>
      <c r="D21" s="74" t="s">
        <v>207</v>
      </c>
      <c r="E21" s="67">
        <v>18</v>
      </c>
      <c r="F21" s="67">
        <v>24</v>
      </c>
      <c r="G21" s="67">
        <v>32</v>
      </c>
      <c r="H21" s="67">
        <v>53</v>
      </c>
      <c r="I21" s="67">
        <v>80</v>
      </c>
      <c r="J21" s="67">
        <v>90</v>
      </c>
      <c r="K21" s="67">
        <v>97</v>
      </c>
      <c r="L21" s="67">
        <v>107</v>
      </c>
      <c r="M21" s="67">
        <v>118</v>
      </c>
      <c r="N21" s="67">
        <v>121</v>
      </c>
    </row>
    <row r="22" spans="1:14" ht="19.899999999999999" customHeight="1" x14ac:dyDescent="0.2">
      <c r="A22" s="34"/>
      <c r="B22" s="65" t="s">
        <v>0</v>
      </c>
      <c r="C22" s="70">
        <v>10</v>
      </c>
      <c r="D22" s="74" t="s">
        <v>207</v>
      </c>
      <c r="E22" s="67">
        <v>13</v>
      </c>
      <c r="F22" s="67">
        <v>20</v>
      </c>
      <c r="G22" s="67">
        <v>29</v>
      </c>
      <c r="H22" s="67">
        <v>51</v>
      </c>
      <c r="I22" s="67">
        <v>81</v>
      </c>
      <c r="J22" s="67">
        <v>90</v>
      </c>
      <c r="K22" s="67">
        <v>98</v>
      </c>
      <c r="L22" s="67">
        <v>108</v>
      </c>
      <c r="M22" s="67">
        <v>117</v>
      </c>
      <c r="N22" s="67">
        <v>122</v>
      </c>
    </row>
    <row r="23" spans="1:14" ht="19.899999999999999" customHeight="1" x14ac:dyDescent="0.2">
      <c r="A23" s="34"/>
      <c r="B23" s="65" t="s">
        <v>0</v>
      </c>
      <c r="C23" s="70">
        <v>11</v>
      </c>
      <c r="D23" s="74" t="s">
        <v>207</v>
      </c>
      <c r="E23" s="67">
        <v>15</v>
      </c>
      <c r="F23" s="67">
        <v>21</v>
      </c>
      <c r="G23" s="67">
        <v>30</v>
      </c>
      <c r="H23" s="67">
        <v>50</v>
      </c>
      <c r="I23" s="67">
        <v>64</v>
      </c>
      <c r="J23" s="67">
        <v>76</v>
      </c>
      <c r="K23" s="67">
        <v>88</v>
      </c>
      <c r="L23" s="67">
        <v>101</v>
      </c>
      <c r="M23" s="67">
        <v>116</v>
      </c>
      <c r="N23" s="67">
        <v>123</v>
      </c>
    </row>
    <row r="24" spans="1:14" ht="19.899999999999999" customHeight="1" x14ac:dyDescent="0.2">
      <c r="A24" s="34"/>
      <c r="B24" s="65" t="s">
        <v>0</v>
      </c>
      <c r="C24" s="70">
        <v>12</v>
      </c>
      <c r="D24" s="74" t="s">
        <v>207</v>
      </c>
      <c r="E24" s="67">
        <v>14</v>
      </c>
      <c r="F24" s="67">
        <v>20</v>
      </c>
      <c r="G24" s="67">
        <v>29</v>
      </c>
      <c r="H24" s="67">
        <v>52</v>
      </c>
      <c r="I24" s="67">
        <v>67</v>
      </c>
      <c r="J24" s="67">
        <v>77</v>
      </c>
      <c r="K24" s="67">
        <v>86</v>
      </c>
      <c r="L24" s="67">
        <v>95</v>
      </c>
      <c r="M24" s="67">
        <v>107</v>
      </c>
      <c r="N24" s="67">
        <v>113</v>
      </c>
    </row>
    <row r="25" spans="1:14" ht="19.899999999999999" customHeight="1" x14ac:dyDescent="0.2">
      <c r="A25" s="34"/>
      <c r="B25" s="65" t="s">
        <v>0</v>
      </c>
      <c r="C25" s="70">
        <v>13</v>
      </c>
      <c r="D25" s="74" t="s">
        <v>207</v>
      </c>
      <c r="E25" s="67">
        <v>9</v>
      </c>
      <c r="F25" s="67">
        <v>15</v>
      </c>
      <c r="G25" s="67">
        <v>26</v>
      </c>
      <c r="H25" s="67">
        <v>38</v>
      </c>
      <c r="I25" s="67">
        <v>54</v>
      </c>
      <c r="J25" s="67">
        <v>62</v>
      </c>
      <c r="K25" s="67">
        <v>73</v>
      </c>
      <c r="L25" s="67">
        <v>84</v>
      </c>
      <c r="M25" s="67">
        <v>102</v>
      </c>
      <c r="N25" s="67">
        <v>98</v>
      </c>
    </row>
    <row r="26" spans="1:14" ht="19.899999999999999" customHeight="1" x14ac:dyDescent="0.2">
      <c r="A26" s="34"/>
      <c r="B26" s="65" t="s">
        <v>0</v>
      </c>
      <c r="C26" s="70">
        <v>14</v>
      </c>
      <c r="D26" s="74" t="s">
        <v>207</v>
      </c>
      <c r="E26" s="67">
        <v>12</v>
      </c>
      <c r="F26" s="67">
        <v>18</v>
      </c>
      <c r="G26" s="67">
        <v>28</v>
      </c>
      <c r="H26" s="67">
        <v>48</v>
      </c>
      <c r="I26" s="67">
        <v>75</v>
      </c>
      <c r="J26" s="67">
        <v>86</v>
      </c>
      <c r="K26" s="67">
        <v>96</v>
      </c>
      <c r="L26" s="67">
        <v>108</v>
      </c>
      <c r="M26" s="67">
        <v>119</v>
      </c>
      <c r="N26" s="67">
        <v>126</v>
      </c>
    </row>
    <row r="27" spans="1:14" ht="19.899999999999999" customHeight="1" thickBot="1" x14ac:dyDescent="0.25">
      <c r="A27" s="34"/>
      <c r="B27" s="66" t="s">
        <v>0</v>
      </c>
      <c r="C27" s="71">
        <v>15</v>
      </c>
      <c r="D27" s="75" t="s">
        <v>207</v>
      </c>
      <c r="E27" s="10">
        <v>13</v>
      </c>
      <c r="F27" s="10">
        <v>19</v>
      </c>
      <c r="G27" s="10">
        <v>29</v>
      </c>
      <c r="H27" s="10">
        <v>47</v>
      </c>
      <c r="I27" s="10">
        <v>69</v>
      </c>
      <c r="J27" s="10">
        <v>81</v>
      </c>
      <c r="K27" s="10">
        <v>93</v>
      </c>
      <c r="L27" s="10">
        <v>107</v>
      </c>
      <c r="M27" s="10">
        <v>121</v>
      </c>
      <c r="N27" s="10">
        <v>127</v>
      </c>
    </row>
    <row r="28" spans="1:14" ht="19.899999999999999" customHeight="1" x14ac:dyDescent="0.2">
      <c r="A28" s="34"/>
      <c r="B28" s="11" t="s">
        <v>1</v>
      </c>
      <c r="C28" s="69">
        <v>15</v>
      </c>
      <c r="D28" s="73" t="s">
        <v>208</v>
      </c>
      <c r="E28" s="9">
        <v>21</v>
      </c>
      <c r="F28" s="9">
        <v>28</v>
      </c>
      <c r="G28" s="9">
        <v>36</v>
      </c>
      <c r="H28" s="9">
        <v>50</v>
      </c>
      <c r="I28" s="9">
        <v>65</v>
      </c>
      <c r="J28" s="9">
        <v>75</v>
      </c>
      <c r="K28" s="9">
        <v>85</v>
      </c>
      <c r="L28" s="9">
        <v>94</v>
      </c>
      <c r="M28" s="9">
        <v>106</v>
      </c>
      <c r="N28" s="9">
        <v>109</v>
      </c>
    </row>
    <row r="29" spans="1:14" ht="19.899999999999999" customHeight="1" x14ac:dyDescent="0.2">
      <c r="A29" s="34"/>
      <c r="B29" s="65" t="s">
        <v>1</v>
      </c>
      <c r="C29" s="70">
        <v>14</v>
      </c>
      <c r="D29" s="74" t="s">
        <v>208</v>
      </c>
      <c r="E29" s="67">
        <v>16</v>
      </c>
      <c r="F29" s="67">
        <v>23</v>
      </c>
      <c r="G29" s="67">
        <v>32</v>
      </c>
      <c r="H29" s="67">
        <v>57</v>
      </c>
      <c r="I29" s="67">
        <v>85</v>
      </c>
      <c r="J29" s="67">
        <v>92</v>
      </c>
      <c r="K29" s="67">
        <v>99</v>
      </c>
      <c r="L29" s="67">
        <v>107</v>
      </c>
      <c r="M29" s="67">
        <v>116</v>
      </c>
      <c r="N29" s="67">
        <v>117</v>
      </c>
    </row>
    <row r="30" spans="1:14" ht="19.899999999999999" customHeight="1" x14ac:dyDescent="0.2">
      <c r="A30" s="34"/>
      <c r="B30" s="65" t="s">
        <v>1</v>
      </c>
      <c r="C30" s="70">
        <v>13</v>
      </c>
      <c r="D30" s="74" t="s">
        <v>208</v>
      </c>
      <c r="E30" s="67">
        <v>20</v>
      </c>
      <c r="F30" s="67">
        <v>27</v>
      </c>
      <c r="G30" s="67">
        <v>34</v>
      </c>
      <c r="H30" s="67">
        <v>54</v>
      </c>
      <c r="I30" s="67">
        <v>73</v>
      </c>
      <c r="J30" s="67">
        <v>82</v>
      </c>
      <c r="K30" s="67">
        <v>91</v>
      </c>
      <c r="L30" s="67">
        <v>100</v>
      </c>
      <c r="M30" s="67">
        <v>110</v>
      </c>
      <c r="N30" s="67">
        <v>115</v>
      </c>
    </row>
    <row r="31" spans="1:14" ht="19.899999999999999" customHeight="1" x14ac:dyDescent="0.2">
      <c r="A31" s="34"/>
      <c r="B31" s="65" t="s">
        <v>1</v>
      </c>
      <c r="C31" s="70">
        <v>12</v>
      </c>
      <c r="D31" s="74" t="s">
        <v>208</v>
      </c>
      <c r="E31" s="67">
        <v>20</v>
      </c>
      <c r="F31" s="67">
        <v>29</v>
      </c>
      <c r="G31" s="67">
        <v>37</v>
      </c>
      <c r="H31" s="67">
        <v>60</v>
      </c>
      <c r="I31" s="67">
        <v>85</v>
      </c>
      <c r="J31" s="67">
        <v>93</v>
      </c>
      <c r="K31" s="67">
        <v>103</v>
      </c>
      <c r="L31" s="67">
        <v>110</v>
      </c>
      <c r="M31" s="67">
        <v>119</v>
      </c>
      <c r="N31" s="67">
        <v>123</v>
      </c>
    </row>
    <row r="32" spans="1:14" ht="19.899999999999999" customHeight="1" x14ac:dyDescent="0.2">
      <c r="A32" s="34"/>
      <c r="B32" s="65" t="s">
        <v>1</v>
      </c>
      <c r="C32" s="70">
        <v>11</v>
      </c>
      <c r="D32" s="74" t="s">
        <v>208</v>
      </c>
      <c r="E32" s="67">
        <v>19</v>
      </c>
      <c r="F32" s="67">
        <v>27</v>
      </c>
      <c r="G32" s="67">
        <v>35</v>
      </c>
      <c r="H32" s="67">
        <v>55</v>
      </c>
      <c r="I32" s="67">
        <v>75</v>
      </c>
      <c r="J32" s="67">
        <v>84</v>
      </c>
      <c r="K32" s="67">
        <v>93</v>
      </c>
      <c r="L32" s="67">
        <v>100</v>
      </c>
      <c r="M32" s="67">
        <v>112</v>
      </c>
      <c r="N32" s="67">
        <v>115</v>
      </c>
    </row>
    <row r="33" spans="1:14" ht="19.899999999999999" customHeight="1" x14ac:dyDescent="0.2">
      <c r="A33" s="34"/>
      <c r="B33" s="65" t="s">
        <v>1</v>
      </c>
      <c r="C33" s="70">
        <v>10</v>
      </c>
      <c r="D33" s="74" t="s">
        <v>208</v>
      </c>
      <c r="E33" s="67">
        <v>22</v>
      </c>
      <c r="F33" s="67">
        <v>29</v>
      </c>
      <c r="G33" s="67">
        <v>37</v>
      </c>
      <c r="H33" s="67">
        <v>50</v>
      </c>
      <c r="I33" s="67">
        <v>65</v>
      </c>
      <c r="J33" s="67">
        <v>74</v>
      </c>
      <c r="K33" s="67">
        <v>82</v>
      </c>
      <c r="L33" s="67">
        <v>90</v>
      </c>
      <c r="M33" s="67">
        <v>101</v>
      </c>
      <c r="N33" s="67">
        <v>103</v>
      </c>
    </row>
    <row r="34" spans="1:14" ht="19.899999999999999" customHeight="1" x14ac:dyDescent="0.2">
      <c r="A34" s="34"/>
      <c r="B34" s="65" t="s">
        <v>1</v>
      </c>
      <c r="C34" s="70">
        <v>9</v>
      </c>
      <c r="D34" s="74" t="s">
        <v>208</v>
      </c>
      <c r="E34" s="67">
        <v>13</v>
      </c>
      <c r="F34" s="67">
        <v>20</v>
      </c>
      <c r="G34" s="67">
        <v>31</v>
      </c>
      <c r="H34" s="67">
        <v>57</v>
      </c>
      <c r="I34" s="67">
        <v>87</v>
      </c>
      <c r="J34" s="67">
        <v>101</v>
      </c>
      <c r="K34" s="67">
        <v>115</v>
      </c>
      <c r="L34" s="67">
        <v>125</v>
      </c>
      <c r="M34" s="67">
        <v>141</v>
      </c>
      <c r="N34" s="67">
        <v>148</v>
      </c>
    </row>
    <row r="35" spans="1:14" ht="19.899999999999999" customHeight="1" x14ac:dyDescent="0.2">
      <c r="A35" s="34"/>
      <c r="B35" s="65" t="s">
        <v>1</v>
      </c>
      <c r="C35" s="70">
        <v>8</v>
      </c>
      <c r="D35" s="74" t="s">
        <v>208</v>
      </c>
      <c r="E35" s="67">
        <v>21</v>
      </c>
      <c r="F35" s="67">
        <v>29</v>
      </c>
      <c r="G35" s="67">
        <v>37</v>
      </c>
      <c r="H35" s="67">
        <v>59</v>
      </c>
      <c r="I35" s="67">
        <v>87</v>
      </c>
      <c r="J35" s="67">
        <v>96</v>
      </c>
      <c r="K35" s="67">
        <v>105</v>
      </c>
      <c r="L35" s="67">
        <v>114</v>
      </c>
      <c r="M35" s="67">
        <v>124</v>
      </c>
      <c r="N35" s="67">
        <v>127</v>
      </c>
    </row>
    <row r="36" spans="1:14" ht="19.899999999999999" customHeight="1" x14ac:dyDescent="0.2">
      <c r="A36" s="34"/>
      <c r="B36" s="65" t="s">
        <v>1</v>
      </c>
      <c r="C36" s="70">
        <v>7</v>
      </c>
      <c r="D36" s="74" t="s">
        <v>208</v>
      </c>
      <c r="E36" s="67">
        <v>20</v>
      </c>
      <c r="F36" s="67">
        <v>27</v>
      </c>
      <c r="G36" s="67">
        <v>37</v>
      </c>
      <c r="H36" s="67">
        <v>57</v>
      </c>
      <c r="I36" s="67">
        <v>84</v>
      </c>
      <c r="J36" s="67">
        <v>95</v>
      </c>
      <c r="K36" s="67">
        <v>101</v>
      </c>
      <c r="L36" s="67">
        <v>117</v>
      </c>
      <c r="M36" s="67">
        <v>113</v>
      </c>
      <c r="N36" s="67">
        <v>119</v>
      </c>
    </row>
    <row r="37" spans="1:14" ht="19.899999999999999" customHeight="1" x14ac:dyDescent="0.2">
      <c r="A37" s="34"/>
      <c r="B37" s="65" t="s">
        <v>1</v>
      </c>
      <c r="C37" s="70">
        <v>6</v>
      </c>
      <c r="D37" s="74" t="s">
        <v>208</v>
      </c>
      <c r="E37" s="67">
        <v>12</v>
      </c>
      <c r="F37" s="67">
        <v>18</v>
      </c>
      <c r="G37" s="67">
        <v>25</v>
      </c>
      <c r="H37" s="67">
        <v>41</v>
      </c>
      <c r="I37" s="67">
        <v>61</v>
      </c>
      <c r="J37" s="67">
        <v>74</v>
      </c>
      <c r="K37" s="67">
        <v>86</v>
      </c>
      <c r="L37" s="67">
        <v>98</v>
      </c>
      <c r="M37" s="67">
        <v>114</v>
      </c>
      <c r="N37" s="67">
        <v>119</v>
      </c>
    </row>
    <row r="38" spans="1:14" ht="19.899999999999999" customHeight="1" x14ac:dyDescent="0.2">
      <c r="A38" s="34"/>
      <c r="B38" s="65" t="s">
        <v>1</v>
      </c>
      <c r="C38" s="70">
        <v>5</v>
      </c>
      <c r="D38" s="74" t="s">
        <v>208</v>
      </c>
      <c r="E38" s="67">
        <v>18</v>
      </c>
      <c r="F38" s="67">
        <v>27</v>
      </c>
      <c r="G38" s="67">
        <v>35</v>
      </c>
      <c r="H38" s="67">
        <v>52</v>
      </c>
      <c r="I38" s="67">
        <v>75</v>
      </c>
      <c r="J38" s="67">
        <v>85</v>
      </c>
      <c r="K38" s="67">
        <v>94</v>
      </c>
      <c r="L38" s="67">
        <v>106</v>
      </c>
      <c r="M38" s="67">
        <v>117</v>
      </c>
      <c r="N38" s="67">
        <v>121</v>
      </c>
    </row>
    <row r="39" spans="1:14" ht="19.899999999999999" customHeight="1" x14ac:dyDescent="0.2">
      <c r="A39" s="34"/>
      <c r="B39" s="65" t="s">
        <v>1</v>
      </c>
      <c r="C39" s="70">
        <v>4</v>
      </c>
      <c r="D39" s="74" t="s">
        <v>208</v>
      </c>
      <c r="E39" s="67">
        <v>26</v>
      </c>
      <c r="F39" s="67">
        <v>32</v>
      </c>
      <c r="G39" s="67">
        <v>41</v>
      </c>
      <c r="H39" s="67">
        <v>64</v>
      </c>
      <c r="I39" s="67">
        <v>91</v>
      </c>
      <c r="J39" s="67">
        <v>108</v>
      </c>
      <c r="K39" s="67">
        <v>122</v>
      </c>
      <c r="L39" s="67">
        <v>131</v>
      </c>
      <c r="M39" s="67">
        <v>154</v>
      </c>
      <c r="N39" s="67">
        <v>157</v>
      </c>
    </row>
    <row r="40" spans="1:14" ht="19.899999999999999" customHeight="1" x14ac:dyDescent="0.2">
      <c r="A40" s="34"/>
      <c r="B40" s="65" t="s">
        <v>1</v>
      </c>
      <c r="C40" s="70">
        <v>3</v>
      </c>
      <c r="D40" s="74" t="s">
        <v>208</v>
      </c>
      <c r="E40" s="67">
        <v>25</v>
      </c>
      <c r="F40" s="67">
        <v>32</v>
      </c>
      <c r="G40" s="67">
        <v>41</v>
      </c>
      <c r="H40" s="67">
        <v>66</v>
      </c>
      <c r="I40" s="67">
        <v>94</v>
      </c>
      <c r="J40" s="67">
        <v>104</v>
      </c>
      <c r="K40" s="67">
        <v>113</v>
      </c>
      <c r="L40" s="67">
        <v>121</v>
      </c>
      <c r="M40" s="67">
        <v>131</v>
      </c>
      <c r="N40" s="67">
        <v>136</v>
      </c>
    </row>
    <row r="41" spans="1:14" ht="19.899999999999999" customHeight="1" x14ac:dyDescent="0.2">
      <c r="A41" s="34"/>
      <c r="B41" s="65" t="s">
        <v>1</v>
      </c>
      <c r="C41" s="70">
        <v>2</v>
      </c>
      <c r="D41" s="74" t="s">
        <v>208</v>
      </c>
      <c r="E41" s="67">
        <v>29</v>
      </c>
      <c r="F41" s="67">
        <v>35</v>
      </c>
      <c r="G41" s="67">
        <v>44</v>
      </c>
      <c r="H41" s="67">
        <v>67</v>
      </c>
      <c r="I41" s="67">
        <v>97</v>
      </c>
      <c r="J41" s="67">
        <v>106</v>
      </c>
      <c r="K41" s="67">
        <v>116</v>
      </c>
      <c r="L41" s="67">
        <v>121</v>
      </c>
      <c r="M41" s="67">
        <v>130</v>
      </c>
      <c r="N41" s="67">
        <v>138</v>
      </c>
    </row>
    <row r="42" spans="1:14" ht="19.899999999999999" customHeight="1" thickBot="1" x14ac:dyDescent="0.25">
      <c r="A42" s="34"/>
      <c r="B42" s="66" t="s">
        <v>1</v>
      </c>
      <c r="C42" s="71">
        <v>1</v>
      </c>
      <c r="D42" s="75" t="s">
        <v>208</v>
      </c>
      <c r="E42" s="10">
        <v>27</v>
      </c>
      <c r="F42" s="10">
        <v>32</v>
      </c>
      <c r="G42" s="10">
        <v>41</v>
      </c>
      <c r="H42" s="10">
        <v>59</v>
      </c>
      <c r="I42" s="10">
        <v>80</v>
      </c>
      <c r="J42" s="10">
        <v>91</v>
      </c>
      <c r="K42" s="10">
        <v>100</v>
      </c>
      <c r="L42" s="10">
        <v>112</v>
      </c>
      <c r="M42" s="10">
        <v>128</v>
      </c>
      <c r="N42" s="10">
        <v>130</v>
      </c>
    </row>
    <row r="43" spans="1:14" ht="19.899999999999999" customHeight="1" x14ac:dyDescent="0.2">
      <c r="A43" s="34"/>
      <c r="B43" s="11" t="s">
        <v>2</v>
      </c>
      <c r="C43" s="69">
        <v>1</v>
      </c>
      <c r="D43" s="73" t="s">
        <v>208</v>
      </c>
      <c r="E43" s="9">
        <v>23</v>
      </c>
      <c r="F43" s="9">
        <v>29</v>
      </c>
      <c r="G43" s="9">
        <v>39</v>
      </c>
      <c r="H43" s="9">
        <v>59</v>
      </c>
      <c r="I43" s="9">
        <v>82</v>
      </c>
      <c r="J43" s="9">
        <v>92</v>
      </c>
      <c r="K43" s="9">
        <v>101</v>
      </c>
      <c r="L43" s="9">
        <v>109</v>
      </c>
      <c r="M43" s="9">
        <v>119</v>
      </c>
      <c r="N43" s="9">
        <v>125</v>
      </c>
    </row>
    <row r="44" spans="1:14" ht="19.899999999999999" customHeight="1" x14ac:dyDescent="0.2">
      <c r="A44" s="34"/>
      <c r="B44" s="65" t="s">
        <v>2</v>
      </c>
      <c r="C44" s="70">
        <v>2</v>
      </c>
      <c r="D44" s="74" t="s">
        <v>208</v>
      </c>
      <c r="E44" s="67">
        <v>19</v>
      </c>
      <c r="F44" s="67">
        <v>25</v>
      </c>
      <c r="G44" s="67">
        <v>34</v>
      </c>
      <c r="H44" s="67">
        <v>63</v>
      </c>
      <c r="I44" s="67">
        <v>92</v>
      </c>
      <c r="J44" s="67">
        <v>100</v>
      </c>
      <c r="K44" s="67">
        <v>107</v>
      </c>
      <c r="L44" s="67">
        <v>113</v>
      </c>
      <c r="M44" s="67">
        <v>123</v>
      </c>
      <c r="N44" s="67">
        <v>127</v>
      </c>
    </row>
    <row r="45" spans="1:14" ht="19.899999999999999" customHeight="1" x14ac:dyDescent="0.2">
      <c r="A45" s="34"/>
      <c r="B45" s="65" t="s">
        <v>2</v>
      </c>
      <c r="C45" s="70">
        <v>3</v>
      </c>
      <c r="D45" s="74" t="s">
        <v>208</v>
      </c>
      <c r="E45" s="67">
        <v>20</v>
      </c>
      <c r="F45" s="67">
        <v>26</v>
      </c>
      <c r="G45" s="67">
        <v>36</v>
      </c>
      <c r="H45" s="67">
        <v>66</v>
      </c>
      <c r="I45" s="67">
        <v>95</v>
      </c>
      <c r="J45" s="67">
        <v>101</v>
      </c>
      <c r="K45" s="67">
        <v>106</v>
      </c>
      <c r="L45" s="67">
        <v>110</v>
      </c>
      <c r="M45" s="67">
        <v>119</v>
      </c>
      <c r="N45" s="67">
        <v>121</v>
      </c>
    </row>
    <row r="46" spans="1:14" ht="19.899999999999999" customHeight="1" x14ac:dyDescent="0.2">
      <c r="A46" s="34"/>
      <c r="B46" s="65" t="s">
        <v>2</v>
      </c>
      <c r="C46" s="70">
        <v>4</v>
      </c>
      <c r="D46" s="74" t="s">
        <v>208</v>
      </c>
      <c r="E46" s="67">
        <v>24</v>
      </c>
      <c r="F46" s="67">
        <v>30</v>
      </c>
      <c r="G46" s="67">
        <v>40</v>
      </c>
      <c r="H46" s="67">
        <v>62</v>
      </c>
      <c r="I46" s="67">
        <v>88</v>
      </c>
      <c r="J46" s="67">
        <v>98</v>
      </c>
      <c r="K46" s="67">
        <v>107</v>
      </c>
      <c r="L46" s="67">
        <v>119</v>
      </c>
      <c r="M46" s="67">
        <v>131</v>
      </c>
      <c r="N46" s="67">
        <v>136</v>
      </c>
    </row>
    <row r="47" spans="1:14" ht="19.899999999999999" customHeight="1" x14ac:dyDescent="0.2">
      <c r="A47" s="34"/>
      <c r="B47" s="65" t="s">
        <v>2</v>
      </c>
      <c r="C47" s="70">
        <v>5</v>
      </c>
      <c r="D47" s="74" t="s">
        <v>208</v>
      </c>
      <c r="E47" s="67">
        <v>26</v>
      </c>
      <c r="F47" s="67">
        <v>32</v>
      </c>
      <c r="G47" s="67">
        <v>41</v>
      </c>
      <c r="H47" s="67">
        <v>65</v>
      </c>
      <c r="I47" s="67">
        <v>94</v>
      </c>
      <c r="J47" s="67">
        <v>103</v>
      </c>
      <c r="K47" s="67">
        <v>110</v>
      </c>
      <c r="L47" s="67">
        <v>119</v>
      </c>
      <c r="M47" s="67">
        <v>129</v>
      </c>
      <c r="N47" s="67">
        <v>132</v>
      </c>
    </row>
    <row r="48" spans="1:14" ht="19.899999999999999" customHeight="1" x14ac:dyDescent="0.2">
      <c r="A48" s="34"/>
      <c r="B48" s="65" t="s">
        <v>2</v>
      </c>
      <c r="C48" s="70">
        <v>6</v>
      </c>
      <c r="D48" s="74" t="s">
        <v>208</v>
      </c>
      <c r="E48" s="67">
        <v>29</v>
      </c>
      <c r="F48" s="67">
        <v>37</v>
      </c>
      <c r="G48" s="67">
        <v>45</v>
      </c>
      <c r="H48" s="67">
        <v>65</v>
      </c>
      <c r="I48" s="67">
        <v>95</v>
      </c>
      <c r="J48" s="67">
        <v>105</v>
      </c>
      <c r="K48" s="67">
        <v>116</v>
      </c>
      <c r="L48" s="67">
        <v>126</v>
      </c>
      <c r="M48" s="67">
        <v>139</v>
      </c>
      <c r="N48" s="67">
        <v>142</v>
      </c>
    </row>
    <row r="49" spans="1:14" ht="19.899999999999999" customHeight="1" x14ac:dyDescent="0.2">
      <c r="A49" s="34"/>
      <c r="B49" s="65" t="s">
        <v>2</v>
      </c>
      <c r="C49" s="70">
        <v>7</v>
      </c>
      <c r="D49" s="74" t="s">
        <v>208</v>
      </c>
      <c r="E49" s="67">
        <v>18</v>
      </c>
      <c r="F49" s="67">
        <v>25</v>
      </c>
      <c r="G49" s="67">
        <v>35</v>
      </c>
      <c r="H49" s="67">
        <v>60</v>
      </c>
      <c r="I49" s="67">
        <v>90</v>
      </c>
      <c r="J49" s="67">
        <v>96</v>
      </c>
      <c r="K49" s="67">
        <v>104</v>
      </c>
      <c r="L49" s="67">
        <v>113</v>
      </c>
      <c r="M49" s="67">
        <v>124</v>
      </c>
      <c r="N49" s="67">
        <v>125</v>
      </c>
    </row>
    <row r="50" spans="1:14" ht="19.899999999999999" customHeight="1" x14ac:dyDescent="0.2">
      <c r="A50" s="34"/>
      <c r="B50" s="65" t="s">
        <v>2</v>
      </c>
      <c r="C50" s="70">
        <v>8</v>
      </c>
      <c r="D50" s="74" t="s">
        <v>208</v>
      </c>
      <c r="E50" s="67">
        <v>22</v>
      </c>
      <c r="F50" s="67">
        <v>28</v>
      </c>
      <c r="G50" s="67">
        <v>40</v>
      </c>
      <c r="H50" s="67">
        <v>61</v>
      </c>
      <c r="I50" s="67">
        <v>86</v>
      </c>
      <c r="J50" s="67">
        <v>95</v>
      </c>
      <c r="K50" s="67">
        <v>105</v>
      </c>
      <c r="L50" s="67">
        <v>116</v>
      </c>
      <c r="M50" s="67">
        <v>121</v>
      </c>
      <c r="N50" s="67">
        <v>133</v>
      </c>
    </row>
    <row r="51" spans="1:14" ht="19.899999999999999" customHeight="1" x14ac:dyDescent="0.2">
      <c r="A51" s="34"/>
      <c r="B51" s="65" t="s">
        <v>2</v>
      </c>
      <c r="C51" s="70">
        <v>9</v>
      </c>
      <c r="D51" s="74" t="s">
        <v>208</v>
      </c>
      <c r="E51" s="67">
        <v>15</v>
      </c>
      <c r="F51" s="67">
        <v>22</v>
      </c>
      <c r="G51" s="67">
        <v>33</v>
      </c>
      <c r="H51" s="67">
        <v>56</v>
      </c>
      <c r="I51" s="67">
        <v>82</v>
      </c>
      <c r="J51" s="67">
        <v>96</v>
      </c>
      <c r="K51" s="67">
        <v>110</v>
      </c>
      <c r="L51" s="67">
        <v>125</v>
      </c>
      <c r="M51" s="67">
        <v>136.60000000000002</v>
      </c>
      <c r="N51" s="67">
        <v>144</v>
      </c>
    </row>
    <row r="52" spans="1:14" ht="19.899999999999999" customHeight="1" x14ac:dyDescent="0.2">
      <c r="A52" s="34"/>
      <c r="B52" s="65" t="s">
        <v>2</v>
      </c>
      <c r="C52" s="70">
        <v>10</v>
      </c>
      <c r="D52" s="74" t="s">
        <v>208</v>
      </c>
      <c r="E52" s="67">
        <v>19</v>
      </c>
      <c r="F52" s="67">
        <v>23</v>
      </c>
      <c r="G52" s="67">
        <v>37</v>
      </c>
      <c r="H52" s="67">
        <v>64</v>
      </c>
      <c r="I52" s="67">
        <v>94</v>
      </c>
      <c r="J52" s="67">
        <v>102</v>
      </c>
      <c r="K52" s="67">
        <v>111</v>
      </c>
      <c r="L52" s="67">
        <v>123</v>
      </c>
      <c r="M52" s="67">
        <v>134</v>
      </c>
      <c r="N52" s="67">
        <v>137</v>
      </c>
    </row>
    <row r="53" spans="1:14" ht="19.899999999999999" customHeight="1" x14ac:dyDescent="0.2">
      <c r="A53" s="34"/>
      <c r="B53" s="65" t="s">
        <v>2</v>
      </c>
      <c r="C53" s="70">
        <v>11</v>
      </c>
      <c r="D53" s="74" t="s">
        <v>208</v>
      </c>
      <c r="E53" s="67">
        <v>22</v>
      </c>
      <c r="F53" s="67">
        <v>28</v>
      </c>
      <c r="G53" s="67">
        <v>35</v>
      </c>
      <c r="H53" s="67">
        <v>57</v>
      </c>
      <c r="I53" s="67">
        <v>82</v>
      </c>
      <c r="J53" s="67">
        <v>89</v>
      </c>
      <c r="K53" s="67">
        <v>95</v>
      </c>
      <c r="L53" s="67">
        <v>103</v>
      </c>
      <c r="M53" s="67">
        <v>114</v>
      </c>
      <c r="N53" s="67">
        <v>116</v>
      </c>
    </row>
    <row r="54" spans="1:14" ht="19.899999999999999" customHeight="1" x14ac:dyDescent="0.2">
      <c r="A54" s="34"/>
      <c r="B54" s="65" t="s">
        <v>2</v>
      </c>
      <c r="C54" s="70">
        <v>12</v>
      </c>
      <c r="D54" s="74" t="s">
        <v>208</v>
      </c>
      <c r="E54" s="67">
        <v>23</v>
      </c>
      <c r="F54" s="67">
        <v>28</v>
      </c>
      <c r="G54" s="67">
        <v>35</v>
      </c>
      <c r="H54" s="67">
        <v>57</v>
      </c>
      <c r="I54" s="67">
        <v>80</v>
      </c>
      <c r="J54" s="67">
        <v>90</v>
      </c>
      <c r="K54" s="67">
        <v>100</v>
      </c>
      <c r="L54" s="67">
        <v>116</v>
      </c>
      <c r="M54" s="67">
        <v>127</v>
      </c>
      <c r="N54" s="67">
        <v>132</v>
      </c>
    </row>
    <row r="55" spans="1:14" ht="19.899999999999999" customHeight="1" x14ac:dyDescent="0.2">
      <c r="A55" s="34"/>
      <c r="B55" s="65" t="s">
        <v>2</v>
      </c>
      <c r="C55" s="70">
        <v>13</v>
      </c>
      <c r="D55" s="74" t="s">
        <v>208</v>
      </c>
      <c r="E55" s="67">
        <v>11</v>
      </c>
      <c r="F55" s="67">
        <v>18</v>
      </c>
      <c r="G55" s="67">
        <v>29</v>
      </c>
      <c r="H55" s="67">
        <v>56</v>
      </c>
      <c r="I55" s="67">
        <v>83</v>
      </c>
      <c r="J55" s="67">
        <v>91</v>
      </c>
      <c r="K55" s="67">
        <v>102</v>
      </c>
      <c r="L55" s="67">
        <v>111</v>
      </c>
      <c r="M55" s="67">
        <v>121</v>
      </c>
      <c r="N55" s="67">
        <v>124</v>
      </c>
    </row>
    <row r="56" spans="1:14" ht="19.899999999999999" customHeight="1" x14ac:dyDescent="0.2">
      <c r="A56" s="34"/>
      <c r="B56" s="65" t="s">
        <v>2</v>
      </c>
      <c r="C56" s="70">
        <v>14</v>
      </c>
      <c r="D56" s="74" t="s">
        <v>208</v>
      </c>
      <c r="E56" s="67">
        <v>15</v>
      </c>
      <c r="F56" s="67">
        <v>22</v>
      </c>
      <c r="G56" s="67">
        <v>33</v>
      </c>
      <c r="H56" s="67">
        <v>53</v>
      </c>
      <c r="I56" s="67">
        <v>76</v>
      </c>
      <c r="J56" s="67">
        <v>87</v>
      </c>
      <c r="K56" s="67">
        <v>97</v>
      </c>
      <c r="L56" s="67">
        <v>108</v>
      </c>
      <c r="M56" s="67">
        <v>126</v>
      </c>
      <c r="N56" s="67">
        <v>126</v>
      </c>
    </row>
    <row r="57" spans="1:14" ht="19.899999999999999" customHeight="1" thickBot="1" x14ac:dyDescent="0.25">
      <c r="A57" s="34"/>
      <c r="B57" s="66" t="s">
        <v>2</v>
      </c>
      <c r="C57" s="71">
        <v>15</v>
      </c>
      <c r="D57" s="75" t="s">
        <v>208</v>
      </c>
      <c r="E57" s="10">
        <v>21</v>
      </c>
      <c r="F57" s="10">
        <v>29</v>
      </c>
      <c r="G57" s="10">
        <v>38</v>
      </c>
      <c r="H57" s="10">
        <v>62</v>
      </c>
      <c r="I57" s="10">
        <v>90</v>
      </c>
      <c r="J57" s="10">
        <v>100</v>
      </c>
      <c r="K57" s="10">
        <v>109</v>
      </c>
      <c r="L57" s="10">
        <v>118</v>
      </c>
      <c r="M57" s="10">
        <v>129</v>
      </c>
      <c r="N57" s="10">
        <v>132</v>
      </c>
    </row>
    <row r="58" spans="1:14" ht="19.899999999999999" customHeight="1" x14ac:dyDescent="0.2">
      <c r="A58" s="34"/>
      <c r="B58" s="11" t="s">
        <v>3</v>
      </c>
      <c r="C58" s="69">
        <v>15</v>
      </c>
      <c r="D58" s="73" t="s">
        <v>207</v>
      </c>
      <c r="E58" s="9">
        <v>7</v>
      </c>
      <c r="F58" s="9">
        <v>15</v>
      </c>
      <c r="G58" s="9">
        <v>25</v>
      </c>
      <c r="H58" s="9">
        <v>52</v>
      </c>
      <c r="I58" s="9">
        <v>81</v>
      </c>
      <c r="J58" s="9">
        <v>92</v>
      </c>
      <c r="K58" s="9">
        <v>102</v>
      </c>
      <c r="L58" s="9">
        <v>114</v>
      </c>
      <c r="M58" s="9">
        <v>129</v>
      </c>
      <c r="N58" s="9">
        <v>133</v>
      </c>
    </row>
    <row r="59" spans="1:14" ht="19.899999999999999" customHeight="1" x14ac:dyDescent="0.2">
      <c r="A59" s="34"/>
      <c r="B59" s="65" t="s">
        <v>3</v>
      </c>
      <c r="C59" s="70">
        <v>14</v>
      </c>
      <c r="D59" s="74" t="s">
        <v>207</v>
      </c>
      <c r="E59" s="67">
        <v>6</v>
      </c>
      <c r="F59" s="67">
        <v>13</v>
      </c>
      <c r="G59" s="67">
        <v>22</v>
      </c>
      <c r="H59" s="67">
        <v>38</v>
      </c>
      <c r="I59" s="67">
        <v>57</v>
      </c>
      <c r="J59" s="67">
        <v>69</v>
      </c>
      <c r="K59" s="67">
        <v>82</v>
      </c>
      <c r="L59" s="67">
        <v>92</v>
      </c>
      <c r="M59" s="67">
        <v>107</v>
      </c>
      <c r="N59" s="67">
        <v>112</v>
      </c>
    </row>
    <row r="60" spans="1:14" ht="19.899999999999999" customHeight="1" x14ac:dyDescent="0.2">
      <c r="A60" s="34"/>
      <c r="B60" s="65" t="s">
        <v>3</v>
      </c>
      <c r="C60" s="70">
        <v>13</v>
      </c>
      <c r="D60" s="74" t="s">
        <v>207</v>
      </c>
      <c r="E60" s="67">
        <v>10</v>
      </c>
      <c r="F60" s="67">
        <v>18</v>
      </c>
      <c r="G60" s="67">
        <v>27</v>
      </c>
      <c r="H60" s="67">
        <v>48</v>
      </c>
      <c r="I60" s="67">
        <v>73</v>
      </c>
      <c r="J60" s="67">
        <v>89</v>
      </c>
      <c r="K60" s="67">
        <v>105</v>
      </c>
      <c r="L60" s="67">
        <v>128</v>
      </c>
      <c r="M60" s="67">
        <v>140</v>
      </c>
      <c r="N60" s="67">
        <v>147</v>
      </c>
    </row>
    <row r="61" spans="1:14" ht="19.899999999999999" customHeight="1" x14ac:dyDescent="0.2">
      <c r="A61" s="34"/>
      <c r="B61" s="65" t="s">
        <v>3</v>
      </c>
      <c r="C61" s="70">
        <v>12</v>
      </c>
      <c r="D61" s="74" t="s">
        <v>207</v>
      </c>
      <c r="E61" s="67">
        <v>9</v>
      </c>
      <c r="F61" s="67">
        <v>17</v>
      </c>
      <c r="G61" s="67">
        <v>26</v>
      </c>
      <c r="H61" s="67">
        <v>45</v>
      </c>
      <c r="I61" s="67">
        <v>69</v>
      </c>
      <c r="J61" s="67">
        <v>82</v>
      </c>
      <c r="K61" s="67">
        <v>97</v>
      </c>
      <c r="L61" s="67">
        <v>110</v>
      </c>
      <c r="M61" s="67">
        <v>128</v>
      </c>
      <c r="N61" s="67">
        <v>134</v>
      </c>
    </row>
    <row r="62" spans="1:14" ht="19.899999999999999" customHeight="1" x14ac:dyDescent="0.2">
      <c r="A62" s="34"/>
      <c r="B62" s="65" t="s">
        <v>3</v>
      </c>
      <c r="C62" s="70">
        <v>11</v>
      </c>
      <c r="D62" s="74" t="s">
        <v>207</v>
      </c>
      <c r="E62" s="67">
        <v>11</v>
      </c>
      <c r="F62" s="67">
        <v>18</v>
      </c>
      <c r="G62" s="67">
        <v>28</v>
      </c>
      <c r="H62" s="67">
        <v>48</v>
      </c>
      <c r="I62" s="67">
        <v>72</v>
      </c>
      <c r="J62" s="67">
        <v>83</v>
      </c>
      <c r="K62" s="67">
        <v>92</v>
      </c>
      <c r="L62" s="67">
        <v>103</v>
      </c>
      <c r="M62" s="67">
        <v>117</v>
      </c>
      <c r="N62" s="67">
        <v>121</v>
      </c>
    </row>
    <row r="63" spans="1:14" ht="19.899999999999999" customHeight="1" x14ac:dyDescent="0.2">
      <c r="A63" s="34"/>
      <c r="B63" s="65" t="s">
        <v>3</v>
      </c>
      <c r="C63" s="70">
        <v>10</v>
      </c>
      <c r="D63" s="74" t="s">
        <v>207</v>
      </c>
      <c r="E63" s="67">
        <v>14</v>
      </c>
      <c r="F63" s="67">
        <v>21</v>
      </c>
      <c r="G63" s="67">
        <v>30</v>
      </c>
      <c r="H63" s="67">
        <v>46</v>
      </c>
      <c r="I63" s="67">
        <v>69</v>
      </c>
      <c r="J63" s="67">
        <v>80</v>
      </c>
      <c r="K63" s="67">
        <v>93</v>
      </c>
      <c r="L63" s="67">
        <v>106</v>
      </c>
      <c r="M63" s="67">
        <v>121</v>
      </c>
      <c r="N63" s="67">
        <v>128</v>
      </c>
    </row>
    <row r="64" spans="1:14" ht="19.899999999999999" customHeight="1" x14ac:dyDescent="0.2">
      <c r="A64" s="34"/>
      <c r="B64" s="65" t="s">
        <v>3</v>
      </c>
      <c r="C64" s="70">
        <v>9</v>
      </c>
      <c r="D64" s="74" t="s">
        <v>207</v>
      </c>
      <c r="E64" s="67">
        <v>6</v>
      </c>
      <c r="F64" s="67">
        <v>14</v>
      </c>
      <c r="G64" s="67">
        <v>23</v>
      </c>
      <c r="H64" s="67">
        <v>47</v>
      </c>
      <c r="I64" s="67">
        <v>72</v>
      </c>
      <c r="J64" s="67">
        <v>87</v>
      </c>
      <c r="K64" s="67">
        <v>103</v>
      </c>
      <c r="L64" s="67">
        <v>119</v>
      </c>
      <c r="M64" s="67">
        <v>138</v>
      </c>
      <c r="N64" s="67">
        <v>145</v>
      </c>
    </row>
    <row r="65" spans="1:14" ht="19.899999999999999" customHeight="1" x14ac:dyDescent="0.2">
      <c r="A65" s="34"/>
      <c r="B65" s="65" t="s">
        <v>3</v>
      </c>
      <c r="C65" s="70">
        <v>8</v>
      </c>
      <c r="D65" s="74" t="s">
        <v>207</v>
      </c>
      <c r="E65" s="67">
        <v>9</v>
      </c>
      <c r="F65" s="67">
        <v>18</v>
      </c>
      <c r="G65" s="67">
        <v>26</v>
      </c>
      <c r="H65" s="67">
        <v>46</v>
      </c>
      <c r="I65" s="67">
        <v>69</v>
      </c>
      <c r="J65" s="67">
        <v>84</v>
      </c>
      <c r="K65" s="67">
        <v>97</v>
      </c>
      <c r="L65" s="67">
        <v>111</v>
      </c>
      <c r="M65" s="67">
        <v>128</v>
      </c>
      <c r="N65" s="67">
        <v>134</v>
      </c>
    </row>
    <row r="66" spans="1:14" ht="19.899999999999999" customHeight="1" x14ac:dyDescent="0.2">
      <c r="A66" s="34"/>
      <c r="B66" s="65" t="s">
        <v>3</v>
      </c>
      <c r="C66" s="70">
        <v>7</v>
      </c>
      <c r="D66" s="74" t="s">
        <v>207</v>
      </c>
      <c r="E66" s="67">
        <v>13</v>
      </c>
      <c r="F66" s="67">
        <v>22</v>
      </c>
      <c r="G66" s="67">
        <v>31</v>
      </c>
      <c r="H66" s="67">
        <v>53</v>
      </c>
      <c r="I66" s="67">
        <v>80</v>
      </c>
      <c r="J66" s="67">
        <v>90</v>
      </c>
      <c r="K66" s="67">
        <v>100</v>
      </c>
      <c r="L66" s="67">
        <v>111</v>
      </c>
      <c r="M66" s="67">
        <v>123</v>
      </c>
      <c r="N66" s="67">
        <v>127</v>
      </c>
    </row>
    <row r="67" spans="1:14" ht="19.899999999999999" customHeight="1" x14ac:dyDescent="0.2">
      <c r="A67" s="34"/>
      <c r="B67" s="65" t="s">
        <v>3</v>
      </c>
      <c r="C67" s="70">
        <v>6</v>
      </c>
      <c r="D67" s="74" t="s">
        <v>207</v>
      </c>
      <c r="E67" s="67">
        <v>9</v>
      </c>
      <c r="F67" s="67">
        <v>19</v>
      </c>
      <c r="G67" s="67">
        <v>29</v>
      </c>
      <c r="H67" s="67">
        <v>57</v>
      </c>
      <c r="I67" s="67">
        <v>87</v>
      </c>
      <c r="J67" s="67">
        <v>98</v>
      </c>
      <c r="K67" s="67">
        <v>108</v>
      </c>
      <c r="L67" s="67">
        <v>116</v>
      </c>
      <c r="M67" s="67">
        <v>127</v>
      </c>
      <c r="N67" s="67">
        <v>132</v>
      </c>
    </row>
    <row r="68" spans="1:14" ht="19.899999999999999" customHeight="1" x14ac:dyDescent="0.2">
      <c r="A68" s="34"/>
      <c r="B68" s="65" t="s">
        <v>3</v>
      </c>
      <c r="C68" s="70">
        <v>5</v>
      </c>
      <c r="D68" s="74" t="s">
        <v>207</v>
      </c>
      <c r="E68" s="67">
        <v>20</v>
      </c>
      <c r="F68" s="67">
        <v>26</v>
      </c>
      <c r="G68" s="67">
        <v>34</v>
      </c>
      <c r="H68" s="67">
        <v>55</v>
      </c>
      <c r="I68" s="67">
        <v>77</v>
      </c>
      <c r="J68" s="67">
        <v>88</v>
      </c>
      <c r="K68" s="67">
        <v>98</v>
      </c>
      <c r="L68" s="67">
        <v>111</v>
      </c>
      <c r="M68" s="67">
        <v>124</v>
      </c>
      <c r="N68" s="67">
        <v>129</v>
      </c>
    </row>
    <row r="69" spans="1:14" ht="19.899999999999999" customHeight="1" x14ac:dyDescent="0.2">
      <c r="A69" s="34"/>
      <c r="B69" s="65" t="s">
        <v>3</v>
      </c>
      <c r="C69" s="70">
        <v>4</v>
      </c>
      <c r="D69" s="74" t="s">
        <v>207</v>
      </c>
      <c r="E69" s="67">
        <v>16</v>
      </c>
      <c r="F69" s="67">
        <v>23</v>
      </c>
      <c r="G69" s="67">
        <v>31</v>
      </c>
      <c r="H69" s="67">
        <v>58</v>
      </c>
      <c r="I69" s="67">
        <v>81</v>
      </c>
      <c r="J69" s="67">
        <v>93</v>
      </c>
      <c r="K69" s="67">
        <v>106</v>
      </c>
      <c r="L69" s="67">
        <v>115</v>
      </c>
      <c r="M69" s="67">
        <v>123</v>
      </c>
      <c r="N69" s="67">
        <v>128</v>
      </c>
    </row>
    <row r="70" spans="1:14" ht="19.899999999999999" customHeight="1" x14ac:dyDescent="0.2">
      <c r="A70" s="34"/>
      <c r="B70" s="65" t="s">
        <v>3</v>
      </c>
      <c r="C70" s="70">
        <v>3</v>
      </c>
      <c r="D70" s="74" t="s">
        <v>207</v>
      </c>
      <c r="E70" s="67">
        <v>17</v>
      </c>
      <c r="F70" s="67">
        <v>25</v>
      </c>
      <c r="G70" s="67">
        <v>33</v>
      </c>
      <c r="H70" s="67">
        <v>54</v>
      </c>
      <c r="I70" s="67">
        <v>79</v>
      </c>
      <c r="J70" s="67">
        <v>88</v>
      </c>
      <c r="K70" s="67">
        <v>98</v>
      </c>
      <c r="L70" s="67">
        <v>107</v>
      </c>
      <c r="M70" s="67">
        <v>124</v>
      </c>
      <c r="N70" s="67">
        <v>118</v>
      </c>
    </row>
    <row r="71" spans="1:14" ht="19.899999999999999" customHeight="1" x14ac:dyDescent="0.2">
      <c r="A71" s="34"/>
      <c r="B71" s="65" t="s">
        <v>3</v>
      </c>
      <c r="C71" s="70">
        <v>2</v>
      </c>
      <c r="D71" s="74" t="s">
        <v>207</v>
      </c>
      <c r="E71" s="67">
        <v>11</v>
      </c>
      <c r="F71" s="67">
        <v>19</v>
      </c>
      <c r="G71" s="67">
        <v>28</v>
      </c>
      <c r="H71" s="67">
        <v>50</v>
      </c>
      <c r="I71" s="67">
        <v>72</v>
      </c>
      <c r="J71" s="67">
        <v>83</v>
      </c>
      <c r="K71" s="67">
        <v>94</v>
      </c>
      <c r="L71" s="67">
        <v>104</v>
      </c>
      <c r="M71" s="67">
        <v>118</v>
      </c>
      <c r="N71" s="67">
        <v>122</v>
      </c>
    </row>
    <row r="72" spans="1:14" ht="19.899999999999999" customHeight="1" thickBot="1" x14ac:dyDescent="0.25">
      <c r="A72" s="34"/>
      <c r="B72" s="66" t="s">
        <v>3</v>
      </c>
      <c r="C72" s="71">
        <v>1</v>
      </c>
      <c r="D72" s="75" t="s">
        <v>207</v>
      </c>
      <c r="E72" s="10">
        <v>15</v>
      </c>
      <c r="F72" s="10">
        <v>24</v>
      </c>
      <c r="G72" s="10">
        <v>35</v>
      </c>
      <c r="H72" s="10">
        <v>54</v>
      </c>
      <c r="I72" s="10">
        <v>77</v>
      </c>
      <c r="J72" s="10">
        <v>89</v>
      </c>
      <c r="K72" s="10">
        <v>99</v>
      </c>
      <c r="L72" s="10">
        <v>109</v>
      </c>
      <c r="M72" s="10">
        <v>123</v>
      </c>
      <c r="N72" s="10">
        <v>128</v>
      </c>
    </row>
    <row r="73" spans="1:14" ht="19.5" customHeight="1" x14ac:dyDescent="0.2">
      <c r="A73" s="84"/>
      <c r="B73" s="11" t="s">
        <v>4</v>
      </c>
      <c r="C73" s="69">
        <v>1</v>
      </c>
      <c r="D73" s="73" t="s">
        <v>208</v>
      </c>
      <c r="E73" s="9">
        <v>18</v>
      </c>
      <c r="F73" s="9">
        <v>24</v>
      </c>
      <c r="G73" s="9">
        <v>31</v>
      </c>
      <c r="H73" s="67">
        <v>53</v>
      </c>
      <c r="I73" s="9">
        <v>80</v>
      </c>
      <c r="J73" s="9">
        <v>92</v>
      </c>
      <c r="K73" s="9">
        <v>102</v>
      </c>
      <c r="L73" s="9">
        <v>112</v>
      </c>
      <c r="M73" s="9">
        <v>126</v>
      </c>
      <c r="N73" s="9">
        <v>131</v>
      </c>
    </row>
    <row r="74" spans="1:14" ht="19.5" customHeight="1" x14ac:dyDescent="0.2">
      <c r="A74" s="84"/>
      <c r="B74" s="65" t="s">
        <v>4</v>
      </c>
      <c r="C74" s="70">
        <v>2</v>
      </c>
      <c r="D74" s="74" t="s">
        <v>208</v>
      </c>
      <c r="E74" s="67">
        <v>22</v>
      </c>
      <c r="F74" s="67">
        <v>30</v>
      </c>
      <c r="G74" s="67">
        <v>37</v>
      </c>
      <c r="H74" s="67">
        <v>58</v>
      </c>
      <c r="I74" s="67">
        <v>86</v>
      </c>
      <c r="J74" s="67">
        <v>96</v>
      </c>
      <c r="K74" s="67">
        <v>104</v>
      </c>
      <c r="L74" s="67">
        <v>112</v>
      </c>
      <c r="M74" s="67">
        <v>128</v>
      </c>
      <c r="N74" s="67">
        <v>123</v>
      </c>
    </row>
    <row r="75" spans="1:14" ht="19.5" customHeight="1" x14ac:dyDescent="0.2">
      <c r="A75" s="34"/>
      <c r="B75" s="65" t="s">
        <v>4</v>
      </c>
      <c r="C75" s="70">
        <v>3</v>
      </c>
      <c r="D75" s="74" t="s">
        <v>208</v>
      </c>
      <c r="E75" s="67">
        <v>20</v>
      </c>
      <c r="F75" s="67">
        <v>27</v>
      </c>
      <c r="G75" s="67">
        <v>35</v>
      </c>
      <c r="H75" s="67">
        <v>57</v>
      </c>
      <c r="I75" s="67">
        <v>84</v>
      </c>
      <c r="J75" s="67">
        <v>93</v>
      </c>
      <c r="K75" s="67">
        <v>101</v>
      </c>
      <c r="L75" s="67">
        <v>109</v>
      </c>
      <c r="M75" s="67">
        <v>119</v>
      </c>
      <c r="N75" s="67">
        <v>121</v>
      </c>
    </row>
    <row r="76" spans="1:14" ht="19.5" customHeight="1" x14ac:dyDescent="0.2">
      <c r="A76" s="34"/>
      <c r="B76" s="65" t="s">
        <v>4</v>
      </c>
      <c r="C76" s="70">
        <v>4</v>
      </c>
      <c r="D76" s="74" t="s">
        <v>208</v>
      </c>
      <c r="E76" s="67">
        <v>24</v>
      </c>
      <c r="F76" s="67">
        <v>33</v>
      </c>
      <c r="G76" s="67">
        <v>43</v>
      </c>
      <c r="H76" s="67">
        <v>66</v>
      </c>
      <c r="I76" s="67">
        <v>90</v>
      </c>
      <c r="J76" s="67">
        <v>99</v>
      </c>
      <c r="K76" s="67">
        <v>106</v>
      </c>
      <c r="L76" s="67">
        <v>113</v>
      </c>
      <c r="M76" s="67">
        <v>126</v>
      </c>
      <c r="N76" s="67">
        <v>128</v>
      </c>
    </row>
    <row r="77" spans="1:14" ht="19.5" customHeight="1" x14ac:dyDescent="0.2">
      <c r="A77" s="34"/>
      <c r="B77" s="65" t="s">
        <v>4</v>
      </c>
      <c r="C77" s="70">
        <v>5</v>
      </c>
      <c r="D77" s="74" t="s">
        <v>208</v>
      </c>
      <c r="E77" s="67">
        <v>22</v>
      </c>
      <c r="F77" s="67">
        <v>32</v>
      </c>
      <c r="G77" s="67">
        <v>42</v>
      </c>
      <c r="H77" s="67">
        <v>64</v>
      </c>
      <c r="I77" s="67">
        <v>89</v>
      </c>
      <c r="J77" s="67">
        <v>96</v>
      </c>
      <c r="K77" s="67">
        <v>100</v>
      </c>
      <c r="L77" s="67">
        <v>107</v>
      </c>
      <c r="M77" s="67">
        <v>115</v>
      </c>
      <c r="N77" s="67">
        <v>116</v>
      </c>
    </row>
    <row r="78" spans="1:14" ht="19.5" customHeight="1" x14ac:dyDescent="0.2">
      <c r="A78" s="34"/>
      <c r="B78" s="65" t="s">
        <v>4</v>
      </c>
      <c r="C78" s="70">
        <v>6</v>
      </c>
      <c r="D78" s="74" t="s">
        <v>208</v>
      </c>
      <c r="E78" s="67">
        <v>21</v>
      </c>
      <c r="F78" s="67">
        <v>31</v>
      </c>
      <c r="G78" s="67">
        <v>40</v>
      </c>
      <c r="H78" s="67">
        <v>61</v>
      </c>
      <c r="I78" s="67">
        <v>87</v>
      </c>
      <c r="J78" s="67">
        <v>98</v>
      </c>
      <c r="K78" s="67">
        <v>107</v>
      </c>
      <c r="L78" s="67">
        <v>116</v>
      </c>
      <c r="M78" s="67">
        <v>128</v>
      </c>
      <c r="N78" s="67">
        <v>136</v>
      </c>
    </row>
    <row r="79" spans="1:14" ht="19.5" customHeight="1" x14ac:dyDescent="0.2">
      <c r="A79" s="34"/>
      <c r="B79" s="65" t="s">
        <v>4</v>
      </c>
      <c r="C79" s="70">
        <v>7</v>
      </c>
      <c r="D79" s="74" t="s">
        <v>208</v>
      </c>
      <c r="E79" s="67">
        <v>27</v>
      </c>
      <c r="F79" s="67">
        <v>36</v>
      </c>
      <c r="G79" s="67">
        <v>45</v>
      </c>
      <c r="H79" s="67">
        <v>67</v>
      </c>
      <c r="I79" s="67">
        <v>92</v>
      </c>
      <c r="J79" s="67">
        <v>99</v>
      </c>
      <c r="K79" s="67">
        <v>105</v>
      </c>
      <c r="L79" s="67">
        <v>114</v>
      </c>
      <c r="M79" s="67">
        <v>126</v>
      </c>
      <c r="N79" s="67">
        <v>121</v>
      </c>
    </row>
    <row r="80" spans="1:14" ht="19.5" customHeight="1" x14ac:dyDescent="0.2">
      <c r="A80" s="34"/>
      <c r="B80" s="65" t="s">
        <v>4</v>
      </c>
      <c r="C80" s="70">
        <v>8</v>
      </c>
      <c r="D80" s="74" t="s">
        <v>208</v>
      </c>
      <c r="E80" s="67">
        <v>22</v>
      </c>
      <c r="F80" s="67">
        <v>29</v>
      </c>
      <c r="G80" s="67">
        <v>38</v>
      </c>
      <c r="H80" s="67">
        <v>61</v>
      </c>
      <c r="I80" s="67">
        <v>87</v>
      </c>
      <c r="J80" s="67">
        <v>96</v>
      </c>
      <c r="K80" s="67">
        <v>105</v>
      </c>
      <c r="L80" s="67">
        <v>113</v>
      </c>
      <c r="M80" s="67">
        <v>127</v>
      </c>
      <c r="N80" s="67">
        <v>129</v>
      </c>
    </row>
    <row r="81" spans="1:14" ht="19.5" customHeight="1" x14ac:dyDescent="0.2">
      <c r="A81" s="34"/>
      <c r="B81" s="65" t="s">
        <v>4</v>
      </c>
      <c r="C81" s="70">
        <v>9</v>
      </c>
      <c r="D81" s="74" t="s">
        <v>208</v>
      </c>
      <c r="E81" s="67">
        <v>21</v>
      </c>
      <c r="F81" s="67">
        <v>29</v>
      </c>
      <c r="G81" s="67">
        <v>37</v>
      </c>
      <c r="H81" s="67">
        <v>61</v>
      </c>
      <c r="I81" s="67">
        <v>86</v>
      </c>
      <c r="J81" s="67">
        <v>93</v>
      </c>
      <c r="K81" s="67">
        <v>100</v>
      </c>
      <c r="L81" s="67">
        <v>107</v>
      </c>
      <c r="M81" s="67">
        <v>116</v>
      </c>
      <c r="N81" s="67">
        <v>118</v>
      </c>
    </row>
    <row r="82" spans="1:14" ht="19.5" customHeight="1" x14ac:dyDescent="0.2">
      <c r="A82" s="34"/>
      <c r="B82" s="65" t="s">
        <v>4</v>
      </c>
      <c r="C82" s="70">
        <v>10</v>
      </c>
      <c r="D82" s="74" t="s">
        <v>208</v>
      </c>
      <c r="E82" s="67">
        <v>16</v>
      </c>
      <c r="F82" s="67">
        <v>24</v>
      </c>
      <c r="G82" s="67">
        <v>33</v>
      </c>
      <c r="H82" s="67">
        <v>55</v>
      </c>
      <c r="I82" s="67">
        <v>80</v>
      </c>
      <c r="J82" s="67">
        <v>89</v>
      </c>
      <c r="K82" s="67">
        <v>99</v>
      </c>
      <c r="L82" s="67">
        <v>110</v>
      </c>
      <c r="M82" s="67">
        <v>127</v>
      </c>
      <c r="N82" s="67">
        <v>124</v>
      </c>
    </row>
    <row r="83" spans="1:14" ht="19.5" customHeight="1" x14ac:dyDescent="0.2">
      <c r="A83" s="34"/>
      <c r="B83" s="65" t="s">
        <v>4</v>
      </c>
      <c r="C83" s="70">
        <v>11</v>
      </c>
      <c r="D83" s="74" t="s">
        <v>208</v>
      </c>
      <c r="E83" s="67">
        <v>25</v>
      </c>
      <c r="F83" s="67">
        <v>32</v>
      </c>
      <c r="G83" s="67">
        <v>40</v>
      </c>
      <c r="H83" s="67">
        <v>61</v>
      </c>
      <c r="I83" s="67">
        <v>85</v>
      </c>
      <c r="J83" s="67">
        <v>97</v>
      </c>
      <c r="K83" s="67">
        <v>110</v>
      </c>
      <c r="L83" s="67">
        <v>119</v>
      </c>
      <c r="M83" s="67">
        <v>124</v>
      </c>
      <c r="N83" s="67">
        <v>139</v>
      </c>
    </row>
    <row r="84" spans="1:14" ht="19.5" customHeight="1" x14ac:dyDescent="0.2">
      <c r="A84" s="34"/>
      <c r="B84" s="65" t="s">
        <v>4</v>
      </c>
      <c r="C84" s="70">
        <v>12</v>
      </c>
      <c r="D84" s="74" t="s">
        <v>208</v>
      </c>
      <c r="E84" s="67">
        <v>16</v>
      </c>
      <c r="F84" s="67">
        <v>23</v>
      </c>
      <c r="G84" s="67">
        <v>33</v>
      </c>
      <c r="H84" s="67">
        <v>56</v>
      </c>
      <c r="I84" s="67">
        <v>81</v>
      </c>
      <c r="J84" s="67">
        <v>94</v>
      </c>
      <c r="K84" s="67">
        <v>105</v>
      </c>
      <c r="L84" s="67">
        <v>118</v>
      </c>
      <c r="M84" s="67">
        <v>133</v>
      </c>
      <c r="N84" s="67">
        <v>139</v>
      </c>
    </row>
    <row r="85" spans="1:14" ht="19.5" customHeight="1" x14ac:dyDescent="0.2">
      <c r="A85" s="34"/>
      <c r="B85" s="65" t="s">
        <v>4</v>
      </c>
      <c r="C85" s="70">
        <v>13</v>
      </c>
      <c r="D85" s="74" t="s">
        <v>208</v>
      </c>
      <c r="E85" s="67">
        <v>25</v>
      </c>
      <c r="F85" s="67">
        <v>33</v>
      </c>
      <c r="G85" s="67">
        <v>41</v>
      </c>
      <c r="H85" s="67">
        <v>64</v>
      </c>
      <c r="I85" s="67">
        <v>88</v>
      </c>
      <c r="J85" s="67">
        <v>97</v>
      </c>
      <c r="K85" s="67">
        <v>105</v>
      </c>
      <c r="L85" s="67">
        <v>112</v>
      </c>
      <c r="M85" s="67">
        <v>120</v>
      </c>
      <c r="N85" s="67">
        <v>126</v>
      </c>
    </row>
    <row r="86" spans="1:14" ht="19.5" customHeight="1" x14ac:dyDescent="0.2">
      <c r="A86" s="34"/>
      <c r="B86" s="65" t="s">
        <v>4</v>
      </c>
      <c r="C86" s="70">
        <v>14</v>
      </c>
      <c r="D86" s="74" t="s">
        <v>208</v>
      </c>
      <c r="E86" s="67">
        <v>12</v>
      </c>
      <c r="F86" s="67">
        <v>20</v>
      </c>
      <c r="G86" s="67">
        <v>29</v>
      </c>
      <c r="H86" s="67">
        <v>51</v>
      </c>
      <c r="I86" s="67">
        <v>76</v>
      </c>
      <c r="J86" s="67">
        <v>87</v>
      </c>
      <c r="K86" s="67">
        <v>96</v>
      </c>
      <c r="L86" s="67">
        <v>106</v>
      </c>
      <c r="M86" s="67">
        <v>119</v>
      </c>
      <c r="N86" s="67">
        <v>124</v>
      </c>
    </row>
    <row r="87" spans="1:14" ht="19.5" customHeight="1" thickBot="1" x14ac:dyDescent="0.25">
      <c r="A87" s="34"/>
      <c r="B87" s="66" t="s">
        <v>4</v>
      </c>
      <c r="C87" s="71">
        <v>15</v>
      </c>
      <c r="D87" s="75" t="s">
        <v>208</v>
      </c>
      <c r="E87" s="10">
        <v>15</v>
      </c>
      <c r="F87" s="10">
        <v>22</v>
      </c>
      <c r="G87" s="10">
        <v>31</v>
      </c>
      <c r="H87" s="67">
        <v>53</v>
      </c>
      <c r="I87" s="10">
        <v>78</v>
      </c>
      <c r="J87" s="10">
        <v>87</v>
      </c>
      <c r="K87" s="10">
        <v>95</v>
      </c>
      <c r="L87" s="10">
        <v>106</v>
      </c>
      <c r="M87" s="10">
        <v>126</v>
      </c>
      <c r="N87" s="10">
        <v>125</v>
      </c>
    </row>
    <row r="88" spans="1:14" ht="19.5" customHeight="1" x14ac:dyDescent="0.2">
      <c r="A88" s="34"/>
      <c r="B88" s="11" t="s">
        <v>5</v>
      </c>
      <c r="C88" s="69">
        <v>15</v>
      </c>
      <c r="D88" s="73" t="s">
        <v>207</v>
      </c>
      <c r="E88" s="9">
        <v>14</v>
      </c>
      <c r="F88" s="9">
        <v>21</v>
      </c>
      <c r="G88" s="9">
        <v>31</v>
      </c>
      <c r="H88" s="9">
        <v>51</v>
      </c>
      <c r="I88" s="9">
        <v>76</v>
      </c>
      <c r="J88" s="9">
        <v>84</v>
      </c>
      <c r="K88" s="9">
        <v>93</v>
      </c>
      <c r="L88" s="9">
        <v>100</v>
      </c>
      <c r="M88" s="9">
        <v>109</v>
      </c>
      <c r="N88" s="9">
        <v>113</v>
      </c>
    </row>
    <row r="89" spans="1:14" ht="19.5" customHeight="1" x14ac:dyDescent="0.2">
      <c r="A89" s="34"/>
      <c r="B89" s="65" t="s">
        <v>5</v>
      </c>
      <c r="C89" s="70">
        <v>14</v>
      </c>
      <c r="D89" s="74" t="s">
        <v>207</v>
      </c>
      <c r="E89" s="67">
        <v>8</v>
      </c>
      <c r="F89" s="67">
        <v>15</v>
      </c>
      <c r="G89" s="67">
        <v>24</v>
      </c>
      <c r="H89" s="67">
        <v>42</v>
      </c>
      <c r="I89" s="67">
        <v>68</v>
      </c>
      <c r="J89" s="67">
        <v>78</v>
      </c>
      <c r="K89" s="67">
        <v>90</v>
      </c>
      <c r="L89" s="67">
        <v>98</v>
      </c>
      <c r="M89" s="67">
        <v>113</v>
      </c>
      <c r="N89" s="67">
        <v>118</v>
      </c>
    </row>
    <row r="90" spans="1:14" ht="19.5" customHeight="1" x14ac:dyDescent="0.2">
      <c r="A90" s="34"/>
      <c r="B90" s="65" t="s">
        <v>5</v>
      </c>
      <c r="C90" s="70">
        <v>13</v>
      </c>
      <c r="D90" s="74" t="s">
        <v>207</v>
      </c>
      <c r="E90" s="67">
        <v>12</v>
      </c>
      <c r="F90" s="67">
        <v>20</v>
      </c>
      <c r="G90" s="67">
        <v>27</v>
      </c>
      <c r="H90" s="67">
        <v>46</v>
      </c>
      <c r="I90" s="67">
        <v>70</v>
      </c>
      <c r="J90" s="67">
        <v>84</v>
      </c>
      <c r="K90" s="67">
        <v>96</v>
      </c>
      <c r="L90" s="67">
        <v>110</v>
      </c>
      <c r="M90" s="67">
        <v>133</v>
      </c>
      <c r="N90" s="67">
        <v>142</v>
      </c>
    </row>
    <row r="91" spans="1:14" ht="19.5" customHeight="1" x14ac:dyDescent="0.2">
      <c r="A91" s="34"/>
      <c r="B91" s="65" t="s">
        <v>5</v>
      </c>
      <c r="C91" s="70">
        <v>12</v>
      </c>
      <c r="D91" s="74" t="s">
        <v>207</v>
      </c>
      <c r="E91" s="67">
        <v>4</v>
      </c>
      <c r="F91" s="67">
        <v>12</v>
      </c>
      <c r="G91" s="67">
        <v>21</v>
      </c>
      <c r="H91" s="67">
        <v>39</v>
      </c>
      <c r="I91" s="67">
        <v>62</v>
      </c>
      <c r="J91" s="67">
        <v>73</v>
      </c>
      <c r="K91" s="67">
        <v>86</v>
      </c>
      <c r="L91" s="67">
        <v>94</v>
      </c>
      <c r="M91" s="67">
        <v>115</v>
      </c>
      <c r="N91" s="67">
        <v>122</v>
      </c>
    </row>
    <row r="92" spans="1:14" ht="19.5" customHeight="1" x14ac:dyDescent="0.2">
      <c r="A92" s="34"/>
      <c r="B92" s="65" t="s">
        <v>5</v>
      </c>
      <c r="C92" s="70">
        <v>11</v>
      </c>
      <c r="D92" s="74" t="s">
        <v>207</v>
      </c>
      <c r="E92" s="67">
        <v>13</v>
      </c>
      <c r="F92" s="67">
        <v>20</v>
      </c>
      <c r="G92" s="67">
        <v>31</v>
      </c>
      <c r="H92" s="67">
        <v>52</v>
      </c>
      <c r="I92" s="67">
        <v>77</v>
      </c>
      <c r="J92" s="67">
        <v>91</v>
      </c>
      <c r="K92" s="67">
        <v>106</v>
      </c>
      <c r="L92" s="67">
        <v>121</v>
      </c>
      <c r="M92" s="67">
        <v>139</v>
      </c>
      <c r="N92" s="67">
        <v>144</v>
      </c>
    </row>
    <row r="93" spans="1:14" ht="19.5" customHeight="1" x14ac:dyDescent="0.2">
      <c r="A93" s="34"/>
      <c r="B93" s="65" t="s">
        <v>5</v>
      </c>
      <c r="C93" s="70">
        <v>10</v>
      </c>
      <c r="D93" s="74" t="s">
        <v>207</v>
      </c>
      <c r="E93" s="67">
        <v>13</v>
      </c>
      <c r="F93" s="67">
        <v>20</v>
      </c>
      <c r="G93" s="67">
        <v>30</v>
      </c>
      <c r="H93" s="67">
        <v>51</v>
      </c>
      <c r="I93" s="67">
        <v>75</v>
      </c>
      <c r="J93" s="67">
        <v>86</v>
      </c>
      <c r="K93" s="67">
        <v>97</v>
      </c>
      <c r="L93" s="67">
        <v>106</v>
      </c>
      <c r="M93" s="67">
        <v>125</v>
      </c>
      <c r="N93" s="67">
        <v>129</v>
      </c>
    </row>
    <row r="94" spans="1:14" ht="19.5" customHeight="1" x14ac:dyDescent="0.2">
      <c r="A94" s="34"/>
      <c r="B94" s="65" t="s">
        <v>5</v>
      </c>
      <c r="C94" s="70">
        <v>9</v>
      </c>
      <c r="D94" s="74" t="s">
        <v>207</v>
      </c>
      <c r="E94" s="67">
        <v>18</v>
      </c>
      <c r="F94" s="67">
        <v>25</v>
      </c>
      <c r="G94" s="67">
        <v>34</v>
      </c>
      <c r="H94" s="67">
        <v>56</v>
      </c>
      <c r="I94" s="67">
        <v>80</v>
      </c>
      <c r="J94" s="67">
        <v>94</v>
      </c>
      <c r="K94" s="67">
        <v>108</v>
      </c>
      <c r="L94" s="67">
        <v>122</v>
      </c>
      <c r="M94" s="67">
        <v>137</v>
      </c>
      <c r="N94" s="67">
        <v>145</v>
      </c>
    </row>
    <row r="95" spans="1:14" ht="19.5" customHeight="1" x14ac:dyDescent="0.2">
      <c r="A95" s="34"/>
      <c r="B95" s="65" t="s">
        <v>5</v>
      </c>
      <c r="C95" s="70">
        <v>8</v>
      </c>
      <c r="D95" s="74" t="s">
        <v>207</v>
      </c>
      <c r="E95" s="67">
        <v>16</v>
      </c>
      <c r="F95" s="67">
        <v>24</v>
      </c>
      <c r="G95" s="67">
        <v>32</v>
      </c>
      <c r="H95" s="67">
        <v>53</v>
      </c>
      <c r="I95" s="67">
        <v>77</v>
      </c>
      <c r="J95" s="67">
        <v>86</v>
      </c>
      <c r="K95" s="67">
        <v>97</v>
      </c>
      <c r="L95" s="67">
        <v>105</v>
      </c>
      <c r="M95" s="67">
        <v>129</v>
      </c>
      <c r="N95" s="67">
        <v>131</v>
      </c>
    </row>
    <row r="96" spans="1:14" ht="19.5" customHeight="1" x14ac:dyDescent="0.2">
      <c r="A96" s="34"/>
      <c r="B96" s="65" t="s">
        <v>5</v>
      </c>
      <c r="C96" s="70">
        <v>7</v>
      </c>
      <c r="D96" s="74" t="s">
        <v>207</v>
      </c>
      <c r="E96" s="67">
        <v>14</v>
      </c>
      <c r="F96" s="67">
        <v>22</v>
      </c>
      <c r="G96" s="67">
        <v>31</v>
      </c>
      <c r="H96" s="67">
        <v>52</v>
      </c>
      <c r="I96" s="67">
        <v>75</v>
      </c>
      <c r="J96" s="67">
        <v>85</v>
      </c>
      <c r="K96" s="67">
        <v>95</v>
      </c>
      <c r="L96" s="67">
        <v>106</v>
      </c>
      <c r="M96" s="67">
        <v>119</v>
      </c>
      <c r="N96" s="67">
        <v>123</v>
      </c>
    </row>
    <row r="97" spans="1:14" ht="19.5" customHeight="1" x14ac:dyDescent="0.2">
      <c r="A97" s="34"/>
      <c r="B97" s="65" t="s">
        <v>5</v>
      </c>
      <c r="C97" s="70">
        <v>6</v>
      </c>
      <c r="D97" s="74" t="s">
        <v>207</v>
      </c>
      <c r="E97" s="67">
        <v>11</v>
      </c>
      <c r="F97" s="67">
        <v>17</v>
      </c>
      <c r="G97" s="67">
        <v>28</v>
      </c>
      <c r="H97" s="67">
        <v>47</v>
      </c>
      <c r="I97" s="67">
        <v>74</v>
      </c>
      <c r="J97" s="67">
        <v>84</v>
      </c>
      <c r="K97" s="67">
        <v>93</v>
      </c>
      <c r="L97" s="67">
        <v>102</v>
      </c>
      <c r="M97" s="67">
        <v>114</v>
      </c>
      <c r="N97" s="67">
        <v>117</v>
      </c>
    </row>
    <row r="98" spans="1:14" ht="19.5" customHeight="1" x14ac:dyDescent="0.2">
      <c r="A98" s="34"/>
      <c r="B98" s="65" t="s">
        <v>5</v>
      </c>
      <c r="C98" s="70">
        <v>5</v>
      </c>
      <c r="D98" s="74" t="s">
        <v>207</v>
      </c>
      <c r="E98" s="67">
        <v>15</v>
      </c>
      <c r="F98" s="67">
        <v>23</v>
      </c>
      <c r="G98" s="67">
        <v>31</v>
      </c>
      <c r="H98" s="67">
        <v>51</v>
      </c>
      <c r="I98" s="67">
        <v>76</v>
      </c>
      <c r="J98" s="67">
        <v>84</v>
      </c>
      <c r="K98" s="67">
        <v>91</v>
      </c>
      <c r="L98" s="67">
        <v>100</v>
      </c>
      <c r="M98" s="67">
        <v>108</v>
      </c>
      <c r="N98" s="67">
        <v>111</v>
      </c>
    </row>
    <row r="99" spans="1:14" ht="19.5" customHeight="1" x14ac:dyDescent="0.2">
      <c r="A99" s="34"/>
      <c r="B99" s="65" t="s">
        <v>5</v>
      </c>
      <c r="C99" s="70">
        <v>4</v>
      </c>
      <c r="D99" s="74" t="s">
        <v>207</v>
      </c>
      <c r="E99" s="67">
        <v>11</v>
      </c>
      <c r="F99" s="67">
        <v>19</v>
      </c>
      <c r="G99" s="67">
        <v>28</v>
      </c>
      <c r="H99" s="67">
        <v>48</v>
      </c>
      <c r="I99" s="67">
        <v>74</v>
      </c>
      <c r="J99" s="67">
        <v>86</v>
      </c>
      <c r="K99" s="67">
        <v>96</v>
      </c>
      <c r="L99" s="67">
        <v>105</v>
      </c>
      <c r="M99" s="67">
        <v>120</v>
      </c>
      <c r="N99" s="67">
        <v>124</v>
      </c>
    </row>
    <row r="100" spans="1:14" ht="19.5" customHeight="1" x14ac:dyDescent="0.2">
      <c r="A100" s="34"/>
      <c r="B100" s="65" t="s">
        <v>5</v>
      </c>
      <c r="C100" s="70">
        <v>3</v>
      </c>
      <c r="D100" s="74" t="s">
        <v>207</v>
      </c>
      <c r="E100" s="67">
        <v>16</v>
      </c>
      <c r="F100" s="67">
        <v>23</v>
      </c>
      <c r="G100" s="67">
        <v>32</v>
      </c>
      <c r="H100" s="67">
        <v>54</v>
      </c>
      <c r="I100" s="67">
        <v>80</v>
      </c>
      <c r="J100" s="67">
        <v>91</v>
      </c>
      <c r="K100" s="67">
        <v>101</v>
      </c>
      <c r="L100" s="67">
        <v>111</v>
      </c>
      <c r="M100" s="67">
        <v>122</v>
      </c>
      <c r="N100" s="67">
        <v>129</v>
      </c>
    </row>
    <row r="101" spans="1:14" ht="19.5" customHeight="1" x14ac:dyDescent="0.2">
      <c r="A101" s="34"/>
      <c r="B101" s="65" t="s">
        <v>5</v>
      </c>
      <c r="C101" s="70">
        <v>2</v>
      </c>
      <c r="D101" s="74" t="s">
        <v>207</v>
      </c>
      <c r="E101" s="67">
        <v>17</v>
      </c>
      <c r="F101" s="67">
        <v>24</v>
      </c>
      <c r="G101" s="67">
        <v>32</v>
      </c>
      <c r="H101" s="67">
        <v>53</v>
      </c>
      <c r="I101" s="67">
        <v>78</v>
      </c>
      <c r="J101" s="67">
        <v>87</v>
      </c>
      <c r="K101" s="67">
        <v>95</v>
      </c>
      <c r="L101" s="67">
        <v>104</v>
      </c>
      <c r="M101" s="67">
        <v>117</v>
      </c>
      <c r="N101" s="67">
        <v>117</v>
      </c>
    </row>
    <row r="102" spans="1:14" ht="19.5" customHeight="1" thickBot="1" x14ac:dyDescent="0.25">
      <c r="A102" s="34"/>
      <c r="B102" s="66" t="s">
        <v>5</v>
      </c>
      <c r="C102" s="71">
        <v>1</v>
      </c>
      <c r="D102" s="75" t="s">
        <v>207</v>
      </c>
      <c r="E102" s="10">
        <v>18</v>
      </c>
      <c r="F102" s="10">
        <v>26</v>
      </c>
      <c r="G102" s="10">
        <v>35</v>
      </c>
      <c r="H102" s="10">
        <v>55</v>
      </c>
      <c r="I102" s="10">
        <v>81</v>
      </c>
      <c r="J102" s="10">
        <v>91</v>
      </c>
      <c r="K102" s="10">
        <v>100</v>
      </c>
      <c r="L102" s="10">
        <v>108</v>
      </c>
      <c r="M102" s="10">
        <v>124</v>
      </c>
      <c r="N102" s="10">
        <v>126</v>
      </c>
    </row>
    <row r="103" spans="1:14" ht="19.5" customHeight="1" x14ac:dyDescent="0.2">
      <c r="A103" s="34"/>
      <c r="B103" s="11">
        <v>7</v>
      </c>
      <c r="C103" s="69">
        <v>1</v>
      </c>
      <c r="D103" s="73" t="s">
        <v>209</v>
      </c>
      <c r="E103" s="9">
        <v>15</v>
      </c>
      <c r="F103" s="9">
        <v>26</v>
      </c>
      <c r="G103" s="9">
        <v>31</v>
      </c>
      <c r="H103" s="9">
        <v>51</v>
      </c>
      <c r="I103" s="9">
        <v>74</v>
      </c>
      <c r="J103" s="9">
        <v>82</v>
      </c>
      <c r="K103" s="9">
        <v>91</v>
      </c>
      <c r="L103" s="9">
        <v>99</v>
      </c>
      <c r="M103" s="9">
        <v>117</v>
      </c>
      <c r="N103" s="9">
        <v>114</v>
      </c>
    </row>
    <row r="104" spans="1:14" ht="19.5" customHeight="1" x14ac:dyDescent="0.2">
      <c r="A104" s="34"/>
      <c r="B104" s="65">
        <v>7</v>
      </c>
      <c r="C104" s="70">
        <v>2</v>
      </c>
      <c r="D104" s="74" t="s">
        <v>209</v>
      </c>
      <c r="E104" s="67">
        <v>13</v>
      </c>
      <c r="F104" s="67">
        <v>23</v>
      </c>
      <c r="G104" s="67">
        <v>29</v>
      </c>
      <c r="H104" s="67">
        <v>48</v>
      </c>
      <c r="I104" s="67">
        <v>68</v>
      </c>
      <c r="J104" s="67">
        <v>78</v>
      </c>
      <c r="K104" s="67">
        <v>88</v>
      </c>
      <c r="L104" s="67">
        <v>98</v>
      </c>
      <c r="M104" s="67">
        <v>120</v>
      </c>
      <c r="N104" s="67">
        <v>116</v>
      </c>
    </row>
    <row r="105" spans="1:14" ht="19.5" customHeight="1" x14ac:dyDescent="0.2">
      <c r="A105" s="34"/>
      <c r="B105" s="65">
        <v>7</v>
      </c>
      <c r="C105" s="70">
        <v>3</v>
      </c>
      <c r="D105" s="74" t="s">
        <v>209</v>
      </c>
      <c r="E105" s="67">
        <v>7</v>
      </c>
      <c r="F105" s="67">
        <v>13</v>
      </c>
      <c r="G105" s="67">
        <v>25</v>
      </c>
      <c r="H105" s="67">
        <v>45</v>
      </c>
      <c r="I105" s="67">
        <v>83</v>
      </c>
      <c r="J105" s="67">
        <v>89</v>
      </c>
      <c r="K105" s="67">
        <v>95</v>
      </c>
      <c r="L105" s="67">
        <v>102</v>
      </c>
      <c r="M105" s="67">
        <v>118</v>
      </c>
      <c r="N105" s="67">
        <v>109</v>
      </c>
    </row>
    <row r="106" spans="1:14" ht="19.5" customHeight="1" x14ac:dyDescent="0.2">
      <c r="A106" s="34"/>
      <c r="B106" s="65">
        <v>7</v>
      </c>
      <c r="C106" s="70">
        <v>4</v>
      </c>
      <c r="D106" s="74" t="s">
        <v>209</v>
      </c>
      <c r="E106" s="67">
        <v>10</v>
      </c>
      <c r="F106" s="67">
        <v>18</v>
      </c>
      <c r="G106" s="67">
        <v>27</v>
      </c>
      <c r="H106" s="67">
        <v>48</v>
      </c>
      <c r="I106" s="67">
        <v>67</v>
      </c>
      <c r="J106" s="67">
        <v>77</v>
      </c>
      <c r="K106" s="67">
        <v>90</v>
      </c>
      <c r="L106" s="67">
        <v>101</v>
      </c>
      <c r="M106" s="67">
        <v>117</v>
      </c>
      <c r="N106" s="67">
        <v>118</v>
      </c>
    </row>
    <row r="107" spans="1:14" ht="19.5" customHeight="1" x14ac:dyDescent="0.2">
      <c r="A107" s="34"/>
      <c r="B107" s="65">
        <v>7</v>
      </c>
      <c r="C107" s="70">
        <v>5</v>
      </c>
      <c r="D107" s="74" t="s">
        <v>209</v>
      </c>
      <c r="E107" s="67">
        <v>18</v>
      </c>
      <c r="F107" s="67">
        <v>25</v>
      </c>
      <c r="G107" s="67">
        <v>33</v>
      </c>
      <c r="H107" s="67">
        <v>53</v>
      </c>
      <c r="I107" s="67">
        <v>71</v>
      </c>
      <c r="J107" s="67">
        <v>83</v>
      </c>
      <c r="K107" s="67">
        <v>95</v>
      </c>
      <c r="L107" s="67">
        <v>107</v>
      </c>
      <c r="M107" s="67">
        <v>120</v>
      </c>
      <c r="N107" s="67">
        <v>126</v>
      </c>
    </row>
    <row r="108" spans="1:14" ht="19.5" customHeight="1" x14ac:dyDescent="0.2">
      <c r="A108" s="34"/>
      <c r="B108" s="65">
        <v>7</v>
      </c>
      <c r="C108" s="70">
        <v>6</v>
      </c>
      <c r="D108" s="74" t="s">
        <v>209</v>
      </c>
      <c r="E108" s="67">
        <v>8</v>
      </c>
      <c r="F108" s="67">
        <v>14</v>
      </c>
      <c r="G108" s="67">
        <v>24</v>
      </c>
      <c r="H108" s="67">
        <v>45</v>
      </c>
      <c r="I108" s="67">
        <v>65</v>
      </c>
      <c r="J108" s="67">
        <v>76</v>
      </c>
      <c r="K108" s="67">
        <v>86</v>
      </c>
      <c r="L108" s="67">
        <v>95</v>
      </c>
      <c r="M108" s="67">
        <v>112</v>
      </c>
      <c r="N108" s="67">
        <v>114</v>
      </c>
    </row>
    <row r="109" spans="1:14" ht="19.5" customHeight="1" x14ac:dyDescent="0.2">
      <c r="A109" s="34"/>
      <c r="B109" s="65">
        <v>7</v>
      </c>
      <c r="C109" s="70">
        <v>7</v>
      </c>
      <c r="D109" s="74" t="s">
        <v>209</v>
      </c>
      <c r="E109" s="67">
        <v>11</v>
      </c>
      <c r="F109" s="67">
        <v>19</v>
      </c>
      <c r="G109" s="67">
        <v>26</v>
      </c>
      <c r="H109" s="67">
        <v>45</v>
      </c>
      <c r="I109" s="67">
        <v>65</v>
      </c>
      <c r="J109" s="67">
        <v>75</v>
      </c>
      <c r="K109" s="67">
        <v>85</v>
      </c>
      <c r="L109" s="67">
        <v>94</v>
      </c>
      <c r="M109" s="67">
        <v>107</v>
      </c>
      <c r="N109" s="67">
        <v>112</v>
      </c>
    </row>
    <row r="110" spans="1:14" ht="19.5" customHeight="1" x14ac:dyDescent="0.2">
      <c r="A110" s="34"/>
      <c r="B110" s="65">
        <v>7</v>
      </c>
      <c r="C110" s="70">
        <v>8</v>
      </c>
      <c r="D110" s="74" t="s">
        <v>209</v>
      </c>
      <c r="E110" s="67">
        <v>2</v>
      </c>
      <c r="F110" s="67">
        <v>8</v>
      </c>
      <c r="G110" s="67">
        <v>15</v>
      </c>
      <c r="H110" s="67">
        <v>38</v>
      </c>
      <c r="I110" s="67">
        <v>58</v>
      </c>
      <c r="J110" s="67">
        <v>69</v>
      </c>
      <c r="K110" s="67">
        <v>83</v>
      </c>
      <c r="L110" s="67">
        <v>95</v>
      </c>
      <c r="M110" s="67">
        <v>109</v>
      </c>
      <c r="N110" s="67">
        <v>114</v>
      </c>
    </row>
    <row r="111" spans="1:14" ht="19.5" customHeight="1" x14ac:dyDescent="0.2">
      <c r="A111" s="34"/>
      <c r="B111" s="65">
        <v>7</v>
      </c>
      <c r="C111" s="70">
        <v>9</v>
      </c>
      <c r="D111" s="74" t="s">
        <v>209</v>
      </c>
      <c r="E111" s="67">
        <v>4</v>
      </c>
      <c r="F111" s="67">
        <v>11</v>
      </c>
      <c r="G111" s="67">
        <v>21</v>
      </c>
      <c r="H111" s="67">
        <v>46</v>
      </c>
      <c r="I111" s="67">
        <v>68</v>
      </c>
      <c r="J111" s="67">
        <v>83</v>
      </c>
      <c r="K111" s="67">
        <v>94</v>
      </c>
      <c r="L111" s="67">
        <v>113</v>
      </c>
      <c r="M111" s="67">
        <v>135</v>
      </c>
      <c r="N111" s="67">
        <v>138</v>
      </c>
    </row>
    <row r="112" spans="1:14" ht="19.5" customHeight="1" x14ac:dyDescent="0.2">
      <c r="A112" s="34"/>
      <c r="B112" s="65">
        <v>7</v>
      </c>
      <c r="C112" s="70">
        <v>10</v>
      </c>
      <c r="D112" s="74" t="s">
        <v>209</v>
      </c>
      <c r="E112" s="67">
        <v>6</v>
      </c>
      <c r="F112" s="67">
        <v>13</v>
      </c>
      <c r="G112" s="67">
        <v>23</v>
      </c>
      <c r="H112" s="67">
        <v>48</v>
      </c>
      <c r="I112" s="67">
        <v>68</v>
      </c>
      <c r="J112" s="67">
        <v>81</v>
      </c>
      <c r="K112" s="67">
        <v>92</v>
      </c>
      <c r="L112" s="67">
        <v>110</v>
      </c>
      <c r="M112" s="67">
        <v>120</v>
      </c>
      <c r="N112" s="67">
        <v>126</v>
      </c>
    </row>
    <row r="113" spans="1:14" ht="19.5" customHeight="1" x14ac:dyDescent="0.2">
      <c r="A113" s="34"/>
      <c r="B113" s="65">
        <v>7</v>
      </c>
      <c r="C113" s="70">
        <v>11</v>
      </c>
      <c r="D113" s="74" t="s">
        <v>209</v>
      </c>
      <c r="E113" s="67">
        <v>11</v>
      </c>
      <c r="F113" s="67">
        <v>17</v>
      </c>
      <c r="G113" s="67">
        <v>26</v>
      </c>
      <c r="H113" s="67">
        <v>47</v>
      </c>
      <c r="I113" s="67">
        <v>67</v>
      </c>
      <c r="J113" s="67">
        <v>78</v>
      </c>
      <c r="K113" s="67">
        <v>89</v>
      </c>
      <c r="L113" s="67">
        <v>98</v>
      </c>
      <c r="M113" s="67">
        <v>116</v>
      </c>
      <c r="N113" s="67">
        <v>121</v>
      </c>
    </row>
    <row r="114" spans="1:14" ht="19.5" customHeight="1" x14ac:dyDescent="0.2">
      <c r="A114" s="34"/>
      <c r="B114" s="65">
        <v>7</v>
      </c>
      <c r="C114" s="70">
        <v>12</v>
      </c>
      <c r="D114" s="74" t="s">
        <v>209</v>
      </c>
      <c r="E114" s="67">
        <v>10</v>
      </c>
      <c r="F114" s="67">
        <v>17</v>
      </c>
      <c r="G114" s="67">
        <v>25</v>
      </c>
      <c r="H114" s="67">
        <v>43</v>
      </c>
      <c r="I114" s="67">
        <v>62</v>
      </c>
      <c r="J114" s="67">
        <v>74</v>
      </c>
      <c r="K114" s="67">
        <v>86</v>
      </c>
      <c r="L114" s="67">
        <v>105</v>
      </c>
      <c r="M114" s="67">
        <v>129</v>
      </c>
      <c r="N114" s="67">
        <v>132</v>
      </c>
    </row>
    <row r="115" spans="1:14" ht="19.5" customHeight="1" x14ac:dyDescent="0.2">
      <c r="A115" s="34"/>
      <c r="B115" s="65">
        <v>7</v>
      </c>
      <c r="C115" s="70">
        <v>13</v>
      </c>
      <c r="D115" s="74" t="s">
        <v>209</v>
      </c>
      <c r="E115" s="67">
        <v>8</v>
      </c>
      <c r="F115" s="67">
        <v>16</v>
      </c>
      <c r="G115" s="67">
        <v>24</v>
      </c>
      <c r="H115" s="67">
        <v>44</v>
      </c>
      <c r="I115" s="67">
        <v>64</v>
      </c>
      <c r="J115" s="67">
        <v>78</v>
      </c>
      <c r="K115" s="67">
        <v>91</v>
      </c>
      <c r="L115" s="67">
        <v>106</v>
      </c>
      <c r="M115" s="67">
        <v>130</v>
      </c>
      <c r="N115" s="67">
        <v>129</v>
      </c>
    </row>
    <row r="116" spans="1:14" ht="19.5" customHeight="1" x14ac:dyDescent="0.2">
      <c r="A116" s="34"/>
      <c r="B116" s="65">
        <v>7</v>
      </c>
      <c r="C116" s="70">
        <v>14</v>
      </c>
      <c r="D116" s="74" t="s">
        <v>209</v>
      </c>
      <c r="E116" s="67">
        <v>10</v>
      </c>
      <c r="F116" s="67">
        <v>16</v>
      </c>
      <c r="G116" s="67">
        <v>25</v>
      </c>
      <c r="H116" s="67">
        <v>44</v>
      </c>
      <c r="I116" s="67">
        <v>65</v>
      </c>
      <c r="J116" s="67">
        <v>79</v>
      </c>
      <c r="K116" s="67">
        <v>93</v>
      </c>
      <c r="L116" s="67">
        <v>107</v>
      </c>
      <c r="M116" s="67">
        <v>128</v>
      </c>
      <c r="N116" s="67">
        <v>131</v>
      </c>
    </row>
    <row r="117" spans="1:14" ht="19.5" customHeight="1" thickBot="1" x14ac:dyDescent="0.25">
      <c r="A117" s="34"/>
      <c r="B117" s="66">
        <v>7</v>
      </c>
      <c r="C117" s="71">
        <v>15</v>
      </c>
      <c r="D117" s="75" t="s">
        <v>209</v>
      </c>
      <c r="E117" s="10">
        <v>4</v>
      </c>
      <c r="F117" s="10">
        <v>9</v>
      </c>
      <c r="G117" s="10">
        <v>18</v>
      </c>
      <c r="H117" s="10">
        <v>38</v>
      </c>
      <c r="I117" s="10">
        <v>58</v>
      </c>
      <c r="J117" s="10">
        <v>67</v>
      </c>
      <c r="K117" s="10">
        <v>75</v>
      </c>
      <c r="L117" s="10">
        <v>84</v>
      </c>
      <c r="M117" s="10">
        <v>101</v>
      </c>
      <c r="N117" s="10">
        <v>96</v>
      </c>
    </row>
    <row r="118" spans="1:14" ht="19.5" customHeight="1" x14ac:dyDescent="0.2">
      <c r="A118" s="34"/>
      <c r="B118" s="11">
        <v>8</v>
      </c>
      <c r="C118" s="69">
        <v>15</v>
      </c>
      <c r="D118" s="73" t="s">
        <v>210</v>
      </c>
      <c r="E118" s="9">
        <v>8</v>
      </c>
      <c r="F118" s="9">
        <v>14</v>
      </c>
      <c r="G118" s="9">
        <v>24</v>
      </c>
      <c r="H118" s="9">
        <v>47</v>
      </c>
      <c r="I118" s="9">
        <v>68</v>
      </c>
      <c r="J118" s="9">
        <v>79</v>
      </c>
      <c r="K118" s="9">
        <v>90</v>
      </c>
      <c r="L118" s="9">
        <v>99</v>
      </c>
      <c r="M118" s="9">
        <v>124</v>
      </c>
      <c r="N118" s="9">
        <v>122</v>
      </c>
    </row>
    <row r="119" spans="1:14" ht="19.5" customHeight="1" x14ac:dyDescent="0.2">
      <c r="A119" s="34"/>
      <c r="B119" s="65">
        <v>8</v>
      </c>
      <c r="C119" s="70">
        <v>14</v>
      </c>
      <c r="D119" s="74" t="s">
        <v>210</v>
      </c>
      <c r="E119" s="67">
        <v>11</v>
      </c>
      <c r="F119" s="67">
        <v>18</v>
      </c>
      <c r="G119" s="67">
        <v>28</v>
      </c>
      <c r="H119" s="67">
        <v>50</v>
      </c>
      <c r="I119" s="67">
        <v>72</v>
      </c>
      <c r="J119" s="67">
        <v>80</v>
      </c>
      <c r="K119" s="67">
        <v>88</v>
      </c>
      <c r="L119" s="67">
        <v>92</v>
      </c>
      <c r="M119" s="67">
        <v>104</v>
      </c>
      <c r="N119" s="67">
        <v>106</v>
      </c>
    </row>
    <row r="120" spans="1:14" ht="19.5" customHeight="1" x14ac:dyDescent="0.2">
      <c r="A120" s="34"/>
      <c r="B120" s="65">
        <v>8</v>
      </c>
      <c r="C120" s="70">
        <v>13</v>
      </c>
      <c r="D120" s="74" t="s">
        <v>210</v>
      </c>
      <c r="E120" s="67">
        <v>10</v>
      </c>
      <c r="F120" s="67">
        <v>17</v>
      </c>
      <c r="G120" s="67">
        <v>26</v>
      </c>
      <c r="H120" s="67">
        <v>47</v>
      </c>
      <c r="I120" s="67">
        <v>70</v>
      </c>
      <c r="J120" s="67">
        <v>77</v>
      </c>
      <c r="K120" s="67">
        <v>86</v>
      </c>
      <c r="L120" s="67">
        <v>94</v>
      </c>
      <c r="M120" s="67">
        <v>112</v>
      </c>
      <c r="N120" s="67">
        <v>88</v>
      </c>
    </row>
    <row r="121" spans="1:14" ht="19.5" customHeight="1" x14ac:dyDescent="0.2">
      <c r="A121" s="34"/>
      <c r="B121" s="65">
        <v>8</v>
      </c>
      <c r="C121" s="70">
        <v>12</v>
      </c>
      <c r="D121" s="74" t="s">
        <v>210</v>
      </c>
      <c r="E121" s="67">
        <v>6</v>
      </c>
      <c r="F121" s="67">
        <v>11</v>
      </c>
      <c r="G121" s="67">
        <v>23</v>
      </c>
      <c r="H121" s="67">
        <v>45</v>
      </c>
      <c r="I121" s="67">
        <v>65</v>
      </c>
      <c r="J121" s="67">
        <v>74</v>
      </c>
      <c r="K121" s="67">
        <v>83</v>
      </c>
      <c r="L121" s="67">
        <v>91</v>
      </c>
      <c r="M121" s="67">
        <v>110</v>
      </c>
      <c r="N121" s="67">
        <v>107</v>
      </c>
    </row>
    <row r="122" spans="1:14" ht="19.5" customHeight="1" x14ac:dyDescent="0.2">
      <c r="A122" s="34"/>
      <c r="B122" s="65">
        <v>8</v>
      </c>
      <c r="C122" s="70">
        <v>11</v>
      </c>
      <c r="D122" s="74" t="s">
        <v>210</v>
      </c>
      <c r="E122" s="67">
        <v>11</v>
      </c>
      <c r="F122" s="67">
        <v>19</v>
      </c>
      <c r="G122" s="67">
        <v>28</v>
      </c>
      <c r="H122" s="67">
        <v>53</v>
      </c>
      <c r="I122" s="67">
        <v>75</v>
      </c>
      <c r="J122" s="67">
        <v>86</v>
      </c>
      <c r="K122" s="67">
        <v>98</v>
      </c>
      <c r="L122" s="67">
        <v>110</v>
      </c>
      <c r="M122" s="67">
        <v>124</v>
      </c>
      <c r="N122" s="67">
        <v>129</v>
      </c>
    </row>
    <row r="123" spans="1:14" ht="19.5" customHeight="1" x14ac:dyDescent="0.2">
      <c r="A123" s="34"/>
      <c r="B123" s="65">
        <v>8</v>
      </c>
      <c r="C123" s="70">
        <v>10</v>
      </c>
      <c r="D123" s="74" t="s">
        <v>210</v>
      </c>
      <c r="E123" s="67">
        <v>3</v>
      </c>
      <c r="F123" s="67">
        <v>10</v>
      </c>
      <c r="G123" s="67">
        <v>18</v>
      </c>
      <c r="H123" s="67">
        <v>42</v>
      </c>
      <c r="I123" s="67">
        <v>67</v>
      </c>
      <c r="J123" s="67">
        <v>76</v>
      </c>
      <c r="K123" s="67">
        <v>86</v>
      </c>
      <c r="L123" s="67">
        <v>95</v>
      </c>
      <c r="M123" s="67">
        <v>113</v>
      </c>
      <c r="N123" s="67">
        <v>109</v>
      </c>
    </row>
    <row r="124" spans="1:14" ht="19.5" customHeight="1" x14ac:dyDescent="0.2">
      <c r="A124" s="34"/>
      <c r="B124" s="65">
        <v>8</v>
      </c>
      <c r="C124" s="70">
        <v>9</v>
      </c>
      <c r="D124" s="74" t="s">
        <v>210</v>
      </c>
      <c r="E124" s="67">
        <v>11</v>
      </c>
      <c r="F124" s="67">
        <v>19</v>
      </c>
      <c r="G124" s="67">
        <v>27</v>
      </c>
      <c r="H124" s="67">
        <v>51</v>
      </c>
      <c r="I124" s="67">
        <v>74</v>
      </c>
      <c r="J124" s="67">
        <v>84</v>
      </c>
      <c r="K124" s="67">
        <v>94</v>
      </c>
      <c r="L124" s="67">
        <v>101</v>
      </c>
      <c r="M124" s="67">
        <v>116</v>
      </c>
      <c r="N124" s="67">
        <v>118</v>
      </c>
    </row>
    <row r="125" spans="1:14" ht="19.5" customHeight="1" x14ac:dyDescent="0.2">
      <c r="A125" s="34"/>
      <c r="B125" s="65">
        <v>8</v>
      </c>
      <c r="C125" s="70">
        <v>8</v>
      </c>
      <c r="D125" s="74" t="s">
        <v>210</v>
      </c>
      <c r="E125" s="67">
        <v>19</v>
      </c>
      <c r="F125" s="67">
        <v>26</v>
      </c>
      <c r="G125" s="67">
        <v>34</v>
      </c>
      <c r="H125" s="67">
        <v>58</v>
      </c>
      <c r="I125" s="67">
        <v>82</v>
      </c>
      <c r="J125" s="67">
        <v>90</v>
      </c>
      <c r="K125" s="67">
        <v>97</v>
      </c>
      <c r="L125" s="67">
        <v>105</v>
      </c>
      <c r="M125" s="67">
        <v>116</v>
      </c>
      <c r="N125" s="67">
        <v>118</v>
      </c>
    </row>
    <row r="126" spans="1:14" ht="19.5" customHeight="1" x14ac:dyDescent="0.2">
      <c r="A126" s="34"/>
      <c r="B126" s="65">
        <v>8</v>
      </c>
      <c r="C126" s="70">
        <v>7</v>
      </c>
      <c r="D126" s="74" t="s">
        <v>210</v>
      </c>
      <c r="E126" s="67">
        <v>7</v>
      </c>
      <c r="F126" s="67">
        <v>14</v>
      </c>
      <c r="G126" s="67">
        <v>24</v>
      </c>
      <c r="H126" s="67">
        <v>48</v>
      </c>
      <c r="I126" s="67">
        <v>70</v>
      </c>
      <c r="J126" s="67">
        <v>77</v>
      </c>
      <c r="K126" s="67">
        <v>85</v>
      </c>
      <c r="L126" s="67">
        <v>93</v>
      </c>
      <c r="M126" s="67">
        <v>110</v>
      </c>
      <c r="N126" s="67">
        <v>100</v>
      </c>
    </row>
    <row r="127" spans="1:14" ht="19.5" customHeight="1" x14ac:dyDescent="0.2">
      <c r="A127" s="34"/>
      <c r="B127" s="65">
        <v>8</v>
      </c>
      <c r="C127" s="70">
        <v>6</v>
      </c>
      <c r="D127" s="74" t="s">
        <v>210</v>
      </c>
      <c r="E127" s="67">
        <v>14</v>
      </c>
      <c r="F127" s="67">
        <v>21</v>
      </c>
      <c r="G127" s="67">
        <v>29</v>
      </c>
      <c r="H127" s="67">
        <v>52</v>
      </c>
      <c r="I127" s="67">
        <v>77</v>
      </c>
      <c r="J127" s="67">
        <v>90</v>
      </c>
      <c r="K127" s="67">
        <v>101</v>
      </c>
      <c r="L127" s="67">
        <v>121</v>
      </c>
      <c r="M127" s="67">
        <v>139</v>
      </c>
      <c r="N127" s="67">
        <v>148</v>
      </c>
    </row>
    <row r="128" spans="1:14" ht="19.5" customHeight="1" x14ac:dyDescent="0.2">
      <c r="A128" s="34"/>
      <c r="B128" s="65">
        <v>8</v>
      </c>
      <c r="C128" s="70">
        <v>5</v>
      </c>
      <c r="D128" s="74" t="s">
        <v>210</v>
      </c>
      <c r="E128" s="67">
        <v>8</v>
      </c>
      <c r="F128" s="67">
        <v>17</v>
      </c>
      <c r="G128" s="67">
        <v>25</v>
      </c>
      <c r="H128" s="67">
        <v>47</v>
      </c>
      <c r="I128" s="67">
        <v>69</v>
      </c>
      <c r="J128" s="67">
        <v>80</v>
      </c>
      <c r="K128" s="67">
        <v>90</v>
      </c>
      <c r="L128" s="67">
        <v>101</v>
      </c>
      <c r="M128" s="67">
        <v>118</v>
      </c>
      <c r="N128" s="67">
        <v>126</v>
      </c>
    </row>
    <row r="129" spans="1:14" ht="19.5" customHeight="1" x14ac:dyDescent="0.2">
      <c r="A129" s="34"/>
      <c r="B129" s="65">
        <v>8</v>
      </c>
      <c r="C129" s="70">
        <v>4</v>
      </c>
      <c r="D129" s="74" t="s">
        <v>210</v>
      </c>
      <c r="E129" s="67">
        <v>19</v>
      </c>
      <c r="F129" s="67">
        <v>26</v>
      </c>
      <c r="G129" s="67">
        <v>33</v>
      </c>
      <c r="H129" s="67">
        <v>55</v>
      </c>
      <c r="I129" s="67">
        <v>81</v>
      </c>
      <c r="J129" s="67">
        <v>92</v>
      </c>
      <c r="K129" s="67">
        <v>101</v>
      </c>
      <c r="L129" s="67">
        <v>110</v>
      </c>
      <c r="M129" s="67">
        <v>127</v>
      </c>
      <c r="N129" s="67">
        <v>133</v>
      </c>
    </row>
    <row r="130" spans="1:14" ht="19.5" customHeight="1" x14ac:dyDescent="0.2">
      <c r="A130" s="34"/>
      <c r="B130" s="65">
        <v>8</v>
      </c>
      <c r="C130" s="70">
        <v>3</v>
      </c>
      <c r="D130" s="74" t="s">
        <v>210</v>
      </c>
      <c r="E130" s="67">
        <v>14</v>
      </c>
      <c r="F130" s="67">
        <v>21</v>
      </c>
      <c r="G130" s="67">
        <v>29</v>
      </c>
      <c r="H130" s="67">
        <v>53</v>
      </c>
      <c r="I130" s="67">
        <v>78</v>
      </c>
      <c r="J130" s="67">
        <v>86</v>
      </c>
      <c r="K130" s="67">
        <v>95</v>
      </c>
      <c r="L130" s="67">
        <v>104</v>
      </c>
      <c r="M130" s="67">
        <v>119</v>
      </c>
      <c r="N130" s="67">
        <v>115</v>
      </c>
    </row>
    <row r="131" spans="1:14" ht="19.5" customHeight="1" x14ac:dyDescent="0.2">
      <c r="A131" s="34"/>
      <c r="B131" s="65">
        <v>8</v>
      </c>
      <c r="C131" s="70">
        <v>2</v>
      </c>
      <c r="D131" s="74" t="s">
        <v>210</v>
      </c>
      <c r="E131" s="67">
        <v>13</v>
      </c>
      <c r="F131" s="67">
        <v>21</v>
      </c>
      <c r="G131" s="67">
        <v>28</v>
      </c>
      <c r="H131" s="67">
        <v>52</v>
      </c>
      <c r="I131" s="67">
        <v>77</v>
      </c>
      <c r="J131" s="67">
        <v>86</v>
      </c>
      <c r="K131" s="67">
        <v>94</v>
      </c>
      <c r="L131" s="67">
        <v>104</v>
      </c>
      <c r="M131" s="67">
        <v>115</v>
      </c>
      <c r="N131" s="67">
        <v>118</v>
      </c>
    </row>
    <row r="132" spans="1:14" ht="19.5" customHeight="1" thickBot="1" x14ac:dyDescent="0.25">
      <c r="A132" s="34"/>
      <c r="B132" s="66">
        <v>8</v>
      </c>
      <c r="C132" s="71">
        <v>1</v>
      </c>
      <c r="D132" s="75" t="s">
        <v>210</v>
      </c>
      <c r="E132" s="10">
        <v>16</v>
      </c>
      <c r="F132" s="10">
        <v>23</v>
      </c>
      <c r="G132" s="10">
        <v>32</v>
      </c>
      <c r="H132" s="10">
        <v>55</v>
      </c>
      <c r="I132" s="10">
        <v>79</v>
      </c>
      <c r="J132" s="10">
        <v>89</v>
      </c>
      <c r="K132" s="10">
        <v>98</v>
      </c>
      <c r="L132" s="10">
        <v>108</v>
      </c>
      <c r="M132" s="10">
        <v>119</v>
      </c>
      <c r="N132" s="10">
        <v>122</v>
      </c>
    </row>
    <row r="133" spans="1:14" ht="19.5" customHeight="1" x14ac:dyDescent="0.2">
      <c r="A133" s="34"/>
      <c r="B133" s="11">
        <v>9</v>
      </c>
      <c r="C133" s="69">
        <v>1</v>
      </c>
      <c r="D133" s="73" t="s">
        <v>210</v>
      </c>
      <c r="E133" s="9">
        <v>23</v>
      </c>
      <c r="F133" s="9">
        <v>30</v>
      </c>
      <c r="G133" s="9">
        <v>38</v>
      </c>
      <c r="H133" s="9">
        <v>61</v>
      </c>
      <c r="I133" s="9">
        <v>85</v>
      </c>
      <c r="J133" s="9">
        <v>98</v>
      </c>
      <c r="K133" s="9">
        <v>107</v>
      </c>
      <c r="L133" s="9">
        <v>111</v>
      </c>
      <c r="M133" s="9">
        <v>134</v>
      </c>
      <c r="N133" s="9">
        <v>140</v>
      </c>
    </row>
    <row r="134" spans="1:14" ht="19.5" customHeight="1" x14ac:dyDescent="0.2">
      <c r="A134" s="34"/>
      <c r="B134" s="65">
        <v>9</v>
      </c>
      <c r="C134" s="70">
        <v>2</v>
      </c>
      <c r="D134" s="74" t="s">
        <v>210</v>
      </c>
      <c r="E134" s="67">
        <v>15</v>
      </c>
      <c r="F134" s="67">
        <v>23</v>
      </c>
      <c r="G134" s="67">
        <v>31</v>
      </c>
      <c r="H134" s="67">
        <v>55</v>
      </c>
      <c r="I134" s="67">
        <v>77</v>
      </c>
      <c r="J134" s="67">
        <v>83</v>
      </c>
      <c r="K134" s="67">
        <v>87</v>
      </c>
      <c r="L134" s="67">
        <v>92</v>
      </c>
      <c r="M134" s="67">
        <v>102</v>
      </c>
      <c r="N134" s="67">
        <v>98</v>
      </c>
    </row>
    <row r="135" spans="1:14" ht="19.5" customHeight="1" x14ac:dyDescent="0.2">
      <c r="A135" s="34"/>
      <c r="B135" s="65">
        <v>9</v>
      </c>
      <c r="C135" s="70">
        <v>3</v>
      </c>
      <c r="D135" s="74" t="s">
        <v>210</v>
      </c>
      <c r="E135" s="67">
        <v>13</v>
      </c>
      <c r="F135" s="67">
        <v>22</v>
      </c>
      <c r="G135" s="67">
        <v>30</v>
      </c>
      <c r="H135" s="67">
        <v>55</v>
      </c>
      <c r="I135" s="67">
        <v>79</v>
      </c>
      <c r="J135" s="67">
        <v>88</v>
      </c>
      <c r="K135" s="67">
        <v>96</v>
      </c>
      <c r="L135" s="67">
        <v>105</v>
      </c>
      <c r="M135" s="67">
        <v>117</v>
      </c>
      <c r="N135" s="67">
        <v>120</v>
      </c>
    </row>
    <row r="136" spans="1:14" ht="19.5" customHeight="1" x14ac:dyDescent="0.2">
      <c r="A136" s="34"/>
      <c r="B136" s="65">
        <v>9</v>
      </c>
      <c r="C136" s="70">
        <v>4</v>
      </c>
      <c r="D136" s="74" t="s">
        <v>210</v>
      </c>
      <c r="E136" s="67">
        <v>12</v>
      </c>
      <c r="F136" s="67">
        <v>20</v>
      </c>
      <c r="G136" s="67">
        <v>30</v>
      </c>
      <c r="H136" s="67">
        <v>55</v>
      </c>
      <c r="I136" s="67">
        <v>79</v>
      </c>
      <c r="J136" s="67">
        <v>88</v>
      </c>
      <c r="K136" s="67">
        <v>99</v>
      </c>
      <c r="L136" s="67">
        <v>108</v>
      </c>
      <c r="M136" s="67">
        <v>119</v>
      </c>
      <c r="N136" s="67">
        <v>122</v>
      </c>
    </row>
    <row r="137" spans="1:14" ht="19.5" customHeight="1" x14ac:dyDescent="0.2">
      <c r="A137" s="34"/>
      <c r="B137" s="65">
        <v>9</v>
      </c>
      <c r="C137" s="70">
        <v>5</v>
      </c>
      <c r="D137" s="74" t="s">
        <v>210</v>
      </c>
      <c r="E137" s="67">
        <v>13</v>
      </c>
      <c r="F137" s="67">
        <v>21</v>
      </c>
      <c r="G137" s="67">
        <v>31</v>
      </c>
      <c r="H137" s="67">
        <v>56</v>
      </c>
      <c r="I137" s="67">
        <v>81</v>
      </c>
      <c r="J137" s="67">
        <v>92</v>
      </c>
      <c r="K137" s="67">
        <v>101</v>
      </c>
      <c r="L137" s="67">
        <v>112</v>
      </c>
      <c r="M137" s="67">
        <v>125</v>
      </c>
      <c r="N137" s="67">
        <v>129</v>
      </c>
    </row>
    <row r="138" spans="1:14" ht="19.5" customHeight="1" x14ac:dyDescent="0.2">
      <c r="A138" s="34"/>
      <c r="B138" s="65">
        <v>9</v>
      </c>
      <c r="C138" s="70">
        <v>6</v>
      </c>
      <c r="D138" s="74" t="s">
        <v>210</v>
      </c>
      <c r="E138" s="67">
        <v>15</v>
      </c>
      <c r="F138" s="67">
        <v>23</v>
      </c>
      <c r="G138" s="67">
        <v>32</v>
      </c>
      <c r="H138" s="67">
        <v>58</v>
      </c>
      <c r="I138" s="67">
        <v>81</v>
      </c>
      <c r="J138" s="67">
        <v>92</v>
      </c>
      <c r="K138" s="67">
        <v>103</v>
      </c>
      <c r="L138" s="67">
        <v>114</v>
      </c>
      <c r="M138" s="67">
        <v>126</v>
      </c>
      <c r="N138" s="67">
        <v>131</v>
      </c>
    </row>
    <row r="139" spans="1:14" ht="19.5" customHeight="1" x14ac:dyDescent="0.2">
      <c r="A139" s="34"/>
      <c r="B139" s="65">
        <v>9</v>
      </c>
      <c r="C139" s="70">
        <v>7</v>
      </c>
      <c r="D139" s="74" t="s">
        <v>210</v>
      </c>
      <c r="E139" s="67">
        <v>13</v>
      </c>
      <c r="F139" s="67">
        <v>24</v>
      </c>
      <c r="G139" s="67">
        <v>28</v>
      </c>
      <c r="H139" s="67">
        <v>52</v>
      </c>
      <c r="I139" s="67">
        <v>74</v>
      </c>
      <c r="J139" s="67">
        <v>79</v>
      </c>
      <c r="K139" s="67">
        <v>88</v>
      </c>
      <c r="L139" s="67">
        <v>95</v>
      </c>
      <c r="M139" s="67">
        <v>110</v>
      </c>
      <c r="N139" s="67">
        <v>103</v>
      </c>
    </row>
    <row r="140" spans="1:14" ht="19.5" customHeight="1" x14ac:dyDescent="0.2">
      <c r="A140" s="34"/>
      <c r="B140" s="65">
        <v>9</v>
      </c>
      <c r="C140" s="70">
        <v>8</v>
      </c>
      <c r="D140" s="74" t="s">
        <v>210</v>
      </c>
      <c r="E140" s="67">
        <v>19</v>
      </c>
      <c r="F140" s="67">
        <v>26</v>
      </c>
      <c r="G140" s="67">
        <v>34</v>
      </c>
      <c r="H140" s="67">
        <v>58</v>
      </c>
      <c r="I140" s="67">
        <v>80</v>
      </c>
      <c r="J140" s="67">
        <v>93</v>
      </c>
      <c r="K140" s="67">
        <v>105</v>
      </c>
      <c r="L140" s="67">
        <v>116</v>
      </c>
      <c r="M140" s="67">
        <v>134</v>
      </c>
      <c r="N140" s="67">
        <v>141</v>
      </c>
    </row>
    <row r="141" spans="1:14" ht="19.5" customHeight="1" x14ac:dyDescent="0.2">
      <c r="A141" s="34"/>
      <c r="B141" s="65">
        <v>9</v>
      </c>
      <c r="C141" s="70">
        <v>9</v>
      </c>
      <c r="D141" s="74" t="s">
        <v>210</v>
      </c>
      <c r="E141" s="67">
        <v>9</v>
      </c>
      <c r="F141" s="67">
        <v>18</v>
      </c>
      <c r="G141" s="67">
        <v>25</v>
      </c>
      <c r="H141" s="67">
        <v>48</v>
      </c>
      <c r="I141" s="67">
        <v>71</v>
      </c>
      <c r="J141" s="67">
        <v>85</v>
      </c>
      <c r="K141" s="67">
        <v>97</v>
      </c>
      <c r="L141" s="67">
        <v>111</v>
      </c>
      <c r="M141" s="67">
        <v>129</v>
      </c>
      <c r="N141" s="67">
        <v>137</v>
      </c>
    </row>
    <row r="142" spans="1:14" ht="19.5" customHeight="1" x14ac:dyDescent="0.2">
      <c r="A142" s="34"/>
      <c r="B142" s="65">
        <v>9</v>
      </c>
      <c r="C142" s="70">
        <v>10</v>
      </c>
      <c r="D142" s="74" t="s">
        <v>210</v>
      </c>
      <c r="E142" s="67">
        <v>15</v>
      </c>
      <c r="F142" s="67">
        <v>23</v>
      </c>
      <c r="G142" s="67">
        <v>32</v>
      </c>
      <c r="H142" s="67">
        <v>56</v>
      </c>
      <c r="I142" s="67">
        <v>80</v>
      </c>
      <c r="J142" s="67">
        <v>93</v>
      </c>
      <c r="K142" s="67">
        <v>105</v>
      </c>
      <c r="L142" s="67">
        <v>118</v>
      </c>
      <c r="M142" s="67">
        <v>130</v>
      </c>
      <c r="N142" s="67">
        <v>138</v>
      </c>
    </row>
    <row r="143" spans="1:14" ht="19.5" customHeight="1" x14ac:dyDescent="0.2">
      <c r="A143" s="34"/>
      <c r="B143" s="65">
        <v>9</v>
      </c>
      <c r="C143" s="70">
        <v>11</v>
      </c>
      <c r="D143" s="74" t="s">
        <v>210</v>
      </c>
      <c r="E143" s="67">
        <v>11</v>
      </c>
      <c r="F143" s="67">
        <v>19</v>
      </c>
      <c r="G143" s="67">
        <v>29</v>
      </c>
      <c r="H143" s="67">
        <v>51</v>
      </c>
      <c r="I143" s="67">
        <v>74</v>
      </c>
      <c r="J143" s="67">
        <v>83</v>
      </c>
      <c r="K143" s="67">
        <v>91</v>
      </c>
      <c r="L143" s="67">
        <v>100</v>
      </c>
      <c r="M143" s="67">
        <v>112</v>
      </c>
      <c r="N143" s="67">
        <v>114</v>
      </c>
    </row>
    <row r="144" spans="1:14" ht="19.5" customHeight="1" x14ac:dyDescent="0.2">
      <c r="A144" s="34"/>
      <c r="B144" s="65">
        <v>9</v>
      </c>
      <c r="C144" s="70">
        <v>12</v>
      </c>
      <c r="D144" s="74" t="s">
        <v>210</v>
      </c>
      <c r="E144" s="67">
        <v>11</v>
      </c>
      <c r="F144" s="67">
        <v>18</v>
      </c>
      <c r="G144" s="67">
        <v>28</v>
      </c>
      <c r="H144" s="67">
        <v>53</v>
      </c>
      <c r="I144" s="67">
        <v>75</v>
      </c>
      <c r="J144" s="67">
        <v>85</v>
      </c>
      <c r="K144" s="67">
        <v>93</v>
      </c>
      <c r="L144" s="67">
        <v>100</v>
      </c>
      <c r="M144" s="67">
        <v>116</v>
      </c>
      <c r="N144" s="67">
        <v>121</v>
      </c>
    </row>
    <row r="145" spans="1:14" ht="19.5" customHeight="1" x14ac:dyDescent="0.2">
      <c r="A145" s="34"/>
      <c r="B145" s="65">
        <v>9</v>
      </c>
      <c r="C145" s="70">
        <v>13</v>
      </c>
      <c r="D145" s="74" t="s">
        <v>210</v>
      </c>
      <c r="E145" s="67">
        <v>10</v>
      </c>
      <c r="F145" s="67">
        <v>18</v>
      </c>
      <c r="G145" s="67">
        <v>27</v>
      </c>
      <c r="H145" s="67">
        <v>50</v>
      </c>
      <c r="I145" s="67">
        <v>72</v>
      </c>
      <c r="J145" s="67">
        <v>84</v>
      </c>
      <c r="K145" s="67">
        <v>96</v>
      </c>
      <c r="L145" s="67">
        <v>107</v>
      </c>
      <c r="M145" s="67">
        <v>120</v>
      </c>
      <c r="N145" s="67">
        <v>126</v>
      </c>
    </row>
    <row r="146" spans="1:14" ht="19.5" customHeight="1" x14ac:dyDescent="0.2">
      <c r="A146" s="34"/>
      <c r="B146" s="65">
        <v>9</v>
      </c>
      <c r="C146" s="70">
        <v>14</v>
      </c>
      <c r="D146" s="74" t="s">
        <v>210</v>
      </c>
      <c r="E146" s="67">
        <v>11</v>
      </c>
      <c r="F146" s="67">
        <v>19</v>
      </c>
      <c r="G146" s="67">
        <v>28</v>
      </c>
      <c r="H146" s="67">
        <v>51</v>
      </c>
      <c r="I146" s="67">
        <v>74</v>
      </c>
      <c r="J146" s="67">
        <v>83</v>
      </c>
      <c r="K146" s="67">
        <v>91</v>
      </c>
      <c r="L146" s="67">
        <v>99</v>
      </c>
      <c r="M146" s="67">
        <v>111</v>
      </c>
      <c r="N146" s="67">
        <v>113</v>
      </c>
    </row>
    <row r="147" spans="1:14" ht="19.5" customHeight="1" thickBot="1" x14ac:dyDescent="0.25">
      <c r="A147" s="34"/>
      <c r="B147" s="66">
        <v>9</v>
      </c>
      <c r="C147" s="71">
        <v>15</v>
      </c>
      <c r="D147" s="75" t="s">
        <v>210</v>
      </c>
      <c r="E147" s="10">
        <v>11</v>
      </c>
      <c r="F147" s="10">
        <v>18</v>
      </c>
      <c r="G147" s="10">
        <v>28</v>
      </c>
      <c r="H147" s="10">
        <v>50</v>
      </c>
      <c r="I147" s="10">
        <v>74</v>
      </c>
      <c r="J147" s="10">
        <v>83</v>
      </c>
      <c r="K147" s="10">
        <v>94</v>
      </c>
      <c r="L147" s="10">
        <v>103</v>
      </c>
      <c r="M147" s="10">
        <v>115</v>
      </c>
      <c r="N147" s="10">
        <v>118</v>
      </c>
    </row>
    <row r="148" spans="1:14" ht="19.5" customHeight="1" x14ac:dyDescent="0.2">
      <c r="A148" s="34"/>
      <c r="B148" s="11">
        <v>10</v>
      </c>
      <c r="C148" s="69">
        <v>15</v>
      </c>
      <c r="D148" s="73" t="s">
        <v>209</v>
      </c>
      <c r="E148" s="9">
        <v>9</v>
      </c>
      <c r="F148" s="9">
        <v>16</v>
      </c>
      <c r="G148" s="9">
        <v>24</v>
      </c>
      <c r="H148" s="9">
        <v>48</v>
      </c>
      <c r="I148" s="9">
        <v>66</v>
      </c>
      <c r="J148" s="9">
        <v>79</v>
      </c>
      <c r="K148" s="9">
        <v>91</v>
      </c>
      <c r="L148" s="9">
        <v>102</v>
      </c>
      <c r="M148" s="9">
        <v>119</v>
      </c>
      <c r="N148" s="9">
        <v>123</v>
      </c>
    </row>
    <row r="149" spans="1:14" ht="19.5" customHeight="1" x14ac:dyDescent="0.2">
      <c r="A149" s="34"/>
      <c r="B149" s="65">
        <v>10</v>
      </c>
      <c r="C149" s="70">
        <v>14</v>
      </c>
      <c r="D149" s="74" t="s">
        <v>209</v>
      </c>
      <c r="E149" s="67">
        <v>5</v>
      </c>
      <c r="F149" s="67">
        <v>12</v>
      </c>
      <c r="G149" s="67">
        <v>21</v>
      </c>
      <c r="H149" s="67">
        <v>45</v>
      </c>
      <c r="I149" s="67">
        <v>65</v>
      </c>
      <c r="J149" s="67">
        <v>73</v>
      </c>
      <c r="K149" s="67">
        <v>82</v>
      </c>
      <c r="L149" s="67">
        <v>88</v>
      </c>
      <c r="M149" s="67">
        <v>101</v>
      </c>
      <c r="N149" s="67">
        <v>98</v>
      </c>
    </row>
    <row r="150" spans="1:14" ht="19.5" customHeight="1" x14ac:dyDescent="0.2">
      <c r="A150" s="34"/>
      <c r="B150" s="65">
        <v>10</v>
      </c>
      <c r="C150" s="70">
        <v>13</v>
      </c>
      <c r="D150" s="74" t="s">
        <v>209</v>
      </c>
      <c r="E150" s="67">
        <v>2</v>
      </c>
      <c r="F150" s="67">
        <v>8</v>
      </c>
      <c r="G150" s="67">
        <v>18</v>
      </c>
      <c r="H150" s="67">
        <v>39</v>
      </c>
      <c r="I150" s="67">
        <v>59</v>
      </c>
      <c r="J150" s="67">
        <v>66</v>
      </c>
      <c r="K150" s="67">
        <v>75</v>
      </c>
      <c r="L150" s="67">
        <v>83</v>
      </c>
      <c r="M150" s="67">
        <v>99</v>
      </c>
      <c r="N150" s="67">
        <v>97</v>
      </c>
    </row>
    <row r="151" spans="1:14" ht="19.5" customHeight="1" x14ac:dyDescent="0.2">
      <c r="A151" s="34"/>
      <c r="B151" s="65">
        <v>10</v>
      </c>
      <c r="C151" s="70">
        <v>12</v>
      </c>
      <c r="D151" s="74" t="s">
        <v>209</v>
      </c>
      <c r="E151" s="67">
        <v>5</v>
      </c>
      <c r="F151" s="67">
        <v>11</v>
      </c>
      <c r="G151" s="67">
        <v>20</v>
      </c>
      <c r="H151" s="67">
        <v>42</v>
      </c>
      <c r="I151" s="67">
        <v>62</v>
      </c>
      <c r="J151" s="67">
        <v>71</v>
      </c>
      <c r="K151" s="67">
        <v>80</v>
      </c>
      <c r="L151" s="67">
        <v>89</v>
      </c>
      <c r="M151" s="67">
        <v>102</v>
      </c>
      <c r="N151" s="67">
        <v>103</v>
      </c>
    </row>
    <row r="152" spans="1:14" ht="19.5" customHeight="1" x14ac:dyDescent="0.2">
      <c r="A152" s="34"/>
      <c r="B152" s="65">
        <v>10</v>
      </c>
      <c r="C152" s="70">
        <v>11</v>
      </c>
      <c r="D152" s="74" t="s">
        <v>209</v>
      </c>
      <c r="E152" s="67">
        <v>8</v>
      </c>
      <c r="F152" s="67">
        <v>14</v>
      </c>
      <c r="G152" s="67">
        <v>24</v>
      </c>
      <c r="H152" s="67">
        <v>47</v>
      </c>
      <c r="I152" s="67">
        <v>66</v>
      </c>
      <c r="J152" s="67">
        <v>75</v>
      </c>
      <c r="K152" s="67">
        <v>83</v>
      </c>
      <c r="L152" s="67">
        <v>92</v>
      </c>
      <c r="M152" s="67">
        <v>103</v>
      </c>
      <c r="N152" s="67">
        <v>105</v>
      </c>
    </row>
    <row r="153" spans="1:14" ht="19.5" customHeight="1" x14ac:dyDescent="0.2">
      <c r="A153" s="34"/>
      <c r="B153" s="65">
        <v>10</v>
      </c>
      <c r="C153" s="70">
        <v>10</v>
      </c>
      <c r="D153" s="74" t="s">
        <v>209</v>
      </c>
      <c r="E153" s="67">
        <v>11</v>
      </c>
      <c r="F153" s="67">
        <v>18</v>
      </c>
      <c r="G153" s="67">
        <v>28</v>
      </c>
      <c r="H153" s="67">
        <v>52</v>
      </c>
      <c r="I153" s="67">
        <v>71</v>
      </c>
      <c r="J153" s="67">
        <v>83</v>
      </c>
      <c r="K153" s="67">
        <v>94</v>
      </c>
      <c r="L153" s="67">
        <v>107</v>
      </c>
      <c r="M153" s="67">
        <v>119</v>
      </c>
      <c r="N153" s="67">
        <v>127</v>
      </c>
    </row>
    <row r="154" spans="1:14" ht="19.5" customHeight="1" x14ac:dyDescent="0.2">
      <c r="A154" s="34"/>
      <c r="B154" s="65">
        <v>10</v>
      </c>
      <c r="C154" s="70">
        <v>9</v>
      </c>
      <c r="D154" s="74" t="s">
        <v>209</v>
      </c>
      <c r="E154" s="67">
        <v>6</v>
      </c>
      <c r="F154" s="67">
        <v>14</v>
      </c>
      <c r="G154" s="67">
        <v>21</v>
      </c>
      <c r="H154" s="67">
        <v>44</v>
      </c>
      <c r="I154" s="67">
        <v>64</v>
      </c>
      <c r="J154" s="67">
        <v>76</v>
      </c>
      <c r="K154" s="67">
        <v>88</v>
      </c>
      <c r="L154" s="67">
        <v>99</v>
      </c>
      <c r="M154" s="67">
        <v>118</v>
      </c>
      <c r="N154" s="67">
        <v>124</v>
      </c>
    </row>
    <row r="155" spans="1:14" ht="19.5" customHeight="1" x14ac:dyDescent="0.2">
      <c r="A155" s="34"/>
      <c r="B155" s="65">
        <v>10</v>
      </c>
      <c r="C155" s="70">
        <v>8</v>
      </c>
      <c r="D155" s="74" t="s">
        <v>209</v>
      </c>
      <c r="E155" s="67">
        <v>3</v>
      </c>
      <c r="F155" s="67">
        <v>9</v>
      </c>
      <c r="G155" s="67">
        <v>17</v>
      </c>
      <c r="H155" s="67">
        <v>39</v>
      </c>
      <c r="I155" s="67">
        <v>57</v>
      </c>
      <c r="J155" s="67">
        <v>66</v>
      </c>
      <c r="K155" s="67">
        <v>75</v>
      </c>
      <c r="L155" s="67">
        <v>83</v>
      </c>
      <c r="M155" s="67">
        <v>90</v>
      </c>
      <c r="N155" s="67">
        <v>96</v>
      </c>
    </row>
    <row r="156" spans="1:14" ht="19.5" customHeight="1" x14ac:dyDescent="0.2">
      <c r="A156" s="34"/>
      <c r="B156" s="65">
        <v>10</v>
      </c>
      <c r="C156" s="70">
        <v>7</v>
      </c>
      <c r="D156" s="74" t="s">
        <v>209</v>
      </c>
      <c r="E156" s="67">
        <v>6</v>
      </c>
      <c r="F156" s="67">
        <v>13</v>
      </c>
      <c r="G156" s="67">
        <v>20</v>
      </c>
      <c r="H156" s="67">
        <v>44</v>
      </c>
      <c r="I156" s="67">
        <v>64</v>
      </c>
      <c r="J156" s="67">
        <v>75</v>
      </c>
      <c r="K156" s="67">
        <v>87</v>
      </c>
      <c r="L156" s="67">
        <v>97</v>
      </c>
      <c r="M156" s="67">
        <v>114</v>
      </c>
      <c r="N156" s="67">
        <v>119</v>
      </c>
    </row>
    <row r="157" spans="1:14" ht="19.5" customHeight="1" x14ac:dyDescent="0.2">
      <c r="A157" s="34"/>
      <c r="B157" s="65">
        <v>10</v>
      </c>
      <c r="C157" s="70">
        <v>6</v>
      </c>
      <c r="D157" s="74" t="s">
        <v>209</v>
      </c>
      <c r="E157" s="67">
        <v>7</v>
      </c>
      <c r="F157" s="67">
        <v>14</v>
      </c>
      <c r="G157" s="67">
        <v>22</v>
      </c>
      <c r="H157" s="67">
        <v>46</v>
      </c>
      <c r="I157" s="67">
        <v>66</v>
      </c>
      <c r="J157" s="67">
        <v>80</v>
      </c>
      <c r="K157" s="67">
        <v>92</v>
      </c>
      <c r="L157" s="67">
        <v>101</v>
      </c>
      <c r="M157" s="67">
        <v>128</v>
      </c>
      <c r="N157" s="67">
        <v>136</v>
      </c>
    </row>
    <row r="158" spans="1:14" ht="19.5" customHeight="1" x14ac:dyDescent="0.2">
      <c r="A158" s="34"/>
      <c r="B158" s="65">
        <v>10</v>
      </c>
      <c r="C158" s="70">
        <v>5</v>
      </c>
      <c r="D158" s="74" t="s">
        <v>209</v>
      </c>
      <c r="E158" s="67">
        <v>6</v>
      </c>
      <c r="F158" s="67">
        <v>13</v>
      </c>
      <c r="G158" s="67">
        <v>21</v>
      </c>
      <c r="H158" s="67">
        <v>44</v>
      </c>
      <c r="I158" s="67">
        <v>65</v>
      </c>
      <c r="J158" s="67">
        <v>82</v>
      </c>
      <c r="K158" s="67">
        <v>98</v>
      </c>
      <c r="L158" s="67">
        <v>113</v>
      </c>
      <c r="M158" s="67">
        <v>132</v>
      </c>
      <c r="N158" s="67">
        <v>143</v>
      </c>
    </row>
    <row r="159" spans="1:14" ht="19.5" customHeight="1" x14ac:dyDescent="0.2">
      <c r="A159" s="34"/>
      <c r="B159" s="65">
        <v>10</v>
      </c>
      <c r="C159" s="70">
        <v>4</v>
      </c>
      <c r="D159" s="74" t="s">
        <v>209</v>
      </c>
      <c r="E159" s="67">
        <v>8</v>
      </c>
      <c r="F159" s="67">
        <v>15</v>
      </c>
      <c r="G159" s="67">
        <v>23</v>
      </c>
      <c r="H159" s="67">
        <v>47</v>
      </c>
      <c r="I159" s="67">
        <v>66</v>
      </c>
      <c r="J159" s="67">
        <v>77</v>
      </c>
      <c r="K159" s="67">
        <v>89</v>
      </c>
      <c r="L159" s="67">
        <v>101</v>
      </c>
      <c r="M159" s="67">
        <v>113</v>
      </c>
      <c r="N159" s="67">
        <v>119</v>
      </c>
    </row>
    <row r="160" spans="1:14" ht="19.5" customHeight="1" x14ac:dyDescent="0.2">
      <c r="A160" s="34"/>
      <c r="B160" s="65">
        <v>10</v>
      </c>
      <c r="C160" s="70">
        <v>3</v>
      </c>
      <c r="D160" s="74" t="s">
        <v>209</v>
      </c>
      <c r="E160" s="67">
        <v>6</v>
      </c>
      <c r="F160" s="67">
        <v>14</v>
      </c>
      <c r="G160" s="67">
        <v>22</v>
      </c>
      <c r="H160" s="67">
        <v>47</v>
      </c>
      <c r="I160" s="67">
        <v>67</v>
      </c>
      <c r="J160" s="67">
        <v>82</v>
      </c>
      <c r="K160" s="67">
        <v>96</v>
      </c>
      <c r="L160" s="67">
        <v>107</v>
      </c>
      <c r="M160" s="67">
        <v>138</v>
      </c>
      <c r="N160" s="67">
        <v>149</v>
      </c>
    </row>
    <row r="161" spans="1:14" ht="19.5" customHeight="1" x14ac:dyDescent="0.2">
      <c r="A161" s="34"/>
      <c r="B161" s="65">
        <v>10</v>
      </c>
      <c r="C161" s="70">
        <v>2</v>
      </c>
      <c r="D161" s="74" t="s">
        <v>209</v>
      </c>
      <c r="E161" s="67">
        <v>9</v>
      </c>
      <c r="F161" s="67">
        <v>16</v>
      </c>
      <c r="G161" s="67">
        <v>24</v>
      </c>
      <c r="H161" s="67">
        <v>48</v>
      </c>
      <c r="I161" s="67">
        <v>69</v>
      </c>
      <c r="J161" s="67">
        <v>82</v>
      </c>
      <c r="K161" s="67">
        <v>95</v>
      </c>
      <c r="L161" s="67">
        <v>104</v>
      </c>
      <c r="M161" s="67">
        <v>122</v>
      </c>
      <c r="N161" s="67">
        <v>129</v>
      </c>
    </row>
    <row r="162" spans="1:14" ht="19.5" customHeight="1" thickBot="1" x14ac:dyDescent="0.25">
      <c r="A162" s="34"/>
      <c r="B162" s="66">
        <v>10</v>
      </c>
      <c r="C162" s="71">
        <v>1</v>
      </c>
      <c r="D162" s="75" t="s">
        <v>209</v>
      </c>
      <c r="E162" s="10">
        <v>8</v>
      </c>
      <c r="F162" s="10">
        <v>16</v>
      </c>
      <c r="G162" s="10">
        <v>24</v>
      </c>
      <c r="H162" s="10">
        <v>47</v>
      </c>
      <c r="I162" s="10">
        <v>67</v>
      </c>
      <c r="J162" s="10">
        <v>79</v>
      </c>
      <c r="K162" s="87">
        <v>90</v>
      </c>
      <c r="L162" s="10">
        <v>101</v>
      </c>
      <c r="M162" s="10">
        <v>114</v>
      </c>
      <c r="N162" s="10">
        <v>120</v>
      </c>
    </row>
    <row r="163" spans="1:14" ht="19.5" customHeight="1" x14ac:dyDescent="0.2">
      <c r="A163" s="34"/>
      <c r="B163" s="11">
        <v>11</v>
      </c>
      <c r="C163" s="69">
        <v>1</v>
      </c>
      <c r="D163" s="73" t="s">
        <v>210</v>
      </c>
      <c r="E163" s="9">
        <v>15</v>
      </c>
      <c r="F163" s="9">
        <v>23</v>
      </c>
      <c r="G163" s="9">
        <v>30</v>
      </c>
      <c r="H163" s="9">
        <v>53</v>
      </c>
      <c r="I163" s="9">
        <v>75</v>
      </c>
      <c r="J163" s="9">
        <v>84</v>
      </c>
      <c r="K163" s="9">
        <v>94</v>
      </c>
      <c r="L163" s="9">
        <v>103</v>
      </c>
      <c r="M163" s="9">
        <v>114</v>
      </c>
      <c r="N163" s="9">
        <v>117</v>
      </c>
    </row>
    <row r="164" spans="1:14" ht="19.5" customHeight="1" x14ac:dyDescent="0.2">
      <c r="A164" s="34"/>
      <c r="B164" s="65">
        <v>11</v>
      </c>
      <c r="C164" s="70">
        <v>2</v>
      </c>
      <c r="D164" s="74" t="s">
        <v>210</v>
      </c>
      <c r="E164" s="67">
        <v>15</v>
      </c>
      <c r="F164" s="67">
        <v>22</v>
      </c>
      <c r="G164" s="67">
        <v>30</v>
      </c>
      <c r="H164" s="67">
        <v>53</v>
      </c>
      <c r="I164" s="67">
        <v>76</v>
      </c>
      <c r="J164" s="67">
        <v>85</v>
      </c>
      <c r="K164" s="67">
        <v>96</v>
      </c>
      <c r="L164" s="67">
        <v>101</v>
      </c>
      <c r="M164" s="67">
        <v>110</v>
      </c>
      <c r="N164" s="67">
        <v>113</v>
      </c>
    </row>
    <row r="165" spans="1:14" ht="19.5" customHeight="1" x14ac:dyDescent="0.2">
      <c r="A165" s="34"/>
      <c r="B165" s="65">
        <v>11</v>
      </c>
      <c r="C165" s="70">
        <v>3</v>
      </c>
      <c r="D165" s="74" t="s">
        <v>210</v>
      </c>
      <c r="E165" s="67">
        <v>17</v>
      </c>
      <c r="F165" s="67">
        <v>24</v>
      </c>
      <c r="G165" s="67">
        <v>31</v>
      </c>
      <c r="H165" s="67">
        <v>55</v>
      </c>
      <c r="I165" s="67">
        <v>79</v>
      </c>
      <c r="J165" s="67">
        <v>87</v>
      </c>
      <c r="K165" s="67">
        <v>94</v>
      </c>
      <c r="L165" s="67">
        <v>101</v>
      </c>
      <c r="M165" s="67">
        <v>109</v>
      </c>
      <c r="N165" s="67">
        <v>111</v>
      </c>
    </row>
    <row r="166" spans="1:14" ht="19.5" customHeight="1" x14ac:dyDescent="0.2">
      <c r="A166" s="34"/>
      <c r="B166" s="65">
        <v>11</v>
      </c>
      <c r="C166" s="70">
        <v>4</v>
      </c>
      <c r="D166" s="74" t="s">
        <v>210</v>
      </c>
      <c r="E166" s="67">
        <v>18</v>
      </c>
      <c r="F166" s="67">
        <v>25</v>
      </c>
      <c r="G166" s="67">
        <v>33</v>
      </c>
      <c r="H166" s="67">
        <v>56</v>
      </c>
      <c r="I166" s="67">
        <v>80</v>
      </c>
      <c r="J166" s="67">
        <v>89</v>
      </c>
      <c r="K166" s="67">
        <v>100</v>
      </c>
      <c r="L166" s="67">
        <v>111</v>
      </c>
      <c r="M166" s="67">
        <v>125</v>
      </c>
      <c r="N166" s="67">
        <v>129</v>
      </c>
    </row>
    <row r="167" spans="1:14" ht="19.5" customHeight="1" x14ac:dyDescent="0.2">
      <c r="A167" s="34"/>
      <c r="B167" s="65">
        <v>11</v>
      </c>
      <c r="C167" s="70">
        <v>5</v>
      </c>
      <c r="D167" s="74" t="s">
        <v>210</v>
      </c>
      <c r="E167" s="67">
        <v>16</v>
      </c>
      <c r="F167" s="67">
        <v>23</v>
      </c>
      <c r="G167" s="67">
        <v>31</v>
      </c>
      <c r="H167" s="67">
        <v>54</v>
      </c>
      <c r="I167" s="67">
        <v>78</v>
      </c>
      <c r="J167" s="67">
        <v>88</v>
      </c>
      <c r="K167" s="67">
        <v>101</v>
      </c>
      <c r="L167" s="67">
        <v>113</v>
      </c>
      <c r="M167" s="67">
        <v>126</v>
      </c>
      <c r="N167" s="67">
        <v>131</v>
      </c>
    </row>
    <row r="168" spans="1:14" ht="19.5" customHeight="1" x14ac:dyDescent="0.2">
      <c r="A168" s="34"/>
      <c r="B168" s="65">
        <v>11</v>
      </c>
      <c r="C168" s="70">
        <v>6</v>
      </c>
      <c r="D168" s="74" t="s">
        <v>210</v>
      </c>
      <c r="E168" s="67">
        <v>5</v>
      </c>
      <c r="F168" s="67">
        <v>13</v>
      </c>
      <c r="G168" s="67">
        <v>20</v>
      </c>
      <c r="H168" s="67">
        <v>42</v>
      </c>
      <c r="I168" s="67">
        <v>64</v>
      </c>
      <c r="J168" s="67">
        <v>74</v>
      </c>
      <c r="K168" s="67">
        <v>85</v>
      </c>
      <c r="L168" s="67">
        <v>95</v>
      </c>
      <c r="M168" s="67">
        <v>108</v>
      </c>
      <c r="N168" s="67">
        <v>113</v>
      </c>
    </row>
    <row r="169" spans="1:14" ht="19.5" customHeight="1" x14ac:dyDescent="0.2">
      <c r="A169" s="34"/>
      <c r="B169" s="65">
        <v>11</v>
      </c>
      <c r="C169" s="70">
        <v>7</v>
      </c>
      <c r="D169" s="74" t="s">
        <v>210</v>
      </c>
      <c r="E169" s="67">
        <v>11</v>
      </c>
      <c r="F169" s="67">
        <v>18</v>
      </c>
      <c r="G169" s="67">
        <v>26</v>
      </c>
      <c r="H169" s="67">
        <v>50</v>
      </c>
      <c r="I169" s="67">
        <v>74</v>
      </c>
      <c r="J169" s="67">
        <v>80</v>
      </c>
      <c r="K169" s="67">
        <v>88</v>
      </c>
      <c r="L169" s="67">
        <v>92</v>
      </c>
      <c r="M169" s="67">
        <v>107</v>
      </c>
      <c r="N169" s="67">
        <v>104</v>
      </c>
    </row>
    <row r="170" spans="1:14" ht="19.5" customHeight="1" x14ac:dyDescent="0.2">
      <c r="A170" s="34"/>
      <c r="B170" s="65">
        <v>11</v>
      </c>
      <c r="C170" s="70">
        <v>8</v>
      </c>
      <c r="D170" s="74" t="s">
        <v>210</v>
      </c>
      <c r="E170" s="67">
        <v>17</v>
      </c>
      <c r="F170" s="67">
        <v>24</v>
      </c>
      <c r="G170" s="67">
        <v>32</v>
      </c>
      <c r="H170" s="67">
        <v>55</v>
      </c>
      <c r="I170" s="67">
        <v>78</v>
      </c>
      <c r="J170" s="67">
        <v>87</v>
      </c>
      <c r="K170" s="67">
        <v>86</v>
      </c>
      <c r="L170" s="67">
        <v>101</v>
      </c>
      <c r="M170" s="67">
        <v>115</v>
      </c>
      <c r="N170" s="67">
        <v>117</v>
      </c>
    </row>
    <row r="171" spans="1:14" ht="19.5" customHeight="1" x14ac:dyDescent="0.2">
      <c r="A171" s="34"/>
      <c r="B171" s="65">
        <v>11</v>
      </c>
      <c r="C171" s="70">
        <v>9</v>
      </c>
      <c r="D171" s="74" t="s">
        <v>210</v>
      </c>
      <c r="E171" s="67">
        <v>6</v>
      </c>
      <c r="F171" s="67">
        <v>14</v>
      </c>
      <c r="G171" s="67">
        <v>22</v>
      </c>
      <c r="H171" s="67">
        <v>46</v>
      </c>
      <c r="I171" s="67">
        <v>67</v>
      </c>
      <c r="J171" s="67">
        <v>80</v>
      </c>
      <c r="K171" s="67">
        <v>91</v>
      </c>
      <c r="L171" s="67">
        <v>102</v>
      </c>
      <c r="M171" s="67">
        <v>122</v>
      </c>
      <c r="N171" s="67">
        <v>130</v>
      </c>
    </row>
    <row r="172" spans="1:14" ht="19.5" customHeight="1" x14ac:dyDescent="0.2">
      <c r="A172" s="34"/>
      <c r="B172" s="65">
        <v>11</v>
      </c>
      <c r="C172" s="70">
        <v>10</v>
      </c>
      <c r="D172" s="74" t="s">
        <v>210</v>
      </c>
      <c r="E172" s="67">
        <v>11</v>
      </c>
      <c r="F172" s="67">
        <v>19</v>
      </c>
      <c r="G172" s="67">
        <v>26</v>
      </c>
      <c r="H172" s="67">
        <v>49</v>
      </c>
      <c r="I172" s="67">
        <v>72</v>
      </c>
      <c r="J172" s="67">
        <v>84</v>
      </c>
      <c r="K172" s="67">
        <v>97</v>
      </c>
      <c r="L172" s="67">
        <v>110</v>
      </c>
      <c r="M172" s="67">
        <v>130</v>
      </c>
      <c r="N172" s="67">
        <v>138</v>
      </c>
    </row>
    <row r="173" spans="1:14" ht="19.5" customHeight="1" x14ac:dyDescent="0.2">
      <c r="A173" s="34"/>
      <c r="B173" s="65">
        <v>11</v>
      </c>
      <c r="C173" s="70">
        <v>11</v>
      </c>
      <c r="D173" s="74" t="s">
        <v>210</v>
      </c>
      <c r="E173" s="67">
        <v>12</v>
      </c>
      <c r="F173" s="67">
        <v>19</v>
      </c>
      <c r="G173" s="67">
        <v>27</v>
      </c>
      <c r="H173" s="67">
        <v>51</v>
      </c>
      <c r="I173" s="67">
        <v>74</v>
      </c>
      <c r="J173" s="67">
        <v>83</v>
      </c>
      <c r="K173" s="67">
        <v>94</v>
      </c>
      <c r="L173" s="67">
        <v>103</v>
      </c>
      <c r="M173" s="67">
        <v>116</v>
      </c>
      <c r="N173" s="67">
        <v>118</v>
      </c>
    </row>
    <row r="174" spans="1:14" ht="21" customHeight="1" x14ac:dyDescent="0.2">
      <c r="A174" s="34"/>
      <c r="B174" s="65">
        <v>11</v>
      </c>
      <c r="C174" s="70">
        <v>12</v>
      </c>
      <c r="D174" s="74" t="s">
        <v>210</v>
      </c>
      <c r="E174" s="67">
        <v>10</v>
      </c>
      <c r="F174" s="67">
        <v>18</v>
      </c>
      <c r="G174" s="67">
        <v>25</v>
      </c>
      <c r="H174" s="67">
        <v>47</v>
      </c>
      <c r="I174" s="67">
        <v>70</v>
      </c>
      <c r="J174" s="67">
        <v>77</v>
      </c>
      <c r="K174" s="67">
        <v>83</v>
      </c>
      <c r="L174" s="67">
        <v>88</v>
      </c>
      <c r="M174" s="67">
        <v>103</v>
      </c>
      <c r="N174" s="67">
        <v>98</v>
      </c>
    </row>
    <row r="175" spans="1:14" ht="21" customHeight="1" x14ac:dyDescent="0.2">
      <c r="A175" s="34"/>
      <c r="B175" s="65">
        <v>11</v>
      </c>
      <c r="C175" s="70">
        <v>13</v>
      </c>
      <c r="D175" s="74" t="s">
        <v>210</v>
      </c>
      <c r="E175" s="67">
        <v>11</v>
      </c>
      <c r="F175" s="67">
        <v>18</v>
      </c>
      <c r="G175" s="67">
        <v>26</v>
      </c>
      <c r="H175" s="67">
        <v>48</v>
      </c>
      <c r="I175" s="67">
        <v>72</v>
      </c>
      <c r="J175" s="67">
        <v>79</v>
      </c>
      <c r="K175" s="67">
        <v>85</v>
      </c>
      <c r="L175" s="67">
        <v>92</v>
      </c>
      <c r="M175" s="67">
        <v>106</v>
      </c>
      <c r="N175" s="67">
        <v>100</v>
      </c>
    </row>
    <row r="176" spans="1:14" ht="21" customHeight="1" x14ac:dyDescent="0.2">
      <c r="A176" s="34"/>
      <c r="B176" s="65">
        <v>11</v>
      </c>
      <c r="C176" s="70">
        <v>14</v>
      </c>
      <c r="D176" s="74" t="s">
        <v>210</v>
      </c>
      <c r="E176" s="67">
        <v>19</v>
      </c>
      <c r="F176" s="67">
        <v>27</v>
      </c>
      <c r="G176" s="67">
        <v>35</v>
      </c>
      <c r="H176" s="67">
        <v>59</v>
      </c>
      <c r="I176" s="67">
        <v>80</v>
      </c>
      <c r="J176" s="67">
        <v>89</v>
      </c>
      <c r="K176" s="67">
        <v>97</v>
      </c>
      <c r="L176" s="67">
        <v>106</v>
      </c>
      <c r="M176" s="67">
        <v>118</v>
      </c>
      <c r="N176" s="67">
        <v>121</v>
      </c>
    </row>
    <row r="177" spans="1:14" ht="21" customHeight="1" thickBot="1" x14ac:dyDescent="0.25">
      <c r="A177" s="34"/>
      <c r="B177" s="66">
        <v>11</v>
      </c>
      <c r="C177" s="71">
        <v>15</v>
      </c>
      <c r="D177" s="75" t="s">
        <v>210</v>
      </c>
      <c r="E177" s="10">
        <v>5</v>
      </c>
      <c r="F177" s="10">
        <v>13</v>
      </c>
      <c r="G177" s="10">
        <v>21</v>
      </c>
      <c r="H177" s="10">
        <v>44</v>
      </c>
      <c r="I177" s="10">
        <v>67</v>
      </c>
      <c r="J177" s="10">
        <v>74</v>
      </c>
      <c r="K177" s="10">
        <v>82</v>
      </c>
      <c r="L177" s="10">
        <v>88</v>
      </c>
      <c r="M177" s="10">
        <v>96</v>
      </c>
      <c r="N177" s="10">
        <v>97</v>
      </c>
    </row>
    <row r="178" spans="1:14" ht="19.5" customHeight="1" x14ac:dyDescent="0.2">
      <c r="A178" s="34"/>
      <c r="B178" s="11">
        <v>12</v>
      </c>
      <c r="C178" s="69">
        <v>15</v>
      </c>
      <c r="D178" s="73" t="s">
        <v>209</v>
      </c>
      <c r="E178" s="9">
        <v>9</v>
      </c>
      <c r="F178" s="9">
        <v>16</v>
      </c>
      <c r="G178" s="9">
        <v>26</v>
      </c>
      <c r="H178" s="9">
        <v>49</v>
      </c>
      <c r="I178" s="9">
        <v>67</v>
      </c>
      <c r="J178" s="9">
        <v>76</v>
      </c>
      <c r="K178" s="9">
        <v>86</v>
      </c>
      <c r="L178" s="9">
        <v>96</v>
      </c>
      <c r="M178" s="9">
        <v>107</v>
      </c>
      <c r="N178" s="9">
        <v>110</v>
      </c>
    </row>
    <row r="179" spans="1:14" ht="19.5" customHeight="1" x14ac:dyDescent="0.2">
      <c r="A179" s="34"/>
      <c r="B179" s="65">
        <v>12</v>
      </c>
      <c r="C179" s="70">
        <v>14</v>
      </c>
      <c r="D179" s="74" t="s">
        <v>209</v>
      </c>
      <c r="E179" s="67">
        <v>5</v>
      </c>
      <c r="F179" s="67">
        <v>13</v>
      </c>
      <c r="G179" s="67">
        <v>23</v>
      </c>
      <c r="H179" s="67">
        <v>45</v>
      </c>
      <c r="I179" s="67">
        <v>62</v>
      </c>
      <c r="J179" s="67">
        <v>69</v>
      </c>
      <c r="K179" s="67">
        <v>76</v>
      </c>
      <c r="L179" s="67">
        <v>82</v>
      </c>
      <c r="M179" s="67">
        <v>98</v>
      </c>
      <c r="N179" s="67">
        <v>91</v>
      </c>
    </row>
    <row r="180" spans="1:14" ht="19.5" customHeight="1" x14ac:dyDescent="0.2">
      <c r="A180" s="34"/>
      <c r="B180" s="65">
        <v>12</v>
      </c>
      <c r="C180" s="70">
        <v>13</v>
      </c>
      <c r="D180" s="74" t="s">
        <v>209</v>
      </c>
      <c r="E180" s="67">
        <v>8</v>
      </c>
      <c r="F180" s="67">
        <v>15</v>
      </c>
      <c r="G180" s="67">
        <v>26</v>
      </c>
      <c r="H180" s="67">
        <v>49</v>
      </c>
      <c r="I180" s="67">
        <v>66</v>
      </c>
      <c r="J180" s="67">
        <v>76</v>
      </c>
      <c r="K180" s="67">
        <v>87</v>
      </c>
      <c r="L180" s="67">
        <v>99</v>
      </c>
      <c r="M180" s="67">
        <v>105</v>
      </c>
      <c r="N180" s="67">
        <v>111</v>
      </c>
    </row>
    <row r="181" spans="1:14" ht="19.5" customHeight="1" x14ac:dyDescent="0.2">
      <c r="A181" s="34"/>
      <c r="B181" s="65">
        <v>12</v>
      </c>
      <c r="C181" s="70">
        <v>12</v>
      </c>
      <c r="D181" s="74" t="s">
        <v>209</v>
      </c>
      <c r="E181" s="67">
        <v>17</v>
      </c>
      <c r="F181" s="67">
        <v>25</v>
      </c>
      <c r="G181" s="67">
        <v>33</v>
      </c>
      <c r="H181" s="67">
        <v>57</v>
      </c>
      <c r="I181" s="67">
        <v>72</v>
      </c>
      <c r="J181" s="67">
        <v>84</v>
      </c>
      <c r="K181" s="67">
        <v>96</v>
      </c>
      <c r="L181" s="67">
        <v>107</v>
      </c>
      <c r="M181" s="67">
        <v>125</v>
      </c>
      <c r="N181" s="67">
        <v>128</v>
      </c>
    </row>
    <row r="182" spans="1:14" ht="19.5" customHeight="1" x14ac:dyDescent="0.2">
      <c r="A182" s="34"/>
      <c r="B182" s="65">
        <v>12</v>
      </c>
      <c r="C182" s="70">
        <v>11</v>
      </c>
      <c r="D182" s="74" t="s">
        <v>209</v>
      </c>
      <c r="E182" s="67">
        <v>11</v>
      </c>
      <c r="F182" s="67">
        <v>19</v>
      </c>
      <c r="G182" s="67">
        <v>28</v>
      </c>
      <c r="H182" s="67">
        <v>50</v>
      </c>
      <c r="I182" s="67">
        <v>68</v>
      </c>
      <c r="J182" s="67">
        <v>73</v>
      </c>
      <c r="K182" s="67">
        <v>85</v>
      </c>
      <c r="L182" s="67">
        <v>94</v>
      </c>
      <c r="M182" s="67">
        <v>105</v>
      </c>
      <c r="N182" s="67">
        <v>108</v>
      </c>
    </row>
    <row r="183" spans="1:14" ht="19.5" customHeight="1" x14ac:dyDescent="0.2">
      <c r="A183" s="34"/>
      <c r="B183" s="65">
        <v>12</v>
      </c>
      <c r="C183" s="70">
        <v>10</v>
      </c>
      <c r="D183" s="74" t="s">
        <v>209</v>
      </c>
      <c r="E183" s="67">
        <v>16</v>
      </c>
      <c r="F183" s="67">
        <v>24</v>
      </c>
      <c r="G183" s="67">
        <v>33</v>
      </c>
      <c r="H183" s="67">
        <v>56</v>
      </c>
      <c r="I183" s="67">
        <v>70</v>
      </c>
      <c r="J183" s="67">
        <v>80</v>
      </c>
      <c r="K183" s="67">
        <v>90</v>
      </c>
      <c r="L183" s="67">
        <v>99</v>
      </c>
      <c r="M183" s="67">
        <v>111</v>
      </c>
      <c r="N183" s="67">
        <v>114</v>
      </c>
    </row>
    <row r="184" spans="1:14" ht="19.5" customHeight="1" x14ac:dyDescent="0.2">
      <c r="A184" s="34"/>
      <c r="B184" s="65">
        <v>12</v>
      </c>
      <c r="C184" s="70">
        <v>9</v>
      </c>
      <c r="D184" s="74" t="s">
        <v>209</v>
      </c>
      <c r="E184" s="67">
        <v>17</v>
      </c>
      <c r="F184" s="67">
        <v>25</v>
      </c>
      <c r="G184" s="67">
        <v>34</v>
      </c>
      <c r="H184" s="67">
        <v>57</v>
      </c>
      <c r="I184" s="67">
        <v>73</v>
      </c>
      <c r="J184" s="67">
        <v>85</v>
      </c>
      <c r="K184" s="67">
        <v>97</v>
      </c>
      <c r="L184" s="67">
        <v>109</v>
      </c>
      <c r="M184" s="67">
        <v>125</v>
      </c>
      <c r="N184" s="67">
        <v>127</v>
      </c>
    </row>
    <row r="185" spans="1:14" ht="19.5" customHeight="1" x14ac:dyDescent="0.2">
      <c r="A185" s="34"/>
      <c r="B185" s="65">
        <v>12</v>
      </c>
      <c r="C185" s="70">
        <v>8</v>
      </c>
      <c r="D185" s="74" t="s">
        <v>209</v>
      </c>
      <c r="E185" s="67">
        <v>14</v>
      </c>
      <c r="F185" s="67">
        <v>22</v>
      </c>
      <c r="G185" s="67">
        <v>32</v>
      </c>
      <c r="H185" s="67">
        <v>56</v>
      </c>
      <c r="I185" s="67">
        <v>71</v>
      </c>
      <c r="J185" s="67">
        <v>79</v>
      </c>
      <c r="K185" s="67">
        <v>88</v>
      </c>
      <c r="L185" s="67">
        <v>97</v>
      </c>
      <c r="M185" s="67">
        <v>105</v>
      </c>
      <c r="N185" s="67">
        <v>109</v>
      </c>
    </row>
    <row r="186" spans="1:14" ht="19.5" customHeight="1" x14ac:dyDescent="0.2">
      <c r="A186" s="34"/>
      <c r="B186" s="65">
        <v>12</v>
      </c>
      <c r="C186" s="70">
        <v>7</v>
      </c>
      <c r="D186" s="74" t="s">
        <v>209</v>
      </c>
      <c r="E186" s="67">
        <v>11</v>
      </c>
      <c r="F186" s="67">
        <v>18</v>
      </c>
      <c r="G186" s="67">
        <v>27</v>
      </c>
      <c r="H186" s="67">
        <v>51</v>
      </c>
      <c r="I186" s="67">
        <v>68</v>
      </c>
      <c r="J186" s="67">
        <v>78</v>
      </c>
      <c r="K186" s="67">
        <v>88</v>
      </c>
      <c r="L186" s="67">
        <v>97</v>
      </c>
      <c r="M186" s="67">
        <v>110</v>
      </c>
      <c r="N186" s="67">
        <v>113</v>
      </c>
    </row>
    <row r="187" spans="1:14" ht="19.5" customHeight="1" x14ac:dyDescent="0.2">
      <c r="A187" s="34"/>
      <c r="B187" s="65">
        <v>12</v>
      </c>
      <c r="C187" s="70">
        <v>6</v>
      </c>
      <c r="D187" s="74" t="s">
        <v>209</v>
      </c>
      <c r="E187" s="67">
        <v>11</v>
      </c>
      <c r="F187" s="67">
        <v>18</v>
      </c>
      <c r="G187" s="67">
        <v>27</v>
      </c>
      <c r="H187" s="67">
        <v>51</v>
      </c>
      <c r="I187" s="67">
        <v>68</v>
      </c>
      <c r="J187" s="67">
        <v>79</v>
      </c>
      <c r="K187" s="67">
        <v>89</v>
      </c>
      <c r="L187" s="67">
        <v>97</v>
      </c>
      <c r="M187" s="67">
        <v>110</v>
      </c>
      <c r="N187" s="67">
        <v>116</v>
      </c>
    </row>
    <row r="188" spans="1:14" ht="19.5" customHeight="1" x14ac:dyDescent="0.2">
      <c r="A188" s="34"/>
      <c r="B188" s="65">
        <v>12</v>
      </c>
      <c r="C188" s="70">
        <v>5</v>
      </c>
      <c r="D188" s="74" t="s">
        <v>209</v>
      </c>
      <c r="E188" s="67">
        <v>12</v>
      </c>
      <c r="F188" s="67">
        <v>20</v>
      </c>
      <c r="G188" s="67">
        <v>29</v>
      </c>
      <c r="H188" s="67">
        <v>54</v>
      </c>
      <c r="I188" s="67">
        <v>70</v>
      </c>
      <c r="J188" s="67">
        <v>81</v>
      </c>
      <c r="K188" s="67">
        <v>94</v>
      </c>
      <c r="L188" s="67">
        <v>105</v>
      </c>
      <c r="M188" s="67">
        <v>119</v>
      </c>
      <c r="N188" s="67">
        <v>128</v>
      </c>
    </row>
    <row r="189" spans="1:14" ht="19.5" customHeight="1" x14ac:dyDescent="0.2">
      <c r="A189" s="34"/>
      <c r="B189" s="65">
        <v>12</v>
      </c>
      <c r="C189" s="70">
        <v>4</v>
      </c>
      <c r="D189" s="74" t="s">
        <v>209</v>
      </c>
      <c r="E189" s="67">
        <v>13</v>
      </c>
      <c r="F189" s="67">
        <v>20</v>
      </c>
      <c r="G189" s="67">
        <v>29</v>
      </c>
      <c r="H189" s="67">
        <v>53</v>
      </c>
      <c r="I189" s="67">
        <v>71</v>
      </c>
      <c r="J189" s="67">
        <v>85</v>
      </c>
      <c r="K189" s="67">
        <v>98</v>
      </c>
      <c r="L189" s="67">
        <v>110</v>
      </c>
      <c r="M189" s="67">
        <v>124</v>
      </c>
      <c r="N189" s="67">
        <v>131</v>
      </c>
    </row>
    <row r="190" spans="1:14" ht="19.149999999999999" customHeight="1" x14ac:dyDescent="0.2">
      <c r="A190" s="34"/>
      <c r="B190" s="65">
        <v>12</v>
      </c>
      <c r="C190" s="70">
        <v>3</v>
      </c>
      <c r="D190" s="74" t="s">
        <v>209</v>
      </c>
      <c r="E190" s="67">
        <v>13</v>
      </c>
      <c r="F190" s="67">
        <v>22</v>
      </c>
      <c r="G190" s="67">
        <v>30</v>
      </c>
      <c r="H190" s="67">
        <v>53</v>
      </c>
      <c r="I190" s="67">
        <v>71</v>
      </c>
      <c r="J190" s="67">
        <v>80</v>
      </c>
      <c r="K190" s="67">
        <v>88</v>
      </c>
      <c r="L190" s="67">
        <v>96</v>
      </c>
      <c r="M190" s="67">
        <v>108</v>
      </c>
      <c r="N190" s="67">
        <v>113</v>
      </c>
    </row>
    <row r="191" spans="1:14" ht="19.149999999999999" customHeight="1" x14ac:dyDescent="0.2">
      <c r="A191" s="34"/>
      <c r="B191" s="65">
        <v>12</v>
      </c>
      <c r="C191" s="70">
        <v>2</v>
      </c>
      <c r="D191" s="74" t="s">
        <v>209</v>
      </c>
      <c r="E191" s="67">
        <v>16</v>
      </c>
      <c r="F191" s="67">
        <v>23</v>
      </c>
      <c r="G191" s="67">
        <v>32</v>
      </c>
      <c r="H191" s="67">
        <v>56</v>
      </c>
      <c r="I191" s="67">
        <v>72</v>
      </c>
      <c r="J191" s="67">
        <v>81</v>
      </c>
      <c r="K191" s="67">
        <v>90</v>
      </c>
      <c r="L191" s="67">
        <v>99</v>
      </c>
      <c r="M191" s="67">
        <v>109</v>
      </c>
      <c r="N191" s="67">
        <v>112</v>
      </c>
    </row>
    <row r="192" spans="1:14" ht="19.149999999999999" customHeight="1" thickBot="1" x14ac:dyDescent="0.25">
      <c r="A192" s="34"/>
      <c r="B192" s="66">
        <v>12</v>
      </c>
      <c r="C192" s="71">
        <v>1</v>
      </c>
      <c r="D192" s="75" t="s">
        <v>209</v>
      </c>
      <c r="E192" s="10">
        <v>11</v>
      </c>
      <c r="F192" s="10">
        <v>19</v>
      </c>
      <c r="G192" s="10">
        <v>27</v>
      </c>
      <c r="H192" s="10">
        <v>50</v>
      </c>
      <c r="I192" s="10">
        <v>66</v>
      </c>
      <c r="J192" s="10">
        <v>76</v>
      </c>
      <c r="K192" s="10">
        <v>86</v>
      </c>
      <c r="L192" s="10">
        <v>97</v>
      </c>
      <c r="M192" s="10">
        <v>108</v>
      </c>
      <c r="N192" s="10">
        <v>112</v>
      </c>
    </row>
  </sheetData>
  <mergeCells count="1">
    <mergeCell ref="B12:C12"/>
  </mergeCells>
  <conditionalFormatting sqref="D13:D192">
    <cfRule type="containsText" dxfId="13" priority="1" operator="containsText" text="FLAT">
      <formula>NOT(ISERROR(SEARCH("FLAT",D13)))</formula>
    </cfRule>
    <cfRule type="containsText" dxfId="12" priority="2" operator="containsText" text="BEDS">
      <formula>NOT(ISERROR(SEARCH("BEDS",D13)))</formula>
    </cfRule>
    <cfRule type="containsText" dxfId="11" priority="3" operator="containsText" text="NO TILL">
      <formula>NOT(ISERROR(SEARCH("NO TILL",D13)))</formula>
    </cfRule>
    <cfRule type="containsText" dxfId="10" priority="4" operator="containsText" text="STRIP">
      <formula>NOT(ISERROR(SEARCH("STRIP",D13)))</formula>
    </cfRule>
  </conditionalFormatting>
  <printOptions verticalCentered="1"/>
  <pageMargins left="0.45" right="0.45" top="1" bottom="0.25" header="0" footer="0"/>
  <pageSetup scale="92" fitToHeight="4"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L192"/>
  <sheetViews>
    <sheetView zoomScaleNormal="100" zoomScaleSheetLayoutView="70" workbookViewId="0">
      <selection activeCell="E8" sqref="E8:N8"/>
    </sheetView>
  </sheetViews>
  <sheetFormatPr defaultRowHeight="12.75" x14ac:dyDescent="0.2"/>
  <cols>
    <col min="1" max="1" width="10.5703125" customWidth="1"/>
    <col min="2" max="2" width="4.7109375" style="1" customWidth="1"/>
    <col min="3" max="3" width="2.7109375" style="2" customWidth="1"/>
    <col min="4" max="4" width="9.28515625" style="2" customWidth="1"/>
    <col min="5" max="14" width="11.140625" customWidth="1"/>
  </cols>
  <sheetData>
    <row r="1" spans="1:14" ht="15.75" x14ac:dyDescent="0.25">
      <c r="A1" s="6" t="s">
        <v>10</v>
      </c>
      <c r="B1" s="17">
        <v>2023</v>
      </c>
      <c r="C1" s="18"/>
      <c r="D1" s="72" t="s">
        <v>16</v>
      </c>
      <c r="F1" s="8" t="s">
        <v>6</v>
      </c>
      <c r="G1" s="8"/>
      <c r="H1" t="s">
        <v>23</v>
      </c>
      <c r="I1" t="s">
        <v>23</v>
      </c>
      <c r="J1" t="s">
        <v>23</v>
      </c>
      <c r="K1" t="s">
        <v>23</v>
      </c>
      <c r="L1" t="s">
        <v>23</v>
      </c>
      <c r="M1" t="s">
        <v>23</v>
      </c>
    </row>
    <row r="2" spans="1:14" ht="14.45" customHeight="1" x14ac:dyDescent="0.25">
      <c r="A2" s="6"/>
      <c r="B2" s="7"/>
      <c r="C2" s="8"/>
      <c r="D2" s="24" t="s">
        <v>211</v>
      </c>
      <c r="F2" t="s">
        <v>23</v>
      </c>
      <c r="H2" t="s">
        <v>23</v>
      </c>
      <c r="I2" t="s">
        <v>23</v>
      </c>
      <c r="J2" t="s">
        <v>23</v>
      </c>
      <c r="K2" t="s">
        <v>23</v>
      </c>
      <c r="L2" t="s">
        <v>23</v>
      </c>
      <c r="M2" t="s">
        <v>23</v>
      </c>
    </row>
    <row r="3" spans="1:14" ht="15" x14ac:dyDescent="0.25">
      <c r="B3" s="19" t="s">
        <v>11</v>
      </c>
      <c r="D3" s="24"/>
      <c r="F3" s="3" t="s">
        <v>22</v>
      </c>
      <c r="G3" s="3"/>
      <c r="I3" t="s">
        <v>23</v>
      </c>
      <c r="J3" t="s">
        <v>23</v>
      </c>
      <c r="K3" t="s">
        <v>23</v>
      </c>
      <c r="L3" t="s">
        <v>23</v>
      </c>
      <c r="M3" t="s">
        <v>23</v>
      </c>
    </row>
    <row r="4" spans="1:14" ht="7.9" customHeight="1" x14ac:dyDescent="0.2">
      <c r="A4" t="s">
        <v>23</v>
      </c>
      <c r="B4" s="5" t="s">
        <v>23</v>
      </c>
      <c r="C4" s="2" t="s">
        <v>23</v>
      </c>
      <c r="D4" s="2" t="s">
        <v>23</v>
      </c>
      <c r="E4" t="s">
        <v>23</v>
      </c>
      <c r="F4" t="s">
        <v>23</v>
      </c>
      <c r="H4" t="s">
        <v>23</v>
      </c>
      <c r="I4" t="s">
        <v>23</v>
      </c>
      <c r="J4" t="s">
        <v>23</v>
      </c>
      <c r="K4" t="s">
        <v>23</v>
      </c>
      <c r="L4" t="s">
        <v>23</v>
      </c>
      <c r="M4" t="s">
        <v>23</v>
      </c>
    </row>
    <row r="5" spans="1:14" x14ac:dyDescent="0.2">
      <c r="A5" t="s">
        <v>23</v>
      </c>
      <c r="B5" s="2" t="s">
        <v>23</v>
      </c>
      <c r="C5" s="2" t="s">
        <v>23</v>
      </c>
      <c r="D5" s="2" t="s">
        <v>23</v>
      </c>
      <c r="E5" s="2" t="s">
        <v>23</v>
      </c>
    </row>
    <row r="6" spans="1:14" x14ac:dyDescent="0.2">
      <c r="B6" s="2"/>
    </row>
    <row r="7" spans="1:14" x14ac:dyDescent="0.2">
      <c r="A7" s="24"/>
      <c r="B7" s="24"/>
      <c r="C7" s="24"/>
      <c r="D7" s="24"/>
      <c r="E7" s="24"/>
      <c r="F7" s="32"/>
      <c r="G7" s="32"/>
      <c r="H7" s="25"/>
      <c r="M7" s="24"/>
      <c r="N7" s="32"/>
    </row>
    <row r="8" spans="1:14" x14ac:dyDescent="0.2">
      <c r="A8" s="24"/>
      <c r="B8" s="24"/>
      <c r="C8" s="24"/>
      <c r="D8" s="27" t="s">
        <v>17</v>
      </c>
      <c r="E8" s="24" t="s">
        <v>223</v>
      </c>
      <c r="F8" s="24" t="s">
        <v>223</v>
      </c>
      <c r="G8" s="24" t="s">
        <v>223</v>
      </c>
      <c r="H8" s="24" t="s">
        <v>223</v>
      </c>
      <c r="I8" s="24" t="s">
        <v>223</v>
      </c>
      <c r="J8" s="24" t="s">
        <v>223</v>
      </c>
      <c r="K8" s="24" t="s">
        <v>223</v>
      </c>
      <c r="L8" s="24" t="s">
        <v>223</v>
      </c>
      <c r="M8" s="24" t="s">
        <v>223</v>
      </c>
      <c r="N8" s="24" t="s">
        <v>223</v>
      </c>
    </row>
    <row r="9" spans="1:14" x14ac:dyDescent="0.2">
      <c r="B9" s="2"/>
      <c r="D9" s="27" t="s">
        <v>18</v>
      </c>
      <c r="E9" s="39">
        <v>45082</v>
      </c>
      <c r="F9" s="14">
        <v>45089</v>
      </c>
      <c r="G9" s="14">
        <v>45097</v>
      </c>
      <c r="H9" s="39">
        <v>45103</v>
      </c>
      <c r="I9" s="39">
        <v>45110</v>
      </c>
      <c r="J9" s="39">
        <v>45120</v>
      </c>
      <c r="K9" s="39">
        <v>45127</v>
      </c>
      <c r="L9" s="39">
        <v>45134</v>
      </c>
      <c r="M9" s="39">
        <v>45141</v>
      </c>
      <c r="N9" s="39">
        <v>45162</v>
      </c>
    </row>
    <row r="10" spans="1:14" ht="15.6" customHeight="1" x14ac:dyDescent="0.2">
      <c r="B10" s="5"/>
      <c r="D10" s="27" t="s">
        <v>20</v>
      </c>
      <c r="E10" s="12">
        <v>156</v>
      </c>
      <c r="F10" s="12">
        <v>163</v>
      </c>
      <c r="G10" s="12">
        <v>171</v>
      </c>
      <c r="H10" s="12">
        <v>177</v>
      </c>
      <c r="I10" s="12">
        <v>184</v>
      </c>
      <c r="J10" s="12">
        <v>194</v>
      </c>
      <c r="K10" s="12">
        <v>201</v>
      </c>
      <c r="L10" s="12">
        <v>208</v>
      </c>
      <c r="M10" s="12">
        <v>215</v>
      </c>
      <c r="N10" s="12">
        <v>236</v>
      </c>
    </row>
    <row r="11" spans="1:14" ht="12" customHeight="1" x14ac:dyDescent="0.2">
      <c r="A11" s="34"/>
      <c r="B11" s="22"/>
      <c r="C11" s="34"/>
      <c r="D11" s="33" t="s">
        <v>19</v>
      </c>
      <c r="E11" s="24"/>
      <c r="F11" s="15"/>
      <c r="G11" s="15" t="s">
        <v>212</v>
      </c>
      <c r="H11" s="24"/>
      <c r="I11" s="24"/>
      <c r="J11" s="24"/>
      <c r="K11" s="24"/>
      <c r="L11" s="24"/>
      <c r="M11" s="24"/>
      <c r="N11" s="24"/>
    </row>
    <row r="12" spans="1:14" ht="27.6" customHeight="1" thickBot="1" x14ac:dyDescent="0.25">
      <c r="B12" s="220" t="s">
        <v>7</v>
      </c>
      <c r="C12" s="220"/>
      <c r="D12" s="12" t="s">
        <v>8</v>
      </c>
      <c r="E12" s="12" t="s">
        <v>24</v>
      </c>
      <c r="F12" s="12" t="s">
        <v>24</v>
      </c>
      <c r="G12" s="12" t="s">
        <v>24</v>
      </c>
      <c r="H12" s="12" t="s">
        <v>24</v>
      </c>
      <c r="I12" s="12" t="s">
        <v>24</v>
      </c>
      <c r="J12" s="12" t="s">
        <v>24</v>
      </c>
      <c r="K12" s="12" t="s">
        <v>24</v>
      </c>
      <c r="L12" s="12" t="s">
        <v>24</v>
      </c>
      <c r="M12" s="12" t="s">
        <v>24</v>
      </c>
      <c r="N12" s="12" t="s">
        <v>24</v>
      </c>
    </row>
    <row r="13" spans="1:14" ht="19.899999999999999" customHeight="1" x14ac:dyDescent="0.2">
      <c r="A13" s="20"/>
      <c r="B13" s="11" t="s">
        <v>0</v>
      </c>
      <c r="C13" s="69">
        <v>1</v>
      </c>
      <c r="D13" s="73" t="s">
        <v>207</v>
      </c>
      <c r="E13" s="9">
        <v>13</v>
      </c>
      <c r="F13" s="9">
        <v>21</v>
      </c>
      <c r="G13" s="9">
        <v>26</v>
      </c>
      <c r="H13" s="9">
        <v>40</v>
      </c>
      <c r="I13" s="9">
        <v>55</v>
      </c>
      <c r="J13" s="9">
        <v>90</v>
      </c>
      <c r="K13" s="9">
        <v>72</v>
      </c>
      <c r="L13" s="40">
        <v>84</v>
      </c>
      <c r="M13" s="40">
        <v>85</v>
      </c>
      <c r="N13" s="9">
        <v>89</v>
      </c>
    </row>
    <row r="14" spans="1:14" ht="19.899999999999999" customHeight="1" x14ac:dyDescent="0.2">
      <c r="A14" s="20"/>
      <c r="B14" s="65" t="s">
        <v>0</v>
      </c>
      <c r="C14" s="70">
        <v>2</v>
      </c>
      <c r="D14" s="74" t="s">
        <v>207</v>
      </c>
      <c r="E14" s="67">
        <v>15</v>
      </c>
      <c r="F14" s="67">
        <v>22</v>
      </c>
      <c r="G14" s="67">
        <v>28</v>
      </c>
      <c r="H14" s="67">
        <v>54</v>
      </c>
      <c r="I14" s="67">
        <v>73</v>
      </c>
      <c r="J14" s="67">
        <v>85</v>
      </c>
      <c r="K14" s="67">
        <v>96</v>
      </c>
      <c r="L14" s="68" t="s">
        <v>213</v>
      </c>
      <c r="M14" s="68" t="s">
        <v>213</v>
      </c>
      <c r="N14" s="68" t="s">
        <v>213</v>
      </c>
    </row>
    <row r="15" spans="1:14" ht="19.899999999999999" customHeight="1" x14ac:dyDescent="0.2">
      <c r="A15" s="20"/>
      <c r="B15" s="65" t="s">
        <v>0</v>
      </c>
      <c r="C15" s="70">
        <v>3</v>
      </c>
      <c r="D15" s="74" t="s">
        <v>207</v>
      </c>
      <c r="E15" s="67">
        <v>14</v>
      </c>
      <c r="F15" s="67">
        <v>22</v>
      </c>
      <c r="G15" s="67">
        <v>31</v>
      </c>
      <c r="H15" s="67">
        <v>50</v>
      </c>
      <c r="I15" s="67">
        <v>71</v>
      </c>
      <c r="J15" s="67">
        <v>81</v>
      </c>
      <c r="K15" s="67">
        <v>89</v>
      </c>
      <c r="L15" s="67">
        <v>87</v>
      </c>
      <c r="M15" s="68" t="s">
        <v>213</v>
      </c>
      <c r="N15" s="68" t="s">
        <v>213</v>
      </c>
    </row>
    <row r="16" spans="1:14" ht="19.899999999999999" customHeight="1" x14ac:dyDescent="0.2">
      <c r="A16" s="20"/>
      <c r="B16" s="65" t="s">
        <v>0</v>
      </c>
      <c r="C16" s="70">
        <v>4</v>
      </c>
      <c r="D16" s="74" t="s">
        <v>207</v>
      </c>
      <c r="E16" s="67">
        <v>10</v>
      </c>
      <c r="F16" s="67">
        <v>20</v>
      </c>
      <c r="G16" s="67">
        <v>34</v>
      </c>
      <c r="H16" s="67">
        <v>52</v>
      </c>
      <c r="I16" s="67">
        <v>77</v>
      </c>
      <c r="J16" s="67">
        <v>84</v>
      </c>
      <c r="K16" s="67">
        <v>94</v>
      </c>
      <c r="L16" s="68" t="s">
        <v>213</v>
      </c>
      <c r="M16" s="68" t="s">
        <v>213</v>
      </c>
      <c r="N16" s="68" t="s">
        <v>213</v>
      </c>
    </row>
    <row r="17" spans="1:14" ht="19.899999999999999" customHeight="1" x14ac:dyDescent="0.2">
      <c r="A17" s="20"/>
      <c r="B17" s="65" t="s">
        <v>0</v>
      </c>
      <c r="C17" s="70">
        <v>5</v>
      </c>
      <c r="D17" s="74" t="s">
        <v>207</v>
      </c>
      <c r="E17" s="67">
        <v>12</v>
      </c>
      <c r="F17" s="67">
        <v>19</v>
      </c>
      <c r="G17" s="67">
        <v>28</v>
      </c>
      <c r="H17" s="67">
        <v>47</v>
      </c>
      <c r="I17" s="67">
        <v>67</v>
      </c>
      <c r="J17" s="67">
        <v>75</v>
      </c>
      <c r="K17" s="67">
        <v>83</v>
      </c>
      <c r="L17" s="67">
        <v>96</v>
      </c>
      <c r="M17" s="68" t="s">
        <v>213</v>
      </c>
      <c r="N17" s="68" t="s">
        <v>213</v>
      </c>
    </row>
    <row r="18" spans="1:14" ht="19.899999999999999" customHeight="1" x14ac:dyDescent="0.2">
      <c r="A18" s="20"/>
      <c r="B18" s="65" t="s">
        <v>0</v>
      </c>
      <c r="C18" s="70">
        <v>6</v>
      </c>
      <c r="D18" s="74" t="s">
        <v>207</v>
      </c>
      <c r="E18" s="67">
        <v>13</v>
      </c>
      <c r="F18" s="67">
        <v>19</v>
      </c>
      <c r="G18" s="67">
        <v>26</v>
      </c>
      <c r="H18" s="67">
        <v>42</v>
      </c>
      <c r="I18" s="67">
        <v>61</v>
      </c>
      <c r="J18" s="67">
        <v>83</v>
      </c>
      <c r="K18" s="67">
        <v>95</v>
      </c>
      <c r="L18" s="68" t="s">
        <v>213</v>
      </c>
      <c r="M18" s="68" t="s">
        <v>213</v>
      </c>
      <c r="N18" s="68" t="s">
        <v>213</v>
      </c>
    </row>
    <row r="19" spans="1:14" ht="19.899999999999999" customHeight="1" x14ac:dyDescent="0.2">
      <c r="A19" s="20"/>
      <c r="B19" s="65" t="s">
        <v>0</v>
      </c>
      <c r="C19" s="70">
        <v>7</v>
      </c>
      <c r="D19" s="74" t="s">
        <v>207</v>
      </c>
      <c r="E19" s="67">
        <v>12</v>
      </c>
      <c r="F19" s="67">
        <v>20</v>
      </c>
      <c r="G19" s="67">
        <v>27</v>
      </c>
      <c r="H19" s="67">
        <v>53</v>
      </c>
      <c r="I19" s="67">
        <v>61</v>
      </c>
      <c r="J19" s="67">
        <v>66</v>
      </c>
      <c r="K19" s="67">
        <v>73</v>
      </c>
      <c r="L19" s="67">
        <v>83</v>
      </c>
      <c r="M19" s="67">
        <v>84</v>
      </c>
      <c r="N19" s="67">
        <v>87</v>
      </c>
    </row>
    <row r="20" spans="1:14" ht="19.899999999999999" customHeight="1" x14ac:dyDescent="0.2">
      <c r="A20" s="20"/>
      <c r="B20" s="65" t="s">
        <v>0</v>
      </c>
      <c r="C20" s="70">
        <v>8</v>
      </c>
      <c r="D20" s="74" t="s">
        <v>207</v>
      </c>
      <c r="E20" s="67">
        <v>19</v>
      </c>
      <c r="F20" s="67">
        <v>25</v>
      </c>
      <c r="G20" s="67">
        <v>31</v>
      </c>
      <c r="H20" s="67">
        <v>55</v>
      </c>
      <c r="I20" s="67">
        <v>81</v>
      </c>
      <c r="J20" s="67">
        <v>89</v>
      </c>
      <c r="K20" s="67">
        <v>100</v>
      </c>
      <c r="L20" s="68" t="s">
        <v>213</v>
      </c>
      <c r="M20" s="68" t="s">
        <v>213</v>
      </c>
      <c r="N20" s="68" t="s">
        <v>213</v>
      </c>
    </row>
    <row r="21" spans="1:14" ht="19.899999999999999" customHeight="1" x14ac:dyDescent="0.2">
      <c r="A21" s="20"/>
      <c r="B21" s="65" t="s">
        <v>0</v>
      </c>
      <c r="C21" s="70">
        <v>9</v>
      </c>
      <c r="D21" s="74" t="s">
        <v>207</v>
      </c>
      <c r="E21" s="67">
        <v>18</v>
      </c>
      <c r="F21" s="67">
        <v>24</v>
      </c>
      <c r="G21" s="67">
        <v>29</v>
      </c>
      <c r="H21" s="67">
        <v>50</v>
      </c>
      <c r="I21" s="67">
        <v>68</v>
      </c>
      <c r="J21" s="67">
        <v>81</v>
      </c>
      <c r="K21" s="67">
        <v>94</v>
      </c>
      <c r="L21" s="68" t="s">
        <v>213</v>
      </c>
      <c r="M21" s="68" t="s">
        <v>213</v>
      </c>
      <c r="N21" s="68" t="s">
        <v>213</v>
      </c>
    </row>
    <row r="22" spans="1:14" ht="19.899999999999999" customHeight="1" x14ac:dyDescent="0.2">
      <c r="A22" s="20"/>
      <c r="B22" s="65" t="s">
        <v>0</v>
      </c>
      <c r="C22" s="70">
        <v>10</v>
      </c>
      <c r="D22" s="74" t="s">
        <v>207</v>
      </c>
      <c r="E22" s="67">
        <v>14</v>
      </c>
      <c r="F22" s="67">
        <v>21</v>
      </c>
      <c r="G22" s="67">
        <v>27</v>
      </c>
      <c r="H22" s="67">
        <v>52</v>
      </c>
      <c r="I22" s="67">
        <v>76</v>
      </c>
      <c r="J22" s="67">
        <v>86</v>
      </c>
      <c r="K22" s="67">
        <v>96</v>
      </c>
      <c r="L22" s="68" t="s">
        <v>213</v>
      </c>
      <c r="M22" s="68" t="s">
        <v>213</v>
      </c>
      <c r="N22" s="68" t="s">
        <v>213</v>
      </c>
    </row>
    <row r="23" spans="1:14" ht="19.899999999999999" customHeight="1" x14ac:dyDescent="0.2">
      <c r="A23" s="20"/>
      <c r="B23" s="65" t="s">
        <v>0</v>
      </c>
      <c r="C23" s="70">
        <v>11</v>
      </c>
      <c r="D23" s="74" t="s">
        <v>207</v>
      </c>
      <c r="E23" s="67">
        <v>16</v>
      </c>
      <c r="F23" s="67">
        <v>21</v>
      </c>
      <c r="G23" s="67">
        <v>28</v>
      </c>
      <c r="H23" s="67">
        <v>49</v>
      </c>
      <c r="I23" s="67">
        <v>63</v>
      </c>
      <c r="J23" s="67">
        <v>72</v>
      </c>
      <c r="K23" s="67">
        <v>84</v>
      </c>
      <c r="L23" s="67">
        <v>100</v>
      </c>
      <c r="M23" s="68" t="s">
        <v>213</v>
      </c>
      <c r="N23" s="68" t="s">
        <v>213</v>
      </c>
    </row>
    <row r="24" spans="1:14" ht="19.899999999999999" customHeight="1" x14ac:dyDescent="0.2">
      <c r="A24" s="20"/>
      <c r="B24" s="65" t="s">
        <v>0</v>
      </c>
      <c r="C24" s="70">
        <v>12</v>
      </c>
      <c r="D24" s="74" t="s">
        <v>207</v>
      </c>
      <c r="E24" s="67">
        <v>16</v>
      </c>
      <c r="F24" s="67">
        <v>20</v>
      </c>
      <c r="G24" s="67">
        <v>25</v>
      </c>
      <c r="H24" s="67">
        <v>52</v>
      </c>
      <c r="I24" s="67">
        <v>64</v>
      </c>
      <c r="J24" s="67">
        <v>74</v>
      </c>
      <c r="K24" s="67">
        <v>83</v>
      </c>
      <c r="L24" s="67">
        <v>96</v>
      </c>
      <c r="M24" s="68" t="s">
        <v>213</v>
      </c>
      <c r="N24" s="68" t="s">
        <v>213</v>
      </c>
    </row>
    <row r="25" spans="1:14" ht="19.899999999999999" customHeight="1" x14ac:dyDescent="0.2">
      <c r="A25" s="20"/>
      <c r="B25" s="65" t="s">
        <v>0</v>
      </c>
      <c r="C25" s="70">
        <v>13</v>
      </c>
      <c r="D25" s="74" t="s">
        <v>207</v>
      </c>
      <c r="E25" s="67">
        <v>12</v>
      </c>
      <c r="F25" s="67">
        <v>17</v>
      </c>
      <c r="G25" s="67">
        <v>24</v>
      </c>
      <c r="H25" s="67">
        <v>39</v>
      </c>
      <c r="I25" s="67">
        <v>53</v>
      </c>
      <c r="J25" s="67">
        <v>60</v>
      </c>
      <c r="K25" s="67">
        <v>71</v>
      </c>
      <c r="L25" s="67">
        <v>84</v>
      </c>
      <c r="M25" s="67">
        <v>94</v>
      </c>
      <c r="N25" s="67">
        <v>97</v>
      </c>
    </row>
    <row r="26" spans="1:14" ht="19.899999999999999" customHeight="1" x14ac:dyDescent="0.2">
      <c r="A26" s="20"/>
      <c r="B26" s="65" t="s">
        <v>0</v>
      </c>
      <c r="C26" s="70">
        <v>14</v>
      </c>
      <c r="D26" s="74" t="s">
        <v>207</v>
      </c>
      <c r="E26" s="67">
        <v>14</v>
      </c>
      <c r="F26" s="67">
        <v>18</v>
      </c>
      <c r="G26" s="67">
        <v>26</v>
      </c>
      <c r="H26" s="67">
        <v>50</v>
      </c>
      <c r="I26" s="67">
        <v>75</v>
      </c>
      <c r="J26" s="67">
        <v>82</v>
      </c>
      <c r="K26" s="67">
        <v>93</v>
      </c>
      <c r="L26" s="68" t="s">
        <v>213</v>
      </c>
      <c r="M26" s="68" t="s">
        <v>213</v>
      </c>
      <c r="N26" s="68" t="s">
        <v>213</v>
      </c>
    </row>
    <row r="27" spans="1:14" ht="19.899999999999999" customHeight="1" thickBot="1" x14ac:dyDescent="0.25">
      <c r="A27" s="20"/>
      <c r="B27" s="66" t="s">
        <v>0</v>
      </c>
      <c r="C27" s="71">
        <v>15</v>
      </c>
      <c r="D27" s="75" t="s">
        <v>207</v>
      </c>
      <c r="E27" s="10">
        <v>14</v>
      </c>
      <c r="F27" s="10">
        <v>19</v>
      </c>
      <c r="G27" s="10">
        <v>28</v>
      </c>
      <c r="H27" s="10">
        <f t="shared" ref="H27" si="0">AVERAGE(G27,I27)</f>
        <v>46</v>
      </c>
      <c r="I27" s="10">
        <v>64</v>
      </c>
      <c r="J27" s="10">
        <v>77</v>
      </c>
      <c r="K27" s="10">
        <v>88</v>
      </c>
      <c r="L27" s="10">
        <v>94</v>
      </c>
      <c r="M27" s="68" t="s">
        <v>213</v>
      </c>
      <c r="N27" s="81" t="s">
        <v>213</v>
      </c>
    </row>
    <row r="28" spans="1:14" ht="19.899999999999999" customHeight="1" x14ac:dyDescent="0.2">
      <c r="A28" s="20"/>
      <c r="B28" s="11" t="s">
        <v>1</v>
      </c>
      <c r="C28" s="69">
        <v>15</v>
      </c>
      <c r="D28" s="73" t="s">
        <v>208</v>
      </c>
      <c r="E28" s="9">
        <v>19</v>
      </c>
      <c r="F28" s="9">
        <v>26</v>
      </c>
      <c r="G28" s="9">
        <v>33</v>
      </c>
      <c r="H28" s="9">
        <v>48</v>
      </c>
      <c r="I28" s="9">
        <v>62</v>
      </c>
      <c r="J28" s="9">
        <v>74</v>
      </c>
      <c r="K28" s="9">
        <v>83</v>
      </c>
      <c r="L28" s="40">
        <v>92</v>
      </c>
      <c r="M28" s="40">
        <v>102</v>
      </c>
      <c r="N28" s="40" t="s">
        <v>213</v>
      </c>
    </row>
    <row r="29" spans="1:14" ht="19.899999999999999" customHeight="1" x14ac:dyDescent="0.2">
      <c r="A29" s="20"/>
      <c r="B29" s="65" t="s">
        <v>1</v>
      </c>
      <c r="C29" s="70">
        <v>14</v>
      </c>
      <c r="D29" s="74" t="s">
        <v>208</v>
      </c>
      <c r="E29" s="67">
        <v>17</v>
      </c>
      <c r="F29" s="67">
        <v>22</v>
      </c>
      <c r="G29" s="67">
        <v>28</v>
      </c>
      <c r="H29" s="67">
        <v>53</v>
      </c>
      <c r="I29" s="67">
        <v>78</v>
      </c>
      <c r="J29" s="67">
        <v>89</v>
      </c>
      <c r="K29" s="67">
        <v>97</v>
      </c>
      <c r="L29" s="68" t="s">
        <v>213</v>
      </c>
      <c r="M29" s="68" t="s">
        <v>213</v>
      </c>
      <c r="N29" s="68" t="s">
        <v>213</v>
      </c>
    </row>
    <row r="30" spans="1:14" ht="19.899999999999999" customHeight="1" x14ac:dyDescent="0.2">
      <c r="A30" s="20"/>
      <c r="B30" s="65" t="s">
        <v>1</v>
      </c>
      <c r="C30" s="70">
        <v>13</v>
      </c>
      <c r="D30" s="74" t="s">
        <v>208</v>
      </c>
      <c r="E30" s="67">
        <v>20</v>
      </c>
      <c r="F30" s="67">
        <v>24</v>
      </c>
      <c r="G30" s="67">
        <v>30</v>
      </c>
      <c r="H30" s="67">
        <v>49</v>
      </c>
      <c r="I30" s="67">
        <v>65</v>
      </c>
      <c r="J30" s="67">
        <v>77</v>
      </c>
      <c r="K30" s="67">
        <v>88</v>
      </c>
      <c r="L30" s="67">
        <v>99</v>
      </c>
      <c r="M30" s="68" t="s">
        <v>213</v>
      </c>
      <c r="N30" s="68" t="s">
        <v>213</v>
      </c>
    </row>
    <row r="31" spans="1:14" ht="19.899999999999999" customHeight="1" x14ac:dyDescent="0.2">
      <c r="A31" s="20"/>
      <c r="B31" s="65" t="s">
        <v>1</v>
      </c>
      <c r="C31" s="70">
        <v>12</v>
      </c>
      <c r="D31" s="74" t="s">
        <v>208</v>
      </c>
      <c r="E31" s="67">
        <v>21</v>
      </c>
      <c r="F31" s="67">
        <v>28</v>
      </c>
      <c r="G31" s="67">
        <v>34</v>
      </c>
      <c r="H31" s="67">
        <v>55</v>
      </c>
      <c r="I31" s="67">
        <v>81</v>
      </c>
      <c r="J31" s="67">
        <v>90</v>
      </c>
      <c r="K31" s="67">
        <v>101</v>
      </c>
      <c r="L31" s="68" t="s">
        <v>213</v>
      </c>
      <c r="M31" s="68" t="s">
        <v>213</v>
      </c>
      <c r="N31" s="68" t="s">
        <v>213</v>
      </c>
    </row>
    <row r="32" spans="1:14" ht="19.899999999999999" customHeight="1" x14ac:dyDescent="0.2">
      <c r="A32" s="20"/>
      <c r="B32" s="65" t="s">
        <v>1</v>
      </c>
      <c r="C32" s="70">
        <v>11</v>
      </c>
      <c r="D32" s="74" t="s">
        <v>208</v>
      </c>
      <c r="E32" s="67">
        <v>18</v>
      </c>
      <c r="F32" s="67">
        <v>27</v>
      </c>
      <c r="G32" s="67">
        <v>33</v>
      </c>
      <c r="H32" s="67">
        <v>52</v>
      </c>
      <c r="I32" s="67">
        <v>68</v>
      </c>
      <c r="J32" s="67">
        <v>76</v>
      </c>
      <c r="K32" s="67">
        <v>84</v>
      </c>
      <c r="L32" s="67">
        <v>97</v>
      </c>
      <c r="M32" s="68" t="s">
        <v>213</v>
      </c>
      <c r="N32" s="68" t="s">
        <v>213</v>
      </c>
    </row>
    <row r="33" spans="1:14" ht="19.899999999999999" customHeight="1" x14ac:dyDescent="0.2">
      <c r="A33" s="20"/>
      <c r="B33" s="65" t="s">
        <v>1</v>
      </c>
      <c r="C33" s="70">
        <v>10</v>
      </c>
      <c r="D33" s="74" t="s">
        <v>208</v>
      </c>
      <c r="E33" s="67">
        <v>21</v>
      </c>
      <c r="F33" s="67">
        <v>29</v>
      </c>
      <c r="G33" s="67">
        <v>35</v>
      </c>
      <c r="H33" s="67">
        <v>51</v>
      </c>
      <c r="I33" s="67">
        <v>58</v>
      </c>
      <c r="J33" s="67">
        <v>69</v>
      </c>
      <c r="K33" s="67">
        <v>75</v>
      </c>
      <c r="L33" s="67">
        <v>91</v>
      </c>
      <c r="M33" s="68">
        <v>97</v>
      </c>
      <c r="N33" s="68" t="s">
        <v>213</v>
      </c>
    </row>
    <row r="34" spans="1:14" ht="19.899999999999999" customHeight="1" x14ac:dyDescent="0.2">
      <c r="A34" s="20"/>
      <c r="B34" s="65" t="s">
        <v>1</v>
      </c>
      <c r="C34" s="70">
        <v>9</v>
      </c>
      <c r="D34" s="74" t="s">
        <v>208</v>
      </c>
      <c r="E34" s="67">
        <v>15</v>
      </c>
      <c r="F34" s="67">
        <v>20</v>
      </c>
      <c r="G34" s="67">
        <v>29</v>
      </c>
      <c r="H34" s="67">
        <v>55</v>
      </c>
      <c r="I34" s="67">
        <v>78</v>
      </c>
      <c r="J34" s="67">
        <v>92</v>
      </c>
      <c r="K34" s="67">
        <v>101</v>
      </c>
      <c r="L34" s="68" t="s">
        <v>213</v>
      </c>
      <c r="M34" s="68" t="s">
        <v>213</v>
      </c>
      <c r="N34" s="68" t="s">
        <v>213</v>
      </c>
    </row>
    <row r="35" spans="1:14" ht="19.899999999999999" customHeight="1" x14ac:dyDescent="0.2">
      <c r="A35" s="20"/>
      <c r="B35" s="65" t="s">
        <v>1</v>
      </c>
      <c r="C35" s="70">
        <v>8</v>
      </c>
      <c r="D35" s="74" t="s">
        <v>208</v>
      </c>
      <c r="E35" s="67">
        <v>20</v>
      </c>
      <c r="F35" s="67">
        <v>27</v>
      </c>
      <c r="G35" s="67">
        <v>33</v>
      </c>
      <c r="H35" s="67">
        <v>55</v>
      </c>
      <c r="I35" s="67">
        <v>77</v>
      </c>
      <c r="J35" s="67">
        <v>91</v>
      </c>
      <c r="K35" s="67">
        <v>102</v>
      </c>
      <c r="L35" s="68" t="s">
        <v>213</v>
      </c>
      <c r="M35" s="68" t="s">
        <v>213</v>
      </c>
      <c r="N35" s="68" t="s">
        <v>213</v>
      </c>
    </row>
    <row r="36" spans="1:14" ht="19.899999999999999" customHeight="1" x14ac:dyDescent="0.2">
      <c r="A36" s="20"/>
      <c r="B36" s="65" t="s">
        <v>1</v>
      </c>
      <c r="C36" s="70">
        <v>7</v>
      </c>
      <c r="D36" s="74" t="s">
        <v>208</v>
      </c>
      <c r="E36" s="67">
        <v>20</v>
      </c>
      <c r="F36" s="67">
        <v>28</v>
      </c>
      <c r="G36" s="67">
        <v>35</v>
      </c>
      <c r="H36" s="67">
        <v>56</v>
      </c>
      <c r="I36" s="67">
        <v>82</v>
      </c>
      <c r="J36" s="67">
        <v>94</v>
      </c>
      <c r="K36" s="68" t="s">
        <v>213</v>
      </c>
      <c r="L36" s="68" t="s">
        <v>213</v>
      </c>
      <c r="M36" s="68" t="s">
        <v>213</v>
      </c>
      <c r="N36" s="68" t="s">
        <v>213</v>
      </c>
    </row>
    <row r="37" spans="1:14" ht="19.899999999999999" customHeight="1" x14ac:dyDescent="0.2">
      <c r="A37" s="20"/>
      <c r="B37" s="65" t="s">
        <v>1</v>
      </c>
      <c r="C37" s="70">
        <v>6</v>
      </c>
      <c r="D37" s="74" t="s">
        <v>208</v>
      </c>
      <c r="E37" s="67">
        <v>13</v>
      </c>
      <c r="F37" s="67">
        <v>19</v>
      </c>
      <c r="G37" s="67">
        <v>23</v>
      </c>
      <c r="H37" s="67">
        <v>42</v>
      </c>
      <c r="I37" s="67">
        <v>56</v>
      </c>
      <c r="J37" s="67">
        <v>68</v>
      </c>
      <c r="K37" s="67">
        <v>79</v>
      </c>
      <c r="L37" s="67">
        <v>91</v>
      </c>
      <c r="M37" s="67"/>
      <c r="N37" s="68" t="s">
        <v>213</v>
      </c>
    </row>
    <row r="38" spans="1:14" ht="19.899999999999999" customHeight="1" x14ac:dyDescent="0.2">
      <c r="A38" s="20"/>
      <c r="B38" s="65" t="s">
        <v>1</v>
      </c>
      <c r="C38" s="70">
        <v>5</v>
      </c>
      <c r="D38" s="74" t="s">
        <v>208</v>
      </c>
      <c r="E38" s="67">
        <v>17</v>
      </c>
      <c r="F38" s="67">
        <v>25</v>
      </c>
      <c r="G38" s="67">
        <v>32</v>
      </c>
      <c r="H38" s="67">
        <v>51</v>
      </c>
      <c r="I38" s="67">
        <v>71</v>
      </c>
      <c r="J38" s="67">
        <v>82</v>
      </c>
      <c r="K38" s="67">
        <v>94</v>
      </c>
      <c r="L38" s="68" t="s">
        <v>213</v>
      </c>
      <c r="M38" s="68" t="s">
        <v>213</v>
      </c>
      <c r="N38" s="68" t="s">
        <v>213</v>
      </c>
    </row>
    <row r="39" spans="1:14" ht="19.899999999999999" customHeight="1" x14ac:dyDescent="0.2">
      <c r="A39" s="20"/>
      <c r="B39" s="65" t="s">
        <v>1</v>
      </c>
      <c r="C39" s="70">
        <v>4</v>
      </c>
      <c r="D39" s="74" t="s">
        <v>208</v>
      </c>
      <c r="E39" s="67">
        <v>24</v>
      </c>
      <c r="F39" s="67">
        <v>31</v>
      </c>
      <c r="G39" s="67">
        <v>36</v>
      </c>
      <c r="H39" s="67">
        <v>60</v>
      </c>
      <c r="I39" s="67">
        <v>86</v>
      </c>
      <c r="J39" s="67">
        <v>98</v>
      </c>
      <c r="K39" s="68" t="s">
        <v>213</v>
      </c>
      <c r="L39" s="68" t="s">
        <v>213</v>
      </c>
      <c r="M39" s="68" t="s">
        <v>213</v>
      </c>
      <c r="N39" s="68" t="s">
        <v>213</v>
      </c>
    </row>
    <row r="40" spans="1:14" ht="19.899999999999999" customHeight="1" x14ac:dyDescent="0.2">
      <c r="A40" s="20"/>
      <c r="B40" s="65" t="s">
        <v>1</v>
      </c>
      <c r="C40" s="70">
        <v>3</v>
      </c>
      <c r="D40" s="74" t="s">
        <v>208</v>
      </c>
      <c r="E40" s="67">
        <v>24</v>
      </c>
      <c r="F40" s="67">
        <v>32</v>
      </c>
      <c r="G40" s="67">
        <v>37</v>
      </c>
      <c r="H40" s="67">
        <v>62</v>
      </c>
      <c r="I40" s="67">
        <v>86</v>
      </c>
      <c r="J40" s="67">
        <v>97</v>
      </c>
      <c r="K40" s="68" t="s">
        <v>213</v>
      </c>
      <c r="L40" s="68" t="s">
        <v>213</v>
      </c>
      <c r="M40" s="68" t="s">
        <v>213</v>
      </c>
      <c r="N40" s="68" t="s">
        <v>213</v>
      </c>
    </row>
    <row r="41" spans="1:14" ht="19.899999999999999" customHeight="1" x14ac:dyDescent="0.2">
      <c r="A41" s="20"/>
      <c r="B41" s="65" t="s">
        <v>1</v>
      </c>
      <c r="C41" s="70">
        <v>2</v>
      </c>
      <c r="D41" s="74" t="s">
        <v>208</v>
      </c>
      <c r="E41" s="67">
        <v>17</v>
      </c>
      <c r="F41" s="67">
        <v>33</v>
      </c>
      <c r="G41" s="67">
        <v>40</v>
      </c>
      <c r="H41" s="67">
        <v>65</v>
      </c>
      <c r="I41" s="67">
        <v>87</v>
      </c>
      <c r="J41" s="67">
        <v>99</v>
      </c>
      <c r="K41" s="68" t="s">
        <v>213</v>
      </c>
      <c r="L41" s="68" t="s">
        <v>213</v>
      </c>
      <c r="M41" s="68" t="s">
        <v>213</v>
      </c>
      <c r="N41" s="68" t="s">
        <v>213</v>
      </c>
    </row>
    <row r="42" spans="1:14" ht="19.899999999999999" customHeight="1" thickBot="1" x14ac:dyDescent="0.25">
      <c r="A42" s="20"/>
      <c r="B42" s="66" t="s">
        <v>1</v>
      </c>
      <c r="C42" s="71">
        <v>1</v>
      </c>
      <c r="D42" s="75" t="s">
        <v>208</v>
      </c>
      <c r="E42" s="10">
        <v>16</v>
      </c>
      <c r="F42" s="10">
        <v>31</v>
      </c>
      <c r="G42" s="10">
        <v>39</v>
      </c>
      <c r="H42" s="10">
        <v>54</v>
      </c>
      <c r="I42" s="10">
        <v>71</v>
      </c>
      <c r="J42" s="10">
        <v>84</v>
      </c>
      <c r="K42" s="10">
        <v>97</v>
      </c>
      <c r="L42" s="81" t="s">
        <v>213</v>
      </c>
      <c r="M42" s="81" t="s">
        <v>213</v>
      </c>
      <c r="N42" s="81" t="s">
        <v>213</v>
      </c>
    </row>
    <row r="43" spans="1:14" ht="19.899999999999999" customHeight="1" x14ac:dyDescent="0.2">
      <c r="A43" s="20"/>
      <c r="B43" s="11" t="s">
        <v>2</v>
      </c>
      <c r="C43" s="69">
        <v>1</v>
      </c>
      <c r="D43" s="73" t="s">
        <v>208</v>
      </c>
      <c r="E43" s="9">
        <v>20</v>
      </c>
      <c r="F43" s="9">
        <v>30</v>
      </c>
      <c r="G43" s="9">
        <v>39</v>
      </c>
      <c r="H43" s="9">
        <v>56</v>
      </c>
      <c r="I43" s="9">
        <v>76</v>
      </c>
      <c r="J43" s="9">
        <v>87</v>
      </c>
      <c r="K43" s="9">
        <v>99</v>
      </c>
      <c r="L43" s="40" t="s">
        <v>213</v>
      </c>
      <c r="M43" s="89" t="s">
        <v>213</v>
      </c>
      <c r="N43" s="40" t="s">
        <v>213</v>
      </c>
    </row>
    <row r="44" spans="1:14" ht="19.899999999999999" customHeight="1" x14ac:dyDescent="0.2">
      <c r="A44" s="20"/>
      <c r="B44" s="65" t="s">
        <v>2</v>
      </c>
      <c r="C44" s="70">
        <v>2</v>
      </c>
      <c r="D44" s="74" t="s">
        <v>208</v>
      </c>
      <c r="E44" s="67">
        <v>16</v>
      </c>
      <c r="F44" s="67">
        <v>26</v>
      </c>
      <c r="G44" s="67">
        <v>34</v>
      </c>
      <c r="H44" s="67">
        <v>60</v>
      </c>
      <c r="I44" s="67">
        <v>83</v>
      </c>
      <c r="J44" s="67">
        <v>94</v>
      </c>
      <c r="K44" s="67">
        <v>101</v>
      </c>
      <c r="L44" s="68" t="s">
        <v>213</v>
      </c>
      <c r="M44" s="68" t="s">
        <v>213</v>
      </c>
      <c r="N44" s="68" t="s">
        <v>213</v>
      </c>
    </row>
    <row r="45" spans="1:14" ht="19.899999999999999" customHeight="1" x14ac:dyDescent="0.2">
      <c r="A45" s="20"/>
      <c r="B45" s="65" t="s">
        <v>2</v>
      </c>
      <c r="C45" s="70">
        <v>3</v>
      </c>
      <c r="D45" s="74" t="s">
        <v>208</v>
      </c>
      <c r="E45" s="67">
        <v>19</v>
      </c>
      <c r="F45" s="67">
        <v>26</v>
      </c>
      <c r="G45" s="67">
        <v>36</v>
      </c>
      <c r="H45" s="67">
        <v>64</v>
      </c>
      <c r="I45" s="67">
        <v>88</v>
      </c>
      <c r="J45" s="67">
        <v>97</v>
      </c>
      <c r="K45" s="68" t="s">
        <v>213</v>
      </c>
      <c r="L45" s="68" t="s">
        <v>213</v>
      </c>
      <c r="M45" s="68" t="s">
        <v>213</v>
      </c>
      <c r="N45" s="68" t="s">
        <v>213</v>
      </c>
    </row>
    <row r="46" spans="1:14" ht="19.899999999999999" customHeight="1" x14ac:dyDescent="0.2">
      <c r="A46" s="20"/>
      <c r="B46" s="65" t="s">
        <v>2</v>
      </c>
      <c r="C46" s="70">
        <v>4</v>
      </c>
      <c r="D46" s="74" t="s">
        <v>208</v>
      </c>
      <c r="E46" s="67">
        <v>22</v>
      </c>
      <c r="F46" s="67">
        <v>31</v>
      </c>
      <c r="G46" s="67">
        <v>40</v>
      </c>
      <c r="H46" s="67">
        <v>60</v>
      </c>
      <c r="I46" s="67">
        <v>86</v>
      </c>
      <c r="J46" s="67">
        <v>94</v>
      </c>
      <c r="K46" s="68" t="s">
        <v>213</v>
      </c>
      <c r="L46" s="68" t="s">
        <v>213</v>
      </c>
      <c r="M46" s="68" t="s">
        <v>213</v>
      </c>
      <c r="N46" s="68" t="s">
        <v>213</v>
      </c>
    </row>
    <row r="47" spans="1:14" ht="19.899999999999999" customHeight="1" x14ac:dyDescent="0.2">
      <c r="A47" s="20"/>
      <c r="B47" s="65" t="s">
        <v>2</v>
      </c>
      <c r="C47" s="70">
        <v>5</v>
      </c>
      <c r="D47" s="74" t="s">
        <v>208</v>
      </c>
      <c r="E47" s="67">
        <v>23</v>
      </c>
      <c r="F47" s="67">
        <v>32</v>
      </c>
      <c r="G47" s="67">
        <v>41</v>
      </c>
      <c r="H47" s="67">
        <v>62</v>
      </c>
      <c r="I47" s="67">
        <v>87</v>
      </c>
      <c r="J47" s="67">
        <v>98</v>
      </c>
      <c r="K47" s="68" t="s">
        <v>213</v>
      </c>
      <c r="L47" s="68" t="s">
        <v>213</v>
      </c>
      <c r="M47" s="68" t="s">
        <v>213</v>
      </c>
      <c r="N47" s="68" t="s">
        <v>213</v>
      </c>
    </row>
    <row r="48" spans="1:14" ht="19.899999999999999" customHeight="1" x14ac:dyDescent="0.2">
      <c r="A48" s="20"/>
      <c r="B48" s="65" t="s">
        <v>2</v>
      </c>
      <c r="C48" s="70">
        <v>6</v>
      </c>
      <c r="D48" s="74" t="s">
        <v>208</v>
      </c>
      <c r="E48" s="67">
        <v>28</v>
      </c>
      <c r="F48" s="67">
        <v>35</v>
      </c>
      <c r="G48" s="67">
        <v>45</v>
      </c>
      <c r="H48" s="67">
        <v>67</v>
      </c>
      <c r="I48" s="67">
        <v>97</v>
      </c>
      <c r="J48" s="68" t="s">
        <v>213</v>
      </c>
      <c r="K48" s="68" t="s">
        <v>213</v>
      </c>
      <c r="L48" s="68" t="s">
        <v>213</v>
      </c>
      <c r="M48" s="68" t="s">
        <v>213</v>
      </c>
      <c r="N48" s="68" t="s">
        <v>213</v>
      </c>
    </row>
    <row r="49" spans="1:14" ht="19.899999999999999" customHeight="1" x14ac:dyDescent="0.2">
      <c r="A49" s="20"/>
      <c r="B49" s="65" t="s">
        <v>2</v>
      </c>
      <c r="C49" s="70">
        <v>7</v>
      </c>
      <c r="D49" s="74" t="s">
        <v>208</v>
      </c>
      <c r="E49" s="67">
        <v>16</v>
      </c>
      <c r="F49" s="67">
        <v>37</v>
      </c>
      <c r="G49" s="67">
        <v>35</v>
      </c>
      <c r="H49" s="67">
        <v>58</v>
      </c>
      <c r="I49" s="67">
        <v>82</v>
      </c>
      <c r="J49" s="68">
        <v>94</v>
      </c>
      <c r="K49" s="68" t="s">
        <v>213</v>
      </c>
      <c r="L49" s="68" t="s">
        <v>213</v>
      </c>
      <c r="M49" s="68" t="s">
        <v>213</v>
      </c>
      <c r="N49" s="68" t="s">
        <v>213</v>
      </c>
    </row>
    <row r="50" spans="1:14" ht="19.899999999999999" customHeight="1" x14ac:dyDescent="0.2">
      <c r="A50" s="20"/>
      <c r="B50" s="65" t="s">
        <v>2</v>
      </c>
      <c r="C50" s="70">
        <v>8</v>
      </c>
      <c r="D50" s="74" t="s">
        <v>208</v>
      </c>
      <c r="E50" s="67">
        <v>21</v>
      </c>
      <c r="F50" s="67">
        <v>31</v>
      </c>
      <c r="G50" s="67">
        <v>40</v>
      </c>
      <c r="H50" s="67">
        <v>59</v>
      </c>
      <c r="I50" s="67">
        <v>83</v>
      </c>
      <c r="J50" s="67">
        <v>95</v>
      </c>
      <c r="K50" s="68" t="s">
        <v>213</v>
      </c>
      <c r="L50" s="68" t="s">
        <v>213</v>
      </c>
      <c r="M50" s="68" t="s">
        <v>213</v>
      </c>
      <c r="N50" s="68" t="s">
        <v>213</v>
      </c>
    </row>
    <row r="51" spans="1:14" ht="19.899999999999999" customHeight="1" x14ac:dyDescent="0.2">
      <c r="A51" s="20"/>
      <c r="B51" s="65" t="s">
        <v>2</v>
      </c>
      <c r="C51" s="70">
        <v>9</v>
      </c>
      <c r="D51" s="74" t="s">
        <v>208</v>
      </c>
      <c r="E51" s="67">
        <v>18</v>
      </c>
      <c r="F51" s="67">
        <v>24</v>
      </c>
      <c r="G51" s="67">
        <v>33</v>
      </c>
      <c r="H51" s="67">
        <v>57</v>
      </c>
      <c r="I51" s="67">
        <v>72</v>
      </c>
      <c r="J51" s="67">
        <v>89</v>
      </c>
      <c r="K51" s="67">
        <v>92</v>
      </c>
      <c r="L51" s="68" t="s">
        <v>213</v>
      </c>
      <c r="M51" s="68" t="s">
        <v>213</v>
      </c>
      <c r="N51" s="68" t="s">
        <v>213</v>
      </c>
    </row>
    <row r="52" spans="1:14" ht="19.899999999999999" customHeight="1" x14ac:dyDescent="0.2">
      <c r="A52" s="20"/>
      <c r="B52" s="65" t="s">
        <v>2</v>
      </c>
      <c r="C52" s="70">
        <v>10</v>
      </c>
      <c r="D52" s="74" t="s">
        <v>208</v>
      </c>
      <c r="E52" s="67">
        <v>18</v>
      </c>
      <c r="F52" s="67">
        <v>29</v>
      </c>
      <c r="G52" s="67">
        <v>37</v>
      </c>
      <c r="H52" s="67">
        <v>62</v>
      </c>
      <c r="I52" s="67">
        <v>89</v>
      </c>
      <c r="J52" s="67">
        <v>98</v>
      </c>
      <c r="K52" s="68" t="s">
        <v>213</v>
      </c>
      <c r="L52" s="68" t="s">
        <v>213</v>
      </c>
      <c r="M52" s="68" t="s">
        <v>213</v>
      </c>
      <c r="N52" s="68" t="s">
        <v>213</v>
      </c>
    </row>
    <row r="53" spans="1:14" ht="19.899999999999999" customHeight="1" x14ac:dyDescent="0.2">
      <c r="A53" s="20"/>
      <c r="B53" s="65" t="s">
        <v>2</v>
      </c>
      <c r="C53" s="70">
        <v>11</v>
      </c>
      <c r="D53" s="74" t="s">
        <v>208</v>
      </c>
      <c r="E53" s="67">
        <v>20</v>
      </c>
      <c r="F53" s="67">
        <v>28</v>
      </c>
      <c r="G53" s="67">
        <v>35</v>
      </c>
      <c r="H53" s="67">
        <v>55</v>
      </c>
      <c r="I53" s="67">
        <v>77</v>
      </c>
      <c r="J53" s="67">
        <v>85</v>
      </c>
      <c r="K53" s="67">
        <v>93</v>
      </c>
      <c r="L53" s="67">
        <v>102</v>
      </c>
      <c r="M53" s="68" t="s">
        <v>213</v>
      </c>
      <c r="N53" s="68" t="s">
        <v>213</v>
      </c>
    </row>
    <row r="54" spans="1:14" ht="19.899999999999999" customHeight="1" x14ac:dyDescent="0.2">
      <c r="A54" s="20"/>
      <c r="B54" s="65" t="s">
        <v>2</v>
      </c>
      <c r="C54" s="70">
        <v>12</v>
      </c>
      <c r="D54" s="74" t="s">
        <v>208</v>
      </c>
      <c r="E54" s="67">
        <v>22</v>
      </c>
      <c r="F54" s="67">
        <v>28</v>
      </c>
      <c r="G54" s="67">
        <v>35</v>
      </c>
      <c r="H54" s="67">
        <v>58</v>
      </c>
      <c r="I54" s="67">
        <v>72</v>
      </c>
      <c r="J54" s="67">
        <v>81</v>
      </c>
      <c r="K54" s="67">
        <v>94</v>
      </c>
      <c r="L54" s="68" t="s">
        <v>213</v>
      </c>
      <c r="M54" s="68" t="s">
        <v>213</v>
      </c>
      <c r="N54" s="68" t="s">
        <v>213</v>
      </c>
    </row>
    <row r="55" spans="1:14" ht="19.899999999999999" customHeight="1" x14ac:dyDescent="0.2">
      <c r="A55" s="20"/>
      <c r="B55" s="65" t="s">
        <v>2</v>
      </c>
      <c r="C55" s="70">
        <v>13</v>
      </c>
      <c r="D55" s="74" t="s">
        <v>208</v>
      </c>
      <c r="E55" s="67">
        <v>15</v>
      </c>
      <c r="F55" s="67">
        <v>22</v>
      </c>
      <c r="G55" s="67">
        <v>29</v>
      </c>
      <c r="H55" s="67">
        <v>58</v>
      </c>
      <c r="I55" s="67">
        <v>76</v>
      </c>
      <c r="J55" s="67">
        <v>85</v>
      </c>
      <c r="K55" s="67">
        <v>96</v>
      </c>
      <c r="L55" s="68" t="s">
        <v>213</v>
      </c>
      <c r="M55" s="68" t="s">
        <v>213</v>
      </c>
      <c r="N55" s="68" t="s">
        <v>213</v>
      </c>
    </row>
    <row r="56" spans="1:14" ht="19.899999999999999" customHeight="1" x14ac:dyDescent="0.2">
      <c r="A56" s="20"/>
      <c r="B56" s="65" t="s">
        <v>2</v>
      </c>
      <c r="C56" s="70">
        <v>14</v>
      </c>
      <c r="D56" s="74" t="s">
        <v>208</v>
      </c>
      <c r="E56" s="67">
        <v>17</v>
      </c>
      <c r="F56" s="67">
        <v>26</v>
      </c>
      <c r="G56" s="67">
        <v>33</v>
      </c>
      <c r="H56" s="67">
        <v>53</v>
      </c>
      <c r="I56" s="67">
        <v>69</v>
      </c>
      <c r="J56" s="67">
        <v>81</v>
      </c>
      <c r="K56" s="67">
        <v>94</v>
      </c>
      <c r="L56" s="68" t="s">
        <v>213</v>
      </c>
      <c r="M56" s="67"/>
      <c r="N56" s="68" t="s">
        <v>213</v>
      </c>
    </row>
    <row r="57" spans="1:14" ht="19.899999999999999" customHeight="1" thickBot="1" x14ac:dyDescent="0.25">
      <c r="A57" s="20"/>
      <c r="B57" s="66" t="s">
        <v>2</v>
      </c>
      <c r="C57" s="71">
        <v>15</v>
      </c>
      <c r="D57" s="75" t="s">
        <v>208</v>
      </c>
      <c r="E57" s="10">
        <v>20</v>
      </c>
      <c r="F57" s="10">
        <v>31</v>
      </c>
      <c r="G57" s="10">
        <v>38</v>
      </c>
      <c r="H57" s="10">
        <v>61</v>
      </c>
      <c r="I57" s="10">
        <v>88</v>
      </c>
      <c r="J57" s="10">
        <v>98</v>
      </c>
      <c r="K57" s="81" t="s">
        <v>213</v>
      </c>
      <c r="L57" s="81" t="s">
        <v>213</v>
      </c>
      <c r="M57" s="68" t="s">
        <v>213</v>
      </c>
      <c r="N57" s="81" t="s">
        <v>213</v>
      </c>
    </row>
    <row r="58" spans="1:14" ht="19.899999999999999" customHeight="1" x14ac:dyDescent="0.2">
      <c r="A58" s="20"/>
      <c r="B58" s="11" t="s">
        <v>3</v>
      </c>
      <c r="C58" s="69">
        <v>15</v>
      </c>
      <c r="D58" s="73" t="s">
        <v>207</v>
      </c>
      <c r="E58" s="9">
        <v>13</v>
      </c>
      <c r="F58" s="9">
        <v>18</v>
      </c>
      <c r="G58" s="9">
        <v>25</v>
      </c>
      <c r="H58" s="9">
        <v>50</v>
      </c>
      <c r="I58" s="9">
        <v>72</v>
      </c>
      <c r="J58" s="9">
        <v>82</v>
      </c>
      <c r="K58" s="9">
        <v>91</v>
      </c>
      <c r="L58" s="40" t="s">
        <v>213</v>
      </c>
      <c r="M58" s="40"/>
      <c r="N58" s="40" t="s">
        <v>213</v>
      </c>
    </row>
    <row r="59" spans="1:14" ht="19.899999999999999" customHeight="1" x14ac:dyDescent="0.2">
      <c r="A59" s="20"/>
      <c r="B59" s="65" t="s">
        <v>3</v>
      </c>
      <c r="C59" s="70">
        <v>14</v>
      </c>
      <c r="D59" s="74" t="s">
        <v>207</v>
      </c>
      <c r="E59" s="67">
        <v>11</v>
      </c>
      <c r="F59" s="67">
        <v>17</v>
      </c>
      <c r="G59" s="67">
        <v>22</v>
      </c>
      <c r="H59" s="67">
        <v>37</v>
      </c>
      <c r="I59" s="67">
        <v>55</v>
      </c>
      <c r="J59" s="67">
        <v>66</v>
      </c>
      <c r="K59" s="67">
        <v>78</v>
      </c>
      <c r="L59" s="68">
        <v>89</v>
      </c>
      <c r="M59" s="68"/>
      <c r="N59" s="68" t="s">
        <v>213</v>
      </c>
    </row>
    <row r="60" spans="1:14" ht="19.899999999999999" customHeight="1" x14ac:dyDescent="0.2">
      <c r="A60" s="20"/>
      <c r="B60" s="65" t="s">
        <v>3</v>
      </c>
      <c r="C60" s="70">
        <v>13</v>
      </c>
      <c r="D60" s="74" t="s">
        <v>207</v>
      </c>
      <c r="E60" s="67">
        <v>13</v>
      </c>
      <c r="F60" s="67">
        <v>20</v>
      </c>
      <c r="G60" s="67">
        <v>27</v>
      </c>
      <c r="H60" s="67">
        <v>46</v>
      </c>
      <c r="I60" s="67">
        <v>72</v>
      </c>
      <c r="J60" s="67">
        <v>85</v>
      </c>
      <c r="K60" s="67">
        <v>98</v>
      </c>
      <c r="L60" s="68" t="s">
        <v>213</v>
      </c>
      <c r="M60" s="68" t="s">
        <v>213</v>
      </c>
      <c r="N60" s="68" t="s">
        <v>213</v>
      </c>
    </row>
    <row r="61" spans="1:14" ht="19.5" customHeight="1" x14ac:dyDescent="0.2">
      <c r="B61" s="65" t="s">
        <v>3</v>
      </c>
      <c r="C61" s="70">
        <v>12</v>
      </c>
      <c r="D61" s="74" t="s">
        <v>207</v>
      </c>
      <c r="E61" s="67">
        <v>11</v>
      </c>
      <c r="F61" s="67">
        <v>18</v>
      </c>
      <c r="G61" s="67">
        <v>26</v>
      </c>
      <c r="H61" s="67">
        <v>44</v>
      </c>
      <c r="I61" s="67">
        <v>69</v>
      </c>
      <c r="J61" s="67">
        <v>78</v>
      </c>
      <c r="K61" s="67">
        <v>92</v>
      </c>
      <c r="L61" s="68" t="s">
        <v>213</v>
      </c>
      <c r="M61" s="68" t="s">
        <v>213</v>
      </c>
      <c r="N61" s="68" t="s">
        <v>213</v>
      </c>
    </row>
    <row r="62" spans="1:14" ht="19.5" customHeight="1" x14ac:dyDescent="0.2">
      <c r="B62" s="65" t="s">
        <v>3</v>
      </c>
      <c r="C62" s="70">
        <v>11</v>
      </c>
      <c r="D62" s="74" t="s">
        <v>207</v>
      </c>
      <c r="E62" s="67">
        <v>14</v>
      </c>
      <c r="F62" s="67">
        <v>21</v>
      </c>
      <c r="G62" s="67">
        <v>28</v>
      </c>
      <c r="H62" s="67">
        <v>46</v>
      </c>
      <c r="I62" s="67">
        <v>70</v>
      </c>
      <c r="J62" s="67">
        <v>79</v>
      </c>
      <c r="K62" s="67">
        <v>88</v>
      </c>
      <c r="L62" s="67">
        <v>100</v>
      </c>
      <c r="M62" s="68" t="s">
        <v>213</v>
      </c>
      <c r="N62" s="68" t="s">
        <v>213</v>
      </c>
    </row>
    <row r="63" spans="1:14" ht="19.5" customHeight="1" x14ac:dyDescent="0.2">
      <c r="B63" s="65" t="s">
        <v>3</v>
      </c>
      <c r="C63" s="70">
        <v>10</v>
      </c>
      <c r="D63" s="74" t="s">
        <v>207</v>
      </c>
      <c r="E63" s="67">
        <v>16</v>
      </c>
      <c r="F63" s="67">
        <v>23</v>
      </c>
      <c r="G63" s="67">
        <v>30</v>
      </c>
      <c r="H63" s="67">
        <v>49</v>
      </c>
      <c r="I63" s="67">
        <v>66</v>
      </c>
      <c r="J63" s="67">
        <v>77</v>
      </c>
      <c r="K63" s="67">
        <v>89</v>
      </c>
      <c r="L63" s="67">
        <v>101</v>
      </c>
      <c r="M63" s="68" t="s">
        <v>213</v>
      </c>
      <c r="N63" s="68" t="s">
        <v>213</v>
      </c>
    </row>
    <row r="64" spans="1:14" ht="19.5" customHeight="1" x14ac:dyDescent="0.2">
      <c r="B64" s="65" t="s">
        <v>3</v>
      </c>
      <c r="C64" s="70">
        <v>9</v>
      </c>
      <c r="D64" s="74" t="s">
        <v>207</v>
      </c>
      <c r="E64" s="67">
        <v>12</v>
      </c>
      <c r="F64" s="67">
        <v>18</v>
      </c>
      <c r="G64" s="67">
        <v>23</v>
      </c>
      <c r="H64" s="67">
        <v>45</v>
      </c>
      <c r="I64" s="67">
        <v>69</v>
      </c>
      <c r="J64" s="67">
        <v>83</v>
      </c>
      <c r="K64" s="67">
        <v>94</v>
      </c>
      <c r="L64" s="68" t="s">
        <v>213</v>
      </c>
      <c r="M64" s="68" t="s">
        <v>213</v>
      </c>
      <c r="N64" s="68" t="s">
        <v>213</v>
      </c>
    </row>
    <row r="65" spans="2:14" ht="19.5" customHeight="1" x14ac:dyDescent="0.2">
      <c r="B65" s="65" t="s">
        <v>3</v>
      </c>
      <c r="C65" s="70">
        <v>8</v>
      </c>
      <c r="D65" s="74" t="s">
        <v>207</v>
      </c>
      <c r="E65" s="67">
        <v>11</v>
      </c>
      <c r="F65" s="67">
        <v>19</v>
      </c>
      <c r="G65" s="67">
        <v>26</v>
      </c>
      <c r="H65" s="67">
        <v>43</v>
      </c>
      <c r="I65" s="67">
        <v>64</v>
      </c>
      <c r="J65" s="67">
        <v>80</v>
      </c>
      <c r="K65" s="67">
        <v>92</v>
      </c>
      <c r="L65" s="67">
        <v>102</v>
      </c>
      <c r="M65" s="68" t="s">
        <v>213</v>
      </c>
      <c r="N65" s="68" t="s">
        <v>213</v>
      </c>
    </row>
    <row r="66" spans="2:14" ht="19.5" customHeight="1" x14ac:dyDescent="0.2">
      <c r="B66" s="65" t="s">
        <v>3</v>
      </c>
      <c r="C66" s="70">
        <v>7</v>
      </c>
      <c r="D66" s="74" t="s">
        <v>207</v>
      </c>
      <c r="E66" s="67">
        <v>16</v>
      </c>
      <c r="F66" s="67">
        <v>21</v>
      </c>
      <c r="G66" s="67">
        <v>31</v>
      </c>
      <c r="H66" s="67">
        <v>55</v>
      </c>
      <c r="I66" s="67">
        <v>77</v>
      </c>
      <c r="J66" s="67">
        <v>86</v>
      </c>
      <c r="K66" s="67">
        <v>97</v>
      </c>
      <c r="L66" s="68" t="s">
        <v>213</v>
      </c>
      <c r="M66" s="68" t="s">
        <v>213</v>
      </c>
      <c r="N66" s="68" t="s">
        <v>213</v>
      </c>
    </row>
    <row r="67" spans="2:14" ht="19.5" customHeight="1" x14ac:dyDescent="0.2">
      <c r="B67" s="65" t="s">
        <v>3</v>
      </c>
      <c r="C67" s="70">
        <v>6</v>
      </c>
      <c r="D67" s="74" t="s">
        <v>207</v>
      </c>
      <c r="E67" s="67">
        <v>13</v>
      </c>
      <c r="F67" s="67">
        <v>20</v>
      </c>
      <c r="G67" s="67">
        <v>29</v>
      </c>
      <c r="H67" s="67">
        <v>56</v>
      </c>
      <c r="I67" s="67">
        <v>83</v>
      </c>
      <c r="J67" s="67">
        <v>94</v>
      </c>
      <c r="K67" s="68" t="s">
        <v>213</v>
      </c>
      <c r="L67" s="68" t="s">
        <v>213</v>
      </c>
      <c r="M67" s="68" t="s">
        <v>213</v>
      </c>
      <c r="N67" s="68" t="s">
        <v>213</v>
      </c>
    </row>
    <row r="68" spans="2:14" ht="19.5" customHeight="1" x14ac:dyDescent="0.2">
      <c r="B68" s="65" t="s">
        <v>3</v>
      </c>
      <c r="C68" s="70">
        <v>5</v>
      </c>
      <c r="D68" s="74" t="s">
        <v>207</v>
      </c>
      <c r="E68" s="67">
        <v>19</v>
      </c>
      <c r="F68" s="67">
        <v>27</v>
      </c>
      <c r="G68" s="67">
        <v>34</v>
      </c>
      <c r="H68" s="67">
        <v>59</v>
      </c>
      <c r="I68" s="67">
        <v>74</v>
      </c>
      <c r="J68" s="67">
        <v>84</v>
      </c>
      <c r="K68" s="67">
        <v>93</v>
      </c>
      <c r="L68" s="68" t="s">
        <v>213</v>
      </c>
      <c r="M68" s="68" t="s">
        <v>213</v>
      </c>
      <c r="N68" s="68" t="s">
        <v>213</v>
      </c>
    </row>
    <row r="69" spans="2:14" ht="19.5" customHeight="1" x14ac:dyDescent="0.2">
      <c r="B69" s="65" t="s">
        <v>3</v>
      </c>
      <c r="C69" s="70">
        <v>4</v>
      </c>
      <c r="D69" s="74" t="s">
        <v>207</v>
      </c>
      <c r="E69" s="67">
        <v>18</v>
      </c>
      <c r="F69" s="67">
        <v>24</v>
      </c>
      <c r="G69" s="67">
        <v>31</v>
      </c>
      <c r="H69" s="67">
        <v>56</v>
      </c>
      <c r="I69" s="67">
        <v>72</v>
      </c>
      <c r="J69" s="67">
        <v>83</v>
      </c>
      <c r="K69" s="67">
        <v>92</v>
      </c>
      <c r="L69" s="67">
        <v>101</v>
      </c>
      <c r="M69" s="68" t="s">
        <v>213</v>
      </c>
      <c r="N69" s="68" t="s">
        <v>213</v>
      </c>
    </row>
    <row r="70" spans="2:14" ht="19.5" customHeight="1" x14ac:dyDescent="0.2">
      <c r="B70" s="65" t="s">
        <v>3</v>
      </c>
      <c r="C70" s="70">
        <v>3</v>
      </c>
      <c r="D70" s="74" t="s">
        <v>207</v>
      </c>
      <c r="E70" s="67">
        <v>16</v>
      </c>
      <c r="F70" s="67">
        <v>24</v>
      </c>
      <c r="G70" s="67">
        <v>33</v>
      </c>
      <c r="H70" s="67">
        <v>52</v>
      </c>
      <c r="I70" s="67">
        <v>70</v>
      </c>
      <c r="J70" s="67">
        <v>80</v>
      </c>
      <c r="K70" s="67">
        <v>91</v>
      </c>
      <c r="L70" s="67" t="s">
        <v>213</v>
      </c>
      <c r="M70" s="68" t="s">
        <v>213</v>
      </c>
      <c r="N70" s="68" t="s">
        <v>213</v>
      </c>
    </row>
    <row r="71" spans="2:14" ht="19.5" customHeight="1" x14ac:dyDescent="0.2">
      <c r="B71" s="65" t="s">
        <v>3</v>
      </c>
      <c r="C71" s="70">
        <v>2</v>
      </c>
      <c r="D71" s="74" t="s">
        <v>207</v>
      </c>
      <c r="E71" s="67">
        <v>13</v>
      </c>
      <c r="F71" s="67">
        <v>21</v>
      </c>
      <c r="G71" s="67">
        <v>28</v>
      </c>
      <c r="H71" s="67">
        <v>47</v>
      </c>
      <c r="I71" s="67">
        <v>65</v>
      </c>
      <c r="J71" s="67">
        <v>83</v>
      </c>
      <c r="K71" s="67">
        <v>94</v>
      </c>
      <c r="L71" s="67" t="s">
        <v>213</v>
      </c>
      <c r="M71" s="68" t="s">
        <v>213</v>
      </c>
      <c r="N71" s="68" t="s">
        <v>213</v>
      </c>
    </row>
    <row r="72" spans="2:14" ht="19.5" customHeight="1" thickBot="1" x14ac:dyDescent="0.25">
      <c r="B72" s="66" t="s">
        <v>3</v>
      </c>
      <c r="C72" s="71">
        <v>1</v>
      </c>
      <c r="D72" s="75" t="s">
        <v>207</v>
      </c>
      <c r="E72" s="10">
        <v>15</v>
      </c>
      <c r="F72" s="10">
        <v>26</v>
      </c>
      <c r="G72" s="10">
        <v>35</v>
      </c>
      <c r="H72" s="10">
        <v>55</v>
      </c>
      <c r="I72" s="10">
        <v>74</v>
      </c>
      <c r="J72" s="10">
        <v>85</v>
      </c>
      <c r="K72" s="10">
        <v>95</v>
      </c>
      <c r="L72" s="10" t="s">
        <v>213</v>
      </c>
      <c r="M72" s="68" t="s">
        <v>213</v>
      </c>
      <c r="N72" s="81" t="s">
        <v>213</v>
      </c>
    </row>
    <row r="73" spans="2:14" ht="19.5" customHeight="1" x14ac:dyDescent="0.2">
      <c r="B73" s="11" t="s">
        <v>4</v>
      </c>
      <c r="C73" s="69">
        <v>1</v>
      </c>
      <c r="D73" s="73" t="s">
        <v>208</v>
      </c>
      <c r="E73" s="9">
        <v>16</v>
      </c>
      <c r="F73" s="9">
        <v>23</v>
      </c>
      <c r="G73" s="9">
        <v>28</v>
      </c>
      <c r="H73" s="9">
        <v>51</v>
      </c>
      <c r="I73" s="9">
        <v>74</v>
      </c>
      <c r="J73" s="9">
        <v>87</v>
      </c>
      <c r="K73" s="9">
        <v>100</v>
      </c>
      <c r="L73" s="40" t="s">
        <v>213</v>
      </c>
      <c r="M73" s="40" t="s">
        <v>213</v>
      </c>
      <c r="N73" s="40" t="s">
        <v>213</v>
      </c>
    </row>
    <row r="74" spans="2:14" ht="19.5" customHeight="1" x14ac:dyDescent="0.2">
      <c r="B74" s="65" t="s">
        <v>4</v>
      </c>
      <c r="C74" s="70">
        <v>2</v>
      </c>
      <c r="D74" s="74" t="s">
        <v>208</v>
      </c>
      <c r="E74" s="67">
        <v>20</v>
      </c>
      <c r="F74" s="67">
        <v>31</v>
      </c>
      <c r="G74" s="67">
        <v>37</v>
      </c>
      <c r="H74" s="67">
        <v>58</v>
      </c>
      <c r="I74" s="67">
        <v>85</v>
      </c>
      <c r="J74" s="67">
        <v>93</v>
      </c>
      <c r="K74" s="67">
        <v>101</v>
      </c>
      <c r="L74" s="68" t="s">
        <v>213</v>
      </c>
      <c r="M74" s="68" t="s">
        <v>213</v>
      </c>
      <c r="N74" s="68" t="s">
        <v>213</v>
      </c>
    </row>
    <row r="75" spans="2:14" ht="19.5" customHeight="1" x14ac:dyDescent="0.2">
      <c r="B75" s="65" t="s">
        <v>4</v>
      </c>
      <c r="C75" s="70">
        <v>3</v>
      </c>
      <c r="D75" s="74" t="s">
        <v>208</v>
      </c>
      <c r="E75" s="67">
        <v>19</v>
      </c>
      <c r="F75" s="67">
        <v>29</v>
      </c>
      <c r="G75" s="67">
        <v>34</v>
      </c>
      <c r="H75" s="67">
        <v>55</v>
      </c>
      <c r="I75" s="67">
        <v>83</v>
      </c>
      <c r="J75" s="67">
        <v>90</v>
      </c>
      <c r="K75" s="67">
        <v>99</v>
      </c>
      <c r="L75" s="68" t="s">
        <v>213</v>
      </c>
      <c r="M75" s="67" t="s">
        <v>213</v>
      </c>
      <c r="N75" s="68" t="s">
        <v>213</v>
      </c>
    </row>
    <row r="76" spans="2:14" ht="19.5" customHeight="1" x14ac:dyDescent="0.2">
      <c r="B76" s="65" t="s">
        <v>4</v>
      </c>
      <c r="C76" s="70">
        <v>4</v>
      </c>
      <c r="D76" s="74" t="s">
        <v>208</v>
      </c>
      <c r="E76" s="67">
        <v>23</v>
      </c>
      <c r="F76" s="67">
        <v>32</v>
      </c>
      <c r="G76" s="67">
        <v>40</v>
      </c>
      <c r="H76" s="67">
        <v>62</v>
      </c>
      <c r="I76" s="67">
        <v>86</v>
      </c>
      <c r="J76" s="67">
        <v>95</v>
      </c>
      <c r="K76" s="68" t="s">
        <v>213</v>
      </c>
      <c r="L76" s="68" t="s">
        <v>213</v>
      </c>
      <c r="M76" s="67" t="s">
        <v>213</v>
      </c>
      <c r="N76" s="68" t="s">
        <v>213</v>
      </c>
    </row>
    <row r="77" spans="2:14" ht="19.5" customHeight="1" x14ac:dyDescent="0.2">
      <c r="B77" s="65" t="s">
        <v>4</v>
      </c>
      <c r="C77" s="70">
        <v>5</v>
      </c>
      <c r="D77" s="74" t="s">
        <v>208</v>
      </c>
      <c r="E77" s="67">
        <v>22</v>
      </c>
      <c r="F77" s="67">
        <v>30</v>
      </c>
      <c r="G77" s="67">
        <v>38</v>
      </c>
      <c r="H77" s="67">
        <v>58</v>
      </c>
      <c r="I77" s="67">
        <v>85</v>
      </c>
      <c r="J77" s="67">
        <v>92</v>
      </c>
      <c r="K77" s="67">
        <v>101</v>
      </c>
      <c r="L77" s="68" t="s">
        <v>213</v>
      </c>
      <c r="M77" s="67" t="s">
        <v>213</v>
      </c>
      <c r="N77" s="68" t="s">
        <v>213</v>
      </c>
    </row>
    <row r="78" spans="2:14" ht="19.5" customHeight="1" x14ac:dyDescent="0.2">
      <c r="B78" s="65" t="s">
        <v>4</v>
      </c>
      <c r="C78" s="70">
        <v>6</v>
      </c>
      <c r="D78" s="74" t="s">
        <v>208</v>
      </c>
      <c r="E78" s="67">
        <v>19</v>
      </c>
      <c r="F78" s="67">
        <v>31</v>
      </c>
      <c r="G78" s="67">
        <v>40</v>
      </c>
      <c r="H78" s="67">
        <v>59</v>
      </c>
      <c r="I78" s="67">
        <v>87</v>
      </c>
      <c r="J78" s="67">
        <v>97</v>
      </c>
      <c r="K78" s="68" t="s">
        <v>213</v>
      </c>
      <c r="L78" s="68" t="s">
        <v>213</v>
      </c>
      <c r="M78" s="67" t="s">
        <v>213</v>
      </c>
      <c r="N78" s="68" t="s">
        <v>213</v>
      </c>
    </row>
    <row r="79" spans="2:14" ht="19.5" customHeight="1" x14ac:dyDescent="0.2">
      <c r="B79" s="65" t="s">
        <v>4</v>
      </c>
      <c r="C79" s="70">
        <v>7</v>
      </c>
      <c r="D79" s="74" t="s">
        <v>208</v>
      </c>
      <c r="E79" s="67">
        <v>26</v>
      </c>
      <c r="F79" s="67">
        <v>34</v>
      </c>
      <c r="G79" s="67">
        <v>43</v>
      </c>
      <c r="H79" s="67">
        <v>64</v>
      </c>
      <c r="I79" s="67">
        <v>86</v>
      </c>
      <c r="J79" s="67">
        <v>99</v>
      </c>
      <c r="K79" s="68" t="s">
        <v>213</v>
      </c>
      <c r="L79" s="68" t="s">
        <v>213</v>
      </c>
      <c r="M79" s="67" t="s">
        <v>213</v>
      </c>
      <c r="N79" s="68" t="s">
        <v>213</v>
      </c>
    </row>
    <row r="80" spans="2:14" ht="19.5" customHeight="1" x14ac:dyDescent="0.2">
      <c r="B80" s="65" t="s">
        <v>4</v>
      </c>
      <c r="C80" s="70">
        <v>8</v>
      </c>
      <c r="D80" s="74" t="s">
        <v>208</v>
      </c>
      <c r="E80" s="67">
        <v>19</v>
      </c>
      <c r="F80" s="67">
        <v>29</v>
      </c>
      <c r="G80" s="67">
        <v>35</v>
      </c>
      <c r="H80" s="67">
        <v>60</v>
      </c>
      <c r="I80" s="67">
        <v>85</v>
      </c>
      <c r="J80" s="67">
        <v>96</v>
      </c>
      <c r="K80" s="68" t="s">
        <v>213</v>
      </c>
      <c r="L80" s="68" t="s">
        <v>213</v>
      </c>
      <c r="M80" s="67" t="s">
        <v>213</v>
      </c>
      <c r="N80" s="68" t="s">
        <v>213</v>
      </c>
    </row>
    <row r="81" spans="2:14" ht="19.5" customHeight="1" x14ac:dyDescent="0.2">
      <c r="B81" s="65" t="s">
        <v>4</v>
      </c>
      <c r="C81" s="70">
        <v>9</v>
      </c>
      <c r="D81" s="74" t="s">
        <v>208</v>
      </c>
      <c r="E81" s="67">
        <v>19</v>
      </c>
      <c r="F81" s="67">
        <v>29</v>
      </c>
      <c r="G81" s="67">
        <v>36</v>
      </c>
      <c r="H81" s="67">
        <v>52</v>
      </c>
      <c r="I81" s="67">
        <v>79</v>
      </c>
      <c r="J81" s="67">
        <v>93</v>
      </c>
      <c r="K81" s="67">
        <v>102</v>
      </c>
      <c r="L81" s="68" t="s">
        <v>213</v>
      </c>
      <c r="M81" s="67" t="s">
        <v>213</v>
      </c>
      <c r="N81" s="68" t="s">
        <v>213</v>
      </c>
    </row>
    <row r="82" spans="2:14" ht="19.5" customHeight="1" x14ac:dyDescent="0.2">
      <c r="B82" s="65" t="s">
        <v>4</v>
      </c>
      <c r="C82" s="70">
        <v>10</v>
      </c>
      <c r="D82" s="74" t="s">
        <v>208</v>
      </c>
      <c r="E82" s="67">
        <v>16</v>
      </c>
      <c r="F82" s="67">
        <v>25</v>
      </c>
      <c r="G82" s="67">
        <v>33</v>
      </c>
      <c r="H82" s="67">
        <v>57</v>
      </c>
      <c r="I82" s="67">
        <v>83</v>
      </c>
      <c r="J82" s="67">
        <v>90</v>
      </c>
      <c r="K82" s="67">
        <v>99</v>
      </c>
      <c r="L82" s="68" t="s">
        <v>213</v>
      </c>
      <c r="M82" s="67" t="s">
        <v>213</v>
      </c>
      <c r="N82" s="68" t="s">
        <v>213</v>
      </c>
    </row>
    <row r="83" spans="2:14" ht="19.5" customHeight="1" x14ac:dyDescent="0.2">
      <c r="B83" s="65" t="s">
        <v>4</v>
      </c>
      <c r="C83" s="70">
        <v>11</v>
      </c>
      <c r="D83" s="74" t="s">
        <v>208</v>
      </c>
      <c r="E83" s="67">
        <v>21</v>
      </c>
      <c r="F83" s="67">
        <v>30</v>
      </c>
      <c r="G83" s="67">
        <v>38</v>
      </c>
      <c r="H83" s="67">
        <v>63</v>
      </c>
      <c r="I83" s="67">
        <v>87</v>
      </c>
      <c r="J83" s="67">
        <v>93</v>
      </c>
      <c r="K83" s="68" t="s">
        <v>213</v>
      </c>
      <c r="L83" s="68" t="s">
        <v>213</v>
      </c>
      <c r="M83" s="67" t="s">
        <v>213</v>
      </c>
      <c r="N83" s="68" t="s">
        <v>213</v>
      </c>
    </row>
    <row r="84" spans="2:14" ht="19.5" customHeight="1" x14ac:dyDescent="0.2">
      <c r="B84" s="65" t="s">
        <v>4</v>
      </c>
      <c r="C84" s="70">
        <v>12</v>
      </c>
      <c r="D84" s="74" t="s">
        <v>208</v>
      </c>
      <c r="E84" s="67">
        <v>14</v>
      </c>
      <c r="F84" s="67">
        <v>24</v>
      </c>
      <c r="G84" s="67">
        <v>30</v>
      </c>
      <c r="H84" s="67">
        <v>59</v>
      </c>
      <c r="I84" s="67">
        <v>80</v>
      </c>
      <c r="J84" s="67">
        <v>88</v>
      </c>
      <c r="K84" s="67">
        <v>99</v>
      </c>
      <c r="L84" s="68" t="s">
        <v>213</v>
      </c>
      <c r="M84" s="67" t="s">
        <v>213</v>
      </c>
      <c r="N84" s="68" t="s">
        <v>213</v>
      </c>
    </row>
    <row r="85" spans="2:14" ht="19.5" customHeight="1" x14ac:dyDescent="0.2">
      <c r="B85" s="65" t="s">
        <v>4</v>
      </c>
      <c r="C85" s="70">
        <v>13</v>
      </c>
      <c r="D85" s="74" t="s">
        <v>208</v>
      </c>
      <c r="E85" s="67">
        <v>24</v>
      </c>
      <c r="F85" s="67">
        <v>33</v>
      </c>
      <c r="G85" s="67">
        <v>39</v>
      </c>
      <c r="H85" s="67">
        <v>63</v>
      </c>
      <c r="I85" s="67">
        <v>88</v>
      </c>
      <c r="J85" s="67">
        <v>95</v>
      </c>
      <c r="K85" s="68" t="s">
        <v>213</v>
      </c>
      <c r="L85" s="68" t="s">
        <v>213</v>
      </c>
      <c r="M85" s="67" t="s">
        <v>213</v>
      </c>
      <c r="N85" s="68" t="s">
        <v>213</v>
      </c>
    </row>
    <row r="86" spans="2:14" ht="19.5" customHeight="1" x14ac:dyDescent="0.2">
      <c r="B86" s="65" t="s">
        <v>4</v>
      </c>
      <c r="C86" s="70">
        <v>14</v>
      </c>
      <c r="D86" s="74" t="s">
        <v>208</v>
      </c>
      <c r="E86" s="67">
        <v>15</v>
      </c>
      <c r="F86" s="67">
        <v>21</v>
      </c>
      <c r="G86" s="67">
        <v>27</v>
      </c>
      <c r="H86" s="67">
        <v>52</v>
      </c>
      <c r="I86" s="67">
        <v>77</v>
      </c>
      <c r="J86" s="67">
        <v>86</v>
      </c>
      <c r="K86" s="67">
        <v>97</v>
      </c>
      <c r="L86" s="68" t="s">
        <v>213</v>
      </c>
      <c r="M86" s="67" t="s">
        <v>213</v>
      </c>
      <c r="N86" s="68" t="s">
        <v>213</v>
      </c>
    </row>
    <row r="87" spans="2:14" ht="19.5" customHeight="1" thickBot="1" x14ac:dyDescent="0.25">
      <c r="B87" s="66" t="s">
        <v>4</v>
      </c>
      <c r="C87" s="71">
        <v>15</v>
      </c>
      <c r="D87" s="75" t="s">
        <v>208</v>
      </c>
      <c r="E87" s="10">
        <v>15</v>
      </c>
      <c r="F87" s="10">
        <v>22</v>
      </c>
      <c r="G87" s="10">
        <v>29</v>
      </c>
      <c r="H87" s="10">
        <v>53</v>
      </c>
      <c r="I87" s="10">
        <v>78</v>
      </c>
      <c r="J87" s="10">
        <v>85</v>
      </c>
      <c r="K87" s="10">
        <v>97</v>
      </c>
      <c r="L87" s="81" t="s">
        <v>213</v>
      </c>
      <c r="M87" s="10" t="s">
        <v>213</v>
      </c>
      <c r="N87" s="81" t="s">
        <v>213</v>
      </c>
    </row>
    <row r="88" spans="2:14" ht="19.5" customHeight="1" x14ac:dyDescent="0.2">
      <c r="B88" s="11" t="s">
        <v>5</v>
      </c>
      <c r="C88" s="69">
        <v>15</v>
      </c>
      <c r="D88" s="73" t="s">
        <v>207</v>
      </c>
      <c r="E88" s="9">
        <v>16</v>
      </c>
      <c r="F88" s="9">
        <v>22</v>
      </c>
      <c r="G88" s="9">
        <v>28</v>
      </c>
      <c r="H88" s="9">
        <v>56</v>
      </c>
      <c r="I88" s="9">
        <v>78</v>
      </c>
      <c r="J88" s="9">
        <v>83</v>
      </c>
      <c r="K88" s="9">
        <v>92</v>
      </c>
      <c r="L88" s="40" t="s">
        <v>213</v>
      </c>
      <c r="M88" s="40" t="s">
        <v>213</v>
      </c>
      <c r="N88" s="40" t="s">
        <v>213</v>
      </c>
    </row>
    <row r="89" spans="2:14" ht="19.5" customHeight="1" x14ac:dyDescent="0.2">
      <c r="B89" s="65" t="s">
        <v>5</v>
      </c>
      <c r="C89" s="70">
        <v>14</v>
      </c>
      <c r="D89" s="74" t="s">
        <v>207</v>
      </c>
      <c r="E89" s="67">
        <v>11</v>
      </c>
      <c r="F89" s="67">
        <v>15</v>
      </c>
      <c r="G89" s="67">
        <v>21</v>
      </c>
      <c r="H89" s="67">
        <v>46</v>
      </c>
      <c r="I89" s="67">
        <v>67</v>
      </c>
      <c r="J89" s="67">
        <v>74</v>
      </c>
      <c r="K89" s="67">
        <v>83</v>
      </c>
      <c r="L89" s="68">
        <v>94</v>
      </c>
      <c r="M89" s="68">
        <v>98</v>
      </c>
      <c r="N89" s="67">
        <v>97</v>
      </c>
    </row>
    <row r="90" spans="2:14" ht="19.5" customHeight="1" x14ac:dyDescent="0.2">
      <c r="B90" s="65" t="s">
        <v>5</v>
      </c>
      <c r="C90" s="70">
        <v>13</v>
      </c>
      <c r="D90" s="74" t="s">
        <v>207</v>
      </c>
      <c r="E90" s="67">
        <v>11</v>
      </c>
      <c r="F90" s="67">
        <v>19</v>
      </c>
      <c r="G90" s="67">
        <v>24</v>
      </c>
      <c r="H90" s="67">
        <v>48</v>
      </c>
      <c r="I90" s="67">
        <v>68</v>
      </c>
      <c r="J90" s="67">
        <v>77</v>
      </c>
      <c r="K90" s="67">
        <v>89</v>
      </c>
      <c r="L90" s="67">
        <v>99</v>
      </c>
      <c r="M90" s="68" t="s">
        <v>213</v>
      </c>
      <c r="N90" s="68" t="s">
        <v>213</v>
      </c>
    </row>
    <row r="91" spans="2:14" ht="19.5" customHeight="1" x14ac:dyDescent="0.2">
      <c r="B91" s="65" t="s">
        <v>5</v>
      </c>
      <c r="C91" s="70">
        <v>12</v>
      </c>
      <c r="D91" s="74" t="s">
        <v>207</v>
      </c>
      <c r="E91" s="67">
        <v>9</v>
      </c>
      <c r="F91" s="67">
        <v>13</v>
      </c>
      <c r="G91" s="67">
        <v>20</v>
      </c>
      <c r="H91" s="67">
        <v>42</v>
      </c>
      <c r="I91" s="67">
        <v>66</v>
      </c>
      <c r="J91" s="67">
        <v>72</v>
      </c>
      <c r="K91" s="67">
        <v>80</v>
      </c>
      <c r="L91" s="67">
        <v>91</v>
      </c>
      <c r="M91" s="67">
        <v>101</v>
      </c>
      <c r="N91" s="68" t="s">
        <v>213</v>
      </c>
    </row>
    <row r="92" spans="2:14" ht="19.5" customHeight="1" x14ac:dyDescent="0.2">
      <c r="B92" s="65" t="s">
        <v>5</v>
      </c>
      <c r="C92" s="70">
        <v>11</v>
      </c>
      <c r="D92" s="74" t="s">
        <v>207</v>
      </c>
      <c r="E92" s="67">
        <v>15</v>
      </c>
      <c r="F92" s="67">
        <v>22</v>
      </c>
      <c r="G92" s="67">
        <v>30</v>
      </c>
      <c r="H92" s="67">
        <v>52</v>
      </c>
      <c r="I92" s="67">
        <v>75</v>
      </c>
      <c r="J92" s="67">
        <v>85</v>
      </c>
      <c r="K92" s="67">
        <v>95</v>
      </c>
      <c r="L92" s="68" t="s">
        <v>213</v>
      </c>
      <c r="M92" s="68" t="s">
        <v>213</v>
      </c>
      <c r="N92" s="68" t="s">
        <v>213</v>
      </c>
    </row>
    <row r="93" spans="2:14" ht="19.5" customHeight="1" x14ac:dyDescent="0.2">
      <c r="B93" s="65" t="s">
        <v>5</v>
      </c>
      <c r="C93" s="70">
        <v>10</v>
      </c>
      <c r="D93" s="74" t="s">
        <v>207</v>
      </c>
      <c r="E93" s="67">
        <v>14</v>
      </c>
      <c r="F93" s="67">
        <v>22</v>
      </c>
      <c r="G93" s="67">
        <v>30</v>
      </c>
      <c r="H93" s="67">
        <v>52</v>
      </c>
      <c r="I93" s="67">
        <v>76</v>
      </c>
      <c r="J93" s="67">
        <v>86</v>
      </c>
      <c r="K93" s="67">
        <v>99</v>
      </c>
      <c r="L93" s="68" t="s">
        <v>213</v>
      </c>
      <c r="M93" s="68" t="s">
        <v>213</v>
      </c>
      <c r="N93" s="68" t="s">
        <v>213</v>
      </c>
    </row>
    <row r="94" spans="2:14" ht="19.5" customHeight="1" x14ac:dyDescent="0.2">
      <c r="B94" s="65" t="s">
        <v>5</v>
      </c>
      <c r="C94" s="70">
        <v>9</v>
      </c>
      <c r="D94" s="74" t="s">
        <v>207</v>
      </c>
      <c r="E94" s="67">
        <v>16</v>
      </c>
      <c r="F94" s="67">
        <v>24</v>
      </c>
      <c r="G94" s="67">
        <v>33</v>
      </c>
      <c r="H94" s="67">
        <v>54</v>
      </c>
      <c r="I94" s="67">
        <v>80</v>
      </c>
      <c r="J94" s="67">
        <v>89</v>
      </c>
      <c r="K94" s="67">
        <v>101</v>
      </c>
      <c r="L94" s="68" t="s">
        <v>213</v>
      </c>
      <c r="M94" s="68" t="s">
        <v>213</v>
      </c>
      <c r="N94" s="68" t="s">
        <v>213</v>
      </c>
    </row>
    <row r="95" spans="2:14" ht="19.5" customHeight="1" x14ac:dyDescent="0.2">
      <c r="B95" s="65" t="s">
        <v>5</v>
      </c>
      <c r="C95" s="70">
        <v>8</v>
      </c>
      <c r="D95" s="74" t="s">
        <v>207</v>
      </c>
      <c r="E95" s="67">
        <v>15</v>
      </c>
      <c r="F95" s="67">
        <v>26</v>
      </c>
      <c r="G95" s="67">
        <v>31</v>
      </c>
      <c r="H95" s="67">
        <v>52</v>
      </c>
      <c r="I95" s="67">
        <v>77</v>
      </c>
      <c r="J95" s="67">
        <v>85</v>
      </c>
      <c r="K95" s="67">
        <v>94</v>
      </c>
      <c r="L95" s="68">
        <v>101</v>
      </c>
      <c r="M95" s="68" t="s">
        <v>213</v>
      </c>
      <c r="N95" s="68" t="s">
        <v>213</v>
      </c>
    </row>
    <row r="96" spans="2:14" ht="19.5" customHeight="1" x14ac:dyDescent="0.2">
      <c r="B96" s="65" t="s">
        <v>5</v>
      </c>
      <c r="C96" s="70">
        <v>7</v>
      </c>
      <c r="D96" s="74" t="s">
        <v>207</v>
      </c>
      <c r="E96" s="67">
        <v>13</v>
      </c>
      <c r="F96" s="67">
        <v>24</v>
      </c>
      <c r="G96" s="67">
        <v>31</v>
      </c>
      <c r="H96" s="67">
        <v>53</v>
      </c>
      <c r="I96" s="67">
        <v>72</v>
      </c>
      <c r="J96" s="67">
        <v>78</v>
      </c>
      <c r="K96" s="67">
        <v>89</v>
      </c>
      <c r="L96" s="67">
        <v>98</v>
      </c>
      <c r="M96" s="68" t="s">
        <v>213</v>
      </c>
      <c r="N96" s="68" t="s">
        <v>213</v>
      </c>
    </row>
    <row r="97" spans="2:14" ht="19.5" customHeight="1" x14ac:dyDescent="0.2">
      <c r="B97" s="65" t="s">
        <v>5</v>
      </c>
      <c r="C97" s="70">
        <v>6</v>
      </c>
      <c r="D97" s="74" t="s">
        <v>207</v>
      </c>
      <c r="E97" s="67">
        <v>11</v>
      </c>
      <c r="F97" s="67">
        <v>18</v>
      </c>
      <c r="G97" s="67">
        <v>27</v>
      </c>
      <c r="H97" s="67">
        <v>49</v>
      </c>
      <c r="I97" s="67">
        <v>70</v>
      </c>
      <c r="J97" s="67">
        <v>77</v>
      </c>
      <c r="K97" s="67">
        <v>89</v>
      </c>
      <c r="L97" s="67">
        <v>100</v>
      </c>
      <c r="M97" s="68" t="s">
        <v>213</v>
      </c>
      <c r="N97" s="68" t="s">
        <v>213</v>
      </c>
    </row>
    <row r="98" spans="2:14" ht="19.5" customHeight="1" x14ac:dyDescent="0.2">
      <c r="B98" s="65" t="s">
        <v>5</v>
      </c>
      <c r="C98" s="70">
        <v>5</v>
      </c>
      <c r="D98" s="74" t="s">
        <v>207</v>
      </c>
      <c r="E98" s="67">
        <v>14</v>
      </c>
      <c r="F98" s="67">
        <v>22</v>
      </c>
      <c r="G98" s="67">
        <v>28</v>
      </c>
      <c r="H98" s="67">
        <v>52</v>
      </c>
      <c r="I98" s="67">
        <v>73</v>
      </c>
      <c r="J98" s="67">
        <v>78</v>
      </c>
      <c r="K98" s="67">
        <v>88</v>
      </c>
      <c r="L98" s="67">
        <v>97</v>
      </c>
      <c r="M98" s="68" t="s">
        <v>213</v>
      </c>
      <c r="N98" s="68" t="s">
        <v>213</v>
      </c>
    </row>
    <row r="99" spans="2:14" ht="19.5" customHeight="1" x14ac:dyDescent="0.2">
      <c r="B99" s="65" t="s">
        <v>5</v>
      </c>
      <c r="C99" s="70">
        <v>4</v>
      </c>
      <c r="D99" s="74" t="s">
        <v>207</v>
      </c>
      <c r="E99" s="67">
        <v>12</v>
      </c>
      <c r="F99" s="67">
        <v>20</v>
      </c>
      <c r="G99" s="67">
        <v>25</v>
      </c>
      <c r="H99" s="67">
        <v>49</v>
      </c>
      <c r="I99" s="67">
        <v>75</v>
      </c>
      <c r="J99" s="67">
        <v>81</v>
      </c>
      <c r="K99" s="67">
        <v>93</v>
      </c>
      <c r="L99" s="68" t="s">
        <v>213</v>
      </c>
      <c r="M99" s="68" t="s">
        <v>213</v>
      </c>
      <c r="N99" s="68" t="s">
        <v>213</v>
      </c>
    </row>
    <row r="100" spans="2:14" ht="19.5" customHeight="1" x14ac:dyDescent="0.2">
      <c r="B100" s="65" t="s">
        <v>5</v>
      </c>
      <c r="C100" s="70">
        <v>3</v>
      </c>
      <c r="D100" s="74" t="s">
        <v>207</v>
      </c>
      <c r="E100" s="67">
        <v>16</v>
      </c>
      <c r="F100" s="67">
        <v>22</v>
      </c>
      <c r="G100" s="67">
        <v>29</v>
      </c>
      <c r="H100" s="67">
        <v>54</v>
      </c>
      <c r="I100" s="67">
        <v>78</v>
      </c>
      <c r="J100" s="67">
        <v>82</v>
      </c>
      <c r="K100" s="67">
        <v>90</v>
      </c>
      <c r="L100" s="68" t="s">
        <v>213</v>
      </c>
      <c r="M100" s="68" t="s">
        <v>213</v>
      </c>
      <c r="N100" s="68" t="s">
        <v>213</v>
      </c>
    </row>
    <row r="101" spans="2:14" ht="19.5" customHeight="1" x14ac:dyDescent="0.2">
      <c r="B101" s="65" t="s">
        <v>5</v>
      </c>
      <c r="C101" s="70">
        <v>2</v>
      </c>
      <c r="D101" s="74" t="s">
        <v>207</v>
      </c>
      <c r="E101" s="67">
        <v>16</v>
      </c>
      <c r="F101" s="67">
        <v>24</v>
      </c>
      <c r="G101" s="67">
        <v>30</v>
      </c>
      <c r="H101" s="67">
        <v>53</v>
      </c>
      <c r="I101" s="67">
        <v>77</v>
      </c>
      <c r="J101" s="67">
        <v>84</v>
      </c>
      <c r="K101" s="67">
        <v>92</v>
      </c>
      <c r="L101" s="68" t="s">
        <v>213</v>
      </c>
      <c r="M101" s="68" t="s">
        <v>213</v>
      </c>
      <c r="N101" s="68" t="s">
        <v>213</v>
      </c>
    </row>
    <row r="102" spans="2:14" ht="19.5" customHeight="1" thickBot="1" x14ac:dyDescent="0.25">
      <c r="B102" s="66" t="s">
        <v>5</v>
      </c>
      <c r="C102" s="71">
        <v>1</v>
      </c>
      <c r="D102" s="75" t="s">
        <v>207</v>
      </c>
      <c r="E102" s="10">
        <v>17</v>
      </c>
      <c r="F102" s="10">
        <v>28</v>
      </c>
      <c r="G102" s="10">
        <v>35</v>
      </c>
      <c r="H102" s="10">
        <v>53</v>
      </c>
      <c r="I102" s="10">
        <v>79</v>
      </c>
      <c r="J102" s="10">
        <v>85</v>
      </c>
      <c r="K102" s="10">
        <v>95</v>
      </c>
      <c r="L102" s="81" t="s">
        <v>213</v>
      </c>
      <c r="M102" s="81" t="s">
        <v>213</v>
      </c>
      <c r="N102" s="81" t="s">
        <v>213</v>
      </c>
    </row>
    <row r="103" spans="2:14" ht="19.5" customHeight="1" x14ac:dyDescent="0.2">
      <c r="B103" s="11">
        <v>7</v>
      </c>
      <c r="C103" s="69">
        <v>1</v>
      </c>
      <c r="D103" s="73" t="s">
        <v>209</v>
      </c>
      <c r="E103" s="9">
        <v>17</v>
      </c>
      <c r="F103" s="9">
        <v>19</v>
      </c>
      <c r="G103" s="9">
        <v>39</v>
      </c>
      <c r="H103" s="9">
        <v>52</v>
      </c>
      <c r="I103" s="9">
        <v>72</v>
      </c>
      <c r="J103" s="9">
        <v>79</v>
      </c>
      <c r="K103" s="9">
        <v>88</v>
      </c>
      <c r="L103" s="40">
        <v>98</v>
      </c>
      <c r="M103" s="40">
        <v>101</v>
      </c>
      <c r="N103" s="9">
        <v>99</v>
      </c>
    </row>
    <row r="104" spans="2:14" ht="19.5" customHeight="1" x14ac:dyDescent="0.2">
      <c r="B104" s="65">
        <v>7</v>
      </c>
      <c r="C104" s="70">
        <v>2</v>
      </c>
      <c r="D104" s="74" t="s">
        <v>209</v>
      </c>
      <c r="E104" s="67">
        <v>15</v>
      </c>
      <c r="F104" s="67">
        <v>21</v>
      </c>
      <c r="G104" s="67">
        <v>27</v>
      </c>
      <c r="H104" s="67">
        <v>45</v>
      </c>
      <c r="I104" s="67">
        <v>68</v>
      </c>
      <c r="J104" s="67">
        <v>73</v>
      </c>
      <c r="K104" s="67">
        <v>84</v>
      </c>
      <c r="L104" s="68">
        <v>94</v>
      </c>
      <c r="M104" s="68">
        <v>100</v>
      </c>
      <c r="N104" s="68" t="s">
        <v>213</v>
      </c>
    </row>
    <row r="105" spans="2:14" ht="19.5" customHeight="1" x14ac:dyDescent="0.2">
      <c r="B105" s="65">
        <v>7</v>
      </c>
      <c r="C105" s="70">
        <v>3</v>
      </c>
      <c r="D105" s="74" t="s">
        <v>209</v>
      </c>
      <c r="E105" s="67">
        <v>11</v>
      </c>
      <c r="F105" s="67">
        <v>17</v>
      </c>
      <c r="G105" s="67">
        <v>22</v>
      </c>
      <c r="H105" s="67">
        <v>46</v>
      </c>
      <c r="I105" s="67">
        <v>76</v>
      </c>
      <c r="J105" s="67">
        <v>83</v>
      </c>
      <c r="K105" s="67">
        <v>92</v>
      </c>
      <c r="L105" s="68" t="s">
        <v>213</v>
      </c>
      <c r="M105" s="68" t="s">
        <v>213</v>
      </c>
      <c r="N105" s="68" t="s">
        <v>213</v>
      </c>
    </row>
    <row r="106" spans="2:14" ht="19.5" customHeight="1" x14ac:dyDescent="0.2">
      <c r="B106" s="65">
        <v>7</v>
      </c>
      <c r="C106" s="70">
        <v>4</v>
      </c>
      <c r="D106" s="74" t="s">
        <v>209</v>
      </c>
      <c r="E106" s="67">
        <v>10</v>
      </c>
      <c r="F106" s="67">
        <v>19</v>
      </c>
      <c r="G106" s="67">
        <v>26</v>
      </c>
      <c r="H106" s="67">
        <v>50</v>
      </c>
      <c r="I106" s="67">
        <v>66</v>
      </c>
      <c r="J106" s="67">
        <v>72</v>
      </c>
      <c r="K106" s="67">
        <v>83</v>
      </c>
      <c r="L106" s="67">
        <v>93</v>
      </c>
      <c r="M106" s="68" t="s">
        <v>213</v>
      </c>
      <c r="N106" s="68" t="s">
        <v>213</v>
      </c>
    </row>
    <row r="107" spans="2:14" ht="19.5" customHeight="1" x14ac:dyDescent="0.2">
      <c r="B107" s="65">
        <v>7</v>
      </c>
      <c r="C107" s="70">
        <v>5</v>
      </c>
      <c r="D107" s="74" t="s">
        <v>209</v>
      </c>
      <c r="E107" s="67">
        <v>17</v>
      </c>
      <c r="F107" s="67">
        <v>25</v>
      </c>
      <c r="G107" s="67">
        <v>31</v>
      </c>
      <c r="H107" s="67">
        <v>51</v>
      </c>
      <c r="I107" s="67">
        <v>70</v>
      </c>
      <c r="J107" s="67">
        <v>80</v>
      </c>
      <c r="K107" s="67">
        <v>90</v>
      </c>
      <c r="L107" s="67">
        <v>101</v>
      </c>
      <c r="M107" s="68" t="s">
        <v>213</v>
      </c>
      <c r="N107" s="68" t="s">
        <v>213</v>
      </c>
    </row>
    <row r="108" spans="2:14" ht="19.5" customHeight="1" x14ac:dyDescent="0.2">
      <c r="B108" s="65">
        <v>7</v>
      </c>
      <c r="C108" s="70">
        <v>6</v>
      </c>
      <c r="D108" s="74" t="s">
        <v>209</v>
      </c>
      <c r="E108" s="67">
        <v>10</v>
      </c>
      <c r="F108" s="67">
        <v>15</v>
      </c>
      <c r="G108" s="67">
        <v>22</v>
      </c>
      <c r="H108" s="67">
        <v>46</v>
      </c>
      <c r="I108" s="67">
        <v>67</v>
      </c>
      <c r="J108" s="67">
        <v>72</v>
      </c>
      <c r="K108" s="67">
        <v>81</v>
      </c>
      <c r="L108" s="67">
        <v>90</v>
      </c>
      <c r="M108" s="67">
        <v>99</v>
      </c>
      <c r="N108" s="68" t="s">
        <v>213</v>
      </c>
    </row>
    <row r="109" spans="2:14" ht="19.5" customHeight="1" x14ac:dyDescent="0.2">
      <c r="B109" s="65">
        <v>7</v>
      </c>
      <c r="C109" s="70">
        <v>7</v>
      </c>
      <c r="D109" s="74" t="s">
        <v>209</v>
      </c>
      <c r="E109" s="67">
        <v>11</v>
      </c>
      <c r="F109" s="67">
        <v>19</v>
      </c>
      <c r="G109" s="67">
        <v>25</v>
      </c>
      <c r="H109" s="67">
        <v>48</v>
      </c>
      <c r="I109" s="67">
        <v>65</v>
      </c>
      <c r="J109" s="67">
        <v>71</v>
      </c>
      <c r="K109" s="67">
        <v>80</v>
      </c>
      <c r="L109" s="67">
        <v>92</v>
      </c>
      <c r="M109" s="67">
        <v>100</v>
      </c>
      <c r="N109" s="68" t="s">
        <v>213</v>
      </c>
    </row>
    <row r="110" spans="2:14" ht="19.5" customHeight="1" x14ac:dyDescent="0.2">
      <c r="B110" s="65">
        <v>7</v>
      </c>
      <c r="C110" s="70">
        <v>8</v>
      </c>
      <c r="D110" s="74" t="s">
        <v>209</v>
      </c>
      <c r="E110" s="67">
        <v>4</v>
      </c>
      <c r="F110" s="67">
        <v>9</v>
      </c>
      <c r="G110" s="67">
        <v>13</v>
      </c>
      <c r="H110" s="67">
        <v>39</v>
      </c>
      <c r="I110" s="67">
        <v>55</v>
      </c>
      <c r="J110" s="67">
        <v>63</v>
      </c>
      <c r="K110" s="67">
        <v>74</v>
      </c>
      <c r="L110" s="67">
        <v>89</v>
      </c>
      <c r="M110" s="67">
        <v>99</v>
      </c>
      <c r="N110" s="68" t="s">
        <v>213</v>
      </c>
    </row>
    <row r="111" spans="2:14" ht="19.5" customHeight="1" x14ac:dyDescent="0.2">
      <c r="B111" s="65">
        <v>7</v>
      </c>
      <c r="C111" s="70">
        <v>9</v>
      </c>
      <c r="D111" s="74" t="s">
        <v>209</v>
      </c>
      <c r="E111" s="67">
        <v>6</v>
      </c>
      <c r="F111" s="67">
        <v>11</v>
      </c>
      <c r="G111" s="67">
        <v>20</v>
      </c>
      <c r="H111" s="67">
        <v>47</v>
      </c>
      <c r="I111" s="67">
        <v>66</v>
      </c>
      <c r="J111" s="67">
        <v>75</v>
      </c>
      <c r="K111" s="67">
        <v>84</v>
      </c>
      <c r="L111" s="67">
        <v>96</v>
      </c>
      <c r="M111" s="68" t="s">
        <v>213</v>
      </c>
      <c r="N111" s="68" t="s">
        <v>213</v>
      </c>
    </row>
    <row r="112" spans="2:14" ht="19.5" customHeight="1" x14ac:dyDescent="0.2">
      <c r="B112" s="65">
        <v>7</v>
      </c>
      <c r="C112" s="70">
        <v>10</v>
      </c>
      <c r="D112" s="74" t="s">
        <v>209</v>
      </c>
      <c r="E112" s="67">
        <v>7</v>
      </c>
      <c r="F112" s="67">
        <v>13</v>
      </c>
      <c r="G112" s="67">
        <v>21</v>
      </c>
      <c r="H112" s="67">
        <v>49</v>
      </c>
      <c r="I112" s="67">
        <v>68</v>
      </c>
      <c r="J112" s="67">
        <v>78</v>
      </c>
      <c r="K112" s="67">
        <v>89</v>
      </c>
      <c r="L112" s="67">
        <v>100</v>
      </c>
      <c r="M112" s="68" t="s">
        <v>213</v>
      </c>
      <c r="N112" s="68" t="s">
        <v>213</v>
      </c>
    </row>
    <row r="113" spans="2:14" ht="19.5" customHeight="1" x14ac:dyDescent="0.2">
      <c r="B113" s="65">
        <v>7</v>
      </c>
      <c r="C113" s="70">
        <v>11</v>
      </c>
      <c r="D113" s="74" t="s">
        <v>209</v>
      </c>
      <c r="E113" s="67">
        <v>11</v>
      </c>
      <c r="F113" s="67">
        <v>16</v>
      </c>
      <c r="G113" s="67">
        <v>25</v>
      </c>
      <c r="H113" s="67">
        <v>45</v>
      </c>
      <c r="I113" s="67">
        <v>64</v>
      </c>
      <c r="J113" s="67">
        <v>72</v>
      </c>
      <c r="K113" s="67">
        <v>83</v>
      </c>
      <c r="L113" s="67">
        <v>95</v>
      </c>
      <c r="M113" s="68" t="s">
        <v>213</v>
      </c>
      <c r="N113" s="68" t="s">
        <v>213</v>
      </c>
    </row>
    <row r="114" spans="2:14" ht="19.5" customHeight="1" x14ac:dyDescent="0.2">
      <c r="B114" s="65">
        <v>7</v>
      </c>
      <c r="C114" s="70">
        <v>12</v>
      </c>
      <c r="D114" s="74" t="s">
        <v>209</v>
      </c>
      <c r="E114" s="67">
        <v>10</v>
      </c>
      <c r="F114" s="67">
        <v>16</v>
      </c>
      <c r="G114" s="67">
        <v>25</v>
      </c>
      <c r="H114" s="67">
        <v>44</v>
      </c>
      <c r="I114" s="67">
        <v>60</v>
      </c>
      <c r="J114" s="67">
        <v>67</v>
      </c>
      <c r="K114" s="67">
        <v>78</v>
      </c>
      <c r="L114" s="67">
        <v>88</v>
      </c>
      <c r="M114" s="67">
        <v>99</v>
      </c>
      <c r="N114" s="68" t="s">
        <v>213</v>
      </c>
    </row>
    <row r="115" spans="2:14" ht="19.5" customHeight="1" x14ac:dyDescent="0.2">
      <c r="B115" s="65">
        <v>7</v>
      </c>
      <c r="C115" s="70">
        <v>13</v>
      </c>
      <c r="D115" s="74" t="s">
        <v>209</v>
      </c>
      <c r="E115" s="67">
        <v>9</v>
      </c>
      <c r="F115" s="67">
        <v>15</v>
      </c>
      <c r="G115" s="67">
        <v>24</v>
      </c>
      <c r="H115" s="67">
        <v>43</v>
      </c>
      <c r="I115" s="67">
        <v>61</v>
      </c>
      <c r="J115" s="67">
        <v>69</v>
      </c>
      <c r="K115" s="67">
        <v>81</v>
      </c>
      <c r="L115" s="67">
        <v>94</v>
      </c>
      <c r="M115" s="68" t="s">
        <v>213</v>
      </c>
      <c r="N115" s="68" t="s">
        <v>213</v>
      </c>
    </row>
    <row r="116" spans="2:14" ht="19.5" customHeight="1" x14ac:dyDescent="0.2">
      <c r="B116" s="65">
        <v>7</v>
      </c>
      <c r="C116" s="70">
        <v>14</v>
      </c>
      <c r="D116" s="74" t="s">
        <v>209</v>
      </c>
      <c r="E116" s="67">
        <v>11</v>
      </c>
      <c r="F116" s="67">
        <v>16</v>
      </c>
      <c r="G116" s="67">
        <v>24</v>
      </c>
      <c r="H116" s="67">
        <v>44</v>
      </c>
      <c r="I116" s="67">
        <v>63</v>
      </c>
      <c r="J116" s="67">
        <v>74</v>
      </c>
      <c r="K116" s="67">
        <v>87</v>
      </c>
      <c r="L116" s="67">
        <v>98</v>
      </c>
      <c r="M116" s="68" t="s">
        <v>213</v>
      </c>
      <c r="N116" s="68" t="s">
        <v>213</v>
      </c>
    </row>
    <row r="117" spans="2:14" ht="19.5" customHeight="1" thickBot="1" x14ac:dyDescent="0.25">
      <c r="B117" s="66">
        <v>7</v>
      </c>
      <c r="C117" s="71">
        <v>15</v>
      </c>
      <c r="D117" s="75" t="s">
        <v>209</v>
      </c>
      <c r="E117" s="10">
        <v>7</v>
      </c>
      <c r="F117" s="10">
        <v>11</v>
      </c>
      <c r="G117" s="10">
        <v>22</v>
      </c>
      <c r="H117" s="10">
        <v>40</v>
      </c>
      <c r="I117" s="10">
        <v>55</v>
      </c>
      <c r="J117" s="10">
        <v>62</v>
      </c>
      <c r="K117" s="10">
        <v>73</v>
      </c>
      <c r="L117" s="10">
        <v>84</v>
      </c>
      <c r="M117" s="10">
        <v>97</v>
      </c>
      <c r="N117" s="10">
        <v>98</v>
      </c>
    </row>
    <row r="118" spans="2:14" ht="19.5" customHeight="1" x14ac:dyDescent="0.2">
      <c r="B118" s="11">
        <v>8</v>
      </c>
      <c r="C118" s="69">
        <v>15</v>
      </c>
      <c r="D118" s="73" t="s">
        <v>210</v>
      </c>
      <c r="E118" s="9">
        <v>9</v>
      </c>
      <c r="F118" s="9">
        <v>14</v>
      </c>
      <c r="G118" s="9">
        <v>20</v>
      </c>
      <c r="H118" s="9">
        <v>48</v>
      </c>
      <c r="I118" s="9">
        <v>62</v>
      </c>
      <c r="J118" s="9">
        <v>72</v>
      </c>
      <c r="K118" s="9">
        <v>83</v>
      </c>
      <c r="L118" s="40">
        <v>90</v>
      </c>
      <c r="M118" s="40">
        <v>99</v>
      </c>
      <c r="N118" s="40" t="s">
        <v>213</v>
      </c>
    </row>
    <row r="119" spans="2:14" ht="19.5" customHeight="1" x14ac:dyDescent="0.2">
      <c r="B119" s="65">
        <v>8</v>
      </c>
      <c r="C119" s="70">
        <v>14</v>
      </c>
      <c r="D119" s="74" t="s">
        <v>210</v>
      </c>
      <c r="E119" s="67">
        <v>10</v>
      </c>
      <c r="F119" s="67">
        <v>19</v>
      </c>
      <c r="G119" s="67">
        <v>27</v>
      </c>
      <c r="H119" s="67">
        <v>47</v>
      </c>
      <c r="I119" s="67">
        <v>66</v>
      </c>
      <c r="J119" s="67">
        <v>74</v>
      </c>
      <c r="K119" s="67">
        <v>85</v>
      </c>
      <c r="L119" s="68">
        <v>91</v>
      </c>
      <c r="M119" s="68">
        <v>99</v>
      </c>
      <c r="N119" s="67">
        <v>99</v>
      </c>
    </row>
    <row r="120" spans="2:14" ht="19.5" customHeight="1" x14ac:dyDescent="0.2">
      <c r="B120" s="65">
        <v>8</v>
      </c>
      <c r="C120" s="70">
        <v>13</v>
      </c>
      <c r="D120" s="74" t="s">
        <v>210</v>
      </c>
      <c r="E120" s="67">
        <v>11</v>
      </c>
      <c r="F120" s="67">
        <v>17</v>
      </c>
      <c r="G120" s="67">
        <v>24</v>
      </c>
      <c r="H120" s="67">
        <v>45</v>
      </c>
      <c r="I120" s="67">
        <v>63</v>
      </c>
      <c r="J120" s="67">
        <v>70</v>
      </c>
      <c r="K120" s="67">
        <v>79</v>
      </c>
      <c r="L120" s="67">
        <v>89</v>
      </c>
      <c r="M120" s="67">
        <v>96</v>
      </c>
      <c r="N120" s="67">
        <v>97</v>
      </c>
    </row>
    <row r="121" spans="2:14" ht="19.5" customHeight="1" x14ac:dyDescent="0.2">
      <c r="B121" s="65">
        <v>8</v>
      </c>
      <c r="C121" s="70">
        <v>12</v>
      </c>
      <c r="D121" s="74" t="s">
        <v>210</v>
      </c>
      <c r="E121" s="67">
        <v>8</v>
      </c>
      <c r="F121" s="67">
        <v>16</v>
      </c>
      <c r="G121" s="67">
        <v>22</v>
      </c>
      <c r="H121" s="67">
        <v>44</v>
      </c>
      <c r="I121" s="67">
        <v>64</v>
      </c>
      <c r="J121" s="67">
        <v>70</v>
      </c>
      <c r="K121" s="67">
        <v>81</v>
      </c>
      <c r="L121" s="67">
        <v>93</v>
      </c>
      <c r="M121" s="68" t="s">
        <v>213</v>
      </c>
      <c r="N121" s="68" t="s">
        <v>213</v>
      </c>
    </row>
    <row r="122" spans="2:14" ht="19.5" customHeight="1" x14ac:dyDescent="0.2">
      <c r="B122" s="65">
        <v>8</v>
      </c>
      <c r="C122" s="70">
        <v>11</v>
      </c>
      <c r="D122" s="74" t="s">
        <v>210</v>
      </c>
      <c r="E122" s="67">
        <v>12</v>
      </c>
      <c r="F122" s="67">
        <v>18</v>
      </c>
      <c r="G122" s="67">
        <v>25</v>
      </c>
      <c r="H122" s="67">
        <v>52</v>
      </c>
      <c r="I122" s="67">
        <v>71</v>
      </c>
      <c r="J122" s="67">
        <v>82</v>
      </c>
      <c r="K122" s="67">
        <v>93</v>
      </c>
      <c r="L122" s="68" t="s">
        <v>213</v>
      </c>
      <c r="M122" s="68" t="s">
        <v>213</v>
      </c>
      <c r="N122" s="68" t="s">
        <v>213</v>
      </c>
    </row>
    <row r="123" spans="2:14" ht="19.5" customHeight="1" x14ac:dyDescent="0.2">
      <c r="B123" s="65">
        <v>8</v>
      </c>
      <c r="C123" s="70">
        <v>10</v>
      </c>
      <c r="D123" s="74" t="s">
        <v>210</v>
      </c>
      <c r="E123" s="67">
        <v>6</v>
      </c>
      <c r="F123" s="67">
        <v>10</v>
      </c>
      <c r="G123" s="67">
        <v>16</v>
      </c>
      <c r="H123" s="67">
        <v>44</v>
      </c>
      <c r="I123" s="67">
        <v>62</v>
      </c>
      <c r="J123" s="67">
        <v>74</v>
      </c>
      <c r="K123" s="67">
        <v>85</v>
      </c>
      <c r="L123" s="67">
        <v>95</v>
      </c>
      <c r="M123" s="68" t="s">
        <v>213</v>
      </c>
      <c r="N123" s="68" t="s">
        <v>213</v>
      </c>
    </row>
    <row r="124" spans="2:14" ht="19.5" customHeight="1" x14ac:dyDescent="0.2">
      <c r="B124" s="65">
        <v>8</v>
      </c>
      <c r="C124" s="70">
        <v>9</v>
      </c>
      <c r="D124" s="74" t="s">
        <v>210</v>
      </c>
      <c r="E124" s="67">
        <v>12</v>
      </c>
      <c r="F124" s="67">
        <v>19</v>
      </c>
      <c r="G124" s="67">
        <v>26</v>
      </c>
      <c r="H124" s="67">
        <v>48</v>
      </c>
      <c r="I124" s="67">
        <v>70</v>
      </c>
      <c r="J124" s="67">
        <v>81</v>
      </c>
      <c r="K124" s="67">
        <v>95</v>
      </c>
      <c r="L124" s="68" t="s">
        <v>213</v>
      </c>
      <c r="M124" s="68" t="s">
        <v>213</v>
      </c>
      <c r="N124" s="68" t="s">
        <v>213</v>
      </c>
    </row>
    <row r="125" spans="2:14" ht="19.5" customHeight="1" x14ac:dyDescent="0.2">
      <c r="B125" s="65">
        <v>8</v>
      </c>
      <c r="C125" s="70">
        <v>8</v>
      </c>
      <c r="D125" s="74" t="s">
        <v>210</v>
      </c>
      <c r="E125" s="67">
        <v>17</v>
      </c>
      <c r="F125" s="67">
        <v>27</v>
      </c>
      <c r="G125" s="67">
        <v>34</v>
      </c>
      <c r="H125" s="67">
        <v>55</v>
      </c>
      <c r="I125" s="67">
        <v>77</v>
      </c>
      <c r="J125" s="67">
        <v>89</v>
      </c>
      <c r="K125" s="67">
        <v>98</v>
      </c>
      <c r="L125" s="68" t="s">
        <v>213</v>
      </c>
      <c r="M125" s="68" t="s">
        <v>213</v>
      </c>
      <c r="N125" s="68" t="s">
        <v>213</v>
      </c>
    </row>
    <row r="126" spans="2:14" ht="19.5" customHeight="1" x14ac:dyDescent="0.2">
      <c r="B126" s="65">
        <v>8</v>
      </c>
      <c r="C126" s="70">
        <v>7</v>
      </c>
      <c r="D126" s="74" t="s">
        <v>210</v>
      </c>
      <c r="E126" s="67">
        <v>10</v>
      </c>
      <c r="F126" s="67">
        <v>18</v>
      </c>
      <c r="G126" s="67">
        <v>25</v>
      </c>
      <c r="H126" s="67">
        <v>48</v>
      </c>
      <c r="I126" s="67">
        <v>68</v>
      </c>
      <c r="J126" s="67">
        <v>75</v>
      </c>
      <c r="K126" s="67">
        <v>84</v>
      </c>
      <c r="L126" s="67">
        <v>95</v>
      </c>
      <c r="M126" s="68" t="s">
        <v>213</v>
      </c>
      <c r="N126" s="68" t="s">
        <v>213</v>
      </c>
    </row>
    <row r="127" spans="2:14" ht="19.5" customHeight="1" x14ac:dyDescent="0.2">
      <c r="B127" s="65">
        <v>8</v>
      </c>
      <c r="C127" s="70">
        <v>6</v>
      </c>
      <c r="D127" s="74" t="s">
        <v>210</v>
      </c>
      <c r="E127" s="67">
        <v>15</v>
      </c>
      <c r="F127" s="67">
        <v>21</v>
      </c>
      <c r="G127" s="67">
        <v>30</v>
      </c>
      <c r="H127" s="67">
        <v>49</v>
      </c>
      <c r="I127" s="67">
        <v>73</v>
      </c>
      <c r="J127" s="67">
        <v>85</v>
      </c>
      <c r="K127" s="67">
        <v>98</v>
      </c>
      <c r="L127" s="68" t="s">
        <v>213</v>
      </c>
      <c r="M127" s="68" t="s">
        <v>213</v>
      </c>
      <c r="N127" s="68" t="s">
        <v>213</v>
      </c>
    </row>
    <row r="128" spans="2:14" ht="19.5" customHeight="1" x14ac:dyDescent="0.2">
      <c r="B128" s="65">
        <v>8</v>
      </c>
      <c r="C128" s="70">
        <v>5</v>
      </c>
      <c r="D128" s="74" t="s">
        <v>210</v>
      </c>
      <c r="E128" s="67">
        <v>11</v>
      </c>
      <c r="F128" s="67">
        <v>18</v>
      </c>
      <c r="G128" s="67">
        <v>23</v>
      </c>
      <c r="H128" s="67">
        <v>44</v>
      </c>
      <c r="I128" s="67">
        <v>67</v>
      </c>
      <c r="J128" s="67">
        <v>75</v>
      </c>
      <c r="K128" s="67">
        <v>85</v>
      </c>
      <c r="L128" s="67">
        <v>97</v>
      </c>
      <c r="M128" s="68" t="s">
        <v>213</v>
      </c>
      <c r="N128" s="68" t="s">
        <v>213</v>
      </c>
    </row>
    <row r="129" spans="2:14" ht="19.5" customHeight="1" x14ac:dyDescent="0.2">
      <c r="B129" s="65">
        <v>8</v>
      </c>
      <c r="C129" s="70">
        <v>4</v>
      </c>
      <c r="D129" s="74" t="s">
        <v>210</v>
      </c>
      <c r="E129" s="67">
        <v>17</v>
      </c>
      <c r="F129" s="67">
        <v>26</v>
      </c>
      <c r="G129" s="67">
        <v>32</v>
      </c>
      <c r="H129" s="67">
        <v>52</v>
      </c>
      <c r="I129" s="67">
        <v>76</v>
      </c>
      <c r="J129" s="67">
        <v>88</v>
      </c>
      <c r="K129" s="67">
        <v>99</v>
      </c>
      <c r="L129" s="68" t="s">
        <v>213</v>
      </c>
      <c r="M129" s="68" t="s">
        <v>213</v>
      </c>
      <c r="N129" s="68" t="s">
        <v>213</v>
      </c>
    </row>
    <row r="130" spans="2:14" ht="19.5" customHeight="1" x14ac:dyDescent="0.2">
      <c r="B130" s="65">
        <v>8</v>
      </c>
      <c r="C130" s="70">
        <v>3</v>
      </c>
      <c r="D130" s="74" t="s">
        <v>210</v>
      </c>
      <c r="E130" s="67">
        <v>15</v>
      </c>
      <c r="F130" s="67">
        <v>22</v>
      </c>
      <c r="G130" s="67">
        <v>27</v>
      </c>
      <c r="H130" s="67">
        <v>51</v>
      </c>
      <c r="I130" s="67">
        <v>74</v>
      </c>
      <c r="J130" s="67">
        <v>85</v>
      </c>
      <c r="K130" s="67">
        <v>94</v>
      </c>
      <c r="L130" s="68" t="s">
        <v>213</v>
      </c>
      <c r="M130" s="68" t="s">
        <v>213</v>
      </c>
      <c r="N130" s="68" t="s">
        <v>213</v>
      </c>
    </row>
    <row r="131" spans="2:14" ht="19.5" customHeight="1" x14ac:dyDescent="0.2">
      <c r="B131" s="65">
        <v>8</v>
      </c>
      <c r="C131" s="70">
        <v>2</v>
      </c>
      <c r="D131" s="74" t="s">
        <v>210</v>
      </c>
      <c r="E131" s="67">
        <v>15</v>
      </c>
      <c r="F131" s="67">
        <v>21</v>
      </c>
      <c r="G131" s="67">
        <v>26</v>
      </c>
      <c r="H131" s="67">
        <v>50</v>
      </c>
      <c r="I131" s="67">
        <v>76</v>
      </c>
      <c r="J131" s="67">
        <v>83</v>
      </c>
      <c r="K131" s="67">
        <v>90</v>
      </c>
      <c r="L131" s="67">
        <v>98</v>
      </c>
      <c r="M131" s="68" t="s">
        <v>213</v>
      </c>
      <c r="N131" s="68" t="s">
        <v>213</v>
      </c>
    </row>
    <row r="132" spans="2:14" ht="19.5" customHeight="1" thickBot="1" x14ac:dyDescent="0.25">
      <c r="B132" s="66">
        <v>8</v>
      </c>
      <c r="C132" s="71">
        <v>1</v>
      </c>
      <c r="D132" s="75" t="s">
        <v>210</v>
      </c>
      <c r="E132" s="10">
        <v>16</v>
      </c>
      <c r="F132" s="10">
        <v>23</v>
      </c>
      <c r="G132" s="10">
        <v>32</v>
      </c>
      <c r="H132" s="10">
        <v>53</v>
      </c>
      <c r="I132" s="10">
        <v>78</v>
      </c>
      <c r="J132" s="10">
        <v>84</v>
      </c>
      <c r="K132" s="10">
        <v>90</v>
      </c>
      <c r="L132" s="10">
        <v>97</v>
      </c>
      <c r="M132" s="10">
        <v>100</v>
      </c>
      <c r="N132" s="81" t="s">
        <v>213</v>
      </c>
    </row>
    <row r="133" spans="2:14" ht="19.5" customHeight="1" x14ac:dyDescent="0.2">
      <c r="B133" s="11">
        <v>9</v>
      </c>
      <c r="C133" s="69">
        <v>1</v>
      </c>
      <c r="D133" s="73" t="s">
        <v>210</v>
      </c>
      <c r="E133" s="9">
        <v>21</v>
      </c>
      <c r="F133" s="9">
        <v>37</v>
      </c>
      <c r="G133" s="9">
        <v>37</v>
      </c>
      <c r="H133" s="9">
        <v>60</v>
      </c>
      <c r="I133" s="9">
        <v>80</v>
      </c>
      <c r="J133" s="9">
        <v>81</v>
      </c>
      <c r="K133" s="9">
        <v>91</v>
      </c>
      <c r="L133" s="40">
        <v>100</v>
      </c>
      <c r="M133" s="40" t="s">
        <v>213</v>
      </c>
      <c r="N133" s="40" t="s">
        <v>213</v>
      </c>
    </row>
    <row r="134" spans="2:14" ht="19.5" customHeight="1" x14ac:dyDescent="0.2">
      <c r="B134" s="65">
        <v>9</v>
      </c>
      <c r="C134" s="70">
        <v>2</v>
      </c>
      <c r="D134" s="74" t="s">
        <v>210</v>
      </c>
      <c r="E134" s="67">
        <v>16</v>
      </c>
      <c r="F134" s="67">
        <v>23</v>
      </c>
      <c r="G134" s="67">
        <v>28</v>
      </c>
      <c r="H134" s="67">
        <v>52</v>
      </c>
      <c r="I134" s="67">
        <v>74</v>
      </c>
      <c r="J134" s="67">
        <v>76</v>
      </c>
      <c r="K134" s="67">
        <v>85</v>
      </c>
      <c r="L134" s="68">
        <v>96</v>
      </c>
      <c r="M134" s="68" t="s">
        <v>213</v>
      </c>
      <c r="N134" s="67">
        <v>93</v>
      </c>
    </row>
    <row r="135" spans="2:14" ht="19.5" customHeight="1" x14ac:dyDescent="0.2">
      <c r="B135" s="65">
        <v>9</v>
      </c>
      <c r="C135" s="70">
        <v>3</v>
      </c>
      <c r="D135" s="74" t="s">
        <v>210</v>
      </c>
      <c r="E135" s="67">
        <v>14</v>
      </c>
      <c r="F135" s="67">
        <v>20</v>
      </c>
      <c r="G135" s="67">
        <v>28</v>
      </c>
      <c r="H135" s="67">
        <v>53</v>
      </c>
      <c r="I135" s="67">
        <v>76</v>
      </c>
      <c r="J135" s="67">
        <v>80</v>
      </c>
      <c r="K135" s="67">
        <v>91</v>
      </c>
      <c r="L135" s="68" t="s">
        <v>213</v>
      </c>
      <c r="M135" s="68" t="s">
        <v>213</v>
      </c>
      <c r="N135" s="68" t="s">
        <v>213</v>
      </c>
    </row>
    <row r="136" spans="2:14" ht="19.5" customHeight="1" x14ac:dyDescent="0.2">
      <c r="B136" s="65">
        <v>9</v>
      </c>
      <c r="C136" s="70">
        <v>4</v>
      </c>
      <c r="D136" s="74" t="s">
        <v>210</v>
      </c>
      <c r="E136" s="67">
        <v>12</v>
      </c>
      <c r="F136" s="67">
        <v>21</v>
      </c>
      <c r="G136" s="67">
        <v>30</v>
      </c>
      <c r="H136" s="67">
        <v>55</v>
      </c>
      <c r="I136" s="67">
        <v>77</v>
      </c>
      <c r="J136" s="67">
        <v>82</v>
      </c>
      <c r="K136" s="67">
        <v>94</v>
      </c>
      <c r="L136" s="68" t="s">
        <v>213</v>
      </c>
      <c r="M136" s="68" t="s">
        <v>213</v>
      </c>
      <c r="N136" s="68" t="s">
        <v>213</v>
      </c>
    </row>
    <row r="137" spans="2:14" ht="19.5" customHeight="1" x14ac:dyDescent="0.2">
      <c r="B137" s="65">
        <v>9</v>
      </c>
      <c r="C137" s="70">
        <v>5</v>
      </c>
      <c r="D137" s="74" t="s">
        <v>210</v>
      </c>
      <c r="E137" s="67">
        <v>12</v>
      </c>
      <c r="F137" s="67">
        <v>22</v>
      </c>
      <c r="G137" s="67">
        <v>29</v>
      </c>
      <c r="H137" s="67">
        <v>55</v>
      </c>
      <c r="I137" s="67">
        <v>78</v>
      </c>
      <c r="J137" s="67">
        <v>84</v>
      </c>
      <c r="K137" s="67">
        <v>92</v>
      </c>
      <c r="L137" s="68" t="s">
        <v>213</v>
      </c>
      <c r="M137" s="68" t="s">
        <v>213</v>
      </c>
      <c r="N137" s="68" t="s">
        <v>213</v>
      </c>
    </row>
    <row r="138" spans="2:14" ht="19.5" customHeight="1" x14ac:dyDescent="0.2">
      <c r="B138" s="65">
        <v>9</v>
      </c>
      <c r="C138" s="70">
        <v>6</v>
      </c>
      <c r="D138" s="74" t="s">
        <v>210</v>
      </c>
      <c r="E138" s="67">
        <v>12</v>
      </c>
      <c r="F138" s="67">
        <v>25</v>
      </c>
      <c r="G138" s="67">
        <v>32</v>
      </c>
      <c r="H138" s="67">
        <v>57</v>
      </c>
      <c r="I138" s="67">
        <v>78</v>
      </c>
      <c r="J138" s="67">
        <v>86</v>
      </c>
      <c r="K138" s="67">
        <v>95</v>
      </c>
      <c r="L138" s="68" t="s">
        <v>213</v>
      </c>
      <c r="M138" s="68" t="s">
        <v>213</v>
      </c>
      <c r="N138" s="68" t="s">
        <v>213</v>
      </c>
    </row>
    <row r="139" spans="2:14" ht="19.5" customHeight="1" x14ac:dyDescent="0.2">
      <c r="B139" s="65">
        <v>9</v>
      </c>
      <c r="C139" s="70">
        <v>7</v>
      </c>
      <c r="D139" s="74" t="s">
        <v>210</v>
      </c>
      <c r="E139" s="67">
        <v>14</v>
      </c>
      <c r="F139" s="67">
        <v>23</v>
      </c>
      <c r="G139" s="67">
        <v>28</v>
      </c>
      <c r="H139" s="67">
        <v>50</v>
      </c>
      <c r="I139" s="67">
        <v>70</v>
      </c>
      <c r="J139" s="67">
        <v>77</v>
      </c>
      <c r="K139" s="67">
        <v>84</v>
      </c>
      <c r="L139" s="67">
        <v>93</v>
      </c>
      <c r="M139" s="67">
        <v>95</v>
      </c>
      <c r="N139" s="67">
        <v>93</v>
      </c>
    </row>
    <row r="140" spans="2:14" ht="19.5" customHeight="1" x14ac:dyDescent="0.2">
      <c r="B140" s="65">
        <v>9</v>
      </c>
      <c r="C140" s="70">
        <v>8</v>
      </c>
      <c r="D140" s="74" t="s">
        <v>210</v>
      </c>
      <c r="E140" s="67">
        <v>17</v>
      </c>
      <c r="F140" s="67">
        <v>24</v>
      </c>
      <c r="G140" s="67">
        <v>32</v>
      </c>
      <c r="H140" s="67">
        <v>55</v>
      </c>
      <c r="I140" s="67">
        <v>74</v>
      </c>
      <c r="J140" s="67">
        <v>85</v>
      </c>
      <c r="K140" s="67">
        <v>96</v>
      </c>
      <c r="L140" s="68" t="s">
        <v>213</v>
      </c>
      <c r="M140" s="68" t="s">
        <v>213</v>
      </c>
      <c r="N140" s="68" t="s">
        <v>213</v>
      </c>
    </row>
    <row r="141" spans="2:14" ht="19.5" customHeight="1" x14ac:dyDescent="0.2">
      <c r="B141" s="65">
        <v>9</v>
      </c>
      <c r="C141" s="70">
        <v>9</v>
      </c>
      <c r="D141" s="74" t="s">
        <v>210</v>
      </c>
      <c r="E141" s="67">
        <v>11</v>
      </c>
      <c r="F141" s="67">
        <v>17</v>
      </c>
      <c r="G141" s="67">
        <v>23</v>
      </c>
      <c r="H141" s="67">
        <v>47</v>
      </c>
      <c r="I141" s="67">
        <v>68</v>
      </c>
      <c r="J141" s="67">
        <v>80</v>
      </c>
      <c r="K141" s="67">
        <v>91</v>
      </c>
      <c r="L141" s="67">
        <v>102</v>
      </c>
      <c r="M141" s="68" t="s">
        <v>213</v>
      </c>
      <c r="N141" s="68" t="s">
        <v>213</v>
      </c>
    </row>
    <row r="142" spans="2:14" ht="19.5" customHeight="1" x14ac:dyDescent="0.2">
      <c r="B142" s="65">
        <v>9</v>
      </c>
      <c r="C142" s="70">
        <v>10</v>
      </c>
      <c r="D142" s="74" t="s">
        <v>210</v>
      </c>
      <c r="E142" s="67">
        <v>15</v>
      </c>
      <c r="F142" s="67">
        <v>24</v>
      </c>
      <c r="G142" s="67">
        <v>30</v>
      </c>
      <c r="H142" s="67">
        <v>53</v>
      </c>
      <c r="I142" s="67">
        <v>72</v>
      </c>
      <c r="J142" s="67">
        <v>81</v>
      </c>
      <c r="K142" s="67">
        <v>90</v>
      </c>
      <c r="L142" s="67">
        <v>99</v>
      </c>
      <c r="M142" s="67">
        <v>101</v>
      </c>
      <c r="N142" s="67">
        <v>100</v>
      </c>
    </row>
    <row r="143" spans="2:14" ht="19.5" customHeight="1" x14ac:dyDescent="0.2">
      <c r="B143" s="65">
        <v>9</v>
      </c>
      <c r="C143" s="70">
        <v>11</v>
      </c>
      <c r="D143" s="74" t="s">
        <v>210</v>
      </c>
      <c r="E143" s="67">
        <v>11</v>
      </c>
      <c r="F143" s="67">
        <v>22</v>
      </c>
      <c r="G143" s="67">
        <v>28</v>
      </c>
      <c r="H143" s="67">
        <v>50</v>
      </c>
      <c r="I143" s="67">
        <v>70</v>
      </c>
      <c r="J143" s="67">
        <v>81</v>
      </c>
      <c r="K143" s="67">
        <v>88</v>
      </c>
      <c r="L143" s="67">
        <v>98</v>
      </c>
      <c r="M143" s="67">
        <v>100</v>
      </c>
      <c r="N143" s="68" t="s">
        <v>213</v>
      </c>
    </row>
    <row r="144" spans="2:14" ht="19.5" customHeight="1" x14ac:dyDescent="0.2">
      <c r="B144" s="65">
        <v>9</v>
      </c>
      <c r="C144" s="70">
        <v>12</v>
      </c>
      <c r="D144" s="74" t="s">
        <v>210</v>
      </c>
      <c r="E144" s="67">
        <v>10</v>
      </c>
      <c r="F144" s="67">
        <v>20</v>
      </c>
      <c r="G144" s="67">
        <v>27</v>
      </c>
      <c r="H144" s="67">
        <v>51</v>
      </c>
      <c r="I144" s="67">
        <v>73</v>
      </c>
      <c r="J144" s="67">
        <v>83</v>
      </c>
      <c r="K144" s="67">
        <v>90</v>
      </c>
      <c r="L144" s="67">
        <v>100</v>
      </c>
      <c r="M144" s="68" t="s">
        <v>213</v>
      </c>
      <c r="N144" s="68" t="s">
        <v>213</v>
      </c>
    </row>
    <row r="145" spans="2:14 2170:2170" ht="19.5" customHeight="1" x14ac:dyDescent="0.2">
      <c r="B145" s="65">
        <v>9</v>
      </c>
      <c r="C145" s="70">
        <v>13</v>
      </c>
      <c r="D145" s="74" t="s">
        <v>210</v>
      </c>
      <c r="E145" s="67">
        <v>11</v>
      </c>
      <c r="F145" s="67">
        <v>18</v>
      </c>
      <c r="G145" s="67">
        <v>26</v>
      </c>
      <c r="H145" s="67">
        <v>51</v>
      </c>
      <c r="I145" s="67">
        <v>72</v>
      </c>
      <c r="J145" s="67">
        <v>80</v>
      </c>
      <c r="K145" s="67">
        <v>89</v>
      </c>
      <c r="L145" s="67">
        <v>94</v>
      </c>
      <c r="M145" s="67">
        <v>96</v>
      </c>
      <c r="N145" s="67">
        <v>96</v>
      </c>
    </row>
    <row r="146" spans="2:14 2170:2170" ht="19.5" customHeight="1" x14ac:dyDescent="0.2">
      <c r="B146" s="65">
        <v>9</v>
      </c>
      <c r="C146" s="70">
        <v>14</v>
      </c>
      <c r="D146" s="74" t="s">
        <v>210</v>
      </c>
      <c r="E146" s="67">
        <v>13</v>
      </c>
      <c r="F146" s="67">
        <v>19</v>
      </c>
      <c r="G146" s="67">
        <v>25</v>
      </c>
      <c r="H146" s="67">
        <v>51</v>
      </c>
      <c r="I146" s="67">
        <v>71</v>
      </c>
      <c r="J146" s="67">
        <v>78</v>
      </c>
      <c r="K146" s="67">
        <v>86</v>
      </c>
      <c r="L146" s="67">
        <v>90</v>
      </c>
      <c r="M146" s="67">
        <v>92</v>
      </c>
      <c r="N146" s="67">
        <v>94</v>
      </c>
    </row>
    <row r="147" spans="2:14 2170:2170" ht="19.5" customHeight="1" thickBot="1" x14ac:dyDescent="0.25">
      <c r="B147" s="66">
        <v>9</v>
      </c>
      <c r="C147" s="71">
        <v>15</v>
      </c>
      <c r="D147" s="75" t="s">
        <v>210</v>
      </c>
      <c r="E147" s="10">
        <v>12</v>
      </c>
      <c r="F147" s="10">
        <v>19</v>
      </c>
      <c r="G147" s="10">
        <v>26</v>
      </c>
      <c r="H147" s="10">
        <v>50</v>
      </c>
      <c r="I147" s="10">
        <v>71</v>
      </c>
      <c r="J147" s="10">
        <v>80</v>
      </c>
      <c r="K147" s="10">
        <v>90</v>
      </c>
      <c r="L147" s="10">
        <v>97</v>
      </c>
      <c r="M147" s="81" t="s">
        <v>213</v>
      </c>
      <c r="N147" s="81" t="s">
        <v>213</v>
      </c>
    </row>
    <row r="148" spans="2:14 2170:2170" ht="19.5" customHeight="1" x14ac:dyDescent="0.2">
      <c r="B148" s="11">
        <v>10</v>
      </c>
      <c r="C148" s="69">
        <v>15</v>
      </c>
      <c r="D148" s="73" t="s">
        <v>209</v>
      </c>
      <c r="E148" s="9">
        <v>12</v>
      </c>
      <c r="F148" s="9">
        <v>19</v>
      </c>
      <c r="G148" s="9">
        <v>22</v>
      </c>
      <c r="H148" s="9">
        <v>48</v>
      </c>
      <c r="I148" s="9">
        <v>64</v>
      </c>
      <c r="J148" s="9">
        <v>74</v>
      </c>
      <c r="K148" s="9">
        <v>85</v>
      </c>
      <c r="L148" s="40">
        <v>95</v>
      </c>
      <c r="M148" s="40">
        <v>99</v>
      </c>
      <c r="N148" s="9">
        <v>98</v>
      </c>
    </row>
    <row r="149" spans="2:14 2170:2170" ht="19.5" customHeight="1" x14ac:dyDescent="0.2">
      <c r="B149" s="65">
        <v>10</v>
      </c>
      <c r="C149" s="70">
        <v>14</v>
      </c>
      <c r="D149" s="74" t="s">
        <v>209</v>
      </c>
      <c r="E149" s="67">
        <v>8</v>
      </c>
      <c r="F149" s="67">
        <v>13</v>
      </c>
      <c r="G149" s="67">
        <v>21</v>
      </c>
      <c r="H149" s="67">
        <v>47</v>
      </c>
      <c r="I149" s="67">
        <v>62</v>
      </c>
      <c r="J149" s="67">
        <v>70</v>
      </c>
      <c r="K149" s="67">
        <v>79</v>
      </c>
      <c r="L149" s="68">
        <v>88</v>
      </c>
      <c r="M149" s="68">
        <v>92</v>
      </c>
      <c r="N149" s="67">
        <v>90</v>
      </c>
    </row>
    <row r="150" spans="2:14 2170:2170" ht="19.5" customHeight="1" x14ac:dyDescent="0.2">
      <c r="B150" s="65">
        <v>10</v>
      </c>
      <c r="C150" s="70">
        <v>13</v>
      </c>
      <c r="D150" s="74" t="s">
        <v>209</v>
      </c>
      <c r="E150" s="67">
        <v>5</v>
      </c>
      <c r="F150" s="67">
        <v>10</v>
      </c>
      <c r="G150" s="67">
        <v>16</v>
      </c>
      <c r="H150" s="67">
        <v>42</v>
      </c>
      <c r="I150" s="67">
        <v>58</v>
      </c>
      <c r="J150" s="67">
        <v>63</v>
      </c>
      <c r="K150" s="67">
        <v>70</v>
      </c>
      <c r="L150" s="67">
        <v>79</v>
      </c>
      <c r="M150" s="67">
        <v>88</v>
      </c>
      <c r="N150" s="67">
        <v>95</v>
      </c>
    </row>
    <row r="151" spans="2:14 2170:2170" ht="19.5" customHeight="1" x14ac:dyDescent="0.2">
      <c r="B151" s="65">
        <v>10</v>
      </c>
      <c r="C151" s="70">
        <v>12</v>
      </c>
      <c r="D151" s="74" t="s">
        <v>209</v>
      </c>
      <c r="E151" s="67">
        <v>7</v>
      </c>
      <c r="F151" s="67">
        <v>12</v>
      </c>
      <c r="G151" s="67">
        <v>20</v>
      </c>
      <c r="H151" s="67">
        <v>44</v>
      </c>
      <c r="I151" s="67">
        <v>60</v>
      </c>
      <c r="J151" s="67">
        <v>68</v>
      </c>
      <c r="K151" s="67">
        <v>76</v>
      </c>
      <c r="L151" s="67">
        <v>86</v>
      </c>
      <c r="M151" s="67">
        <v>98</v>
      </c>
      <c r="N151" s="68" t="s">
        <v>213</v>
      </c>
    </row>
    <row r="152" spans="2:14 2170:2170" ht="19.5" customHeight="1" x14ac:dyDescent="0.2">
      <c r="B152" s="65">
        <v>10</v>
      </c>
      <c r="C152" s="70">
        <v>11</v>
      </c>
      <c r="D152" s="74" t="s">
        <v>209</v>
      </c>
      <c r="E152" s="67">
        <v>9</v>
      </c>
      <c r="F152" s="67">
        <v>14</v>
      </c>
      <c r="G152" s="67">
        <v>23</v>
      </c>
      <c r="H152" s="67">
        <v>47</v>
      </c>
      <c r="I152" s="67">
        <v>62</v>
      </c>
      <c r="J152" s="67">
        <v>71</v>
      </c>
      <c r="K152" s="67">
        <v>78</v>
      </c>
      <c r="L152" s="67">
        <v>89</v>
      </c>
      <c r="M152" s="67">
        <v>99</v>
      </c>
      <c r="N152" s="68" t="s">
        <v>213</v>
      </c>
    </row>
    <row r="153" spans="2:14 2170:2170" ht="19.5" customHeight="1" x14ac:dyDescent="0.2">
      <c r="B153" s="65">
        <v>10</v>
      </c>
      <c r="C153" s="70">
        <v>10</v>
      </c>
      <c r="D153" s="74" t="s">
        <v>209</v>
      </c>
      <c r="E153" s="67">
        <v>12</v>
      </c>
      <c r="F153" s="67">
        <v>17</v>
      </c>
      <c r="G153" s="67">
        <v>26</v>
      </c>
      <c r="H153" s="67">
        <v>50</v>
      </c>
      <c r="I153" s="67">
        <v>68</v>
      </c>
      <c r="J153" s="67">
        <v>79</v>
      </c>
      <c r="K153" s="67">
        <v>89</v>
      </c>
      <c r="L153" s="67">
        <v>101</v>
      </c>
      <c r="M153" s="68" t="s">
        <v>213</v>
      </c>
      <c r="N153" s="68" t="s">
        <v>213</v>
      </c>
    </row>
    <row r="154" spans="2:14 2170:2170" ht="19.5" customHeight="1" x14ac:dyDescent="0.2">
      <c r="B154" s="65">
        <v>10</v>
      </c>
      <c r="C154" s="70">
        <v>9</v>
      </c>
      <c r="D154" s="74" t="s">
        <v>209</v>
      </c>
      <c r="E154" s="67">
        <v>8</v>
      </c>
      <c r="F154" s="67">
        <v>15</v>
      </c>
      <c r="G154" s="67">
        <v>18</v>
      </c>
      <c r="H154" s="67">
        <v>44</v>
      </c>
      <c r="I154" s="67">
        <v>61</v>
      </c>
      <c r="J154" s="67">
        <v>73</v>
      </c>
      <c r="K154" s="67">
        <v>82</v>
      </c>
      <c r="L154" s="67">
        <v>94</v>
      </c>
      <c r="M154" s="68" t="s">
        <v>213</v>
      </c>
      <c r="N154" s="68" t="s">
        <v>213</v>
      </c>
    </row>
    <row r="155" spans="2:14 2170:2170" ht="19.5" customHeight="1" x14ac:dyDescent="0.2">
      <c r="B155" s="65">
        <v>10</v>
      </c>
      <c r="C155" s="70">
        <v>8</v>
      </c>
      <c r="D155" s="74" t="s">
        <v>209</v>
      </c>
      <c r="E155" s="67">
        <v>4</v>
      </c>
      <c r="F155" s="67">
        <v>11</v>
      </c>
      <c r="G155" s="67">
        <v>14</v>
      </c>
      <c r="H155" s="67">
        <v>41</v>
      </c>
      <c r="I155" s="67">
        <v>54</v>
      </c>
      <c r="J155" s="67">
        <v>62</v>
      </c>
      <c r="K155" s="67">
        <v>70</v>
      </c>
      <c r="L155" s="67">
        <v>80</v>
      </c>
      <c r="M155" s="67">
        <v>92</v>
      </c>
      <c r="N155" s="68" t="s">
        <v>213</v>
      </c>
    </row>
    <row r="156" spans="2:14 2170:2170" ht="19.5" customHeight="1" x14ac:dyDescent="0.2">
      <c r="B156" s="65">
        <v>10</v>
      </c>
      <c r="C156" s="70">
        <v>7</v>
      </c>
      <c r="D156" s="74" t="s">
        <v>209</v>
      </c>
      <c r="E156" s="67">
        <v>8</v>
      </c>
      <c r="F156" s="67">
        <v>14</v>
      </c>
      <c r="G156" s="67">
        <v>19</v>
      </c>
      <c r="H156" s="67">
        <v>45</v>
      </c>
      <c r="I156" s="67">
        <v>59</v>
      </c>
      <c r="J156" s="67">
        <v>69</v>
      </c>
      <c r="K156" s="67">
        <v>79</v>
      </c>
      <c r="L156" s="67">
        <v>88</v>
      </c>
      <c r="M156" s="67">
        <v>100</v>
      </c>
      <c r="N156" s="68" t="s">
        <v>213</v>
      </c>
    </row>
    <row r="157" spans="2:14 2170:2170" ht="19.5" customHeight="1" x14ac:dyDescent="0.2">
      <c r="B157" s="65">
        <v>10</v>
      </c>
      <c r="C157" s="70">
        <v>6</v>
      </c>
      <c r="D157" s="74" t="s">
        <v>209</v>
      </c>
      <c r="E157" s="67">
        <v>9</v>
      </c>
      <c r="F157" s="67">
        <v>17</v>
      </c>
      <c r="G157" s="67">
        <v>23</v>
      </c>
      <c r="H157" s="67">
        <v>44</v>
      </c>
      <c r="I157" s="67">
        <v>61</v>
      </c>
      <c r="J157" s="67">
        <v>73</v>
      </c>
      <c r="K157" s="67">
        <v>84</v>
      </c>
      <c r="L157" s="67">
        <v>96</v>
      </c>
      <c r="M157" s="68" t="s">
        <v>213</v>
      </c>
      <c r="N157" s="68" t="s">
        <v>213</v>
      </c>
      <c r="CEL157">
        <v>543</v>
      </c>
    </row>
    <row r="158" spans="2:14 2170:2170" ht="19.5" customHeight="1" x14ac:dyDescent="0.2">
      <c r="B158" s="65">
        <v>10</v>
      </c>
      <c r="C158" s="70">
        <v>5</v>
      </c>
      <c r="D158" s="74" t="s">
        <v>209</v>
      </c>
      <c r="E158" s="67">
        <v>5</v>
      </c>
      <c r="F158" s="67">
        <v>13</v>
      </c>
      <c r="G158" s="67">
        <v>20</v>
      </c>
      <c r="H158" s="67">
        <v>40</v>
      </c>
      <c r="I158" s="67">
        <v>64</v>
      </c>
      <c r="J158" s="67">
        <v>77</v>
      </c>
      <c r="K158" s="67">
        <v>88</v>
      </c>
      <c r="L158" s="68" t="s">
        <v>213</v>
      </c>
      <c r="M158" s="68" t="s">
        <v>213</v>
      </c>
      <c r="N158" s="68" t="s">
        <v>213</v>
      </c>
    </row>
    <row r="159" spans="2:14 2170:2170" ht="19.5" customHeight="1" x14ac:dyDescent="0.2">
      <c r="B159" s="65">
        <v>10</v>
      </c>
      <c r="C159" s="70">
        <v>4</v>
      </c>
      <c r="D159" s="74" t="s">
        <v>209</v>
      </c>
      <c r="E159" s="67">
        <v>10</v>
      </c>
      <c r="F159" s="67">
        <v>15</v>
      </c>
      <c r="G159" s="67">
        <v>22</v>
      </c>
      <c r="H159" s="67">
        <v>45</v>
      </c>
      <c r="I159" s="67">
        <v>62</v>
      </c>
      <c r="J159" s="67">
        <v>74</v>
      </c>
      <c r="K159" s="67">
        <v>84</v>
      </c>
      <c r="L159" s="67">
        <v>93</v>
      </c>
      <c r="M159" s="67">
        <v>98</v>
      </c>
      <c r="N159" s="68" t="s">
        <v>213</v>
      </c>
    </row>
    <row r="160" spans="2:14 2170:2170" ht="19.5" customHeight="1" x14ac:dyDescent="0.2">
      <c r="B160" s="65">
        <v>10</v>
      </c>
      <c r="C160" s="70">
        <v>3</v>
      </c>
      <c r="D160" s="74" t="s">
        <v>209</v>
      </c>
      <c r="E160" s="67">
        <v>8</v>
      </c>
      <c r="F160" s="67">
        <v>16</v>
      </c>
      <c r="G160" s="67">
        <v>21</v>
      </c>
      <c r="H160" s="67">
        <v>45</v>
      </c>
      <c r="I160" s="67">
        <v>64</v>
      </c>
      <c r="J160" s="67">
        <v>74</v>
      </c>
      <c r="K160" s="67">
        <v>85</v>
      </c>
      <c r="L160" s="67">
        <v>96</v>
      </c>
      <c r="M160" s="68" t="s">
        <v>213</v>
      </c>
      <c r="N160" s="68" t="s">
        <v>213</v>
      </c>
    </row>
    <row r="161" spans="2:14" ht="19.5" customHeight="1" x14ac:dyDescent="0.2">
      <c r="B161" s="65">
        <v>10</v>
      </c>
      <c r="C161" s="70">
        <v>2</v>
      </c>
      <c r="D161" s="74" t="s">
        <v>209</v>
      </c>
      <c r="E161" s="67">
        <v>10</v>
      </c>
      <c r="F161" s="67">
        <v>15</v>
      </c>
      <c r="G161" s="67">
        <v>24</v>
      </c>
      <c r="H161" s="67">
        <v>46</v>
      </c>
      <c r="I161" s="67">
        <v>67</v>
      </c>
      <c r="J161" s="67">
        <v>78</v>
      </c>
      <c r="K161" s="67">
        <v>90</v>
      </c>
      <c r="L161" s="67">
        <v>99</v>
      </c>
      <c r="M161" s="68" t="s">
        <v>213</v>
      </c>
      <c r="N161" s="68" t="s">
        <v>213</v>
      </c>
    </row>
    <row r="162" spans="2:14" ht="19.5" customHeight="1" thickBot="1" x14ac:dyDescent="0.25">
      <c r="B162" s="66">
        <v>10</v>
      </c>
      <c r="C162" s="71">
        <v>1</v>
      </c>
      <c r="D162" s="75" t="s">
        <v>209</v>
      </c>
      <c r="E162" s="10">
        <v>10</v>
      </c>
      <c r="F162" s="10">
        <v>16</v>
      </c>
      <c r="G162" s="10">
        <v>23</v>
      </c>
      <c r="H162" s="10">
        <v>44</v>
      </c>
      <c r="I162" s="10">
        <v>66</v>
      </c>
      <c r="J162" s="10">
        <v>75</v>
      </c>
      <c r="K162" s="10">
        <v>83</v>
      </c>
      <c r="L162" s="10">
        <v>89</v>
      </c>
      <c r="M162" s="10">
        <v>93</v>
      </c>
      <c r="N162" s="10">
        <v>95</v>
      </c>
    </row>
    <row r="163" spans="2:14" ht="19.5" customHeight="1" x14ac:dyDescent="0.2">
      <c r="B163" s="11">
        <v>11</v>
      </c>
      <c r="C163" s="69">
        <v>1</v>
      </c>
      <c r="D163" s="73" t="s">
        <v>210</v>
      </c>
      <c r="E163" s="9">
        <v>17</v>
      </c>
      <c r="F163" s="9">
        <v>24</v>
      </c>
      <c r="G163" s="9">
        <v>30</v>
      </c>
      <c r="H163" s="9">
        <v>51</v>
      </c>
      <c r="I163" s="9">
        <v>73</v>
      </c>
      <c r="J163" s="9">
        <v>80</v>
      </c>
      <c r="K163" s="9">
        <v>89</v>
      </c>
      <c r="L163" s="40">
        <v>90</v>
      </c>
      <c r="M163" s="40">
        <v>93</v>
      </c>
      <c r="N163" s="40">
        <v>96</v>
      </c>
    </row>
    <row r="164" spans="2:14" ht="19.5" customHeight="1" x14ac:dyDescent="0.2">
      <c r="B164" s="65">
        <v>11</v>
      </c>
      <c r="C164" s="70">
        <v>2</v>
      </c>
      <c r="D164" s="74" t="s">
        <v>210</v>
      </c>
      <c r="E164" s="67">
        <v>15</v>
      </c>
      <c r="F164" s="67">
        <v>22</v>
      </c>
      <c r="G164" s="67">
        <v>29</v>
      </c>
      <c r="H164" s="67">
        <v>50</v>
      </c>
      <c r="I164" s="67">
        <v>71</v>
      </c>
      <c r="J164" s="67">
        <v>79</v>
      </c>
      <c r="K164" s="67">
        <v>87</v>
      </c>
      <c r="L164" s="68">
        <v>87</v>
      </c>
      <c r="M164" s="68">
        <v>88</v>
      </c>
      <c r="N164" s="67">
        <v>89</v>
      </c>
    </row>
    <row r="165" spans="2:14" ht="19.5" customHeight="1" x14ac:dyDescent="0.2">
      <c r="B165" s="65">
        <v>11</v>
      </c>
      <c r="C165" s="70">
        <v>3</v>
      </c>
      <c r="D165" s="74" t="s">
        <v>210</v>
      </c>
      <c r="E165" s="67">
        <v>17</v>
      </c>
      <c r="F165" s="67">
        <v>27</v>
      </c>
      <c r="G165" s="67">
        <v>32</v>
      </c>
      <c r="H165" s="67">
        <v>52</v>
      </c>
      <c r="I165" s="67">
        <v>75</v>
      </c>
      <c r="J165" s="67">
        <v>81</v>
      </c>
      <c r="K165" s="67">
        <v>90</v>
      </c>
      <c r="L165" s="67">
        <v>91</v>
      </c>
      <c r="M165" s="67">
        <v>93</v>
      </c>
      <c r="N165" s="67">
        <v>93</v>
      </c>
    </row>
    <row r="166" spans="2:14" ht="19.5" customHeight="1" x14ac:dyDescent="0.2">
      <c r="B166" s="65">
        <v>11</v>
      </c>
      <c r="C166" s="70">
        <v>4</v>
      </c>
      <c r="D166" s="74" t="s">
        <v>210</v>
      </c>
      <c r="E166" s="67">
        <v>20</v>
      </c>
      <c r="F166" s="67">
        <v>27</v>
      </c>
      <c r="G166" s="67">
        <v>33</v>
      </c>
      <c r="H166" s="67">
        <v>52</v>
      </c>
      <c r="I166" s="67">
        <v>77</v>
      </c>
      <c r="J166" s="67">
        <v>85</v>
      </c>
      <c r="K166" s="67">
        <v>94</v>
      </c>
      <c r="L166" s="67">
        <v>101</v>
      </c>
      <c r="M166" s="68" t="s">
        <v>213</v>
      </c>
      <c r="N166" s="68" t="s">
        <v>213</v>
      </c>
    </row>
    <row r="167" spans="2:14" ht="19.5" customHeight="1" x14ac:dyDescent="0.2">
      <c r="B167" s="65">
        <v>11</v>
      </c>
      <c r="C167" s="70">
        <v>5</v>
      </c>
      <c r="D167" s="74" t="s">
        <v>210</v>
      </c>
      <c r="E167" s="67">
        <v>15</v>
      </c>
      <c r="F167" s="67">
        <v>24</v>
      </c>
      <c r="G167" s="67">
        <v>31</v>
      </c>
      <c r="H167" s="67">
        <v>50</v>
      </c>
      <c r="I167" s="67">
        <v>73</v>
      </c>
      <c r="J167" s="67">
        <v>82</v>
      </c>
      <c r="K167" s="67">
        <v>93</v>
      </c>
      <c r="L167" s="68" t="s">
        <v>213</v>
      </c>
      <c r="M167" s="68" t="s">
        <v>213</v>
      </c>
      <c r="N167" s="68" t="s">
        <v>213</v>
      </c>
    </row>
    <row r="168" spans="2:14" ht="19.5" customHeight="1" x14ac:dyDescent="0.2">
      <c r="B168" s="65">
        <v>11</v>
      </c>
      <c r="C168" s="70">
        <v>6</v>
      </c>
      <c r="D168" s="74" t="s">
        <v>210</v>
      </c>
      <c r="E168" s="67">
        <v>9</v>
      </c>
      <c r="F168" s="67">
        <v>14</v>
      </c>
      <c r="G168" s="67">
        <v>20</v>
      </c>
      <c r="H168" s="67">
        <v>43</v>
      </c>
      <c r="I168" s="67">
        <v>60</v>
      </c>
      <c r="J168" s="67">
        <v>69</v>
      </c>
      <c r="K168" s="67">
        <v>77</v>
      </c>
      <c r="L168" s="67">
        <v>89</v>
      </c>
      <c r="M168" s="67">
        <v>95</v>
      </c>
      <c r="N168" s="68" t="s">
        <v>213</v>
      </c>
    </row>
    <row r="169" spans="2:14" ht="19.5" customHeight="1" x14ac:dyDescent="0.2">
      <c r="B169" s="65">
        <v>11</v>
      </c>
      <c r="C169" s="70">
        <v>7</v>
      </c>
      <c r="D169" s="74" t="s">
        <v>210</v>
      </c>
      <c r="E169" s="67">
        <v>11</v>
      </c>
      <c r="F169" s="67">
        <v>20</v>
      </c>
      <c r="G169" s="67">
        <v>28</v>
      </c>
      <c r="H169" s="67">
        <v>48</v>
      </c>
      <c r="I169" s="67">
        <v>68</v>
      </c>
      <c r="J169" s="67">
        <v>77</v>
      </c>
      <c r="K169" s="67">
        <v>86</v>
      </c>
      <c r="L169" s="67">
        <v>94</v>
      </c>
      <c r="M169" s="67">
        <v>96</v>
      </c>
      <c r="N169" s="67">
        <v>99</v>
      </c>
    </row>
    <row r="170" spans="2:14" ht="19.5" customHeight="1" x14ac:dyDescent="0.2">
      <c r="B170" s="65">
        <v>11</v>
      </c>
      <c r="C170" s="70">
        <v>8</v>
      </c>
      <c r="D170" s="74" t="s">
        <v>210</v>
      </c>
      <c r="E170" s="67">
        <v>15</v>
      </c>
      <c r="F170" s="67">
        <v>26</v>
      </c>
      <c r="G170" s="67">
        <v>32</v>
      </c>
      <c r="H170" s="67">
        <v>51</v>
      </c>
      <c r="I170" s="67">
        <v>73</v>
      </c>
      <c r="J170" s="67">
        <v>83</v>
      </c>
      <c r="K170" s="67">
        <v>90</v>
      </c>
      <c r="L170" s="68" t="s">
        <v>213</v>
      </c>
      <c r="M170" s="68" t="s">
        <v>213</v>
      </c>
      <c r="N170" s="68" t="s">
        <v>213</v>
      </c>
    </row>
    <row r="171" spans="2:14" ht="19.5" customHeight="1" x14ac:dyDescent="0.2">
      <c r="B171" s="65">
        <v>11</v>
      </c>
      <c r="C171" s="70">
        <v>9</v>
      </c>
      <c r="D171" s="74" t="s">
        <v>210</v>
      </c>
      <c r="E171" s="67">
        <v>8</v>
      </c>
      <c r="F171" s="67">
        <v>12</v>
      </c>
      <c r="G171" s="67">
        <v>20</v>
      </c>
      <c r="H171" s="67">
        <v>43</v>
      </c>
      <c r="I171" s="67">
        <v>63</v>
      </c>
      <c r="J171" s="67">
        <v>72</v>
      </c>
      <c r="K171" s="67">
        <v>83</v>
      </c>
      <c r="L171" s="67">
        <v>92</v>
      </c>
      <c r="M171" s="68" t="s">
        <v>213</v>
      </c>
      <c r="N171" s="68" t="s">
        <v>213</v>
      </c>
    </row>
    <row r="172" spans="2:14" ht="19.5" customHeight="1" x14ac:dyDescent="0.2">
      <c r="B172" s="65">
        <v>11</v>
      </c>
      <c r="C172" s="70">
        <v>10</v>
      </c>
      <c r="D172" s="74" t="s">
        <v>210</v>
      </c>
      <c r="E172" s="67">
        <v>10</v>
      </c>
      <c r="F172" s="67">
        <v>20</v>
      </c>
      <c r="G172" s="67">
        <v>26</v>
      </c>
      <c r="H172" s="67">
        <v>46</v>
      </c>
      <c r="I172" s="67">
        <v>68</v>
      </c>
      <c r="J172" s="67">
        <v>78</v>
      </c>
      <c r="K172" s="67">
        <v>90</v>
      </c>
      <c r="L172" s="67">
        <v>100</v>
      </c>
      <c r="M172" s="68" t="s">
        <v>213</v>
      </c>
      <c r="N172" s="68" t="s">
        <v>213</v>
      </c>
    </row>
    <row r="173" spans="2:14" ht="19.5" customHeight="1" x14ac:dyDescent="0.2">
      <c r="B173" s="65">
        <v>11</v>
      </c>
      <c r="C173" s="70">
        <v>11</v>
      </c>
      <c r="D173" s="74" t="s">
        <v>210</v>
      </c>
      <c r="E173" s="67">
        <v>11</v>
      </c>
      <c r="F173" s="67">
        <v>20</v>
      </c>
      <c r="G173" s="67">
        <v>24</v>
      </c>
      <c r="H173" s="67">
        <v>46</v>
      </c>
      <c r="I173" s="67">
        <v>70</v>
      </c>
      <c r="J173" s="67">
        <v>80</v>
      </c>
      <c r="K173" s="67">
        <v>91</v>
      </c>
      <c r="L173" s="68" t="s">
        <v>213</v>
      </c>
      <c r="M173" s="68" t="s">
        <v>213</v>
      </c>
      <c r="N173" s="68" t="s">
        <v>213</v>
      </c>
    </row>
    <row r="174" spans="2:14" ht="19.5" customHeight="1" x14ac:dyDescent="0.2">
      <c r="B174" s="65">
        <v>11</v>
      </c>
      <c r="C174" s="70">
        <v>12</v>
      </c>
      <c r="D174" s="74" t="s">
        <v>210</v>
      </c>
      <c r="E174" s="67">
        <v>9</v>
      </c>
      <c r="F174" s="67">
        <v>18</v>
      </c>
      <c r="G174" s="67">
        <v>23</v>
      </c>
      <c r="H174" s="67">
        <v>47</v>
      </c>
      <c r="I174" s="67">
        <v>68</v>
      </c>
      <c r="J174" s="67">
        <v>75</v>
      </c>
      <c r="K174" s="67">
        <v>82</v>
      </c>
      <c r="L174" s="67">
        <v>89</v>
      </c>
      <c r="M174" s="67">
        <v>92</v>
      </c>
      <c r="N174" s="67">
        <v>91</v>
      </c>
    </row>
    <row r="175" spans="2:14" ht="19.5" customHeight="1" x14ac:dyDescent="0.2">
      <c r="B175" s="65">
        <v>11</v>
      </c>
      <c r="C175" s="70">
        <v>13</v>
      </c>
      <c r="D175" s="74" t="s">
        <v>210</v>
      </c>
      <c r="E175" s="67">
        <v>11</v>
      </c>
      <c r="F175" s="67">
        <v>22</v>
      </c>
      <c r="G175" s="67">
        <v>25</v>
      </c>
      <c r="H175" s="67">
        <v>47</v>
      </c>
      <c r="I175" s="67">
        <v>68</v>
      </c>
      <c r="J175" s="67">
        <v>76</v>
      </c>
      <c r="K175" s="67">
        <v>82</v>
      </c>
      <c r="L175" s="67">
        <v>90</v>
      </c>
      <c r="M175" s="67">
        <v>93</v>
      </c>
      <c r="N175" s="67">
        <v>95</v>
      </c>
    </row>
    <row r="176" spans="2:14" ht="19.5" customHeight="1" x14ac:dyDescent="0.2">
      <c r="B176" s="65">
        <v>11</v>
      </c>
      <c r="C176" s="70">
        <v>14</v>
      </c>
      <c r="D176" s="74" t="s">
        <v>210</v>
      </c>
      <c r="E176" s="67">
        <v>17</v>
      </c>
      <c r="F176" s="67">
        <v>28</v>
      </c>
      <c r="G176" s="67">
        <v>35</v>
      </c>
      <c r="H176" s="67">
        <v>54</v>
      </c>
      <c r="I176" s="67">
        <v>75</v>
      </c>
      <c r="J176" s="67">
        <v>84</v>
      </c>
      <c r="K176" s="67">
        <v>92</v>
      </c>
      <c r="L176" s="67">
        <v>101</v>
      </c>
      <c r="M176" s="68" t="s">
        <v>213</v>
      </c>
      <c r="N176" s="68" t="s">
        <v>213</v>
      </c>
    </row>
    <row r="177" spans="2:14" ht="19.5" customHeight="1" thickBot="1" x14ac:dyDescent="0.25">
      <c r="B177" s="66">
        <v>11</v>
      </c>
      <c r="C177" s="71">
        <v>15</v>
      </c>
      <c r="D177" s="75" t="s">
        <v>210</v>
      </c>
      <c r="E177" s="10">
        <v>7</v>
      </c>
      <c r="F177" s="10">
        <v>14</v>
      </c>
      <c r="G177" s="10">
        <v>21</v>
      </c>
      <c r="H177" s="10">
        <v>43</v>
      </c>
      <c r="I177" s="10">
        <v>64</v>
      </c>
      <c r="J177" s="10">
        <v>71</v>
      </c>
      <c r="K177" s="10">
        <v>79</v>
      </c>
      <c r="L177" s="10">
        <v>85</v>
      </c>
      <c r="M177" s="10">
        <v>87</v>
      </c>
      <c r="N177" s="10">
        <v>90</v>
      </c>
    </row>
    <row r="178" spans="2:14" ht="19.5" customHeight="1" x14ac:dyDescent="0.2">
      <c r="B178" s="11">
        <v>12</v>
      </c>
      <c r="C178" s="69">
        <v>15</v>
      </c>
      <c r="D178" s="73" t="s">
        <v>209</v>
      </c>
      <c r="E178" s="9">
        <v>10</v>
      </c>
      <c r="F178" s="9">
        <v>19</v>
      </c>
      <c r="G178" s="9">
        <v>26</v>
      </c>
      <c r="H178" s="9">
        <v>46</v>
      </c>
      <c r="I178" s="9">
        <v>65</v>
      </c>
      <c r="J178" s="9">
        <v>71</v>
      </c>
      <c r="K178" s="9">
        <v>78</v>
      </c>
      <c r="L178" s="40">
        <v>85</v>
      </c>
      <c r="M178" s="40">
        <v>89</v>
      </c>
      <c r="N178" s="9">
        <v>91</v>
      </c>
    </row>
    <row r="179" spans="2:14" ht="19.5" customHeight="1" x14ac:dyDescent="0.2">
      <c r="B179" s="65">
        <v>12</v>
      </c>
      <c r="C179" s="70">
        <v>14</v>
      </c>
      <c r="D179" s="74" t="s">
        <v>209</v>
      </c>
      <c r="E179" s="67">
        <v>7</v>
      </c>
      <c r="F179" s="67">
        <v>16</v>
      </c>
      <c r="G179" s="67">
        <v>22</v>
      </c>
      <c r="H179" s="67">
        <v>43</v>
      </c>
      <c r="I179" s="67">
        <v>60</v>
      </c>
      <c r="J179" s="67">
        <v>67</v>
      </c>
      <c r="K179" s="67">
        <v>72</v>
      </c>
      <c r="L179" s="68">
        <v>80</v>
      </c>
      <c r="M179" s="68">
        <v>87</v>
      </c>
      <c r="N179" s="67">
        <v>90</v>
      </c>
    </row>
    <row r="180" spans="2:14" ht="19.5" customHeight="1" x14ac:dyDescent="0.2">
      <c r="B180" s="65">
        <v>12</v>
      </c>
      <c r="C180" s="70">
        <v>13</v>
      </c>
      <c r="D180" s="74" t="s">
        <v>209</v>
      </c>
      <c r="E180" s="67">
        <v>9</v>
      </c>
      <c r="F180" s="67">
        <v>19</v>
      </c>
      <c r="G180" s="67">
        <v>26</v>
      </c>
      <c r="H180" s="67">
        <v>47</v>
      </c>
      <c r="I180" s="67">
        <v>63</v>
      </c>
      <c r="J180" s="67">
        <v>71</v>
      </c>
      <c r="K180" s="67">
        <v>77</v>
      </c>
      <c r="L180" s="67">
        <v>85</v>
      </c>
      <c r="M180" s="67">
        <v>94</v>
      </c>
      <c r="N180" s="67">
        <v>99</v>
      </c>
    </row>
    <row r="181" spans="2:14" ht="19.5" customHeight="1" x14ac:dyDescent="0.2">
      <c r="B181" s="65">
        <v>12</v>
      </c>
      <c r="C181" s="70">
        <v>12</v>
      </c>
      <c r="D181" s="74" t="s">
        <v>209</v>
      </c>
      <c r="E181" s="67">
        <v>15</v>
      </c>
      <c r="F181" s="67">
        <v>26</v>
      </c>
      <c r="G181" s="67">
        <v>32</v>
      </c>
      <c r="H181" s="67">
        <v>53</v>
      </c>
      <c r="I181" s="67">
        <v>68</v>
      </c>
      <c r="J181" s="67">
        <v>77</v>
      </c>
      <c r="K181" s="67">
        <v>84</v>
      </c>
      <c r="L181" s="67">
        <v>94</v>
      </c>
      <c r="M181" s="68" t="s">
        <v>213</v>
      </c>
      <c r="N181" s="68" t="s">
        <v>213</v>
      </c>
    </row>
    <row r="182" spans="2:14" ht="19.5" customHeight="1" x14ac:dyDescent="0.2">
      <c r="B182" s="65">
        <v>12</v>
      </c>
      <c r="C182" s="70">
        <v>11</v>
      </c>
      <c r="D182" s="74" t="s">
        <v>209</v>
      </c>
      <c r="E182" s="67">
        <v>12</v>
      </c>
      <c r="F182" s="67">
        <v>23</v>
      </c>
      <c r="G182" s="67">
        <v>28</v>
      </c>
      <c r="H182" s="67">
        <v>48</v>
      </c>
      <c r="I182" s="67">
        <v>64</v>
      </c>
      <c r="J182" s="67">
        <v>70</v>
      </c>
      <c r="K182" s="67">
        <v>78</v>
      </c>
      <c r="L182" s="67">
        <v>87</v>
      </c>
      <c r="M182" s="67">
        <v>96</v>
      </c>
      <c r="N182" s="68" t="s">
        <v>213</v>
      </c>
    </row>
    <row r="183" spans="2:14" ht="19.5" customHeight="1" x14ac:dyDescent="0.2">
      <c r="B183" s="65">
        <v>12</v>
      </c>
      <c r="C183" s="70">
        <v>10</v>
      </c>
      <c r="D183" s="74" t="s">
        <v>209</v>
      </c>
      <c r="E183" s="67">
        <v>16</v>
      </c>
      <c r="F183" s="67">
        <v>28</v>
      </c>
      <c r="G183" s="67">
        <v>32</v>
      </c>
      <c r="H183" s="67">
        <v>53</v>
      </c>
      <c r="I183" s="67">
        <v>67</v>
      </c>
      <c r="J183" s="67">
        <v>73</v>
      </c>
      <c r="K183" s="67">
        <v>85</v>
      </c>
      <c r="L183" s="67">
        <v>95</v>
      </c>
      <c r="M183" s="68" t="s">
        <v>213</v>
      </c>
      <c r="N183" s="68" t="s">
        <v>213</v>
      </c>
    </row>
    <row r="184" spans="2:14" ht="19.5" customHeight="1" x14ac:dyDescent="0.2">
      <c r="B184" s="65">
        <v>12</v>
      </c>
      <c r="C184" s="70">
        <v>9</v>
      </c>
      <c r="D184" s="74" t="s">
        <v>209</v>
      </c>
      <c r="E184" s="67">
        <v>17</v>
      </c>
      <c r="F184" s="67">
        <v>26</v>
      </c>
      <c r="G184" s="67">
        <v>33</v>
      </c>
      <c r="H184" s="67">
        <v>55</v>
      </c>
      <c r="I184" s="67">
        <v>69</v>
      </c>
      <c r="J184" s="67">
        <v>76</v>
      </c>
      <c r="K184" s="67">
        <v>88</v>
      </c>
      <c r="L184" s="67">
        <v>100</v>
      </c>
      <c r="M184" s="68" t="s">
        <v>213</v>
      </c>
      <c r="N184" s="68" t="s">
        <v>213</v>
      </c>
    </row>
    <row r="185" spans="2:14" ht="19.5" customHeight="1" x14ac:dyDescent="0.2">
      <c r="B185" s="65">
        <v>12</v>
      </c>
      <c r="C185" s="70">
        <v>8</v>
      </c>
      <c r="D185" s="74" t="s">
        <v>209</v>
      </c>
      <c r="E185" s="67">
        <v>16</v>
      </c>
      <c r="F185" s="67">
        <v>23</v>
      </c>
      <c r="G185" s="67">
        <v>32</v>
      </c>
      <c r="H185" s="67">
        <v>53</v>
      </c>
      <c r="I185" s="67">
        <v>68</v>
      </c>
      <c r="J185" s="67">
        <v>74</v>
      </c>
      <c r="K185" s="67">
        <v>85</v>
      </c>
      <c r="L185" s="67">
        <v>99</v>
      </c>
      <c r="M185" s="68" t="s">
        <v>213</v>
      </c>
      <c r="N185" s="68" t="s">
        <v>213</v>
      </c>
    </row>
    <row r="186" spans="2:14" ht="19.5" customHeight="1" x14ac:dyDescent="0.2">
      <c r="B186" s="65">
        <v>12</v>
      </c>
      <c r="C186" s="70">
        <v>7</v>
      </c>
      <c r="D186" s="74" t="s">
        <v>209</v>
      </c>
      <c r="E186" s="67">
        <v>12</v>
      </c>
      <c r="F186" s="67">
        <v>20</v>
      </c>
      <c r="G186" s="67">
        <v>25</v>
      </c>
      <c r="H186" s="67">
        <v>49</v>
      </c>
      <c r="I186" s="67">
        <v>64</v>
      </c>
      <c r="J186" s="67">
        <v>72</v>
      </c>
      <c r="K186" s="67">
        <v>82</v>
      </c>
      <c r="L186" s="67">
        <v>93</v>
      </c>
      <c r="M186" s="67">
        <v>100</v>
      </c>
      <c r="N186" s="68" t="s">
        <v>213</v>
      </c>
    </row>
    <row r="187" spans="2:14" ht="19.5" customHeight="1" x14ac:dyDescent="0.2">
      <c r="B187" s="65">
        <v>12</v>
      </c>
      <c r="C187" s="70">
        <v>6</v>
      </c>
      <c r="D187" s="74" t="s">
        <v>209</v>
      </c>
      <c r="E187" s="67">
        <v>11</v>
      </c>
      <c r="F187" s="67">
        <v>17</v>
      </c>
      <c r="G187" s="67">
        <v>26</v>
      </c>
      <c r="H187" s="67">
        <v>51</v>
      </c>
      <c r="I187" s="67">
        <v>65</v>
      </c>
      <c r="J187" s="67">
        <v>74</v>
      </c>
      <c r="K187" s="67">
        <v>85</v>
      </c>
      <c r="L187" s="67">
        <v>97</v>
      </c>
      <c r="M187" s="68" t="s">
        <v>213</v>
      </c>
      <c r="N187" s="68" t="s">
        <v>213</v>
      </c>
    </row>
    <row r="188" spans="2:14" ht="19.5" customHeight="1" x14ac:dyDescent="0.2">
      <c r="B188" s="65">
        <v>12</v>
      </c>
      <c r="C188" s="70">
        <v>5</v>
      </c>
      <c r="D188" s="74" t="s">
        <v>209</v>
      </c>
      <c r="E188" s="67">
        <v>13</v>
      </c>
      <c r="F188" s="67">
        <v>23</v>
      </c>
      <c r="G188" s="67">
        <v>30</v>
      </c>
      <c r="H188" s="67">
        <v>51</v>
      </c>
      <c r="I188" s="67">
        <v>67</v>
      </c>
      <c r="J188" s="67">
        <v>77</v>
      </c>
      <c r="K188" s="67">
        <v>87</v>
      </c>
      <c r="L188" s="67">
        <v>96</v>
      </c>
      <c r="M188" s="68" t="s">
        <v>213</v>
      </c>
      <c r="N188" s="68" t="s">
        <v>213</v>
      </c>
    </row>
    <row r="189" spans="2:14" ht="19.5" customHeight="1" x14ac:dyDescent="0.2">
      <c r="B189" s="65">
        <v>12</v>
      </c>
      <c r="C189" s="70">
        <v>4</v>
      </c>
      <c r="D189" s="74" t="s">
        <v>209</v>
      </c>
      <c r="E189" s="67">
        <v>13</v>
      </c>
      <c r="F189" s="67">
        <v>21</v>
      </c>
      <c r="G189" s="67">
        <v>29</v>
      </c>
      <c r="H189" s="67">
        <v>50</v>
      </c>
      <c r="I189" s="67">
        <v>68</v>
      </c>
      <c r="J189" s="67">
        <v>77</v>
      </c>
      <c r="K189" s="67">
        <v>89</v>
      </c>
      <c r="L189" s="67">
        <v>99</v>
      </c>
      <c r="M189" s="68" t="s">
        <v>213</v>
      </c>
      <c r="N189" s="68" t="s">
        <v>213</v>
      </c>
    </row>
    <row r="190" spans="2:14" ht="19.5" customHeight="1" x14ac:dyDescent="0.2">
      <c r="B190" s="65">
        <v>12</v>
      </c>
      <c r="C190" s="70">
        <v>3</v>
      </c>
      <c r="D190" s="74" t="s">
        <v>209</v>
      </c>
      <c r="E190" s="67">
        <v>13</v>
      </c>
      <c r="F190" s="67">
        <v>22</v>
      </c>
      <c r="G190" s="67">
        <v>30</v>
      </c>
      <c r="H190" s="67">
        <v>52</v>
      </c>
      <c r="I190" s="67">
        <v>69</v>
      </c>
      <c r="J190" s="67">
        <v>75</v>
      </c>
      <c r="K190" s="67">
        <v>86</v>
      </c>
      <c r="L190" s="67">
        <v>94</v>
      </c>
      <c r="M190" s="67">
        <v>100</v>
      </c>
      <c r="N190" s="68" t="s">
        <v>213</v>
      </c>
    </row>
    <row r="191" spans="2:14" ht="19.5" customHeight="1" x14ac:dyDescent="0.2">
      <c r="B191" s="65">
        <v>12</v>
      </c>
      <c r="C191" s="70">
        <v>2</v>
      </c>
      <c r="D191" s="74" t="s">
        <v>209</v>
      </c>
      <c r="E191" s="67">
        <v>16</v>
      </c>
      <c r="F191" s="67">
        <v>25</v>
      </c>
      <c r="G191" s="67">
        <v>31</v>
      </c>
      <c r="H191" s="67">
        <v>53</v>
      </c>
      <c r="I191" s="67">
        <v>69</v>
      </c>
      <c r="J191" s="67">
        <v>76</v>
      </c>
      <c r="K191" s="67">
        <v>86</v>
      </c>
      <c r="L191" s="67">
        <v>93</v>
      </c>
      <c r="M191" s="67">
        <v>98</v>
      </c>
      <c r="N191" s="68" t="s">
        <v>213</v>
      </c>
    </row>
    <row r="192" spans="2:14" ht="19.5" customHeight="1" thickBot="1" x14ac:dyDescent="0.25">
      <c r="B192" s="66">
        <v>12</v>
      </c>
      <c r="C192" s="71">
        <v>1</v>
      </c>
      <c r="D192" s="75" t="s">
        <v>209</v>
      </c>
      <c r="E192" s="10">
        <v>13</v>
      </c>
      <c r="F192" s="10">
        <v>22</v>
      </c>
      <c r="G192" s="10">
        <v>28</v>
      </c>
      <c r="H192" s="10">
        <v>48</v>
      </c>
      <c r="I192" s="10">
        <v>65</v>
      </c>
      <c r="J192" s="10">
        <v>70</v>
      </c>
      <c r="K192" s="10">
        <v>81</v>
      </c>
      <c r="L192" s="10">
        <v>89</v>
      </c>
      <c r="M192" s="10">
        <v>95</v>
      </c>
      <c r="N192" s="81" t="s">
        <v>213</v>
      </c>
    </row>
  </sheetData>
  <autoFilter ref="N26:N192" xr:uid="{00000000-0001-0000-0200-000000000000}"/>
  <mergeCells count="1">
    <mergeCell ref="B12:C12"/>
  </mergeCells>
  <conditionalFormatting sqref="D13:D192">
    <cfRule type="containsText" dxfId="9" priority="1" operator="containsText" text="FLAT">
      <formula>NOT(ISERROR(SEARCH("FLAT",D13)))</formula>
    </cfRule>
    <cfRule type="containsText" dxfId="8" priority="2" operator="containsText" text="BEDS">
      <formula>NOT(ISERROR(SEARCH("BEDS",D13)))</formula>
    </cfRule>
    <cfRule type="containsText" dxfId="7" priority="3" operator="containsText" text="NO TILL">
      <formula>NOT(ISERROR(SEARCH("NO TILL",D13)))</formula>
    </cfRule>
    <cfRule type="containsText" dxfId="6" priority="4" operator="containsText" text="STRIP">
      <formula>NOT(ISERROR(SEARCH("STRIP",D13)))</formula>
    </cfRule>
  </conditionalFormatting>
  <printOptions verticalCentered="1"/>
  <pageMargins left="0.45" right="0.45" top="1" bottom="0.25" header="0" footer="0"/>
  <pageSetup scale="92" fitToHeight="4"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0"/>
  <sheetViews>
    <sheetView zoomScaleNormal="100" workbookViewId="0">
      <selection activeCell="F4" sqref="F4"/>
    </sheetView>
  </sheetViews>
  <sheetFormatPr defaultRowHeight="12.75" x14ac:dyDescent="0.2"/>
  <cols>
    <col min="2" max="2" width="9" customWidth="1"/>
  </cols>
  <sheetData>
    <row r="1" spans="1:12" ht="21" x14ac:dyDescent="0.35">
      <c r="A1" s="6" t="s">
        <v>206</v>
      </c>
      <c r="C1" s="36"/>
      <c r="D1" s="34"/>
    </row>
    <row r="2" spans="1:12" ht="15.75" x14ac:dyDescent="0.25">
      <c r="A2" s="6"/>
      <c r="C2" s="25"/>
      <c r="D2" s="34"/>
    </row>
    <row r="3" spans="1:12" ht="15.75" x14ac:dyDescent="0.25">
      <c r="A3" s="6"/>
      <c r="D3" s="34"/>
    </row>
    <row r="4" spans="1:12" ht="23.25" x14ac:dyDescent="0.35">
      <c r="A4" s="37" t="s">
        <v>13</v>
      </c>
      <c r="D4" s="34"/>
    </row>
    <row r="5" spans="1:12" s="28" customFormat="1" ht="20.45" customHeight="1" x14ac:dyDescent="0.2">
      <c r="A5" s="29"/>
      <c r="B5" s="30"/>
      <c r="C5" s="30"/>
      <c r="D5" s="30"/>
      <c r="E5" s="30"/>
      <c r="F5" s="30"/>
      <c r="G5" s="30"/>
      <c r="H5" s="30"/>
      <c r="I5" s="30"/>
      <c r="J5" s="30"/>
      <c r="K5" s="30"/>
    </row>
    <row r="6" spans="1:12" s="28" customFormat="1" ht="18.75" customHeight="1" x14ac:dyDescent="0.2">
      <c r="A6" s="29"/>
      <c r="B6" s="30"/>
      <c r="C6" s="30">
        <f>'Height Summary'!E$9</f>
        <v>45082</v>
      </c>
      <c r="D6" s="30">
        <f>'Height Summary'!F$9</f>
        <v>45089</v>
      </c>
      <c r="E6" s="30">
        <f>'Height Summary'!G$9</f>
        <v>45097</v>
      </c>
      <c r="F6" s="30">
        <f>'Height Summary'!H$9</f>
        <v>45103</v>
      </c>
      <c r="G6" s="30">
        <f>'Height Summary'!I$9</f>
        <v>45110</v>
      </c>
      <c r="H6" s="30">
        <f>'Height Summary'!J$9</f>
        <v>45120</v>
      </c>
      <c r="I6" s="30">
        <f>'Height Summary'!K$9</f>
        <v>45127</v>
      </c>
      <c r="J6" s="30">
        <f>'Height Summary'!L$9</f>
        <v>45134</v>
      </c>
      <c r="K6" s="30">
        <f>'Height Summary'!M$9</f>
        <v>45141</v>
      </c>
      <c r="L6" s="30">
        <f>'Height Summary'!N$9</f>
        <v>45162</v>
      </c>
    </row>
    <row r="7" spans="1:12" x14ac:dyDescent="0.2">
      <c r="B7" s="22"/>
      <c r="C7" s="22">
        <f>'Height Summary'!E$10</f>
        <v>156</v>
      </c>
      <c r="D7" s="22">
        <f>'Height Summary'!F$10</f>
        <v>163</v>
      </c>
      <c r="E7" s="22">
        <f>'Height Summary'!G$10</f>
        <v>171</v>
      </c>
      <c r="F7" s="22">
        <f>'Height Summary'!H$10</f>
        <v>177</v>
      </c>
      <c r="G7" s="22">
        <f>'Height Summary'!I$10</f>
        <v>184</v>
      </c>
      <c r="H7" s="22">
        <f>'Height Summary'!J$10</f>
        <v>194</v>
      </c>
      <c r="I7" s="22">
        <f>'Height Summary'!K$10</f>
        <v>201</v>
      </c>
      <c r="J7" s="22">
        <f>'Height Summary'!L$10</f>
        <v>208</v>
      </c>
      <c r="K7" s="22">
        <f>'Height Summary'!M$10</f>
        <v>215</v>
      </c>
      <c r="L7" s="22">
        <f>'Height Summary'!N$10</f>
        <v>236</v>
      </c>
    </row>
    <row r="8" spans="1:12" x14ac:dyDescent="0.2">
      <c r="A8" s="76" t="s">
        <v>207</v>
      </c>
      <c r="B8" s="26"/>
      <c r="C8" s="26">
        <f>AVERAGEIFS('Height Summary'!E$13:E$192,'Height Summary'!$D$13:$D$192, "STRIP")</f>
        <v>12.622222222222222</v>
      </c>
      <c r="D8" s="26">
        <f>AVERAGEIFS('Height Summary'!F$13:F$192,'Height Summary'!$D$13:$D$192, "STRIP")</f>
        <v>19.955555555555556</v>
      </c>
      <c r="E8" s="26">
        <f>AVERAGEIFS('Height Summary'!G$13:G$192,'Height Summary'!$D$13:$D$192, "STRIP")</f>
        <v>29.155555555555555</v>
      </c>
      <c r="F8" s="26">
        <f>AVERAGEIFS('Height Summary'!H$13:H$192,'Height Summary'!$D$13:$D$192, "STRIP")</f>
        <v>49.288888888888891</v>
      </c>
      <c r="G8" s="26">
        <f>AVERAGEIFS('Height Summary'!I$13:I$192,'Height Summary'!$D$13:$D$192, "STRIP")</f>
        <v>72.933333333333337</v>
      </c>
      <c r="H8" s="26">
        <f>AVERAGEIFS('Height Summary'!J$13:J$192,'Height Summary'!$D$13:$D$192, "STRIP")</f>
        <v>84.222222222222229</v>
      </c>
      <c r="I8" s="26">
        <f>AVERAGEIFS('Height Summary'!K$13:K$192,'Height Summary'!$D$13:$D$192, "STRIP")</f>
        <v>95.4</v>
      </c>
      <c r="J8" s="26">
        <f>AVERAGEIFS('Height Summary'!L$13:L$192,'Height Summary'!$D$13:$D$192, "STRIP")</f>
        <v>106.77777777777777</v>
      </c>
      <c r="K8" s="26">
        <f>AVERAGEIFS('Height Summary'!M$13:M$192,'Height Summary'!$D$13:$D$192, "STRIP")</f>
        <v>120.95555555555555</v>
      </c>
      <c r="L8" s="26">
        <f>AVERAGEIFS('Height Summary'!N$13:N$192,'Height Summary'!$D$13:$D$192, "STRIP")</f>
        <v>125.4</v>
      </c>
    </row>
    <row r="9" spans="1:12" x14ac:dyDescent="0.2">
      <c r="A9" s="38"/>
      <c r="B9" s="21"/>
      <c r="C9" s="16"/>
      <c r="D9" s="16"/>
      <c r="E9" s="16"/>
      <c r="F9" s="16"/>
      <c r="G9" s="16"/>
      <c r="H9" s="16"/>
      <c r="I9" s="16"/>
      <c r="J9" s="16"/>
      <c r="K9" s="16"/>
      <c r="L9" s="16"/>
    </row>
    <row r="10" spans="1:12" x14ac:dyDescent="0.2">
      <c r="A10" s="77" t="s">
        <v>208</v>
      </c>
      <c r="B10" s="26"/>
      <c r="C10" s="26">
        <f>AVERAGEIFS('Height Summary'!E$13:E$192,'Height Summary'!$D$13:$D$192, "NO TILL")</f>
        <v>20.488888888888887</v>
      </c>
      <c r="D10" s="26">
        <f>AVERAGEIFS('Height Summary'!F$13:F$192,'Height Summary'!$D$13:$D$192, "NO TILL")</f>
        <v>27.6</v>
      </c>
      <c r="E10" s="26">
        <f>AVERAGEIFS('Height Summary'!G$13:G$192,'Height Summary'!$D$13:$D$192, "NO TILL")</f>
        <v>36.62222222222222</v>
      </c>
      <c r="F10" s="26">
        <f>AVERAGEIFS('Height Summary'!H$13:H$192,'Height Summary'!$D$13:$D$192, "NO TILL")</f>
        <v>58.711111111111109</v>
      </c>
      <c r="G10" s="26">
        <f>AVERAGEIFS('Height Summary'!I$13:I$192,'Height Summary'!$D$13:$D$192, "NO TILL")</f>
        <v>84.044444444444451</v>
      </c>
      <c r="H10" s="26">
        <f>AVERAGEIFS('Height Summary'!J$13:J$192,'Height Summary'!$D$13:$D$192, "NO TILL")</f>
        <v>93.733333333333334</v>
      </c>
      <c r="I10" s="26">
        <f>AVERAGEIFS('Height Summary'!K$13:K$192,'Height Summary'!$D$13:$D$192, "NO TILL")</f>
        <v>102.77777777777777</v>
      </c>
      <c r="J10" s="26">
        <f>AVERAGEIFS('Height Summary'!L$13:L$192,'Height Summary'!$D$13:$D$192, "NO TILL")</f>
        <v>112.2</v>
      </c>
      <c r="K10" s="26">
        <f>AVERAGEIFS('Height Summary'!M$13:M$192,'Height Summary'!$D$13:$D$192, "NO TILL")</f>
        <v>123.74666666666667</v>
      </c>
      <c r="L10" s="26">
        <f>AVERAGEIFS('Height Summary'!N$13:N$192,'Height Summary'!$D$13:$D$192, "NO TILL")</f>
        <v>127.31111111111112</v>
      </c>
    </row>
    <row r="11" spans="1:12" x14ac:dyDescent="0.2">
      <c r="A11" s="38"/>
      <c r="B11" s="21"/>
      <c r="C11" s="16"/>
      <c r="D11" s="16"/>
      <c r="E11" s="16"/>
      <c r="F11" s="16"/>
      <c r="G11" s="16"/>
      <c r="H11" s="16"/>
      <c r="I11" s="16"/>
      <c r="J11" s="16"/>
      <c r="K11" s="16"/>
      <c r="L11" s="16"/>
    </row>
    <row r="12" spans="1:12" x14ac:dyDescent="0.2">
      <c r="A12" s="78" t="s">
        <v>209</v>
      </c>
      <c r="B12" s="26"/>
      <c r="C12" s="26">
        <f>AVERAGEIFS('Height Summary'!E$13:E$192,'Height Summary'!$D$13:$D$192, "BEDS")</f>
        <v>9.3333333333333339</v>
      </c>
      <c r="D12" s="26">
        <f>AVERAGEIFS('Height Summary'!F$13:F$192,'Height Summary'!$D$13:$D$192, "BEDS")</f>
        <v>16.600000000000001</v>
      </c>
      <c r="E12" s="26">
        <f>AVERAGEIFS('Height Summary'!G$13:G$192,'Height Summary'!$D$13:$D$192, "BEDS")</f>
        <v>25.266666666666666</v>
      </c>
      <c r="F12" s="26">
        <f>AVERAGEIFS('Height Summary'!H$13:H$192,'Height Summary'!$D$13:$D$192, "BEDS")</f>
        <v>47.755555555555553</v>
      </c>
      <c r="G12" s="26">
        <f>AVERAGEIFS('Height Summary'!I$13:I$192,'Height Summary'!$D$13:$D$192, "BEDS")</f>
        <v>66.933333333333337</v>
      </c>
      <c r="H12" s="26">
        <f>AVERAGEIFS('Height Summary'!J$13:J$192,'Height Summary'!$D$13:$D$192, "BEDS")</f>
        <v>77.711111111111109</v>
      </c>
      <c r="I12" s="26">
        <f>AVERAGEIFS('Height Summary'!K$13:K$192,'Height Summary'!$D$13:$D$192, "BEDS")</f>
        <v>88.577777777777783</v>
      </c>
      <c r="J12" s="26">
        <f>AVERAGEIFS('Height Summary'!L$13:L$192,'Height Summary'!$D$13:$D$192, "BEDS")</f>
        <v>99.222222222222229</v>
      </c>
      <c r="K12" s="26">
        <f>AVERAGEIFS('Height Summary'!M$13:M$192,'Height Summary'!$D$13:$D$192, "BEDS")</f>
        <v>114.66666666666667</v>
      </c>
      <c r="L12" s="26">
        <f>AVERAGEIFS('Height Summary'!N$13:N$192,'Height Summary'!$D$13:$D$192, "BEDS")</f>
        <v>117.93333333333334</v>
      </c>
    </row>
    <row r="13" spans="1:12" x14ac:dyDescent="0.2">
      <c r="A13" s="38"/>
      <c r="B13" s="21"/>
      <c r="C13" s="16"/>
      <c r="D13" s="16"/>
      <c r="E13" s="16"/>
      <c r="F13" s="16"/>
      <c r="G13" s="16"/>
      <c r="H13" s="16"/>
      <c r="I13" s="16"/>
      <c r="J13" s="16"/>
      <c r="K13" s="16"/>
      <c r="L13" s="16"/>
    </row>
    <row r="14" spans="1:12" x14ac:dyDescent="0.2">
      <c r="A14" s="79" t="s">
        <v>210</v>
      </c>
      <c r="B14" s="26"/>
      <c r="C14" s="26">
        <f>AVERAGEIFS('Height Summary'!E$13:E$192,'Height Summary'!$D$13:$D$192, "FLAT")</f>
        <v>12.422222222222222</v>
      </c>
      <c r="D14" s="26">
        <f>AVERAGEIFS('Height Summary'!F$13:F$192,'Height Summary'!$D$13:$D$192, "FLAT")</f>
        <v>19.977777777777778</v>
      </c>
      <c r="E14" s="26">
        <f>AVERAGEIFS('Height Summary'!G$13:G$192,'Height Summary'!$D$13:$D$192, "FLAT")</f>
        <v>28.31111111111111</v>
      </c>
      <c r="F14" s="26">
        <f>AVERAGEIFS('Height Summary'!H$13:H$192,'Height Summary'!$D$13:$D$192, "FLAT")</f>
        <v>51.68888888888889</v>
      </c>
      <c r="G14" s="26">
        <f>AVERAGEIFS('Height Summary'!I$13:I$192,'Height Summary'!$D$13:$D$192, "FLAT")</f>
        <v>74.8</v>
      </c>
      <c r="H14" s="26">
        <f>AVERAGEIFS('Height Summary'!J$13:J$192,'Height Summary'!$D$13:$D$192, "FLAT")</f>
        <v>84.333333333333329</v>
      </c>
      <c r="I14" s="26">
        <f>AVERAGEIFS('Height Summary'!K$13:K$192,'Height Summary'!$D$13:$D$192, "FLAT")</f>
        <v>93.6</v>
      </c>
      <c r="J14" s="26">
        <f>AVERAGEIFS('Height Summary'!L$13:L$192,'Height Summary'!$D$13:$D$192, "FLAT")</f>
        <v>102.77777777777777</v>
      </c>
      <c r="K14" s="26">
        <f>AVERAGEIFS('Height Summary'!M$13:M$192,'Height Summary'!$D$13:$D$192, "FLAT")</f>
        <v>117.13333333333334</v>
      </c>
      <c r="L14" s="26">
        <f>AVERAGEIFS('Height Summary'!N$13:N$192,'Height Summary'!$D$13:$D$192, "FLAT")</f>
        <v>118.82222222222222</v>
      </c>
    </row>
    <row r="15" spans="1:12" x14ac:dyDescent="0.2">
      <c r="A15" s="38"/>
      <c r="B15" s="16"/>
      <c r="C15" s="16"/>
      <c r="D15" s="16"/>
      <c r="E15" s="16"/>
      <c r="F15" s="16"/>
      <c r="G15" s="16"/>
      <c r="H15" s="16"/>
      <c r="I15" s="16"/>
      <c r="J15" s="16"/>
      <c r="K15" s="16"/>
    </row>
    <row r="16" spans="1:12" x14ac:dyDescent="0.2">
      <c r="A16" s="38"/>
      <c r="B16" s="16"/>
      <c r="C16" s="30"/>
      <c r="D16" s="30"/>
      <c r="E16" s="30"/>
      <c r="F16" s="30"/>
      <c r="G16" s="30"/>
      <c r="H16" s="30"/>
      <c r="I16" s="30"/>
      <c r="J16" s="30"/>
      <c r="K16" s="30"/>
      <c r="L16" s="28"/>
    </row>
    <row r="17" spans="1:12" ht="23.25" x14ac:dyDescent="0.35">
      <c r="A17" s="37" t="s">
        <v>14</v>
      </c>
      <c r="B17" s="28"/>
      <c r="C17" s="31"/>
      <c r="D17" s="31"/>
      <c r="E17" s="31"/>
      <c r="F17" s="31"/>
      <c r="G17" s="31"/>
      <c r="H17" s="31"/>
      <c r="I17" s="31"/>
      <c r="J17" s="31"/>
      <c r="K17" s="31"/>
      <c r="L17" s="28"/>
    </row>
    <row r="18" spans="1:12" x14ac:dyDescent="0.2">
      <c r="A18" s="38"/>
      <c r="C18" s="16"/>
      <c r="D18" s="16"/>
      <c r="E18" s="16"/>
      <c r="F18" s="16"/>
      <c r="G18" s="16"/>
      <c r="H18" s="16"/>
      <c r="I18" s="16"/>
      <c r="J18" s="16"/>
      <c r="K18" s="16"/>
    </row>
    <row r="19" spans="1:12" x14ac:dyDescent="0.2">
      <c r="A19" s="38"/>
      <c r="B19" s="30"/>
      <c r="C19" s="30">
        <f>'Cover Summary'!E9</f>
        <v>45082</v>
      </c>
      <c r="D19" s="30">
        <f>'Cover Summary'!F9</f>
        <v>45089</v>
      </c>
      <c r="E19" s="30">
        <f>'Cover Summary'!G9</f>
        <v>45097</v>
      </c>
      <c r="F19" s="30">
        <f>'Cover Summary'!H9</f>
        <v>45103</v>
      </c>
      <c r="G19" s="30">
        <f>'Cover Summary'!I9</f>
        <v>45110</v>
      </c>
      <c r="H19" s="30">
        <f>'Cover Summary'!J9</f>
        <v>45120</v>
      </c>
      <c r="I19" s="30">
        <f>'Cover Summary'!K9</f>
        <v>45127</v>
      </c>
      <c r="J19" s="30">
        <f>'Cover Summary'!L9</f>
        <v>45134</v>
      </c>
      <c r="K19" s="30">
        <f>'Cover Summary'!M9</f>
        <v>45141</v>
      </c>
      <c r="L19" s="30">
        <f>'Cover Summary'!N9</f>
        <v>45162</v>
      </c>
    </row>
    <row r="20" spans="1:12" x14ac:dyDescent="0.2">
      <c r="A20" s="38"/>
      <c r="B20" s="31"/>
      <c r="C20" s="22">
        <f>'Cover Summary'!E10</f>
        <v>156</v>
      </c>
      <c r="D20" s="22">
        <f>'Cover Summary'!F10</f>
        <v>163</v>
      </c>
      <c r="E20" s="22">
        <f>'Cover Summary'!G10</f>
        <v>171</v>
      </c>
      <c r="F20" s="22">
        <f>'Cover Summary'!H10</f>
        <v>177</v>
      </c>
      <c r="G20" s="22">
        <f>'Cover Summary'!I10</f>
        <v>184</v>
      </c>
      <c r="H20" s="22">
        <f>'Cover Summary'!J10</f>
        <v>194</v>
      </c>
      <c r="I20" s="22">
        <f>'Cover Summary'!K10</f>
        <v>201</v>
      </c>
      <c r="J20" s="22">
        <f>'Cover Summary'!L10</f>
        <v>208</v>
      </c>
      <c r="K20" s="22">
        <f>'Cover Summary'!M10</f>
        <v>215</v>
      </c>
      <c r="L20" s="22">
        <f>'Cover Summary'!N10</f>
        <v>236</v>
      </c>
    </row>
    <row r="21" spans="1:12" x14ac:dyDescent="0.2">
      <c r="A21" s="76" t="s">
        <v>207</v>
      </c>
      <c r="B21" s="26"/>
      <c r="C21" s="26">
        <f>AVERAGEIFS('Cover Summary'!E$13:E$192,'Cover Summary'!$D$13:$D$192, "STRIP")</f>
        <v>13.977777777777778</v>
      </c>
      <c r="D21" s="26">
        <f>AVERAGEIFS('Cover Summary'!F$13:F$192,'Cover Summary'!$D$13:$D$192, "STRIP")</f>
        <v>21.022222222222222</v>
      </c>
      <c r="E21" s="26">
        <f>AVERAGEIFS('Cover Summary'!G$13:G$192,'Cover Summary'!$D$13:$D$192, "STRIP")</f>
        <v>28.177777777777777</v>
      </c>
      <c r="F21" s="26">
        <f>AVERAGEIFS('Cover Summary'!H$13:H$192,'Cover Summary'!$D$13:$D$192, "STRIP")</f>
        <v>49.68888888888889</v>
      </c>
      <c r="G21" s="26">
        <f>AVERAGEIFS('Cover Summary'!I$13:I$192,'Cover Summary'!$D$13:$D$192, "STRIP")</f>
        <v>70.488888888888894</v>
      </c>
      <c r="H21" s="26">
        <f>AVERAGEIFS('Cover Summary'!J$13:J$192,'Cover Summary'!$D$13:$D$192, "STRIP")</f>
        <v>80.577777777777783</v>
      </c>
      <c r="I21" s="26">
        <f>AVERAGEIFS('Cover Summary'!K$13:K$192,'Cover Summary'!$D$13:$D$192, "STRIP")</f>
        <v>90.090909090909093</v>
      </c>
      <c r="J21" s="26">
        <f>AVERAGEIFS('Cover Summary'!L$13:L$192,'Cover Summary'!$D$13:$D$192, "STRIP")</f>
        <v>94.85</v>
      </c>
      <c r="K21" s="26">
        <f>AVERAGEIFS('Cover Summary'!M$13:M$192,'Cover Summary'!$D$13:$D$192, "STRIP")</f>
        <v>92.4</v>
      </c>
      <c r="L21" s="26">
        <f>AVERAGEIFS('Cover Summary'!N$13:N$192,'Cover Summary'!$D$13:$D$192, "STRIP")</f>
        <v>92.5</v>
      </c>
    </row>
    <row r="22" spans="1:12" x14ac:dyDescent="0.2">
      <c r="A22" s="38"/>
      <c r="B22" s="21"/>
      <c r="C22" s="16"/>
      <c r="D22" s="16"/>
      <c r="E22" s="16"/>
      <c r="F22" s="16"/>
      <c r="G22" s="16"/>
      <c r="H22" s="16"/>
      <c r="I22" s="16"/>
      <c r="J22" s="16"/>
      <c r="K22" s="16"/>
      <c r="L22" s="16"/>
    </row>
    <row r="23" spans="1:12" x14ac:dyDescent="0.2">
      <c r="A23" s="77" t="s">
        <v>208</v>
      </c>
      <c r="B23" s="26"/>
      <c r="C23" s="26">
        <f>AVERAGEIFS('Cover Summary'!E$13:E$192,'Cover Summary'!$D$13:$D$192, "NO TILL")</f>
        <v>19.222222222222221</v>
      </c>
      <c r="D23" s="26">
        <f>AVERAGEIFS('Cover Summary'!F$13:F$192,'Cover Summary'!$D$13:$D$192, "NO TILL")</f>
        <v>28.022222222222222</v>
      </c>
      <c r="E23" s="26">
        <f>AVERAGEIFS('Cover Summary'!G$13:G$192,'Cover Summary'!$D$13:$D$192, "NO TILL")</f>
        <v>34.977777777777774</v>
      </c>
      <c r="F23" s="26">
        <f>AVERAGEIFS('Cover Summary'!H$13:H$192,'Cover Summary'!$D$13:$D$192, "NO TILL")</f>
        <v>56.977777777777774</v>
      </c>
      <c r="G23" s="26">
        <f>AVERAGEIFS('Cover Summary'!I$13:I$192,'Cover Summary'!$D$13:$D$192, "NO TILL")</f>
        <v>79.422222222222217</v>
      </c>
      <c r="H23" s="26">
        <f>AVERAGEIFS('Cover Summary'!J$13:J$192,'Cover Summary'!$D$13:$D$192, "NO TILL")</f>
        <v>89.431818181818187</v>
      </c>
      <c r="I23" s="26">
        <f>AVERAGEIFS('Cover Summary'!K$13:K$192,'Cover Summary'!$D$13:$D$192, "NO TILL")</f>
        <v>95</v>
      </c>
      <c r="J23" s="26">
        <f>AVERAGEIFS('Cover Summary'!L$13:L$192,'Cover Summary'!$D$13:$D$192, "NO TILL")</f>
        <v>95.333333333333329</v>
      </c>
      <c r="K23" s="26">
        <f>AVERAGEIFS('Cover Summary'!M$13:M$192,'Cover Summary'!$D$13:$D$192, "NO TILL")</f>
        <v>99.5</v>
      </c>
      <c r="L23" s="26" t="e">
        <f>AVERAGEIFS('Cover Summary'!N$13:N$192,'Cover Summary'!$D$13:$D$192, "NO TILL")</f>
        <v>#DIV/0!</v>
      </c>
    </row>
    <row r="24" spans="1:12" x14ac:dyDescent="0.2">
      <c r="A24" s="38"/>
      <c r="B24" s="21"/>
      <c r="C24" s="16"/>
      <c r="D24" s="16"/>
      <c r="E24" s="16"/>
      <c r="F24" s="16"/>
      <c r="G24" s="16"/>
      <c r="H24" s="16"/>
      <c r="I24" s="16"/>
      <c r="J24" s="16"/>
      <c r="K24" s="16"/>
      <c r="L24" s="16"/>
    </row>
    <row r="25" spans="1:12" x14ac:dyDescent="0.2">
      <c r="A25" s="78" t="s">
        <v>209</v>
      </c>
      <c r="B25" s="26"/>
      <c r="C25" s="26">
        <f>AVERAGEIFS('Cover Summary'!E$13:E$192,'Cover Summary'!$D$13:$D$192, "BEDS")</f>
        <v>10.533333333333333</v>
      </c>
      <c r="D25" s="26">
        <f>AVERAGEIFS('Cover Summary'!F$13:F$192,'Cover Summary'!$D$13:$D$192, "BEDS")</f>
        <v>17.533333333333335</v>
      </c>
      <c r="E25" s="26">
        <f>AVERAGEIFS('Cover Summary'!G$13:G$192,'Cover Summary'!$D$13:$D$192, "BEDS")</f>
        <v>24.622222222222224</v>
      </c>
      <c r="F25" s="26">
        <f>AVERAGEIFS('Cover Summary'!H$13:H$192,'Cover Summary'!$D$13:$D$192, "BEDS")</f>
        <v>46.955555555555556</v>
      </c>
      <c r="G25" s="26">
        <f>AVERAGEIFS('Cover Summary'!I$13:I$192,'Cover Summary'!$D$13:$D$192, "BEDS")</f>
        <v>64.422222222222217</v>
      </c>
      <c r="H25" s="26">
        <f>AVERAGEIFS('Cover Summary'!J$13:J$192,'Cover Summary'!$D$13:$D$192, "BEDS")</f>
        <v>72.666666666666671</v>
      </c>
      <c r="I25" s="26">
        <f>AVERAGEIFS('Cover Summary'!K$13:K$192,'Cover Summary'!$D$13:$D$192, "BEDS")</f>
        <v>82.488888888888894</v>
      </c>
      <c r="J25" s="26">
        <f>AVERAGEIFS('Cover Summary'!L$13:L$192,'Cover Summary'!$D$13:$D$192, "BEDS")</f>
        <v>92.348837209302332</v>
      </c>
      <c r="K25" s="26">
        <f>AVERAGEIFS('Cover Summary'!M$13:M$192,'Cover Summary'!$D$13:$D$192, "BEDS")</f>
        <v>96.375</v>
      </c>
      <c r="L25" s="26">
        <f>AVERAGEIFS('Cover Summary'!N$13:N$192,'Cover Summary'!$D$13:$D$192, "BEDS")</f>
        <v>95</v>
      </c>
    </row>
    <row r="26" spans="1:12" x14ac:dyDescent="0.2">
      <c r="A26" s="38"/>
      <c r="B26" s="21"/>
      <c r="C26" s="16"/>
      <c r="D26" s="16"/>
      <c r="E26" s="16"/>
      <c r="F26" s="16"/>
      <c r="G26" s="16"/>
      <c r="H26" s="16"/>
      <c r="I26" s="16"/>
      <c r="J26" s="16"/>
      <c r="K26" s="16"/>
      <c r="L26" s="16"/>
    </row>
    <row r="27" spans="1:12" x14ac:dyDescent="0.2">
      <c r="A27" s="79" t="s">
        <v>210</v>
      </c>
      <c r="B27" s="26"/>
      <c r="C27" s="26">
        <f>AVERAGEIFS('Cover Summary'!E$13:E$192,'Cover Summary'!$D$13:$D$192, "FLAT")</f>
        <v>12.822222222222223</v>
      </c>
      <c r="D27" s="26">
        <f>AVERAGEIFS('Cover Summary'!F$13:F$192,'Cover Summary'!$D$13:$D$192, "FLAT")</f>
        <v>20.911111111111111</v>
      </c>
      <c r="E27" s="26">
        <f>AVERAGEIFS('Cover Summary'!G$13:G$192,'Cover Summary'!$D$13:$D$192, "FLAT")</f>
        <v>27.266666666666666</v>
      </c>
      <c r="F27" s="26">
        <f>AVERAGEIFS('Cover Summary'!H$13:H$192,'Cover Summary'!$D$13:$D$192, "FLAT")</f>
        <v>49.844444444444441</v>
      </c>
      <c r="G27" s="26">
        <f>AVERAGEIFS('Cover Summary'!I$13:I$192,'Cover Summary'!$D$13:$D$192, "FLAT")</f>
        <v>71.044444444444451</v>
      </c>
      <c r="H27" s="26">
        <f>AVERAGEIFS('Cover Summary'!J$13:J$192,'Cover Summary'!$D$13:$D$192, "FLAT")</f>
        <v>79.400000000000006</v>
      </c>
      <c r="I27" s="26">
        <f>AVERAGEIFS('Cover Summary'!K$13:K$192,'Cover Summary'!$D$13:$D$192, "FLAT")</f>
        <v>88.8</v>
      </c>
      <c r="J27" s="26">
        <f>AVERAGEIFS('Cover Summary'!L$13:L$192,'Cover Summary'!$D$13:$D$192, "FLAT")</f>
        <v>94.290322580645167</v>
      </c>
      <c r="K27" s="26">
        <f>AVERAGEIFS('Cover Summary'!M$13:M$192,'Cover Summary'!$D$13:$D$192, "FLAT")</f>
        <v>95</v>
      </c>
      <c r="L27" s="26">
        <f>AVERAGEIFS('Cover Summary'!N$13:N$192,'Cover Summary'!$D$13:$D$192, "FLAT")</f>
        <v>94.642857142857139</v>
      </c>
    </row>
    <row r="28" spans="1:12" x14ac:dyDescent="0.2">
      <c r="A28" s="38"/>
      <c r="B28" s="16"/>
      <c r="C28" s="16"/>
      <c r="D28" s="16"/>
      <c r="E28" s="16"/>
      <c r="F28" s="16"/>
      <c r="G28" s="16"/>
      <c r="H28" s="16"/>
      <c r="I28" s="16"/>
      <c r="J28" s="16"/>
      <c r="K28" s="16"/>
      <c r="L28" s="4"/>
    </row>
    <row r="29" spans="1:12" x14ac:dyDescent="0.2">
      <c r="A29" s="16"/>
      <c r="B29" s="16"/>
      <c r="D29" s="34"/>
      <c r="L29" s="4"/>
    </row>
    <row r="30" spans="1:12" x14ac:dyDescent="0.2">
      <c r="A30" s="4"/>
      <c r="B30" s="26"/>
      <c r="C30" s="26"/>
      <c r="D30" s="26"/>
      <c r="E30" s="21"/>
      <c r="F30" s="21"/>
      <c r="G30" s="21"/>
      <c r="H30" s="21"/>
      <c r="I30" s="21"/>
      <c r="J30" s="21"/>
      <c r="K30" s="21"/>
      <c r="L30" s="21"/>
    </row>
    <row r="31" spans="1:12" x14ac:dyDescent="0.2">
      <c r="A31" s="4"/>
      <c r="B31" s="26"/>
      <c r="C31" s="26"/>
      <c r="D31" s="26"/>
      <c r="E31" s="21"/>
      <c r="F31" s="21"/>
      <c r="G31" s="21"/>
      <c r="H31" s="21"/>
      <c r="I31" s="21"/>
      <c r="J31" s="21"/>
      <c r="K31" s="21"/>
      <c r="L31" s="21"/>
    </row>
    <row r="32" spans="1:12" x14ac:dyDescent="0.2">
      <c r="A32" s="4"/>
      <c r="B32" s="26"/>
      <c r="C32" s="26"/>
      <c r="D32" s="26"/>
      <c r="E32" s="21"/>
      <c r="F32" s="21"/>
      <c r="G32" s="21"/>
      <c r="H32" s="21"/>
      <c r="I32" s="21"/>
      <c r="J32" s="21"/>
      <c r="K32" s="21"/>
      <c r="L32" s="21"/>
    </row>
    <row r="33" spans="1:12" x14ac:dyDescent="0.2">
      <c r="A33" s="4"/>
      <c r="B33" s="26"/>
      <c r="C33" s="26"/>
      <c r="D33" s="26"/>
      <c r="E33" s="21"/>
      <c r="F33" s="21"/>
      <c r="G33" s="21"/>
      <c r="H33" s="21"/>
      <c r="I33" s="21"/>
      <c r="J33" s="21"/>
      <c r="K33" s="21"/>
      <c r="L33" s="21"/>
    </row>
    <row r="34" spans="1:12" x14ac:dyDescent="0.2">
      <c r="A34" s="4"/>
      <c r="B34" s="26"/>
      <c r="C34" s="26"/>
      <c r="D34" s="26"/>
      <c r="E34" s="21"/>
      <c r="F34" s="21"/>
      <c r="G34" s="21"/>
      <c r="H34" s="21"/>
      <c r="I34" s="21"/>
      <c r="J34" s="21"/>
      <c r="K34" s="21"/>
      <c r="L34" s="21"/>
    </row>
    <row r="35" spans="1:12" x14ac:dyDescent="0.2">
      <c r="A35" s="4"/>
      <c r="B35" s="26"/>
      <c r="C35" s="26"/>
      <c r="D35" s="26"/>
      <c r="E35" s="21"/>
      <c r="F35" s="21"/>
      <c r="G35" s="21"/>
      <c r="H35" s="21"/>
      <c r="I35" s="21"/>
      <c r="J35" s="21"/>
      <c r="K35" s="21"/>
      <c r="L35" s="21"/>
    </row>
    <row r="36" spans="1:12" x14ac:dyDescent="0.2">
      <c r="A36" s="3"/>
      <c r="B36" s="16"/>
    </row>
    <row r="37" spans="1:12" x14ac:dyDescent="0.2">
      <c r="B37" s="16"/>
    </row>
    <row r="38" spans="1:12" ht="18.75" x14ac:dyDescent="0.3">
      <c r="B38" s="23"/>
    </row>
    <row r="40" spans="1:12" s="28" customFormat="1" ht="12" x14ac:dyDescent="0.2">
      <c r="B40" s="30"/>
      <c r="C40" s="30"/>
      <c r="D40" s="30"/>
      <c r="E40" s="30"/>
      <c r="F40" s="30"/>
      <c r="G40" s="30"/>
      <c r="H40" s="30"/>
      <c r="I40" s="30"/>
      <c r="J40" s="30"/>
      <c r="K40" s="30"/>
      <c r="L40" s="30"/>
    </row>
    <row r="41" spans="1:12" s="28" customFormat="1" ht="12" x14ac:dyDescent="0.2">
      <c r="B41" s="31"/>
      <c r="C41" s="31"/>
      <c r="D41" s="31"/>
      <c r="E41" s="31"/>
      <c r="F41" s="31"/>
      <c r="G41" s="31"/>
      <c r="H41" s="31"/>
      <c r="I41" s="31"/>
      <c r="J41" s="31"/>
      <c r="K41" s="31"/>
      <c r="L41" s="31"/>
    </row>
    <row r="42" spans="1:12" x14ac:dyDescent="0.2">
      <c r="A42" s="4"/>
      <c r="B42" s="26"/>
      <c r="C42" s="16"/>
      <c r="D42" s="16"/>
      <c r="E42" s="16"/>
      <c r="F42" s="16"/>
      <c r="G42" s="16"/>
      <c r="H42" s="16"/>
      <c r="I42" s="16"/>
      <c r="J42" s="16"/>
      <c r="K42" s="16"/>
      <c r="L42" s="16"/>
    </row>
    <row r="43" spans="1:12" x14ac:dyDescent="0.2">
      <c r="B43" s="21"/>
      <c r="C43" s="21"/>
      <c r="D43" s="21"/>
      <c r="E43" s="21"/>
      <c r="F43" s="21"/>
      <c r="G43" s="21"/>
      <c r="H43" s="21"/>
      <c r="I43" s="21"/>
      <c r="J43" s="21"/>
      <c r="K43" s="21"/>
      <c r="L43" s="21"/>
    </row>
    <row r="44" spans="1:12" x14ac:dyDescent="0.2">
      <c r="A44" s="4"/>
      <c r="B44" s="26"/>
      <c r="C44" s="16"/>
      <c r="D44" s="16"/>
      <c r="E44" s="16"/>
      <c r="F44" s="16"/>
      <c r="G44" s="16"/>
      <c r="H44" s="16"/>
      <c r="I44" s="16"/>
      <c r="J44" s="16"/>
      <c r="K44" s="16"/>
      <c r="L44" s="16"/>
    </row>
    <row r="45" spans="1:12" x14ac:dyDescent="0.2">
      <c r="B45" s="21"/>
      <c r="C45" s="21"/>
      <c r="D45" s="21"/>
      <c r="E45" s="21"/>
      <c r="F45" s="21"/>
      <c r="G45" s="21"/>
      <c r="H45" s="21"/>
      <c r="I45" s="21"/>
      <c r="J45" s="21"/>
      <c r="K45" s="21"/>
      <c r="L45" s="21"/>
    </row>
    <row r="46" spans="1:12" x14ac:dyDescent="0.2">
      <c r="A46" s="4"/>
      <c r="B46" s="26"/>
      <c r="C46" s="16"/>
      <c r="D46" s="16"/>
      <c r="E46" s="16"/>
      <c r="F46" s="16"/>
      <c r="G46" s="16"/>
      <c r="H46" s="16"/>
      <c r="I46" s="16"/>
      <c r="J46" s="16"/>
      <c r="K46" s="16"/>
      <c r="L46" s="16"/>
    </row>
    <row r="47" spans="1:12" x14ac:dyDescent="0.2">
      <c r="B47" s="21"/>
      <c r="C47" s="21"/>
      <c r="D47" s="21"/>
      <c r="E47" s="21"/>
      <c r="F47" s="21"/>
      <c r="G47" s="21"/>
      <c r="H47" s="21"/>
      <c r="I47" s="21"/>
      <c r="J47" s="21"/>
      <c r="K47" s="21"/>
      <c r="L47" s="21"/>
    </row>
    <row r="48" spans="1:12" x14ac:dyDescent="0.2">
      <c r="A48" s="4"/>
      <c r="B48" s="26"/>
      <c r="C48" s="16"/>
      <c r="D48" s="16"/>
      <c r="E48" s="16"/>
      <c r="F48" s="16"/>
      <c r="G48" s="16"/>
      <c r="H48" s="16"/>
      <c r="I48" s="16"/>
      <c r="J48" s="16"/>
      <c r="K48" s="16"/>
      <c r="L48" s="16"/>
    </row>
    <row r="49" spans="1:12" x14ac:dyDescent="0.2">
      <c r="A49" s="4"/>
      <c r="B49" s="16"/>
      <c r="C49" s="21"/>
      <c r="D49" s="21"/>
      <c r="E49" s="21"/>
      <c r="F49" s="21"/>
      <c r="G49" s="21"/>
      <c r="H49" s="21"/>
      <c r="I49" s="21"/>
      <c r="J49" s="21"/>
      <c r="K49" s="21"/>
      <c r="L49" s="21"/>
    </row>
    <row r="50" spans="1:12" x14ac:dyDescent="0.2">
      <c r="A50" s="4"/>
      <c r="B50" s="26"/>
    </row>
    <row r="51" spans="1:12" x14ac:dyDescent="0.2">
      <c r="A51" s="4"/>
      <c r="B51" s="16"/>
    </row>
    <row r="52" spans="1:12" x14ac:dyDescent="0.2">
      <c r="A52" s="4"/>
      <c r="B52" s="26"/>
    </row>
    <row r="53" spans="1:12" x14ac:dyDescent="0.2">
      <c r="A53" s="16"/>
      <c r="B53" s="16"/>
    </row>
    <row r="54" spans="1:12" x14ac:dyDescent="0.2">
      <c r="A54" s="16"/>
      <c r="B54" s="16"/>
    </row>
    <row r="55" spans="1:12" x14ac:dyDescent="0.2">
      <c r="A55" s="16"/>
      <c r="B55" s="16"/>
    </row>
    <row r="56" spans="1:12" x14ac:dyDescent="0.2">
      <c r="A56" s="16"/>
      <c r="B56" s="16"/>
    </row>
    <row r="57" spans="1:12" x14ac:dyDescent="0.2">
      <c r="A57" s="16"/>
      <c r="B57" s="16"/>
    </row>
    <row r="58" spans="1:12" x14ac:dyDescent="0.2">
      <c r="A58" s="16"/>
      <c r="B58" s="16"/>
    </row>
    <row r="59" spans="1:12" x14ac:dyDescent="0.2">
      <c r="A59" s="16"/>
      <c r="B59" s="16"/>
    </row>
    <row r="60" spans="1:12" x14ac:dyDescent="0.2">
      <c r="A60" s="16"/>
      <c r="B60" s="16"/>
    </row>
    <row r="61" spans="1:12" x14ac:dyDescent="0.2">
      <c r="A61" s="16"/>
      <c r="B61" s="16"/>
    </row>
    <row r="62" spans="1:12" x14ac:dyDescent="0.2">
      <c r="A62" s="16"/>
      <c r="B62" s="16"/>
    </row>
    <row r="63" spans="1:12" x14ac:dyDescent="0.2">
      <c r="A63" s="16"/>
      <c r="B63" s="16"/>
    </row>
    <row r="64" spans="1:12" x14ac:dyDescent="0.2">
      <c r="A64" s="16"/>
      <c r="B64" s="16"/>
    </row>
    <row r="65" spans="1:2" x14ac:dyDescent="0.2">
      <c r="A65" s="16"/>
      <c r="B65" s="16"/>
    </row>
    <row r="66" spans="1:2" x14ac:dyDescent="0.2">
      <c r="A66" s="16"/>
      <c r="B66" s="16"/>
    </row>
    <row r="67" spans="1:2" x14ac:dyDescent="0.2">
      <c r="B67" s="16"/>
    </row>
    <row r="68" spans="1:2" x14ac:dyDescent="0.2">
      <c r="B68" s="16"/>
    </row>
    <row r="69" spans="1:2" x14ac:dyDescent="0.2">
      <c r="B69" s="16"/>
    </row>
    <row r="70" spans="1:2" x14ac:dyDescent="0.2">
      <c r="B70" s="16"/>
    </row>
  </sheetData>
  <conditionalFormatting sqref="A8:A16 A18:A28">
    <cfRule type="endsWith" dxfId="5" priority="13" operator="endsWith" text="FAO">
      <formula>RIGHT(A8,LEN("FAO"))="FAO"</formula>
    </cfRule>
    <cfRule type="endsWith" dxfId="4" priority="14" operator="endsWith" text="AQC">
      <formula>RIGHT(A8,LEN("AQC"))="AQC"</formula>
    </cfRule>
    <cfRule type="endsWith" dxfId="3" priority="15" operator="endsWith" text="CSM-N">
      <formula>RIGHT(A8,LEN("CSM-N"))="CSM-N"</formula>
    </cfRule>
    <cfRule type="endsWith" dxfId="2" priority="16" operator="endsWith" text="FAO-N">
      <formula>RIGHT(A8,LEN("FAO-N"))="FAO-N"</formula>
    </cfRule>
    <cfRule type="endsWith" dxfId="1" priority="17" operator="endsWith" text="AQC-N">
      <formula>RIGHT(A8,LEN("AQC-N"))="AQC-N"</formula>
    </cfRule>
    <cfRule type="endsWith" dxfId="0" priority="18" operator="endsWith" text="CSM">
      <formula>RIGHT(A8,LEN("CSM"))="CSM"</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59733-EDD5-4E72-8085-A4E89F9C85F4}">
  <sheetPr>
    <pageSetUpPr fitToPage="1"/>
  </sheetPr>
  <dimension ref="A1:M108"/>
  <sheetViews>
    <sheetView topLeftCell="A23" zoomScale="85" zoomScaleNormal="85" workbookViewId="0">
      <selection activeCell="E9" sqref="E9"/>
    </sheetView>
  </sheetViews>
  <sheetFormatPr defaultRowHeight="15" x14ac:dyDescent="0.25"/>
  <cols>
    <col min="1" max="1" width="3.28515625" style="92" customWidth="1"/>
    <col min="2" max="5" width="8.7109375" style="92" customWidth="1"/>
    <col min="6" max="6" width="28.7109375" style="92" customWidth="1"/>
    <col min="7" max="7" width="2.7109375" style="92" customWidth="1"/>
    <col min="8" max="11" width="8.7109375" style="92" customWidth="1"/>
    <col min="12" max="12" width="28.7109375" style="92" customWidth="1"/>
    <col min="13" max="16384" width="9.140625" style="92"/>
  </cols>
  <sheetData>
    <row r="1" spans="1:13" ht="18.75" x14ac:dyDescent="0.3">
      <c r="B1" s="126">
        <v>2023</v>
      </c>
      <c r="C1" s="125" t="s">
        <v>16</v>
      </c>
      <c r="D1" s="126" t="s">
        <v>6</v>
      </c>
      <c r="F1" s="125" t="s">
        <v>422</v>
      </c>
      <c r="G1" s="125"/>
    </row>
    <row r="2" spans="1:13" x14ac:dyDescent="0.25">
      <c r="A2" s="124"/>
      <c r="F2" s="92" t="s">
        <v>26</v>
      </c>
    </row>
    <row r="3" spans="1:13" x14ac:dyDescent="0.25">
      <c r="A3" s="124"/>
      <c r="B3" s="123"/>
      <c r="C3" s="122"/>
      <c r="H3" s="121" t="s">
        <v>18</v>
      </c>
      <c r="I3" s="221" t="s">
        <v>421</v>
      </c>
      <c r="J3" s="222"/>
      <c r="K3" s="118"/>
      <c r="L3" s="120" t="s">
        <v>223</v>
      </c>
    </row>
    <row r="4" spans="1:13" x14ac:dyDescent="0.25">
      <c r="H4" s="119" t="s">
        <v>20</v>
      </c>
      <c r="I4" s="223"/>
      <c r="J4" s="224"/>
      <c r="K4" s="118"/>
    </row>
    <row r="5" spans="1:13" ht="43.5" customHeight="1" x14ac:dyDescent="0.25">
      <c r="B5" s="225" t="s">
        <v>420</v>
      </c>
      <c r="C5" s="226"/>
      <c r="D5" s="226"/>
      <c r="E5" s="226"/>
      <c r="F5" s="226"/>
      <c r="G5" s="226"/>
      <c r="H5" s="226"/>
      <c r="I5" s="226"/>
      <c r="J5" s="226"/>
      <c r="K5" s="226"/>
      <c r="L5" s="226"/>
      <c r="M5" s="117"/>
    </row>
    <row r="6" spans="1:13" ht="54" customHeight="1" x14ac:dyDescent="0.25">
      <c r="C6" s="110" t="s">
        <v>419</v>
      </c>
      <c r="D6" s="112" t="s">
        <v>23</v>
      </c>
      <c r="E6" s="110" t="s">
        <v>418</v>
      </c>
      <c r="I6" s="110" t="s">
        <v>419</v>
      </c>
      <c r="J6" s="112" t="s">
        <v>23</v>
      </c>
      <c r="K6" s="110" t="s">
        <v>418</v>
      </c>
    </row>
    <row r="7" spans="1:13" ht="27" thickBot="1" x14ac:dyDescent="0.3">
      <c r="B7" s="110" t="s">
        <v>7</v>
      </c>
      <c r="C7" s="109" t="s">
        <v>417</v>
      </c>
      <c r="D7" s="108" t="s">
        <v>417</v>
      </c>
      <c r="E7" s="108" t="s">
        <v>417</v>
      </c>
      <c r="F7" s="107" t="s">
        <v>416</v>
      </c>
      <c r="G7" s="111"/>
      <c r="H7" s="110" t="s">
        <v>7</v>
      </c>
      <c r="I7" s="109" t="s">
        <v>417</v>
      </c>
      <c r="J7" s="108" t="s">
        <v>417</v>
      </c>
      <c r="K7" s="108" t="s">
        <v>417</v>
      </c>
      <c r="L7" s="107" t="s">
        <v>416</v>
      </c>
    </row>
    <row r="8" spans="1:13" ht="29.1" customHeight="1" x14ac:dyDescent="0.25">
      <c r="B8" s="106" t="s">
        <v>27</v>
      </c>
      <c r="C8" s="101">
        <v>13</v>
      </c>
      <c r="D8" s="101">
        <v>13</v>
      </c>
      <c r="E8" s="101">
        <v>12</v>
      </c>
      <c r="F8" s="100"/>
      <c r="G8" s="116"/>
      <c r="H8" s="106" t="s">
        <v>28</v>
      </c>
      <c r="I8" s="101">
        <v>15</v>
      </c>
      <c r="J8" s="101">
        <v>17</v>
      </c>
      <c r="K8" s="101">
        <v>16</v>
      </c>
      <c r="L8" s="100"/>
    </row>
    <row r="9" spans="1:13" ht="29.1" customHeight="1" x14ac:dyDescent="0.25">
      <c r="B9" s="104" t="s">
        <v>29</v>
      </c>
      <c r="C9" s="97">
        <v>12</v>
      </c>
      <c r="D9" s="97">
        <v>13</v>
      </c>
      <c r="E9" s="97">
        <v>14</v>
      </c>
      <c r="F9" s="96"/>
      <c r="G9" s="116"/>
      <c r="H9" s="104" t="s">
        <v>30</v>
      </c>
      <c r="I9" s="97">
        <v>14</v>
      </c>
      <c r="J9" s="97">
        <v>11</v>
      </c>
      <c r="K9" s="97">
        <v>12</v>
      </c>
      <c r="L9" s="96"/>
    </row>
    <row r="10" spans="1:13" ht="29.1" customHeight="1" x14ac:dyDescent="0.25">
      <c r="B10" s="105" t="s">
        <v>31</v>
      </c>
      <c r="C10" s="97">
        <v>8</v>
      </c>
      <c r="D10" s="97">
        <v>11</v>
      </c>
      <c r="E10" s="97">
        <v>12</v>
      </c>
      <c r="F10" s="96"/>
      <c r="G10" s="116"/>
      <c r="H10" s="105" t="s">
        <v>32</v>
      </c>
      <c r="I10" s="97">
        <v>8</v>
      </c>
      <c r="J10" s="97">
        <v>5</v>
      </c>
      <c r="K10" s="97">
        <v>14</v>
      </c>
      <c r="L10" s="96"/>
    </row>
    <row r="11" spans="1:13" ht="29.1" customHeight="1" x14ac:dyDescent="0.25">
      <c r="B11" s="104" t="s">
        <v>33</v>
      </c>
      <c r="C11" s="97">
        <v>10</v>
      </c>
      <c r="D11" s="97">
        <v>12</v>
      </c>
      <c r="E11" s="97">
        <v>11</v>
      </c>
      <c r="F11" s="96"/>
      <c r="G11" s="116"/>
      <c r="H11" s="104" t="s">
        <v>34</v>
      </c>
      <c r="I11" s="97">
        <v>14</v>
      </c>
      <c r="J11" s="97">
        <v>14</v>
      </c>
      <c r="K11" s="97">
        <v>13</v>
      </c>
      <c r="L11" s="96"/>
    </row>
    <row r="12" spans="1:13" ht="29.1" customHeight="1" x14ac:dyDescent="0.25">
      <c r="B12" s="105" t="s">
        <v>35</v>
      </c>
      <c r="C12" s="97">
        <v>11</v>
      </c>
      <c r="D12" s="97">
        <v>14</v>
      </c>
      <c r="E12" s="97">
        <v>12</v>
      </c>
      <c r="F12" s="96"/>
      <c r="G12" s="116"/>
      <c r="H12" s="105" t="s">
        <v>36</v>
      </c>
      <c r="I12" s="97">
        <v>11</v>
      </c>
      <c r="J12" s="97">
        <v>10</v>
      </c>
      <c r="K12" s="97">
        <v>12</v>
      </c>
      <c r="L12" s="96"/>
    </row>
    <row r="13" spans="1:13" ht="29.1" customHeight="1" x14ac:dyDescent="0.25">
      <c r="B13" s="104" t="s">
        <v>37</v>
      </c>
      <c r="C13" s="97">
        <v>13</v>
      </c>
      <c r="D13" s="97">
        <v>12</v>
      </c>
      <c r="E13" s="97">
        <v>14</v>
      </c>
      <c r="F13" s="96"/>
      <c r="G13" s="116"/>
      <c r="H13" s="104" t="s">
        <v>38</v>
      </c>
      <c r="I13" s="97">
        <v>11</v>
      </c>
      <c r="J13" s="97">
        <v>15</v>
      </c>
      <c r="K13" s="97">
        <v>14</v>
      </c>
      <c r="L13" s="96"/>
    </row>
    <row r="14" spans="1:13" ht="29.1" customHeight="1" x14ac:dyDescent="0.25">
      <c r="B14" s="105" t="s">
        <v>39</v>
      </c>
      <c r="C14" s="97">
        <v>10</v>
      </c>
      <c r="D14" s="97">
        <v>13</v>
      </c>
      <c r="E14" s="97">
        <v>13</v>
      </c>
      <c r="F14" s="96"/>
      <c r="G14" s="116"/>
      <c r="H14" s="105" t="s">
        <v>40</v>
      </c>
      <c r="I14" s="97">
        <v>6</v>
      </c>
      <c r="J14" s="97">
        <v>8</v>
      </c>
      <c r="K14" s="97">
        <v>11</v>
      </c>
      <c r="L14" s="96"/>
    </row>
    <row r="15" spans="1:13" ht="29.1" customHeight="1" x14ac:dyDescent="0.25">
      <c r="B15" s="104" t="s">
        <v>41</v>
      </c>
      <c r="C15" s="97">
        <v>15</v>
      </c>
      <c r="D15" s="97">
        <v>14</v>
      </c>
      <c r="E15" s="97">
        <v>12</v>
      </c>
      <c r="F15" s="96"/>
      <c r="G15" s="116"/>
      <c r="H15" s="104" t="s">
        <v>42</v>
      </c>
      <c r="I15" s="97">
        <v>10</v>
      </c>
      <c r="J15" s="97">
        <v>14</v>
      </c>
      <c r="K15" s="97">
        <v>9</v>
      </c>
      <c r="L15" s="96"/>
    </row>
    <row r="16" spans="1:13" ht="29.1" customHeight="1" x14ac:dyDescent="0.25">
      <c r="B16" s="105" t="s">
        <v>43</v>
      </c>
      <c r="C16" s="97">
        <v>9</v>
      </c>
      <c r="D16" s="97">
        <v>10</v>
      </c>
      <c r="E16" s="97">
        <v>13</v>
      </c>
      <c r="F16" s="96"/>
      <c r="G16" s="116"/>
      <c r="H16" s="105" t="s">
        <v>44</v>
      </c>
      <c r="I16" s="97">
        <v>15</v>
      </c>
      <c r="J16" s="97">
        <v>11</v>
      </c>
      <c r="K16" s="97">
        <v>14</v>
      </c>
      <c r="L16" s="96"/>
    </row>
    <row r="17" spans="2:12" ht="29.1" customHeight="1" x14ac:dyDescent="0.25">
      <c r="B17" s="104" t="s">
        <v>45</v>
      </c>
      <c r="C17" s="97">
        <v>11</v>
      </c>
      <c r="D17" s="97">
        <v>10</v>
      </c>
      <c r="E17" s="97">
        <v>11</v>
      </c>
      <c r="F17" s="96"/>
      <c r="G17" s="116"/>
      <c r="H17" s="104" t="s">
        <v>46</v>
      </c>
      <c r="I17" s="97">
        <v>14</v>
      </c>
      <c r="J17" s="97">
        <v>12</v>
      </c>
      <c r="K17" s="97">
        <v>15</v>
      </c>
      <c r="L17" s="96"/>
    </row>
    <row r="18" spans="2:12" ht="29.1" customHeight="1" x14ac:dyDescent="0.25">
      <c r="B18" s="105" t="s">
        <v>47</v>
      </c>
      <c r="C18" s="97">
        <v>15</v>
      </c>
      <c r="D18" s="97">
        <v>12</v>
      </c>
      <c r="E18" s="97">
        <v>14</v>
      </c>
      <c r="F18" s="96"/>
      <c r="G18" s="116"/>
      <c r="H18" s="105" t="s">
        <v>48</v>
      </c>
      <c r="I18" s="97">
        <v>9</v>
      </c>
      <c r="J18" s="97">
        <v>10</v>
      </c>
      <c r="K18" s="97">
        <v>11</v>
      </c>
      <c r="L18" s="96"/>
    </row>
    <row r="19" spans="2:12" ht="29.1" customHeight="1" x14ac:dyDescent="0.25">
      <c r="B19" s="104" t="s">
        <v>49</v>
      </c>
      <c r="C19" s="97">
        <v>13</v>
      </c>
      <c r="D19" s="97">
        <v>11</v>
      </c>
      <c r="E19" s="97">
        <v>14</v>
      </c>
      <c r="F19" s="96"/>
      <c r="G19" s="116"/>
      <c r="H19" s="104" t="s">
        <v>50</v>
      </c>
      <c r="I19" s="97">
        <v>14</v>
      </c>
      <c r="J19" s="97">
        <v>13</v>
      </c>
      <c r="K19" s="97">
        <v>13</v>
      </c>
      <c r="L19" s="96"/>
    </row>
    <row r="20" spans="2:12" ht="29.1" customHeight="1" x14ac:dyDescent="0.25">
      <c r="B20" s="105" t="s">
        <v>51</v>
      </c>
      <c r="C20" s="97">
        <v>14</v>
      </c>
      <c r="D20" s="97">
        <v>14</v>
      </c>
      <c r="E20" s="97">
        <v>12</v>
      </c>
      <c r="F20" s="96"/>
      <c r="G20" s="116"/>
      <c r="H20" s="105" t="s">
        <v>52</v>
      </c>
      <c r="I20" s="97">
        <v>12</v>
      </c>
      <c r="J20" s="97">
        <v>14</v>
      </c>
      <c r="K20" s="97">
        <v>15</v>
      </c>
      <c r="L20" s="96"/>
    </row>
    <row r="21" spans="2:12" ht="29.1" customHeight="1" x14ac:dyDescent="0.25">
      <c r="B21" s="104" t="s">
        <v>53</v>
      </c>
      <c r="C21" s="97">
        <v>18</v>
      </c>
      <c r="D21" s="97">
        <v>14</v>
      </c>
      <c r="E21" s="97">
        <v>15</v>
      </c>
      <c r="F21" s="96"/>
      <c r="G21" s="116"/>
      <c r="H21" s="104" t="s">
        <v>54</v>
      </c>
      <c r="I21" s="97">
        <v>14</v>
      </c>
      <c r="J21" s="97">
        <v>16</v>
      </c>
      <c r="K21" s="97">
        <v>15</v>
      </c>
      <c r="L21" s="96"/>
    </row>
    <row r="22" spans="2:12" ht="29.1" customHeight="1" thickBot="1" x14ac:dyDescent="0.3">
      <c r="B22" s="103" t="s">
        <v>55</v>
      </c>
      <c r="C22" s="94">
        <v>17</v>
      </c>
      <c r="D22" s="94">
        <v>12</v>
      </c>
      <c r="E22" s="94">
        <v>13</v>
      </c>
      <c r="F22" s="93"/>
      <c r="G22" s="116"/>
      <c r="H22" s="103" t="s">
        <v>55</v>
      </c>
      <c r="I22" s="94">
        <v>15</v>
      </c>
      <c r="J22" s="94">
        <v>14</v>
      </c>
      <c r="K22" s="94">
        <v>12</v>
      </c>
      <c r="L22" s="93"/>
    </row>
    <row r="23" spans="2:12" ht="29.1" customHeight="1" x14ac:dyDescent="0.25">
      <c r="B23" s="102" t="s">
        <v>56</v>
      </c>
      <c r="C23" s="101">
        <v>12</v>
      </c>
      <c r="D23" s="101">
        <v>10</v>
      </c>
      <c r="E23" s="101">
        <v>12</v>
      </c>
      <c r="F23" s="100"/>
      <c r="G23" s="116"/>
      <c r="H23" s="102" t="s">
        <v>57</v>
      </c>
      <c r="I23" s="101">
        <v>10</v>
      </c>
      <c r="J23" s="101">
        <v>13</v>
      </c>
      <c r="K23" s="101">
        <v>15</v>
      </c>
      <c r="L23" s="100"/>
    </row>
    <row r="24" spans="2:12" ht="29.1" customHeight="1" x14ac:dyDescent="0.25">
      <c r="B24" s="98" t="s">
        <v>58</v>
      </c>
      <c r="C24" s="97">
        <v>15</v>
      </c>
      <c r="D24" s="97">
        <v>18</v>
      </c>
      <c r="E24" s="97">
        <v>13</v>
      </c>
      <c r="F24" s="96"/>
      <c r="G24" s="116"/>
      <c r="H24" s="98" t="s">
        <v>59</v>
      </c>
      <c r="I24" s="97">
        <v>14</v>
      </c>
      <c r="J24" s="97">
        <v>12</v>
      </c>
      <c r="K24" s="97">
        <v>14</v>
      </c>
      <c r="L24" s="96"/>
    </row>
    <row r="25" spans="2:12" ht="29.1" customHeight="1" x14ac:dyDescent="0.25">
      <c r="B25" s="99" t="s">
        <v>60</v>
      </c>
      <c r="C25" s="97">
        <v>11</v>
      </c>
      <c r="D25" s="97">
        <v>7</v>
      </c>
      <c r="E25" s="97">
        <v>10</v>
      </c>
      <c r="F25" s="96"/>
      <c r="G25" s="116"/>
      <c r="H25" s="99" t="s">
        <v>61</v>
      </c>
      <c r="I25" s="97">
        <v>12</v>
      </c>
      <c r="J25" s="97">
        <v>10</v>
      </c>
      <c r="K25" s="97">
        <v>11</v>
      </c>
      <c r="L25" s="96"/>
    </row>
    <row r="26" spans="2:12" ht="29.1" customHeight="1" x14ac:dyDescent="0.25">
      <c r="B26" s="98" t="s">
        <v>62</v>
      </c>
      <c r="C26" s="97">
        <v>16</v>
      </c>
      <c r="D26" s="97">
        <v>15</v>
      </c>
      <c r="E26" s="97">
        <v>14</v>
      </c>
      <c r="F26" s="96"/>
      <c r="G26" s="116"/>
      <c r="H26" s="98" t="s">
        <v>63</v>
      </c>
      <c r="I26" s="97">
        <v>11</v>
      </c>
      <c r="J26" s="97">
        <v>11</v>
      </c>
      <c r="K26" s="97">
        <v>14</v>
      </c>
      <c r="L26" s="96"/>
    </row>
    <row r="27" spans="2:12" ht="29.1" customHeight="1" x14ac:dyDescent="0.25">
      <c r="B27" s="99" t="s">
        <v>64</v>
      </c>
      <c r="C27" s="97">
        <v>10</v>
      </c>
      <c r="D27" s="97">
        <v>10</v>
      </c>
      <c r="E27" s="97">
        <v>11</v>
      </c>
      <c r="F27" s="96"/>
      <c r="G27" s="116"/>
      <c r="H27" s="99" t="s">
        <v>65</v>
      </c>
      <c r="I27" s="97">
        <v>13</v>
      </c>
      <c r="J27" s="97">
        <v>12</v>
      </c>
      <c r="K27" s="97">
        <v>13</v>
      </c>
      <c r="L27" s="96"/>
    </row>
    <row r="28" spans="2:12" ht="29.1" customHeight="1" x14ac:dyDescent="0.25">
      <c r="B28" s="98" t="s">
        <v>66</v>
      </c>
      <c r="C28" s="97">
        <v>10</v>
      </c>
      <c r="D28" s="97">
        <v>8</v>
      </c>
      <c r="E28" s="97">
        <v>8</v>
      </c>
      <c r="F28" s="96"/>
      <c r="G28" s="116"/>
      <c r="H28" s="98" t="s">
        <v>67</v>
      </c>
      <c r="I28" s="97">
        <v>13</v>
      </c>
      <c r="J28" s="97">
        <v>12</v>
      </c>
      <c r="K28" s="97">
        <v>13</v>
      </c>
      <c r="L28" s="96"/>
    </row>
    <row r="29" spans="2:12" ht="29.1" customHeight="1" x14ac:dyDescent="0.25">
      <c r="B29" s="99" t="s">
        <v>68</v>
      </c>
      <c r="C29" s="97">
        <v>7</v>
      </c>
      <c r="D29" s="97">
        <v>11</v>
      </c>
      <c r="E29" s="97">
        <v>16</v>
      </c>
      <c r="F29" s="96"/>
      <c r="G29" s="116"/>
      <c r="H29" s="99" t="s">
        <v>69</v>
      </c>
      <c r="I29" s="97">
        <v>11</v>
      </c>
      <c r="J29" s="97">
        <v>10</v>
      </c>
      <c r="K29" s="97">
        <v>12</v>
      </c>
      <c r="L29" s="96"/>
    </row>
    <row r="30" spans="2:12" ht="29.1" customHeight="1" x14ac:dyDescent="0.25">
      <c r="B30" s="98" t="s">
        <v>70</v>
      </c>
      <c r="C30" s="97">
        <v>13</v>
      </c>
      <c r="D30" s="97">
        <v>9</v>
      </c>
      <c r="E30" s="97">
        <v>10</v>
      </c>
      <c r="F30" s="96"/>
      <c r="G30" s="116"/>
      <c r="H30" s="98" t="s">
        <v>71</v>
      </c>
      <c r="I30" s="97">
        <v>15</v>
      </c>
      <c r="J30" s="97">
        <v>13</v>
      </c>
      <c r="K30" s="97">
        <v>14</v>
      </c>
      <c r="L30" s="96"/>
    </row>
    <row r="31" spans="2:12" ht="29.1" customHeight="1" x14ac:dyDescent="0.25">
      <c r="B31" s="99" t="s">
        <v>72</v>
      </c>
      <c r="C31" s="97">
        <v>9</v>
      </c>
      <c r="D31" s="97">
        <v>10</v>
      </c>
      <c r="E31" s="97">
        <v>11</v>
      </c>
      <c r="F31" s="96"/>
      <c r="G31" s="116"/>
      <c r="H31" s="99" t="s">
        <v>73</v>
      </c>
      <c r="I31" s="97">
        <v>10</v>
      </c>
      <c r="J31" s="97">
        <v>9</v>
      </c>
      <c r="K31" s="97">
        <v>14</v>
      </c>
      <c r="L31" s="96"/>
    </row>
    <row r="32" spans="2:12" ht="29.1" customHeight="1" x14ac:dyDescent="0.25">
      <c r="B32" s="98" t="s">
        <v>74</v>
      </c>
      <c r="C32" s="97">
        <v>9</v>
      </c>
      <c r="D32" s="97">
        <v>7</v>
      </c>
      <c r="E32" s="97">
        <v>13</v>
      </c>
      <c r="F32" s="96"/>
      <c r="G32" s="116"/>
      <c r="H32" s="98" t="s">
        <v>75</v>
      </c>
      <c r="I32" s="97">
        <v>14</v>
      </c>
      <c r="J32" s="97">
        <v>16</v>
      </c>
      <c r="K32" s="97">
        <v>14</v>
      </c>
      <c r="L32" s="96"/>
    </row>
    <row r="33" spans="2:12" ht="29.1" customHeight="1" x14ac:dyDescent="0.25">
      <c r="B33" s="99" t="s">
        <v>76</v>
      </c>
      <c r="C33" s="97">
        <v>12</v>
      </c>
      <c r="D33" s="97">
        <v>15</v>
      </c>
      <c r="E33" s="97">
        <v>16</v>
      </c>
      <c r="F33" s="96"/>
      <c r="G33" s="116"/>
      <c r="H33" s="99" t="s">
        <v>77</v>
      </c>
      <c r="I33" s="97">
        <v>15</v>
      </c>
      <c r="J33" s="97">
        <v>9</v>
      </c>
      <c r="K33" s="97">
        <v>12</v>
      </c>
      <c r="L33" s="96"/>
    </row>
    <row r="34" spans="2:12" ht="29.1" customHeight="1" x14ac:dyDescent="0.25">
      <c r="B34" s="98" t="s">
        <v>78</v>
      </c>
      <c r="C34" s="97">
        <v>14</v>
      </c>
      <c r="D34" s="97">
        <v>14</v>
      </c>
      <c r="E34" s="97">
        <v>15</v>
      </c>
      <c r="F34" s="96"/>
      <c r="G34" s="116"/>
      <c r="H34" s="98" t="s">
        <v>79</v>
      </c>
      <c r="I34" s="97">
        <v>14</v>
      </c>
      <c r="J34" s="97">
        <v>11</v>
      </c>
      <c r="K34" s="97">
        <v>10</v>
      </c>
      <c r="L34" s="96"/>
    </row>
    <row r="35" spans="2:12" ht="29.1" customHeight="1" x14ac:dyDescent="0.25">
      <c r="B35" s="99" t="s">
        <v>80</v>
      </c>
      <c r="C35" s="97">
        <v>11</v>
      </c>
      <c r="D35" s="97">
        <v>15</v>
      </c>
      <c r="E35" s="97">
        <v>13</v>
      </c>
      <c r="F35" s="96"/>
      <c r="G35" s="116"/>
      <c r="H35" s="99" t="s">
        <v>81</v>
      </c>
      <c r="I35" s="97">
        <v>12</v>
      </c>
      <c r="J35" s="97">
        <v>10</v>
      </c>
      <c r="K35" s="97">
        <v>9</v>
      </c>
      <c r="L35" s="96"/>
    </row>
    <row r="36" spans="2:12" ht="29.1" customHeight="1" x14ac:dyDescent="0.25">
      <c r="B36" s="98" t="s">
        <v>82</v>
      </c>
      <c r="C36" s="97">
        <v>14</v>
      </c>
      <c r="D36" s="97">
        <v>13</v>
      </c>
      <c r="E36" s="97">
        <v>14</v>
      </c>
      <c r="F36" s="96"/>
      <c r="G36" s="116"/>
      <c r="H36" s="98" t="s">
        <v>83</v>
      </c>
      <c r="I36" s="97">
        <v>14</v>
      </c>
      <c r="J36" s="97">
        <v>12</v>
      </c>
      <c r="K36" s="97">
        <v>12</v>
      </c>
      <c r="L36" s="96"/>
    </row>
    <row r="37" spans="2:12" ht="29.1" customHeight="1" thickBot="1" x14ac:dyDescent="0.3">
      <c r="B37" s="95" t="s">
        <v>84</v>
      </c>
      <c r="C37" s="94">
        <v>10</v>
      </c>
      <c r="D37" s="94">
        <v>8</v>
      </c>
      <c r="E37" s="94">
        <v>12</v>
      </c>
      <c r="F37" s="93"/>
      <c r="G37" s="116"/>
      <c r="H37" s="95" t="s">
        <v>85</v>
      </c>
      <c r="I37" s="94">
        <v>13</v>
      </c>
      <c r="J37" s="94">
        <v>17</v>
      </c>
      <c r="K37" s="94">
        <v>14</v>
      </c>
      <c r="L37" s="93"/>
    </row>
    <row r="38" spans="2:12" ht="29.1" customHeight="1" x14ac:dyDescent="0.25">
      <c r="B38" s="115"/>
      <c r="C38" s="114"/>
      <c r="D38" s="113"/>
      <c r="E38" s="113"/>
      <c r="F38" s="113"/>
      <c r="G38" s="113"/>
      <c r="H38" s="115"/>
      <c r="I38" s="114"/>
      <c r="J38" s="113"/>
      <c r="K38" s="113"/>
      <c r="L38" s="113"/>
    </row>
    <row r="39" spans="2:12" ht="45" x14ac:dyDescent="0.25">
      <c r="C39" s="110" t="s">
        <v>419</v>
      </c>
      <c r="D39" s="112" t="s">
        <v>23</v>
      </c>
      <c r="E39" s="110" t="s">
        <v>418</v>
      </c>
      <c r="I39" s="110" t="s">
        <v>419</v>
      </c>
      <c r="J39" s="112" t="s">
        <v>23</v>
      </c>
      <c r="K39" s="110" t="s">
        <v>418</v>
      </c>
    </row>
    <row r="40" spans="2:12" ht="27" thickBot="1" x14ac:dyDescent="0.3">
      <c r="B40" s="110" t="s">
        <v>7</v>
      </c>
      <c r="C40" s="109" t="s">
        <v>417</v>
      </c>
      <c r="D40" s="108" t="s">
        <v>417</v>
      </c>
      <c r="E40" s="108" t="s">
        <v>417</v>
      </c>
      <c r="F40" s="107" t="s">
        <v>416</v>
      </c>
      <c r="G40" s="111"/>
      <c r="H40" s="110" t="s">
        <v>7</v>
      </c>
      <c r="I40" s="109" t="s">
        <v>417</v>
      </c>
      <c r="J40" s="108" t="s">
        <v>417</v>
      </c>
      <c r="K40" s="108" t="s">
        <v>417</v>
      </c>
      <c r="L40" s="107" t="s">
        <v>416</v>
      </c>
    </row>
    <row r="41" spans="2:12" ht="32.1" customHeight="1" x14ac:dyDescent="0.25">
      <c r="B41" s="106" t="s">
        <v>86</v>
      </c>
      <c r="C41" s="101">
        <v>9</v>
      </c>
      <c r="D41" s="101">
        <v>6</v>
      </c>
      <c r="E41" s="101">
        <v>11</v>
      </c>
      <c r="F41" s="100"/>
      <c r="H41" s="106" t="s">
        <v>87</v>
      </c>
      <c r="I41" s="101">
        <v>10</v>
      </c>
      <c r="J41" s="101">
        <v>14</v>
      </c>
      <c r="K41" s="101">
        <v>12</v>
      </c>
      <c r="L41" s="100"/>
    </row>
    <row r="42" spans="2:12" ht="32.1" customHeight="1" x14ac:dyDescent="0.25">
      <c r="B42" s="104" t="s">
        <v>88</v>
      </c>
      <c r="C42" s="97">
        <v>8</v>
      </c>
      <c r="D42" s="97">
        <v>9</v>
      </c>
      <c r="E42" s="97">
        <v>12</v>
      </c>
      <c r="F42" s="96"/>
      <c r="H42" s="104" t="s">
        <v>89</v>
      </c>
      <c r="I42" s="97">
        <v>14</v>
      </c>
      <c r="J42" s="97">
        <v>10</v>
      </c>
      <c r="K42" s="97">
        <v>11</v>
      </c>
      <c r="L42" s="96"/>
    </row>
    <row r="43" spans="2:12" ht="32.1" customHeight="1" x14ac:dyDescent="0.25">
      <c r="B43" s="105" t="s">
        <v>90</v>
      </c>
      <c r="C43" s="97">
        <v>13</v>
      </c>
      <c r="D43" s="97">
        <v>11</v>
      </c>
      <c r="E43" s="97">
        <v>10</v>
      </c>
      <c r="F43" s="96"/>
      <c r="H43" s="105" t="s">
        <v>91</v>
      </c>
      <c r="I43" s="97">
        <v>13</v>
      </c>
      <c r="J43" s="97">
        <v>11</v>
      </c>
      <c r="K43" s="97">
        <v>13</v>
      </c>
      <c r="L43" s="96"/>
    </row>
    <row r="44" spans="2:12" ht="32.1" customHeight="1" x14ac:dyDescent="0.25">
      <c r="B44" s="104" t="s">
        <v>92</v>
      </c>
      <c r="C44" s="97">
        <v>14</v>
      </c>
      <c r="D44" s="97">
        <v>12</v>
      </c>
      <c r="E44" s="97">
        <v>13</v>
      </c>
      <c r="F44" s="96"/>
      <c r="H44" s="104" t="s">
        <v>93</v>
      </c>
      <c r="I44" s="97">
        <v>12</v>
      </c>
      <c r="J44" s="97">
        <v>13</v>
      </c>
      <c r="K44" s="97">
        <v>14</v>
      </c>
      <c r="L44" s="96"/>
    </row>
    <row r="45" spans="2:12" ht="32.1" customHeight="1" x14ac:dyDescent="0.25">
      <c r="B45" s="105" t="s">
        <v>94</v>
      </c>
      <c r="C45" s="97">
        <v>11</v>
      </c>
      <c r="D45" s="97">
        <v>10</v>
      </c>
      <c r="E45" s="97">
        <v>16</v>
      </c>
      <c r="F45" s="96"/>
      <c r="H45" s="105" t="s">
        <v>95</v>
      </c>
      <c r="I45" s="97">
        <v>12</v>
      </c>
      <c r="J45" s="97">
        <v>15</v>
      </c>
      <c r="K45" s="97">
        <v>16</v>
      </c>
      <c r="L45" s="96"/>
    </row>
    <row r="46" spans="2:12" ht="32.1" customHeight="1" x14ac:dyDescent="0.25">
      <c r="B46" s="104" t="s">
        <v>96</v>
      </c>
      <c r="C46" s="97">
        <v>12</v>
      </c>
      <c r="D46" s="97">
        <v>11</v>
      </c>
      <c r="E46" s="97">
        <v>12</v>
      </c>
      <c r="F46" s="96"/>
      <c r="H46" s="104" t="s">
        <v>97</v>
      </c>
      <c r="I46" s="97">
        <v>16</v>
      </c>
      <c r="J46" s="97">
        <v>12</v>
      </c>
      <c r="K46" s="97">
        <v>15</v>
      </c>
      <c r="L46" s="96"/>
    </row>
    <row r="47" spans="2:12" ht="32.1" customHeight="1" x14ac:dyDescent="0.25">
      <c r="B47" s="105" t="s">
        <v>98</v>
      </c>
      <c r="C47" s="97">
        <v>16</v>
      </c>
      <c r="D47" s="97">
        <v>13</v>
      </c>
      <c r="E47" s="97">
        <v>14</v>
      </c>
      <c r="F47" s="96"/>
      <c r="H47" s="105" t="s">
        <v>99</v>
      </c>
      <c r="I47" s="97">
        <v>15</v>
      </c>
      <c r="J47" s="97">
        <v>14</v>
      </c>
      <c r="K47" s="97">
        <v>12</v>
      </c>
      <c r="L47" s="96"/>
    </row>
    <row r="48" spans="2:12" ht="32.1" customHeight="1" x14ac:dyDescent="0.25">
      <c r="B48" s="104" t="s">
        <v>100</v>
      </c>
      <c r="C48" s="97">
        <v>14</v>
      </c>
      <c r="D48" s="97">
        <v>14</v>
      </c>
      <c r="E48" s="97">
        <v>13</v>
      </c>
      <c r="F48" s="96"/>
      <c r="H48" s="104" t="s">
        <v>101</v>
      </c>
      <c r="I48" s="97">
        <v>11</v>
      </c>
      <c r="J48" s="97">
        <v>9</v>
      </c>
      <c r="K48" s="97">
        <v>11</v>
      </c>
      <c r="L48" s="96"/>
    </row>
    <row r="49" spans="2:12" ht="32.1" customHeight="1" x14ac:dyDescent="0.25">
      <c r="B49" s="105" t="s">
        <v>102</v>
      </c>
      <c r="C49" s="97">
        <v>8</v>
      </c>
      <c r="D49" s="97">
        <v>8</v>
      </c>
      <c r="E49" s="97">
        <v>13</v>
      </c>
      <c r="F49" s="96"/>
      <c r="H49" s="105" t="s">
        <v>103</v>
      </c>
      <c r="I49" s="97">
        <v>17</v>
      </c>
      <c r="J49" s="97">
        <v>13</v>
      </c>
      <c r="K49" s="97">
        <v>12</v>
      </c>
      <c r="L49" s="96"/>
    </row>
    <row r="50" spans="2:12" ht="32.1" customHeight="1" x14ac:dyDescent="0.25">
      <c r="B50" s="104" t="s">
        <v>104</v>
      </c>
      <c r="C50" s="97">
        <v>15</v>
      </c>
      <c r="D50" s="97">
        <v>12</v>
      </c>
      <c r="E50" s="97">
        <v>13</v>
      </c>
      <c r="F50" s="96"/>
      <c r="H50" s="104" t="s">
        <v>105</v>
      </c>
      <c r="I50" s="97">
        <v>16</v>
      </c>
      <c r="J50" s="97">
        <v>14</v>
      </c>
      <c r="K50" s="97">
        <v>13</v>
      </c>
      <c r="L50" s="96"/>
    </row>
    <row r="51" spans="2:12" ht="32.1" customHeight="1" x14ac:dyDescent="0.25">
      <c r="B51" s="105" t="s">
        <v>106</v>
      </c>
      <c r="C51" s="97">
        <v>13</v>
      </c>
      <c r="D51" s="97">
        <v>13</v>
      </c>
      <c r="E51" s="97">
        <v>13</v>
      </c>
      <c r="F51" s="96"/>
      <c r="H51" s="105" t="s">
        <v>107</v>
      </c>
      <c r="I51" s="97">
        <v>18</v>
      </c>
      <c r="J51" s="97">
        <v>16</v>
      </c>
      <c r="K51" s="97">
        <v>15</v>
      </c>
      <c r="L51" s="96"/>
    </row>
    <row r="52" spans="2:12" ht="32.1" customHeight="1" x14ac:dyDescent="0.25">
      <c r="B52" s="104" t="s">
        <v>108</v>
      </c>
      <c r="C52" s="97">
        <v>14</v>
      </c>
      <c r="D52" s="97">
        <v>13</v>
      </c>
      <c r="E52" s="97">
        <v>15</v>
      </c>
      <c r="F52" s="96"/>
      <c r="H52" s="104" t="s">
        <v>109</v>
      </c>
      <c r="I52" s="97">
        <v>14</v>
      </c>
      <c r="J52" s="97">
        <v>16</v>
      </c>
      <c r="K52" s="97">
        <v>19</v>
      </c>
      <c r="L52" s="96"/>
    </row>
    <row r="53" spans="2:12" ht="32.1" customHeight="1" x14ac:dyDescent="0.25">
      <c r="B53" s="105" t="s">
        <v>110</v>
      </c>
      <c r="C53" s="97">
        <v>16</v>
      </c>
      <c r="D53" s="97">
        <v>14</v>
      </c>
      <c r="E53" s="97">
        <v>15</v>
      </c>
      <c r="F53" s="96"/>
      <c r="H53" s="105" t="s">
        <v>111</v>
      </c>
      <c r="I53" s="97">
        <v>16</v>
      </c>
      <c r="J53" s="97">
        <v>11</v>
      </c>
      <c r="K53" s="97">
        <v>13</v>
      </c>
      <c r="L53" s="96"/>
    </row>
    <row r="54" spans="2:12" ht="32.1" customHeight="1" x14ac:dyDescent="0.25">
      <c r="B54" s="104" t="s">
        <v>112</v>
      </c>
      <c r="C54" s="97">
        <v>13</v>
      </c>
      <c r="D54" s="97">
        <v>9</v>
      </c>
      <c r="E54" s="97">
        <v>10</v>
      </c>
      <c r="F54" s="96"/>
      <c r="H54" s="104" t="s">
        <v>113</v>
      </c>
      <c r="I54" s="97">
        <v>11</v>
      </c>
      <c r="J54" s="97">
        <v>13</v>
      </c>
      <c r="K54" s="97">
        <v>11</v>
      </c>
      <c r="L54" s="96"/>
    </row>
    <row r="55" spans="2:12" ht="32.1" customHeight="1" thickBot="1" x14ac:dyDescent="0.3">
      <c r="B55" s="103" t="s">
        <v>114</v>
      </c>
      <c r="C55" s="94">
        <v>10</v>
      </c>
      <c r="D55" s="94">
        <v>7</v>
      </c>
      <c r="E55" s="94">
        <v>11</v>
      </c>
      <c r="F55" s="93"/>
      <c r="H55" s="103" t="s">
        <v>115</v>
      </c>
      <c r="I55" s="94">
        <v>10</v>
      </c>
      <c r="J55" s="94">
        <v>14</v>
      </c>
      <c r="K55" s="94">
        <v>15</v>
      </c>
      <c r="L55" s="93"/>
    </row>
    <row r="56" spans="2:12" ht="32.1" customHeight="1" x14ac:dyDescent="0.25">
      <c r="B56" s="102" t="s">
        <v>116</v>
      </c>
      <c r="C56" s="101">
        <v>15</v>
      </c>
      <c r="D56" s="101">
        <v>14</v>
      </c>
      <c r="E56" s="101">
        <v>15</v>
      </c>
      <c r="F56" s="100"/>
      <c r="H56" s="102" t="s">
        <v>117</v>
      </c>
      <c r="I56" s="101">
        <v>14</v>
      </c>
      <c r="J56" s="101">
        <v>16</v>
      </c>
      <c r="K56" s="101">
        <v>14</v>
      </c>
      <c r="L56" s="100"/>
    </row>
    <row r="57" spans="2:12" ht="32.1" customHeight="1" x14ac:dyDescent="0.25">
      <c r="B57" s="98" t="s">
        <v>118</v>
      </c>
      <c r="C57" s="97">
        <v>7</v>
      </c>
      <c r="D57" s="97">
        <v>9</v>
      </c>
      <c r="E57" s="97">
        <v>12</v>
      </c>
      <c r="F57" s="96"/>
      <c r="H57" s="98" t="s">
        <v>119</v>
      </c>
      <c r="I57" s="97">
        <v>12</v>
      </c>
      <c r="J57" s="97">
        <v>16</v>
      </c>
      <c r="K57" s="97">
        <v>12</v>
      </c>
      <c r="L57" s="96"/>
    </row>
    <row r="58" spans="2:12" ht="32.1" customHeight="1" x14ac:dyDescent="0.25">
      <c r="B58" s="99" t="s">
        <v>120</v>
      </c>
      <c r="C58" s="97">
        <v>12</v>
      </c>
      <c r="D58" s="97">
        <v>16</v>
      </c>
      <c r="E58" s="97">
        <v>15</v>
      </c>
      <c r="F58" s="96"/>
      <c r="H58" s="99" t="s">
        <v>121</v>
      </c>
      <c r="I58" s="97">
        <v>16</v>
      </c>
      <c r="J58" s="97">
        <v>13</v>
      </c>
      <c r="K58" s="97">
        <v>13</v>
      </c>
      <c r="L58" s="96"/>
    </row>
    <row r="59" spans="2:12" ht="32.1" customHeight="1" x14ac:dyDescent="0.25">
      <c r="B59" s="98" t="s">
        <v>122</v>
      </c>
      <c r="C59" s="97">
        <v>14</v>
      </c>
      <c r="D59" s="97">
        <v>13</v>
      </c>
      <c r="E59" s="97">
        <v>13</v>
      </c>
      <c r="F59" s="96"/>
      <c r="H59" s="98" t="s">
        <v>123</v>
      </c>
      <c r="I59" s="97">
        <v>13</v>
      </c>
      <c r="J59" s="97">
        <v>14</v>
      </c>
      <c r="K59" s="97">
        <v>14</v>
      </c>
      <c r="L59" s="96"/>
    </row>
    <row r="60" spans="2:12" ht="32.1" customHeight="1" x14ac:dyDescent="0.25">
      <c r="B60" s="99" t="s">
        <v>124</v>
      </c>
      <c r="C60" s="97">
        <v>12</v>
      </c>
      <c r="D60" s="97">
        <v>12</v>
      </c>
      <c r="E60" s="97">
        <v>12</v>
      </c>
      <c r="F60" s="96"/>
      <c r="H60" s="99" t="s">
        <v>125</v>
      </c>
      <c r="I60" s="97">
        <v>14</v>
      </c>
      <c r="J60" s="97">
        <v>16</v>
      </c>
      <c r="K60" s="97">
        <v>13</v>
      </c>
      <c r="L60" s="96"/>
    </row>
    <row r="61" spans="2:12" ht="32.1" customHeight="1" x14ac:dyDescent="0.25">
      <c r="B61" s="98" t="s">
        <v>126</v>
      </c>
      <c r="C61" s="97">
        <v>12</v>
      </c>
      <c r="D61" s="97">
        <v>13</v>
      </c>
      <c r="E61" s="97">
        <v>15</v>
      </c>
      <c r="F61" s="96"/>
      <c r="H61" s="98" t="s">
        <v>127</v>
      </c>
      <c r="I61" s="97">
        <v>15</v>
      </c>
      <c r="J61" s="97">
        <v>6</v>
      </c>
      <c r="K61" s="97">
        <v>12</v>
      </c>
      <c r="L61" s="96"/>
    </row>
    <row r="62" spans="2:12" ht="32.1" customHeight="1" x14ac:dyDescent="0.25">
      <c r="B62" s="99" t="s">
        <v>128</v>
      </c>
      <c r="C62" s="97">
        <v>12</v>
      </c>
      <c r="D62" s="97">
        <v>11</v>
      </c>
      <c r="E62" s="97">
        <v>13</v>
      </c>
      <c r="F62" s="96"/>
      <c r="H62" s="99" t="s">
        <v>129</v>
      </c>
      <c r="I62" s="97">
        <v>13</v>
      </c>
      <c r="J62" s="97">
        <v>11</v>
      </c>
      <c r="K62" s="97">
        <v>13</v>
      </c>
      <c r="L62" s="96"/>
    </row>
    <row r="63" spans="2:12" ht="32.1" customHeight="1" x14ac:dyDescent="0.25">
      <c r="B63" s="98" t="s">
        <v>130</v>
      </c>
      <c r="C63" s="97">
        <v>11</v>
      </c>
      <c r="D63" s="97">
        <v>8</v>
      </c>
      <c r="E63" s="97">
        <v>10</v>
      </c>
      <c r="F63" s="96"/>
      <c r="H63" s="98" t="s">
        <v>131</v>
      </c>
      <c r="I63" s="97">
        <v>14</v>
      </c>
      <c r="J63" s="97">
        <v>14</v>
      </c>
      <c r="K63" s="97">
        <v>4</v>
      </c>
      <c r="L63" s="96"/>
    </row>
    <row r="64" spans="2:12" ht="32.1" customHeight="1" x14ac:dyDescent="0.25">
      <c r="B64" s="99" t="s">
        <v>132</v>
      </c>
      <c r="C64" s="97">
        <v>15</v>
      </c>
      <c r="D64" s="97">
        <v>12</v>
      </c>
      <c r="E64" s="97">
        <v>14</v>
      </c>
      <c r="F64" s="96"/>
      <c r="H64" s="99" t="s">
        <v>133</v>
      </c>
      <c r="I64" s="97">
        <v>13</v>
      </c>
      <c r="J64" s="97">
        <v>14</v>
      </c>
      <c r="K64" s="97">
        <v>13</v>
      </c>
      <c r="L64" s="96"/>
    </row>
    <row r="65" spans="2:12" ht="32.1" customHeight="1" x14ac:dyDescent="0.25">
      <c r="B65" s="98" t="s">
        <v>134</v>
      </c>
      <c r="C65" s="97">
        <v>12</v>
      </c>
      <c r="D65" s="97">
        <v>12</v>
      </c>
      <c r="E65" s="97">
        <v>10</v>
      </c>
      <c r="F65" s="96"/>
      <c r="H65" s="98" t="s">
        <v>135</v>
      </c>
      <c r="I65" s="97">
        <v>12</v>
      </c>
      <c r="J65" s="97">
        <v>11</v>
      </c>
      <c r="K65" s="97">
        <v>10</v>
      </c>
      <c r="L65" s="96"/>
    </row>
    <row r="66" spans="2:12" ht="32.1" customHeight="1" x14ac:dyDescent="0.25">
      <c r="B66" s="99" t="s">
        <v>136</v>
      </c>
      <c r="C66" s="97">
        <v>13</v>
      </c>
      <c r="D66" s="97">
        <v>12</v>
      </c>
      <c r="E66" s="97">
        <v>14</v>
      </c>
      <c r="F66" s="96"/>
      <c r="H66" s="99" t="s">
        <v>137</v>
      </c>
      <c r="I66" s="97">
        <v>15</v>
      </c>
      <c r="J66" s="97">
        <v>17</v>
      </c>
      <c r="K66" s="97">
        <v>13</v>
      </c>
      <c r="L66" s="96"/>
    </row>
    <row r="67" spans="2:12" ht="32.1" customHeight="1" x14ac:dyDescent="0.25">
      <c r="B67" s="98" t="s">
        <v>138</v>
      </c>
      <c r="C67" s="97">
        <v>13</v>
      </c>
      <c r="D67" s="97">
        <v>9</v>
      </c>
      <c r="E67" s="97">
        <v>12</v>
      </c>
      <c r="F67" s="96"/>
      <c r="H67" s="98" t="s">
        <v>139</v>
      </c>
      <c r="I67" s="97">
        <v>12</v>
      </c>
      <c r="J67" s="97">
        <v>17</v>
      </c>
      <c r="K67" s="97">
        <v>15</v>
      </c>
      <c r="L67" s="96"/>
    </row>
    <row r="68" spans="2:12" ht="32.1" customHeight="1" x14ac:dyDescent="0.25">
      <c r="B68" s="99" t="s">
        <v>140</v>
      </c>
      <c r="C68" s="97">
        <v>10</v>
      </c>
      <c r="D68" s="97">
        <v>13</v>
      </c>
      <c r="E68" s="97">
        <v>12</v>
      </c>
      <c r="F68" s="96"/>
      <c r="H68" s="99" t="s">
        <v>141</v>
      </c>
      <c r="I68" s="97">
        <v>12</v>
      </c>
      <c r="J68" s="97">
        <v>14</v>
      </c>
      <c r="K68" s="97">
        <v>12</v>
      </c>
      <c r="L68" s="96"/>
    </row>
    <row r="69" spans="2:12" ht="32.1" customHeight="1" x14ac:dyDescent="0.25">
      <c r="B69" s="98" t="s">
        <v>142</v>
      </c>
      <c r="C69" s="97">
        <v>14</v>
      </c>
      <c r="D69" s="97">
        <v>10</v>
      </c>
      <c r="E69" s="97">
        <v>12</v>
      </c>
      <c r="F69" s="96"/>
      <c r="H69" s="98" t="s">
        <v>143</v>
      </c>
      <c r="I69" s="97">
        <v>12</v>
      </c>
      <c r="J69" s="97">
        <v>11</v>
      </c>
      <c r="K69" s="97">
        <v>9</v>
      </c>
      <c r="L69" s="96"/>
    </row>
    <row r="70" spans="2:12" ht="32.1" customHeight="1" thickBot="1" x14ac:dyDescent="0.3">
      <c r="B70" s="95" t="s">
        <v>144</v>
      </c>
      <c r="C70" s="94">
        <v>15</v>
      </c>
      <c r="D70" s="94">
        <v>13</v>
      </c>
      <c r="E70" s="94">
        <v>11</v>
      </c>
      <c r="F70" s="93"/>
      <c r="H70" s="95" t="s">
        <v>145</v>
      </c>
      <c r="I70" s="94">
        <v>13</v>
      </c>
      <c r="J70" s="94">
        <v>12</v>
      </c>
      <c r="K70" s="94">
        <v>11</v>
      </c>
      <c r="L70" s="93"/>
    </row>
    <row r="71" spans="2:12" ht="32.1" customHeight="1" x14ac:dyDescent="0.25">
      <c r="B71" s="115"/>
      <c r="C71" s="114"/>
      <c r="D71" s="113"/>
      <c r="E71" s="113"/>
      <c r="F71" s="113"/>
      <c r="H71" s="115"/>
      <c r="I71" s="114"/>
      <c r="J71" s="113"/>
      <c r="K71" s="113"/>
      <c r="L71" s="113"/>
    </row>
    <row r="72" spans="2:12" ht="45" x14ac:dyDescent="0.25">
      <c r="C72" s="110" t="s">
        <v>419</v>
      </c>
      <c r="D72" s="112" t="s">
        <v>23</v>
      </c>
      <c r="E72" s="110" t="s">
        <v>418</v>
      </c>
      <c r="I72" s="110" t="s">
        <v>419</v>
      </c>
      <c r="J72" s="112" t="s">
        <v>23</v>
      </c>
      <c r="K72" s="110" t="s">
        <v>418</v>
      </c>
    </row>
    <row r="73" spans="2:12" ht="27" thickBot="1" x14ac:dyDescent="0.3">
      <c r="B73" s="110" t="s">
        <v>7</v>
      </c>
      <c r="C73" s="109" t="s">
        <v>417</v>
      </c>
      <c r="D73" s="108" t="s">
        <v>417</v>
      </c>
      <c r="E73" s="108" t="s">
        <v>417</v>
      </c>
      <c r="F73" s="107" t="s">
        <v>416</v>
      </c>
      <c r="G73" s="111"/>
      <c r="H73" s="110" t="s">
        <v>7</v>
      </c>
      <c r="I73" s="109" t="s">
        <v>417</v>
      </c>
      <c r="J73" s="108" t="s">
        <v>417</v>
      </c>
      <c r="K73" s="108" t="s">
        <v>417</v>
      </c>
      <c r="L73" s="107" t="s">
        <v>416</v>
      </c>
    </row>
    <row r="74" spans="2:12" ht="32.1" customHeight="1" x14ac:dyDescent="0.25">
      <c r="B74" s="106" t="s">
        <v>146</v>
      </c>
      <c r="C74" s="101">
        <v>14</v>
      </c>
      <c r="D74" s="101">
        <v>17</v>
      </c>
      <c r="E74" s="101">
        <v>15</v>
      </c>
      <c r="F74" s="100"/>
      <c r="H74" s="106" t="s">
        <v>147</v>
      </c>
      <c r="I74" s="101">
        <v>13</v>
      </c>
      <c r="J74" s="101">
        <v>12</v>
      </c>
      <c r="K74" s="101">
        <v>9</v>
      </c>
      <c r="L74" s="100"/>
    </row>
    <row r="75" spans="2:12" ht="32.1" customHeight="1" x14ac:dyDescent="0.25">
      <c r="B75" s="104" t="s">
        <v>148</v>
      </c>
      <c r="C75" s="97">
        <v>18</v>
      </c>
      <c r="D75" s="97">
        <v>11</v>
      </c>
      <c r="E75" s="97">
        <v>13</v>
      </c>
      <c r="F75" s="96"/>
      <c r="H75" s="104" t="s">
        <v>149</v>
      </c>
      <c r="I75" s="97">
        <v>12</v>
      </c>
      <c r="J75" s="97">
        <v>15</v>
      </c>
      <c r="K75" s="97">
        <v>13</v>
      </c>
      <c r="L75" s="96"/>
    </row>
    <row r="76" spans="2:12" ht="32.1" customHeight="1" x14ac:dyDescent="0.25">
      <c r="B76" s="105" t="s">
        <v>150</v>
      </c>
      <c r="C76" s="97">
        <v>15</v>
      </c>
      <c r="D76" s="97">
        <v>14</v>
      </c>
      <c r="E76" s="97">
        <v>14</v>
      </c>
      <c r="F76" s="96"/>
      <c r="H76" s="105" t="s">
        <v>151</v>
      </c>
      <c r="I76" s="97">
        <v>11</v>
      </c>
      <c r="J76" s="97">
        <v>14</v>
      </c>
      <c r="K76" s="97">
        <v>13</v>
      </c>
      <c r="L76" s="96"/>
    </row>
    <row r="77" spans="2:12" ht="32.1" customHeight="1" x14ac:dyDescent="0.25">
      <c r="B77" s="104" t="s">
        <v>152</v>
      </c>
      <c r="C77" s="97">
        <v>16</v>
      </c>
      <c r="D77" s="97">
        <v>14</v>
      </c>
      <c r="E77" s="97">
        <v>15</v>
      </c>
      <c r="F77" s="96"/>
      <c r="H77" s="104" t="s">
        <v>153</v>
      </c>
      <c r="I77" s="97">
        <v>16</v>
      </c>
      <c r="J77" s="97">
        <v>15</v>
      </c>
      <c r="K77" s="97">
        <v>14</v>
      </c>
      <c r="L77" s="96"/>
    </row>
    <row r="78" spans="2:12" ht="32.1" customHeight="1" x14ac:dyDescent="0.25">
      <c r="B78" s="105" t="s">
        <v>154</v>
      </c>
      <c r="C78" s="97">
        <v>14</v>
      </c>
      <c r="D78" s="97">
        <v>15</v>
      </c>
      <c r="E78" s="97">
        <v>13</v>
      </c>
      <c r="F78" s="96"/>
      <c r="H78" s="105" t="s">
        <v>155</v>
      </c>
      <c r="I78" s="97">
        <v>13</v>
      </c>
      <c r="J78" s="97">
        <v>18</v>
      </c>
      <c r="K78" s="97">
        <v>11</v>
      </c>
      <c r="L78" s="96"/>
    </row>
    <row r="79" spans="2:12" ht="32.1" customHeight="1" x14ac:dyDescent="0.25">
      <c r="B79" s="104" t="s">
        <v>156</v>
      </c>
      <c r="C79" s="97">
        <v>16</v>
      </c>
      <c r="D79" s="97">
        <v>12</v>
      </c>
      <c r="E79" s="97">
        <v>15</v>
      </c>
      <c r="F79" s="96"/>
      <c r="H79" s="104" t="s">
        <v>157</v>
      </c>
      <c r="I79" s="97">
        <v>14</v>
      </c>
      <c r="J79" s="97">
        <v>10</v>
      </c>
      <c r="K79" s="97">
        <v>12</v>
      </c>
      <c r="L79" s="96"/>
    </row>
    <row r="80" spans="2:12" ht="32.1" customHeight="1" x14ac:dyDescent="0.25">
      <c r="B80" s="105" t="s">
        <v>158</v>
      </c>
      <c r="C80" s="97">
        <v>17</v>
      </c>
      <c r="D80" s="97">
        <v>14</v>
      </c>
      <c r="E80" s="97">
        <v>15</v>
      </c>
      <c r="F80" s="96"/>
      <c r="H80" s="105" t="s">
        <v>159</v>
      </c>
      <c r="I80" s="97">
        <v>12</v>
      </c>
      <c r="J80" s="97">
        <v>10</v>
      </c>
      <c r="K80" s="97">
        <v>11</v>
      </c>
      <c r="L80" s="96"/>
    </row>
    <row r="81" spans="2:12" ht="32.1" customHeight="1" x14ac:dyDescent="0.25">
      <c r="B81" s="104" t="s">
        <v>160</v>
      </c>
      <c r="C81" s="97">
        <v>15</v>
      </c>
      <c r="D81" s="97">
        <v>13</v>
      </c>
      <c r="E81" s="97">
        <v>11</v>
      </c>
      <c r="F81" s="96"/>
      <c r="H81" s="104" t="s">
        <v>161</v>
      </c>
      <c r="I81" s="97">
        <v>12</v>
      </c>
      <c r="J81" s="97">
        <v>12</v>
      </c>
      <c r="K81" s="97">
        <v>14</v>
      </c>
      <c r="L81" s="96"/>
    </row>
    <row r="82" spans="2:12" ht="32.1" customHeight="1" x14ac:dyDescent="0.25">
      <c r="B82" s="105" t="s">
        <v>162</v>
      </c>
      <c r="C82" s="97">
        <v>15</v>
      </c>
      <c r="D82" s="97">
        <v>15</v>
      </c>
      <c r="E82" s="97">
        <v>16</v>
      </c>
      <c r="F82" s="96"/>
      <c r="H82" s="105" t="s">
        <v>163</v>
      </c>
      <c r="I82" s="97">
        <v>17</v>
      </c>
      <c r="J82" s="97">
        <v>12</v>
      </c>
      <c r="K82" s="97">
        <v>12</v>
      </c>
      <c r="L82" s="96"/>
    </row>
    <row r="83" spans="2:12" ht="32.1" customHeight="1" x14ac:dyDescent="0.25">
      <c r="B83" s="104" t="s">
        <v>164</v>
      </c>
      <c r="C83" s="97">
        <v>14</v>
      </c>
      <c r="D83" s="97">
        <v>12</v>
      </c>
      <c r="E83" s="97">
        <v>14</v>
      </c>
      <c r="F83" s="96"/>
      <c r="H83" s="104" t="s">
        <v>165</v>
      </c>
      <c r="I83" s="97">
        <v>14</v>
      </c>
      <c r="J83" s="97">
        <v>14</v>
      </c>
      <c r="K83" s="97">
        <v>13</v>
      </c>
      <c r="L83" s="96"/>
    </row>
    <row r="84" spans="2:12" ht="32.1" customHeight="1" x14ac:dyDescent="0.25">
      <c r="B84" s="105" t="s">
        <v>166</v>
      </c>
      <c r="C84" s="97">
        <v>15</v>
      </c>
      <c r="D84" s="97">
        <v>17</v>
      </c>
      <c r="E84" s="97">
        <v>16</v>
      </c>
      <c r="F84" s="96"/>
      <c r="H84" s="105" t="s">
        <v>167</v>
      </c>
      <c r="I84" s="97">
        <v>14</v>
      </c>
      <c r="J84" s="97">
        <v>13</v>
      </c>
      <c r="K84" s="97">
        <v>10</v>
      </c>
      <c r="L84" s="96"/>
    </row>
    <row r="85" spans="2:12" ht="32.1" customHeight="1" x14ac:dyDescent="0.25">
      <c r="B85" s="104" t="s">
        <v>168</v>
      </c>
      <c r="C85" s="97">
        <v>15</v>
      </c>
      <c r="D85" s="97">
        <v>14</v>
      </c>
      <c r="E85" s="97">
        <v>16</v>
      </c>
      <c r="F85" s="96"/>
      <c r="H85" s="104" t="s">
        <v>169</v>
      </c>
      <c r="I85" s="97">
        <v>14</v>
      </c>
      <c r="J85" s="97">
        <v>16</v>
      </c>
      <c r="K85" s="97">
        <v>11</v>
      </c>
      <c r="L85" s="96"/>
    </row>
    <row r="86" spans="2:12" ht="32.1" customHeight="1" x14ac:dyDescent="0.25">
      <c r="B86" s="105" t="s">
        <v>170</v>
      </c>
      <c r="C86" s="97">
        <v>16</v>
      </c>
      <c r="D86" s="97">
        <v>16</v>
      </c>
      <c r="E86" s="97">
        <v>17</v>
      </c>
      <c r="F86" s="96"/>
      <c r="H86" s="105" t="s">
        <v>171</v>
      </c>
      <c r="I86" s="97">
        <v>10</v>
      </c>
      <c r="J86" s="97">
        <v>13</v>
      </c>
      <c r="K86" s="97">
        <v>12</v>
      </c>
      <c r="L86" s="96"/>
    </row>
    <row r="87" spans="2:12" ht="32.1" customHeight="1" x14ac:dyDescent="0.25">
      <c r="B87" s="104" t="s">
        <v>172</v>
      </c>
      <c r="C87" s="97">
        <v>13</v>
      </c>
      <c r="D87" s="97">
        <v>14</v>
      </c>
      <c r="E87" s="97">
        <v>12</v>
      </c>
      <c r="F87" s="96"/>
      <c r="H87" s="104" t="s">
        <v>173</v>
      </c>
      <c r="I87" s="97">
        <v>12</v>
      </c>
      <c r="J87" s="97">
        <v>17</v>
      </c>
      <c r="K87" s="97">
        <v>16</v>
      </c>
      <c r="L87" s="96"/>
    </row>
    <row r="88" spans="2:12" ht="32.1" customHeight="1" thickBot="1" x14ac:dyDescent="0.3">
      <c r="B88" s="103" t="s">
        <v>174</v>
      </c>
      <c r="C88" s="94">
        <v>15</v>
      </c>
      <c r="D88" s="94">
        <v>13</v>
      </c>
      <c r="E88" s="94">
        <v>16</v>
      </c>
      <c r="F88" s="93"/>
      <c r="H88" s="103" t="s">
        <v>175</v>
      </c>
      <c r="I88" s="94">
        <v>16</v>
      </c>
      <c r="J88" s="94">
        <v>14</v>
      </c>
      <c r="K88" s="94">
        <v>12</v>
      </c>
      <c r="L88" s="93"/>
    </row>
    <row r="89" spans="2:12" ht="32.1" customHeight="1" x14ac:dyDescent="0.25">
      <c r="B89" s="102" t="s">
        <v>176</v>
      </c>
      <c r="C89" s="101">
        <v>11</v>
      </c>
      <c r="D89" s="101">
        <v>13</v>
      </c>
      <c r="E89" s="101">
        <v>9</v>
      </c>
      <c r="F89" s="100"/>
      <c r="H89" s="102" t="s">
        <v>177</v>
      </c>
      <c r="I89" s="101">
        <v>13</v>
      </c>
      <c r="J89" s="101">
        <v>17</v>
      </c>
      <c r="K89" s="101">
        <v>13</v>
      </c>
      <c r="L89" s="100"/>
    </row>
    <row r="90" spans="2:12" ht="32.1" customHeight="1" x14ac:dyDescent="0.25">
      <c r="B90" s="98" t="s">
        <v>178</v>
      </c>
      <c r="C90" s="97">
        <v>4</v>
      </c>
      <c r="D90" s="97">
        <v>11</v>
      </c>
      <c r="E90" s="97">
        <v>12</v>
      </c>
      <c r="F90" s="96"/>
      <c r="H90" s="98" t="s">
        <v>179</v>
      </c>
      <c r="I90" s="97">
        <v>14</v>
      </c>
      <c r="J90" s="97">
        <v>12</v>
      </c>
      <c r="K90" s="97">
        <v>14</v>
      </c>
      <c r="L90" s="96"/>
    </row>
    <row r="91" spans="2:12" ht="32.1" customHeight="1" x14ac:dyDescent="0.25">
      <c r="B91" s="99" t="s">
        <v>180</v>
      </c>
      <c r="C91" s="97">
        <v>12</v>
      </c>
      <c r="D91" s="97">
        <v>13</v>
      </c>
      <c r="E91" s="97">
        <v>11</v>
      </c>
      <c r="F91" s="96"/>
      <c r="H91" s="99" t="s">
        <v>181</v>
      </c>
      <c r="I91" s="97">
        <v>11</v>
      </c>
      <c r="J91" s="97">
        <v>16</v>
      </c>
      <c r="K91" s="97">
        <v>14</v>
      </c>
      <c r="L91" s="96"/>
    </row>
    <row r="92" spans="2:12" ht="32.1" customHeight="1" x14ac:dyDescent="0.25">
      <c r="B92" s="98" t="s">
        <v>182</v>
      </c>
      <c r="C92" s="97">
        <v>10</v>
      </c>
      <c r="D92" s="97">
        <v>16</v>
      </c>
      <c r="E92" s="97">
        <v>14</v>
      </c>
      <c r="F92" s="96"/>
      <c r="H92" s="98" t="s">
        <v>183</v>
      </c>
      <c r="I92" s="97">
        <v>8</v>
      </c>
      <c r="J92" s="97">
        <v>16</v>
      </c>
      <c r="K92" s="97">
        <v>13</v>
      </c>
      <c r="L92" s="96"/>
    </row>
    <row r="93" spans="2:12" ht="32.1" customHeight="1" x14ac:dyDescent="0.25">
      <c r="B93" s="99" t="s">
        <v>184</v>
      </c>
      <c r="C93" s="97">
        <v>10</v>
      </c>
      <c r="D93" s="97">
        <v>14</v>
      </c>
      <c r="E93" s="97">
        <v>14</v>
      </c>
      <c r="F93" s="96"/>
      <c r="H93" s="99" t="s">
        <v>185</v>
      </c>
      <c r="I93" s="97">
        <v>11</v>
      </c>
      <c r="J93" s="97">
        <v>16</v>
      </c>
      <c r="K93" s="97">
        <v>12</v>
      </c>
      <c r="L93" s="96"/>
    </row>
    <row r="94" spans="2:12" ht="32.1" customHeight="1" x14ac:dyDescent="0.25">
      <c r="B94" s="98" t="s">
        <v>186</v>
      </c>
      <c r="C94" s="97">
        <v>12</v>
      </c>
      <c r="D94" s="97">
        <v>11</v>
      </c>
      <c r="E94" s="97">
        <v>7</v>
      </c>
      <c r="F94" s="96"/>
      <c r="H94" s="98" t="s">
        <v>187</v>
      </c>
      <c r="I94" s="97">
        <v>10</v>
      </c>
      <c r="J94" s="97">
        <v>14</v>
      </c>
      <c r="K94" s="97">
        <v>11</v>
      </c>
      <c r="L94" s="96"/>
    </row>
    <row r="95" spans="2:12" ht="32.1" customHeight="1" x14ac:dyDescent="0.25">
      <c r="B95" s="99" t="s">
        <v>188</v>
      </c>
      <c r="C95" s="97">
        <v>10</v>
      </c>
      <c r="D95" s="97">
        <v>12</v>
      </c>
      <c r="E95" s="97">
        <v>14</v>
      </c>
      <c r="F95" s="96"/>
      <c r="H95" s="99" t="s">
        <v>189</v>
      </c>
      <c r="I95" s="97">
        <v>14</v>
      </c>
      <c r="J95" s="97">
        <v>17</v>
      </c>
      <c r="K95" s="97">
        <v>11</v>
      </c>
      <c r="L95" s="96"/>
    </row>
    <row r="96" spans="2:12" ht="32.1" customHeight="1" x14ac:dyDescent="0.25">
      <c r="B96" s="98" t="s">
        <v>190</v>
      </c>
      <c r="C96" s="97">
        <v>10</v>
      </c>
      <c r="D96" s="97">
        <v>5</v>
      </c>
      <c r="E96" s="97">
        <v>7</v>
      </c>
      <c r="F96" s="96"/>
      <c r="H96" s="98" t="s">
        <v>191</v>
      </c>
      <c r="I96" s="97">
        <v>12</v>
      </c>
      <c r="J96" s="97">
        <v>13</v>
      </c>
      <c r="K96" s="97">
        <v>12</v>
      </c>
      <c r="L96" s="96"/>
    </row>
    <row r="97" spans="2:12" ht="32.1" customHeight="1" x14ac:dyDescent="0.25">
      <c r="B97" s="99" t="s">
        <v>192</v>
      </c>
      <c r="C97" s="97">
        <v>12</v>
      </c>
      <c r="D97" s="97">
        <v>5</v>
      </c>
      <c r="E97" s="97">
        <v>11</v>
      </c>
      <c r="F97" s="96"/>
      <c r="H97" s="99" t="s">
        <v>193</v>
      </c>
      <c r="I97" s="97">
        <v>11</v>
      </c>
      <c r="J97" s="97">
        <v>9</v>
      </c>
      <c r="K97" s="97">
        <v>10</v>
      </c>
      <c r="L97" s="96"/>
    </row>
    <row r="98" spans="2:12" ht="32.1" customHeight="1" x14ac:dyDescent="0.25">
      <c r="B98" s="98" t="s">
        <v>194</v>
      </c>
      <c r="C98" s="97">
        <v>12</v>
      </c>
      <c r="D98" s="97">
        <v>13</v>
      </c>
      <c r="E98" s="97">
        <v>13</v>
      </c>
      <c r="F98" s="96"/>
      <c r="H98" s="98" t="s">
        <v>195</v>
      </c>
      <c r="I98" s="97">
        <v>12</v>
      </c>
      <c r="J98" s="97">
        <v>13</v>
      </c>
      <c r="K98" s="97">
        <v>14</v>
      </c>
      <c r="L98" s="96"/>
    </row>
    <row r="99" spans="2:12" ht="32.1" customHeight="1" x14ac:dyDescent="0.25">
      <c r="B99" s="99" t="s">
        <v>196</v>
      </c>
      <c r="C99" s="97">
        <v>13</v>
      </c>
      <c r="D99" s="97">
        <v>15</v>
      </c>
      <c r="E99" s="97">
        <v>6</v>
      </c>
      <c r="F99" s="96"/>
      <c r="H99" s="99" t="s">
        <v>197</v>
      </c>
      <c r="I99" s="97">
        <v>14</v>
      </c>
      <c r="J99" s="97">
        <v>14</v>
      </c>
      <c r="K99" s="97">
        <v>14</v>
      </c>
      <c r="L99" s="96"/>
    </row>
    <row r="100" spans="2:12" ht="32.1" customHeight="1" x14ac:dyDescent="0.25">
      <c r="B100" s="98" t="s">
        <v>198</v>
      </c>
      <c r="C100" s="97">
        <v>16</v>
      </c>
      <c r="D100" s="97">
        <v>13</v>
      </c>
      <c r="E100" s="97">
        <v>14</v>
      </c>
      <c r="F100" s="96"/>
      <c r="H100" s="98" t="s">
        <v>199</v>
      </c>
      <c r="I100" s="97">
        <v>13</v>
      </c>
      <c r="J100" s="97">
        <v>16</v>
      </c>
      <c r="K100" s="97">
        <v>15</v>
      </c>
      <c r="L100" s="96"/>
    </row>
    <row r="101" spans="2:12" ht="32.1" customHeight="1" x14ac:dyDescent="0.25">
      <c r="B101" s="99" t="s">
        <v>200</v>
      </c>
      <c r="C101" s="97">
        <v>12</v>
      </c>
      <c r="D101" s="97">
        <v>14</v>
      </c>
      <c r="E101" s="97">
        <v>12</v>
      </c>
      <c r="F101" s="96"/>
      <c r="H101" s="99" t="s">
        <v>201</v>
      </c>
      <c r="I101" s="97">
        <v>14</v>
      </c>
      <c r="J101" s="97">
        <v>14</v>
      </c>
      <c r="K101" s="97">
        <v>11</v>
      </c>
      <c r="L101" s="96"/>
    </row>
    <row r="102" spans="2:12" ht="32.1" customHeight="1" x14ac:dyDescent="0.25">
      <c r="B102" s="98" t="s">
        <v>202</v>
      </c>
      <c r="C102" s="97">
        <v>10</v>
      </c>
      <c r="D102" s="97">
        <v>12</v>
      </c>
      <c r="E102" s="97">
        <v>15</v>
      </c>
      <c r="F102" s="96"/>
      <c r="H102" s="98" t="s">
        <v>203</v>
      </c>
      <c r="I102" s="97">
        <v>11</v>
      </c>
      <c r="J102" s="97">
        <v>11</v>
      </c>
      <c r="K102" s="97">
        <v>15</v>
      </c>
      <c r="L102" s="96"/>
    </row>
    <row r="103" spans="2:12" ht="32.1" customHeight="1" thickBot="1" x14ac:dyDescent="0.3">
      <c r="B103" s="95" t="s">
        <v>204</v>
      </c>
      <c r="C103" s="94">
        <v>9</v>
      </c>
      <c r="D103" s="94">
        <v>11</v>
      </c>
      <c r="E103" s="94">
        <v>12</v>
      </c>
      <c r="F103" s="93"/>
      <c r="H103" s="95" t="s">
        <v>205</v>
      </c>
      <c r="I103" s="94">
        <v>12</v>
      </c>
      <c r="J103" s="94">
        <v>11</v>
      </c>
      <c r="K103" s="94">
        <v>13</v>
      </c>
      <c r="L103" s="93"/>
    </row>
    <row r="105" spans="2:12" x14ac:dyDescent="0.25">
      <c r="B105" s="92" t="s">
        <v>209</v>
      </c>
      <c r="C105" s="92">
        <f>AVERAGE($I$41:$K$55,$C$89:$E$103,$I$89:$K$103)/1.5</f>
        <v>8.3703703703703702</v>
      </c>
      <c r="D105" s="92">
        <f>STDEV($I$41:$K$55,$C$89:$E$103,$I$89:$K$103)/1.5</f>
        <v>1.6980462222546262</v>
      </c>
    </row>
    <row r="106" spans="2:12" x14ac:dyDescent="0.25">
      <c r="B106" s="92" t="s">
        <v>210</v>
      </c>
      <c r="C106" s="92">
        <f>AVERAGE($I$56:$K$70,$C$74:$E$88,$I$74:$K$88)/1.5</f>
        <v>9.0123456790123466</v>
      </c>
      <c r="D106" s="92">
        <f>STDEV($I$56:$K$70,$C$74:$E$88,$I$74:$K$88)/1.5</f>
        <v>1.4702169870692601</v>
      </c>
    </row>
    <row r="107" spans="2:12" x14ac:dyDescent="0.25">
      <c r="B107" s="92" t="s">
        <v>415</v>
      </c>
      <c r="C107" s="92">
        <f>AVERAGE($C$23:$E$37,$I$8:$K$22,$C$41:$E$55)/1.5</f>
        <v>8.0592592592592585</v>
      </c>
      <c r="D107" s="92">
        <f>STDEV($C$23:$E$37,$I$8:$K$22,$C$41:$E$55)/1.5</f>
        <v>1.7571774945560403</v>
      </c>
    </row>
    <row r="108" spans="2:12" x14ac:dyDescent="0.25">
      <c r="B108" s="92" t="s">
        <v>207</v>
      </c>
      <c r="C108" s="92">
        <f>AVERAGE($C$8:$E$22,$I$23:$K$37,$C$56:$E$70)/1.5</f>
        <v>8.2913580246913572</v>
      </c>
      <c r="D108" s="92">
        <f>STDEV($C$8:$E$22,$I$23:$K$37,$C$56:$E$70)/1.5</f>
        <v>1.2893424794198534</v>
      </c>
    </row>
  </sheetData>
  <mergeCells count="3">
    <mergeCell ref="I3:J3"/>
    <mergeCell ref="I4:J4"/>
    <mergeCell ref="B5:L5"/>
  </mergeCells>
  <pageMargins left="0.45" right="0.45" top="0.5" bottom="0.35" header="0" footer="0"/>
  <pageSetup scale="74" fitToHeight="3" orientation="portrait" r:id="rId1"/>
  <headerFooter>
    <oddFooter>&amp;L&amp;D&amp;R&amp;Z&amp;F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8088C-FCCF-40C2-865E-98BA63033F97}">
  <dimension ref="A1:G183"/>
  <sheetViews>
    <sheetView workbookViewId="0">
      <selection activeCell="F1" sqref="F1:F2"/>
    </sheetView>
  </sheetViews>
  <sheetFormatPr defaultRowHeight="12.75" x14ac:dyDescent="0.2"/>
  <sheetData>
    <row r="1" spans="1:7" x14ac:dyDescent="0.2">
      <c r="F1" t="s">
        <v>423</v>
      </c>
    </row>
    <row r="2" spans="1:7" x14ac:dyDescent="0.2">
      <c r="A2" t="s">
        <v>27</v>
      </c>
      <c r="B2">
        <v>13</v>
      </c>
      <c r="C2">
        <v>13</v>
      </c>
      <c r="D2">
        <v>12</v>
      </c>
      <c r="F2">
        <f>SUM(B2:D2)/(1.5*1.016*3)</f>
        <v>8.3114610673665794</v>
      </c>
    </row>
    <row r="3" spans="1:7" x14ac:dyDescent="0.2">
      <c r="A3" t="s">
        <v>29</v>
      </c>
      <c r="B3">
        <v>12</v>
      </c>
      <c r="C3">
        <v>13</v>
      </c>
      <c r="D3">
        <v>14</v>
      </c>
      <c r="F3">
        <f t="shared" ref="F3:F66" si="0">SUM(B3:D3)/(1.5*1.016*3)</f>
        <v>8.530183727034121</v>
      </c>
    </row>
    <row r="4" spans="1:7" x14ac:dyDescent="0.2">
      <c r="A4" t="s">
        <v>31</v>
      </c>
      <c r="B4">
        <v>8</v>
      </c>
      <c r="C4">
        <v>11</v>
      </c>
      <c r="D4">
        <v>12</v>
      </c>
      <c r="F4">
        <f t="shared" si="0"/>
        <v>6.7804024496937885</v>
      </c>
      <c r="G4" s="86"/>
    </row>
    <row r="5" spans="1:7" x14ac:dyDescent="0.2">
      <c r="A5" t="s">
        <v>33</v>
      </c>
      <c r="B5">
        <v>10</v>
      </c>
      <c r="C5">
        <v>12</v>
      </c>
      <c r="D5">
        <v>11</v>
      </c>
      <c r="F5">
        <f t="shared" si="0"/>
        <v>7.2178477690288716</v>
      </c>
      <c r="G5" s="86"/>
    </row>
    <row r="6" spans="1:7" x14ac:dyDescent="0.2">
      <c r="A6" t="s">
        <v>35</v>
      </c>
      <c r="B6">
        <v>11</v>
      </c>
      <c r="C6">
        <v>14</v>
      </c>
      <c r="D6">
        <v>12</v>
      </c>
      <c r="F6">
        <f t="shared" si="0"/>
        <v>8.0927384076990379</v>
      </c>
      <c r="G6" s="86"/>
    </row>
    <row r="7" spans="1:7" x14ac:dyDescent="0.2">
      <c r="A7" t="s">
        <v>37</v>
      </c>
      <c r="B7">
        <v>13</v>
      </c>
      <c r="C7">
        <v>12</v>
      </c>
      <c r="D7">
        <v>14</v>
      </c>
      <c r="F7">
        <f t="shared" si="0"/>
        <v>8.530183727034121</v>
      </c>
      <c r="G7" s="86"/>
    </row>
    <row r="8" spans="1:7" x14ac:dyDescent="0.2">
      <c r="A8" t="s">
        <v>39</v>
      </c>
      <c r="B8">
        <v>10</v>
      </c>
      <c r="C8">
        <v>13</v>
      </c>
      <c r="D8">
        <v>13</v>
      </c>
      <c r="F8">
        <f t="shared" si="0"/>
        <v>7.8740157480314963</v>
      </c>
      <c r="G8" s="86"/>
    </row>
    <row r="9" spans="1:7" x14ac:dyDescent="0.2">
      <c r="A9" t="s">
        <v>41</v>
      </c>
      <c r="B9">
        <v>15</v>
      </c>
      <c r="C9">
        <v>14</v>
      </c>
      <c r="D9">
        <v>12</v>
      </c>
      <c r="F9">
        <f t="shared" si="0"/>
        <v>8.9676290463692041</v>
      </c>
      <c r="G9" s="86"/>
    </row>
    <row r="10" spans="1:7" x14ac:dyDescent="0.2">
      <c r="A10" t="s">
        <v>43</v>
      </c>
      <c r="B10">
        <v>9</v>
      </c>
      <c r="C10">
        <v>10</v>
      </c>
      <c r="D10">
        <v>13</v>
      </c>
      <c r="F10">
        <f t="shared" si="0"/>
        <v>6.99912510936133</v>
      </c>
      <c r="G10" s="86"/>
    </row>
    <row r="11" spans="1:7" x14ac:dyDescent="0.2">
      <c r="A11" t="s">
        <v>45</v>
      </c>
      <c r="B11">
        <v>11</v>
      </c>
      <c r="C11">
        <v>10</v>
      </c>
      <c r="D11">
        <v>11</v>
      </c>
      <c r="F11">
        <f t="shared" si="0"/>
        <v>6.99912510936133</v>
      </c>
      <c r="G11" s="86"/>
    </row>
    <row r="12" spans="1:7" x14ac:dyDescent="0.2">
      <c r="A12" t="s">
        <v>47</v>
      </c>
      <c r="B12">
        <v>15</v>
      </c>
      <c r="C12">
        <v>12</v>
      </c>
      <c r="D12">
        <v>14</v>
      </c>
      <c r="F12">
        <f t="shared" si="0"/>
        <v>8.9676290463692041</v>
      </c>
      <c r="G12" s="86"/>
    </row>
    <row r="13" spans="1:7" x14ac:dyDescent="0.2">
      <c r="A13" t="s">
        <v>49</v>
      </c>
      <c r="B13">
        <v>13</v>
      </c>
      <c r="C13">
        <v>11</v>
      </c>
      <c r="D13">
        <v>14</v>
      </c>
      <c r="F13">
        <f t="shared" si="0"/>
        <v>8.3114610673665794</v>
      </c>
      <c r="G13" s="86"/>
    </row>
    <row r="14" spans="1:7" x14ac:dyDescent="0.2">
      <c r="A14" t="s">
        <v>51</v>
      </c>
      <c r="B14">
        <v>14</v>
      </c>
      <c r="C14">
        <v>14</v>
      </c>
      <c r="D14">
        <v>12</v>
      </c>
      <c r="F14">
        <f t="shared" si="0"/>
        <v>8.7489063867016625</v>
      </c>
      <c r="G14" s="86"/>
    </row>
    <row r="15" spans="1:7" x14ac:dyDescent="0.2">
      <c r="A15" t="s">
        <v>53</v>
      </c>
      <c r="B15">
        <v>18</v>
      </c>
      <c r="C15">
        <v>14</v>
      </c>
      <c r="D15">
        <v>15</v>
      </c>
      <c r="F15">
        <f t="shared" si="0"/>
        <v>10.279965004374453</v>
      </c>
      <c r="G15" s="86"/>
    </row>
    <row r="16" spans="1:7" x14ac:dyDescent="0.2">
      <c r="A16" t="s">
        <v>55</v>
      </c>
      <c r="B16">
        <v>17</v>
      </c>
      <c r="C16">
        <v>12</v>
      </c>
      <c r="D16">
        <v>13</v>
      </c>
      <c r="F16">
        <f t="shared" si="0"/>
        <v>9.1863517060367457</v>
      </c>
      <c r="G16" s="86"/>
    </row>
    <row r="17" spans="1:7" x14ac:dyDescent="0.2">
      <c r="A17" t="s">
        <v>84</v>
      </c>
      <c r="B17">
        <v>10</v>
      </c>
      <c r="C17">
        <v>8</v>
      </c>
      <c r="D17">
        <v>12</v>
      </c>
      <c r="F17">
        <f t="shared" si="0"/>
        <v>6.5616797900262469</v>
      </c>
      <c r="G17" s="86"/>
    </row>
    <row r="18" spans="1:7" x14ac:dyDescent="0.2">
      <c r="A18" t="s">
        <v>82</v>
      </c>
      <c r="B18">
        <v>14</v>
      </c>
      <c r="C18">
        <v>13</v>
      </c>
      <c r="D18">
        <v>14</v>
      </c>
      <c r="F18">
        <f t="shared" si="0"/>
        <v>8.9676290463692041</v>
      </c>
      <c r="G18" s="86"/>
    </row>
    <row r="19" spans="1:7" x14ac:dyDescent="0.2">
      <c r="A19" t="s">
        <v>80</v>
      </c>
      <c r="B19">
        <v>11</v>
      </c>
      <c r="C19">
        <v>15</v>
      </c>
      <c r="D19">
        <v>13</v>
      </c>
      <c r="F19">
        <f t="shared" si="0"/>
        <v>8.530183727034121</v>
      </c>
      <c r="G19" s="86"/>
    </row>
    <row r="20" spans="1:7" x14ac:dyDescent="0.2">
      <c r="A20" t="s">
        <v>78</v>
      </c>
      <c r="B20">
        <v>14</v>
      </c>
      <c r="C20">
        <v>14</v>
      </c>
      <c r="D20">
        <v>15</v>
      </c>
      <c r="F20">
        <f t="shared" si="0"/>
        <v>9.4050743657042872</v>
      </c>
      <c r="G20" s="86"/>
    </row>
    <row r="21" spans="1:7" x14ac:dyDescent="0.2">
      <c r="A21" t="s">
        <v>76</v>
      </c>
      <c r="B21">
        <v>12</v>
      </c>
      <c r="C21">
        <v>15</v>
      </c>
      <c r="D21">
        <v>16</v>
      </c>
      <c r="F21">
        <f t="shared" si="0"/>
        <v>9.4050743657042872</v>
      </c>
      <c r="G21" s="86"/>
    </row>
    <row r="22" spans="1:7" x14ac:dyDescent="0.2">
      <c r="A22" t="s">
        <v>74</v>
      </c>
      <c r="B22">
        <v>9</v>
      </c>
      <c r="C22">
        <v>7</v>
      </c>
      <c r="D22">
        <v>13</v>
      </c>
      <c r="F22">
        <f t="shared" si="0"/>
        <v>6.3429571303587053</v>
      </c>
      <c r="G22" s="86"/>
    </row>
    <row r="23" spans="1:7" x14ac:dyDescent="0.2">
      <c r="A23" t="s">
        <v>72</v>
      </c>
      <c r="B23">
        <v>9</v>
      </c>
      <c r="C23">
        <v>10</v>
      </c>
      <c r="D23">
        <v>11</v>
      </c>
      <c r="F23">
        <f t="shared" si="0"/>
        <v>6.5616797900262469</v>
      </c>
      <c r="G23" s="86"/>
    </row>
    <row r="24" spans="1:7" x14ac:dyDescent="0.2">
      <c r="A24" t="s">
        <v>70</v>
      </c>
      <c r="B24">
        <v>13</v>
      </c>
      <c r="C24">
        <v>9</v>
      </c>
      <c r="D24">
        <v>10</v>
      </c>
      <c r="F24">
        <f t="shared" si="0"/>
        <v>6.99912510936133</v>
      </c>
      <c r="G24" s="86"/>
    </row>
    <row r="25" spans="1:7" x14ac:dyDescent="0.2">
      <c r="A25" t="s">
        <v>68</v>
      </c>
      <c r="B25">
        <v>7</v>
      </c>
      <c r="C25">
        <v>11</v>
      </c>
      <c r="D25">
        <v>16</v>
      </c>
      <c r="F25">
        <f t="shared" si="0"/>
        <v>7.4365704286964132</v>
      </c>
      <c r="G25" s="86"/>
    </row>
    <row r="26" spans="1:7" x14ac:dyDescent="0.2">
      <c r="A26" t="s">
        <v>66</v>
      </c>
      <c r="B26">
        <v>10</v>
      </c>
      <c r="C26">
        <v>8</v>
      </c>
      <c r="D26">
        <v>8</v>
      </c>
      <c r="F26">
        <f t="shared" si="0"/>
        <v>5.6867891513560807</v>
      </c>
      <c r="G26" s="86"/>
    </row>
    <row r="27" spans="1:7" x14ac:dyDescent="0.2">
      <c r="A27" t="s">
        <v>64</v>
      </c>
      <c r="B27">
        <v>10</v>
      </c>
      <c r="C27">
        <v>10</v>
      </c>
      <c r="D27">
        <v>11</v>
      </c>
      <c r="F27">
        <f t="shared" si="0"/>
        <v>6.7804024496937885</v>
      </c>
      <c r="G27" s="86"/>
    </row>
    <row r="28" spans="1:7" x14ac:dyDescent="0.2">
      <c r="A28" t="s">
        <v>62</v>
      </c>
      <c r="B28">
        <v>16</v>
      </c>
      <c r="C28">
        <v>15</v>
      </c>
      <c r="D28">
        <v>14</v>
      </c>
      <c r="F28">
        <f t="shared" si="0"/>
        <v>9.8425196850393704</v>
      </c>
      <c r="G28" s="86"/>
    </row>
    <row r="29" spans="1:7" x14ac:dyDescent="0.2">
      <c r="A29" t="s">
        <v>60</v>
      </c>
      <c r="B29">
        <v>11</v>
      </c>
      <c r="C29">
        <v>7</v>
      </c>
      <c r="D29">
        <v>10</v>
      </c>
      <c r="F29">
        <f t="shared" si="0"/>
        <v>6.1242344706911638</v>
      </c>
      <c r="G29" s="86"/>
    </row>
    <row r="30" spans="1:7" x14ac:dyDescent="0.2">
      <c r="A30" t="s">
        <v>58</v>
      </c>
      <c r="B30">
        <v>15</v>
      </c>
      <c r="C30">
        <v>18</v>
      </c>
      <c r="D30">
        <v>13</v>
      </c>
      <c r="F30">
        <f t="shared" si="0"/>
        <v>10.061242344706912</v>
      </c>
      <c r="G30" s="86"/>
    </row>
    <row r="31" spans="1:7" x14ac:dyDescent="0.2">
      <c r="A31" t="s">
        <v>56</v>
      </c>
      <c r="B31">
        <v>12</v>
      </c>
      <c r="C31">
        <v>10</v>
      </c>
      <c r="D31">
        <v>12</v>
      </c>
      <c r="F31">
        <f t="shared" si="0"/>
        <v>7.4365704286964132</v>
      </c>
      <c r="G31" s="86"/>
    </row>
    <row r="32" spans="1:7" x14ac:dyDescent="0.2">
      <c r="A32" t="s">
        <v>28</v>
      </c>
      <c r="B32">
        <v>15</v>
      </c>
      <c r="C32">
        <v>17</v>
      </c>
      <c r="D32">
        <v>16</v>
      </c>
      <c r="F32">
        <f t="shared" si="0"/>
        <v>10.498687664041995</v>
      </c>
      <c r="G32" s="86"/>
    </row>
    <row r="33" spans="1:7" x14ac:dyDescent="0.2">
      <c r="A33" t="s">
        <v>30</v>
      </c>
      <c r="B33">
        <v>14</v>
      </c>
      <c r="C33">
        <v>11</v>
      </c>
      <c r="D33">
        <v>12</v>
      </c>
      <c r="F33">
        <f t="shared" si="0"/>
        <v>8.0927384076990379</v>
      </c>
      <c r="G33" s="86"/>
    </row>
    <row r="34" spans="1:7" x14ac:dyDescent="0.2">
      <c r="A34" t="s">
        <v>32</v>
      </c>
      <c r="B34">
        <v>8</v>
      </c>
      <c r="C34">
        <v>5</v>
      </c>
      <c r="D34">
        <v>14</v>
      </c>
      <c r="F34">
        <f t="shared" si="0"/>
        <v>5.9055118110236222</v>
      </c>
      <c r="G34" s="86"/>
    </row>
    <row r="35" spans="1:7" x14ac:dyDescent="0.2">
      <c r="A35" t="s">
        <v>34</v>
      </c>
      <c r="B35">
        <v>14</v>
      </c>
      <c r="C35">
        <v>14</v>
      </c>
      <c r="D35">
        <v>13</v>
      </c>
      <c r="F35">
        <f t="shared" si="0"/>
        <v>8.9676290463692041</v>
      </c>
      <c r="G35" s="86"/>
    </row>
    <row r="36" spans="1:7" x14ac:dyDescent="0.2">
      <c r="A36" t="s">
        <v>36</v>
      </c>
      <c r="B36">
        <v>11</v>
      </c>
      <c r="C36">
        <v>10</v>
      </c>
      <c r="D36">
        <v>12</v>
      </c>
      <c r="F36">
        <f t="shared" si="0"/>
        <v>7.2178477690288716</v>
      </c>
      <c r="G36" s="86"/>
    </row>
    <row r="37" spans="1:7" x14ac:dyDescent="0.2">
      <c r="A37" t="s">
        <v>38</v>
      </c>
      <c r="B37">
        <v>11</v>
      </c>
      <c r="C37">
        <v>15</v>
      </c>
      <c r="D37">
        <v>14</v>
      </c>
      <c r="F37">
        <f t="shared" si="0"/>
        <v>8.7489063867016625</v>
      </c>
      <c r="G37" s="86"/>
    </row>
    <row r="38" spans="1:7" x14ac:dyDescent="0.2">
      <c r="A38" t="s">
        <v>40</v>
      </c>
      <c r="B38">
        <v>6</v>
      </c>
      <c r="C38">
        <v>8</v>
      </c>
      <c r="D38">
        <v>11</v>
      </c>
      <c r="F38">
        <f t="shared" si="0"/>
        <v>5.4680664916885391</v>
      </c>
      <c r="G38" s="86"/>
    </row>
    <row r="39" spans="1:7" x14ac:dyDescent="0.2">
      <c r="A39" t="s">
        <v>42</v>
      </c>
      <c r="B39">
        <v>10</v>
      </c>
      <c r="C39">
        <v>14</v>
      </c>
      <c r="D39">
        <v>9</v>
      </c>
      <c r="F39">
        <f t="shared" si="0"/>
        <v>7.2178477690288716</v>
      </c>
      <c r="G39" s="86"/>
    </row>
    <row r="40" spans="1:7" x14ac:dyDescent="0.2">
      <c r="A40" t="s">
        <v>44</v>
      </c>
      <c r="B40">
        <v>15</v>
      </c>
      <c r="C40">
        <v>11</v>
      </c>
      <c r="D40">
        <v>14</v>
      </c>
      <c r="F40">
        <f t="shared" si="0"/>
        <v>8.7489063867016625</v>
      </c>
      <c r="G40" s="86"/>
    </row>
    <row r="41" spans="1:7" x14ac:dyDescent="0.2">
      <c r="A41" t="s">
        <v>46</v>
      </c>
      <c r="B41">
        <v>14</v>
      </c>
      <c r="C41">
        <v>12</v>
      </c>
      <c r="D41">
        <v>15</v>
      </c>
      <c r="F41">
        <f t="shared" si="0"/>
        <v>8.9676290463692041</v>
      </c>
      <c r="G41" s="86"/>
    </row>
    <row r="42" spans="1:7" x14ac:dyDescent="0.2">
      <c r="A42" t="s">
        <v>48</v>
      </c>
      <c r="B42">
        <v>9</v>
      </c>
      <c r="C42">
        <v>10</v>
      </c>
      <c r="D42">
        <v>11</v>
      </c>
      <c r="F42">
        <f t="shared" si="0"/>
        <v>6.5616797900262469</v>
      </c>
      <c r="G42" s="86"/>
    </row>
    <row r="43" spans="1:7" x14ac:dyDescent="0.2">
      <c r="A43" t="s">
        <v>50</v>
      </c>
      <c r="B43">
        <v>14</v>
      </c>
      <c r="C43">
        <v>13</v>
      </c>
      <c r="D43">
        <v>13</v>
      </c>
      <c r="F43">
        <f t="shared" si="0"/>
        <v>8.7489063867016625</v>
      </c>
      <c r="G43" s="86"/>
    </row>
    <row r="44" spans="1:7" x14ac:dyDescent="0.2">
      <c r="A44" t="s">
        <v>52</v>
      </c>
      <c r="B44">
        <v>12</v>
      </c>
      <c r="C44">
        <v>14</v>
      </c>
      <c r="D44">
        <v>15</v>
      </c>
      <c r="F44">
        <f t="shared" si="0"/>
        <v>8.9676290463692041</v>
      </c>
      <c r="G44" s="86"/>
    </row>
    <row r="45" spans="1:7" x14ac:dyDescent="0.2">
      <c r="A45" t="s">
        <v>54</v>
      </c>
      <c r="B45">
        <v>14</v>
      </c>
      <c r="C45">
        <v>16</v>
      </c>
      <c r="D45">
        <v>15</v>
      </c>
      <c r="F45">
        <f t="shared" si="0"/>
        <v>9.8425196850393704</v>
      </c>
      <c r="G45" s="86"/>
    </row>
    <row r="46" spans="1:7" x14ac:dyDescent="0.2">
      <c r="A46" t="s">
        <v>424</v>
      </c>
      <c r="B46">
        <v>15</v>
      </c>
      <c r="C46">
        <v>14</v>
      </c>
      <c r="D46">
        <v>12</v>
      </c>
      <c r="F46">
        <f t="shared" si="0"/>
        <v>8.9676290463692041</v>
      </c>
      <c r="G46" s="86"/>
    </row>
    <row r="47" spans="1:7" x14ac:dyDescent="0.2">
      <c r="A47" t="s">
        <v>85</v>
      </c>
      <c r="B47">
        <v>13</v>
      </c>
      <c r="C47">
        <v>17</v>
      </c>
      <c r="D47">
        <v>14</v>
      </c>
      <c r="F47">
        <f t="shared" si="0"/>
        <v>9.6237970253718288</v>
      </c>
      <c r="G47" s="86"/>
    </row>
    <row r="48" spans="1:7" x14ac:dyDescent="0.2">
      <c r="A48" t="s">
        <v>83</v>
      </c>
      <c r="B48">
        <v>14</v>
      </c>
      <c r="C48">
        <v>12</v>
      </c>
      <c r="D48">
        <v>12</v>
      </c>
      <c r="F48">
        <f t="shared" si="0"/>
        <v>8.3114610673665794</v>
      </c>
      <c r="G48" s="86"/>
    </row>
    <row r="49" spans="1:7" x14ac:dyDescent="0.2">
      <c r="A49" t="s">
        <v>81</v>
      </c>
      <c r="B49">
        <v>12</v>
      </c>
      <c r="C49">
        <v>10</v>
      </c>
      <c r="D49">
        <v>9</v>
      </c>
      <c r="F49">
        <f t="shared" si="0"/>
        <v>6.7804024496937885</v>
      </c>
      <c r="G49" s="86"/>
    </row>
    <row r="50" spans="1:7" x14ac:dyDescent="0.2">
      <c r="A50" t="s">
        <v>79</v>
      </c>
      <c r="B50">
        <v>14</v>
      </c>
      <c r="C50">
        <v>11</v>
      </c>
      <c r="D50">
        <v>10</v>
      </c>
      <c r="F50">
        <f t="shared" si="0"/>
        <v>7.6552930883639547</v>
      </c>
      <c r="G50" s="86"/>
    </row>
    <row r="51" spans="1:7" x14ac:dyDescent="0.2">
      <c r="A51" t="s">
        <v>77</v>
      </c>
      <c r="B51">
        <v>15</v>
      </c>
      <c r="C51">
        <v>9</v>
      </c>
      <c r="D51">
        <v>12</v>
      </c>
      <c r="F51">
        <f t="shared" si="0"/>
        <v>7.8740157480314963</v>
      </c>
      <c r="G51" s="86"/>
    </row>
    <row r="52" spans="1:7" x14ac:dyDescent="0.2">
      <c r="A52" t="s">
        <v>75</v>
      </c>
      <c r="B52">
        <v>14</v>
      </c>
      <c r="C52">
        <v>16</v>
      </c>
      <c r="D52">
        <v>14</v>
      </c>
      <c r="F52">
        <f t="shared" si="0"/>
        <v>9.6237970253718288</v>
      </c>
      <c r="G52" s="86"/>
    </row>
    <row r="53" spans="1:7" x14ac:dyDescent="0.2">
      <c r="A53" t="s">
        <v>73</v>
      </c>
      <c r="B53">
        <v>10</v>
      </c>
      <c r="C53">
        <v>9</v>
      </c>
      <c r="D53">
        <v>14</v>
      </c>
      <c r="F53">
        <f t="shared" si="0"/>
        <v>7.2178477690288716</v>
      </c>
      <c r="G53" s="86"/>
    </row>
    <row r="54" spans="1:7" x14ac:dyDescent="0.2">
      <c r="A54" t="s">
        <v>71</v>
      </c>
      <c r="B54">
        <v>15</v>
      </c>
      <c r="C54">
        <v>13</v>
      </c>
      <c r="D54">
        <v>14</v>
      </c>
      <c r="F54">
        <f t="shared" si="0"/>
        <v>9.1863517060367457</v>
      </c>
      <c r="G54" s="86"/>
    </row>
    <row r="55" spans="1:7" x14ac:dyDescent="0.2">
      <c r="A55" t="s">
        <v>69</v>
      </c>
      <c r="B55">
        <v>11</v>
      </c>
      <c r="C55">
        <v>10</v>
      </c>
      <c r="D55">
        <v>12</v>
      </c>
      <c r="F55">
        <f t="shared" si="0"/>
        <v>7.2178477690288716</v>
      </c>
      <c r="G55" s="86"/>
    </row>
    <row r="56" spans="1:7" x14ac:dyDescent="0.2">
      <c r="A56" t="s">
        <v>67</v>
      </c>
      <c r="B56">
        <v>13</v>
      </c>
      <c r="C56">
        <v>12</v>
      </c>
      <c r="D56">
        <v>13</v>
      </c>
      <c r="F56">
        <f t="shared" si="0"/>
        <v>8.3114610673665794</v>
      </c>
      <c r="G56" s="86"/>
    </row>
    <row r="57" spans="1:7" x14ac:dyDescent="0.2">
      <c r="A57" t="s">
        <v>65</v>
      </c>
      <c r="B57">
        <v>13</v>
      </c>
      <c r="C57">
        <v>12</v>
      </c>
      <c r="D57">
        <v>13</v>
      </c>
      <c r="F57">
        <f t="shared" si="0"/>
        <v>8.3114610673665794</v>
      </c>
      <c r="G57" s="86"/>
    </row>
    <row r="58" spans="1:7" x14ac:dyDescent="0.2">
      <c r="A58" t="s">
        <v>63</v>
      </c>
      <c r="B58">
        <v>11</v>
      </c>
      <c r="C58">
        <v>11</v>
      </c>
      <c r="D58">
        <v>14</v>
      </c>
      <c r="F58">
        <f t="shared" si="0"/>
        <v>7.8740157480314963</v>
      </c>
      <c r="G58" s="86"/>
    </row>
    <row r="59" spans="1:7" x14ac:dyDescent="0.2">
      <c r="A59" t="s">
        <v>61</v>
      </c>
      <c r="B59">
        <v>12</v>
      </c>
      <c r="C59">
        <v>10</v>
      </c>
      <c r="D59">
        <v>11</v>
      </c>
      <c r="F59">
        <f t="shared" si="0"/>
        <v>7.2178477690288716</v>
      </c>
      <c r="G59" s="86"/>
    </row>
    <row r="60" spans="1:7" x14ac:dyDescent="0.2">
      <c r="A60" t="s">
        <v>59</v>
      </c>
      <c r="B60">
        <v>14</v>
      </c>
      <c r="C60">
        <v>12</v>
      </c>
      <c r="D60">
        <v>14</v>
      </c>
      <c r="F60">
        <f t="shared" si="0"/>
        <v>8.7489063867016625</v>
      </c>
      <c r="G60" s="86"/>
    </row>
    <row r="61" spans="1:7" x14ac:dyDescent="0.2">
      <c r="A61" t="s">
        <v>57</v>
      </c>
      <c r="B61">
        <v>10</v>
      </c>
      <c r="C61">
        <v>13</v>
      </c>
      <c r="D61">
        <v>15</v>
      </c>
      <c r="F61">
        <f t="shared" si="0"/>
        <v>8.3114610673665794</v>
      </c>
      <c r="G61" s="86"/>
    </row>
    <row r="62" spans="1:7" x14ac:dyDescent="0.2">
      <c r="A62" t="s">
        <v>86</v>
      </c>
      <c r="B62">
        <v>9</v>
      </c>
      <c r="C62">
        <v>6</v>
      </c>
      <c r="D62">
        <v>11</v>
      </c>
      <c r="F62">
        <f t="shared" si="0"/>
        <v>5.6867891513560807</v>
      </c>
      <c r="G62" s="86"/>
    </row>
    <row r="63" spans="1:7" x14ac:dyDescent="0.2">
      <c r="A63" t="s">
        <v>88</v>
      </c>
      <c r="B63">
        <v>8</v>
      </c>
      <c r="C63">
        <v>9</v>
      </c>
      <c r="D63">
        <v>12</v>
      </c>
      <c r="F63">
        <f t="shared" si="0"/>
        <v>6.3429571303587053</v>
      </c>
      <c r="G63" s="86"/>
    </row>
    <row r="64" spans="1:7" x14ac:dyDescent="0.2">
      <c r="A64" t="s">
        <v>90</v>
      </c>
      <c r="B64">
        <v>13</v>
      </c>
      <c r="C64">
        <v>11</v>
      </c>
      <c r="D64">
        <v>10</v>
      </c>
      <c r="F64">
        <f t="shared" si="0"/>
        <v>7.4365704286964132</v>
      </c>
      <c r="G64" s="86"/>
    </row>
    <row r="65" spans="1:7" x14ac:dyDescent="0.2">
      <c r="A65" t="s">
        <v>92</v>
      </c>
      <c r="B65">
        <v>14</v>
      </c>
      <c r="C65">
        <v>12</v>
      </c>
      <c r="D65">
        <v>13</v>
      </c>
      <c r="F65">
        <f t="shared" si="0"/>
        <v>8.530183727034121</v>
      </c>
      <c r="G65" s="86"/>
    </row>
    <row r="66" spans="1:7" x14ac:dyDescent="0.2">
      <c r="A66" t="s">
        <v>94</v>
      </c>
      <c r="B66">
        <v>11</v>
      </c>
      <c r="C66">
        <v>10</v>
      </c>
      <c r="D66">
        <v>16</v>
      </c>
      <c r="F66">
        <f t="shared" si="0"/>
        <v>8.0927384076990379</v>
      </c>
      <c r="G66" s="86"/>
    </row>
    <row r="67" spans="1:7" x14ac:dyDescent="0.2">
      <c r="A67" t="s">
        <v>96</v>
      </c>
      <c r="B67">
        <v>12</v>
      </c>
      <c r="C67">
        <v>11</v>
      </c>
      <c r="D67">
        <v>12</v>
      </c>
      <c r="F67">
        <f t="shared" ref="F67:F130" si="1">SUM(B67:D67)/(1.5*1.016*3)</f>
        <v>7.6552930883639547</v>
      </c>
      <c r="G67" s="86"/>
    </row>
    <row r="68" spans="1:7" x14ac:dyDescent="0.2">
      <c r="A68" t="s">
        <v>98</v>
      </c>
      <c r="B68">
        <v>16</v>
      </c>
      <c r="C68">
        <v>13</v>
      </c>
      <c r="D68">
        <v>14</v>
      </c>
      <c r="F68">
        <f t="shared" si="1"/>
        <v>9.4050743657042872</v>
      </c>
      <c r="G68" s="86"/>
    </row>
    <row r="69" spans="1:7" x14ac:dyDescent="0.2">
      <c r="A69" t="s">
        <v>100</v>
      </c>
      <c r="B69">
        <v>14</v>
      </c>
      <c r="C69">
        <v>14</v>
      </c>
      <c r="D69">
        <v>13</v>
      </c>
      <c r="F69">
        <f t="shared" si="1"/>
        <v>8.9676290463692041</v>
      </c>
      <c r="G69" s="86"/>
    </row>
    <row r="70" spans="1:7" x14ac:dyDescent="0.2">
      <c r="A70" t="s">
        <v>102</v>
      </c>
      <c r="B70">
        <v>8</v>
      </c>
      <c r="C70">
        <v>8</v>
      </c>
      <c r="D70">
        <v>13</v>
      </c>
      <c r="F70">
        <f t="shared" si="1"/>
        <v>6.3429571303587053</v>
      </c>
      <c r="G70" s="86"/>
    </row>
    <row r="71" spans="1:7" x14ac:dyDescent="0.2">
      <c r="A71" t="s">
        <v>104</v>
      </c>
      <c r="B71">
        <v>15</v>
      </c>
      <c r="C71">
        <v>12</v>
      </c>
      <c r="D71">
        <v>13</v>
      </c>
      <c r="F71">
        <f t="shared" si="1"/>
        <v>8.7489063867016625</v>
      </c>
      <c r="G71" s="86"/>
    </row>
    <row r="72" spans="1:7" x14ac:dyDescent="0.2">
      <c r="A72" t="s">
        <v>106</v>
      </c>
      <c r="B72">
        <v>13</v>
      </c>
      <c r="C72">
        <v>13</v>
      </c>
      <c r="D72">
        <v>13</v>
      </c>
      <c r="F72">
        <f t="shared" si="1"/>
        <v>8.530183727034121</v>
      </c>
      <c r="G72" s="86"/>
    </row>
    <row r="73" spans="1:7" x14ac:dyDescent="0.2">
      <c r="A73" t="s">
        <v>108</v>
      </c>
      <c r="B73">
        <v>14</v>
      </c>
      <c r="C73">
        <v>13</v>
      </c>
      <c r="D73">
        <v>15</v>
      </c>
      <c r="F73">
        <f t="shared" si="1"/>
        <v>9.1863517060367457</v>
      </c>
      <c r="G73" s="86"/>
    </row>
    <row r="74" spans="1:7" x14ac:dyDescent="0.2">
      <c r="A74" t="s">
        <v>110</v>
      </c>
      <c r="B74">
        <v>16</v>
      </c>
      <c r="C74">
        <v>14</v>
      </c>
      <c r="D74">
        <v>15</v>
      </c>
      <c r="F74">
        <f t="shared" si="1"/>
        <v>9.8425196850393704</v>
      </c>
      <c r="G74" s="86"/>
    </row>
    <row r="75" spans="1:7" x14ac:dyDescent="0.2">
      <c r="A75" t="s">
        <v>112</v>
      </c>
      <c r="B75">
        <v>13</v>
      </c>
      <c r="C75">
        <v>9</v>
      </c>
      <c r="D75">
        <v>10</v>
      </c>
      <c r="F75">
        <f t="shared" si="1"/>
        <v>6.99912510936133</v>
      </c>
      <c r="G75" s="86"/>
    </row>
    <row r="76" spans="1:7" x14ac:dyDescent="0.2">
      <c r="A76" t="s">
        <v>114</v>
      </c>
      <c r="B76">
        <v>10</v>
      </c>
      <c r="C76">
        <v>7</v>
      </c>
      <c r="D76">
        <v>11</v>
      </c>
      <c r="F76">
        <f t="shared" si="1"/>
        <v>6.1242344706911638</v>
      </c>
      <c r="G76" s="86"/>
    </row>
    <row r="77" spans="1:7" x14ac:dyDescent="0.2">
      <c r="A77" t="s">
        <v>144</v>
      </c>
      <c r="B77">
        <v>15</v>
      </c>
      <c r="C77">
        <v>13</v>
      </c>
      <c r="D77">
        <v>11</v>
      </c>
      <c r="F77">
        <f t="shared" si="1"/>
        <v>8.530183727034121</v>
      </c>
      <c r="G77" s="86"/>
    </row>
    <row r="78" spans="1:7" x14ac:dyDescent="0.2">
      <c r="A78" t="s">
        <v>142</v>
      </c>
      <c r="B78">
        <v>14</v>
      </c>
      <c r="C78">
        <v>10</v>
      </c>
      <c r="D78">
        <v>12</v>
      </c>
      <c r="F78">
        <f t="shared" si="1"/>
        <v>7.8740157480314963</v>
      </c>
      <c r="G78" s="86"/>
    </row>
    <row r="79" spans="1:7" x14ac:dyDescent="0.2">
      <c r="A79" t="s">
        <v>140</v>
      </c>
      <c r="B79">
        <v>10</v>
      </c>
      <c r="C79">
        <v>13</v>
      </c>
      <c r="D79">
        <v>12</v>
      </c>
      <c r="F79">
        <f t="shared" si="1"/>
        <v>7.6552930883639547</v>
      </c>
      <c r="G79" s="86"/>
    </row>
    <row r="80" spans="1:7" x14ac:dyDescent="0.2">
      <c r="A80" t="s">
        <v>138</v>
      </c>
      <c r="B80">
        <v>13</v>
      </c>
      <c r="C80">
        <v>9</v>
      </c>
      <c r="D80">
        <v>12</v>
      </c>
      <c r="F80">
        <f t="shared" si="1"/>
        <v>7.4365704286964132</v>
      </c>
      <c r="G80" s="86"/>
    </row>
    <row r="81" spans="1:7" x14ac:dyDescent="0.2">
      <c r="A81" t="s">
        <v>136</v>
      </c>
      <c r="B81">
        <v>13</v>
      </c>
      <c r="C81">
        <v>12</v>
      </c>
      <c r="D81">
        <v>14</v>
      </c>
      <c r="F81">
        <f t="shared" si="1"/>
        <v>8.530183727034121</v>
      </c>
      <c r="G81" s="86"/>
    </row>
    <row r="82" spans="1:7" x14ac:dyDescent="0.2">
      <c r="A82" t="s">
        <v>134</v>
      </c>
      <c r="B82">
        <v>12</v>
      </c>
      <c r="C82">
        <v>12</v>
      </c>
      <c r="D82">
        <v>10</v>
      </c>
      <c r="F82">
        <f t="shared" si="1"/>
        <v>7.4365704286964132</v>
      </c>
      <c r="G82" s="86"/>
    </row>
    <row r="83" spans="1:7" x14ac:dyDescent="0.2">
      <c r="A83" t="s">
        <v>132</v>
      </c>
      <c r="B83">
        <v>15</v>
      </c>
      <c r="C83">
        <v>12</v>
      </c>
      <c r="D83">
        <v>14</v>
      </c>
      <c r="F83">
        <f t="shared" si="1"/>
        <v>8.9676290463692041</v>
      </c>
      <c r="G83" s="86"/>
    </row>
    <row r="84" spans="1:7" x14ac:dyDescent="0.2">
      <c r="A84" t="s">
        <v>130</v>
      </c>
      <c r="B84">
        <v>11</v>
      </c>
      <c r="C84">
        <v>8</v>
      </c>
      <c r="D84">
        <v>10</v>
      </c>
      <c r="F84">
        <f t="shared" si="1"/>
        <v>6.3429571303587053</v>
      </c>
      <c r="G84" s="86"/>
    </row>
    <row r="85" spans="1:7" x14ac:dyDescent="0.2">
      <c r="A85" t="s">
        <v>128</v>
      </c>
      <c r="B85">
        <v>12</v>
      </c>
      <c r="C85">
        <v>11</v>
      </c>
      <c r="D85">
        <v>13</v>
      </c>
      <c r="F85">
        <f t="shared" si="1"/>
        <v>7.8740157480314963</v>
      </c>
      <c r="G85" s="86"/>
    </row>
    <row r="86" spans="1:7" x14ac:dyDescent="0.2">
      <c r="A86" t="s">
        <v>126</v>
      </c>
      <c r="B86">
        <v>12</v>
      </c>
      <c r="C86">
        <v>13</v>
      </c>
      <c r="D86">
        <v>15</v>
      </c>
      <c r="F86">
        <f t="shared" si="1"/>
        <v>8.7489063867016625</v>
      </c>
      <c r="G86" s="86"/>
    </row>
    <row r="87" spans="1:7" x14ac:dyDescent="0.2">
      <c r="A87" t="s">
        <v>124</v>
      </c>
      <c r="B87">
        <v>12</v>
      </c>
      <c r="C87">
        <v>12</v>
      </c>
      <c r="D87">
        <v>12</v>
      </c>
      <c r="F87">
        <f t="shared" si="1"/>
        <v>7.8740157480314963</v>
      </c>
      <c r="G87" s="86"/>
    </row>
    <row r="88" spans="1:7" x14ac:dyDescent="0.2">
      <c r="A88" t="s">
        <v>122</v>
      </c>
      <c r="B88">
        <v>14</v>
      </c>
      <c r="C88">
        <v>13</v>
      </c>
      <c r="D88">
        <v>13</v>
      </c>
      <c r="F88">
        <f t="shared" si="1"/>
        <v>8.7489063867016625</v>
      </c>
      <c r="G88" s="86"/>
    </row>
    <row r="89" spans="1:7" x14ac:dyDescent="0.2">
      <c r="A89" t="s">
        <v>120</v>
      </c>
      <c r="B89">
        <v>12</v>
      </c>
      <c r="C89">
        <v>16</v>
      </c>
      <c r="D89">
        <v>15</v>
      </c>
      <c r="F89">
        <f t="shared" si="1"/>
        <v>9.4050743657042872</v>
      </c>
      <c r="G89" s="86"/>
    </row>
    <row r="90" spans="1:7" x14ac:dyDescent="0.2">
      <c r="A90" t="s">
        <v>118</v>
      </c>
      <c r="B90">
        <v>7</v>
      </c>
      <c r="C90">
        <v>9</v>
      </c>
      <c r="D90">
        <v>12</v>
      </c>
      <c r="F90">
        <f t="shared" si="1"/>
        <v>6.1242344706911638</v>
      </c>
      <c r="G90" s="86"/>
    </row>
    <row r="91" spans="1:7" x14ac:dyDescent="0.2">
      <c r="A91" t="s">
        <v>116</v>
      </c>
      <c r="B91">
        <v>15</v>
      </c>
      <c r="C91">
        <v>14</v>
      </c>
      <c r="D91">
        <v>15</v>
      </c>
      <c r="F91">
        <f t="shared" si="1"/>
        <v>9.6237970253718288</v>
      </c>
      <c r="G91" s="86"/>
    </row>
    <row r="92" spans="1:7" x14ac:dyDescent="0.2">
      <c r="A92" t="s">
        <v>87</v>
      </c>
      <c r="B92">
        <v>10</v>
      </c>
      <c r="C92">
        <v>14</v>
      </c>
      <c r="D92">
        <v>12</v>
      </c>
      <c r="F92">
        <f t="shared" si="1"/>
        <v>7.8740157480314963</v>
      </c>
      <c r="G92" s="86"/>
    </row>
    <row r="93" spans="1:7" x14ac:dyDescent="0.2">
      <c r="A93" t="s">
        <v>89</v>
      </c>
      <c r="B93">
        <v>14</v>
      </c>
      <c r="C93">
        <v>10</v>
      </c>
      <c r="D93">
        <v>11</v>
      </c>
      <c r="F93">
        <f t="shared" si="1"/>
        <v>7.6552930883639547</v>
      </c>
      <c r="G93" s="86"/>
    </row>
    <row r="94" spans="1:7" x14ac:dyDescent="0.2">
      <c r="A94" t="s">
        <v>91</v>
      </c>
      <c r="B94">
        <v>13</v>
      </c>
      <c r="C94">
        <v>11</v>
      </c>
      <c r="D94">
        <v>13</v>
      </c>
      <c r="F94">
        <f t="shared" si="1"/>
        <v>8.0927384076990379</v>
      </c>
      <c r="G94" s="86"/>
    </row>
    <row r="95" spans="1:7" x14ac:dyDescent="0.2">
      <c r="A95" t="s">
        <v>93</v>
      </c>
      <c r="B95">
        <v>12</v>
      </c>
      <c r="C95">
        <v>13</v>
      </c>
      <c r="D95">
        <v>14</v>
      </c>
      <c r="F95">
        <f t="shared" si="1"/>
        <v>8.530183727034121</v>
      </c>
      <c r="G95" s="86"/>
    </row>
    <row r="96" spans="1:7" x14ac:dyDescent="0.2">
      <c r="A96" t="s">
        <v>95</v>
      </c>
      <c r="B96">
        <v>12</v>
      </c>
      <c r="C96">
        <v>15</v>
      </c>
      <c r="D96">
        <v>16</v>
      </c>
      <c r="F96">
        <f t="shared" si="1"/>
        <v>9.4050743657042872</v>
      </c>
      <c r="G96" s="86"/>
    </row>
    <row r="97" spans="1:7" x14ac:dyDescent="0.2">
      <c r="A97" t="s">
        <v>97</v>
      </c>
      <c r="B97">
        <v>16</v>
      </c>
      <c r="C97">
        <v>12</v>
      </c>
      <c r="D97">
        <v>15</v>
      </c>
      <c r="F97">
        <f t="shared" si="1"/>
        <v>9.4050743657042872</v>
      </c>
      <c r="G97" s="86"/>
    </row>
    <row r="98" spans="1:7" x14ac:dyDescent="0.2">
      <c r="A98" t="s">
        <v>99</v>
      </c>
      <c r="B98">
        <v>15</v>
      </c>
      <c r="C98">
        <v>14</v>
      </c>
      <c r="D98">
        <v>12</v>
      </c>
      <c r="F98">
        <f t="shared" si="1"/>
        <v>8.9676290463692041</v>
      </c>
      <c r="G98" s="86"/>
    </row>
    <row r="99" spans="1:7" x14ac:dyDescent="0.2">
      <c r="A99" t="s">
        <v>101</v>
      </c>
      <c r="B99">
        <v>11</v>
      </c>
      <c r="C99">
        <v>9</v>
      </c>
      <c r="D99">
        <v>11</v>
      </c>
      <c r="F99">
        <f t="shared" si="1"/>
        <v>6.7804024496937885</v>
      </c>
      <c r="G99" s="86"/>
    </row>
    <row r="100" spans="1:7" x14ac:dyDescent="0.2">
      <c r="A100" t="s">
        <v>103</v>
      </c>
      <c r="B100">
        <v>17</v>
      </c>
      <c r="C100">
        <v>13</v>
      </c>
      <c r="D100">
        <v>12</v>
      </c>
      <c r="F100">
        <f t="shared" si="1"/>
        <v>9.1863517060367457</v>
      </c>
      <c r="G100" s="86"/>
    </row>
    <row r="101" spans="1:7" x14ac:dyDescent="0.2">
      <c r="A101" t="s">
        <v>105</v>
      </c>
      <c r="B101">
        <v>16</v>
      </c>
      <c r="C101">
        <v>14</v>
      </c>
      <c r="D101">
        <v>13</v>
      </c>
      <c r="F101">
        <f t="shared" si="1"/>
        <v>9.4050743657042872</v>
      </c>
      <c r="G101" s="86"/>
    </row>
    <row r="102" spans="1:7" x14ac:dyDescent="0.2">
      <c r="A102" t="s">
        <v>107</v>
      </c>
      <c r="B102">
        <v>18</v>
      </c>
      <c r="C102">
        <v>16</v>
      </c>
      <c r="D102">
        <v>15</v>
      </c>
      <c r="F102">
        <f t="shared" si="1"/>
        <v>10.717410323709537</v>
      </c>
      <c r="G102" s="86"/>
    </row>
    <row r="103" spans="1:7" x14ac:dyDescent="0.2">
      <c r="A103" t="s">
        <v>109</v>
      </c>
      <c r="B103">
        <v>14</v>
      </c>
      <c r="C103">
        <v>16</v>
      </c>
      <c r="D103">
        <v>19</v>
      </c>
      <c r="F103">
        <f t="shared" si="1"/>
        <v>10.717410323709537</v>
      </c>
      <c r="G103" s="86"/>
    </row>
    <row r="104" spans="1:7" x14ac:dyDescent="0.2">
      <c r="A104" t="s">
        <v>111</v>
      </c>
      <c r="B104">
        <v>16</v>
      </c>
      <c r="C104">
        <v>11</v>
      </c>
      <c r="D104">
        <v>13</v>
      </c>
      <c r="F104">
        <f t="shared" si="1"/>
        <v>8.7489063867016625</v>
      </c>
      <c r="G104" s="86"/>
    </row>
    <row r="105" spans="1:7" x14ac:dyDescent="0.2">
      <c r="A105" t="s">
        <v>113</v>
      </c>
      <c r="B105">
        <v>11</v>
      </c>
      <c r="C105">
        <v>13</v>
      </c>
      <c r="D105">
        <v>11</v>
      </c>
      <c r="F105">
        <f t="shared" si="1"/>
        <v>7.6552930883639547</v>
      </c>
      <c r="G105" s="86"/>
    </row>
    <row r="106" spans="1:7" x14ac:dyDescent="0.2">
      <c r="A106" t="s">
        <v>115</v>
      </c>
      <c r="B106">
        <v>10</v>
      </c>
      <c r="C106">
        <v>14</v>
      </c>
      <c r="D106">
        <v>15</v>
      </c>
      <c r="F106">
        <f t="shared" si="1"/>
        <v>8.530183727034121</v>
      </c>
      <c r="G106" s="86"/>
    </row>
    <row r="107" spans="1:7" x14ac:dyDescent="0.2">
      <c r="A107" t="s">
        <v>145</v>
      </c>
      <c r="B107">
        <v>13</v>
      </c>
      <c r="C107">
        <v>12</v>
      </c>
      <c r="D107">
        <v>11</v>
      </c>
      <c r="F107">
        <f t="shared" si="1"/>
        <v>7.8740157480314963</v>
      </c>
      <c r="G107" s="86"/>
    </row>
    <row r="108" spans="1:7" x14ac:dyDescent="0.2">
      <c r="A108" t="s">
        <v>143</v>
      </c>
      <c r="B108">
        <v>12</v>
      </c>
      <c r="C108">
        <v>11</v>
      </c>
      <c r="D108">
        <v>9</v>
      </c>
      <c r="F108">
        <f t="shared" si="1"/>
        <v>6.99912510936133</v>
      </c>
      <c r="G108" s="86"/>
    </row>
    <row r="109" spans="1:7" x14ac:dyDescent="0.2">
      <c r="A109" t="s">
        <v>141</v>
      </c>
      <c r="B109">
        <v>12</v>
      </c>
      <c r="C109">
        <v>14</v>
      </c>
      <c r="D109">
        <v>12</v>
      </c>
      <c r="F109">
        <f t="shared" si="1"/>
        <v>8.3114610673665794</v>
      </c>
      <c r="G109" s="86"/>
    </row>
    <row r="110" spans="1:7" x14ac:dyDescent="0.2">
      <c r="A110" t="s">
        <v>139</v>
      </c>
      <c r="B110">
        <v>12</v>
      </c>
      <c r="C110">
        <v>17</v>
      </c>
      <c r="D110">
        <v>15</v>
      </c>
      <c r="F110">
        <f t="shared" si="1"/>
        <v>9.6237970253718288</v>
      </c>
      <c r="G110" s="86"/>
    </row>
    <row r="111" spans="1:7" x14ac:dyDescent="0.2">
      <c r="A111" t="s">
        <v>137</v>
      </c>
      <c r="B111">
        <v>15</v>
      </c>
      <c r="C111">
        <v>17</v>
      </c>
      <c r="D111">
        <v>13</v>
      </c>
      <c r="F111">
        <f t="shared" si="1"/>
        <v>9.8425196850393704</v>
      </c>
      <c r="G111" s="86"/>
    </row>
    <row r="112" spans="1:7" x14ac:dyDescent="0.2">
      <c r="A112" t="s">
        <v>135</v>
      </c>
      <c r="B112">
        <v>12</v>
      </c>
      <c r="C112">
        <v>11</v>
      </c>
      <c r="D112">
        <v>10</v>
      </c>
      <c r="F112">
        <f t="shared" si="1"/>
        <v>7.2178477690288716</v>
      </c>
      <c r="G112" s="86"/>
    </row>
    <row r="113" spans="1:7" x14ac:dyDescent="0.2">
      <c r="A113" t="s">
        <v>133</v>
      </c>
      <c r="B113">
        <v>13</v>
      </c>
      <c r="C113">
        <v>14</v>
      </c>
      <c r="D113">
        <v>13</v>
      </c>
      <c r="F113">
        <f t="shared" si="1"/>
        <v>8.7489063867016625</v>
      </c>
      <c r="G113" s="86"/>
    </row>
    <row r="114" spans="1:7" x14ac:dyDescent="0.2">
      <c r="A114" t="s">
        <v>131</v>
      </c>
      <c r="B114">
        <v>14</v>
      </c>
      <c r="C114">
        <v>14</v>
      </c>
      <c r="D114">
        <v>4</v>
      </c>
      <c r="F114">
        <f t="shared" si="1"/>
        <v>6.99912510936133</v>
      </c>
      <c r="G114" s="86"/>
    </row>
    <row r="115" spans="1:7" x14ac:dyDescent="0.2">
      <c r="A115" t="s">
        <v>129</v>
      </c>
      <c r="B115">
        <v>13</v>
      </c>
      <c r="C115">
        <v>11</v>
      </c>
      <c r="D115">
        <v>13</v>
      </c>
      <c r="F115">
        <f t="shared" si="1"/>
        <v>8.0927384076990379</v>
      </c>
      <c r="G115" s="86"/>
    </row>
    <row r="116" spans="1:7" x14ac:dyDescent="0.2">
      <c r="A116" t="s">
        <v>127</v>
      </c>
      <c r="B116">
        <v>15</v>
      </c>
      <c r="C116">
        <v>6</v>
      </c>
      <c r="D116">
        <v>12</v>
      </c>
      <c r="F116">
        <f t="shared" si="1"/>
        <v>7.2178477690288716</v>
      </c>
      <c r="G116" s="86"/>
    </row>
    <row r="117" spans="1:7" x14ac:dyDescent="0.2">
      <c r="A117" t="s">
        <v>125</v>
      </c>
      <c r="B117">
        <v>14</v>
      </c>
      <c r="C117">
        <v>16</v>
      </c>
      <c r="D117">
        <v>13</v>
      </c>
      <c r="F117">
        <f t="shared" si="1"/>
        <v>9.4050743657042872</v>
      </c>
      <c r="G117" s="86"/>
    </row>
    <row r="118" spans="1:7" x14ac:dyDescent="0.2">
      <c r="A118" t="s">
        <v>123</v>
      </c>
      <c r="B118">
        <v>13</v>
      </c>
      <c r="C118">
        <v>14</v>
      </c>
      <c r="D118">
        <v>14</v>
      </c>
      <c r="F118">
        <f t="shared" si="1"/>
        <v>8.9676290463692041</v>
      </c>
      <c r="G118" s="86"/>
    </row>
    <row r="119" spans="1:7" x14ac:dyDescent="0.2">
      <c r="A119" t="s">
        <v>121</v>
      </c>
      <c r="B119">
        <v>16</v>
      </c>
      <c r="C119">
        <v>13</v>
      </c>
      <c r="D119">
        <v>13</v>
      </c>
      <c r="F119">
        <f t="shared" si="1"/>
        <v>9.1863517060367457</v>
      </c>
      <c r="G119" s="86"/>
    </row>
    <row r="120" spans="1:7" x14ac:dyDescent="0.2">
      <c r="A120" t="s">
        <v>119</v>
      </c>
      <c r="B120">
        <v>12</v>
      </c>
      <c r="C120">
        <v>16</v>
      </c>
      <c r="D120">
        <v>12</v>
      </c>
      <c r="F120">
        <f t="shared" si="1"/>
        <v>8.7489063867016625</v>
      </c>
      <c r="G120" s="86"/>
    </row>
    <row r="121" spans="1:7" x14ac:dyDescent="0.2">
      <c r="A121" t="s">
        <v>117</v>
      </c>
      <c r="B121">
        <v>14</v>
      </c>
      <c r="C121">
        <v>16</v>
      </c>
      <c r="D121">
        <v>14</v>
      </c>
      <c r="F121">
        <f t="shared" si="1"/>
        <v>9.6237970253718288</v>
      </c>
      <c r="G121" s="86"/>
    </row>
    <row r="122" spans="1:7" x14ac:dyDescent="0.2">
      <c r="A122" t="s">
        <v>146</v>
      </c>
      <c r="B122">
        <v>14</v>
      </c>
      <c r="C122">
        <v>17</v>
      </c>
      <c r="D122">
        <v>15</v>
      </c>
      <c r="F122">
        <f t="shared" si="1"/>
        <v>10.061242344706912</v>
      </c>
      <c r="G122" s="86"/>
    </row>
    <row r="123" spans="1:7" x14ac:dyDescent="0.2">
      <c r="A123" t="s">
        <v>148</v>
      </c>
      <c r="B123">
        <v>18</v>
      </c>
      <c r="C123">
        <v>11</v>
      </c>
      <c r="D123">
        <v>13</v>
      </c>
      <c r="F123">
        <f t="shared" si="1"/>
        <v>9.1863517060367457</v>
      </c>
      <c r="G123" s="86"/>
    </row>
    <row r="124" spans="1:7" x14ac:dyDescent="0.2">
      <c r="A124" t="s">
        <v>150</v>
      </c>
      <c r="B124">
        <v>15</v>
      </c>
      <c r="C124">
        <v>14</v>
      </c>
      <c r="D124">
        <v>14</v>
      </c>
      <c r="F124">
        <f t="shared" si="1"/>
        <v>9.4050743657042872</v>
      </c>
      <c r="G124" s="86"/>
    </row>
    <row r="125" spans="1:7" x14ac:dyDescent="0.2">
      <c r="A125" t="s">
        <v>152</v>
      </c>
      <c r="B125">
        <v>16</v>
      </c>
      <c r="C125">
        <v>14</v>
      </c>
      <c r="D125">
        <v>15</v>
      </c>
      <c r="F125">
        <f t="shared" si="1"/>
        <v>9.8425196850393704</v>
      </c>
      <c r="G125" s="86"/>
    </row>
    <row r="126" spans="1:7" x14ac:dyDescent="0.2">
      <c r="A126" t="s">
        <v>154</v>
      </c>
      <c r="B126">
        <v>14</v>
      </c>
      <c r="C126">
        <v>15</v>
      </c>
      <c r="D126">
        <v>13</v>
      </c>
      <c r="F126">
        <f t="shared" si="1"/>
        <v>9.1863517060367457</v>
      </c>
      <c r="G126" s="86"/>
    </row>
    <row r="127" spans="1:7" x14ac:dyDescent="0.2">
      <c r="A127" t="s">
        <v>156</v>
      </c>
      <c r="B127">
        <v>16</v>
      </c>
      <c r="C127">
        <v>12</v>
      </c>
      <c r="D127">
        <v>15</v>
      </c>
      <c r="F127">
        <f t="shared" si="1"/>
        <v>9.4050743657042872</v>
      </c>
      <c r="G127" s="86"/>
    </row>
    <row r="128" spans="1:7" x14ac:dyDescent="0.2">
      <c r="A128" t="s">
        <v>158</v>
      </c>
      <c r="B128">
        <v>17</v>
      </c>
      <c r="C128">
        <v>14</v>
      </c>
      <c r="D128">
        <v>15</v>
      </c>
      <c r="F128">
        <f t="shared" si="1"/>
        <v>10.061242344706912</v>
      </c>
      <c r="G128" s="86"/>
    </row>
    <row r="129" spans="1:7" x14ac:dyDescent="0.2">
      <c r="A129" t="s">
        <v>160</v>
      </c>
      <c r="B129">
        <v>15</v>
      </c>
      <c r="C129">
        <v>13</v>
      </c>
      <c r="D129">
        <v>11</v>
      </c>
      <c r="F129">
        <f t="shared" si="1"/>
        <v>8.530183727034121</v>
      </c>
      <c r="G129" s="86"/>
    </row>
    <row r="130" spans="1:7" x14ac:dyDescent="0.2">
      <c r="A130" t="s">
        <v>162</v>
      </c>
      <c r="B130">
        <v>15</v>
      </c>
      <c r="C130">
        <v>15</v>
      </c>
      <c r="D130">
        <v>16</v>
      </c>
      <c r="F130">
        <f t="shared" si="1"/>
        <v>10.061242344706912</v>
      </c>
      <c r="G130" s="86"/>
    </row>
    <row r="131" spans="1:7" x14ac:dyDescent="0.2">
      <c r="A131" t="s">
        <v>164</v>
      </c>
      <c r="B131">
        <v>14</v>
      </c>
      <c r="C131">
        <v>12</v>
      </c>
      <c r="D131">
        <v>14</v>
      </c>
      <c r="F131">
        <f t="shared" ref="F131:F181" si="2">SUM(B131:D131)/(1.5*1.016*3)</f>
        <v>8.7489063867016625</v>
      </c>
      <c r="G131" s="86"/>
    </row>
    <row r="132" spans="1:7" x14ac:dyDescent="0.2">
      <c r="A132" t="s">
        <v>166</v>
      </c>
      <c r="B132">
        <v>15</v>
      </c>
      <c r="C132">
        <v>17</v>
      </c>
      <c r="D132">
        <v>16</v>
      </c>
      <c r="F132">
        <f t="shared" si="2"/>
        <v>10.498687664041995</v>
      </c>
      <c r="G132" s="86"/>
    </row>
    <row r="133" spans="1:7" x14ac:dyDescent="0.2">
      <c r="A133" t="s">
        <v>168</v>
      </c>
      <c r="B133">
        <v>15</v>
      </c>
      <c r="C133">
        <v>14</v>
      </c>
      <c r="D133">
        <v>16</v>
      </c>
      <c r="F133">
        <f t="shared" si="2"/>
        <v>9.8425196850393704</v>
      </c>
      <c r="G133" s="86"/>
    </row>
    <row r="134" spans="1:7" x14ac:dyDescent="0.2">
      <c r="A134" t="s">
        <v>170</v>
      </c>
      <c r="B134">
        <v>16</v>
      </c>
      <c r="C134">
        <v>16</v>
      </c>
      <c r="D134">
        <v>17</v>
      </c>
      <c r="F134">
        <f t="shared" si="2"/>
        <v>10.717410323709537</v>
      </c>
      <c r="G134" s="86"/>
    </row>
    <row r="135" spans="1:7" x14ac:dyDescent="0.2">
      <c r="A135" t="s">
        <v>172</v>
      </c>
      <c r="B135">
        <v>13</v>
      </c>
      <c r="C135">
        <v>14</v>
      </c>
      <c r="D135">
        <v>12</v>
      </c>
      <c r="F135">
        <f t="shared" si="2"/>
        <v>8.530183727034121</v>
      </c>
      <c r="G135" s="86"/>
    </row>
    <row r="136" spans="1:7" x14ac:dyDescent="0.2">
      <c r="A136" t="s">
        <v>174</v>
      </c>
      <c r="B136">
        <v>15</v>
      </c>
      <c r="C136">
        <v>13</v>
      </c>
      <c r="D136">
        <v>16</v>
      </c>
      <c r="F136">
        <f t="shared" si="2"/>
        <v>9.6237970253718288</v>
      </c>
      <c r="G136" s="86"/>
    </row>
    <row r="137" spans="1:7" x14ac:dyDescent="0.2">
      <c r="A137" t="s">
        <v>204</v>
      </c>
      <c r="B137">
        <v>9</v>
      </c>
      <c r="C137">
        <v>11</v>
      </c>
      <c r="D137">
        <v>12</v>
      </c>
      <c r="F137">
        <f t="shared" si="2"/>
        <v>6.99912510936133</v>
      </c>
      <c r="G137" s="86"/>
    </row>
    <row r="138" spans="1:7" x14ac:dyDescent="0.2">
      <c r="A138" t="s">
        <v>202</v>
      </c>
      <c r="B138">
        <v>10</v>
      </c>
      <c r="C138">
        <v>12</v>
      </c>
      <c r="D138">
        <v>15</v>
      </c>
      <c r="F138">
        <f t="shared" si="2"/>
        <v>8.0927384076990379</v>
      </c>
      <c r="G138" s="86"/>
    </row>
    <row r="139" spans="1:7" x14ac:dyDescent="0.2">
      <c r="A139" t="s">
        <v>200</v>
      </c>
      <c r="B139">
        <v>12</v>
      </c>
      <c r="C139">
        <v>14</v>
      </c>
      <c r="D139">
        <v>12</v>
      </c>
      <c r="F139">
        <f t="shared" si="2"/>
        <v>8.3114610673665794</v>
      </c>
      <c r="G139" s="86"/>
    </row>
    <row r="140" spans="1:7" x14ac:dyDescent="0.2">
      <c r="A140" t="s">
        <v>198</v>
      </c>
      <c r="B140">
        <v>16</v>
      </c>
      <c r="C140">
        <v>13</v>
      </c>
      <c r="D140">
        <v>14</v>
      </c>
      <c r="F140">
        <f t="shared" si="2"/>
        <v>9.4050743657042872</v>
      </c>
      <c r="G140" s="86"/>
    </row>
    <row r="141" spans="1:7" x14ac:dyDescent="0.2">
      <c r="A141" t="s">
        <v>196</v>
      </c>
      <c r="B141">
        <v>13</v>
      </c>
      <c r="C141">
        <v>15</v>
      </c>
      <c r="D141">
        <v>6</v>
      </c>
      <c r="F141">
        <f t="shared" si="2"/>
        <v>7.4365704286964132</v>
      </c>
      <c r="G141" s="86"/>
    </row>
    <row r="142" spans="1:7" x14ac:dyDescent="0.2">
      <c r="A142" t="s">
        <v>194</v>
      </c>
      <c r="B142">
        <v>12</v>
      </c>
      <c r="C142">
        <v>13</v>
      </c>
      <c r="D142">
        <v>13</v>
      </c>
      <c r="F142">
        <f t="shared" si="2"/>
        <v>8.3114610673665794</v>
      </c>
      <c r="G142" s="86"/>
    </row>
    <row r="143" spans="1:7" x14ac:dyDescent="0.2">
      <c r="A143" t="s">
        <v>192</v>
      </c>
      <c r="B143">
        <v>12</v>
      </c>
      <c r="C143">
        <v>5</v>
      </c>
      <c r="D143">
        <v>11</v>
      </c>
      <c r="F143">
        <f t="shared" si="2"/>
        <v>6.1242344706911638</v>
      </c>
      <c r="G143" s="86"/>
    </row>
    <row r="144" spans="1:7" x14ac:dyDescent="0.2">
      <c r="A144" t="s">
        <v>190</v>
      </c>
      <c r="B144">
        <v>10</v>
      </c>
      <c r="C144">
        <v>5</v>
      </c>
      <c r="D144">
        <v>7</v>
      </c>
      <c r="F144">
        <f t="shared" si="2"/>
        <v>4.8118985126859144</v>
      </c>
      <c r="G144" s="86"/>
    </row>
    <row r="145" spans="1:7" x14ac:dyDescent="0.2">
      <c r="A145" t="s">
        <v>188</v>
      </c>
      <c r="B145">
        <v>10</v>
      </c>
      <c r="C145">
        <v>12</v>
      </c>
      <c r="D145">
        <v>14</v>
      </c>
      <c r="F145">
        <f t="shared" si="2"/>
        <v>7.8740157480314963</v>
      </c>
      <c r="G145" s="86"/>
    </row>
    <row r="146" spans="1:7" x14ac:dyDescent="0.2">
      <c r="A146" t="s">
        <v>186</v>
      </c>
      <c r="B146">
        <v>12</v>
      </c>
      <c r="C146">
        <v>11</v>
      </c>
      <c r="D146">
        <v>7</v>
      </c>
      <c r="F146">
        <f t="shared" si="2"/>
        <v>6.5616797900262469</v>
      </c>
      <c r="G146" s="86"/>
    </row>
    <row r="147" spans="1:7" x14ac:dyDescent="0.2">
      <c r="A147" t="s">
        <v>184</v>
      </c>
      <c r="B147">
        <v>10</v>
      </c>
      <c r="C147">
        <v>14</v>
      </c>
      <c r="D147">
        <v>14</v>
      </c>
      <c r="F147">
        <f t="shared" si="2"/>
        <v>8.3114610673665794</v>
      </c>
      <c r="G147" s="86"/>
    </row>
    <row r="148" spans="1:7" x14ac:dyDescent="0.2">
      <c r="A148" t="s">
        <v>182</v>
      </c>
      <c r="B148">
        <v>10</v>
      </c>
      <c r="C148">
        <v>16</v>
      </c>
      <c r="D148">
        <v>14</v>
      </c>
      <c r="F148">
        <f t="shared" si="2"/>
        <v>8.7489063867016625</v>
      </c>
      <c r="G148" s="86"/>
    </row>
    <row r="149" spans="1:7" x14ac:dyDescent="0.2">
      <c r="A149" t="s">
        <v>180</v>
      </c>
      <c r="B149">
        <v>12</v>
      </c>
      <c r="C149">
        <v>13</v>
      </c>
      <c r="D149">
        <v>11</v>
      </c>
      <c r="F149">
        <f t="shared" si="2"/>
        <v>7.8740157480314963</v>
      </c>
      <c r="G149" s="86"/>
    </row>
    <row r="150" spans="1:7" x14ac:dyDescent="0.2">
      <c r="A150" t="s">
        <v>178</v>
      </c>
      <c r="B150">
        <v>4</v>
      </c>
      <c r="C150">
        <v>11</v>
      </c>
      <c r="D150">
        <v>12</v>
      </c>
      <c r="F150">
        <f t="shared" si="2"/>
        <v>5.9055118110236222</v>
      </c>
      <c r="G150" s="86"/>
    </row>
    <row r="151" spans="1:7" x14ac:dyDescent="0.2">
      <c r="A151" t="s">
        <v>176</v>
      </c>
      <c r="B151">
        <v>11</v>
      </c>
      <c r="C151">
        <v>13</v>
      </c>
      <c r="D151">
        <v>9</v>
      </c>
      <c r="F151">
        <f t="shared" si="2"/>
        <v>7.2178477690288716</v>
      </c>
      <c r="G151" s="86"/>
    </row>
    <row r="152" spans="1:7" x14ac:dyDescent="0.2">
      <c r="A152" t="s">
        <v>147</v>
      </c>
      <c r="B152">
        <v>13</v>
      </c>
      <c r="C152">
        <v>12</v>
      </c>
      <c r="D152">
        <v>9</v>
      </c>
      <c r="F152">
        <f t="shared" si="2"/>
        <v>7.4365704286964132</v>
      </c>
      <c r="G152" s="86"/>
    </row>
    <row r="153" spans="1:7" x14ac:dyDescent="0.2">
      <c r="A153" t="s">
        <v>149</v>
      </c>
      <c r="B153">
        <v>12</v>
      </c>
      <c r="C153">
        <v>15</v>
      </c>
      <c r="D153">
        <v>13</v>
      </c>
      <c r="F153">
        <f t="shared" si="2"/>
        <v>8.7489063867016625</v>
      </c>
      <c r="G153" s="86"/>
    </row>
    <row r="154" spans="1:7" x14ac:dyDescent="0.2">
      <c r="A154" t="s">
        <v>151</v>
      </c>
      <c r="B154">
        <v>11</v>
      </c>
      <c r="C154">
        <v>14</v>
      </c>
      <c r="D154">
        <v>13</v>
      </c>
      <c r="F154">
        <f t="shared" si="2"/>
        <v>8.3114610673665794</v>
      </c>
      <c r="G154" s="86"/>
    </row>
    <row r="155" spans="1:7" x14ac:dyDescent="0.2">
      <c r="A155" t="s">
        <v>153</v>
      </c>
      <c r="B155">
        <v>16</v>
      </c>
      <c r="C155">
        <v>15</v>
      </c>
      <c r="D155">
        <v>14</v>
      </c>
      <c r="F155">
        <f t="shared" si="2"/>
        <v>9.8425196850393704</v>
      </c>
      <c r="G155" s="86"/>
    </row>
    <row r="156" spans="1:7" x14ac:dyDescent="0.2">
      <c r="A156" t="s">
        <v>155</v>
      </c>
      <c r="B156">
        <v>13</v>
      </c>
      <c r="C156">
        <v>18</v>
      </c>
      <c r="D156">
        <v>11</v>
      </c>
      <c r="F156">
        <f t="shared" si="2"/>
        <v>9.1863517060367457</v>
      </c>
      <c r="G156" s="86"/>
    </row>
    <row r="157" spans="1:7" x14ac:dyDescent="0.2">
      <c r="A157" t="s">
        <v>157</v>
      </c>
      <c r="B157">
        <v>14</v>
      </c>
      <c r="C157">
        <v>10</v>
      </c>
      <c r="D157">
        <v>12</v>
      </c>
      <c r="F157">
        <f t="shared" si="2"/>
        <v>7.8740157480314963</v>
      </c>
      <c r="G157" s="86"/>
    </row>
    <row r="158" spans="1:7" x14ac:dyDescent="0.2">
      <c r="A158" t="s">
        <v>159</v>
      </c>
      <c r="B158">
        <v>12</v>
      </c>
      <c r="C158">
        <v>10</v>
      </c>
      <c r="D158">
        <v>11</v>
      </c>
      <c r="F158">
        <f t="shared" si="2"/>
        <v>7.2178477690288716</v>
      </c>
      <c r="G158" s="86"/>
    </row>
    <row r="159" spans="1:7" x14ac:dyDescent="0.2">
      <c r="A159" t="s">
        <v>161</v>
      </c>
      <c r="B159">
        <v>12</v>
      </c>
      <c r="C159">
        <v>12</v>
      </c>
      <c r="D159">
        <v>14</v>
      </c>
      <c r="F159">
        <f t="shared" si="2"/>
        <v>8.3114610673665794</v>
      </c>
      <c r="G159" s="86"/>
    </row>
    <row r="160" spans="1:7" x14ac:dyDescent="0.2">
      <c r="A160" t="s">
        <v>163</v>
      </c>
      <c r="B160">
        <v>17</v>
      </c>
      <c r="C160">
        <v>12</v>
      </c>
      <c r="D160">
        <v>12</v>
      </c>
      <c r="F160">
        <f t="shared" si="2"/>
        <v>8.9676290463692041</v>
      </c>
      <c r="G160" s="86"/>
    </row>
    <row r="161" spans="1:7" x14ac:dyDescent="0.2">
      <c r="A161" t="s">
        <v>165</v>
      </c>
      <c r="B161">
        <v>14</v>
      </c>
      <c r="C161">
        <v>14</v>
      </c>
      <c r="D161">
        <v>13</v>
      </c>
      <c r="F161">
        <f t="shared" si="2"/>
        <v>8.9676290463692041</v>
      </c>
      <c r="G161" s="86"/>
    </row>
    <row r="162" spans="1:7" x14ac:dyDescent="0.2">
      <c r="A162" t="s">
        <v>167</v>
      </c>
      <c r="B162">
        <v>14</v>
      </c>
      <c r="C162">
        <v>13</v>
      </c>
      <c r="D162">
        <v>10</v>
      </c>
      <c r="F162">
        <f t="shared" si="2"/>
        <v>8.0927384076990379</v>
      </c>
      <c r="G162" s="86"/>
    </row>
    <row r="163" spans="1:7" x14ac:dyDescent="0.2">
      <c r="A163" t="s">
        <v>169</v>
      </c>
      <c r="B163">
        <v>14</v>
      </c>
      <c r="C163">
        <v>16</v>
      </c>
      <c r="D163">
        <v>11</v>
      </c>
      <c r="F163">
        <f t="shared" si="2"/>
        <v>8.9676290463692041</v>
      </c>
      <c r="G163" s="86"/>
    </row>
    <row r="164" spans="1:7" x14ac:dyDescent="0.2">
      <c r="A164" t="s">
        <v>171</v>
      </c>
      <c r="B164">
        <v>10</v>
      </c>
      <c r="C164">
        <v>13</v>
      </c>
      <c r="D164">
        <v>12</v>
      </c>
      <c r="F164">
        <f t="shared" si="2"/>
        <v>7.6552930883639547</v>
      </c>
      <c r="G164" s="86"/>
    </row>
    <row r="165" spans="1:7" x14ac:dyDescent="0.2">
      <c r="A165" t="s">
        <v>173</v>
      </c>
      <c r="B165">
        <v>12</v>
      </c>
      <c r="C165">
        <v>17</v>
      </c>
      <c r="D165">
        <v>16</v>
      </c>
      <c r="F165">
        <f t="shared" si="2"/>
        <v>9.8425196850393704</v>
      </c>
      <c r="G165" s="86"/>
    </row>
    <row r="166" spans="1:7" x14ac:dyDescent="0.2">
      <c r="A166" t="s">
        <v>175</v>
      </c>
      <c r="B166">
        <v>16</v>
      </c>
      <c r="C166">
        <v>14</v>
      </c>
      <c r="D166">
        <v>12</v>
      </c>
      <c r="F166">
        <f t="shared" si="2"/>
        <v>9.1863517060367457</v>
      </c>
      <c r="G166" s="86"/>
    </row>
    <row r="167" spans="1:7" x14ac:dyDescent="0.2">
      <c r="A167" t="s">
        <v>205</v>
      </c>
      <c r="B167">
        <v>12</v>
      </c>
      <c r="C167">
        <v>11</v>
      </c>
      <c r="D167">
        <v>13</v>
      </c>
      <c r="F167">
        <f t="shared" si="2"/>
        <v>7.8740157480314963</v>
      </c>
      <c r="G167" s="86"/>
    </row>
    <row r="168" spans="1:7" x14ac:dyDescent="0.2">
      <c r="A168" t="s">
        <v>203</v>
      </c>
      <c r="B168">
        <v>11</v>
      </c>
      <c r="C168">
        <v>11</v>
      </c>
      <c r="D168">
        <v>15</v>
      </c>
      <c r="F168">
        <f t="shared" si="2"/>
        <v>8.0927384076990379</v>
      </c>
      <c r="G168" s="86"/>
    </row>
    <row r="169" spans="1:7" x14ac:dyDescent="0.2">
      <c r="A169" t="s">
        <v>201</v>
      </c>
      <c r="B169">
        <v>14</v>
      </c>
      <c r="C169">
        <v>14</v>
      </c>
      <c r="D169">
        <v>11</v>
      </c>
      <c r="F169">
        <f t="shared" si="2"/>
        <v>8.530183727034121</v>
      </c>
      <c r="G169" s="86"/>
    </row>
    <row r="170" spans="1:7" x14ac:dyDescent="0.2">
      <c r="A170" t="s">
        <v>199</v>
      </c>
      <c r="B170">
        <v>13</v>
      </c>
      <c r="C170">
        <v>16</v>
      </c>
      <c r="D170">
        <v>15</v>
      </c>
      <c r="F170">
        <f t="shared" si="2"/>
        <v>9.6237970253718288</v>
      </c>
      <c r="G170" s="86"/>
    </row>
    <row r="171" spans="1:7" x14ac:dyDescent="0.2">
      <c r="A171" t="s">
        <v>197</v>
      </c>
      <c r="B171">
        <v>14</v>
      </c>
      <c r="C171">
        <v>14</v>
      </c>
      <c r="D171">
        <v>14</v>
      </c>
      <c r="F171">
        <f t="shared" si="2"/>
        <v>9.1863517060367457</v>
      </c>
      <c r="G171" s="86"/>
    </row>
    <row r="172" spans="1:7" x14ac:dyDescent="0.2">
      <c r="A172" t="s">
        <v>195</v>
      </c>
      <c r="B172">
        <v>12</v>
      </c>
      <c r="C172">
        <v>13</v>
      </c>
      <c r="D172">
        <v>14</v>
      </c>
      <c r="F172">
        <f t="shared" si="2"/>
        <v>8.530183727034121</v>
      </c>
      <c r="G172" s="86"/>
    </row>
    <row r="173" spans="1:7" x14ac:dyDescent="0.2">
      <c r="A173" t="s">
        <v>193</v>
      </c>
      <c r="B173">
        <v>11</v>
      </c>
      <c r="C173">
        <v>9</v>
      </c>
      <c r="D173">
        <v>10</v>
      </c>
      <c r="F173">
        <f t="shared" si="2"/>
        <v>6.5616797900262469</v>
      </c>
      <c r="G173" s="86"/>
    </row>
    <row r="174" spans="1:7" x14ac:dyDescent="0.2">
      <c r="A174" t="s">
        <v>191</v>
      </c>
      <c r="B174">
        <v>12</v>
      </c>
      <c r="C174">
        <v>13</v>
      </c>
      <c r="D174">
        <v>12</v>
      </c>
      <c r="F174">
        <f t="shared" si="2"/>
        <v>8.0927384076990379</v>
      </c>
      <c r="G174" s="86"/>
    </row>
    <row r="175" spans="1:7" x14ac:dyDescent="0.2">
      <c r="A175" t="s">
        <v>189</v>
      </c>
      <c r="B175">
        <v>14</v>
      </c>
      <c r="C175">
        <v>17</v>
      </c>
      <c r="D175">
        <v>11</v>
      </c>
      <c r="F175">
        <f t="shared" si="2"/>
        <v>9.1863517060367457</v>
      </c>
      <c r="G175" s="86"/>
    </row>
    <row r="176" spans="1:7" x14ac:dyDescent="0.2">
      <c r="A176" t="s">
        <v>187</v>
      </c>
      <c r="B176">
        <v>10</v>
      </c>
      <c r="C176">
        <v>14</v>
      </c>
      <c r="D176">
        <v>11</v>
      </c>
      <c r="F176">
        <f t="shared" si="2"/>
        <v>7.6552930883639547</v>
      </c>
      <c r="G176" s="86"/>
    </row>
    <row r="177" spans="1:7" x14ac:dyDescent="0.2">
      <c r="A177" t="s">
        <v>185</v>
      </c>
      <c r="B177">
        <v>11</v>
      </c>
      <c r="C177">
        <v>16</v>
      </c>
      <c r="D177">
        <v>12</v>
      </c>
      <c r="F177">
        <f t="shared" si="2"/>
        <v>8.530183727034121</v>
      </c>
      <c r="G177" s="86"/>
    </row>
    <row r="178" spans="1:7" x14ac:dyDescent="0.2">
      <c r="A178" t="s">
        <v>183</v>
      </c>
      <c r="B178">
        <v>8</v>
      </c>
      <c r="C178">
        <v>16</v>
      </c>
      <c r="D178">
        <v>13</v>
      </c>
      <c r="F178">
        <f t="shared" si="2"/>
        <v>8.0927384076990379</v>
      </c>
      <c r="G178" s="86"/>
    </row>
    <row r="179" spans="1:7" x14ac:dyDescent="0.2">
      <c r="A179" t="s">
        <v>181</v>
      </c>
      <c r="B179">
        <v>11</v>
      </c>
      <c r="C179">
        <v>16</v>
      </c>
      <c r="D179">
        <v>14</v>
      </c>
      <c r="F179">
        <f t="shared" si="2"/>
        <v>8.9676290463692041</v>
      </c>
      <c r="G179" s="86"/>
    </row>
    <row r="180" spans="1:7" x14ac:dyDescent="0.2">
      <c r="A180" t="s">
        <v>179</v>
      </c>
      <c r="B180">
        <v>14</v>
      </c>
      <c r="C180">
        <v>12</v>
      </c>
      <c r="D180">
        <v>14</v>
      </c>
      <c r="F180">
        <f t="shared" si="2"/>
        <v>8.7489063867016625</v>
      </c>
      <c r="G180" s="86"/>
    </row>
    <row r="181" spans="1:7" x14ac:dyDescent="0.2">
      <c r="A181" t="s">
        <v>177</v>
      </c>
      <c r="B181">
        <v>13</v>
      </c>
      <c r="C181">
        <v>17</v>
      </c>
      <c r="D181">
        <v>13</v>
      </c>
      <c r="F181">
        <f t="shared" si="2"/>
        <v>9.4050743657042872</v>
      </c>
      <c r="G181" s="86"/>
    </row>
    <row r="182" spans="1:7" x14ac:dyDescent="0.2">
      <c r="G182" s="86"/>
    </row>
    <row r="183" spans="1:7" x14ac:dyDescent="0.2">
      <c r="G183" s="8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1F34C-1DFB-49AE-9715-B4F559060F60}">
  <dimension ref="A1:R265"/>
  <sheetViews>
    <sheetView topLeftCell="A215" zoomScaleNormal="100" workbookViewId="0">
      <selection activeCell="D225" sqref="D225"/>
    </sheetView>
  </sheetViews>
  <sheetFormatPr defaultRowHeight="15" x14ac:dyDescent="0.25"/>
  <cols>
    <col min="1" max="1" width="17" style="133" customWidth="1"/>
    <col min="2" max="2" width="7" style="132" customWidth="1"/>
    <col min="3" max="3" width="8.140625" style="131" hidden="1" customWidth="1"/>
    <col min="4" max="5" width="9.140625" style="130" customWidth="1"/>
    <col min="6" max="6" width="9" style="130" bestFit="1" customWidth="1"/>
    <col min="7" max="7" width="9.140625" style="130"/>
    <col min="8" max="8" width="11.140625" style="130" customWidth="1"/>
    <col min="9" max="9" width="9.140625" style="130"/>
    <col min="10" max="10" width="9" style="130" bestFit="1" customWidth="1"/>
    <col min="11" max="11" width="9" style="130" customWidth="1"/>
    <col min="12" max="12" width="9.140625" style="130"/>
    <col min="13" max="13" width="9" style="130" bestFit="1" customWidth="1"/>
    <col min="14" max="14" width="9" style="130" customWidth="1"/>
    <col min="15" max="17" width="9.140625" style="130"/>
    <col min="18" max="18" width="9" style="130" bestFit="1" customWidth="1"/>
    <col min="19" max="16384" width="9.140625" style="130"/>
  </cols>
  <sheetData>
    <row r="1" spans="1:18" ht="22.15" customHeight="1" x14ac:dyDescent="0.3">
      <c r="A1" s="196">
        <v>2023</v>
      </c>
      <c r="B1" s="195"/>
      <c r="C1" s="194" t="s">
        <v>6</v>
      </c>
      <c r="D1" s="193" t="s">
        <v>465</v>
      </c>
    </row>
    <row r="2" spans="1:18" x14ac:dyDescent="0.25">
      <c r="B2" s="192"/>
      <c r="C2" s="130"/>
    </row>
    <row r="3" spans="1:18" x14ac:dyDescent="0.25">
      <c r="B3" s="189"/>
      <c r="C3" s="188"/>
    </row>
    <row r="4" spans="1:18" x14ac:dyDescent="0.25">
      <c r="A4" s="190" t="s">
        <v>464</v>
      </c>
      <c r="B4" s="189"/>
      <c r="C4" s="188"/>
    </row>
    <row r="5" spans="1:18" x14ac:dyDescent="0.25">
      <c r="A5" s="190"/>
      <c r="B5" s="189"/>
      <c r="C5" s="188"/>
    </row>
    <row r="6" spans="1:18" x14ac:dyDescent="0.25">
      <c r="A6" s="190" t="s">
        <v>463</v>
      </c>
      <c r="B6" s="189"/>
      <c r="C6" s="188"/>
    </row>
    <row r="7" spans="1:18" ht="15.75" x14ac:dyDescent="0.25">
      <c r="A7" s="190"/>
      <c r="B7" s="189"/>
      <c r="C7" s="188"/>
      <c r="F7" s="191" t="s">
        <v>462</v>
      </c>
    </row>
    <row r="8" spans="1:18" x14ac:dyDescent="0.25">
      <c r="A8" s="190"/>
      <c r="B8" s="189"/>
      <c r="C8" s="188"/>
      <c r="F8" s="188"/>
      <c r="G8" s="130" t="s">
        <v>461</v>
      </c>
    </row>
    <row r="9" spans="1:18" ht="15" customHeight="1" x14ac:dyDescent="0.25">
      <c r="G9" s="130" t="s">
        <v>460</v>
      </c>
    </row>
    <row r="10" spans="1:18" ht="19.899999999999999" customHeight="1" x14ac:dyDescent="0.25">
      <c r="C10" s="130" t="s">
        <v>459</v>
      </c>
    </row>
    <row r="11" spans="1:18" ht="28.15" customHeight="1" x14ac:dyDescent="0.25">
      <c r="B11" s="187" t="s">
        <v>18</v>
      </c>
      <c r="C11" s="186" t="s">
        <v>18</v>
      </c>
      <c r="D11" s="227">
        <v>45048</v>
      </c>
      <c r="E11" s="228"/>
      <c r="F11" s="227">
        <v>45050</v>
      </c>
      <c r="G11" s="228"/>
      <c r="H11" s="227">
        <v>45054</v>
      </c>
      <c r="I11" s="228"/>
      <c r="J11" s="227">
        <v>45057</v>
      </c>
      <c r="K11" s="236"/>
      <c r="L11" s="228"/>
      <c r="M11" s="227">
        <v>45061</v>
      </c>
      <c r="N11" s="236"/>
      <c r="O11" s="228"/>
      <c r="P11" s="227">
        <v>45064</v>
      </c>
      <c r="Q11" s="236"/>
      <c r="R11" s="228"/>
    </row>
    <row r="12" spans="1:18" ht="28.15" customHeight="1" x14ac:dyDescent="0.25">
      <c r="B12" s="184" t="s">
        <v>20</v>
      </c>
      <c r="C12" s="183" t="s">
        <v>20</v>
      </c>
      <c r="D12" s="229">
        <v>122</v>
      </c>
      <c r="E12" s="230"/>
      <c r="F12" s="229">
        <v>124</v>
      </c>
      <c r="G12" s="230"/>
      <c r="H12" s="229">
        <v>128</v>
      </c>
      <c r="I12" s="230"/>
      <c r="J12" s="229">
        <v>131</v>
      </c>
      <c r="K12" s="237"/>
      <c r="L12" s="230"/>
      <c r="M12" s="229">
        <v>135</v>
      </c>
      <c r="N12" s="237"/>
      <c r="O12" s="230"/>
      <c r="P12" s="229">
        <v>138</v>
      </c>
      <c r="Q12" s="237"/>
      <c r="R12" s="230"/>
    </row>
    <row r="13" spans="1:18" s="178" customFormat="1" ht="28.15" customHeight="1" x14ac:dyDescent="0.2">
      <c r="B13" s="181" t="s">
        <v>19</v>
      </c>
      <c r="C13" s="180" t="s">
        <v>9</v>
      </c>
      <c r="D13" s="233" t="s">
        <v>458</v>
      </c>
      <c r="E13" s="230"/>
      <c r="F13" s="233" t="s">
        <v>457</v>
      </c>
      <c r="G13" s="230"/>
      <c r="H13" s="233" t="s">
        <v>456</v>
      </c>
      <c r="I13" s="230"/>
      <c r="J13" s="233" t="s">
        <v>455</v>
      </c>
      <c r="K13" s="235"/>
      <c r="L13" s="230"/>
      <c r="M13" s="233" t="s">
        <v>454</v>
      </c>
      <c r="N13" s="235"/>
      <c r="O13" s="230"/>
      <c r="P13" s="233" t="s">
        <v>453</v>
      </c>
      <c r="Q13" s="235"/>
      <c r="R13" s="230"/>
    </row>
    <row r="14" spans="1:18" s="131" customFormat="1" ht="8.4499999999999993" customHeight="1" x14ac:dyDescent="0.25">
      <c r="A14" s="174"/>
      <c r="B14" s="173"/>
      <c r="C14" s="172"/>
      <c r="D14" s="231"/>
      <c r="E14" s="232"/>
      <c r="F14" s="234"/>
      <c r="G14" s="232"/>
      <c r="H14" s="234"/>
      <c r="I14" s="232"/>
      <c r="J14" s="234"/>
      <c r="K14" s="234"/>
      <c r="L14" s="232"/>
      <c r="M14" s="234"/>
      <c r="N14" s="234"/>
      <c r="O14" s="232"/>
      <c r="P14" s="176"/>
      <c r="Q14" s="176"/>
      <c r="R14" s="175"/>
    </row>
    <row r="15" spans="1:18" s="131" customFormat="1" ht="37.15" customHeight="1" thickBot="1" x14ac:dyDescent="0.3">
      <c r="A15" s="174"/>
      <c r="B15" s="173" t="s">
        <v>7</v>
      </c>
      <c r="C15" s="172"/>
      <c r="D15" s="171" t="s">
        <v>452</v>
      </c>
      <c r="E15" s="169"/>
      <c r="F15" s="170" t="s">
        <v>452</v>
      </c>
      <c r="G15" s="169" t="s">
        <v>451</v>
      </c>
      <c r="H15" s="170" t="s">
        <v>452</v>
      </c>
      <c r="I15" s="169" t="s">
        <v>451</v>
      </c>
      <c r="J15" s="170" t="s">
        <v>452</v>
      </c>
      <c r="K15" s="169" t="s">
        <v>451</v>
      </c>
      <c r="L15" s="169" t="s">
        <v>450</v>
      </c>
      <c r="M15" s="171" t="s">
        <v>452</v>
      </c>
      <c r="N15" s="170" t="s">
        <v>451</v>
      </c>
      <c r="O15" s="169" t="s">
        <v>450</v>
      </c>
      <c r="P15" s="170" t="s">
        <v>452</v>
      </c>
      <c r="Q15" s="169" t="s">
        <v>451</v>
      </c>
      <c r="R15" s="169" t="s">
        <v>450</v>
      </c>
    </row>
    <row r="16" spans="1:18" ht="24.95" customHeight="1" thickBot="1" x14ac:dyDescent="0.3">
      <c r="A16" s="166"/>
      <c r="B16" s="164" t="s">
        <v>27</v>
      </c>
      <c r="C16" s="154" t="s">
        <v>448</v>
      </c>
      <c r="D16" s="157">
        <v>0</v>
      </c>
      <c r="E16" s="159"/>
      <c r="F16" s="157">
        <v>3</v>
      </c>
      <c r="G16" s="159">
        <v>1</v>
      </c>
      <c r="H16" s="157">
        <v>7</v>
      </c>
      <c r="I16" s="159"/>
      <c r="J16" s="157">
        <v>9</v>
      </c>
      <c r="K16" s="158"/>
      <c r="L16" s="155"/>
      <c r="M16" s="157">
        <v>9</v>
      </c>
      <c r="N16" s="156"/>
      <c r="O16" s="155">
        <v>7</v>
      </c>
      <c r="P16" s="157">
        <v>9</v>
      </c>
      <c r="Q16" s="156"/>
      <c r="R16" s="155">
        <v>9</v>
      </c>
    </row>
    <row r="17" spans="1:18" ht="24.95" customHeight="1" thickBot="1" x14ac:dyDescent="0.3">
      <c r="A17" s="166"/>
      <c r="B17" s="162" t="s">
        <v>29</v>
      </c>
      <c r="C17" s="154" t="s">
        <v>448</v>
      </c>
      <c r="D17" s="147">
        <v>1</v>
      </c>
      <c r="E17" s="149"/>
      <c r="F17" s="147">
        <v>2</v>
      </c>
      <c r="G17" s="149">
        <v>3</v>
      </c>
      <c r="H17" s="147">
        <v>6</v>
      </c>
      <c r="I17" s="149">
        <v>1</v>
      </c>
      <c r="J17" s="147">
        <v>8</v>
      </c>
      <c r="K17" s="148"/>
      <c r="L17" s="145"/>
      <c r="M17" s="147">
        <v>8</v>
      </c>
      <c r="N17" s="146"/>
      <c r="O17" s="145">
        <v>5</v>
      </c>
      <c r="P17" s="147">
        <v>8</v>
      </c>
      <c r="Q17" s="146"/>
      <c r="R17" s="145">
        <v>8</v>
      </c>
    </row>
    <row r="18" spans="1:18" ht="24.95" customHeight="1" x14ac:dyDescent="0.25">
      <c r="A18" s="168"/>
      <c r="B18" s="163" t="s">
        <v>31</v>
      </c>
      <c r="C18" s="154" t="s">
        <v>448</v>
      </c>
      <c r="D18" s="147">
        <v>1</v>
      </c>
      <c r="E18" s="149">
        <v>1</v>
      </c>
      <c r="F18" s="147">
        <v>5</v>
      </c>
      <c r="G18" s="149"/>
      <c r="H18" s="147">
        <v>7</v>
      </c>
      <c r="I18" s="149"/>
      <c r="J18" s="147">
        <v>7</v>
      </c>
      <c r="K18" s="148"/>
      <c r="L18" s="145"/>
      <c r="M18" s="147">
        <v>7</v>
      </c>
      <c r="N18" s="146"/>
      <c r="O18" s="145">
        <v>3</v>
      </c>
      <c r="P18" s="147">
        <v>7</v>
      </c>
      <c r="Q18" s="146"/>
      <c r="R18" s="145">
        <v>6</v>
      </c>
    </row>
    <row r="19" spans="1:18" ht="24.95" customHeight="1" x14ac:dyDescent="0.25">
      <c r="A19" s="167"/>
      <c r="B19" s="162" t="s">
        <v>33</v>
      </c>
      <c r="C19" s="150" t="s">
        <v>448</v>
      </c>
      <c r="D19" s="147">
        <v>1</v>
      </c>
      <c r="E19" s="149"/>
      <c r="F19" s="147">
        <v>6</v>
      </c>
      <c r="G19" s="149"/>
      <c r="H19" s="147">
        <v>8</v>
      </c>
      <c r="I19" s="149"/>
      <c r="J19" s="147">
        <v>8</v>
      </c>
      <c r="K19" s="148"/>
      <c r="L19" s="145"/>
      <c r="M19" s="147">
        <v>8</v>
      </c>
      <c r="N19" s="146"/>
      <c r="O19" s="145">
        <v>4</v>
      </c>
      <c r="P19" s="147">
        <v>8</v>
      </c>
      <c r="Q19" s="146"/>
      <c r="R19" s="145">
        <v>8</v>
      </c>
    </row>
    <row r="20" spans="1:18" ht="24.95" customHeight="1" x14ac:dyDescent="0.25">
      <c r="A20" s="167"/>
      <c r="B20" s="163" t="s">
        <v>35</v>
      </c>
      <c r="C20" s="153" t="s">
        <v>449</v>
      </c>
      <c r="D20" s="147">
        <v>1</v>
      </c>
      <c r="E20" s="149">
        <v>3</v>
      </c>
      <c r="F20" s="147">
        <v>9</v>
      </c>
      <c r="G20" s="149"/>
      <c r="H20" s="147">
        <v>9</v>
      </c>
      <c r="I20" s="149"/>
      <c r="J20" s="147">
        <v>10</v>
      </c>
      <c r="K20" s="148"/>
      <c r="L20" s="145"/>
      <c r="M20" s="147">
        <v>10</v>
      </c>
      <c r="N20" s="146"/>
      <c r="O20" s="145">
        <v>6</v>
      </c>
      <c r="P20" s="147">
        <v>10</v>
      </c>
      <c r="Q20" s="146"/>
      <c r="R20" s="145">
        <v>10</v>
      </c>
    </row>
    <row r="21" spans="1:18" ht="24.95" customHeight="1" x14ac:dyDescent="0.25">
      <c r="A21" s="167"/>
      <c r="B21" s="162" t="s">
        <v>37</v>
      </c>
      <c r="C21" s="153" t="s">
        <v>449</v>
      </c>
      <c r="D21" s="147">
        <v>0</v>
      </c>
      <c r="E21" s="149"/>
      <c r="F21" s="147">
        <v>3</v>
      </c>
      <c r="G21" s="149">
        <v>2</v>
      </c>
      <c r="H21" s="147">
        <v>6</v>
      </c>
      <c r="I21" s="149"/>
      <c r="J21" s="147">
        <v>6</v>
      </c>
      <c r="K21" s="148"/>
      <c r="L21" s="145"/>
      <c r="M21" s="147">
        <v>6</v>
      </c>
      <c r="N21" s="146"/>
      <c r="O21" s="145">
        <v>2</v>
      </c>
      <c r="P21" s="147">
        <v>6</v>
      </c>
      <c r="Q21" s="146"/>
      <c r="R21" s="145">
        <v>6</v>
      </c>
    </row>
    <row r="22" spans="1:18" ht="24.95" customHeight="1" x14ac:dyDescent="0.25">
      <c r="A22" s="130"/>
      <c r="B22" s="163" t="s">
        <v>39</v>
      </c>
      <c r="C22" s="153" t="s">
        <v>449</v>
      </c>
      <c r="D22" s="147">
        <v>0</v>
      </c>
      <c r="E22" s="149"/>
      <c r="F22" s="147">
        <v>2</v>
      </c>
      <c r="G22" s="149">
        <v>2</v>
      </c>
      <c r="H22" s="147">
        <v>6</v>
      </c>
      <c r="I22" s="149">
        <v>1</v>
      </c>
      <c r="J22" s="147">
        <v>8</v>
      </c>
      <c r="K22" s="148"/>
      <c r="L22" s="145"/>
      <c r="M22" s="147">
        <v>8</v>
      </c>
      <c r="N22" s="146"/>
      <c r="O22" s="145">
        <v>6</v>
      </c>
      <c r="P22" s="147">
        <v>8</v>
      </c>
      <c r="Q22" s="146"/>
      <c r="R22" s="145">
        <v>8</v>
      </c>
    </row>
    <row r="23" spans="1:18" ht="24.95" customHeight="1" x14ac:dyDescent="0.25">
      <c r="A23" s="167"/>
      <c r="B23" s="162" t="s">
        <v>41</v>
      </c>
      <c r="C23" s="153" t="s">
        <v>449</v>
      </c>
      <c r="D23" s="147">
        <v>0</v>
      </c>
      <c r="E23" s="149"/>
      <c r="F23" s="147">
        <v>6</v>
      </c>
      <c r="G23" s="149">
        <v>2</v>
      </c>
      <c r="H23" s="147">
        <v>9</v>
      </c>
      <c r="I23" s="149"/>
      <c r="J23" s="147">
        <v>9</v>
      </c>
      <c r="K23" s="148"/>
      <c r="L23" s="145"/>
      <c r="M23" s="147">
        <v>9</v>
      </c>
      <c r="N23" s="146"/>
      <c r="O23" s="145">
        <v>6</v>
      </c>
      <c r="P23" s="147">
        <v>9</v>
      </c>
      <c r="Q23" s="146"/>
      <c r="R23" s="145">
        <v>9</v>
      </c>
    </row>
    <row r="24" spans="1:18" ht="24.95" customHeight="1" x14ac:dyDescent="0.25">
      <c r="A24" s="167"/>
      <c r="B24" s="163" t="s">
        <v>43</v>
      </c>
      <c r="C24" s="153" t="s">
        <v>448</v>
      </c>
      <c r="D24" s="147">
        <v>0</v>
      </c>
      <c r="E24" s="149"/>
      <c r="F24" s="147">
        <v>4</v>
      </c>
      <c r="G24" s="149"/>
      <c r="H24" s="147">
        <v>6</v>
      </c>
      <c r="I24" s="149"/>
      <c r="J24" s="147">
        <v>6</v>
      </c>
      <c r="K24" s="148"/>
      <c r="L24" s="145"/>
      <c r="M24" s="147">
        <v>6</v>
      </c>
      <c r="N24" s="146"/>
      <c r="O24" s="145">
        <v>2</v>
      </c>
      <c r="P24" s="147">
        <v>6</v>
      </c>
      <c r="Q24" s="146"/>
      <c r="R24" s="145">
        <v>6</v>
      </c>
    </row>
    <row r="25" spans="1:18" ht="24.95" customHeight="1" x14ac:dyDescent="0.25">
      <c r="A25" s="167"/>
      <c r="B25" s="162" t="s">
        <v>45</v>
      </c>
      <c r="C25" s="153" t="s">
        <v>448</v>
      </c>
      <c r="D25" s="147">
        <v>0</v>
      </c>
      <c r="E25" s="149">
        <v>1</v>
      </c>
      <c r="F25" s="147">
        <v>3</v>
      </c>
      <c r="G25" s="149">
        <v>2</v>
      </c>
      <c r="H25" s="147">
        <v>5</v>
      </c>
      <c r="I25" s="149">
        <v>1</v>
      </c>
      <c r="J25" s="147">
        <v>6</v>
      </c>
      <c r="K25" s="148"/>
      <c r="L25" s="145">
        <v>1</v>
      </c>
      <c r="M25" s="147">
        <v>6</v>
      </c>
      <c r="N25" s="146"/>
      <c r="O25" s="145">
        <v>2</v>
      </c>
      <c r="P25" s="147">
        <v>6</v>
      </c>
      <c r="Q25" s="146"/>
      <c r="R25" s="145">
        <v>5</v>
      </c>
    </row>
    <row r="26" spans="1:18" ht="24.95" customHeight="1" x14ac:dyDescent="0.25">
      <c r="A26" s="167"/>
      <c r="B26" s="163" t="s">
        <v>47</v>
      </c>
      <c r="C26" s="153" t="s">
        <v>448</v>
      </c>
      <c r="D26" s="147">
        <v>0</v>
      </c>
      <c r="E26" s="149">
        <v>1</v>
      </c>
      <c r="F26" s="147">
        <v>2</v>
      </c>
      <c r="G26" s="149">
        <v>1</v>
      </c>
      <c r="H26" s="147">
        <v>7</v>
      </c>
      <c r="I26" s="149">
        <v>1</v>
      </c>
      <c r="J26" s="147">
        <v>7</v>
      </c>
      <c r="K26" s="148"/>
      <c r="L26" s="145"/>
      <c r="M26" s="147">
        <v>7</v>
      </c>
      <c r="N26" s="146"/>
      <c r="O26" s="145">
        <v>4</v>
      </c>
      <c r="P26" s="147">
        <v>7</v>
      </c>
      <c r="Q26" s="146"/>
      <c r="R26" s="145">
        <v>7</v>
      </c>
    </row>
    <row r="27" spans="1:18" ht="24.95" customHeight="1" x14ac:dyDescent="0.25">
      <c r="A27" s="167"/>
      <c r="B27" s="162" t="s">
        <v>49</v>
      </c>
      <c r="C27" s="153" t="s">
        <v>448</v>
      </c>
      <c r="D27" s="147">
        <v>0</v>
      </c>
      <c r="E27" s="149">
        <v>1</v>
      </c>
      <c r="F27" s="147">
        <v>3</v>
      </c>
      <c r="G27" s="149">
        <v>1</v>
      </c>
      <c r="H27" s="147">
        <v>6</v>
      </c>
      <c r="I27" s="149"/>
      <c r="J27" s="147">
        <v>6</v>
      </c>
      <c r="K27" s="148">
        <v>1</v>
      </c>
      <c r="L27" s="145"/>
      <c r="M27" s="147">
        <v>7</v>
      </c>
      <c r="N27" s="146"/>
      <c r="O27" s="145">
        <v>3</v>
      </c>
      <c r="P27" s="147">
        <v>7</v>
      </c>
      <c r="Q27" s="146"/>
      <c r="R27" s="145">
        <v>7</v>
      </c>
    </row>
    <row r="28" spans="1:18" ht="24.95" customHeight="1" x14ac:dyDescent="0.25">
      <c r="A28" s="167"/>
      <c r="B28" s="163" t="s">
        <v>51</v>
      </c>
      <c r="C28" s="150" t="s">
        <v>449</v>
      </c>
      <c r="D28" s="147">
        <v>0</v>
      </c>
      <c r="E28" s="149"/>
      <c r="F28" s="147">
        <v>3</v>
      </c>
      <c r="G28" s="149"/>
      <c r="H28" s="147">
        <v>5</v>
      </c>
      <c r="I28" s="149">
        <v>2</v>
      </c>
      <c r="J28" s="147">
        <v>8</v>
      </c>
      <c r="K28" s="148">
        <v>1</v>
      </c>
      <c r="L28" s="145">
        <v>1</v>
      </c>
      <c r="M28" s="147">
        <v>9</v>
      </c>
      <c r="N28" s="146"/>
      <c r="O28" s="145">
        <v>5</v>
      </c>
      <c r="P28" s="147">
        <v>9</v>
      </c>
      <c r="Q28" s="146"/>
      <c r="R28" s="145">
        <v>9</v>
      </c>
    </row>
    <row r="29" spans="1:18" ht="24.95" customHeight="1" x14ac:dyDescent="0.25">
      <c r="A29" s="167"/>
      <c r="B29" s="162" t="s">
        <v>53</v>
      </c>
      <c r="C29" s="150" t="s">
        <v>449</v>
      </c>
      <c r="D29" s="147">
        <v>0</v>
      </c>
      <c r="E29" s="149">
        <v>1</v>
      </c>
      <c r="F29" s="147">
        <v>3</v>
      </c>
      <c r="G29" s="149">
        <v>2</v>
      </c>
      <c r="H29" s="147">
        <v>7</v>
      </c>
      <c r="I29" s="149">
        <v>1</v>
      </c>
      <c r="J29" s="147">
        <v>8</v>
      </c>
      <c r="K29" s="148"/>
      <c r="L29" s="145"/>
      <c r="M29" s="147">
        <v>8</v>
      </c>
      <c r="N29" s="146"/>
      <c r="O29" s="145">
        <v>5</v>
      </c>
      <c r="P29" s="147">
        <v>8</v>
      </c>
      <c r="Q29" s="146"/>
      <c r="R29" s="145">
        <v>8</v>
      </c>
    </row>
    <row r="30" spans="1:18" ht="24.95" customHeight="1" thickBot="1" x14ac:dyDescent="0.3">
      <c r="A30" s="130"/>
      <c r="B30" s="161" t="s">
        <v>55</v>
      </c>
      <c r="C30" s="143" t="s">
        <v>449</v>
      </c>
      <c r="D30" s="140">
        <v>1</v>
      </c>
      <c r="E30" s="142">
        <v>1</v>
      </c>
      <c r="F30" s="140">
        <v>4</v>
      </c>
      <c r="G30" s="142"/>
      <c r="H30" s="140">
        <v>5</v>
      </c>
      <c r="I30" s="142">
        <v>1</v>
      </c>
      <c r="J30" s="140">
        <v>7</v>
      </c>
      <c r="K30" s="141">
        <v>1</v>
      </c>
      <c r="L30" s="138"/>
      <c r="M30" s="140">
        <v>8</v>
      </c>
      <c r="N30" s="139"/>
      <c r="O30" s="138">
        <v>4</v>
      </c>
      <c r="P30" s="140">
        <v>8</v>
      </c>
      <c r="Q30" s="139"/>
      <c r="R30" s="138">
        <v>8</v>
      </c>
    </row>
    <row r="31" spans="1:18" ht="24.95" customHeight="1" thickBot="1" x14ac:dyDescent="0.3">
      <c r="A31" s="166"/>
      <c r="B31" s="160" t="s">
        <v>56</v>
      </c>
      <c r="C31" s="154" t="s">
        <v>449</v>
      </c>
      <c r="D31" s="157">
        <v>3</v>
      </c>
      <c r="E31" s="159">
        <v>1</v>
      </c>
      <c r="F31" s="157">
        <v>5</v>
      </c>
      <c r="G31" s="159">
        <v>1</v>
      </c>
      <c r="H31" s="157">
        <v>5</v>
      </c>
      <c r="I31" s="159">
        <v>1</v>
      </c>
      <c r="J31" s="157">
        <v>6</v>
      </c>
      <c r="K31" s="158"/>
      <c r="L31" s="155">
        <v>2</v>
      </c>
      <c r="M31" s="157">
        <v>6</v>
      </c>
      <c r="N31" s="156"/>
      <c r="O31" s="155">
        <v>5</v>
      </c>
      <c r="P31" s="157">
        <v>6</v>
      </c>
      <c r="Q31" s="156"/>
      <c r="R31" s="155">
        <v>6</v>
      </c>
    </row>
    <row r="32" spans="1:18" ht="24.95" customHeight="1" thickBot="1" x14ac:dyDescent="0.3">
      <c r="A32" s="166"/>
      <c r="B32" s="151" t="s">
        <v>58</v>
      </c>
      <c r="C32" s="154" t="s">
        <v>449</v>
      </c>
      <c r="D32" s="147">
        <v>0</v>
      </c>
      <c r="E32" s="149">
        <v>2</v>
      </c>
      <c r="F32" s="147">
        <v>6</v>
      </c>
      <c r="G32" s="149">
        <v>1</v>
      </c>
      <c r="H32" s="147">
        <v>8</v>
      </c>
      <c r="I32" s="149">
        <v>2</v>
      </c>
      <c r="J32" s="147">
        <v>12</v>
      </c>
      <c r="K32" s="148"/>
      <c r="L32" s="145">
        <v>1</v>
      </c>
      <c r="M32" s="147">
        <v>12</v>
      </c>
      <c r="N32" s="146"/>
      <c r="O32" s="145">
        <v>9</v>
      </c>
      <c r="P32" s="147">
        <v>12</v>
      </c>
      <c r="Q32" s="146"/>
      <c r="R32" s="145">
        <v>10</v>
      </c>
    </row>
    <row r="33" spans="1:18" ht="24.95" customHeight="1" x14ac:dyDescent="0.25">
      <c r="A33" s="166"/>
      <c r="B33" s="152" t="s">
        <v>60</v>
      </c>
      <c r="C33" s="154" t="s">
        <v>449</v>
      </c>
      <c r="D33" s="147">
        <v>1</v>
      </c>
      <c r="E33" s="149">
        <v>0</v>
      </c>
      <c r="F33" s="147">
        <v>3</v>
      </c>
      <c r="G33" s="149">
        <v>1</v>
      </c>
      <c r="H33" s="147">
        <v>3</v>
      </c>
      <c r="I33" s="149"/>
      <c r="J33" s="147">
        <v>3</v>
      </c>
      <c r="K33" s="148"/>
      <c r="L33" s="145">
        <v>1</v>
      </c>
      <c r="M33" s="147">
        <v>3</v>
      </c>
      <c r="N33" s="146"/>
      <c r="O33" s="145">
        <v>2</v>
      </c>
      <c r="P33" s="147">
        <v>3</v>
      </c>
      <c r="Q33" s="146"/>
      <c r="R33" s="145">
        <v>3</v>
      </c>
    </row>
    <row r="34" spans="1:18" ht="24.95" customHeight="1" x14ac:dyDescent="0.25">
      <c r="A34" s="168"/>
      <c r="B34" s="151" t="s">
        <v>62</v>
      </c>
      <c r="C34" s="150" t="s">
        <v>449</v>
      </c>
      <c r="D34" s="147">
        <v>3</v>
      </c>
      <c r="E34" s="149">
        <v>1</v>
      </c>
      <c r="F34" s="147">
        <v>7</v>
      </c>
      <c r="G34" s="149">
        <v>1</v>
      </c>
      <c r="H34" s="147">
        <v>10</v>
      </c>
      <c r="I34" s="149"/>
      <c r="J34" s="147">
        <v>10</v>
      </c>
      <c r="K34" s="148">
        <v>1</v>
      </c>
      <c r="L34" s="145">
        <v>1</v>
      </c>
      <c r="M34" s="147">
        <v>11</v>
      </c>
      <c r="N34" s="146"/>
      <c r="O34" s="145">
        <v>5</v>
      </c>
      <c r="P34" s="147">
        <v>11</v>
      </c>
      <c r="Q34" s="146"/>
      <c r="R34" s="145">
        <v>10</v>
      </c>
    </row>
    <row r="35" spans="1:18" ht="24.95" customHeight="1" x14ac:dyDescent="0.25">
      <c r="A35" s="167"/>
      <c r="B35" s="152" t="s">
        <v>64</v>
      </c>
      <c r="C35" s="153" t="s">
        <v>449</v>
      </c>
      <c r="D35" s="147">
        <v>3</v>
      </c>
      <c r="E35" s="149">
        <v>0</v>
      </c>
      <c r="F35" s="147">
        <v>4</v>
      </c>
      <c r="G35" s="149"/>
      <c r="H35" s="147">
        <v>6</v>
      </c>
      <c r="I35" s="149"/>
      <c r="J35" s="147">
        <v>6</v>
      </c>
      <c r="K35" s="148"/>
      <c r="L35" s="145"/>
      <c r="M35" s="147">
        <v>6</v>
      </c>
      <c r="N35" s="146"/>
      <c r="O35" s="145">
        <v>2</v>
      </c>
      <c r="P35" s="147">
        <v>6</v>
      </c>
      <c r="Q35" s="146"/>
      <c r="R35" s="145">
        <v>6</v>
      </c>
    </row>
    <row r="36" spans="1:18" ht="24.95" customHeight="1" x14ac:dyDescent="0.25">
      <c r="A36" s="167"/>
      <c r="B36" s="151" t="s">
        <v>66</v>
      </c>
      <c r="C36" s="153" t="s">
        <v>448</v>
      </c>
      <c r="D36" s="147">
        <v>2</v>
      </c>
      <c r="E36" s="149">
        <v>0</v>
      </c>
      <c r="F36" s="147">
        <v>3</v>
      </c>
      <c r="G36" s="149"/>
      <c r="H36" s="147">
        <v>3</v>
      </c>
      <c r="I36" s="149"/>
      <c r="J36" s="147">
        <v>4</v>
      </c>
      <c r="K36" s="148"/>
      <c r="L36" s="145">
        <v>1</v>
      </c>
      <c r="M36" s="147">
        <v>4</v>
      </c>
      <c r="N36" s="146"/>
      <c r="O36" s="145">
        <v>3</v>
      </c>
      <c r="P36" s="147">
        <v>4</v>
      </c>
      <c r="Q36" s="146"/>
      <c r="R36" s="145">
        <v>4</v>
      </c>
    </row>
    <row r="37" spans="1:18" ht="24.95" customHeight="1" x14ac:dyDescent="0.25">
      <c r="A37" s="167"/>
      <c r="B37" s="152" t="s">
        <v>68</v>
      </c>
      <c r="C37" s="153" t="s">
        <v>448</v>
      </c>
      <c r="D37" s="147">
        <v>1</v>
      </c>
      <c r="E37" s="149">
        <v>1</v>
      </c>
      <c r="F37" s="147">
        <v>5</v>
      </c>
      <c r="G37" s="149"/>
      <c r="H37" s="147">
        <v>6</v>
      </c>
      <c r="I37" s="149"/>
      <c r="J37" s="147">
        <v>5</v>
      </c>
      <c r="K37" s="148">
        <v>2</v>
      </c>
      <c r="L37" s="145"/>
      <c r="M37" s="147">
        <v>7</v>
      </c>
      <c r="N37" s="146"/>
      <c r="O37" s="145">
        <v>3</v>
      </c>
      <c r="P37" s="147">
        <v>7</v>
      </c>
      <c r="Q37" s="146"/>
      <c r="R37" s="145">
        <v>7</v>
      </c>
    </row>
    <row r="38" spans="1:18" ht="24.95" customHeight="1" x14ac:dyDescent="0.25">
      <c r="A38" s="167"/>
      <c r="B38" s="151" t="s">
        <v>70</v>
      </c>
      <c r="C38" s="153" t="s">
        <v>448</v>
      </c>
      <c r="D38" s="147">
        <v>0</v>
      </c>
      <c r="E38" s="149">
        <v>2</v>
      </c>
      <c r="F38" s="147">
        <v>3</v>
      </c>
      <c r="G38" s="149"/>
      <c r="H38" s="147">
        <v>4</v>
      </c>
      <c r="I38" s="149"/>
      <c r="J38" s="147">
        <v>4</v>
      </c>
      <c r="K38" s="148"/>
      <c r="L38" s="145"/>
      <c r="M38" s="147">
        <v>4</v>
      </c>
      <c r="N38" s="146"/>
      <c r="O38" s="145">
        <v>2</v>
      </c>
      <c r="P38" s="147">
        <v>4</v>
      </c>
      <c r="Q38" s="146"/>
      <c r="R38" s="145">
        <v>4</v>
      </c>
    </row>
    <row r="39" spans="1:18" ht="24.95" customHeight="1" x14ac:dyDescent="0.25">
      <c r="A39" s="167"/>
      <c r="B39" s="152" t="s">
        <v>72</v>
      </c>
      <c r="C39" s="153" t="s">
        <v>448</v>
      </c>
      <c r="D39" s="147">
        <v>4</v>
      </c>
      <c r="E39" s="149">
        <v>1</v>
      </c>
      <c r="F39" s="147">
        <v>5</v>
      </c>
      <c r="G39" s="149"/>
      <c r="H39" s="147">
        <v>6</v>
      </c>
      <c r="I39" s="149"/>
      <c r="J39" s="147">
        <v>6</v>
      </c>
      <c r="K39" s="148">
        <v>1</v>
      </c>
      <c r="L39" s="145">
        <v>1</v>
      </c>
      <c r="M39" s="147">
        <v>7</v>
      </c>
      <c r="N39" s="146"/>
      <c r="O39" s="145">
        <v>5</v>
      </c>
      <c r="P39" s="147">
        <v>7</v>
      </c>
      <c r="Q39" s="146"/>
      <c r="R39" s="145">
        <v>7</v>
      </c>
    </row>
    <row r="40" spans="1:18" ht="24.95" customHeight="1" x14ac:dyDescent="0.25">
      <c r="A40" s="167"/>
      <c r="B40" s="151" t="s">
        <v>74</v>
      </c>
      <c r="C40" s="153" t="s">
        <v>449</v>
      </c>
      <c r="D40" s="147">
        <v>0</v>
      </c>
      <c r="E40" s="149">
        <v>0</v>
      </c>
      <c r="F40" s="147">
        <v>2</v>
      </c>
      <c r="G40" s="149">
        <v>1</v>
      </c>
      <c r="H40" s="147">
        <v>3</v>
      </c>
      <c r="I40" s="149"/>
      <c r="J40" s="147">
        <v>3</v>
      </c>
      <c r="K40" s="148"/>
      <c r="L40" s="145"/>
      <c r="M40" s="147">
        <v>3</v>
      </c>
      <c r="N40" s="146"/>
      <c r="O40" s="145">
        <v>1</v>
      </c>
      <c r="P40" s="147">
        <v>3</v>
      </c>
      <c r="Q40" s="146"/>
      <c r="R40" s="145">
        <v>3</v>
      </c>
    </row>
    <row r="41" spans="1:18" ht="24.95" customHeight="1" x14ac:dyDescent="0.25">
      <c r="A41" s="167"/>
      <c r="B41" s="152" t="s">
        <v>76</v>
      </c>
      <c r="C41" s="153" t="s">
        <v>449</v>
      </c>
      <c r="D41" s="147">
        <v>3</v>
      </c>
      <c r="E41" s="149">
        <v>1</v>
      </c>
      <c r="F41" s="147">
        <v>6</v>
      </c>
      <c r="G41" s="149"/>
      <c r="H41" s="147">
        <v>8</v>
      </c>
      <c r="I41" s="149">
        <v>1</v>
      </c>
      <c r="J41" s="147">
        <v>9</v>
      </c>
      <c r="K41" s="148"/>
      <c r="L41" s="145"/>
      <c r="M41" s="147">
        <v>9</v>
      </c>
      <c r="N41" s="146"/>
      <c r="O41" s="145">
        <v>5</v>
      </c>
      <c r="P41" s="147">
        <v>9</v>
      </c>
      <c r="Q41" s="146"/>
      <c r="R41" s="145">
        <v>9</v>
      </c>
    </row>
    <row r="42" spans="1:18" ht="24.95" customHeight="1" x14ac:dyDescent="0.25">
      <c r="A42" s="167"/>
      <c r="B42" s="151" t="s">
        <v>78</v>
      </c>
      <c r="C42" s="153" t="s">
        <v>449</v>
      </c>
      <c r="D42" s="147">
        <v>5</v>
      </c>
      <c r="E42" s="149">
        <v>2</v>
      </c>
      <c r="F42" s="147">
        <v>8</v>
      </c>
      <c r="G42" s="149">
        <v>1</v>
      </c>
      <c r="H42" s="147">
        <v>8</v>
      </c>
      <c r="I42" s="149"/>
      <c r="J42" s="147">
        <v>8</v>
      </c>
      <c r="K42" s="148"/>
      <c r="L42" s="145"/>
      <c r="M42" s="147">
        <v>8</v>
      </c>
      <c r="N42" s="146"/>
      <c r="O42" s="145">
        <v>3</v>
      </c>
      <c r="P42" s="147">
        <v>8</v>
      </c>
      <c r="Q42" s="146"/>
      <c r="R42" s="145">
        <v>8</v>
      </c>
    </row>
    <row r="43" spans="1:18" ht="24.95" customHeight="1" x14ac:dyDescent="0.25">
      <c r="A43" s="167"/>
      <c r="B43" s="152" t="s">
        <v>80</v>
      </c>
      <c r="C43" s="150" t="s">
        <v>449</v>
      </c>
      <c r="D43" s="147">
        <v>4</v>
      </c>
      <c r="E43" s="149">
        <v>3</v>
      </c>
      <c r="F43" s="147">
        <v>7</v>
      </c>
      <c r="G43" s="149">
        <v>2</v>
      </c>
      <c r="H43" s="147">
        <v>9</v>
      </c>
      <c r="I43" s="149"/>
      <c r="J43" s="147">
        <v>10</v>
      </c>
      <c r="K43" s="148"/>
      <c r="L43" s="145">
        <v>1</v>
      </c>
      <c r="M43" s="147">
        <v>10</v>
      </c>
      <c r="N43" s="146"/>
      <c r="O43" s="145">
        <v>6</v>
      </c>
      <c r="P43" s="147">
        <v>10</v>
      </c>
      <c r="Q43" s="146"/>
      <c r="R43" s="145">
        <v>10</v>
      </c>
    </row>
    <row r="44" spans="1:18" ht="24.95" customHeight="1" x14ac:dyDescent="0.25">
      <c r="A44" s="167"/>
      <c r="B44" s="151" t="s">
        <v>82</v>
      </c>
      <c r="C44" s="150" t="s">
        <v>448</v>
      </c>
      <c r="D44" s="147">
        <v>4</v>
      </c>
      <c r="E44" s="149">
        <v>1</v>
      </c>
      <c r="F44" s="147">
        <v>8</v>
      </c>
      <c r="G44" s="149"/>
      <c r="H44" s="147">
        <v>9</v>
      </c>
      <c r="I44" s="149"/>
      <c r="J44" s="147">
        <v>9</v>
      </c>
      <c r="K44" s="148"/>
      <c r="L44" s="145"/>
      <c r="M44" s="147">
        <v>9</v>
      </c>
      <c r="N44" s="146"/>
      <c r="O44" s="145">
        <v>4</v>
      </c>
      <c r="P44" s="147">
        <v>9</v>
      </c>
      <c r="Q44" s="146"/>
      <c r="R44" s="145">
        <v>9</v>
      </c>
    </row>
    <row r="45" spans="1:18" ht="24.95" customHeight="1" thickBot="1" x14ac:dyDescent="0.3">
      <c r="A45" s="167"/>
      <c r="B45" s="144" t="s">
        <v>84</v>
      </c>
      <c r="C45" s="143" t="s">
        <v>448</v>
      </c>
      <c r="D45" s="140">
        <v>2</v>
      </c>
      <c r="E45" s="142">
        <v>1</v>
      </c>
      <c r="F45" s="140">
        <v>4</v>
      </c>
      <c r="G45" s="142"/>
      <c r="H45" s="140">
        <v>3</v>
      </c>
      <c r="I45" s="142"/>
      <c r="J45" s="140">
        <v>4</v>
      </c>
      <c r="K45" s="141"/>
      <c r="L45" s="138"/>
      <c r="M45" s="140">
        <v>4</v>
      </c>
      <c r="N45" s="139"/>
      <c r="O45" s="138">
        <v>1</v>
      </c>
      <c r="P45" s="140">
        <v>4</v>
      </c>
      <c r="Q45" s="139"/>
      <c r="R45" s="138">
        <v>3</v>
      </c>
    </row>
    <row r="46" spans="1:18" ht="24.95" customHeight="1" thickBot="1" x14ac:dyDescent="0.3">
      <c r="A46" s="130"/>
      <c r="B46" s="164" t="s">
        <v>28</v>
      </c>
      <c r="C46" s="154" t="s">
        <v>448</v>
      </c>
      <c r="D46" s="157">
        <v>8</v>
      </c>
      <c r="E46" s="159">
        <v>0</v>
      </c>
      <c r="F46" s="157">
        <v>10</v>
      </c>
      <c r="G46" s="159">
        <v>1</v>
      </c>
      <c r="H46" s="157">
        <v>11</v>
      </c>
      <c r="I46" s="159"/>
      <c r="J46" s="157">
        <v>11</v>
      </c>
      <c r="K46" s="158"/>
      <c r="L46" s="155">
        <v>2</v>
      </c>
      <c r="M46" s="157">
        <v>11</v>
      </c>
      <c r="N46" s="156"/>
      <c r="O46" s="155">
        <v>8</v>
      </c>
      <c r="P46" s="157">
        <v>11</v>
      </c>
      <c r="Q46" s="156"/>
      <c r="R46" s="155">
        <v>10</v>
      </c>
    </row>
    <row r="47" spans="1:18" ht="24.95" customHeight="1" thickBot="1" x14ac:dyDescent="0.3">
      <c r="A47" s="166"/>
      <c r="B47" s="162" t="s">
        <v>30</v>
      </c>
      <c r="C47" s="154" t="s">
        <v>448</v>
      </c>
      <c r="D47" s="147">
        <v>2</v>
      </c>
      <c r="E47" s="149">
        <v>1</v>
      </c>
      <c r="F47" s="147">
        <v>4</v>
      </c>
      <c r="G47" s="149">
        <v>1</v>
      </c>
      <c r="H47" s="147">
        <v>6</v>
      </c>
      <c r="I47" s="149"/>
      <c r="J47" s="147">
        <v>6</v>
      </c>
      <c r="K47" s="148"/>
      <c r="L47" s="145">
        <v>1</v>
      </c>
      <c r="M47" s="147">
        <v>6</v>
      </c>
      <c r="N47" s="146"/>
      <c r="O47" s="145">
        <v>4</v>
      </c>
      <c r="P47" s="147">
        <v>6</v>
      </c>
      <c r="Q47" s="146"/>
      <c r="R47" s="145">
        <v>6</v>
      </c>
    </row>
    <row r="48" spans="1:18" ht="24.95" customHeight="1" x14ac:dyDescent="0.25">
      <c r="A48" s="166"/>
      <c r="B48" s="163" t="s">
        <v>32</v>
      </c>
      <c r="C48" s="154" t="s">
        <v>448</v>
      </c>
      <c r="D48" s="147">
        <v>1</v>
      </c>
      <c r="E48" s="149">
        <v>0</v>
      </c>
      <c r="F48" s="147">
        <v>1</v>
      </c>
      <c r="G48" s="149"/>
      <c r="H48" s="147">
        <v>1</v>
      </c>
      <c r="I48" s="149"/>
      <c r="J48" s="147">
        <v>1</v>
      </c>
      <c r="K48" s="148"/>
      <c r="L48" s="145"/>
      <c r="M48" s="147">
        <v>1</v>
      </c>
      <c r="N48" s="146"/>
      <c r="O48" s="145">
        <v>0</v>
      </c>
      <c r="P48" s="147">
        <v>1</v>
      </c>
      <c r="Q48" s="146"/>
      <c r="R48" s="145">
        <v>0</v>
      </c>
    </row>
    <row r="49" spans="1:18" ht="24.95" customHeight="1" x14ac:dyDescent="0.25">
      <c r="A49" s="166"/>
      <c r="B49" s="162" t="s">
        <v>34</v>
      </c>
      <c r="C49" s="150" t="s">
        <v>448</v>
      </c>
      <c r="D49" s="147">
        <v>6</v>
      </c>
      <c r="E49" s="149">
        <v>1</v>
      </c>
      <c r="F49" s="147">
        <v>8</v>
      </c>
      <c r="G49" s="149">
        <v>1</v>
      </c>
      <c r="H49" s="147">
        <v>8</v>
      </c>
      <c r="I49" s="149"/>
      <c r="J49" s="147">
        <v>8</v>
      </c>
      <c r="K49" s="148"/>
      <c r="L49" s="145">
        <v>1</v>
      </c>
      <c r="M49" s="147">
        <v>8</v>
      </c>
      <c r="N49" s="146"/>
      <c r="O49" s="145">
        <v>5</v>
      </c>
      <c r="P49" s="147">
        <v>8</v>
      </c>
      <c r="Q49" s="146"/>
      <c r="R49" s="145">
        <v>5</v>
      </c>
    </row>
    <row r="50" spans="1:18" ht="24.95" customHeight="1" x14ac:dyDescent="0.25">
      <c r="A50" s="168"/>
      <c r="B50" s="163" t="s">
        <v>36</v>
      </c>
      <c r="C50" s="153" t="s">
        <v>448</v>
      </c>
      <c r="D50" s="147">
        <v>4</v>
      </c>
      <c r="E50" s="149">
        <v>2</v>
      </c>
      <c r="F50" s="147">
        <v>5</v>
      </c>
      <c r="G50" s="149">
        <v>1</v>
      </c>
      <c r="H50" s="147">
        <v>6</v>
      </c>
      <c r="I50" s="149"/>
      <c r="J50" s="147">
        <v>6</v>
      </c>
      <c r="K50" s="148"/>
      <c r="L50" s="145">
        <v>1</v>
      </c>
      <c r="M50" s="147">
        <v>6</v>
      </c>
      <c r="N50" s="146"/>
      <c r="O50" s="145">
        <v>4</v>
      </c>
      <c r="P50" s="147">
        <v>6</v>
      </c>
      <c r="Q50" s="146"/>
      <c r="R50" s="145">
        <v>6</v>
      </c>
    </row>
    <row r="51" spans="1:18" ht="24.95" customHeight="1" x14ac:dyDescent="0.25">
      <c r="A51" s="167"/>
      <c r="B51" s="162" t="s">
        <v>38</v>
      </c>
      <c r="C51" s="153" t="s">
        <v>448</v>
      </c>
      <c r="D51" s="147">
        <v>6</v>
      </c>
      <c r="E51" s="149">
        <v>0</v>
      </c>
      <c r="F51" s="147">
        <v>10</v>
      </c>
      <c r="G51" s="149"/>
      <c r="H51" s="147">
        <v>10</v>
      </c>
      <c r="I51" s="149"/>
      <c r="J51" s="147">
        <v>10</v>
      </c>
      <c r="K51" s="148"/>
      <c r="L51" s="145">
        <v>2</v>
      </c>
      <c r="M51" s="147">
        <v>10</v>
      </c>
      <c r="N51" s="146"/>
      <c r="O51" s="145">
        <v>7</v>
      </c>
      <c r="P51" s="147">
        <v>10</v>
      </c>
      <c r="Q51" s="146"/>
      <c r="R51" s="145">
        <v>10</v>
      </c>
    </row>
    <row r="52" spans="1:18" ht="24.95" customHeight="1" x14ac:dyDescent="0.25">
      <c r="A52" s="167"/>
      <c r="B52" s="163" t="s">
        <v>40</v>
      </c>
      <c r="C52" s="153" t="s">
        <v>449</v>
      </c>
      <c r="D52" s="147">
        <v>0</v>
      </c>
      <c r="E52" s="149">
        <v>0</v>
      </c>
      <c r="F52" s="147">
        <v>1</v>
      </c>
      <c r="G52" s="149"/>
      <c r="H52" s="147">
        <v>2</v>
      </c>
      <c r="I52" s="149"/>
      <c r="J52" s="147">
        <v>2</v>
      </c>
      <c r="K52" s="148"/>
      <c r="L52" s="145"/>
      <c r="M52" s="147">
        <v>2</v>
      </c>
      <c r="N52" s="146"/>
      <c r="O52" s="145"/>
      <c r="P52" s="147">
        <v>2</v>
      </c>
      <c r="Q52" s="146"/>
      <c r="R52" s="145">
        <v>1</v>
      </c>
    </row>
    <row r="53" spans="1:18" ht="24.95" customHeight="1" x14ac:dyDescent="0.25">
      <c r="A53" s="167"/>
      <c r="B53" s="162" t="s">
        <v>42</v>
      </c>
      <c r="C53" s="153" t="s">
        <v>449</v>
      </c>
      <c r="D53" s="147">
        <v>6</v>
      </c>
      <c r="E53" s="149">
        <v>1</v>
      </c>
      <c r="F53" s="147">
        <v>9</v>
      </c>
      <c r="G53" s="149"/>
      <c r="H53" s="147">
        <v>10</v>
      </c>
      <c r="I53" s="149"/>
      <c r="J53" s="147">
        <v>10</v>
      </c>
      <c r="K53" s="148"/>
      <c r="L53" s="145">
        <v>1</v>
      </c>
      <c r="M53" s="147">
        <v>10</v>
      </c>
      <c r="N53" s="146"/>
      <c r="O53" s="145">
        <v>5</v>
      </c>
      <c r="P53" s="147">
        <v>10</v>
      </c>
      <c r="Q53" s="146"/>
      <c r="R53" s="145">
        <v>10</v>
      </c>
    </row>
    <row r="54" spans="1:18" ht="24.95" customHeight="1" x14ac:dyDescent="0.25">
      <c r="B54" s="163" t="s">
        <v>44</v>
      </c>
      <c r="C54" s="153" t="s">
        <v>449</v>
      </c>
      <c r="D54" s="147">
        <v>3</v>
      </c>
      <c r="E54" s="149">
        <v>2</v>
      </c>
      <c r="F54" s="147">
        <v>6</v>
      </c>
      <c r="G54" s="149"/>
      <c r="H54" s="147">
        <v>6</v>
      </c>
      <c r="I54" s="149"/>
      <c r="J54" s="147">
        <v>6</v>
      </c>
      <c r="K54" s="148"/>
      <c r="L54" s="145"/>
      <c r="M54" s="147">
        <v>6</v>
      </c>
      <c r="N54" s="146"/>
      <c r="O54" s="145">
        <v>3</v>
      </c>
      <c r="P54" s="147">
        <v>6</v>
      </c>
      <c r="Q54" s="146"/>
      <c r="R54" s="145">
        <v>6</v>
      </c>
    </row>
    <row r="55" spans="1:18" ht="24.95" customHeight="1" x14ac:dyDescent="0.25">
      <c r="A55" s="167"/>
      <c r="B55" s="162" t="s">
        <v>46</v>
      </c>
      <c r="C55" s="153" t="s">
        <v>449</v>
      </c>
      <c r="D55" s="147">
        <v>5</v>
      </c>
      <c r="E55" s="149">
        <v>3</v>
      </c>
      <c r="F55" s="147">
        <v>10</v>
      </c>
      <c r="G55" s="149">
        <v>1</v>
      </c>
      <c r="H55" s="147">
        <v>11</v>
      </c>
      <c r="I55" s="149"/>
      <c r="J55" s="147">
        <v>12</v>
      </c>
      <c r="K55" s="148"/>
      <c r="L55" s="145"/>
      <c r="M55" s="147">
        <v>12</v>
      </c>
      <c r="N55" s="146"/>
      <c r="O55" s="145">
        <v>4</v>
      </c>
      <c r="P55" s="147">
        <v>12</v>
      </c>
      <c r="Q55" s="146"/>
      <c r="R55" s="145">
        <v>10</v>
      </c>
    </row>
    <row r="56" spans="1:18" ht="24.95" customHeight="1" x14ac:dyDescent="0.25">
      <c r="A56" s="167"/>
      <c r="B56" s="163" t="s">
        <v>48</v>
      </c>
      <c r="C56" s="153" t="s">
        <v>449</v>
      </c>
      <c r="D56" s="147">
        <v>1</v>
      </c>
      <c r="E56" s="149">
        <v>0</v>
      </c>
      <c r="F56" s="147">
        <v>4</v>
      </c>
      <c r="G56" s="149"/>
      <c r="H56" s="147">
        <v>5</v>
      </c>
      <c r="I56" s="149"/>
      <c r="J56" s="147">
        <v>5</v>
      </c>
      <c r="K56" s="148"/>
      <c r="L56" s="145"/>
      <c r="M56" s="147">
        <v>5</v>
      </c>
      <c r="N56" s="146"/>
      <c r="O56" s="145">
        <v>2</v>
      </c>
      <c r="P56" s="147">
        <v>5</v>
      </c>
      <c r="Q56" s="146"/>
      <c r="R56" s="145">
        <v>5</v>
      </c>
    </row>
    <row r="57" spans="1:18" ht="24.95" customHeight="1" x14ac:dyDescent="0.25">
      <c r="A57" s="167"/>
      <c r="B57" s="162" t="s">
        <v>50</v>
      </c>
      <c r="C57" s="153" t="s">
        <v>449</v>
      </c>
      <c r="D57" s="147">
        <v>4</v>
      </c>
      <c r="E57" s="149">
        <v>1</v>
      </c>
      <c r="F57" s="147">
        <v>6</v>
      </c>
      <c r="G57" s="149">
        <v>2</v>
      </c>
      <c r="H57" s="147">
        <v>8</v>
      </c>
      <c r="I57" s="149">
        <v>2</v>
      </c>
      <c r="J57" s="147">
        <v>9</v>
      </c>
      <c r="K57" s="148"/>
      <c r="L57" s="145">
        <v>2</v>
      </c>
      <c r="M57" s="147">
        <v>9</v>
      </c>
      <c r="N57" s="146"/>
      <c r="O57" s="145">
        <v>7</v>
      </c>
      <c r="P57" s="147">
        <v>9</v>
      </c>
      <c r="Q57" s="146"/>
      <c r="R57" s="145">
        <v>9</v>
      </c>
    </row>
    <row r="58" spans="1:18" ht="24.95" customHeight="1" x14ac:dyDescent="0.25">
      <c r="A58" s="167"/>
      <c r="B58" s="163" t="s">
        <v>52</v>
      </c>
      <c r="C58" s="150" t="s">
        <v>449</v>
      </c>
      <c r="D58" s="147">
        <v>1</v>
      </c>
      <c r="E58" s="149">
        <v>1</v>
      </c>
      <c r="F58" s="147">
        <v>3</v>
      </c>
      <c r="G58" s="149">
        <v>3</v>
      </c>
      <c r="H58" s="147">
        <v>5</v>
      </c>
      <c r="I58" s="149">
        <v>1</v>
      </c>
      <c r="J58" s="147">
        <v>7</v>
      </c>
      <c r="K58" s="148"/>
      <c r="L58" s="145"/>
      <c r="M58" s="147">
        <v>7</v>
      </c>
      <c r="N58" s="146"/>
      <c r="O58" s="145">
        <v>4</v>
      </c>
      <c r="P58" s="147">
        <v>7</v>
      </c>
      <c r="Q58" s="146"/>
      <c r="R58" s="145">
        <v>7</v>
      </c>
    </row>
    <row r="59" spans="1:18" ht="24.95" customHeight="1" x14ac:dyDescent="0.25">
      <c r="A59" s="167"/>
      <c r="B59" s="162" t="s">
        <v>54</v>
      </c>
      <c r="C59" s="150" t="s">
        <v>449</v>
      </c>
      <c r="D59" s="147">
        <v>5</v>
      </c>
      <c r="E59" s="149">
        <v>0</v>
      </c>
      <c r="F59" s="147">
        <v>6</v>
      </c>
      <c r="G59" s="149"/>
      <c r="H59" s="147">
        <v>8</v>
      </c>
      <c r="I59" s="149"/>
      <c r="J59" s="147">
        <v>9</v>
      </c>
      <c r="K59" s="148"/>
      <c r="L59" s="145"/>
      <c r="M59" s="147">
        <v>9</v>
      </c>
      <c r="N59" s="146"/>
      <c r="O59" s="145">
        <v>4</v>
      </c>
      <c r="P59" s="147">
        <v>9</v>
      </c>
      <c r="Q59" s="146"/>
      <c r="R59" s="145">
        <v>8</v>
      </c>
    </row>
    <row r="60" spans="1:18" ht="24.95" customHeight="1" thickBot="1" x14ac:dyDescent="0.3">
      <c r="A60" s="167"/>
      <c r="B60" s="161" t="s">
        <v>55</v>
      </c>
      <c r="C60" s="143" t="s">
        <v>448</v>
      </c>
      <c r="D60" s="140">
        <v>7</v>
      </c>
      <c r="E60" s="142">
        <v>0</v>
      </c>
      <c r="F60" s="140">
        <v>7</v>
      </c>
      <c r="G60" s="142"/>
      <c r="H60" s="140">
        <v>7</v>
      </c>
      <c r="I60" s="142">
        <v>1</v>
      </c>
      <c r="J60" s="140">
        <v>8</v>
      </c>
      <c r="K60" s="141"/>
      <c r="L60" s="138"/>
      <c r="M60" s="140">
        <v>8</v>
      </c>
      <c r="N60" s="139"/>
      <c r="O60" s="138">
        <v>2</v>
      </c>
      <c r="P60" s="140">
        <v>8</v>
      </c>
      <c r="Q60" s="139"/>
      <c r="R60" s="138">
        <v>7</v>
      </c>
    </row>
    <row r="61" spans="1:18" ht="24.95" customHeight="1" thickBot="1" x14ac:dyDescent="0.3">
      <c r="A61" s="167"/>
      <c r="B61" s="164" t="s">
        <v>57</v>
      </c>
      <c r="C61" s="154" t="s">
        <v>448</v>
      </c>
      <c r="D61" s="157">
        <v>0</v>
      </c>
      <c r="E61" s="159">
        <v>0</v>
      </c>
      <c r="F61" s="157">
        <v>4</v>
      </c>
      <c r="G61" s="159">
        <v>1</v>
      </c>
      <c r="H61" s="157">
        <v>6</v>
      </c>
      <c r="I61" s="159"/>
      <c r="J61" s="157">
        <v>7</v>
      </c>
      <c r="K61" s="158">
        <v>1</v>
      </c>
      <c r="L61" s="155"/>
      <c r="M61" s="157">
        <v>8</v>
      </c>
      <c r="N61" s="156"/>
      <c r="O61" s="155">
        <v>2</v>
      </c>
      <c r="P61" s="157">
        <v>8</v>
      </c>
      <c r="Q61" s="156"/>
      <c r="R61" s="155">
        <v>8</v>
      </c>
    </row>
    <row r="62" spans="1:18" ht="24.95" customHeight="1" thickBot="1" x14ac:dyDescent="0.3">
      <c r="A62" s="167"/>
      <c r="B62" s="162" t="s">
        <v>59</v>
      </c>
      <c r="C62" s="154" t="s">
        <v>448</v>
      </c>
      <c r="D62" s="147">
        <v>0</v>
      </c>
      <c r="E62" s="149">
        <v>2</v>
      </c>
      <c r="F62" s="147">
        <v>2</v>
      </c>
      <c r="G62" s="149">
        <v>2</v>
      </c>
      <c r="H62" s="147">
        <v>5</v>
      </c>
      <c r="I62" s="149">
        <v>2</v>
      </c>
      <c r="J62" s="147">
        <v>7</v>
      </c>
      <c r="K62" s="148"/>
      <c r="L62" s="145"/>
      <c r="M62" s="147">
        <v>6</v>
      </c>
      <c r="N62" s="146"/>
      <c r="O62" s="145">
        <v>1</v>
      </c>
      <c r="P62" s="147">
        <v>6</v>
      </c>
      <c r="Q62" s="146"/>
      <c r="R62" s="145">
        <v>5</v>
      </c>
    </row>
    <row r="63" spans="1:18" ht="24.95" customHeight="1" x14ac:dyDescent="0.25">
      <c r="A63" s="166"/>
      <c r="B63" s="163" t="s">
        <v>61</v>
      </c>
      <c r="C63" s="154" t="s">
        <v>448</v>
      </c>
      <c r="D63" s="147">
        <v>0</v>
      </c>
      <c r="E63" s="149">
        <v>0</v>
      </c>
      <c r="F63" s="147">
        <v>4</v>
      </c>
      <c r="G63" s="149"/>
      <c r="H63" s="147">
        <v>6</v>
      </c>
      <c r="I63" s="149"/>
      <c r="J63" s="147">
        <v>6</v>
      </c>
      <c r="K63" s="148"/>
      <c r="L63" s="145"/>
      <c r="M63" s="147">
        <v>6</v>
      </c>
      <c r="N63" s="146"/>
      <c r="O63" s="145">
        <v>4</v>
      </c>
      <c r="P63" s="147">
        <v>6</v>
      </c>
      <c r="Q63" s="146"/>
      <c r="R63" s="145">
        <v>4</v>
      </c>
    </row>
    <row r="64" spans="1:18" ht="24.95" customHeight="1" x14ac:dyDescent="0.25">
      <c r="B64" s="162" t="s">
        <v>63</v>
      </c>
      <c r="C64" s="150"/>
      <c r="D64" s="147">
        <v>1</v>
      </c>
      <c r="E64" s="149">
        <v>1</v>
      </c>
      <c r="F64" s="147">
        <v>3</v>
      </c>
      <c r="G64" s="149">
        <v>2</v>
      </c>
      <c r="H64" s="147">
        <v>6</v>
      </c>
      <c r="I64" s="149"/>
      <c r="J64" s="147">
        <v>6</v>
      </c>
      <c r="K64" s="148"/>
      <c r="L64" s="145"/>
      <c r="M64" s="147">
        <v>6</v>
      </c>
      <c r="N64" s="146"/>
      <c r="O64" s="145">
        <v>3</v>
      </c>
      <c r="P64" s="147">
        <v>6</v>
      </c>
      <c r="Q64" s="146"/>
      <c r="R64" s="145">
        <v>6</v>
      </c>
    </row>
    <row r="65" spans="2:18" ht="24.95" customHeight="1" x14ac:dyDescent="0.25">
      <c r="B65" s="163" t="s">
        <v>65</v>
      </c>
      <c r="C65" s="153"/>
      <c r="D65" s="147">
        <v>0</v>
      </c>
      <c r="E65" s="149">
        <v>2</v>
      </c>
      <c r="F65" s="147">
        <v>5</v>
      </c>
      <c r="G65" s="149">
        <v>1</v>
      </c>
      <c r="H65" s="147">
        <v>7</v>
      </c>
      <c r="I65" s="149">
        <v>1</v>
      </c>
      <c r="J65" s="147">
        <v>8</v>
      </c>
      <c r="K65" s="148"/>
      <c r="L65" s="145"/>
      <c r="M65" s="147">
        <v>8</v>
      </c>
      <c r="N65" s="146"/>
      <c r="O65" s="145">
        <v>4</v>
      </c>
      <c r="P65" s="147">
        <v>8</v>
      </c>
      <c r="Q65" s="146"/>
      <c r="R65" s="145">
        <v>8</v>
      </c>
    </row>
    <row r="66" spans="2:18" ht="24.95" customHeight="1" x14ac:dyDescent="0.25">
      <c r="B66" s="162" t="s">
        <v>67</v>
      </c>
      <c r="C66" s="153"/>
      <c r="D66" s="147">
        <v>0</v>
      </c>
      <c r="E66" s="149">
        <v>0</v>
      </c>
      <c r="F66" s="147">
        <v>4</v>
      </c>
      <c r="G66" s="149">
        <v>1</v>
      </c>
      <c r="H66" s="147">
        <v>5</v>
      </c>
      <c r="I66" s="149">
        <v>1</v>
      </c>
      <c r="J66" s="147">
        <v>7</v>
      </c>
      <c r="K66" s="148"/>
      <c r="L66" s="145"/>
      <c r="M66" s="147">
        <v>7</v>
      </c>
      <c r="N66" s="146"/>
      <c r="O66" s="145">
        <v>3</v>
      </c>
      <c r="P66" s="147">
        <v>7</v>
      </c>
      <c r="Q66" s="146"/>
      <c r="R66" s="145">
        <v>7</v>
      </c>
    </row>
    <row r="67" spans="2:18" ht="24.95" customHeight="1" x14ac:dyDescent="0.25">
      <c r="B67" s="163" t="s">
        <v>69</v>
      </c>
      <c r="C67" s="153"/>
      <c r="D67" s="147">
        <v>0</v>
      </c>
      <c r="E67" s="149">
        <v>0</v>
      </c>
      <c r="F67" s="147">
        <v>1</v>
      </c>
      <c r="G67" s="149">
        <v>2</v>
      </c>
      <c r="H67" s="147">
        <v>4</v>
      </c>
      <c r="I67" s="149">
        <v>1</v>
      </c>
      <c r="J67" s="147">
        <v>4</v>
      </c>
      <c r="K67" s="148">
        <v>1</v>
      </c>
      <c r="L67" s="145"/>
      <c r="M67" s="147">
        <v>5</v>
      </c>
      <c r="N67" s="146"/>
      <c r="O67" s="145">
        <v>2</v>
      </c>
      <c r="P67" s="147">
        <v>5</v>
      </c>
      <c r="Q67" s="146"/>
      <c r="R67" s="145">
        <v>5</v>
      </c>
    </row>
    <row r="68" spans="2:18" ht="24.95" customHeight="1" x14ac:dyDescent="0.25">
      <c r="B68" s="162" t="s">
        <v>71</v>
      </c>
      <c r="C68" s="153"/>
      <c r="D68" s="147">
        <v>0</v>
      </c>
      <c r="E68" s="149">
        <v>0</v>
      </c>
      <c r="F68" s="147">
        <v>3</v>
      </c>
      <c r="G68" s="149">
        <v>1</v>
      </c>
      <c r="H68" s="147">
        <v>4</v>
      </c>
      <c r="I68" s="149">
        <v>1</v>
      </c>
      <c r="J68" s="147">
        <v>7</v>
      </c>
      <c r="K68" s="148">
        <v>1</v>
      </c>
      <c r="L68" s="145"/>
      <c r="M68" s="147">
        <v>8</v>
      </c>
      <c r="N68" s="146"/>
      <c r="O68" s="145">
        <v>3</v>
      </c>
      <c r="P68" s="147">
        <v>8</v>
      </c>
      <c r="Q68" s="146"/>
      <c r="R68" s="145">
        <v>7</v>
      </c>
    </row>
    <row r="69" spans="2:18" ht="24.95" customHeight="1" x14ac:dyDescent="0.25">
      <c r="B69" s="163" t="s">
        <v>73</v>
      </c>
      <c r="C69" s="153"/>
      <c r="D69" s="147">
        <v>1</v>
      </c>
      <c r="E69" s="149">
        <v>0</v>
      </c>
      <c r="F69" s="147">
        <v>2</v>
      </c>
      <c r="G69" s="149"/>
      <c r="H69" s="147">
        <v>3</v>
      </c>
      <c r="I69" s="149">
        <v>1</v>
      </c>
      <c r="J69" s="147">
        <v>5</v>
      </c>
      <c r="K69" s="148"/>
      <c r="L69" s="145"/>
      <c r="M69" s="147">
        <v>5</v>
      </c>
      <c r="N69" s="146"/>
      <c r="O69" s="145">
        <v>1</v>
      </c>
      <c r="P69" s="147">
        <v>5</v>
      </c>
      <c r="Q69" s="146"/>
      <c r="R69" s="145">
        <v>4</v>
      </c>
    </row>
    <row r="70" spans="2:18" ht="24.95" customHeight="1" x14ac:dyDescent="0.25">
      <c r="B70" s="162" t="s">
        <v>75</v>
      </c>
      <c r="C70" s="153"/>
      <c r="D70" s="147">
        <v>0</v>
      </c>
      <c r="E70" s="149">
        <v>0</v>
      </c>
      <c r="F70" s="147">
        <v>5</v>
      </c>
      <c r="G70" s="149">
        <v>1</v>
      </c>
      <c r="H70" s="147">
        <v>10</v>
      </c>
      <c r="I70" s="149"/>
      <c r="J70" s="147">
        <v>11</v>
      </c>
      <c r="K70" s="148"/>
      <c r="L70" s="145"/>
      <c r="M70" s="147">
        <v>11</v>
      </c>
      <c r="N70" s="146"/>
      <c r="O70" s="145">
        <v>4</v>
      </c>
      <c r="P70" s="147">
        <v>11</v>
      </c>
      <c r="Q70" s="146"/>
      <c r="R70" s="145">
        <v>9</v>
      </c>
    </row>
    <row r="71" spans="2:18" ht="24.95" customHeight="1" x14ac:dyDescent="0.25">
      <c r="B71" s="163" t="s">
        <v>77</v>
      </c>
      <c r="C71" s="153"/>
      <c r="D71" s="147">
        <v>1</v>
      </c>
      <c r="E71" s="149">
        <v>0</v>
      </c>
      <c r="F71" s="147">
        <v>2</v>
      </c>
      <c r="G71" s="149">
        <v>2</v>
      </c>
      <c r="H71" s="147">
        <v>5</v>
      </c>
      <c r="I71" s="149"/>
      <c r="J71" s="147">
        <v>5</v>
      </c>
      <c r="K71" s="148"/>
      <c r="L71" s="145"/>
      <c r="M71" s="147">
        <v>5</v>
      </c>
      <c r="N71" s="146"/>
      <c r="O71" s="145">
        <v>2</v>
      </c>
      <c r="P71" s="147">
        <v>5</v>
      </c>
      <c r="Q71" s="146"/>
      <c r="R71" s="145">
        <v>5</v>
      </c>
    </row>
    <row r="72" spans="2:18" ht="24.95" customHeight="1" x14ac:dyDescent="0.25">
      <c r="B72" s="162" t="s">
        <v>79</v>
      </c>
      <c r="C72" s="153"/>
      <c r="D72" s="147">
        <v>0</v>
      </c>
      <c r="E72" s="149">
        <v>0</v>
      </c>
      <c r="F72" s="147">
        <v>4</v>
      </c>
      <c r="G72" s="149">
        <v>1</v>
      </c>
      <c r="H72" s="147">
        <v>7</v>
      </c>
      <c r="I72" s="149"/>
      <c r="J72" s="147">
        <v>7</v>
      </c>
      <c r="K72" s="148"/>
      <c r="L72" s="145"/>
      <c r="M72" s="147">
        <v>7</v>
      </c>
      <c r="N72" s="146"/>
      <c r="O72" s="145">
        <v>3</v>
      </c>
      <c r="P72" s="147">
        <v>7</v>
      </c>
      <c r="Q72" s="146"/>
      <c r="R72" s="145">
        <v>6</v>
      </c>
    </row>
    <row r="73" spans="2:18" ht="24.95" customHeight="1" x14ac:dyDescent="0.25">
      <c r="B73" s="163" t="s">
        <v>81</v>
      </c>
      <c r="C73" s="150"/>
      <c r="D73" s="147">
        <v>1</v>
      </c>
      <c r="E73" s="149">
        <v>1</v>
      </c>
      <c r="F73" s="147">
        <v>2</v>
      </c>
      <c r="G73" s="149"/>
      <c r="H73" s="147">
        <v>3</v>
      </c>
      <c r="I73" s="149"/>
      <c r="J73" s="147">
        <v>5</v>
      </c>
      <c r="K73" s="148"/>
      <c r="L73" s="145"/>
      <c r="M73" s="147">
        <v>5</v>
      </c>
      <c r="N73" s="146"/>
      <c r="O73" s="145">
        <v>1</v>
      </c>
      <c r="P73" s="147">
        <v>5</v>
      </c>
      <c r="Q73" s="146"/>
      <c r="R73" s="145">
        <v>5</v>
      </c>
    </row>
    <row r="74" spans="2:18" ht="24.95" customHeight="1" x14ac:dyDescent="0.25">
      <c r="B74" s="162" t="s">
        <v>83</v>
      </c>
      <c r="C74" s="150"/>
      <c r="D74" s="147">
        <v>0</v>
      </c>
      <c r="E74" s="149">
        <v>0</v>
      </c>
      <c r="F74" s="147">
        <v>4</v>
      </c>
      <c r="G74" s="149">
        <v>1</v>
      </c>
      <c r="H74" s="147">
        <v>6</v>
      </c>
      <c r="I74" s="149"/>
      <c r="J74" s="147">
        <v>6</v>
      </c>
      <c r="K74" s="148"/>
      <c r="L74" s="145"/>
      <c r="M74" s="147">
        <v>6</v>
      </c>
      <c r="N74" s="146"/>
      <c r="O74" s="145">
        <v>1</v>
      </c>
      <c r="P74" s="147">
        <v>6</v>
      </c>
      <c r="Q74" s="146"/>
      <c r="R74" s="145">
        <v>6</v>
      </c>
    </row>
    <row r="75" spans="2:18" ht="24.95" customHeight="1" thickBot="1" x14ac:dyDescent="0.3">
      <c r="B75" s="161" t="s">
        <v>85</v>
      </c>
      <c r="C75" s="143"/>
      <c r="D75" s="140">
        <v>1</v>
      </c>
      <c r="E75" s="142">
        <v>2</v>
      </c>
      <c r="F75" s="140">
        <v>5</v>
      </c>
      <c r="G75" s="142">
        <v>1</v>
      </c>
      <c r="H75" s="140">
        <v>11</v>
      </c>
      <c r="I75" s="142">
        <v>1</v>
      </c>
      <c r="J75" s="140">
        <v>12</v>
      </c>
      <c r="K75" s="141"/>
      <c r="L75" s="138"/>
      <c r="M75" s="140">
        <v>12</v>
      </c>
      <c r="N75" s="139"/>
      <c r="O75" s="138">
        <v>3</v>
      </c>
      <c r="P75" s="140">
        <v>12</v>
      </c>
      <c r="Q75" s="139"/>
      <c r="R75" s="138">
        <v>10</v>
      </c>
    </row>
    <row r="76" spans="2:18" ht="24.95" customHeight="1" thickBot="1" x14ac:dyDescent="0.3">
      <c r="B76" s="164" t="s">
        <v>86</v>
      </c>
      <c r="C76" s="154"/>
      <c r="D76" s="157">
        <v>3</v>
      </c>
      <c r="E76" s="159">
        <v>1</v>
      </c>
      <c r="F76" s="157">
        <v>4</v>
      </c>
      <c r="G76" s="159"/>
      <c r="H76" s="157">
        <v>4</v>
      </c>
      <c r="I76" s="159"/>
      <c r="J76" s="157">
        <v>4</v>
      </c>
      <c r="K76" s="158"/>
      <c r="L76" s="155"/>
      <c r="M76" s="157">
        <v>4</v>
      </c>
      <c r="N76" s="156"/>
      <c r="O76" s="155">
        <v>1</v>
      </c>
      <c r="P76" s="157">
        <v>4</v>
      </c>
      <c r="Q76" s="156"/>
      <c r="R76" s="155">
        <v>4</v>
      </c>
    </row>
    <row r="77" spans="2:18" ht="24.95" customHeight="1" thickBot="1" x14ac:dyDescent="0.3">
      <c r="B77" s="162" t="s">
        <v>88</v>
      </c>
      <c r="C77" s="154"/>
      <c r="D77" s="147">
        <v>1</v>
      </c>
      <c r="E77" s="149">
        <v>1</v>
      </c>
      <c r="F77" s="147">
        <v>5</v>
      </c>
      <c r="G77" s="149"/>
      <c r="H77" s="147">
        <v>6</v>
      </c>
      <c r="I77" s="149"/>
      <c r="J77" s="147">
        <v>6</v>
      </c>
      <c r="K77" s="148"/>
      <c r="L77" s="145"/>
      <c r="M77" s="147">
        <v>6</v>
      </c>
      <c r="N77" s="146"/>
      <c r="O77" s="145">
        <v>3</v>
      </c>
      <c r="P77" s="147">
        <v>6</v>
      </c>
      <c r="Q77" s="146"/>
      <c r="R77" s="145">
        <v>5</v>
      </c>
    </row>
    <row r="78" spans="2:18" ht="24.95" customHeight="1" x14ac:dyDescent="0.25">
      <c r="B78" s="163" t="s">
        <v>90</v>
      </c>
      <c r="C78" s="154"/>
      <c r="D78" s="147">
        <v>1</v>
      </c>
      <c r="E78" s="149">
        <v>0</v>
      </c>
      <c r="F78" s="147">
        <v>4</v>
      </c>
      <c r="G78" s="149">
        <v>1</v>
      </c>
      <c r="H78" s="147">
        <v>6</v>
      </c>
      <c r="I78" s="149"/>
      <c r="J78" s="147">
        <v>7</v>
      </c>
      <c r="K78" s="148"/>
      <c r="L78" s="145"/>
      <c r="M78" s="147">
        <v>7</v>
      </c>
      <c r="N78" s="146"/>
      <c r="O78" s="145">
        <v>5</v>
      </c>
      <c r="P78" s="147">
        <v>7</v>
      </c>
      <c r="Q78" s="146"/>
      <c r="R78" s="145">
        <v>7</v>
      </c>
    </row>
    <row r="79" spans="2:18" ht="24.95" customHeight="1" x14ac:dyDescent="0.25">
      <c r="B79" s="162" t="s">
        <v>92</v>
      </c>
      <c r="C79" s="150"/>
      <c r="D79" s="147">
        <v>6</v>
      </c>
      <c r="E79" s="149">
        <v>0</v>
      </c>
      <c r="F79" s="147">
        <v>6</v>
      </c>
      <c r="G79" s="149">
        <v>1</v>
      </c>
      <c r="H79" s="147">
        <v>8</v>
      </c>
      <c r="I79" s="149"/>
      <c r="J79" s="147">
        <v>8</v>
      </c>
      <c r="K79" s="148"/>
      <c r="L79" s="145">
        <v>1</v>
      </c>
      <c r="M79" s="147">
        <v>8</v>
      </c>
      <c r="N79" s="146"/>
      <c r="O79" s="145">
        <v>6</v>
      </c>
      <c r="P79" s="147">
        <v>8</v>
      </c>
      <c r="Q79" s="146"/>
      <c r="R79" s="145">
        <v>8</v>
      </c>
    </row>
    <row r="80" spans="2:18" ht="24.95" customHeight="1" x14ac:dyDescent="0.25">
      <c r="B80" s="163" t="s">
        <v>94</v>
      </c>
      <c r="C80" s="153"/>
      <c r="D80" s="147">
        <v>4</v>
      </c>
      <c r="E80" s="149">
        <v>0</v>
      </c>
      <c r="F80" s="147">
        <v>4</v>
      </c>
      <c r="G80" s="149"/>
      <c r="H80" s="147">
        <v>5</v>
      </c>
      <c r="I80" s="149"/>
      <c r="J80" s="147">
        <v>5</v>
      </c>
      <c r="K80" s="148"/>
      <c r="L80" s="145"/>
      <c r="M80" s="147">
        <v>5</v>
      </c>
      <c r="N80" s="146"/>
      <c r="O80" s="145">
        <v>3</v>
      </c>
      <c r="P80" s="147">
        <v>5</v>
      </c>
      <c r="Q80" s="146"/>
      <c r="R80" s="145">
        <v>7</v>
      </c>
    </row>
    <row r="81" spans="2:18" ht="24.95" customHeight="1" x14ac:dyDescent="0.25">
      <c r="B81" s="162" t="s">
        <v>96</v>
      </c>
      <c r="C81" s="153"/>
      <c r="D81" s="147">
        <v>2</v>
      </c>
      <c r="E81" s="149">
        <v>1</v>
      </c>
      <c r="F81" s="147">
        <v>7</v>
      </c>
      <c r="G81" s="149"/>
      <c r="H81" s="147">
        <v>7</v>
      </c>
      <c r="I81" s="149"/>
      <c r="J81" s="147">
        <v>7</v>
      </c>
      <c r="K81" s="148"/>
      <c r="L81" s="145">
        <v>2</v>
      </c>
      <c r="M81" s="147">
        <v>7</v>
      </c>
      <c r="N81" s="146"/>
      <c r="O81" s="145">
        <v>6</v>
      </c>
      <c r="P81" s="147">
        <v>7</v>
      </c>
      <c r="Q81" s="146"/>
      <c r="R81" s="145">
        <v>7</v>
      </c>
    </row>
    <row r="82" spans="2:18" ht="24.95" customHeight="1" x14ac:dyDescent="0.25">
      <c r="B82" s="163" t="s">
        <v>98</v>
      </c>
      <c r="C82" s="153"/>
      <c r="D82" s="147">
        <v>3</v>
      </c>
      <c r="E82" s="149">
        <v>1</v>
      </c>
      <c r="F82" s="147">
        <v>4</v>
      </c>
      <c r="G82" s="149"/>
      <c r="H82" s="147">
        <v>7</v>
      </c>
      <c r="I82" s="149"/>
      <c r="J82" s="147">
        <v>7</v>
      </c>
      <c r="K82" s="148">
        <v>1</v>
      </c>
      <c r="L82" s="145"/>
      <c r="M82" s="147">
        <v>8</v>
      </c>
      <c r="N82" s="146"/>
      <c r="O82" s="145">
        <v>3</v>
      </c>
      <c r="P82" s="147">
        <v>8</v>
      </c>
      <c r="Q82" s="146"/>
      <c r="R82" s="145">
        <v>7</v>
      </c>
    </row>
    <row r="83" spans="2:18" ht="24.95" customHeight="1" x14ac:dyDescent="0.25">
      <c r="B83" s="162" t="s">
        <v>100</v>
      </c>
      <c r="C83" s="153"/>
      <c r="D83" s="147">
        <v>5</v>
      </c>
      <c r="E83" s="149">
        <v>2</v>
      </c>
      <c r="F83" s="147">
        <v>8</v>
      </c>
      <c r="G83" s="149">
        <v>1</v>
      </c>
      <c r="H83" s="147">
        <v>10</v>
      </c>
      <c r="I83" s="149"/>
      <c r="J83" s="147">
        <v>10</v>
      </c>
      <c r="K83" s="148"/>
      <c r="L83" s="145">
        <v>1</v>
      </c>
      <c r="M83" s="147">
        <v>10</v>
      </c>
      <c r="N83" s="146"/>
      <c r="O83" s="145">
        <v>5</v>
      </c>
      <c r="P83" s="147">
        <v>10</v>
      </c>
      <c r="Q83" s="146"/>
      <c r="R83" s="145">
        <v>8</v>
      </c>
    </row>
    <row r="84" spans="2:18" ht="24.95" customHeight="1" x14ac:dyDescent="0.25">
      <c r="B84" s="163" t="s">
        <v>102</v>
      </c>
      <c r="C84" s="153"/>
      <c r="D84" s="147">
        <v>2</v>
      </c>
      <c r="E84" s="149">
        <v>0</v>
      </c>
      <c r="F84" s="147">
        <v>3</v>
      </c>
      <c r="G84" s="149">
        <v>1</v>
      </c>
      <c r="H84" s="147">
        <v>4</v>
      </c>
      <c r="I84" s="149"/>
      <c r="J84" s="147">
        <v>4</v>
      </c>
      <c r="K84" s="148"/>
      <c r="L84" s="145"/>
      <c r="M84" s="147">
        <v>4</v>
      </c>
      <c r="N84" s="146"/>
      <c r="O84" s="145">
        <v>2</v>
      </c>
      <c r="P84" s="147">
        <v>4</v>
      </c>
      <c r="Q84" s="146"/>
      <c r="R84" s="145">
        <v>4</v>
      </c>
    </row>
    <row r="85" spans="2:18" ht="24.95" customHeight="1" x14ac:dyDescent="0.25">
      <c r="B85" s="162" t="s">
        <v>104</v>
      </c>
      <c r="C85" s="153"/>
      <c r="D85" s="147">
        <v>1</v>
      </c>
      <c r="E85" s="149">
        <v>3</v>
      </c>
      <c r="F85" s="147">
        <v>4</v>
      </c>
      <c r="G85" s="149">
        <v>1</v>
      </c>
      <c r="H85" s="147">
        <v>5</v>
      </c>
      <c r="I85" s="149">
        <v>1</v>
      </c>
      <c r="J85" s="147">
        <v>6</v>
      </c>
      <c r="K85" s="148"/>
      <c r="L85" s="145"/>
      <c r="M85" s="147">
        <v>6</v>
      </c>
      <c r="N85" s="146"/>
      <c r="O85" s="145">
        <v>4</v>
      </c>
      <c r="P85" s="147">
        <v>6</v>
      </c>
      <c r="Q85" s="146"/>
      <c r="R85" s="145">
        <v>5</v>
      </c>
    </row>
    <row r="86" spans="2:18" ht="24.95" customHeight="1" x14ac:dyDescent="0.25">
      <c r="B86" s="163" t="s">
        <v>106</v>
      </c>
      <c r="C86" s="153"/>
      <c r="D86" s="147">
        <v>3</v>
      </c>
      <c r="E86" s="149">
        <v>1</v>
      </c>
      <c r="F86" s="147">
        <v>6</v>
      </c>
      <c r="G86" s="149"/>
      <c r="H86" s="147">
        <v>6</v>
      </c>
      <c r="I86" s="149"/>
      <c r="J86" s="147">
        <v>7</v>
      </c>
      <c r="K86" s="148"/>
      <c r="L86" s="145"/>
      <c r="M86" s="147">
        <v>7</v>
      </c>
      <c r="N86" s="146"/>
      <c r="O86" s="145">
        <v>4</v>
      </c>
      <c r="P86" s="147">
        <v>7</v>
      </c>
      <c r="Q86" s="146"/>
      <c r="R86" s="145">
        <v>7</v>
      </c>
    </row>
    <row r="87" spans="2:18" ht="24.95" customHeight="1" x14ac:dyDescent="0.25">
      <c r="B87" s="162" t="s">
        <v>108</v>
      </c>
      <c r="C87" s="153"/>
      <c r="D87" s="147">
        <v>2</v>
      </c>
      <c r="E87" s="149">
        <v>0</v>
      </c>
      <c r="F87" s="147">
        <v>3</v>
      </c>
      <c r="G87" s="149">
        <v>2</v>
      </c>
      <c r="H87" s="147">
        <v>7</v>
      </c>
      <c r="I87" s="149"/>
      <c r="J87" s="147">
        <v>7</v>
      </c>
      <c r="K87" s="148">
        <v>1</v>
      </c>
      <c r="L87" s="145"/>
      <c r="M87" s="147">
        <v>8</v>
      </c>
      <c r="N87" s="146"/>
      <c r="O87" s="145">
        <v>3</v>
      </c>
      <c r="P87" s="147">
        <v>8</v>
      </c>
      <c r="Q87" s="146"/>
      <c r="R87" s="145">
        <v>7</v>
      </c>
    </row>
    <row r="88" spans="2:18" ht="24.95" customHeight="1" x14ac:dyDescent="0.25">
      <c r="B88" s="163" t="s">
        <v>110</v>
      </c>
      <c r="C88" s="150"/>
      <c r="D88" s="147">
        <v>2</v>
      </c>
      <c r="E88" s="149">
        <v>1</v>
      </c>
      <c r="F88" s="147">
        <v>6</v>
      </c>
      <c r="G88" s="149">
        <v>1</v>
      </c>
      <c r="H88" s="147">
        <v>9</v>
      </c>
      <c r="I88" s="149"/>
      <c r="J88" s="147">
        <v>10</v>
      </c>
      <c r="K88" s="148"/>
      <c r="L88" s="145"/>
      <c r="M88" s="147">
        <v>10</v>
      </c>
      <c r="N88" s="146"/>
      <c r="O88" s="145">
        <v>5</v>
      </c>
      <c r="P88" s="147">
        <v>10</v>
      </c>
      <c r="Q88" s="146"/>
      <c r="R88" s="145">
        <v>9</v>
      </c>
    </row>
    <row r="89" spans="2:18" ht="24.95" customHeight="1" x14ac:dyDescent="0.25">
      <c r="B89" s="162" t="s">
        <v>112</v>
      </c>
      <c r="C89" s="150"/>
      <c r="D89" s="147">
        <v>3</v>
      </c>
      <c r="E89" s="149">
        <v>0</v>
      </c>
      <c r="F89" s="147">
        <v>4</v>
      </c>
      <c r="G89" s="149">
        <v>1</v>
      </c>
      <c r="H89" s="147">
        <v>5</v>
      </c>
      <c r="I89" s="149"/>
      <c r="J89" s="147">
        <v>5</v>
      </c>
      <c r="K89" s="148">
        <v>1</v>
      </c>
      <c r="L89" s="145"/>
      <c r="M89" s="147">
        <v>5</v>
      </c>
      <c r="N89" s="146"/>
      <c r="O89" s="145">
        <v>2</v>
      </c>
      <c r="P89" s="147">
        <v>5</v>
      </c>
      <c r="Q89" s="146"/>
      <c r="R89" s="145">
        <v>5</v>
      </c>
    </row>
    <row r="90" spans="2:18" ht="24.95" customHeight="1" thickBot="1" x14ac:dyDescent="0.3">
      <c r="B90" s="161" t="s">
        <v>114</v>
      </c>
      <c r="C90" s="143"/>
      <c r="D90" s="140">
        <v>1</v>
      </c>
      <c r="E90" s="142">
        <v>1</v>
      </c>
      <c r="F90" s="140">
        <v>3</v>
      </c>
      <c r="G90" s="142"/>
      <c r="H90" s="140">
        <v>3</v>
      </c>
      <c r="I90" s="142"/>
      <c r="J90" s="140">
        <v>3</v>
      </c>
      <c r="K90" s="141">
        <v>1</v>
      </c>
      <c r="L90" s="138"/>
      <c r="M90" s="140">
        <v>4</v>
      </c>
      <c r="N90" s="139"/>
      <c r="O90" s="138">
        <v>1</v>
      </c>
      <c r="P90" s="140">
        <v>4</v>
      </c>
      <c r="Q90" s="139"/>
      <c r="R90" s="138">
        <v>3</v>
      </c>
    </row>
    <row r="91" spans="2:18" ht="24.95" customHeight="1" thickBot="1" x14ac:dyDescent="0.3">
      <c r="B91" s="160" t="s">
        <v>116</v>
      </c>
      <c r="C91" s="154"/>
      <c r="D91" s="157">
        <v>0</v>
      </c>
      <c r="E91" s="159">
        <v>1</v>
      </c>
      <c r="F91" s="157">
        <v>2</v>
      </c>
      <c r="G91" s="159">
        <v>1</v>
      </c>
      <c r="H91" s="157">
        <v>6</v>
      </c>
      <c r="I91" s="159">
        <v>2</v>
      </c>
      <c r="J91" s="157">
        <v>9</v>
      </c>
      <c r="K91" s="158"/>
      <c r="L91" s="155"/>
      <c r="M91" s="157">
        <v>8</v>
      </c>
      <c r="N91" s="156"/>
      <c r="O91" s="155">
        <v>4</v>
      </c>
      <c r="P91" s="157">
        <v>8</v>
      </c>
      <c r="Q91" s="156"/>
      <c r="R91" s="155">
        <v>7</v>
      </c>
    </row>
    <row r="92" spans="2:18" ht="24.95" customHeight="1" thickBot="1" x14ac:dyDescent="0.3">
      <c r="B92" s="151" t="s">
        <v>118</v>
      </c>
      <c r="C92" s="154"/>
      <c r="D92" s="147">
        <v>1</v>
      </c>
      <c r="E92" s="149">
        <v>0</v>
      </c>
      <c r="F92" s="147">
        <v>2</v>
      </c>
      <c r="G92" s="149">
        <v>1</v>
      </c>
      <c r="H92" s="147">
        <v>5</v>
      </c>
      <c r="I92" s="149"/>
      <c r="J92" s="147">
        <v>5</v>
      </c>
      <c r="K92" s="148"/>
      <c r="L92" s="145"/>
      <c r="M92" s="147">
        <v>5</v>
      </c>
      <c r="N92" s="146"/>
      <c r="O92" s="145">
        <v>2</v>
      </c>
      <c r="P92" s="147">
        <v>5</v>
      </c>
      <c r="Q92" s="146"/>
      <c r="R92" s="145">
        <v>5</v>
      </c>
    </row>
    <row r="93" spans="2:18" ht="24.95" customHeight="1" x14ac:dyDescent="0.25">
      <c r="B93" s="152" t="s">
        <v>120</v>
      </c>
      <c r="C93" s="154"/>
      <c r="D93" s="147">
        <v>1</v>
      </c>
      <c r="E93" s="149">
        <v>2</v>
      </c>
      <c r="F93" s="147">
        <v>4</v>
      </c>
      <c r="G93" s="149">
        <v>2</v>
      </c>
      <c r="H93" s="147">
        <v>9</v>
      </c>
      <c r="I93" s="149"/>
      <c r="J93" s="147">
        <v>12</v>
      </c>
      <c r="K93" s="148"/>
      <c r="L93" s="145"/>
      <c r="M93" s="147">
        <v>12</v>
      </c>
      <c r="N93" s="146"/>
      <c r="O93" s="145">
        <v>5</v>
      </c>
      <c r="P93" s="147">
        <v>12</v>
      </c>
      <c r="Q93" s="146"/>
      <c r="R93" s="145">
        <v>10</v>
      </c>
    </row>
    <row r="94" spans="2:18" ht="24.95" customHeight="1" x14ac:dyDescent="0.25">
      <c r="B94" s="151" t="s">
        <v>122</v>
      </c>
      <c r="C94" s="150"/>
      <c r="D94" s="147">
        <v>1</v>
      </c>
      <c r="E94" s="149">
        <v>1</v>
      </c>
      <c r="F94" s="147">
        <v>3</v>
      </c>
      <c r="G94" s="149">
        <v>1</v>
      </c>
      <c r="H94" s="147">
        <v>6</v>
      </c>
      <c r="I94" s="149">
        <v>1</v>
      </c>
      <c r="J94" s="147">
        <v>7</v>
      </c>
      <c r="K94" s="148"/>
      <c r="L94" s="145"/>
      <c r="M94" s="147">
        <v>7</v>
      </c>
      <c r="N94" s="146"/>
      <c r="O94" s="145">
        <v>3</v>
      </c>
      <c r="P94" s="147">
        <v>7</v>
      </c>
      <c r="Q94" s="146"/>
      <c r="R94" s="145">
        <v>7</v>
      </c>
    </row>
    <row r="95" spans="2:18" ht="24.95" customHeight="1" x14ac:dyDescent="0.25">
      <c r="B95" s="152" t="s">
        <v>124</v>
      </c>
      <c r="C95" s="153"/>
      <c r="D95" s="147">
        <v>0</v>
      </c>
      <c r="E95" s="149">
        <v>3</v>
      </c>
      <c r="F95" s="147">
        <v>4</v>
      </c>
      <c r="G95" s="149"/>
      <c r="H95" s="147">
        <v>6</v>
      </c>
      <c r="I95" s="149">
        <v>1</v>
      </c>
      <c r="J95" s="147">
        <v>7</v>
      </c>
      <c r="K95" s="148"/>
      <c r="L95" s="145"/>
      <c r="M95" s="147">
        <v>7</v>
      </c>
      <c r="N95" s="146"/>
      <c r="O95" s="145">
        <v>3</v>
      </c>
      <c r="P95" s="147">
        <v>7</v>
      </c>
      <c r="Q95" s="146"/>
      <c r="R95" s="145">
        <v>6</v>
      </c>
    </row>
    <row r="96" spans="2:18" ht="24.95" customHeight="1" x14ac:dyDescent="0.25">
      <c r="B96" s="151" t="s">
        <v>126</v>
      </c>
      <c r="C96" s="153"/>
      <c r="D96" s="147">
        <v>0</v>
      </c>
      <c r="E96" s="149">
        <v>1</v>
      </c>
      <c r="F96" s="147">
        <v>6</v>
      </c>
      <c r="G96" s="149">
        <v>3</v>
      </c>
      <c r="H96" s="147">
        <v>9</v>
      </c>
      <c r="I96" s="149"/>
      <c r="J96" s="147">
        <v>8</v>
      </c>
      <c r="K96" s="148">
        <v>2</v>
      </c>
      <c r="L96" s="145"/>
      <c r="M96" s="147">
        <v>10</v>
      </c>
      <c r="N96" s="146"/>
      <c r="O96" s="145">
        <v>4</v>
      </c>
      <c r="P96" s="147">
        <v>10</v>
      </c>
      <c r="Q96" s="146"/>
      <c r="R96" s="145">
        <v>8</v>
      </c>
    </row>
    <row r="97" spans="2:18" ht="24.95" customHeight="1" x14ac:dyDescent="0.25">
      <c r="B97" s="152" t="s">
        <v>128</v>
      </c>
      <c r="C97" s="153"/>
      <c r="D97" s="147">
        <v>2</v>
      </c>
      <c r="E97" s="149">
        <v>0</v>
      </c>
      <c r="F97" s="147">
        <v>7</v>
      </c>
      <c r="G97" s="149"/>
      <c r="H97" s="147">
        <v>8</v>
      </c>
      <c r="I97" s="149"/>
      <c r="J97" s="147">
        <v>7</v>
      </c>
      <c r="K97" s="148"/>
      <c r="L97" s="145"/>
      <c r="M97" s="147">
        <v>7</v>
      </c>
      <c r="N97" s="146"/>
      <c r="O97" s="145">
        <v>2</v>
      </c>
      <c r="P97" s="147">
        <v>7</v>
      </c>
      <c r="Q97" s="146"/>
      <c r="R97" s="145">
        <v>6</v>
      </c>
    </row>
    <row r="98" spans="2:18" ht="24.95" customHeight="1" x14ac:dyDescent="0.25">
      <c r="B98" s="151" t="s">
        <v>130</v>
      </c>
      <c r="C98" s="153"/>
      <c r="D98" s="147">
        <v>1</v>
      </c>
      <c r="E98" s="149">
        <v>0</v>
      </c>
      <c r="F98" s="147">
        <v>2</v>
      </c>
      <c r="G98" s="149">
        <v>1</v>
      </c>
      <c r="H98" s="147">
        <v>3</v>
      </c>
      <c r="I98" s="149"/>
      <c r="J98" s="147">
        <v>4</v>
      </c>
      <c r="K98" s="148">
        <v>1</v>
      </c>
      <c r="L98" s="145">
        <v>1</v>
      </c>
      <c r="M98" s="147">
        <v>5</v>
      </c>
      <c r="N98" s="146"/>
      <c r="O98" s="145">
        <v>4</v>
      </c>
      <c r="P98" s="147">
        <v>5</v>
      </c>
      <c r="Q98" s="146"/>
      <c r="R98" s="145">
        <v>5</v>
      </c>
    </row>
    <row r="99" spans="2:18" ht="24.95" customHeight="1" x14ac:dyDescent="0.25">
      <c r="B99" s="152" t="s">
        <v>132</v>
      </c>
      <c r="C99" s="153"/>
      <c r="D99" s="147">
        <v>2</v>
      </c>
      <c r="E99" s="149">
        <v>1</v>
      </c>
      <c r="F99" s="147">
        <v>5</v>
      </c>
      <c r="G99" s="149">
        <v>1</v>
      </c>
      <c r="H99" s="147">
        <v>6</v>
      </c>
      <c r="I99" s="149"/>
      <c r="J99" s="147">
        <v>8</v>
      </c>
      <c r="K99" s="148"/>
      <c r="L99" s="145"/>
      <c r="M99" s="147">
        <v>8</v>
      </c>
      <c r="N99" s="146"/>
      <c r="O99" s="145">
        <v>4</v>
      </c>
      <c r="P99" s="147">
        <v>8</v>
      </c>
      <c r="Q99" s="146"/>
      <c r="R99" s="145">
        <v>8</v>
      </c>
    </row>
    <row r="100" spans="2:18" ht="24.95" customHeight="1" x14ac:dyDescent="0.25">
      <c r="B100" s="151" t="s">
        <v>134</v>
      </c>
      <c r="C100" s="153"/>
      <c r="D100" s="147">
        <v>2</v>
      </c>
      <c r="E100" s="149">
        <v>0</v>
      </c>
      <c r="F100" s="147">
        <v>2</v>
      </c>
      <c r="G100" s="149">
        <v>4</v>
      </c>
      <c r="H100" s="147">
        <v>6</v>
      </c>
      <c r="I100" s="149">
        <v>1</v>
      </c>
      <c r="J100" s="147">
        <v>7</v>
      </c>
      <c r="K100" s="148">
        <v>1</v>
      </c>
      <c r="L100" s="145"/>
      <c r="M100" s="147">
        <v>8</v>
      </c>
      <c r="N100" s="146"/>
      <c r="O100" s="145">
        <v>3</v>
      </c>
      <c r="P100" s="147">
        <v>8</v>
      </c>
      <c r="Q100" s="146"/>
      <c r="R100" s="145">
        <v>7</v>
      </c>
    </row>
    <row r="101" spans="2:18" ht="24.95" customHeight="1" x14ac:dyDescent="0.25">
      <c r="B101" s="152" t="s">
        <v>136</v>
      </c>
      <c r="C101" s="153"/>
      <c r="D101" s="147">
        <v>0</v>
      </c>
      <c r="E101" s="149">
        <v>0</v>
      </c>
      <c r="F101" s="147">
        <v>0</v>
      </c>
      <c r="G101" s="149">
        <v>3</v>
      </c>
      <c r="H101" s="147">
        <v>5</v>
      </c>
      <c r="I101" s="149"/>
      <c r="J101" s="147">
        <v>5</v>
      </c>
      <c r="K101" s="148">
        <v>2</v>
      </c>
      <c r="L101" s="145"/>
      <c r="M101" s="147">
        <v>7</v>
      </c>
      <c r="N101" s="146"/>
      <c r="O101" s="145">
        <v>2</v>
      </c>
      <c r="P101" s="147">
        <v>7</v>
      </c>
      <c r="Q101" s="146"/>
      <c r="R101" s="145">
        <v>5</v>
      </c>
    </row>
    <row r="102" spans="2:18" ht="24.95" customHeight="1" x14ac:dyDescent="0.25">
      <c r="B102" s="151" t="s">
        <v>138</v>
      </c>
      <c r="C102" s="153"/>
      <c r="D102" s="147">
        <v>0</v>
      </c>
      <c r="E102" s="149"/>
      <c r="F102" s="147">
        <v>3</v>
      </c>
      <c r="G102" s="149"/>
      <c r="H102" s="147">
        <v>4</v>
      </c>
      <c r="I102" s="149"/>
      <c r="J102" s="147">
        <v>5</v>
      </c>
      <c r="K102" s="148"/>
      <c r="L102" s="145"/>
      <c r="M102" s="147">
        <v>5</v>
      </c>
      <c r="N102" s="146"/>
      <c r="O102" s="145">
        <v>3</v>
      </c>
      <c r="P102" s="147">
        <v>5</v>
      </c>
      <c r="Q102" s="146"/>
      <c r="R102" s="145">
        <v>5</v>
      </c>
    </row>
    <row r="103" spans="2:18" ht="24.95" customHeight="1" x14ac:dyDescent="0.25">
      <c r="B103" s="152" t="s">
        <v>140</v>
      </c>
      <c r="C103" s="150"/>
      <c r="D103" s="147">
        <v>2</v>
      </c>
      <c r="E103" s="149">
        <v>1</v>
      </c>
      <c r="F103" s="147">
        <v>5</v>
      </c>
      <c r="G103" s="149">
        <v>1</v>
      </c>
      <c r="H103" s="147">
        <v>9</v>
      </c>
      <c r="I103" s="149"/>
      <c r="J103" s="147">
        <v>9</v>
      </c>
      <c r="K103" s="148"/>
      <c r="L103" s="145"/>
      <c r="M103" s="147">
        <v>9</v>
      </c>
      <c r="N103" s="146"/>
      <c r="O103" s="145">
        <v>5</v>
      </c>
      <c r="P103" s="147">
        <v>9</v>
      </c>
      <c r="Q103" s="146"/>
      <c r="R103" s="145">
        <v>9</v>
      </c>
    </row>
    <row r="104" spans="2:18" ht="24.95" customHeight="1" x14ac:dyDescent="0.25">
      <c r="B104" s="151" t="s">
        <v>142</v>
      </c>
      <c r="C104" s="150"/>
      <c r="D104" s="147">
        <v>0</v>
      </c>
      <c r="E104" s="149">
        <v>1</v>
      </c>
      <c r="F104" s="147">
        <v>2</v>
      </c>
      <c r="G104" s="149">
        <v>2</v>
      </c>
      <c r="H104" s="147">
        <v>5</v>
      </c>
      <c r="I104" s="149"/>
      <c r="J104" s="147">
        <v>5</v>
      </c>
      <c r="K104" s="148">
        <v>1</v>
      </c>
      <c r="L104" s="145"/>
      <c r="M104" s="147">
        <v>6</v>
      </c>
      <c r="N104" s="146"/>
      <c r="O104" s="145">
        <v>2</v>
      </c>
      <c r="P104" s="147">
        <v>6</v>
      </c>
      <c r="Q104" s="146"/>
      <c r="R104" s="145">
        <v>6</v>
      </c>
    </row>
    <row r="105" spans="2:18" ht="24.95" customHeight="1" thickBot="1" x14ac:dyDescent="0.3">
      <c r="B105" s="144" t="s">
        <v>144</v>
      </c>
      <c r="C105" s="143"/>
      <c r="D105" s="140">
        <v>2</v>
      </c>
      <c r="E105" s="142">
        <v>0</v>
      </c>
      <c r="F105" s="140">
        <v>5</v>
      </c>
      <c r="G105" s="142"/>
      <c r="H105" s="140">
        <v>7</v>
      </c>
      <c r="I105" s="142">
        <v>1</v>
      </c>
      <c r="J105" s="140">
        <v>10</v>
      </c>
      <c r="K105" s="141"/>
      <c r="L105" s="138"/>
      <c r="M105" s="140">
        <v>10</v>
      </c>
      <c r="N105" s="139"/>
      <c r="O105" s="138">
        <v>4</v>
      </c>
      <c r="P105" s="140">
        <v>10</v>
      </c>
      <c r="Q105" s="139"/>
      <c r="R105" s="138">
        <v>9</v>
      </c>
    </row>
    <row r="106" spans="2:18" ht="24.95" customHeight="1" thickBot="1" x14ac:dyDescent="0.3">
      <c r="B106" s="164" t="s">
        <v>87</v>
      </c>
      <c r="C106" s="154"/>
      <c r="D106" s="157">
        <v>0</v>
      </c>
      <c r="E106" s="159"/>
      <c r="F106" s="157">
        <v>3</v>
      </c>
      <c r="G106" s="159">
        <v>2</v>
      </c>
      <c r="H106" s="157">
        <v>8</v>
      </c>
      <c r="I106" s="159"/>
      <c r="J106" s="157">
        <v>8</v>
      </c>
      <c r="K106" s="158"/>
      <c r="L106" s="155"/>
      <c r="M106" s="157">
        <v>8</v>
      </c>
      <c r="N106" s="156"/>
      <c r="O106" s="155">
        <v>1</v>
      </c>
      <c r="P106" s="157">
        <v>8</v>
      </c>
      <c r="Q106" s="156"/>
      <c r="R106" s="155">
        <v>6</v>
      </c>
    </row>
    <row r="107" spans="2:18" ht="24.95" customHeight="1" thickBot="1" x14ac:dyDescent="0.3">
      <c r="B107" s="162" t="s">
        <v>89</v>
      </c>
      <c r="C107" s="154"/>
      <c r="D107" s="147">
        <v>0</v>
      </c>
      <c r="E107" s="149"/>
      <c r="F107" s="147">
        <v>4</v>
      </c>
      <c r="G107" s="149">
        <v>2</v>
      </c>
      <c r="H107" s="147">
        <v>7</v>
      </c>
      <c r="I107" s="149"/>
      <c r="J107" s="147">
        <v>7</v>
      </c>
      <c r="K107" s="148"/>
      <c r="L107" s="145"/>
      <c r="M107" s="147">
        <v>7</v>
      </c>
      <c r="N107" s="146"/>
      <c r="O107" s="145">
        <v>1</v>
      </c>
      <c r="P107" s="147">
        <v>7</v>
      </c>
      <c r="Q107" s="146"/>
      <c r="R107" s="145">
        <v>5</v>
      </c>
    </row>
    <row r="108" spans="2:18" ht="24.95" customHeight="1" x14ac:dyDescent="0.25">
      <c r="B108" s="163" t="s">
        <v>91</v>
      </c>
      <c r="C108" s="154"/>
      <c r="D108" s="147">
        <v>0</v>
      </c>
      <c r="E108" s="149"/>
      <c r="F108" s="147">
        <v>2</v>
      </c>
      <c r="G108" s="149">
        <v>3</v>
      </c>
      <c r="H108" s="147">
        <v>6</v>
      </c>
      <c r="I108" s="149">
        <v>1</v>
      </c>
      <c r="J108" s="147">
        <v>7</v>
      </c>
      <c r="K108" s="148"/>
      <c r="L108" s="145"/>
      <c r="M108" s="147">
        <v>7</v>
      </c>
      <c r="N108" s="146"/>
      <c r="O108" s="145">
        <v>1</v>
      </c>
      <c r="P108" s="147">
        <v>7</v>
      </c>
      <c r="Q108" s="146"/>
      <c r="R108" s="145">
        <v>6</v>
      </c>
    </row>
    <row r="109" spans="2:18" ht="24.95" customHeight="1" x14ac:dyDescent="0.25">
      <c r="B109" s="162" t="s">
        <v>93</v>
      </c>
      <c r="C109" s="150"/>
      <c r="D109" s="147">
        <v>1</v>
      </c>
      <c r="E109" s="149"/>
      <c r="F109" s="147">
        <v>4</v>
      </c>
      <c r="G109" s="149">
        <v>1</v>
      </c>
      <c r="H109" s="147">
        <v>7</v>
      </c>
      <c r="I109" s="149">
        <v>1</v>
      </c>
      <c r="J109" s="147">
        <v>9</v>
      </c>
      <c r="K109" s="148"/>
      <c r="L109" s="145"/>
      <c r="M109" s="147">
        <v>9</v>
      </c>
      <c r="N109" s="146"/>
      <c r="O109" s="145">
        <v>2</v>
      </c>
      <c r="P109" s="147">
        <v>9</v>
      </c>
      <c r="Q109" s="146"/>
      <c r="R109" s="145">
        <v>7</v>
      </c>
    </row>
    <row r="110" spans="2:18" ht="24.95" customHeight="1" x14ac:dyDescent="0.25">
      <c r="B110" s="163" t="s">
        <v>95</v>
      </c>
      <c r="C110" s="153"/>
      <c r="D110" s="147">
        <v>4</v>
      </c>
      <c r="E110" s="149">
        <v>0</v>
      </c>
      <c r="F110" s="147">
        <v>9</v>
      </c>
      <c r="G110" s="149">
        <v>1</v>
      </c>
      <c r="H110" s="147">
        <v>9</v>
      </c>
      <c r="I110" s="149"/>
      <c r="J110" s="147">
        <v>10</v>
      </c>
      <c r="K110" s="148"/>
      <c r="L110" s="145"/>
      <c r="M110" s="147">
        <v>10</v>
      </c>
      <c r="N110" s="146"/>
      <c r="O110" s="145">
        <v>3</v>
      </c>
      <c r="P110" s="147">
        <v>10</v>
      </c>
      <c r="Q110" s="146"/>
      <c r="R110" s="145">
        <v>8</v>
      </c>
    </row>
    <row r="111" spans="2:18" ht="24.95" customHeight="1" x14ac:dyDescent="0.25">
      <c r="B111" s="162" t="s">
        <v>97</v>
      </c>
      <c r="C111" s="153"/>
      <c r="D111" s="147">
        <v>0</v>
      </c>
      <c r="E111" s="149">
        <v>0</v>
      </c>
      <c r="F111" s="147">
        <v>6</v>
      </c>
      <c r="G111" s="149">
        <v>1</v>
      </c>
      <c r="H111" s="147">
        <v>8</v>
      </c>
      <c r="I111" s="149"/>
      <c r="J111" s="147">
        <v>8</v>
      </c>
      <c r="K111" s="148"/>
      <c r="L111" s="145"/>
      <c r="M111" s="147">
        <v>8</v>
      </c>
      <c r="N111" s="146"/>
      <c r="O111" s="145">
        <v>1</v>
      </c>
      <c r="P111" s="147">
        <v>8</v>
      </c>
      <c r="Q111" s="146"/>
      <c r="R111" s="145">
        <v>6</v>
      </c>
    </row>
    <row r="112" spans="2:18" ht="24.95" customHeight="1" x14ac:dyDescent="0.25">
      <c r="B112" s="163" t="s">
        <v>99</v>
      </c>
      <c r="C112" s="153"/>
      <c r="D112" s="147">
        <v>0</v>
      </c>
      <c r="E112" s="149"/>
      <c r="F112" s="147">
        <v>2</v>
      </c>
      <c r="G112" s="149">
        <v>2</v>
      </c>
      <c r="H112" s="147">
        <v>7</v>
      </c>
      <c r="I112" s="149">
        <v>3</v>
      </c>
      <c r="J112" s="147">
        <v>9</v>
      </c>
      <c r="K112" s="148"/>
      <c r="L112" s="145"/>
      <c r="M112" s="147">
        <v>9</v>
      </c>
      <c r="N112" s="146"/>
      <c r="O112" s="145">
        <v>2</v>
      </c>
      <c r="P112" s="147">
        <v>9</v>
      </c>
      <c r="Q112" s="146"/>
      <c r="R112" s="145">
        <v>7</v>
      </c>
    </row>
    <row r="113" spans="2:18" ht="24.95" customHeight="1" x14ac:dyDescent="0.25">
      <c r="B113" s="162" t="s">
        <v>101</v>
      </c>
      <c r="C113" s="153"/>
      <c r="D113" s="147">
        <v>0</v>
      </c>
      <c r="E113" s="149"/>
      <c r="F113" s="147">
        <v>0</v>
      </c>
      <c r="G113" s="149"/>
      <c r="H113" s="147">
        <v>2</v>
      </c>
      <c r="I113" s="149">
        <v>2</v>
      </c>
      <c r="J113" s="147">
        <v>5</v>
      </c>
      <c r="K113" s="148"/>
      <c r="L113" s="145"/>
      <c r="M113" s="147">
        <v>5</v>
      </c>
      <c r="N113" s="146"/>
      <c r="O113" s="145">
        <v>0</v>
      </c>
      <c r="P113" s="147">
        <v>5</v>
      </c>
      <c r="Q113" s="146"/>
      <c r="R113" s="145">
        <v>2</v>
      </c>
    </row>
    <row r="114" spans="2:18" ht="24.95" customHeight="1" x14ac:dyDescent="0.25">
      <c r="B114" s="163" t="s">
        <v>103</v>
      </c>
      <c r="C114" s="153"/>
      <c r="D114" s="147">
        <v>0</v>
      </c>
      <c r="E114" s="149"/>
      <c r="F114" s="147">
        <v>1</v>
      </c>
      <c r="G114" s="149">
        <v>2</v>
      </c>
      <c r="H114" s="147">
        <v>8</v>
      </c>
      <c r="I114" s="149">
        <v>1</v>
      </c>
      <c r="J114" s="147">
        <v>9</v>
      </c>
      <c r="K114" s="148"/>
      <c r="L114" s="145"/>
      <c r="M114" s="147">
        <v>9</v>
      </c>
      <c r="N114" s="146"/>
      <c r="O114" s="145">
        <v>2</v>
      </c>
      <c r="P114" s="147">
        <v>9</v>
      </c>
      <c r="Q114" s="146"/>
      <c r="R114" s="145">
        <v>6</v>
      </c>
    </row>
    <row r="115" spans="2:18" ht="24.95" customHeight="1" x14ac:dyDescent="0.25">
      <c r="B115" s="162" t="s">
        <v>105</v>
      </c>
      <c r="C115" s="153"/>
      <c r="D115" s="147">
        <v>2</v>
      </c>
      <c r="E115" s="149">
        <v>3</v>
      </c>
      <c r="F115" s="147">
        <v>10</v>
      </c>
      <c r="G115" s="149">
        <v>2</v>
      </c>
      <c r="H115" s="147">
        <v>11</v>
      </c>
      <c r="I115" s="149"/>
      <c r="J115" s="147">
        <v>10</v>
      </c>
      <c r="K115" s="148"/>
      <c r="L115" s="145"/>
      <c r="M115" s="147">
        <v>10</v>
      </c>
      <c r="N115" s="146"/>
      <c r="O115" s="145">
        <v>3</v>
      </c>
      <c r="P115" s="147">
        <v>10</v>
      </c>
      <c r="Q115" s="146"/>
      <c r="R115" s="145">
        <v>8</v>
      </c>
    </row>
    <row r="116" spans="2:18" ht="24.95" customHeight="1" x14ac:dyDescent="0.25">
      <c r="B116" s="163" t="s">
        <v>107</v>
      </c>
      <c r="C116" s="153"/>
      <c r="D116" s="147">
        <v>7</v>
      </c>
      <c r="E116" s="149">
        <v>2</v>
      </c>
      <c r="F116" s="147">
        <v>9</v>
      </c>
      <c r="G116" s="149">
        <v>1</v>
      </c>
      <c r="H116" s="147">
        <v>11</v>
      </c>
      <c r="I116" s="149"/>
      <c r="J116" s="147">
        <v>11</v>
      </c>
      <c r="K116" s="148"/>
      <c r="L116" s="145"/>
      <c r="M116" s="147">
        <v>11</v>
      </c>
      <c r="N116" s="146"/>
      <c r="O116" s="145">
        <v>2</v>
      </c>
      <c r="P116" s="147">
        <v>11</v>
      </c>
      <c r="Q116" s="146"/>
      <c r="R116" s="145">
        <v>8</v>
      </c>
    </row>
    <row r="117" spans="2:18" ht="24.95" customHeight="1" x14ac:dyDescent="0.25">
      <c r="B117" s="162" t="s">
        <v>109</v>
      </c>
      <c r="C117" s="153"/>
      <c r="D117" s="147">
        <v>0</v>
      </c>
      <c r="E117" s="149">
        <v>4</v>
      </c>
      <c r="F117" s="147">
        <v>9</v>
      </c>
      <c r="G117" s="149">
        <v>1</v>
      </c>
      <c r="H117" s="147">
        <v>13</v>
      </c>
      <c r="I117" s="149"/>
      <c r="J117" s="147">
        <v>12</v>
      </c>
      <c r="K117" s="148"/>
      <c r="L117" s="145"/>
      <c r="M117" s="147">
        <v>12</v>
      </c>
      <c r="N117" s="146"/>
      <c r="O117" s="145">
        <v>3</v>
      </c>
      <c r="P117" s="147">
        <v>12</v>
      </c>
      <c r="Q117" s="146"/>
      <c r="R117" s="145">
        <v>9</v>
      </c>
    </row>
    <row r="118" spans="2:18" ht="24.95" customHeight="1" x14ac:dyDescent="0.25">
      <c r="B118" s="163" t="s">
        <v>111</v>
      </c>
      <c r="C118" s="150"/>
      <c r="D118" s="147">
        <v>0</v>
      </c>
      <c r="E118" s="149">
        <v>3</v>
      </c>
      <c r="F118" s="147">
        <v>2</v>
      </c>
      <c r="G118" s="149">
        <v>4</v>
      </c>
      <c r="H118" s="147">
        <v>6</v>
      </c>
      <c r="I118" s="149">
        <v>1</v>
      </c>
      <c r="J118" s="147">
        <v>7</v>
      </c>
      <c r="K118" s="148"/>
      <c r="L118" s="145"/>
      <c r="M118" s="147">
        <v>7</v>
      </c>
      <c r="N118" s="146"/>
      <c r="O118" s="145">
        <v>1</v>
      </c>
      <c r="P118" s="147">
        <v>7</v>
      </c>
      <c r="Q118" s="146"/>
      <c r="R118" s="145">
        <v>5</v>
      </c>
    </row>
    <row r="119" spans="2:18" ht="24.95" customHeight="1" x14ac:dyDescent="0.25">
      <c r="B119" s="162" t="s">
        <v>113</v>
      </c>
      <c r="C119" s="150"/>
      <c r="D119" s="147">
        <v>0</v>
      </c>
      <c r="E119" s="149"/>
      <c r="F119" s="147">
        <v>3</v>
      </c>
      <c r="G119" s="149">
        <v>3</v>
      </c>
      <c r="H119" s="147">
        <v>6</v>
      </c>
      <c r="I119" s="149">
        <v>2</v>
      </c>
      <c r="J119" s="147">
        <v>8</v>
      </c>
      <c r="K119" s="148"/>
      <c r="L119" s="145"/>
      <c r="M119" s="147">
        <v>8</v>
      </c>
      <c r="N119" s="146"/>
      <c r="O119" s="145">
        <v>2</v>
      </c>
      <c r="P119" s="147">
        <v>8</v>
      </c>
      <c r="Q119" s="146"/>
      <c r="R119" s="145">
        <v>6</v>
      </c>
    </row>
    <row r="120" spans="2:18" ht="24.95" customHeight="1" thickBot="1" x14ac:dyDescent="0.3">
      <c r="B120" s="161" t="s">
        <v>115</v>
      </c>
      <c r="C120" s="143"/>
      <c r="D120" s="140">
        <v>0</v>
      </c>
      <c r="E120" s="142"/>
      <c r="F120" s="140">
        <v>2</v>
      </c>
      <c r="G120" s="142">
        <v>5</v>
      </c>
      <c r="H120" s="140">
        <v>10</v>
      </c>
      <c r="I120" s="142"/>
      <c r="J120" s="140">
        <v>10</v>
      </c>
      <c r="K120" s="141"/>
      <c r="L120" s="138"/>
      <c r="M120" s="140">
        <v>10</v>
      </c>
      <c r="N120" s="139"/>
      <c r="O120" s="138">
        <v>2</v>
      </c>
      <c r="P120" s="140">
        <v>10</v>
      </c>
      <c r="Q120" s="139"/>
      <c r="R120" s="138">
        <v>8</v>
      </c>
    </row>
    <row r="121" spans="2:18" ht="24.95" customHeight="1" thickBot="1" x14ac:dyDescent="0.3">
      <c r="B121" s="160" t="s">
        <v>117</v>
      </c>
      <c r="C121" s="154"/>
      <c r="D121" s="157">
        <v>2</v>
      </c>
      <c r="E121" s="159">
        <v>1</v>
      </c>
      <c r="F121" s="157">
        <v>6</v>
      </c>
      <c r="G121" s="159">
        <v>5</v>
      </c>
      <c r="H121" s="157">
        <v>11</v>
      </c>
      <c r="I121" s="159"/>
      <c r="J121" s="157">
        <v>11</v>
      </c>
      <c r="K121" s="158"/>
      <c r="L121" s="155"/>
      <c r="M121" s="157">
        <v>11</v>
      </c>
      <c r="N121" s="156"/>
      <c r="O121" s="155">
        <v>3</v>
      </c>
      <c r="P121" s="157">
        <v>11</v>
      </c>
      <c r="Q121" s="156"/>
      <c r="R121" s="155">
        <v>9</v>
      </c>
    </row>
    <row r="122" spans="2:18" ht="24.95" customHeight="1" thickBot="1" x14ac:dyDescent="0.3">
      <c r="B122" s="151" t="s">
        <v>119</v>
      </c>
      <c r="C122" s="154"/>
      <c r="D122" s="147">
        <v>1</v>
      </c>
      <c r="E122" s="149">
        <v>4</v>
      </c>
      <c r="F122" s="147">
        <v>11</v>
      </c>
      <c r="G122" s="149"/>
      <c r="H122" s="147">
        <v>11</v>
      </c>
      <c r="I122" s="149">
        <v>1</v>
      </c>
      <c r="J122" s="147">
        <v>12</v>
      </c>
      <c r="K122" s="148"/>
      <c r="L122" s="145"/>
      <c r="M122" s="147">
        <v>12</v>
      </c>
      <c r="N122" s="146"/>
      <c r="O122" s="145">
        <v>3</v>
      </c>
      <c r="P122" s="147">
        <v>12</v>
      </c>
      <c r="Q122" s="146"/>
      <c r="R122" s="145">
        <v>10</v>
      </c>
    </row>
    <row r="123" spans="2:18" ht="24.95" customHeight="1" x14ac:dyDescent="0.25">
      <c r="B123" s="152" t="s">
        <v>121</v>
      </c>
      <c r="C123" s="154"/>
      <c r="D123" s="147">
        <v>1</v>
      </c>
      <c r="E123" s="149">
        <v>2</v>
      </c>
      <c r="F123" s="147">
        <v>5</v>
      </c>
      <c r="G123" s="149">
        <v>2</v>
      </c>
      <c r="H123" s="147">
        <v>7</v>
      </c>
      <c r="I123" s="149"/>
      <c r="J123" s="147">
        <v>7</v>
      </c>
      <c r="K123" s="148"/>
      <c r="L123" s="145"/>
      <c r="M123" s="147">
        <v>7</v>
      </c>
      <c r="N123" s="146"/>
      <c r="O123" s="145">
        <v>1</v>
      </c>
      <c r="P123" s="147">
        <v>7</v>
      </c>
      <c r="Q123" s="146"/>
      <c r="R123" s="145">
        <v>5</v>
      </c>
    </row>
    <row r="124" spans="2:18" ht="24.95" customHeight="1" x14ac:dyDescent="0.25">
      <c r="B124" s="151" t="s">
        <v>123</v>
      </c>
      <c r="C124" s="150"/>
      <c r="D124" s="147">
        <v>2</v>
      </c>
      <c r="E124" s="149">
        <v>2</v>
      </c>
      <c r="F124" s="147">
        <v>6</v>
      </c>
      <c r="G124" s="149">
        <v>2</v>
      </c>
      <c r="H124" s="147">
        <v>10</v>
      </c>
      <c r="I124" s="149"/>
      <c r="J124" s="147">
        <v>8</v>
      </c>
      <c r="K124" s="148"/>
      <c r="L124" s="145"/>
      <c r="M124" s="147">
        <v>8</v>
      </c>
      <c r="N124" s="146"/>
      <c r="O124" s="145">
        <v>2</v>
      </c>
      <c r="P124" s="147">
        <v>8</v>
      </c>
      <c r="Q124" s="146"/>
      <c r="R124" s="145">
        <v>7</v>
      </c>
    </row>
    <row r="125" spans="2:18" ht="24.95" customHeight="1" x14ac:dyDescent="0.25">
      <c r="B125" s="152" t="s">
        <v>125</v>
      </c>
      <c r="C125" s="153"/>
      <c r="D125" s="147">
        <v>0</v>
      </c>
      <c r="E125" s="149">
        <v>3</v>
      </c>
      <c r="F125" s="147">
        <v>7</v>
      </c>
      <c r="G125" s="149">
        <v>2</v>
      </c>
      <c r="H125" s="147">
        <v>10</v>
      </c>
      <c r="I125" s="149"/>
      <c r="J125" s="147">
        <v>10</v>
      </c>
      <c r="K125" s="148"/>
      <c r="L125" s="145"/>
      <c r="M125" s="147">
        <v>10</v>
      </c>
      <c r="N125" s="146"/>
      <c r="O125" s="145">
        <v>1</v>
      </c>
      <c r="P125" s="147">
        <v>10</v>
      </c>
      <c r="Q125" s="146"/>
      <c r="R125" s="145">
        <v>7</v>
      </c>
    </row>
    <row r="126" spans="2:18" ht="24.95" customHeight="1" x14ac:dyDescent="0.25">
      <c r="B126" s="151" t="s">
        <v>127</v>
      </c>
      <c r="C126" s="153"/>
      <c r="D126" s="147">
        <v>4</v>
      </c>
      <c r="E126" s="149">
        <v>4</v>
      </c>
      <c r="F126" s="147">
        <v>8</v>
      </c>
      <c r="G126" s="149"/>
      <c r="H126" s="147">
        <v>10</v>
      </c>
      <c r="I126" s="149">
        <v>1</v>
      </c>
      <c r="J126" s="147">
        <v>11</v>
      </c>
      <c r="K126" s="148"/>
      <c r="L126" s="145"/>
      <c r="M126" s="147">
        <v>11</v>
      </c>
      <c r="N126" s="146"/>
      <c r="O126" s="145">
        <v>3</v>
      </c>
      <c r="P126" s="147">
        <v>11</v>
      </c>
      <c r="Q126" s="146"/>
      <c r="R126" s="145">
        <v>4</v>
      </c>
    </row>
    <row r="127" spans="2:18" ht="24.95" customHeight="1" x14ac:dyDescent="0.25">
      <c r="B127" s="152" t="s">
        <v>129</v>
      </c>
      <c r="C127" s="153"/>
      <c r="D127" s="147">
        <v>0</v>
      </c>
      <c r="E127" s="149">
        <v>2</v>
      </c>
      <c r="F127" s="147">
        <v>6</v>
      </c>
      <c r="G127" s="149"/>
      <c r="H127" s="147">
        <v>8</v>
      </c>
      <c r="I127" s="149"/>
      <c r="J127" s="147">
        <v>9</v>
      </c>
      <c r="K127" s="148"/>
      <c r="L127" s="145"/>
      <c r="M127" s="147">
        <v>8</v>
      </c>
      <c r="N127" s="146"/>
      <c r="O127" s="145">
        <v>1</v>
      </c>
      <c r="P127" s="147">
        <v>8</v>
      </c>
      <c r="Q127" s="146"/>
      <c r="R127" s="145">
        <v>5</v>
      </c>
    </row>
    <row r="128" spans="2:18" ht="24.95" customHeight="1" x14ac:dyDescent="0.25">
      <c r="B128" s="151" t="s">
        <v>131</v>
      </c>
      <c r="C128" s="153"/>
      <c r="D128" s="147">
        <v>6</v>
      </c>
      <c r="E128" s="149">
        <v>2</v>
      </c>
      <c r="F128" s="165">
        <v>9</v>
      </c>
      <c r="G128" s="149">
        <v>1</v>
      </c>
      <c r="H128" s="147">
        <v>11</v>
      </c>
      <c r="I128" s="149"/>
      <c r="J128" s="147">
        <v>11</v>
      </c>
      <c r="K128" s="148"/>
      <c r="L128" s="145"/>
      <c r="M128" s="147">
        <v>11</v>
      </c>
      <c r="N128" s="146"/>
      <c r="O128" s="145">
        <v>2</v>
      </c>
      <c r="P128" s="147">
        <v>11</v>
      </c>
      <c r="Q128" s="146"/>
      <c r="R128" s="145">
        <v>3</v>
      </c>
    </row>
    <row r="129" spans="2:18" ht="24.95" customHeight="1" x14ac:dyDescent="0.25">
      <c r="B129" s="152" t="s">
        <v>133</v>
      </c>
      <c r="C129" s="153"/>
      <c r="D129" s="147">
        <v>1</v>
      </c>
      <c r="E129" s="149">
        <v>3</v>
      </c>
      <c r="F129" s="147">
        <v>6</v>
      </c>
      <c r="G129" s="149">
        <v>1</v>
      </c>
      <c r="H129" s="147">
        <v>8</v>
      </c>
      <c r="I129" s="149">
        <v>2</v>
      </c>
      <c r="J129" s="147">
        <v>9</v>
      </c>
      <c r="K129" s="148">
        <v>1</v>
      </c>
      <c r="L129" s="145"/>
      <c r="M129" s="147">
        <v>10</v>
      </c>
      <c r="N129" s="146"/>
      <c r="O129" s="145">
        <v>1</v>
      </c>
      <c r="P129" s="147">
        <v>10</v>
      </c>
      <c r="Q129" s="146"/>
      <c r="R129" s="145">
        <v>8</v>
      </c>
    </row>
    <row r="130" spans="2:18" ht="24.95" customHeight="1" x14ac:dyDescent="0.25">
      <c r="B130" s="151" t="s">
        <v>135</v>
      </c>
      <c r="C130" s="153"/>
      <c r="D130" s="147">
        <v>3</v>
      </c>
      <c r="E130" s="149"/>
      <c r="F130" s="147">
        <v>7</v>
      </c>
      <c r="G130" s="149">
        <v>1</v>
      </c>
      <c r="H130" s="147">
        <v>7</v>
      </c>
      <c r="I130" s="149"/>
      <c r="J130" s="147">
        <v>7</v>
      </c>
      <c r="K130" s="148">
        <v>1</v>
      </c>
      <c r="L130" s="145"/>
      <c r="M130" s="147">
        <v>8</v>
      </c>
      <c r="N130" s="146"/>
      <c r="O130" s="145">
        <v>1</v>
      </c>
      <c r="P130" s="147">
        <v>8</v>
      </c>
      <c r="Q130" s="146"/>
      <c r="R130" s="145">
        <v>5</v>
      </c>
    </row>
    <row r="131" spans="2:18" ht="24.95" customHeight="1" x14ac:dyDescent="0.25">
      <c r="B131" s="152" t="s">
        <v>137</v>
      </c>
      <c r="C131" s="153"/>
      <c r="D131" s="147">
        <v>6</v>
      </c>
      <c r="E131" s="149">
        <v>1</v>
      </c>
      <c r="F131" s="147">
        <v>10</v>
      </c>
      <c r="G131" s="149">
        <v>1</v>
      </c>
      <c r="H131" s="147">
        <v>11</v>
      </c>
      <c r="I131" s="149"/>
      <c r="J131" s="147">
        <v>11</v>
      </c>
      <c r="K131" s="148"/>
      <c r="L131" s="145"/>
      <c r="M131" s="147">
        <v>11</v>
      </c>
      <c r="N131" s="146"/>
      <c r="O131" s="145">
        <v>1</v>
      </c>
      <c r="P131" s="147">
        <v>11</v>
      </c>
      <c r="Q131" s="146"/>
      <c r="R131" s="145">
        <v>8</v>
      </c>
    </row>
    <row r="132" spans="2:18" ht="24.95" customHeight="1" x14ac:dyDescent="0.25">
      <c r="B132" s="151" t="s">
        <v>139</v>
      </c>
      <c r="C132" s="153"/>
      <c r="D132" s="147">
        <v>5</v>
      </c>
      <c r="E132" s="149">
        <v>3</v>
      </c>
      <c r="F132" s="147">
        <v>9</v>
      </c>
      <c r="G132" s="149">
        <v>2</v>
      </c>
      <c r="H132" s="147">
        <v>12</v>
      </c>
      <c r="I132" s="149"/>
      <c r="J132" s="147">
        <v>12</v>
      </c>
      <c r="K132" s="148"/>
      <c r="L132" s="145"/>
      <c r="M132" s="147">
        <v>12</v>
      </c>
      <c r="N132" s="146"/>
      <c r="O132" s="145">
        <v>2</v>
      </c>
      <c r="P132" s="147">
        <v>12</v>
      </c>
      <c r="Q132" s="146"/>
      <c r="R132" s="145">
        <v>10</v>
      </c>
    </row>
    <row r="133" spans="2:18" ht="24.95" customHeight="1" x14ac:dyDescent="0.25">
      <c r="B133" s="152" t="s">
        <v>141</v>
      </c>
      <c r="C133" s="150"/>
      <c r="D133" s="147">
        <v>1</v>
      </c>
      <c r="E133" s="149">
        <v>1</v>
      </c>
      <c r="F133" s="147">
        <v>6</v>
      </c>
      <c r="G133" s="149">
        <v>1</v>
      </c>
      <c r="H133" s="147">
        <v>10</v>
      </c>
      <c r="I133" s="149"/>
      <c r="J133" s="147">
        <v>10</v>
      </c>
      <c r="K133" s="148"/>
      <c r="L133" s="145"/>
      <c r="M133" s="147">
        <v>10</v>
      </c>
      <c r="N133" s="146"/>
      <c r="O133" s="145">
        <v>2</v>
      </c>
      <c r="P133" s="147">
        <v>10</v>
      </c>
      <c r="Q133" s="146"/>
      <c r="R133" s="145">
        <v>8</v>
      </c>
    </row>
    <row r="134" spans="2:18" ht="24.95" customHeight="1" x14ac:dyDescent="0.25">
      <c r="B134" s="151" t="s">
        <v>143</v>
      </c>
      <c r="C134" s="150"/>
      <c r="D134" s="147">
        <v>2</v>
      </c>
      <c r="E134" s="149">
        <v>4</v>
      </c>
      <c r="F134" s="147">
        <v>5</v>
      </c>
      <c r="G134" s="149">
        <v>1</v>
      </c>
      <c r="H134" s="147">
        <v>7</v>
      </c>
      <c r="I134" s="149"/>
      <c r="J134" s="147">
        <v>7</v>
      </c>
      <c r="K134" s="148"/>
      <c r="L134" s="145"/>
      <c r="M134" s="147">
        <v>7</v>
      </c>
      <c r="N134" s="146"/>
      <c r="O134" s="145">
        <v>0</v>
      </c>
      <c r="P134" s="147">
        <v>7</v>
      </c>
      <c r="Q134" s="146"/>
      <c r="R134" s="145">
        <v>4</v>
      </c>
    </row>
    <row r="135" spans="2:18" ht="24.95" customHeight="1" thickBot="1" x14ac:dyDescent="0.3">
      <c r="B135" s="144" t="s">
        <v>145</v>
      </c>
      <c r="C135" s="143"/>
      <c r="D135" s="140">
        <v>2</v>
      </c>
      <c r="E135" s="142">
        <v>3</v>
      </c>
      <c r="F135" s="140">
        <v>6</v>
      </c>
      <c r="G135" s="142"/>
      <c r="H135" s="140">
        <v>7</v>
      </c>
      <c r="I135" s="142">
        <v>1</v>
      </c>
      <c r="J135" s="140">
        <v>9</v>
      </c>
      <c r="K135" s="141">
        <v>1</v>
      </c>
      <c r="L135" s="138"/>
      <c r="M135" s="140">
        <v>9</v>
      </c>
      <c r="N135" s="139"/>
      <c r="O135" s="138">
        <v>2</v>
      </c>
      <c r="P135" s="140">
        <v>9</v>
      </c>
      <c r="Q135" s="139"/>
      <c r="R135" s="138">
        <v>6</v>
      </c>
    </row>
    <row r="136" spans="2:18" ht="24.95" customHeight="1" thickBot="1" x14ac:dyDescent="0.3">
      <c r="B136" s="164" t="s">
        <v>146</v>
      </c>
      <c r="C136" s="154"/>
      <c r="D136" s="157">
        <v>3</v>
      </c>
      <c r="E136" s="159">
        <v>5</v>
      </c>
      <c r="F136" s="157">
        <v>11</v>
      </c>
      <c r="G136" s="159"/>
      <c r="H136" s="157">
        <v>11</v>
      </c>
      <c r="I136" s="159"/>
      <c r="J136" s="157">
        <v>11</v>
      </c>
      <c r="K136" s="158"/>
      <c r="L136" s="155"/>
      <c r="M136" s="157">
        <v>11</v>
      </c>
      <c r="N136" s="156"/>
      <c r="O136" s="155">
        <v>4</v>
      </c>
      <c r="P136" s="157">
        <v>11</v>
      </c>
      <c r="Q136" s="156"/>
      <c r="R136" s="155">
        <v>9</v>
      </c>
    </row>
    <row r="137" spans="2:18" ht="24.95" customHeight="1" thickBot="1" x14ac:dyDescent="0.3">
      <c r="B137" s="162" t="s">
        <v>148</v>
      </c>
      <c r="C137" s="154"/>
      <c r="D137" s="147">
        <v>2</v>
      </c>
      <c r="E137" s="149">
        <v>2</v>
      </c>
      <c r="F137" s="147">
        <v>3</v>
      </c>
      <c r="G137" s="149">
        <v>1</v>
      </c>
      <c r="H137" s="147">
        <v>8</v>
      </c>
      <c r="I137" s="149"/>
      <c r="J137" s="147">
        <v>8</v>
      </c>
      <c r="K137" s="148"/>
      <c r="L137" s="145"/>
      <c r="M137" s="147">
        <v>8</v>
      </c>
      <c r="N137" s="146"/>
      <c r="O137" s="145">
        <v>2</v>
      </c>
      <c r="P137" s="147">
        <v>8</v>
      </c>
      <c r="Q137" s="146"/>
      <c r="R137" s="145">
        <v>5</v>
      </c>
    </row>
    <row r="138" spans="2:18" ht="24.95" customHeight="1" x14ac:dyDescent="0.25">
      <c r="B138" s="163" t="s">
        <v>150</v>
      </c>
      <c r="C138" s="154"/>
      <c r="D138" s="147">
        <v>0</v>
      </c>
      <c r="E138" s="149"/>
      <c r="F138" s="147">
        <v>5</v>
      </c>
      <c r="G138" s="149">
        <v>2</v>
      </c>
      <c r="H138" s="147">
        <v>7</v>
      </c>
      <c r="I138" s="149">
        <v>1</v>
      </c>
      <c r="J138" s="147">
        <v>10</v>
      </c>
      <c r="K138" s="148"/>
      <c r="L138" s="145"/>
      <c r="M138" s="147">
        <v>11</v>
      </c>
      <c r="N138" s="146"/>
      <c r="O138" s="145">
        <v>3</v>
      </c>
      <c r="P138" s="147">
        <v>11</v>
      </c>
      <c r="Q138" s="146"/>
      <c r="R138" s="145">
        <v>6</v>
      </c>
    </row>
    <row r="139" spans="2:18" ht="24.95" customHeight="1" x14ac:dyDescent="0.25">
      <c r="B139" s="162" t="s">
        <v>152</v>
      </c>
      <c r="C139" s="150"/>
      <c r="D139" s="147">
        <v>2</v>
      </c>
      <c r="E139" s="149">
        <v>1</v>
      </c>
      <c r="F139" s="147">
        <v>6</v>
      </c>
      <c r="G139" s="149">
        <v>3</v>
      </c>
      <c r="H139" s="147">
        <v>10</v>
      </c>
      <c r="I139" s="149"/>
      <c r="J139" s="147">
        <v>12</v>
      </c>
      <c r="K139" s="148"/>
      <c r="L139" s="145"/>
      <c r="M139" s="147">
        <v>12</v>
      </c>
      <c r="N139" s="146"/>
      <c r="O139" s="145">
        <v>4</v>
      </c>
      <c r="P139" s="147">
        <v>12</v>
      </c>
      <c r="Q139" s="146"/>
      <c r="R139" s="145">
        <v>11</v>
      </c>
    </row>
    <row r="140" spans="2:18" ht="24.95" customHeight="1" x14ac:dyDescent="0.25">
      <c r="B140" s="163" t="s">
        <v>154</v>
      </c>
      <c r="C140" s="153"/>
      <c r="D140" s="147">
        <v>3</v>
      </c>
      <c r="E140" s="149">
        <v>2</v>
      </c>
      <c r="F140" s="147">
        <v>7</v>
      </c>
      <c r="G140" s="149">
        <v>2</v>
      </c>
      <c r="H140" s="147">
        <v>9</v>
      </c>
      <c r="I140" s="149"/>
      <c r="J140" s="147">
        <v>9</v>
      </c>
      <c r="K140" s="148"/>
      <c r="L140" s="145"/>
      <c r="M140" s="147">
        <v>9</v>
      </c>
      <c r="N140" s="146"/>
      <c r="O140" s="145">
        <v>2</v>
      </c>
      <c r="P140" s="147">
        <v>9</v>
      </c>
      <c r="Q140" s="146"/>
      <c r="R140" s="145">
        <v>8</v>
      </c>
    </row>
    <row r="141" spans="2:18" ht="24.95" customHeight="1" x14ac:dyDescent="0.25">
      <c r="B141" s="162" t="s">
        <v>156</v>
      </c>
      <c r="C141" s="153"/>
      <c r="D141" s="147">
        <v>2</v>
      </c>
      <c r="E141" s="149"/>
      <c r="F141" s="147">
        <v>4</v>
      </c>
      <c r="G141" s="149">
        <v>2</v>
      </c>
      <c r="H141" s="147">
        <v>8</v>
      </c>
      <c r="I141" s="149"/>
      <c r="J141" s="147">
        <v>8</v>
      </c>
      <c r="K141" s="148"/>
      <c r="L141" s="145"/>
      <c r="M141" s="147">
        <v>8</v>
      </c>
      <c r="N141" s="146"/>
      <c r="O141" s="145">
        <v>2</v>
      </c>
      <c r="P141" s="147">
        <v>8</v>
      </c>
      <c r="Q141" s="146"/>
      <c r="R141" s="145">
        <v>7</v>
      </c>
    </row>
    <row r="142" spans="2:18" ht="24.95" customHeight="1" x14ac:dyDescent="0.25">
      <c r="B142" s="163" t="s">
        <v>158</v>
      </c>
      <c r="C142" s="153"/>
      <c r="D142" s="147">
        <v>0</v>
      </c>
      <c r="E142" s="149">
        <v>1</v>
      </c>
      <c r="F142" s="147">
        <v>3</v>
      </c>
      <c r="G142" s="149">
        <v>2</v>
      </c>
      <c r="H142" s="147">
        <v>7</v>
      </c>
      <c r="I142" s="149">
        <v>1</v>
      </c>
      <c r="J142" s="147">
        <v>8</v>
      </c>
      <c r="K142" s="148"/>
      <c r="L142" s="145"/>
      <c r="M142" s="147">
        <v>8</v>
      </c>
      <c r="N142" s="146"/>
      <c r="O142" s="145">
        <v>1</v>
      </c>
      <c r="P142" s="147">
        <v>8</v>
      </c>
      <c r="Q142" s="146"/>
      <c r="R142" s="145">
        <v>5</v>
      </c>
    </row>
    <row r="143" spans="2:18" ht="24.95" customHeight="1" x14ac:dyDescent="0.25">
      <c r="B143" s="162" t="s">
        <v>160</v>
      </c>
      <c r="C143" s="153"/>
      <c r="D143" s="147">
        <v>0</v>
      </c>
      <c r="E143" s="149">
        <v>3</v>
      </c>
      <c r="F143" s="147">
        <v>6</v>
      </c>
      <c r="G143" s="149">
        <v>1</v>
      </c>
      <c r="H143" s="147">
        <v>8</v>
      </c>
      <c r="I143" s="149"/>
      <c r="J143" s="147">
        <v>8</v>
      </c>
      <c r="K143" s="148"/>
      <c r="L143" s="145">
        <v>1</v>
      </c>
      <c r="M143" s="147">
        <v>8</v>
      </c>
      <c r="N143" s="146"/>
      <c r="O143" s="145">
        <v>5</v>
      </c>
      <c r="P143" s="147">
        <v>8</v>
      </c>
      <c r="Q143" s="146"/>
      <c r="R143" s="145">
        <v>8</v>
      </c>
    </row>
    <row r="144" spans="2:18" ht="24.95" customHeight="1" x14ac:dyDescent="0.25">
      <c r="B144" s="163" t="s">
        <v>162</v>
      </c>
      <c r="C144" s="153"/>
      <c r="D144" s="147">
        <v>2</v>
      </c>
      <c r="E144" s="149">
        <v>1</v>
      </c>
      <c r="F144" s="147">
        <v>7</v>
      </c>
      <c r="G144" s="149">
        <v>2</v>
      </c>
      <c r="H144" s="147">
        <v>9</v>
      </c>
      <c r="I144" s="149">
        <v>2</v>
      </c>
      <c r="J144" s="147">
        <v>11</v>
      </c>
      <c r="K144" s="148"/>
      <c r="L144" s="145"/>
      <c r="M144" s="147">
        <v>10</v>
      </c>
      <c r="N144" s="146"/>
      <c r="O144" s="145">
        <v>5</v>
      </c>
      <c r="P144" s="147">
        <v>10</v>
      </c>
      <c r="Q144" s="146"/>
      <c r="R144" s="145">
        <v>8</v>
      </c>
    </row>
    <row r="145" spans="2:18" ht="24.95" customHeight="1" x14ac:dyDescent="0.25">
      <c r="B145" s="162" t="s">
        <v>164</v>
      </c>
      <c r="C145" s="153"/>
      <c r="D145" s="147">
        <v>1</v>
      </c>
      <c r="E145" s="149">
        <v>2</v>
      </c>
      <c r="F145" s="147">
        <v>4</v>
      </c>
      <c r="G145" s="149">
        <v>2</v>
      </c>
      <c r="H145" s="147">
        <v>8</v>
      </c>
      <c r="I145" s="149"/>
      <c r="J145" s="147">
        <v>8</v>
      </c>
      <c r="K145" s="148"/>
      <c r="L145" s="145"/>
      <c r="M145" s="147">
        <v>8</v>
      </c>
      <c r="N145" s="146"/>
      <c r="O145" s="145">
        <v>3</v>
      </c>
      <c r="P145" s="147">
        <v>8</v>
      </c>
      <c r="Q145" s="146"/>
      <c r="R145" s="145">
        <v>7</v>
      </c>
    </row>
    <row r="146" spans="2:18" ht="24.95" customHeight="1" x14ac:dyDescent="0.25">
      <c r="B146" s="163" t="s">
        <v>166</v>
      </c>
      <c r="C146" s="153"/>
      <c r="D146" s="147">
        <v>0</v>
      </c>
      <c r="E146" s="149">
        <v>3</v>
      </c>
      <c r="F146" s="147">
        <v>5</v>
      </c>
      <c r="G146" s="149">
        <v>2</v>
      </c>
      <c r="H146" s="147">
        <v>9</v>
      </c>
      <c r="I146" s="149">
        <v>1</v>
      </c>
      <c r="J146" s="147">
        <v>12</v>
      </c>
      <c r="K146" s="148"/>
      <c r="L146" s="145"/>
      <c r="M146" s="147">
        <v>12</v>
      </c>
      <c r="N146" s="146"/>
      <c r="O146" s="145">
        <v>4</v>
      </c>
      <c r="P146" s="147">
        <v>12</v>
      </c>
      <c r="Q146" s="146"/>
      <c r="R146" s="145">
        <v>10</v>
      </c>
    </row>
    <row r="147" spans="2:18" ht="24.95" customHeight="1" x14ac:dyDescent="0.25">
      <c r="B147" s="162" t="s">
        <v>168</v>
      </c>
      <c r="C147" s="153"/>
      <c r="D147" s="147">
        <v>2</v>
      </c>
      <c r="E147" s="149">
        <v>1</v>
      </c>
      <c r="F147" s="147">
        <v>5</v>
      </c>
      <c r="G147" s="149">
        <v>2</v>
      </c>
      <c r="H147" s="147">
        <v>9</v>
      </c>
      <c r="I147" s="149"/>
      <c r="J147" s="147">
        <v>9</v>
      </c>
      <c r="K147" s="148"/>
      <c r="L147" s="145"/>
      <c r="M147" s="147">
        <v>9</v>
      </c>
      <c r="N147" s="146"/>
      <c r="O147" s="145">
        <v>3</v>
      </c>
      <c r="P147" s="147">
        <v>9</v>
      </c>
      <c r="Q147" s="146"/>
      <c r="R147" s="145">
        <v>7</v>
      </c>
    </row>
    <row r="148" spans="2:18" ht="24.95" customHeight="1" x14ac:dyDescent="0.25">
      <c r="B148" s="163" t="s">
        <v>170</v>
      </c>
      <c r="C148" s="150"/>
      <c r="D148" s="147">
        <v>1</v>
      </c>
      <c r="E148" s="149">
        <v>3</v>
      </c>
      <c r="F148" s="147">
        <v>4</v>
      </c>
      <c r="G148" s="149">
        <v>1</v>
      </c>
      <c r="H148" s="147">
        <v>8</v>
      </c>
      <c r="I148" s="149"/>
      <c r="J148" s="147">
        <v>9</v>
      </c>
      <c r="K148" s="148"/>
      <c r="L148" s="145"/>
      <c r="M148" s="147">
        <v>9</v>
      </c>
      <c r="N148" s="146"/>
      <c r="O148" s="145">
        <v>4</v>
      </c>
      <c r="P148" s="147">
        <v>9</v>
      </c>
      <c r="Q148" s="146"/>
      <c r="R148" s="145">
        <v>8</v>
      </c>
    </row>
    <row r="149" spans="2:18" ht="24.95" customHeight="1" x14ac:dyDescent="0.25">
      <c r="B149" s="162" t="s">
        <v>172</v>
      </c>
      <c r="C149" s="150"/>
      <c r="D149" s="147">
        <v>0</v>
      </c>
      <c r="E149" s="149">
        <v>2</v>
      </c>
      <c r="F149" s="147">
        <v>5</v>
      </c>
      <c r="G149" s="149">
        <v>4</v>
      </c>
      <c r="H149" s="147">
        <v>8</v>
      </c>
      <c r="I149" s="149"/>
      <c r="J149" s="147">
        <v>8</v>
      </c>
      <c r="K149" s="148">
        <v>2</v>
      </c>
      <c r="L149" s="145"/>
      <c r="M149" s="147">
        <v>10</v>
      </c>
      <c r="N149" s="146"/>
      <c r="O149" s="145">
        <v>3</v>
      </c>
      <c r="P149" s="147">
        <v>10</v>
      </c>
      <c r="Q149" s="146"/>
      <c r="R149" s="145">
        <v>8</v>
      </c>
    </row>
    <row r="150" spans="2:18" ht="24.95" customHeight="1" thickBot="1" x14ac:dyDescent="0.3">
      <c r="B150" s="161" t="s">
        <v>174</v>
      </c>
      <c r="C150" s="143"/>
      <c r="D150" s="140">
        <v>1</v>
      </c>
      <c r="E150" s="142">
        <v>2</v>
      </c>
      <c r="F150" s="140">
        <v>5</v>
      </c>
      <c r="G150" s="142"/>
      <c r="H150" s="140">
        <v>7</v>
      </c>
      <c r="I150" s="142">
        <v>1</v>
      </c>
      <c r="J150" s="140">
        <v>8</v>
      </c>
      <c r="K150" s="141"/>
      <c r="L150" s="138"/>
      <c r="M150" s="140">
        <v>8</v>
      </c>
      <c r="N150" s="139"/>
      <c r="O150" s="138">
        <v>2</v>
      </c>
      <c r="P150" s="140">
        <v>8</v>
      </c>
      <c r="Q150" s="139"/>
      <c r="R150" s="138">
        <v>7</v>
      </c>
    </row>
    <row r="151" spans="2:18" ht="24.95" customHeight="1" thickBot="1" x14ac:dyDescent="0.3">
      <c r="B151" s="160" t="s">
        <v>176</v>
      </c>
      <c r="C151" s="154"/>
      <c r="D151" s="157">
        <v>0</v>
      </c>
      <c r="E151" s="159"/>
      <c r="F151" s="157">
        <v>1</v>
      </c>
      <c r="G151" s="159">
        <v>2</v>
      </c>
      <c r="H151" s="157">
        <v>7</v>
      </c>
      <c r="I151" s="159">
        <v>1</v>
      </c>
      <c r="J151" s="157">
        <v>7</v>
      </c>
      <c r="K151" s="158">
        <v>2</v>
      </c>
      <c r="L151" s="155"/>
      <c r="M151" s="157">
        <v>9</v>
      </c>
      <c r="N151" s="156"/>
      <c r="O151" s="155">
        <v>2</v>
      </c>
      <c r="P151" s="157">
        <v>9</v>
      </c>
      <c r="Q151" s="156"/>
      <c r="R151" s="155">
        <v>8</v>
      </c>
    </row>
    <row r="152" spans="2:18" ht="24.95" customHeight="1" thickBot="1" x14ac:dyDescent="0.3">
      <c r="B152" s="151" t="s">
        <v>178</v>
      </c>
      <c r="C152" s="154"/>
      <c r="D152" s="147">
        <v>0</v>
      </c>
      <c r="E152" s="149"/>
      <c r="F152" s="147">
        <v>1</v>
      </c>
      <c r="G152" s="149">
        <v>5</v>
      </c>
      <c r="H152" s="147">
        <v>7</v>
      </c>
      <c r="I152" s="149"/>
      <c r="J152" s="147">
        <v>7</v>
      </c>
      <c r="K152" s="148">
        <v>1</v>
      </c>
      <c r="L152" s="145"/>
      <c r="M152" s="147">
        <v>8</v>
      </c>
      <c r="N152" s="146"/>
      <c r="O152" s="145">
        <v>2</v>
      </c>
      <c r="P152" s="147">
        <v>8</v>
      </c>
      <c r="Q152" s="146"/>
      <c r="R152" s="145">
        <v>7</v>
      </c>
    </row>
    <row r="153" spans="2:18" ht="24.95" customHeight="1" x14ac:dyDescent="0.25">
      <c r="B153" s="152" t="s">
        <v>180</v>
      </c>
      <c r="C153" s="154"/>
      <c r="D153" s="147">
        <v>0</v>
      </c>
      <c r="E153" s="149">
        <v>1</v>
      </c>
      <c r="F153" s="147">
        <v>6</v>
      </c>
      <c r="G153" s="149">
        <v>1</v>
      </c>
      <c r="H153" s="147">
        <v>8</v>
      </c>
      <c r="I153" s="149"/>
      <c r="J153" s="147">
        <v>8</v>
      </c>
      <c r="K153" s="148"/>
      <c r="L153" s="145"/>
      <c r="M153" s="147">
        <v>8</v>
      </c>
      <c r="N153" s="146"/>
      <c r="O153" s="145">
        <v>1</v>
      </c>
      <c r="P153" s="147">
        <v>8</v>
      </c>
      <c r="Q153" s="146"/>
      <c r="R153" s="145">
        <v>5</v>
      </c>
    </row>
    <row r="154" spans="2:18" ht="24.95" customHeight="1" x14ac:dyDescent="0.25">
      <c r="B154" s="151" t="s">
        <v>182</v>
      </c>
      <c r="C154" s="150"/>
      <c r="D154" s="147">
        <v>0</v>
      </c>
      <c r="E154" s="149"/>
      <c r="F154" s="147">
        <v>5</v>
      </c>
      <c r="G154" s="149">
        <v>1</v>
      </c>
      <c r="H154" s="147">
        <v>10</v>
      </c>
      <c r="I154" s="149"/>
      <c r="J154" s="147">
        <v>12</v>
      </c>
      <c r="K154" s="148"/>
      <c r="L154" s="145"/>
      <c r="M154" s="147">
        <v>12</v>
      </c>
      <c r="N154" s="146"/>
      <c r="O154" s="145">
        <v>4</v>
      </c>
      <c r="P154" s="147">
        <v>12</v>
      </c>
      <c r="Q154" s="146"/>
      <c r="R154" s="145">
        <v>9</v>
      </c>
    </row>
    <row r="155" spans="2:18" ht="24.95" customHeight="1" x14ac:dyDescent="0.25">
      <c r="B155" s="152" t="s">
        <v>184</v>
      </c>
      <c r="C155" s="153"/>
      <c r="D155" s="147">
        <v>0</v>
      </c>
      <c r="E155" s="149"/>
      <c r="F155" s="147">
        <v>4</v>
      </c>
      <c r="G155" s="149">
        <v>1</v>
      </c>
      <c r="H155" s="147">
        <v>9</v>
      </c>
      <c r="I155" s="149"/>
      <c r="J155" s="147">
        <v>9</v>
      </c>
      <c r="K155" s="148"/>
      <c r="L155" s="145"/>
      <c r="M155" s="147">
        <v>9</v>
      </c>
      <c r="N155" s="146"/>
      <c r="O155" s="145">
        <v>2</v>
      </c>
      <c r="P155" s="147">
        <v>9</v>
      </c>
      <c r="Q155" s="146"/>
      <c r="R155" s="145">
        <v>7</v>
      </c>
    </row>
    <row r="156" spans="2:18" ht="24.95" customHeight="1" x14ac:dyDescent="0.25">
      <c r="B156" s="151" t="s">
        <v>186</v>
      </c>
      <c r="C156" s="153"/>
      <c r="D156" s="147">
        <v>0</v>
      </c>
      <c r="E156" s="149"/>
      <c r="F156" s="147">
        <v>1</v>
      </c>
      <c r="G156" s="149">
        <v>5</v>
      </c>
      <c r="H156" s="147">
        <v>7</v>
      </c>
      <c r="I156" s="149"/>
      <c r="J156" s="147">
        <v>7</v>
      </c>
      <c r="K156" s="148">
        <v>1</v>
      </c>
      <c r="L156" s="145"/>
      <c r="M156" s="147">
        <v>7</v>
      </c>
      <c r="N156" s="146"/>
      <c r="O156" s="145">
        <v>1</v>
      </c>
      <c r="P156" s="147">
        <v>7</v>
      </c>
      <c r="Q156" s="146"/>
      <c r="R156" s="145">
        <v>5</v>
      </c>
    </row>
    <row r="157" spans="2:18" ht="24.95" customHeight="1" x14ac:dyDescent="0.25">
      <c r="B157" s="152" t="s">
        <v>188</v>
      </c>
      <c r="C157" s="153"/>
      <c r="D157" s="147">
        <v>0</v>
      </c>
      <c r="E157" s="149"/>
      <c r="F157" s="147">
        <v>1</v>
      </c>
      <c r="G157" s="149">
        <v>3</v>
      </c>
      <c r="H157" s="147">
        <v>8</v>
      </c>
      <c r="I157" s="149"/>
      <c r="J157" s="147">
        <v>7</v>
      </c>
      <c r="K157" s="148"/>
      <c r="L157" s="145"/>
      <c r="M157" s="147">
        <v>7</v>
      </c>
      <c r="N157" s="146"/>
      <c r="O157" s="145">
        <v>2</v>
      </c>
      <c r="P157" s="147">
        <v>7</v>
      </c>
      <c r="Q157" s="146"/>
      <c r="R157" s="145">
        <v>7</v>
      </c>
    </row>
    <row r="158" spans="2:18" ht="24.95" customHeight="1" x14ac:dyDescent="0.25">
      <c r="B158" s="151" t="s">
        <v>190</v>
      </c>
      <c r="C158" s="153"/>
      <c r="D158" s="147">
        <v>0</v>
      </c>
      <c r="E158" s="149"/>
      <c r="F158" s="147">
        <v>0</v>
      </c>
      <c r="G158" s="149">
        <v>1</v>
      </c>
      <c r="H158" s="147">
        <v>1</v>
      </c>
      <c r="I158" s="149">
        <v>2</v>
      </c>
      <c r="J158" s="147">
        <v>1</v>
      </c>
      <c r="K158" s="148">
        <v>1</v>
      </c>
      <c r="L158" s="145"/>
      <c r="M158" s="147">
        <v>2</v>
      </c>
      <c r="N158" s="146"/>
      <c r="O158" s="145">
        <v>0</v>
      </c>
      <c r="P158" s="147">
        <v>2</v>
      </c>
      <c r="Q158" s="146"/>
      <c r="R158" s="145">
        <v>1</v>
      </c>
    </row>
    <row r="159" spans="2:18" ht="24.95" customHeight="1" x14ac:dyDescent="0.25">
      <c r="B159" s="152" t="s">
        <v>192</v>
      </c>
      <c r="C159" s="153"/>
      <c r="D159" s="147">
        <v>0</v>
      </c>
      <c r="E159" s="149"/>
      <c r="F159" s="147">
        <v>0</v>
      </c>
      <c r="G159" s="149">
        <v>2</v>
      </c>
      <c r="H159" s="147">
        <v>2</v>
      </c>
      <c r="I159" s="149">
        <v>1</v>
      </c>
      <c r="J159" s="147">
        <v>3</v>
      </c>
      <c r="K159" s="148">
        <v>1</v>
      </c>
      <c r="L159" s="145"/>
      <c r="M159" s="147">
        <v>3</v>
      </c>
      <c r="N159" s="146"/>
      <c r="O159" s="145">
        <v>0</v>
      </c>
      <c r="P159" s="147">
        <v>3</v>
      </c>
      <c r="Q159" s="146"/>
      <c r="R159" s="145">
        <v>1</v>
      </c>
    </row>
    <row r="160" spans="2:18" ht="24.95" customHeight="1" x14ac:dyDescent="0.25">
      <c r="B160" s="151" t="s">
        <v>194</v>
      </c>
      <c r="C160" s="153"/>
      <c r="D160" s="147">
        <v>0</v>
      </c>
      <c r="E160" s="149"/>
      <c r="F160" s="147">
        <v>1</v>
      </c>
      <c r="G160" s="149">
        <v>1</v>
      </c>
      <c r="H160" s="147">
        <v>8</v>
      </c>
      <c r="I160" s="149"/>
      <c r="J160" s="147">
        <v>8</v>
      </c>
      <c r="K160" s="148"/>
      <c r="L160" s="145"/>
      <c r="M160" s="147">
        <v>8</v>
      </c>
      <c r="N160" s="146"/>
      <c r="O160" s="145">
        <v>1</v>
      </c>
      <c r="P160" s="147">
        <v>8</v>
      </c>
      <c r="Q160" s="146"/>
      <c r="R160" s="145">
        <v>5</v>
      </c>
    </row>
    <row r="161" spans="2:18" ht="24.95" customHeight="1" x14ac:dyDescent="0.25">
      <c r="B161" s="152" t="s">
        <v>196</v>
      </c>
      <c r="C161" s="153"/>
      <c r="D161" s="147">
        <v>0</v>
      </c>
      <c r="E161" s="149"/>
      <c r="F161" s="147">
        <v>3</v>
      </c>
      <c r="G161" s="149">
        <v>1</v>
      </c>
      <c r="H161" s="147">
        <v>8</v>
      </c>
      <c r="I161" s="149">
        <v>1</v>
      </c>
      <c r="J161" s="147">
        <v>9</v>
      </c>
      <c r="K161" s="148"/>
      <c r="L161" s="145"/>
      <c r="M161" s="147">
        <v>9</v>
      </c>
      <c r="N161" s="146"/>
      <c r="O161" s="145">
        <v>3</v>
      </c>
      <c r="P161" s="147">
        <v>9</v>
      </c>
      <c r="Q161" s="146"/>
      <c r="R161" s="145">
        <v>7</v>
      </c>
    </row>
    <row r="162" spans="2:18" ht="24.95" customHeight="1" x14ac:dyDescent="0.25">
      <c r="B162" s="151" t="s">
        <v>198</v>
      </c>
      <c r="C162" s="153"/>
      <c r="D162" s="147">
        <v>0</v>
      </c>
      <c r="E162" s="149"/>
      <c r="F162" s="147">
        <v>1</v>
      </c>
      <c r="G162" s="149">
        <v>2</v>
      </c>
      <c r="H162" s="147">
        <v>6</v>
      </c>
      <c r="I162" s="149"/>
      <c r="J162" s="147">
        <v>7</v>
      </c>
      <c r="K162" s="148"/>
      <c r="L162" s="145"/>
      <c r="M162" s="147">
        <v>7</v>
      </c>
      <c r="N162" s="146"/>
      <c r="O162" s="145">
        <v>2</v>
      </c>
      <c r="P162" s="147">
        <v>7</v>
      </c>
      <c r="Q162" s="146"/>
      <c r="R162" s="145">
        <v>5</v>
      </c>
    </row>
    <row r="163" spans="2:18" ht="24.95" customHeight="1" x14ac:dyDescent="0.25">
      <c r="B163" s="152" t="s">
        <v>200</v>
      </c>
      <c r="C163" s="150"/>
      <c r="D163" s="147">
        <v>0</v>
      </c>
      <c r="E163" s="149"/>
      <c r="F163" s="147">
        <v>3</v>
      </c>
      <c r="G163" s="149">
        <v>1</v>
      </c>
      <c r="H163" s="147">
        <v>6</v>
      </c>
      <c r="I163" s="149">
        <v>2</v>
      </c>
      <c r="J163" s="147">
        <v>8</v>
      </c>
      <c r="K163" s="148">
        <v>1</v>
      </c>
      <c r="L163" s="145"/>
      <c r="M163" s="147">
        <v>9</v>
      </c>
      <c r="N163" s="146"/>
      <c r="O163" s="145">
        <v>2</v>
      </c>
      <c r="P163" s="147">
        <v>9</v>
      </c>
      <c r="Q163" s="146"/>
      <c r="R163" s="145">
        <v>7</v>
      </c>
    </row>
    <row r="164" spans="2:18" ht="24.95" customHeight="1" x14ac:dyDescent="0.25">
      <c r="B164" s="151" t="s">
        <v>202</v>
      </c>
      <c r="C164" s="150"/>
      <c r="D164" s="147">
        <v>0</v>
      </c>
      <c r="E164" s="149"/>
      <c r="F164" s="147">
        <v>3</v>
      </c>
      <c r="G164" s="149">
        <v>1</v>
      </c>
      <c r="H164" s="147">
        <v>6</v>
      </c>
      <c r="I164" s="149">
        <v>1</v>
      </c>
      <c r="J164" s="147">
        <v>8</v>
      </c>
      <c r="K164" s="148"/>
      <c r="L164" s="145"/>
      <c r="M164" s="147">
        <v>8</v>
      </c>
      <c r="N164" s="146"/>
      <c r="O164" s="145">
        <v>2</v>
      </c>
      <c r="P164" s="147">
        <v>8</v>
      </c>
      <c r="Q164" s="146"/>
      <c r="R164" s="145">
        <v>7</v>
      </c>
    </row>
    <row r="165" spans="2:18" ht="24.95" customHeight="1" thickBot="1" x14ac:dyDescent="0.3">
      <c r="B165" s="144" t="s">
        <v>204</v>
      </c>
      <c r="C165" s="143"/>
      <c r="D165" s="140">
        <v>0</v>
      </c>
      <c r="E165" s="142">
        <v>1</v>
      </c>
      <c r="F165" s="140">
        <v>2</v>
      </c>
      <c r="G165" s="142"/>
      <c r="H165" s="140">
        <v>5</v>
      </c>
      <c r="I165" s="142">
        <v>1</v>
      </c>
      <c r="J165" s="140">
        <v>6</v>
      </c>
      <c r="K165" s="141">
        <v>1</v>
      </c>
      <c r="L165" s="138"/>
      <c r="M165" s="140">
        <v>7</v>
      </c>
      <c r="N165" s="139"/>
      <c r="O165" s="138">
        <v>1</v>
      </c>
      <c r="P165" s="140">
        <v>7</v>
      </c>
      <c r="Q165" s="139"/>
      <c r="R165" s="138">
        <v>6</v>
      </c>
    </row>
    <row r="166" spans="2:18" ht="24.95" customHeight="1" thickBot="1" x14ac:dyDescent="0.3">
      <c r="B166" s="164" t="s">
        <v>147</v>
      </c>
      <c r="C166" s="154"/>
      <c r="D166" s="157">
        <v>2</v>
      </c>
      <c r="E166" s="159">
        <v>3</v>
      </c>
      <c r="F166" s="157">
        <v>6</v>
      </c>
      <c r="G166" s="159">
        <v>1</v>
      </c>
      <c r="H166" s="157">
        <v>9</v>
      </c>
      <c r="I166" s="159"/>
      <c r="J166" s="157">
        <v>8</v>
      </c>
      <c r="K166" s="158"/>
      <c r="L166" s="155"/>
      <c r="M166" s="157">
        <v>8</v>
      </c>
      <c r="N166" s="156"/>
      <c r="O166" s="155">
        <v>1</v>
      </c>
      <c r="P166" s="157">
        <v>8</v>
      </c>
      <c r="Q166" s="156"/>
      <c r="R166" s="155">
        <v>5</v>
      </c>
    </row>
    <row r="167" spans="2:18" ht="24.95" customHeight="1" thickBot="1" x14ac:dyDescent="0.3">
      <c r="B167" s="162" t="s">
        <v>149</v>
      </c>
      <c r="C167" s="154"/>
      <c r="D167" s="147">
        <v>3</v>
      </c>
      <c r="E167" s="149">
        <v>3</v>
      </c>
      <c r="F167" s="147">
        <v>8</v>
      </c>
      <c r="G167" s="149">
        <v>2</v>
      </c>
      <c r="H167" s="147">
        <v>10</v>
      </c>
      <c r="I167" s="149"/>
      <c r="J167" s="147">
        <v>9</v>
      </c>
      <c r="K167" s="148"/>
      <c r="L167" s="145"/>
      <c r="M167" s="147">
        <v>9</v>
      </c>
      <c r="N167" s="146"/>
      <c r="O167" s="145">
        <v>2</v>
      </c>
      <c r="P167" s="147">
        <v>9</v>
      </c>
      <c r="Q167" s="146"/>
      <c r="R167" s="145">
        <v>7</v>
      </c>
    </row>
    <row r="168" spans="2:18" ht="24.95" customHeight="1" x14ac:dyDescent="0.25">
      <c r="B168" s="163" t="s">
        <v>151</v>
      </c>
      <c r="C168" s="154"/>
      <c r="D168" s="147">
        <v>2</v>
      </c>
      <c r="E168" s="149">
        <v>2</v>
      </c>
      <c r="F168" s="147">
        <v>5</v>
      </c>
      <c r="G168" s="149">
        <v>1</v>
      </c>
      <c r="H168" s="147">
        <v>8</v>
      </c>
      <c r="I168" s="149">
        <v>1</v>
      </c>
      <c r="J168" s="147">
        <v>8</v>
      </c>
      <c r="K168" s="148"/>
      <c r="L168" s="145"/>
      <c r="M168" s="147">
        <v>8</v>
      </c>
      <c r="N168" s="146"/>
      <c r="O168" s="145">
        <v>1</v>
      </c>
      <c r="P168" s="147">
        <v>8</v>
      </c>
      <c r="Q168" s="146"/>
      <c r="R168" s="145">
        <v>5</v>
      </c>
    </row>
    <row r="169" spans="2:18" ht="24.95" customHeight="1" x14ac:dyDescent="0.25">
      <c r="B169" s="162" t="s">
        <v>153</v>
      </c>
      <c r="C169" s="150"/>
      <c r="D169" s="147">
        <v>2</v>
      </c>
      <c r="E169" s="149">
        <v>4</v>
      </c>
      <c r="F169" s="147">
        <v>9</v>
      </c>
      <c r="G169" s="149"/>
      <c r="H169" s="147">
        <v>10</v>
      </c>
      <c r="I169" s="149"/>
      <c r="J169" s="147">
        <v>10</v>
      </c>
      <c r="K169" s="148"/>
      <c r="L169" s="145"/>
      <c r="M169" s="147">
        <v>10</v>
      </c>
      <c r="N169" s="146"/>
      <c r="O169" s="145">
        <v>2</v>
      </c>
      <c r="P169" s="147">
        <v>10</v>
      </c>
      <c r="Q169" s="146"/>
      <c r="R169" s="145">
        <v>8</v>
      </c>
    </row>
    <row r="170" spans="2:18" ht="24.95" customHeight="1" x14ac:dyDescent="0.25">
      <c r="B170" s="163" t="s">
        <v>155</v>
      </c>
      <c r="C170" s="153"/>
      <c r="D170" s="147">
        <v>3</v>
      </c>
      <c r="E170" s="149">
        <v>1</v>
      </c>
      <c r="F170" s="147">
        <v>7</v>
      </c>
      <c r="G170" s="149"/>
      <c r="H170" s="147">
        <v>10</v>
      </c>
      <c r="I170" s="149">
        <v>1</v>
      </c>
      <c r="J170" s="147">
        <v>11</v>
      </c>
      <c r="K170" s="148"/>
      <c r="L170" s="145"/>
      <c r="M170" s="147">
        <v>11</v>
      </c>
      <c r="N170" s="146"/>
      <c r="O170" s="145">
        <v>3</v>
      </c>
      <c r="P170" s="147">
        <v>11</v>
      </c>
      <c r="Q170" s="146"/>
      <c r="R170" s="145">
        <v>10</v>
      </c>
    </row>
    <row r="171" spans="2:18" ht="24.95" customHeight="1" x14ac:dyDescent="0.25">
      <c r="B171" s="162" t="s">
        <v>157</v>
      </c>
      <c r="C171" s="153"/>
      <c r="D171" s="147">
        <v>1</v>
      </c>
      <c r="E171" s="149">
        <v>2</v>
      </c>
      <c r="F171" s="147">
        <v>4</v>
      </c>
      <c r="G171" s="149">
        <v>1</v>
      </c>
      <c r="H171" s="147">
        <v>6</v>
      </c>
      <c r="I171" s="149"/>
      <c r="J171" s="147">
        <v>6</v>
      </c>
      <c r="K171" s="148"/>
      <c r="L171" s="145"/>
      <c r="M171" s="147">
        <v>6</v>
      </c>
      <c r="N171" s="146"/>
      <c r="O171" s="145">
        <v>1</v>
      </c>
      <c r="P171" s="147">
        <v>6</v>
      </c>
      <c r="Q171" s="146"/>
      <c r="R171" s="145">
        <v>5</v>
      </c>
    </row>
    <row r="172" spans="2:18" ht="24.95" customHeight="1" x14ac:dyDescent="0.25">
      <c r="B172" s="163" t="s">
        <v>159</v>
      </c>
      <c r="C172" s="153"/>
      <c r="D172" s="147">
        <v>2</v>
      </c>
      <c r="E172" s="149">
        <v>1</v>
      </c>
      <c r="F172" s="147">
        <v>5</v>
      </c>
      <c r="G172" s="149"/>
      <c r="H172" s="147">
        <v>5</v>
      </c>
      <c r="I172" s="149">
        <v>1</v>
      </c>
      <c r="J172" s="147">
        <v>6</v>
      </c>
      <c r="K172" s="148"/>
      <c r="L172" s="145"/>
      <c r="M172" s="147">
        <v>6</v>
      </c>
      <c r="N172" s="146"/>
      <c r="O172" s="145">
        <v>1</v>
      </c>
      <c r="P172" s="147">
        <v>6</v>
      </c>
      <c r="Q172" s="146"/>
      <c r="R172" s="145">
        <v>5</v>
      </c>
    </row>
    <row r="173" spans="2:18" ht="24.95" customHeight="1" x14ac:dyDescent="0.25">
      <c r="B173" s="162" t="s">
        <v>161</v>
      </c>
      <c r="C173" s="153"/>
      <c r="D173" s="147">
        <v>5</v>
      </c>
      <c r="E173" s="149">
        <v>1</v>
      </c>
      <c r="F173" s="147">
        <v>6</v>
      </c>
      <c r="G173" s="149"/>
      <c r="H173" s="147">
        <v>6</v>
      </c>
      <c r="I173" s="149"/>
      <c r="J173" s="147">
        <v>7</v>
      </c>
      <c r="K173" s="148"/>
      <c r="L173" s="145"/>
      <c r="M173" s="147">
        <v>7</v>
      </c>
      <c r="N173" s="146"/>
      <c r="O173" s="145">
        <v>2</v>
      </c>
      <c r="P173" s="147">
        <v>7</v>
      </c>
      <c r="Q173" s="146"/>
      <c r="R173" s="145">
        <v>5</v>
      </c>
    </row>
    <row r="174" spans="2:18" ht="24.95" customHeight="1" x14ac:dyDescent="0.25">
      <c r="B174" s="163" t="s">
        <v>163</v>
      </c>
      <c r="C174" s="153"/>
      <c r="D174" s="147">
        <v>3</v>
      </c>
      <c r="E174" s="149">
        <v>1</v>
      </c>
      <c r="F174" s="147">
        <v>7</v>
      </c>
      <c r="G174" s="149">
        <v>2</v>
      </c>
      <c r="H174" s="147">
        <v>8</v>
      </c>
      <c r="I174" s="149"/>
      <c r="J174" s="147">
        <v>8</v>
      </c>
      <c r="K174" s="148"/>
      <c r="L174" s="145"/>
      <c r="M174" s="147">
        <v>8</v>
      </c>
      <c r="N174" s="146"/>
      <c r="O174" s="145">
        <v>2</v>
      </c>
      <c r="P174" s="147">
        <v>8</v>
      </c>
      <c r="Q174" s="146"/>
      <c r="R174" s="145">
        <v>6</v>
      </c>
    </row>
    <row r="175" spans="2:18" ht="24.95" customHeight="1" x14ac:dyDescent="0.25">
      <c r="B175" s="162" t="s">
        <v>165</v>
      </c>
      <c r="C175" s="153"/>
      <c r="D175" s="147">
        <v>3</v>
      </c>
      <c r="E175" s="149">
        <v>4</v>
      </c>
      <c r="F175" s="147">
        <v>8</v>
      </c>
      <c r="G175" s="149">
        <v>1</v>
      </c>
      <c r="H175" s="147">
        <v>8</v>
      </c>
      <c r="I175" s="149">
        <v>1</v>
      </c>
      <c r="J175" s="147">
        <v>9</v>
      </c>
      <c r="K175" s="148"/>
      <c r="L175" s="145"/>
      <c r="M175" s="147">
        <v>9</v>
      </c>
      <c r="N175" s="146"/>
      <c r="O175" s="145">
        <v>2</v>
      </c>
      <c r="P175" s="147">
        <v>9</v>
      </c>
      <c r="Q175" s="146"/>
      <c r="R175" s="145">
        <v>7</v>
      </c>
    </row>
    <row r="176" spans="2:18" ht="24.95" customHeight="1" x14ac:dyDescent="0.25">
      <c r="B176" s="163" t="s">
        <v>167</v>
      </c>
      <c r="C176" s="153"/>
      <c r="D176" s="147">
        <v>1</v>
      </c>
      <c r="E176" s="149">
        <v>1</v>
      </c>
      <c r="F176" s="147">
        <v>4</v>
      </c>
      <c r="G176" s="149">
        <v>2</v>
      </c>
      <c r="H176" s="147">
        <v>7</v>
      </c>
      <c r="I176" s="149"/>
      <c r="J176" s="147">
        <v>7</v>
      </c>
      <c r="K176" s="148"/>
      <c r="L176" s="145"/>
      <c r="M176" s="147">
        <v>7</v>
      </c>
      <c r="N176" s="146"/>
      <c r="O176" s="145">
        <v>1</v>
      </c>
      <c r="P176" s="147">
        <v>7</v>
      </c>
      <c r="Q176" s="146"/>
      <c r="R176" s="145">
        <v>5</v>
      </c>
    </row>
    <row r="177" spans="2:18" ht="24.95" customHeight="1" x14ac:dyDescent="0.25">
      <c r="B177" s="162" t="s">
        <v>169</v>
      </c>
      <c r="C177" s="153"/>
      <c r="D177" s="147">
        <v>3</v>
      </c>
      <c r="E177" s="149">
        <v>3</v>
      </c>
      <c r="F177" s="147">
        <v>8</v>
      </c>
      <c r="G177" s="149"/>
      <c r="H177" s="147">
        <v>10</v>
      </c>
      <c r="I177" s="149"/>
      <c r="J177" s="147">
        <v>10</v>
      </c>
      <c r="K177" s="148"/>
      <c r="L177" s="145"/>
      <c r="M177" s="147">
        <v>10</v>
      </c>
      <c r="N177" s="146"/>
      <c r="O177" s="145">
        <v>2</v>
      </c>
      <c r="P177" s="147">
        <v>10</v>
      </c>
      <c r="Q177" s="146"/>
      <c r="R177" s="145">
        <v>6</v>
      </c>
    </row>
    <row r="178" spans="2:18" ht="24.95" customHeight="1" x14ac:dyDescent="0.25">
      <c r="B178" s="163" t="s">
        <v>171</v>
      </c>
      <c r="C178" s="150"/>
      <c r="D178" s="147">
        <v>2</v>
      </c>
      <c r="E178" s="149">
        <v>1</v>
      </c>
      <c r="F178" s="147">
        <v>6</v>
      </c>
      <c r="G178" s="149">
        <v>1</v>
      </c>
      <c r="H178" s="147">
        <v>8</v>
      </c>
      <c r="I178" s="149"/>
      <c r="J178" s="147">
        <v>8</v>
      </c>
      <c r="K178" s="148"/>
      <c r="L178" s="145"/>
      <c r="M178" s="147">
        <v>8</v>
      </c>
      <c r="N178" s="146"/>
      <c r="O178" s="145">
        <v>2</v>
      </c>
      <c r="P178" s="147">
        <v>8</v>
      </c>
      <c r="Q178" s="146"/>
      <c r="R178" s="145">
        <v>7</v>
      </c>
    </row>
    <row r="179" spans="2:18" ht="24.95" customHeight="1" x14ac:dyDescent="0.25">
      <c r="B179" s="162" t="s">
        <v>173</v>
      </c>
      <c r="C179" s="150"/>
      <c r="D179" s="147">
        <v>4</v>
      </c>
      <c r="E179" s="149">
        <v>2</v>
      </c>
      <c r="F179" s="147">
        <v>8</v>
      </c>
      <c r="G179" s="149"/>
      <c r="H179" s="147">
        <v>9</v>
      </c>
      <c r="I179" s="149"/>
      <c r="J179" s="147">
        <v>10</v>
      </c>
      <c r="K179" s="148"/>
      <c r="L179" s="145"/>
      <c r="M179" s="147">
        <v>10</v>
      </c>
      <c r="N179" s="146"/>
      <c r="O179" s="145">
        <v>3</v>
      </c>
      <c r="P179" s="147">
        <v>10</v>
      </c>
      <c r="Q179" s="146"/>
      <c r="R179" s="145">
        <v>9</v>
      </c>
    </row>
    <row r="180" spans="2:18" ht="24.95" customHeight="1" thickBot="1" x14ac:dyDescent="0.3">
      <c r="B180" s="161" t="s">
        <v>175</v>
      </c>
      <c r="C180" s="143"/>
      <c r="D180" s="140">
        <v>3</v>
      </c>
      <c r="E180" s="142">
        <v>1</v>
      </c>
      <c r="F180" s="140">
        <v>7</v>
      </c>
      <c r="G180" s="142"/>
      <c r="H180" s="140">
        <v>8</v>
      </c>
      <c r="I180" s="142"/>
      <c r="J180" s="140">
        <v>8</v>
      </c>
      <c r="K180" s="141"/>
      <c r="L180" s="138"/>
      <c r="M180" s="140">
        <v>8</v>
      </c>
      <c r="N180" s="139"/>
      <c r="O180" s="138">
        <v>2</v>
      </c>
      <c r="P180" s="140">
        <v>8</v>
      </c>
      <c r="Q180" s="139"/>
      <c r="R180" s="138">
        <v>5</v>
      </c>
    </row>
    <row r="181" spans="2:18" ht="24.95" customHeight="1" thickBot="1" x14ac:dyDescent="0.3">
      <c r="B181" s="160" t="s">
        <v>177</v>
      </c>
      <c r="C181" s="154"/>
      <c r="D181" s="157">
        <v>1</v>
      </c>
      <c r="E181" s="159"/>
      <c r="F181" s="157">
        <v>6</v>
      </c>
      <c r="G181" s="159">
        <v>3</v>
      </c>
      <c r="H181" s="157">
        <v>12</v>
      </c>
      <c r="I181" s="159"/>
      <c r="J181" s="157">
        <v>12</v>
      </c>
      <c r="K181" s="158"/>
      <c r="L181" s="155"/>
      <c r="M181" s="157">
        <v>12</v>
      </c>
      <c r="N181" s="156"/>
      <c r="O181" s="155">
        <v>4</v>
      </c>
      <c r="P181" s="157">
        <v>12</v>
      </c>
      <c r="Q181" s="156"/>
      <c r="R181" s="155">
        <v>10</v>
      </c>
    </row>
    <row r="182" spans="2:18" ht="24.95" customHeight="1" thickBot="1" x14ac:dyDescent="0.3">
      <c r="B182" s="151" t="s">
        <v>179</v>
      </c>
      <c r="C182" s="154"/>
      <c r="D182" s="147">
        <v>0</v>
      </c>
      <c r="E182" s="149">
        <v>1</v>
      </c>
      <c r="F182" s="147">
        <v>3</v>
      </c>
      <c r="G182" s="149">
        <v>2</v>
      </c>
      <c r="H182" s="147">
        <v>8</v>
      </c>
      <c r="I182" s="149"/>
      <c r="J182" s="147">
        <v>8</v>
      </c>
      <c r="K182" s="148"/>
      <c r="L182" s="145"/>
      <c r="M182" s="147">
        <v>8</v>
      </c>
      <c r="N182" s="146"/>
      <c r="O182" s="145">
        <v>2</v>
      </c>
      <c r="P182" s="147">
        <v>8</v>
      </c>
      <c r="Q182" s="146"/>
      <c r="R182" s="145">
        <v>5</v>
      </c>
    </row>
    <row r="183" spans="2:18" ht="24.95" customHeight="1" x14ac:dyDescent="0.25">
      <c r="B183" s="152" t="s">
        <v>181</v>
      </c>
      <c r="C183" s="154"/>
      <c r="D183" s="147">
        <v>1</v>
      </c>
      <c r="E183" s="149">
        <v>2</v>
      </c>
      <c r="F183" s="147">
        <v>8</v>
      </c>
      <c r="G183" s="149">
        <v>1</v>
      </c>
      <c r="H183" s="147">
        <v>11</v>
      </c>
      <c r="I183" s="149"/>
      <c r="J183" s="147">
        <v>11</v>
      </c>
      <c r="K183" s="148"/>
      <c r="L183" s="145"/>
      <c r="M183" s="147">
        <v>11</v>
      </c>
      <c r="N183" s="146"/>
      <c r="O183" s="145">
        <v>3</v>
      </c>
      <c r="P183" s="147">
        <v>11</v>
      </c>
      <c r="Q183" s="146"/>
      <c r="R183" s="145">
        <v>7</v>
      </c>
    </row>
    <row r="184" spans="2:18" ht="24.95" customHeight="1" x14ac:dyDescent="0.25">
      <c r="B184" s="151" t="s">
        <v>183</v>
      </c>
      <c r="C184" s="150"/>
      <c r="D184" s="147">
        <v>1</v>
      </c>
      <c r="E184" s="149"/>
      <c r="F184" s="147">
        <v>7</v>
      </c>
      <c r="G184" s="149"/>
      <c r="H184" s="147">
        <v>10</v>
      </c>
      <c r="I184" s="149"/>
      <c r="J184" s="147">
        <v>11</v>
      </c>
      <c r="K184" s="148"/>
      <c r="L184" s="145"/>
      <c r="M184" s="147">
        <v>11</v>
      </c>
      <c r="N184" s="146"/>
      <c r="O184" s="145">
        <v>2</v>
      </c>
      <c r="P184" s="147">
        <v>11</v>
      </c>
      <c r="Q184" s="146"/>
      <c r="R184" s="145">
        <v>6</v>
      </c>
    </row>
    <row r="185" spans="2:18" ht="24.95" customHeight="1" x14ac:dyDescent="0.25">
      <c r="B185" s="152" t="s">
        <v>185</v>
      </c>
      <c r="C185" s="153"/>
      <c r="D185" s="147">
        <v>1</v>
      </c>
      <c r="E185" s="149">
        <v>1</v>
      </c>
      <c r="F185" s="147">
        <v>2</v>
      </c>
      <c r="G185" s="149">
        <v>3</v>
      </c>
      <c r="H185" s="147">
        <v>8</v>
      </c>
      <c r="I185" s="149"/>
      <c r="J185" s="147">
        <v>9</v>
      </c>
      <c r="K185" s="148">
        <v>1</v>
      </c>
      <c r="L185" s="145"/>
      <c r="M185" s="147">
        <v>10</v>
      </c>
      <c r="N185" s="146"/>
      <c r="O185" s="145">
        <v>2</v>
      </c>
      <c r="P185" s="147">
        <v>10</v>
      </c>
      <c r="Q185" s="146"/>
      <c r="R185" s="145">
        <v>5</v>
      </c>
    </row>
    <row r="186" spans="2:18" ht="24.95" customHeight="1" x14ac:dyDescent="0.25">
      <c r="B186" s="151" t="s">
        <v>187</v>
      </c>
      <c r="C186" s="153"/>
      <c r="D186" s="147">
        <v>0</v>
      </c>
      <c r="E186" s="149">
        <v>1</v>
      </c>
      <c r="F186" s="147">
        <v>3</v>
      </c>
      <c r="G186" s="149">
        <v>2</v>
      </c>
      <c r="H186" s="147">
        <v>9</v>
      </c>
      <c r="I186" s="149">
        <v>1</v>
      </c>
      <c r="J186" s="147">
        <v>11</v>
      </c>
      <c r="K186" s="148"/>
      <c r="L186" s="145"/>
      <c r="M186" s="147">
        <v>10</v>
      </c>
      <c r="N186" s="146"/>
      <c r="O186" s="145">
        <v>2</v>
      </c>
      <c r="P186" s="147">
        <v>10</v>
      </c>
      <c r="Q186" s="146"/>
      <c r="R186" s="145">
        <v>6</v>
      </c>
    </row>
    <row r="187" spans="2:18" ht="24.95" customHeight="1" x14ac:dyDescent="0.25">
      <c r="B187" s="152" t="s">
        <v>189</v>
      </c>
      <c r="C187" s="153"/>
      <c r="D187" s="147">
        <v>0</v>
      </c>
      <c r="E187" s="149">
        <v>1</v>
      </c>
      <c r="F187" s="147">
        <v>5</v>
      </c>
      <c r="G187" s="149">
        <v>2</v>
      </c>
      <c r="H187" s="147">
        <v>11</v>
      </c>
      <c r="I187" s="149">
        <v>1</v>
      </c>
      <c r="J187" s="147">
        <v>12</v>
      </c>
      <c r="K187" s="148"/>
      <c r="L187" s="145"/>
      <c r="M187" s="147">
        <v>12</v>
      </c>
      <c r="N187" s="146"/>
      <c r="O187" s="145">
        <v>3</v>
      </c>
      <c r="P187" s="147">
        <v>12</v>
      </c>
      <c r="Q187" s="146"/>
      <c r="R187" s="145">
        <v>8</v>
      </c>
    </row>
    <row r="188" spans="2:18" ht="24.95" customHeight="1" x14ac:dyDescent="0.25">
      <c r="B188" s="151" t="s">
        <v>191</v>
      </c>
      <c r="C188" s="153"/>
      <c r="D188" s="147">
        <v>0</v>
      </c>
      <c r="E188" s="149">
        <v>1</v>
      </c>
      <c r="F188" s="147">
        <v>6</v>
      </c>
      <c r="G188" s="149">
        <v>2</v>
      </c>
      <c r="H188" s="147">
        <v>8</v>
      </c>
      <c r="I188" s="149"/>
      <c r="J188" s="147">
        <v>9</v>
      </c>
      <c r="K188" s="148"/>
      <c r="L188" s="145"/>
      <c r="M188" s="147">
        <v>9</v>
      </c>
      <c r="N188" s="146"/>
      <c r="O188" s="145">
        <v>2</v>
      </c>
      <c r="P188" s="147">
        <v>9</v>
      </c>
      <c r="Q188" s="146"/>
      <c r="R188" s="145">
        <v>7</v>
      </c>
    </row>
    <row r="189" spans="2:18" ht="24.95" customHeight="1" x14ac:dyDescent="0.25">
      <c r="B189" s="152" t="s">
        <v>193</v>
      </c>
      <c r="C189" s="153"/>
      <c r="D189" s="147">
        <v>0</v>
      </c>
      <c r="E189" s="149"/>
      <c r="F189" s="147">
        <v>0</v>
      </c>
      <c r="G189" s="149"/>
      <c r="H189" s="147">
        <v>4</v>
      </c>
      <c r="I189" s="149">
        <v>2</v>
      </c>
      <c r="J189" s="147">
        <v>6</v>
      </c>
      <c r="K189" s="148"/>
      <c r="L189" s="145"/>
      <c r="M189" s="147">
        <v>6</v>
      </c>
      <c r="N189" s="146"/>
      <c r="O189" s="145">
        <v>1</v>
      </c>
      <c r="P189" s="147">
        <v>6</v>
      </c>
      <c r="Q189" s="146"/>
      <c r="R189" s="145">
        <v>5</v>
      </c>
    </row>
    <row r="190" spans="2:18" ht="24.95" customHeight="1" x14ac:dyDescent="0.25">
      <c r="B190" s="151" t="s">
        <v>195</v>
      </c>
      <c r="C190" s="153"/>
      <c r="D190" s="147">
        <v>0</v>
      </c>
      <c r="E190" s="149">
        <v>1</v>
      </c>
      <c r="F190" s="147">
        <v>6</v>
      </c>
      <c r="G190" s="149">
        <v>2</v>
      </c>
      <c r="H190" s="147">
        <v>7</v>
      </c>
      <c r="I190" s="149"/>
      <c r="J190" s="147">
        <v>8</v>
      </c>
      <c r="K190" s="148"/>
      <c r="L190" s="145"/>
      <c r="M190" s="147">
        <v>8</v>
      </c>
      <c r="N190" s="146"/>
      <c r="O190" s="145">
        <v>2</v>
      </c>
      <c r="P190" s="147">
        <v>8</v>
      </c>
      <c r="Q190" s="146"/>
      <c r="R190" s="145">
        <v>6</v>
      </c>
    </row>
    <row r="191" spans="2:18" ht="24.95" customHeight="1" x14ac:dyDescent="0.25">
      <c r="B191" s="152" t="s">
        <v>197</v>
      </c>
      <c r="C191" s="153"/>
      <c r="D191" s="147">
        <v>0</v>
      </c>
      <c r="E191" s="149"/>
      <c r="F191" s="147">
        <v>4</v>
      </c>
      <c r="G191" s="149">
        <v>1</v>
      </c>
      <c r="H191" s="147">
        <v>8</v>
      </c>
      <c r="I191" s="149"/>
      <c r="J191" s="147">
        <v>8</v>
      </c>
      <c r="K191" s="148">
        <v>2</v>
      </c>
      <c r="L191" s="145"/>
      <c r="M191" s="147">
        <v>10</v>
      </c>
      <c r="N191" s="146"/>
      <c r="O191" s="145">
        <v>3</v>
      </c>
      <c r="P191" s="147">
        <v>10</v>
      </c>
      <c r="Q191" s="146"/>
      <c r="R191" s="145">
        <v>8</v>
      </c>
    </row>
    <row r="192" spans="2:18" ht="24.95" customHeight="1" x14ac:dyDescent="0.25">
      <c r="B192" s="151" t="s">
        <v>199</v>
      </c>
      <c r="C192" s="153"/>
      <c r="D192" s="147">
        <v>1</v>
      </c>
      <c r="E192" s="149">
        <v>2</v>
      </c>
      <c r="F192" s="147">
        <v>7</v>
      </c>
      <c r="G192" s="149">
        <v>1</v>
      </c>
      <c r="H192" s="147">
        <v>9</v>
      </c>
      <c r="I192" s="149"/>
      <c r="J192" s="147">
        <v>9</v>
      </c>
      <c r="K192" s="148">
        <v>2</v>
      </c>
      <c r="L192" s="145"/>
      <c r="M192" s="147">
        <v>10</v>
      </c>
      <c r="N192" s="146"/>
      <c r="O192" s="145">
        <v>2</v>
      </c>
      <c r="P192" s="147">
        <v>10</v>
      </c>
      <c r="Q192" s="146"/>
      <c r="R192" s="145">
        <v>7</v>
      </c>
    </row>
    <row r="193" spans="2:18" ht="24.95" customHeight="1" x14ac:dyDescent="0.25">
      <c r="B193" s="152" t="s">
        <v>201</v>
      </c>
      <c r="C193" s="150"/>
      <c r="D193" s="147">
        <v>0</v>
      </c>
      <c r="E193" s="149">
        <v>2</v>
      </c>
      <c r="F193" s="147">
        <v>3</v>
      </c>
      <c r="G193" s="149">
        <v>2</v>
      </c>
      <c r="H193" s="147">
        <v>9</v>
      </c>
      <c r="I193" s="149">
        <v>1</v>
      </c>
      <c r="J193" s="147">
        <v>10</v>
      </c>
      <c r="K193" s="148"/>
      <c r="L193" s="145"/>
      <c r="M193" s="147">
        <v>10</v>
      </c>
      <c r="N193" s="146"/>
      <c r="O193" s="145">
        <v>2</v>
      </c>
      <c r="P193" s="147">
        <v>10</v>
      </c>
      <c r="Q193" s="146"/>
      <c r="R193" s="145">
        <v>8</v>
      </c>
    </row>
    <row r="194" spans="2:18" ht="24.95" customHeight="1" x14ac:dyDescent="0.25">
      <c r="B194" s="151" t="s">
        <v>203</v>
      </c>
      <c r="C194" s="150"/>
      <c r="D194" s="147">
        <v>1</v>
      </c>
      <c r="E194" s="149">
        <v>1</v>
      </c>
      <c r="F194" s="147">
        <v>5</v>
      </c>
      <c r="G194" s="149"/>
      <c r="H194" s="147">
        <v>7</v>
      </c>
      <c r="I194" s="149"/>
      <c r="J194" s="147">
        <v>7</v>
      </c>
      <c r="K194" s="148"/>
      <c r="L194" s="145"/>
      <c r="M194" s="147">
        <v>7</v>
      </c>
      <c r="N194" s="146"/>
      <c r="O194" s="145">
        <v>1</v>
      </c>
      <c r="P194" s="147">
        <v>7</v>
      </c>
      <c r="Q194" s="146"/>
      <c r="R194" s="145">
        <v>5</v>
      </c>
    </row>
    <row r="195" spans="2:18" ht="24.95" customHeight="1" thickBot="1" x14ac:dyDescent="0.3">
      <c r="B195" s="144" t="s">
        <v>205</v>
      </c>
      <c r="C195" s="143"/>
      <c r="D195" s="140">
        <v>0</v>
      </c>
      <c r="E195" s="142"/>
      <c r="F195" s="140">
        <v>4</v>
      </c>
      <c r="G195" s="142">
        <v>1</v>
      </c>
      <c r="H195" s="140">
        <v>6</v>
      </c>
      <c r="I195" s="142"/>
      <c r="J195" s="140">
        <v>6</v>
      </c>
      <c r="K195" s="141"/>
      <c r="L195" s="138"/>
      <c r="M195" s="140">
        <v>6</v>
      </c>
      <c r="N195" s="139"/>
      <c r="O195" s="138">
        <v>0</v>
      </c>
      <c r="P195" s="140">
        <v>6</v>
      </c>
      <c r="Q195" s="139"/>
      <c r="R195" s="138">
        <v>2</v>
      </c>
    </row>
    <row r="197" spans="2:18" x14ac:dyDescent="0.25">
      <c r="B197" s="133" t="s">
        <v>209</v>
      </c>
      <c r="D197" s="130">
        <f>AVERAGE(D106:D120,D151:D165,D181:D195)</f>
        <v>0.44444444444444442</v>
      </c>
      <c r="F197" s="130">
        <f>AVERAGE(F106:F120,F151:F165,F181:F195)</f>
        <v>3.7111111111111112</v>
      </c>
      <c r="H197" s="130">
        <f>AVERAGE(H106:H120,H151:H165,H181:H195)</f>
        <v>7.6444444444444448</v>
      </c>
      <c r="J197" s="130">
        <f>AVERAGE(J106:J120,J151:J165,J181:J195)</f>
        <v>8.3111111111111118</v>
      </c>
      <c r="M197" s="130">
        <f>AVERAGE(M106:M120,M151:M165,M181:M195)</f>
        <v>8.5111111111111111</v>
      </c>
      <c r="P197" s="130">
        <f>AVERAGE(P106:P120,P151:P165,P181:P195)</f>
        <v>8.5111111111111111</v>
      </c>
    </row>
    <row r="198" spans="2:18" x14ac:dyDescent="0.25">
      <c r="B198" s="133" t="s">
        <v>210</v>
      </c>
      <c r="D198" s="130">
        <f>AVERAGE(D121:D150,D166:D180)</f>
        <v>2.088888888888889</v>
      </c>
      <c r="F198" s="130">
        <f>AVERAGE(F121:F150,F166:F180)</f>
        <v>6.333333333333333</v>
      </c>
      <c r="H198" s="130">
        <f>AVERAGE(H121:H150,H166:H180)</f>
        <v>8.6222222222222218</v>
      </c>
      <c r="J198" s="130">
        <f>AVERAGE(J121:J150,J166:J180)</f>
        <v>9.0666666666666664</v>
      </c>
      <c r="M198" s="130">
        <f>AVERAGE(M121:M150,M166:M180)</f>
        <v>9.1333333333333329</v>
      </c>
      <c r="P198" s="130">
        <f>AVERAGE(P121:P150,P166:P180)</f>
        <v>9.1333333333333329</v>
      </c>
    </row>
    <row r="199" spans="2:18" x14ac:dyDescent="0.25">
      <c r="B199" s="133" t="s">
        <v>415</v>
      </c>
      <c r="D199" s="130">
        <f>AVERAGE(D31:D60,D76:D90)</f>
        <v>2.9555555555555557</v>
      </c>
      <c r="F199" s="130">
        <f>AVERAGE(F31:F60,F76:F90)</f>
        <v>5.2666666666666666</v>
      </c>
      <c r="H199" s="130">
        <f>AVERAGE(H31:H60,H76:H90)</f>
        <v>6.3777777777777782</v>
      </c>
      <c r="J199" s="130">
        <f>AVERAGE(J31:J60,J76:J90)</f>
        <v>6.7777777777777777</v>
      </c>
      <c r="M199" s="130">
        <f>AVERAGE(M31:M60,M76:M90)</f>
        <v>6.9333333333333336</v>
      </c>
      <c r="P199" s="130">
        <f>AVERAGE(P31:P60,P76:P90)</f>
        <v>6.9333333333333336</v>
      </c>
    </row>
    <row r="200" spans="2:18" x14ac:dyDescent="0.25">
      <c r="B200" s="133" t="s">
        <v>207</v>
      </c>
      <c r="D200" s="130">
        <f>AVERAGE(D16:D30,D61:D75,D91:D105)</f>
        <v>0.53333333333333333</v>
      </c>
      <c r="F200" s="130">
        <f>AVERAGE(F16:F30,F61:F75,F91:F105)</f>
        <v>3.5555555555555554</v>
      </c>
      <c r="H200" s="130">
        <f>AVERAGE(H16:H30,H61:H75,H91:H105)</f>
        <v>6.2444444444444445</v>
      </c>
      <c r="J200" s="130">
        <f>AVERAGE(J16:J30,J61:J75,J91:J105)</f>
        <v>7.2</v>
      </c>
      <c r="M200" s="130">
        <f>AVERAGE(M16:M30,M61:M75,M91:M105)</f>
        <v>7.4444444444444446</v>
      </c>
      <c r="P200" s="130">
        <f>AVERAGE(P16:P30,P61:P75,P91:P105)</f>
        <v>7.4444444444444446</v>
      </c>
    </row>
    <row r="201" spans="2:18" x14ac:dyDescent="0.25">
      <c r="D201" s="130">
        <v>122</v>
      </c>
      <c r="F201" s="130">
        <v>124</v>
      </c>
      <c r="H201" s="130">
        <v>128</v>
      </c>
      <c r="J201" s="130">
        <v>131</v>
      </c>
      <c r="M201" s="130">
        <v>135</v>
      </c>
      <c r="P201" s="130">
        <v>138</v>
      </c>
    </row>
    <row r="206" spans="2:18" x14ac:dyDescent="0.25">
      <c r="D206" s="130">
        <v>122</v>
      </c>
      <c r="E206" s="130">
        <v>124</v>
      </c>
      <c r="F206" s="130">
        <v>128</v>
      </c>
      <c r="G206" s="130">
        <v>131</v>
      </c>
      <c r="H206" s="130">
        <v>135</v>
      </c>
      <c r="I206" s="130">
        <v>138</v>
      </c>
      <c r="K206" s="130" t="s">
        <v>447</v>
      </c>
    </row>
    <row r="207" spans="2:18" x14ac:dyDescent="0.25">
      <c r="B207" s="133" t="s">
        <v>209</v>
      </c>
      <c r="D207" s="130">
        <v>0.44444444444444442</v>
      </c>
      <c r="E207" s="130">
        <v>3.7111111111111112</v>
      </c>
      <c r="F207" s="130">
        <v>7.6444444444444448</v>
      </c>
      <c r="G207" s="130">
        <v>8.3111111111111118</v>
      </c>
      <c r="H207" s="130">
        <v>8.5111111111111111</v>
      </c>
      <c r="I207" s="130">
        <v>8.5111111111111111</v>
      </c>
      <c r="K207" s="130">
        <f>I207/2</f>
        <v>4.2555555555555555</v>
      </c>
      <c r="L207" s="130">
        <f>E206+(F207-K207)/(F207-E207)*(F206-E206)</f>
        <v>127.44632768361582</v>
      </c>
      <c r="M207" s="130" t="s">
        <v>446</v>
      </c>
    </row>
    <row r="208" spans="2:18" x14ac:dyDescent="0.25">
      <c r="B208" s="133" t="s">
        <v>210</v>
      </c>
      <c r="D208" s="130">
        <v>2.088888888888889</v>
      </c>
      <c r="E208" s="130">
        <v>6.333333333333333</v>
      </c>
      <c r="F208" s="130">
        <v>8.6222222222222218</v>
      </c>
      <c r="G208" s="130">
        <v>9.0666666666666664</v>
      </c>
      <c r="H208" s="130">
        <v>9.1333333333333329</v>
      </c>
      <c r="I208" s="130">
        <v>9.1333333333333329</v>
      </c>
      <c r="K208" s="130">
        <f>I208/2</f>
        <v>4.5666666666666664</v>
      </c>
      <c r="L208" s="130">
        <f>(D206+(E208-K208)/(E208-D208)*(E206-D206))</f>
        <v>122.83246073298429</v>
      </c>
    </row>
    <row r="209" spans="2:18" x14ac:dyDescent="0.25">
      <c r="B209" s="133" t="s">
        <v>415</v>
      </c>
      <c r="D209" s="130">
        <v>2.9555555555555557</v>
      </c>
      <c r="E209" s="130">
        <v>5.2666666666666666</v>
      </c>
      <c r="F209" s="130">
        <v>6.3777777777777782</v>
      </c>
      <c r="G209" s="130">
        <v>6.7777777777777777</v>
      </c>
      <c r="H209" s="130">
        <v>6.9333333333333336</v>
      </c>
      <c r="I209" s="130">
        <v>6.9333333333333336</v>
      </c>
      <c r="K209" s="130">
        <f>I209/2</f>
        <v>3.4666666666666668</v>
      </c>
      <c r="L209" s="130">
        <f>(D206+(E209-K209)/(E209-D209)*(E206-D206))</f>
        <v>123.55769230769231</v>
      </c>
    </row>
    <row r="210" spans="2:18" x14ac:dyDescent="0.25">
      <c r="B210" s="133" t="s">
        <v>207</v>
      </c>
      <c r="D210" s="130">
        <v>0.53333333333333333</v>
      </c>
      <c r="E210" s="130">
        <v>3.5555555555555554</v>
      </c>
      <c r="F210" s="130">
        <v>6.2444444444444445</v>
      </c>
      <c r="G210" s="130">
        <v>7.2</v>
      </c>
      <c r="H210" s="130">
        <v>7.4444444444444446</v>
      </c>
      <c r="I210" s="130">
        <v>7.4444444444444446</v>
      </c>
      <c r="K210" s="130">
        <f>I210/2</f>
        <v>3.7222222222222223</v>
      </c>
      <c r="L210" s="130">
        <f>E206+(F210-K210)/(F210-E210)*(F206-E206)</f>
        <v>127.75206611570248</v>
      </c>
      <c r="M210" s="130" t="s">
        <v>445</v>
      </c>
    </row>
    <row r="211" spans="2:18" x14ac:dyDescent="0.25">
      <c r="B211" s="133"/>
    </row>
    <row r="213" spans="2:18" x14ac:dyDescent="0.25">
      <c r="E213" s="132"/>
      <c r="F213" s="133" t="s">
        <v>209</v>
      </c>
      <c r="G213" s="133" t="s">
        <v>210</v>
      </c>
      <c r="H213" s="133" t="s">
        <v>415</v>
      </c>
      <c r="I213" s="133" t="s">
        <v>207</v>
      </c>
    </row>
    <row r="214" spans="2:18" x14ac:dyDescent="0.25">
      <c r="E214" s="130">
        <v>122</v>
      </c>
      <c r="F214" s="130">
        <v>0.44444444444444442</v>
      </c>
      <c r="G214" s="130">
        <v>2.088888888888889</v>
      </c>
      <c r="H214" s="130">
        <v>2.9555555555555557</v>
      </c>
      <c r="I214" s="130">
        <v>0.53333333333333333</v>
      </c>
    </row>
    <row r="215" spans="2:18" x14ac:dyDescent="0.25">
      <c r="E215" s="130">
        <v>124</v>
      </c>
      <c r="F215" s="130">
        <v>3.7111111111111112</v>
      </c>
      <c r="G215" s="130">
        <v>6.333333333333333</v>
      </c>
      <c r="H215" s="130">
        <v>5.2666666666666666</v>
      </c>
      <c r="I215" s="130">
        <v>3.5555555555555554</v>
      </c>
    </row>
    <row r="216" spans="2:18" x14ac:dyDescent="0.25">
      <c r="E216" s="130">
        <v>128</v>
      </c>
      <c r="F216" s="130">
        <v>7.6444444444444448</v>
      </c>
      <c r="G216" s="130">
        <v>8.6222222222222218</v>
      </c>
      <c r="H216" s="130">
        <v>6.3777777777777782</v>
      </c>
      <c r="I216" s="130">
        <v>6.2444444444444445</v>
      </c>
    </row>
    <row r="217" spans="2:18" x14ac:dyDescent="0.25">
      <c r="E217" s="130">
        <v>131</v>
      </c>
      <c r="F217" s="130">
        <v>8.3111111111111118</v>
      </c>
      <c r="G217" s="130">
        <v>9.0666666666666664</v>
      </c>
      <c r="H217" s="130">
        <v>6.7777777777777777</v>
      </c>
      <c r="I217" s="130">
        <v>7.2</v>
      </c>
    </row>
    <row r="218" spans="2:18" x14ac:dyDescent="0.25">
      <c r="E218" s="130">
        <v>135</v>
      </c>
      <c r="F218" s="130">
        <v>8.5111111111111111</v>
      </c>
      <c r="G218" s="130">
        <v>9.1333333333333329</v>
      </c>
      <c r="H218" s="130">
        <v>6.9333333333333336</v>
      </c>
      <c r="I218" s="130">
        <v>7.4444444444444446</v>
      </c>
    </row>
    <row r="219" spans="2:18" x14ac:dyDescent="0.25">
      <c r="E219" s="130">
        <v>138</v>
      </c>
      <c r="F219" s="130">
        <v>8.5111111111111111</v>
      </c>
      <c r="G219" s="130">
        <v>9.1333333333333329</v>
      </c>
      <c r="H219" s="130">
        <v>6.9333333333333336</v>
      </c>
      <c r="I219" s="130">
        <v>7.4444444444444446</v>
      </c>
    </row>
    <row r="222" spans="2:18" x14ac:dyDescent="0.25">
      <c r="B222" s="137" t="s">
        <v>444</v>
      </c>
    </row>
    <row r="223" spans="2:18" x14ac:dyDescent="0.25">
      <c r="B223" s="132" t="s">
        <v>7</v>
      </c>
      <c r="D223" s="130">
        <v>122</v>
      </c>
      <c r="F223" s="130">
        <v>124</v>
      </c>
      <c r="H223" s="130">
        <v>128</v>
      </c>
      <c r="J223" s="130">
        <v>131</v>
      </c>
      <c r="M223" s="130">
        <v>135</v>
      </c>
      <c r="P223" s="130">
        <v>138</v>
      </c>
    </row>
    <row r="224" spans="2:18" x14ac:dyDescent="0.25">
      <c r="B224" s="132" t="s">
        <v>439</v>
      </c>
      <c r="D224" s="135">
        <f>AVERAGE(D16:D30)</f>
        <v>0.33333333333333331</v>
      </c>
      <c r="F224" s="135">
        <f>AVERAGE(F16:F30)</f>
        <v>3.8666666666666667</v>
      </c>
      <c r="H224" s="135">
        <f>AVERAGE(H16:H30)</f>
        <v>6.6</v>
      </c>
      <c r="J224" s="135">
        <f>AVERAGE(J16:J30)</f>
        <v>7.5333333333333332</v>
      </c>
      <c r="L224" s="135">
        <f>AVERAGE(L16:L30)</f>
        <v>1</v>
      </c>
      <c r="M224" s="135">
        <f>AVERAGE(M16:M30)</f>
        <v>7.7333333333333334</v>
      </c>
      <c r="N224" s="135"/>
      <c r="O224" s="135">
        <f>AVERAGE(O16:O30)</f>
        <v>4.2666666666666666</v>
      </c>
      <c r="P224" s="135">
        <f>AVERAGE(P16:P30)</f>
        <v>7.7333333333333334</v>
      </c>
      <c r="R224" s="135">
        <f>AVERAGE(R16:R30)</f>
        <v>7.6</v>
      </c>
    </row>
    <row r="225" spans="2:18" x14ac:dyDescent="0.25">
      <c r="B225" s="132" t="s">
        <v>438</v>
      </c>
      <c r="D225" s="135">
        <f>AVERAGE(D31:D45)</f>
        <v>2.3333333333333335</v>
      </c>
      <c r="F225" s="135">
        <f>AVERAGE(F31:F45)</f>
        <v>5.0666666666666664</v>
      </c>
      <c r="H225" s="135">
        <f>AVERAGE(H31:H45)</f>
        <v>6.0666666666666664</v>
      </c>
      <c r="J225" s="135">
        <f>AVERAGE(J31:J45)</f>
        <v>6.6</v>
      </c>
      <c r="L225" s="135">
        <f>AVERAGE(L31:L45)</f>
        <v>1.1428571428571428</v>
      </c>
      <c r="M225" s="135">
        <f>AVERAGE(M31:M45)</f>
        <v>6.8666666666666663</v>
      </c>
      <c r="N225" s="135"/>
      <c r="O225" s="135">
        <f>AVERAGE(O31:O45)</f>
        <v>3.7333333333333334</v>
      </c>
      <c r="P225" s="135">
        <f>AVERAGE(P31:P45)</f>
        <v>6.8666666666666663</v>
      </c>
      <c r="R225" s="135">
        <f>AVERAGE(R31:R45)</f>
        <v>6.6</v>
      </c>
    </row>
    <row r="226" spans="2:18" x14ac:dyDescent="0.25">
      <c r="B226" s="132" t="s">
        <v>437</v>
      </c>
      <c r="D226" s="135">
        <f>AVERAGE(D46:D60)</f>
        <v>3.9333333333333331</v>
      </c>
      <c r="F226" s="135">
        <f>AVERAGE(F46:F60)</f>
        <v>6</v>
      </c>
      <c r="H226" s="135">
        <f>AVERAGE(H46:H60)</f>
        <v>6.9333333333333336</v>
      </c>
      <c r="J226" s="135">
        <f>AVERAGE(J46:J60)</f>
        <v>7.333333333333333</v>
      </c>
      <c r="L226" s="135">
        <f>AVERAGE(L46:L60)</f>
        <v>1.4285714285714286</v>
      </c>
      <c r="M226" s="135">
        <f>AVERAGE(M46:M60)</f>
        <v>7.333333333333333</v>
      </c>
      <c r="N226" s="135"/>
      <c r="O226" s="135">
        <f>AVERAGE(O46:O60)</f>
        <v>4.2142857142857144</v>
      </c>
      <c r="P226" s="135">
        <f>AVERAGE(P46:P60)</f>
        <v>7.333333333333333</v>
      </c>
      <c r="R226" s="135">
        <f>AVERAGE(R46:R60)</f>
        <v>6.666666666666667</v>
      </c>
    </row>
    <row r="227" spans="2:18" x14ac:dyDescent="0.25">
      <c r="B227" s="132" t="s">
        <v>436</v>
      </c>
      <c r="D227" s="135">
        <f>AVERAGE(D61:D75)</f>
        <v>0.33333333333333331</v>
      </c>
      <c r="F227" s="135">
        <f>AVERAGE(F61:F75)</f>
        <v>3.3333333333333335</v>
      </c>
      <c r="H227" s="135">
        <f>AVERAGE(H61:H75)</f>
        <v>5.8666666666666663</v>
      </c>
      <c r="J227" s="135">
        <f>AVERAGE(J61:J75)</f>
        <v>6.8666666666666663</v>
      </c>
      <c r="L227" s="135">
        <v>0</v>
      </c>
      <c r="M227" s="135">
        <f>AVERAGE(M61:M75)</f>
        <v>7</v>
      </c>
      <c r="N227" s="135"/>
      <c r="O227" s="135">
        <f>AVERAGE(O61:O75)</f>
        <v>2.4666666666666668</v>
      </c>
      <c r="P227" s="135">
        <f>AVERAGE(P61:P75)</f>
        <v>7</v>
      </c>
      <c r="R227" s="135">
        <f>AVERAGE(R61:R75)</f>
        <v>6.333333333333333</v>
      </c>
    </row>
    <row r="228" spans="2:18" x14ac:dyDescent="0.25">
      <c r="B228" s="132" t="s">
        <v>435</v>
      </c>
      <c r="D228" s="135">
        <f>AVERAGE(D76:D90)</f>
        <v>2.6</v>
      </c>
      <c r="F228" s="135">
        <f>AVERAGE(F76:F90)</f>
        <v>4.7333333333333334</v>
      </c>
      <c r="H228" s="135">
        <f>AVERAGE(H76:H90)</f>
        <v>6.1333333333333337</v>
      </c>
      <c r="J228" s="135">
        <f>AVERAGE(J76:J90)</f>
        <v>6.4</v>
      </c>
      <c r="L228" s="135">
        <f>AVERAGE(L76:L90)</f>
        <v>1.3333333333333333</v>
      </c>
      <c r="M228" s="135">
        <f>AVERAGE(M76:M90)</f>
        <v>6.6</v>
      </c>
      <c r="N228" s="135"/>
      <c r="O228" s="135">
        <f>AVERAGE(O76:O90)</f>
        <v>3.5333333333333332</v>
      </c>
      <c r="P228" s="135">
        <f>AVERAGE(P76:P90)</f>
        <v>6.6</v>
      </c>
      <c r="R228" s="135">
        <f>AVERAGE(R76:R90)</f>
        <v>6.2</v>
      </c>
    </row>
    <row r="229" spans="2:18" x14ac:dyDescent="0.25">
      <c r="B229" s="132" t="s">
        <v>434</v>
      </c>
      <c r="D229" s="135">
        <f>AVERAGE(D91:D105)</f>
        <v>0.93333333333333335</v>
      </c>
      <c r="F229" s="135">
        <f>AVERAGE(F91:F105)</f>
        <v>3.4666666666666668</v>
      </c>
      <c r="H229" s="135">
        <f>AVERAGE(H91:H105)</f>
        <v>6.2666666666666666</v>
      </c>
      <c r="J229" s="135">
        <f>AVERAGE(J91:J105)</f>
        <v>7.2</v>
      </c>
      <c r="L229" s="135">
        <f>AVERAGE(L91:L105)</f>
        <v>1</v>
      </c>
      <c r="M229" s="135">
        <f>AVERAGE(M91:M105)</f>
        <v>7.6</v>
      </c>
      <c r="N229" s="135"/>
      <c r="O229" s="135">
        <f>AVERAGE(O91:O105)</f>
        <v>3.3333333333333335</v>
      </c>
      <c r="P229" s="135">
        <f>AVERAGE(P91:P105)</f>
        <v>7.6</v>
      </c>
      <c r="R229" s="135">
        <f>AVERAGE(R91:R105)</f>
        <v>6.8666666666666663</v>
      </c>
    </row>
    <row r="230" spans="2:18" x14ac:dyDescent="0.25">
      <c r="B230" s="132" t="s">
        <v>433</v>
      </c>
      <c r="D230" s="135">
        <f>AVERAGE(D106:D120)</f>
        <v>0.93333333333333335</v>
      </c>
      <c r="F230" s="135">
        <f>AVERAGE(F106:F120)</f>
        <v>4.4000000000000004</v>
      </c>
      <c r="H230" s="135">
        <f>AVERAGE(H106:H120)</f>
        <v>7.9333333333333336</v>
      </c>
      <c r="J230" s="135">
        <f>AVERAGE(J106:J120)</f>
        <v>8.6666666666666661</v>
      </c>
      <c r="L230" s="135">
        <v>0</v>
      </c>
      <c r="M230" s="135">
        <f>AVERAGE(M106:M120)</f>
        <v>8.6666666666666661</v>
      </c>
      <c r="N230" s="135"/>
      <c r="O230" s="135">
        <f>AVERAGE(O106:O120)</f>
        <v>1.7333333333333334</v>
      </c>
      <c r="P230" s="135">
        <f>AVERAGE(P106:P120)</f>
        <v>8.6666666666666661</v>
      </c>
      <c r="R230" s="135">
        <f>AVERAGE(R106:R120)</f>
        <v>6.4666666666666668</v>
      </c>
    </row>
    <row r="231" spans="2:18" x14ac:dyDescent="0.25">
      <c r="B231" s="132" t="s">
        <v>432</v>
      </c>
      <c r="D231" s="135">
        <f>AVERAGE(D121:D135)</f>
        <v>2.4</v>
      </c>
      <c r="F231" s="135">
        <f>AVERAGE(F121:F135)</f>
        <v>7.1333333333333337</v>
      </c>
      <c r="H231" s="135">
        <f>AVERAGE(H121:H135)</f>
        <v>9.3333333333333339</v>
      </c>
      <c r="J231" s="135">
        <f>AVERAGE(J121:J135)</f>
        <v>9.6</v>
      </c>
      <c r="L231" s="135">
        <v>0</v>
      </c>
      <c r="M231" s="135">
        <f>AVERAGE(M121:M135)</f>
        <v>9.6666666666666661</v>
      </c>
      <c r="N231" s="135"/>
      <c r="O231" s="135">
        <f>AVERAGE(O121:O135)</f>
        <v>1.6666666666666667</v>
      </c>
      <c r="P231" s="135">
        <f>AVERAGE(P121:P135)</f>
        <v>9.6666666666666661</v>
      </c>
      <c r="R231" s="135">
        <f>AVERAGE(R121:R135)</f>
        <v>6.6</v>
      </c>
    </row>
    <row r="232" spans="2:18" x14ac:dyDescent="0.25">
      <c r="B232" s="132" t="s">
        <v>431</v>
      </c>
      <c r="D232" s="135">
        <f>AVERAGE(D136:D150)</f>
        <v>1.2666666666666666</v>
      </c>
      <c r="F232" s="135">
        <f>AVERAGE(F136:F150)</f>
        <v>5.333333333333333</v>
      </c>
      <c r="H232" s="135">
        <f>AVERAGE(H136:H150)</f>
        <v>8.4</v>
      </c>
      <c r="J232" s="135">
        <f>AVERAGE(J136:J150)</f>
        <v>9.2666666666666675</v>
      </c>
      <c r="L232" s="135">
        <f>AVERAGE(L136:L150)</f>
        <v>1</v>
      </c>
      <c r="M232" s="135">
        <f>AVERAGE(M136:M150)</f>
        <v>9.4</v>
      </c>
      <c r="N232" s="135"/>
      <c r="O232" s="135">
        <f>AVERAGE(O136:O150)</f>
        <v>3.1333333333333333</v>
      </c>
      <c r="P232" s="135">
        <f>AVERAGE(P136:P150)</f>
        <v>9.4</v>
      </c>
      <c r="R232" s="135">
        <f>AVERAGE(R136:R150)</f>
        <v>7.6</v>
      </c>
    </row>
    <row r="233" spans="2:18" x14ac:dyDescent="0.25">
      <c r="B233" s="132" t="s">
        <v>430</v>
      </c>
      <c r="D233" s="135">
        <f>AVERAGE(D151:D165)</f>
        <v>0</v>
      </c>
      <c r="F233" s="135">
        <f>AVERAGE(F151:F165)</f>
        <v>2.1333333333333333</v>
      </c>
      <c r="H233" s="135">
        <f>AVERAGE(H151:H165)</f>
        <v>6.5333333333333332</v>
      </c>
      <c r="J233" s="135">
        <f>AVERAGE(J151:J165)</f>
        <v>7.1333333333333337</v>
      </c>
      <c r="L233" s="135">
        <v>0</v>
      </c>
      <c r="M233" s="135">
        <f>AVERAGE(M151:M165)</f>
        <v>7.5333333333333332</v>
      </c>
      <c r="N233" s="135"/>
      <c r="O233" s="135">
        <f>AVERAGE(O151:O165)</f>
        <v>1.6666666666666667</v>
      </c>
      <c r="P233" s="135">
        <f>AVERAGE(P151:P165)</f>
        <v>7.5333333333333332</v>
      </c>
      <c r="R233" s="135">
        <f>AVERAGE(R151:R165)</f>
        <v>5.8</v>
      </c>
    </row>
    <row r="234" spans="2:18" x14ac:dyDescent="0.25">
      <c r="B234" s="132" t="s">
        <v>429</v>
      </c>
      <c r="D234" s="135">
        <f>AVERAGE(D166:D180)</f>
        <v>2.6</v>
      </c>
      <c r="F234" s="135">
        <f>AVERAGE(F166:F180)</f>
        <v>6.5333333333333332</v>
      </c>
      <c r="H234" s="135">
        <f>AVERAGE(H166:H180)</f>
        <v>8.1333333333333329</v>
      </c>
      <c r="J234" s="135">
        <f>AVERAGE(J166:J180)</f>
        <v>8.3333333333333339</v>
      </c>
      <c r="L234" s="135">
        <v>0</v>
      </c>
      <c r="M234" s="135">
        <f>AVERAGE(M166:M180)</f>
        <v>8.3333333333333339</v>
      </c>
      <c r="N234" s="135"/>
      <c r="O234" s="135">
        <f>AVERAGE(O166:O180)</f>
        <v>1.8</v>
      </c>
      <c r="P234" s="135">
        <f>AVERAGE(P166:P180)</f>
        <v>8.3333333333333339</v>
      </c>
      <c r="R234" s="135">
        <f>AVERAGE(R166:R180)</f>
        <v>6.333333333333333</v>
      </c>
    </row>
    <row r="235" spans="2:18" x14ac:dyDescent="0.25">
      <c r="B235" s="132" t="s">
        <v>428</v>
      </c>
      <c r="D235" s="135">
        <f>AVERAGE(D181:D195)</f>
        <v>0.4</v>
      </c>
      <c r="F235" s="135">
        <f>AVERAGE(F181:F195)</f>
        <v>4.5999999999999996</v>
      </c>
      <c r="H235" s="135">
        <f>AVERAGE(H181:H195)</f>
        <v>8.4666666666666668</v>
      </c>
      <c r="J235" s="135">
        <f>AVERAGE(J181:J195)</f>
        <v>9.1333333333333329</v>
      </c>
      <c r="L235" s="135">
        <v>0</v>
      </c>
      <c r="M235" s="135">
        <f>AVERAGE(M181:M195)</f>
        <v>9.3333333333333339</v>
      </c>
      <c r="N235" s="135"/>
      <c r="O235" s="135">
        <f>AVERAGE(O181:O195)</f>
        <v>2.0666666666666669</v>
      </c>
      <c r="P235" s="135">
        <f>AVERAGE(P181:P195)</f>
        <v>9.3333333333333339</v>
      </c>
      <c r="R235" s="135">
        <f>AVERAGE(R181:R195)</f>
        <v>6.333333333333333</v>
      </c>
    </row>
    <row r="237" spans="2:18" x14ac:dyDescent="0.25">
      <c r="B237" s="137" t="s">
        <v>444</v>
      </c>
      <c r="L237" s="130" t="s">
        <v>443</v>
      </c>
    </row>
    <row r="238" spans="2:18" x14ac:dyDescent="0.25">
      <c r="B238" s="132" t="s">
        <v>7</v>
      </c>
      <c r="D238" s="130">
        <v>122</v>
      </c>
      <c r="E238" s="130">
        <v>124</v>
      </c>
      <c r="F238" s="130">
        <v>128</v>
      </c>
      <c r="G238" s="130">
        <v>131</v>
      </c>
      <c r="H238" s="130">
        <v>135</v>
      </c>
      <c r="I238" s="130">
        <v>138</v>
      </c>
      <c r="K238" s="136">
        <v>0.5</v>
      </c>
      <c r="L238" s="130" t="s">
        <v>440</v>
      </c>
    </row>
    <row r="239" spans="2:18" x14ac:dyDescent="0.25">
      <c r="B239" s="132" t="s">
        <v>439</v>
      </c>
      <c r="D239" s="135">
        <v>0.33333333333333331</v>
      </c>
      <c r="E239" s="135">
        <v>3.8666666666666667</v>
      </c>
      <c r="F239" s="135">
        <v>6.6</v>
      </c>
      <c r="G239" s="135">
        <v>7.5333333333333332</v>
      </c>
      <c r="H239" s="135">
        <v>7.7333333333333334</v>
      </c>
      <c r="I239" s="135">
        <v>7.7333333333333334</v>
      </c>
      <c r="K239" s="135">
        <f t="shared" ref="K239:K250" si="0">I239/2</f>
        <v>3.8666666666666667</v>
      </c>
      <c r="L239" s="130">
        <f>124</f>
        <v>124</v>
      </c>
      <c r="N239" s="134"/>
    </row>
    <row r="240" spans="2:18" x14ac:dyDescent="0.25">
      <c r="B240" s="132" t="s">
        <v>438</v>
      </c>
      <c r="D240" s="135">
        <v>2.3333333333333335</v>
      </c>
      <c r="E240" s="135">
        <v>5.0666666666666664</v>
      </c>
      <c r="F240" s="135">
        <v>6.0666666666666664</v>
      </c>
      <c r="G240" s="135">
        <v>6.6</v>
      </c>
      <c r="H240" s="135">
        <v>6.8666666666666663</v>
      </c>
      <c r="I240" s="135">
        <v>6.8666666666666663</v>
      </c>
      <c r="K240" s="135">
        <f t="shared" si="0"/>
        <v>3.4333333333333331</v>
      </c>
      <c r="L240" s="134">
        <f>D238+(K240-D240)/(E240-D240)*(E238-D238)</f>
        <v>122.80487804878049</v>
      </c>
      <c r="N240" s="134"/>
    </row>
    <row r="241" spans="2:14" x14ac:dyDescent="0.25">
      <c r="B241" s="132" t="s">
        <v>437</v>
      </c>
      <c r="D241" s="135">
        <v>3.9333333333333331</v>
      </c>
      <c r="E241" s="135">
        <v>6</v>
      </c>
      <c r="F241" s="135">
        <v>6.9333333333333336</v>
      </c>
      <c r="G241" s="135">
        <v>7.333333333333333</v>
      </c>
      <c r="H241" s="135">
        <v>7.333333333333333</v>
      </c>
      <c r="I241" s="135">
        <v>7.333333333333333</v>
      </c>
      <c r="K241" s="135">
        <f t="shared" si="0"/>
        <v>3.6666666666666665</v>
      </c>
      <c r="L241" s="134">
        <v>122</v>
      </c>
      <c r="N241" s="134"/>
    </row>
    <row r="242" spans="2:14" x14ac:dyDescent="0.25">
      <c r="B242" s="132" t="s">
        <v>436</v>
      </c>
      <c r="D242" s="135">
        <v>0.33333333333333331</v>
      </c>
      <c r="E242" s="135">
        <v>3.3333333333333335</v>
      </c>
      <c r="F242" s="135">
        <v>5.8666666666666663</v>
      </c>
      <c r="G242" s="135">
        <v>6.8666666666666663</v>
      </c>
      <c r="H242" s="135">
        <v>7</v>
      </c>
      <c r="I242" s="135">
        <v>7</v>
      </c>
      <c r="K242" s="135">
        <f t="shared" si="0"/>
        <v>3.5</v>
      </c>
      <c r="L242" s="134">
        <f>E238+(K242-E242)/(F242-E242)*(F238-E238)</f>
        <v>124.26315789473684</v>
      </c>
      <c r="N242" s="134"/>
    </row>
    <row r="243" spans="2:14" x14ac:dyDescent="0.25">
      <c r="B243" s="132" t="s">
        <v>435</v>
      </c>
      <c r="D243" s="135">
        <v>2.6</v>
      </c>
      <c r="E243" s="135">
        <v>4.7333333333333334</v>
      </c>
      <c r="F243" s="135">
        <v>6.1333333333333337</v>
      </c>
      <c r="G243" s="135">
        <v>6.4</v>
      </c>
      <c r="H243" s="135">
        <v>6.6</v>
      </c>
      <c r="I243" s="135">
        <v>6.6</v>
      </c>
      <c r="K243" s="135">
        <f t="shared" si="0"/>
        <v>3.3</v>
      </c>
      <c r="L243" s="134">
        <f>D238+(K243-D243)/(E243-D243)*(E238-D238)</f>
        <v>122.65625</v>
      </c>
      <c r="N243" s="134"/>
    </row>
    <row r="244" spans="2:14" x14ac:dyDescent="0.25">
      <c r="B244" s="132" t="s">
        <v>434</v>
      </c>
      <c r="D244" s="135">
        <v>0.93333333333333335</v>
      </c>
      <c r="E244" s="135">
        <v>3.4666666666666668</v>
      </c>
      <c r="F244" s="135">
        <v>6.2666666666666666</v>
      </c>
      <c r="G244" s="135">
        <v>7.2</v>
      </c>
      <c r="H244" s="135">
        <v>7.6</v>
      </c>
      <c r="I244" s="135">
        <v>7.6</v>
      </c>
      <c r="K244" s="135">
        <f t="shared" si="0"/>
        <v>3.8</v>
      </c>
      <c r="L244" s="134">
        <f>E238+(K244-E244)/(F244-E244)*(F238-E238)</f>
        <v>124.47619047619048</v>
      </c>
      <c r="N244" s="134"/>
    </row>
    <row r="245" spans="2:14" x14ac:dyDescent="0.25">
      <c r="B245" s="132" t="s">
        <v>433</v>
      </c>
      <c r="D245" s="135">
        <v>0.93333333333333335</v>
      </c>
      <c r="E245" s="135">
        <v>4.4000000000000004</v>
      </c>
      <c r="F245" s="135">
        <v>7.9333333333333336</v>
      </c>
      <c r="G245" s="135">
        <v>8.6666666666666661</v>
      </c>
      <c r="H245" s="135">
        <v>8.6666666666666661</v>
      </c>
      <c r="I245" s="135">
        <v>8.6666666666666661</v>
      </c>
      <c r="K245" s="135">
        <f t="shared" si="0"/>
        <v>4.333333333333333</v>
      </c>
      <c r="L245" s="134">
        <f>D238+(K245-D245)/(E245-D245)*(E238-D238)</f>
        <v>123.96153846153847</v>
      </c>
      <c r="N245" s="134"/>
    </row>
    <row r="246" spans="2:14" x14ac:dyDescent="0.25">
      <c r="B246" s="132" t="s">
        <v>432</v>
      </c>
      <c r="D246" s="135">
        <v>2.4</v>
      </c>
      <c r="E246" s="135">
        <v>7.1333333333333337</v>
      </c>
      <c r="F246" s="135">
        <v>9.3333333333333339</v>
      </c>
      <c r="G246" s="135">
        <v>9.6</v>
      </c>
      <c r="H246" s="135">
        <v>9.6666666666666661</v>
      </c>
      <c r="I246" s="135">
        <v>9.6666666666666661</v>
      </c>
      <c r="K246" s="135">
        <f t="shared" si="0"/>
        <v>4.833333333333333</v>
      </c>
      <c r="L246" s="134">
        <f>D238+(K246-D246)/(E246-D246)*(E238-D238)</f>
        <v>123.02816901408451</v>
      </c>
      <c r="N246" s="134"/>
    </row>
    <row r="247" spans="2:14" x14ac:dyDescent="0.25">
      <c r="B247" s="132" t="s">
        <v>431</v>
      </c>
      <c r="D247" s="135">
        <v>1.2666666666666666</v>
      </c>
      <c r="E247" s="135">
        <v>5.333333333333333</v>
      </c>
      <c r="F247" s="135">
        <v>8.4</v>
      </c>
      <c r="G247" s="135">
        <v>9.2666666666666675</v>
      </c>
      <c r="H247" s="135">
        <v>9.4</v>
      </c>
      <c r="I247" s="135">
        <v>9.4</v>
      </c>
      <c r="K247" s="135">
        <f t="shared" si="0"/>
        <v>4.7</v>
      </c>
      <c r="L247" s="134">
        <f>D238+(K247-D247)/(E247-D247)*(E238-D238)</f>
        <v>123.68852459016394</v>
      </c>
      <c r="N247" s="134"/>
    </row>
    <row r="248" spans="2:14" x14ac:dyDescent="0.25">
      <c r="B248" s="132" t="s">
        <v>430</v>
      </c>
      <c r="D248" s="135">
        <v>0</v>
      </c>
      <c r="E248" s="135">
        <v>2.1333333333333333</v>
      </c>
      <c r="F248" s="135">
        <v>6.5333333333333332</v>
      </c>
      <c r="G248" s="135">
        <v>7.1333333333333337</v>
      </c>
      <c r="H248" s="135">
        <v>7.5333333333333332</v>
      </c>
      <c r="I248" s="135">
        <v>7.5333333333333332</v>
      </c>
      <c r="K248" s="135">
        <f t="shared" si="0"/>
        <v>3.7666666666666666</v>
      </c>
      <c r="L248" s="134">
        <f>E238+(K248-E248)/(F248-E248)*(F238-E238)</f>
        <v>125.48484848484848</v>
      </c>
      <c r="N248" s="134"/>
    </row>
    <row r="249" spans="2:14" x14ac:dyDescent="0.25">
      <c r="B249" s="132" t="s">
        <v>429</v>
      </c>
      <c r="D249" s="135">
        <v>2.6</v>
      </c>
      <c r="E249" s="135">
        <v>6.5333333333333332</v>
      </c>
      <c r="F249" s="135">
        <v>8.1333333333333329</v>
      </c>
      <c r="G249" s="135">
        <v>8.3333333333333339</v>
      </c>
      <c r="H249" s="135">
        <v>8.3333333333333339</v>
      </c>
      <c r="I249" s="135">
        <v>8.3333333333333339</v>
      </c>
      <c r="K249" s="135">
        <f t="shared" si="0"/>
        <v>4.166666666666667</v>
      </c>
      <c r="L249" s="134">
        <f>D238+(K249-D249)/(E249-D249)*(E238-D238)</f>
        <v>122.79661016949153</v>
      </c>
      <c r="N249" s="134"/>
    </row>
    <row r="250" spans="2:14" x14ac:dyDescent="0.25">
      <c r="B250" s="132" t="s">
        <v>428</v>
      </c>
      <c r="D250" s="135">
        <v>0.4</v>
      </c>
      <c r="E250" s="135">
        <v>4.5999999999999996</v>
      </c>
      <c r="F250" s="135">
        <v>8.4666666666666668</v>
      </c>
      <c r="G250" s="135">
        <v>9.1333333333333329</v>
      </c>
      <c r="H250" s="135">
        <v>9.3333333333333339</v>
      </c>
      <c r="I250" s="135">
        <v>9.3333333333333339</v>
      </c>
      <c r="K250" s="135">
        <f t="shared" si="0"/>
        <v>4.666666666666667</v>
      </c>
      <c r="L250" s="134">
        <f>E238+(K250-E250)/(F250-E250)*(F238-E238)</f>
        <v>124.06896551724138</v>
      </c>
      <c r="N250" s="134"/>
    </row>
    <row r="252" spans="2:14" x14ac:dyDescent="0.25">
      <c r="B252" s="137" t="s">
        <v>442</v>
      </c>
      <c r="L252" s="130" t="s">
        <v>441</v>
      </c>
    </row>
    <row r="253" spans="2:14" x14ac:dyDescent="0.25">
      <c r="B253" s="132" t="s">
        <v>7</v>
      </c>
      <c r="D253" s="130">
        <v>131</v>
      </c>
      <c r="E253" s="130">
        <v>135</v>
      </c>
      <c r="F253" s="130">
        <v>138</v>
      </c>
      <c r="K253" s="136">
        <v>0.5</v>
      </c>
      <c r="L253" s="130" t="s">
        <v>440</v>
      </c>
    </row>
    <row r="254" spans="2:14" x14ac:dyDescent="0.25">
      <c r="B254" s="132" t="s">
        <v>439</v>
      </c>
      <c r="D254" s="135">
        <v>1</v>
      </c>
      <c r="E254" s="135">
        <v>4.2666666666666666</v>
      </c>
      <c r="F254" s="135">
        <v>7.6</v>
      </c>
      <c r="K254" s="135">
        <v>3.8666666666666667</v>
      </c>
      <c r="L254" s="134">
        <f>D253+(K254-D254)/(E254-D254)*(E253-D253)</f>
        <v>134.51020408163265</v>
      </c>
    </row>
    <row r="255" spans="2:14" x14ac:dyDescent="0.25">
      <c r="B255" s="132" t="s">
        <v>438</v>
      </c>
      <c r="D255" s="135">
        <v>1.1428571428571428</v>
      </c>
      <c r="E255" s="135">
        <v>3.7333333333333334</v>
      </c>
      <c r="F255" s="135">
        <v>6.6</v>
      </c>
      <c r="K255" s="135">
        <v>3.4333333333333331</v>
      </c>
      <c r="L255" s="134">
        <f>D253+(K255-D255)/(E255-D255)*(E253-D253)</f>
        <v>134.53676470588235</v>
      </c>
    </row>
    <row r="256" spans="2:14" x14ac:dyDescent="0.25">
      <c r="B256" s="132" t="s">
        <v>437</v>
      </c>
      <c r="D256" s="135">
        <v>1.4285714285714286</v>
      </c>
      <c r="E256" s="135">
        <v>4.2142857142857144</v>
      </c>
      <c r="F256" s="135">
        <v>6.666666666666667</v>
      </c>
      <c r="K256" s="135">
        <v>3.6666666666666665</v>
      </c>
      <c r="L256" s="134">
        <f>D253+(K256-D256)/(E256-D256)*(E253-D253)</f>
        <v>134.2136752136752</v>
      </c>
    </row>
    <row r="257" spans="2:12" x14ac:dyDescent="0.25">
      <c r="B257" s="132" t="s">
        <v>436</v>
      </c>
      <c r="D257" s="135">
        <v>0</v>
      </c>
      <c r="E257" s="135">
        <v>2.4666666666666668</v>
      </c>
      <c r="F257" s="135">
        <v>6.333333333333333</v>
      </c>
      <c r="K257" s="135">
        <v>3.5</v>
      </c>
      <c r="L257" s="134">
        <f>E253+(K257-E257)/(F257-E257)*(F253-E253)</f>
        <v>135.80172413793105</v>
      </c>
    </row>
    <row r="258" spans="2:12" x14ac:dyDescent="0.25">
      <c r="B258" s="132" t="s">
        <v>435</v>
      </c>
      <c r="D258" s="135">
        <v>1.3333333333333333</v>
      </c>
      <c r="E258" s="135">
        <v>3.5333333333333332</v>
      </c>
      <c r="F258" s="135">
        <v>6.2</v>
      </c>
      <c r="K258" s="135">
        <v>3.3</v>
      </c>
      <c r="L258" s="134">
        <f>D253+(K258-D258)/(E258-D258)*(E253-D253)</f>
        <v>134.57575757575756</v>
      </c>
    </row>
    <row r="259" spans="2:12" x14ac:dyDescent="0.25">
      <c r="B259" s="132" t="s">
        <v>434</v>
      </c>
      <c r="D259" s="135">
        <v>1</v>
      </c>
      <c r="E259" s="135">
        <v>3.3333333333333335</v>
      </c>
      <c r="F259" s="135">
        <v>6.8666666666666663</v>
      </c>
      <c r="K259" s="135">
        <v>3.8</v>
      </c>
      <c r="L259" s="134">
        <f>E253+(K259-E259)/(F259-E259)*(F253-E253)</f>
        <v>135.39622641509433</v>
      </c>
    </row>
    <row r="260" spans="2:12" x14ac:dyDescent="0.25">
      <c r="B260" s="132" t="s">
        <v>433</v>
      </c>
      <c r="D260" s="135">
        <v>0</v>
      </c>
      <c r="E260" s="135">
        <v>1.7333333333333334</v>
      </c>
      <c r="F260" s="135">
        <v>6.4666666666666668</v>
      </c>
      <c r="K260" s="135">
        <v>4.333333333333333</v>
      </c>
      <c r="L260" s="134">
        <f>E253+(K260-E260)/(F260-E260)*(F253-E253)</f>
        <v>136.64788732394365</v>
      </c>
    </row>
    <row r="261" spans="2:12" x14ac:dyDescent="0.25">
      <c r="B261" s="132" t="s">
        <v>432</v>
      </c>
      <c r="D261" s="135">
        <v>0</v>
      </c>
      <c r="E261" s="135">
        <v>1.6666666666666667</v>
      </c>
      <c r="F261" s="135">
        <v>6.6</v>
      </c>
      <c r="K261" s="135">
        <v>4.833333333333333</v>
      </c>
      <c r="L261" s="134">
        <f>E253+(K261-E261)/(F261-E261)*(F253-E253)</f>
        <v>136.92567567567568</v>
      </c>
    </row>
    <row r="262" spans="2:12" x14ac:dyDescent="0.25">
      <c r="B262" s="132" t="s">
        <v>431</v>
      </c>
      <c r="D262" s="135">
        <v>1</v>
      </c>
      <c r="E262" s="135">
        <v>3.1333333333333333</v>
      </c>
      <c r="F262" s="135">
        <v>7.6</v>
      </c>
      <c r="K262" s="135">
        <v>4.7</v>
      </c>
      <c r="L262" s="134">
        <f>E253+(K262-E262)/(F262-E262)*(F253-E253)</f>
        <v>136.05223880597015</v>
      </c>
    </row>
    <row r="263" spans="2:12" x14ac:dyDescent="0.25">
      <c r="B263" s="132" t="s">
        <v>430</v>
      </c>
      <c r="D263" s="135">
        <v>0</v>
      </c>
      <c r="E263" s="135">
        <v>1.6666666666666667</v>
      </c>
      <c r="F263" s="135">
        <v>5.8</v>
      </c>
      <c r="K263" s="135">
        <v>3.7666666666666666</v>
      </c>
      <c r="L263" s="134">
        <f>E253+(K263-E263)/(F263-E263)*(F253-E253)</f>
        <v>136.5241935483871</v>
      </c>
    </row>
    <row r="264" spans="2:12" x14ac:dyDescent="0.25">
      <c r="B264" s="132" t="s">
        <v>429</v>
      </c>
      <c r="D264" s="135">
        <v>0</v>
      </c>
      <c r="E264" s="135">
        <v>1.8</v>
      </c>
      <c r="F264" s="135">
        <v>6.333333333333333</v>
      </c>
      <c r="K264" s="135">
        <v>4.166666666666667</v>
      </c>
      <c r="L264" s="134">
        <f>E253+(K264-E264)/(F264-E264)*(F253-E253)</f>
        <v>136.56617647058823</v>
      </c>
    </row>
    <row r="265" spans="2:12" x14ac:dyDescent="0.25">
      <c r="B265" s="132" t="s">
        <v>428</v>
      </c>
      <c r="D265" s="135">
        <v>0</v>
      </c>
      <c r="E265" s="135">
        <v>2.0666666666666669</v>
      </c>
      <c r="F265" s="135">
        <v>6.333333333333333</v>
      </c>
      <c r="K265" s="135">
        <v>4.666666666666667</v>
      </c>
      <c r="L265" s="134">
        <f>E253+(K265-E265)/(F265-E265)*(F253-E253)</f>
        <v>136.828125</v>
      </c>
    </row>
  </sheetData>
  <mergeCells count="23">
    <mergeCell ref="J13:L13"/>
    <mergeCell ref="M14:O14"/>
    <mergeCell ref="J14:L14"/>
    <mergeCell ref="M11:O11"/>
    <mergeCell ref="P11:R11"/>
    <mergeCell ref="M12:O12"/>
    <mergeCell ref="P12:R12"/>
    <mergeCell ref="M13:O13"/>
    <mergeCell ref="P13:R13"/>
    <mergeCell ref="J11:L11"/>
    <mergeCell ref="J12:L12"/>
    <mergeCell ref="D14:E14"/>
    <mergeCell ref="D13:E13"/>
    <mergeCell ref="F13:G13"/>
    <mergeCell ref="F14:G14"/>
    <mergeCell ref="H13:I13"/>
    <mergeCell ref="H14:I14"/>
    <mergeCell ref="D11:E11"/>
    <mergeCell ref="D12:E12"/>
    <mergeCell ref="F12:G12"/>
    <mergeCell ref="F11:G11"/>
    <mergeCell ref="H11:I11"/>
    <mergeCell ref="H12:I12"/>
  </mergeCells>
  <printOptions horizontalCentered="1"/>
  <pageMargins left="0.5" right="0.5" top="0.5" bottom="0.5" header="0" footer="0.25"/>
  <pageSetup scale="80" fitToHeight="2" orientation="portrait" r:id="rId1"/>
  <headerFooter>
    <oddFooter xml:space="preserve">&amp;R&amp;9smm - &amp;Z&amp;F&amp;P of &amp;N&amp;11
  </oddFooter>
  </headerFooter>
  <rowBreaks count="2" manualBreakCount="2">
    <brk id="31" max="16383" man="1"/>
    <brk id="47"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9FF1D-A07C-4412-9B8B-13D525E331CA}">
  <dimension ref="A1:Q182"/>
  <sheetViews>
    <sheetView workbookViewId="0">
      <selection activeCell="J3" sqref="J3"/>
    </sheetView>
  </sheetViews>
  <sheetFormatPr defaultRowHeight="15" x14ac:dyDescent="0.25"/>
  <cols>
    <col min="1" max="16384" width="9.140625" style="130"/>
  </cols>
  <sheetData>
    <row r="1" spans="1:17" x14ac:dyDescent="0.25">
      <c r="C1" s="130" t="s">
        <v>468</v>
      </c>
      <c r="L1" s="130" t="s">
        <v>467</v>
      </c>
    </row>
    <row r="2" spans="1:17" x14ac:dyDescent="0.25">
      <c r="C2" s="130">
        <v>122</v>
      </c>
      <c r="D2" s="130">
        <v>124</v>
      </c>
      <c r="E2" s="130">
        <v>128</v>
      </c>
      <c r="F2" s="130">
        <v>131</v>
      </c>
      <c r="G2" s="130">
        <v>135</v>
      </c>
      <c r="H2" s="130">
        <v>138</v>
      </c>
      <c r="I2" s="136">
        <v>0.5</v>
      </c>
      <c r="J2" s="130" t="s">
        <v>466</v>
      </c>
      <c r="L2" s="130">
        <v>131</v>
      </c>
      <c r="M2" s="130">
        <v>135</v>
      </c>
      <c r="N2" s="130">
        <v>138</v>
      </c>
      <c r="O2" s="130" t="s">
        <v>466</v>
      </c>
      <c r="Q2" s="134"/>
    </row>
    <row r="3" spans="1:17" x14ac:dyDescent="0.25">
      <c r="A3" s="130" t="s">
        <v>27</v>
      </c>
      <c r="B3" s="130" t="s">
        <v>448</v>
      </c>
      <c r="C3" s="130">
        <v>0</v>
      </c>
      <c r="D3" s="130">
        <v>3</v>
      </c>
      <c r="E3" s="130">
        <v>7</v>
      </c>
      <c r="F3" s="130">
        <v>9</v>
      </c>
      <c r="G3" s="130">
        <v>9</v>
      </c>
      <c r="H3" s="130">
        <v>9</v>
      </c>
      <c r="I3" s="130">
        <f>H3/2</f>
        <v>4.5</v>
      </c>
      <c r="J3" s="134">
        <f>D$2+(I3-D3)/(E3-D3)*(E$2-D$2)</f>
        <v>125.5</v>
      </c>
      <c r="L3" s="130">
        <v>0</v>
      </c>
      <c r="M3" s="130">
        <v>7</v>
      </c>
      <c r="N3" s="130">
        <v>9</v>
      </c>
      <c r="O3" s="134">
        <f>L$2+(I3-L3)/(M3-L3)*(M$2-L$2)</f>
        <v>133.57142857142858</v>
      </c>
      <c r="Q3" s="134"/>
    </row>
    <row r="4" spans="1:17" x14ac:dyDescent="0.25">
      <c r="A4" s="130" t="s">
        <v>29</v>
      </c>
      <c r="B4" s="130" t="s">
        <v>448</v>
      </c>
      <c r="C4" s="130">
        <v>1</v>
      </c>
      <c r="D4" s="130">
        <v>2</v>
      </c>
      <c r="E4" s="130">
        <v>6</v>
      </c>
      <c r="F4" s="130">
        <v>8</v>
      </c>
      <c r="G4" s="130">
        <v>8</v>
      </c>
      <c r="H4" s="130">
        <v>8</v>
      </c>
      <c r="I4" s="130">
        <f t="shared" ref="I3:I34" si="0">H4/2</f>
        <v>4</v>
      </c>
      <c r="J4" s="134">
        <f>D$2+(I4-D4)/(E4-D4)*(E$2-D$2)</f>
        <v>126</v>
      </c>
      <c r="L4" s="130">
        <v>0</v>
      </c>
      <c r="M4" s="130">
        <v>5</v>
      </c>
      <c r="N4" s="130">
        <v>8</v>
      </c>
      <c r="O4" s="134">
        <f>L$2+(I4-L4)/(M4-L4)*(M$2-L$2)</f>
        <v>134.19999999999999</v>
      </c>
      <c r="Q4" s="134"/>
    </row>
    <row r="5" spans="1:17" x14ac:dyDescent="0.25">
      <c r="A5" s="130" t="s">
        <v>31</v>
      </c>
      <c r="B5" s="130" t="s">
        <v>448</v>
      </c>
      <c r="C5" s="130">
        <v>1</v>
      </c>
      <c r="D5" s="130">
        <v>5</v>
      </c>
      <c r="E5" s="130">
        <v>7</v>
      </c>
      <c r="F5" s="130">
        <v>7</v>
      </c>
      <c r="G5" s="130">
        <v>7</v>
      </c>
      <c r="H5" s="130">
        <v>7</v>
      </c>
      <c r="I5" s="130">
        <f t="shared" si="0"/>
        <v>3.5</v>
      </c>
      <c r="J5" s="134">
        <f>C$2+(I5-C5)/(D5-C5)*(D$2-C$2)</f>
        <v>123.25</v>
      </c>
      <c r="L5" s="130">
        <v>0</v>
      </c>
      <c r="M5" s="130">
        <v>3</v>
      </c>
      <c r="N5" s="130">
        <v>6</v>
      </c>
      <c r="O5" s="134">
        <f>M$2+(I5-M5)/(N5-M5)*(N$2-M$2)</f>
        <v>135.5</v>
      </c>
      <c r="Q5" s="134"/>
    </row>
    <row r="6" spans="1:17" x14ac:dyDescent="0.25">
      <c r="A6" s="130" t="s">
        <v>33</v>
      </c>
      <c r="B6" s="130" t="s">
        <v>448</v>
      </c>
      <c r="C6" s="130">
        <v>1</v>
      </c>
      <c r="D6" s="130">
        <v>6</v>
      </c>
      <c r="E6" s="130">
        <v>8</v>
      </c>
      <c r="F6" s="130">
        <v>8</v>
      </c>
      <c r="G6" s="130">
        <v>8</v>
      </c>
      <c r="H6" s="130">
        <v>8</v>
      </c>
      <c r="I6" s="130">
        <f t="shared" si="0"/>
        <v>4</v>
      </c>
      <c r="J6" s="134">
        <f>C$2+(I6-C6)/(D6-C6)*(D$2-C$2)</f>
        <v>123.2</v>
      </c>
      <c r="L6" s="130">
        <v>0</v>
      </c>
      <c r="M6" s="130">
        <v>4</v>
      </c>
      <c r="N6" s="130">
        <v>8</v>
      </c>
      <c r="O6" s="134">
        <f>M$2+(I6-M6)/(N6-M6)*(N$2-M$2)</f>
        <v>135</v>
      </c>
      <c r="Q6" s="134"/>
    </row>
    <row r="7" spans="1:17" x14ac:dyDescent="0.25">
      <c r="A7" s="130" t="s">
        <v>35</v>
      </c>
      <c r="B7" s="130" t="s">
        <v>449</v>
      </c>
      <c r="C7" s="130">
        <v>1</v>
      </c>
      <c r="D7" s="130">
        <v>9</v>
      </c>
      <c r="E7" s="130">
        <v>9</v>
      </c>
      <c r="F7" s="130">
        <v>10</v>
      </c>
      <c r="G7" s="130">
        <v>10</v>
      </c>
      <c r="H7" s="130">
        <v>10</v>
      </c>
      <c r="I7" s="130">
        <f t="shared" si="0"/>
        <v>5</v>
      </c>
      <c r="J7" s="134">
        <f>C$2+(I7-C7)/(D7-C7)*(D$2-C$2)</f>
        <v>123</v>
      </c>
      <c r="L7" s="130">
        <v>0</v>
      </c>
      <c r="M7" s="130">
        <v>6</v>
      </c>
      <c r="N7" s="130">
        <v>10</v>
      </c>
      <c r="O7" s="134">
        <f>L$2+(I7-L7)/(M7-L7)*(M$2-L$2)</f>
        <v>134.33333333333334</v>
      </c>
      <c r="Q7" s="134"/>
    </row>
    <row r="8" spans="1:17" x14ac:dyDescent="0.25">
      <c r="A8" s="130" t="s">
        <v>37</v>
      </c>
      <c r="B8" s="130" t="s">
        <v>449</v>
      </c>
      <c r="C8" s="130">
        <v>0</v>
      </c>
      <c r="D8" s="130">
        <v>3</v>
      </c>
      <c r="E8" s="130">
        <v>6</v>
      </c>
      <c r="F8" s="130">
        <v>6</v>
      </c>
      <c r="G8" s="130">
        <v>6</v>
      </c>
      <c r="H8" s="130">
        <v>6</v>
      </c>
      <c r="I8" s="130">
        <f t="shared" si="0"/>
        <v>3</v>
      </c>
      <c r="J8" s="134">
        <f>D$2+(I8-D8)/(E8-D8)*(E$2-D$2)</f>
        <v>124</v>
      </c>
      <c r="L8" s="130">
        <v>0</v>
      </c>
      <c r="M8" s="130">
        <v>2</v>
      </c>
      <c r="N8" s="130">
        <v>6</v>
      </c>
      <c r="O8" s="134">
        <f>M$2+(I8-M8)/(N8-M8)*(N$2-M$2)</f>
        <v>135.75</v>
      </c>
      <c r="Q8" s="134"/>
    </row>
    <row r="9" spans="1:17" x14ac:dyDescent="0.25">
      <c r="A9" s="130" t="s">
        <v>39</v>
      </c>
      <c r="B9" s="130" t="s">
        <v>449</v>
      </c>
      <c r="C9" s="130">
        <v>0</v>
      </c>
      <c r="D9" s="130">
        <v>2</v>
      </c>
      <c r="E9" s="130">
        <v>6</v>
      </c>
      <c r="F9" s="130">
        <v>8</v>
      </c>
      <c r="G9" s="130">
        <v>8</v>
      </c>
      <c r="H9" s="130">
        <v>8</v>
      </c>
      <c r="I9" s="130">
        <f t="shared" si="0"/>
        <v>4</v>
      </c>
      <c r="J9" s="134">
        <f>D$2+(I9-D9)/(E9-D9)*(E$2-D$2)</f>
        <v>126</v>
      </c>
      <c r="L9" s="130">
        <v>0</v>
      </c>
      <c r="M9" s="130">
        <v>6</v>
      </c>
      <c r="N9" s="130">
        <v>8</v>
      </c>
      <c r="O9" s="134">
        <f>L$2+(I9-L9)/(M9-L9)*(M$2-L$2)</f>
        <v>133.66666666666666</v>
      </c>
      <c r="Q9" s="134"/>
    </row>
    <row r="10" spans="1:17" x14ac:dyDescent="0.25">
      <c r="A10" s="130" t="s">
        <v>41</v>
      </c>
      <c r="B10" s="130" t="s">
        <v>449</v>
      </c>
      <c r="C10" s="130">
        <v>0</v>
      </c>
      <c r="D10" s="130">
        <v>6</v>
      </c>
      <c r="E10" s="130">
        <v>9</v>
      </c>
      <c r="F10" s="130">
        <v>9</v>
      </c>
      <c r="G10" s="130">
        <v>9</v>
      </c>
      <c r="H10" s="130">
        <v>9</v>
      </c>
      <c r="I10" s="130">
        <f t="shared" si="0"/>
        <v>4.5</v>
      </c>
      <c r="J10" s="134">
        <f>C$2+(I10-C10)/(D10-C10)*(D$2-C$2)</f>
        <v>123.5</v>
      </c>
      <c r="L10" s="130">
        <v>0</v>
      </c>
      <c r="M10" s="130">
        <v>6</v>
      </c>
      <c r="N10" s="130">
        <v>9</v>
      </c>
      <c r="O10" s="134">
        <f>L$2+(I10-L10)/(M10-L10)*(M$2-L$2)</f>
        <v>134</v>
      </c>
      <c r="Q10" s="134"/>
    </row>
    <row r="11" spans="1:17" x14ac:dyDescent="0.25">
      <c r="A11" s="130" t="s">
        <v>43</v>
      </c>
      <c r="B11" s="130" t="s">
        <v>448</v>
      </c>
      <c r="C11" s="130">
        <v>0</v>
      </c>
      <c r="D11" s="130">
        <v>4</v>
      </c>
      <c r="E11" s="130">
        <v>6</v>
      </c>
      <c r="F11" s="130">
        <v>6</v>
      </c>
      <c r="G11" s="130">
        <v>6</v>
      </c>
      <c r="H11" s="130">
        <v>6</v>
      </c>
      <c r="I11" s="130">
        <f t="shared" si="0"/>
        <v>3</v>
      </c>
      <c r="J11" s="134">
        <f>C$2+(I11-C11)/(D11-C11)*(D$2-C$2)</f>
        <v>123.5</v>
      </c>
      <c r="L11" s="130">
        <v>0</v>
      </c>
      <c r="M11" s="130">
        <v>2</v>
      </c>
      <c r="N11" s="130">
        <v>6</v>
      </c>
      <c r="O11" s="134">
        <f>M$2+(I11-M11)/(N11-M11)*(N$2-M$2)</f>
        <v>135.75</v>
      </c>
      <c r="Q11" s="134"/>
    </row>
    <row r="12" spans="1:17" x14ac:dyDescent="0.25">
      <c r="A12" s="130" t="s">
        <v>45</v>
      </c>
      <c r="B12" s="130" t="s">
        <v>448</v>
      </c>
      <c r="C12" s="130">
        <v>0</v>
      </c>
      <c r="D12" s="130">
        <v>3</v>
      </c>
      <c r="E12" s="130">
        <v>5</v>
      </c>
      <c r="F12" s="130">
        <v>6</v>
      </c>
      <c r="G12" s="130">
        <v>6</v>
      </c>
      <c r="H12" s="130">
        <v>6</v>
      </c>
      <c r="I12" s="130">
        <f t="shared" si="0"/>
        <v>3</v>
      </c>
      <c r="J12" s="134">
        <f t="shared" ref="J12:J17" si="1">D$2+(I12-D12)/(E12-D12)*(E$2-D$2)</f>
        <v>124</v>
      </c>
      <c r="L12" s="130">
        <v>1</v>
      </c>
      <c r="M12" s="130">
        <v>2</v>
      </c>
      <c r="N12" s="130">
        <v>5</v>
      </c>
      <c r="O12" s="134">
        <f>M$2+(I12-M12)/(N12-M12)*(N$2-M$2)</f>
        <v>136</v>
      </c>
      <c r="Q12" s="134"/>
    </row>
    <row r="13" spans="1:17" x14ac:dyDescent="0.25">
      <c r="A13" s="130" t="s">
        <v>47</v>
      </c>
      <c r="B13" s="130" t="s">
        <v>448</v>
      </c>
      <c r="C13" s="130">
        <v>0</v>
      </c>
      <c r="D13" s="130">
        <v>2</v>
      </c>
      <c r="E13" s="130">
        <v>7</v>
      </c>
      <c r="F13" s="130">
        <v>7</v>
      </c>
      <c r="G13" s="130">
        <v>7</v>
      </c>
      <c r="H13" s="130">
        <v>7</v>
      </c>
      <c r="I13" s="130">
        <f t="shared" si="0"/>
        <v>3.5</v>
      </c>
      <c r="J13" s="134">
        <f t="shared" si="1"/>
        <v>125.2</v>
      </c>
      <c r="L13" s="130">
        <v>0</v>
      </c>
      <c r="M13" s="130">
        <v>4</v>
      </c>
      <c r="N13" s="130">
        <v>7</v>
      </c>
      <c r="O13" s="134">
        <f>L$2+(I13-L13)/(M13-L13)*(M$2-L$2)</f>
        <v>134.5</v>
      </c>
      <c r="Q13" s="134"/>
    </row>
    <row r="14" spans="1:17" x14ac:dyDescent="0.25">
      <c r="A14" s="130" t="s">
        <v>49</v>
      </c>
      <c r="B14" s="130" t="s">
        <v>448</v>
      </c>
      <c r="C14" s="130">
        <v>0</v>
      </c>
      <c r="D14" s="130">
        <v>3</v>
      </c>
      <c r="E14" s="130">
        <v>6</v>
      </c>
      <c r="F14" s="130">
        <v>6</v>
      </c>
      <c r="G14" s="130">
        <v>7</v>
      </c>
      <c r="H14" s="130">
        <v>7</v>
      </c>
      <c r="I14" s="130">
        <f t="shared" si="0"/>
        <v>3.5</v>
      </c>
      <c r="J14" s="134">
        <f t="shared" si="1"/>
        <v>124.66666666666667</v>
      </c>
      <c r="L14" s="130">
        <v>0</v>
      </c>
      <c r="M14" s="130">
        <v>3</v>
      </c>
      <c r="N14" s="130">
        <v>7</v>
      </c>
      <c r="O14" s="134">
        <f>M$2+(I14-M14)/(N14-M14)*(N$2-M$2)</f>
        <v>135.375</v>
      </c>
    </row>
    <row r="15" spans="1:17" x14ac:dyDescent="0.25">
      <c r="A15" s="130" t="s">
        <v>51</v>
      </c>
      <c r="B15" s="130" t="s">
        <v>449</v>
      </c>
      <c r="C15" s="130">
        <v>0</v>
      </c>
      <c r="D15" s="130">
        <v>3</v>
      </c>
      <c r="E15" s="130">
        <v>5</v>
      </c>
      <c r="F15" s="130">
        <v>8</v>
      </c>
      <c r="G15" s="130">
        <v>9</v>
      </c>
      <c r="H15" s="130">
        <v>9</v>
      </c>
      <c r="I15" s="130">
        <f t="shared" si="0"/>
        <v>4.5</v>
      </c>
      <c r="J15" s="134">
        <f t="shared" si="1"/>
        <v>127</v>
      </c>
      <c r="L15" s="130">
        <v>1</v>
      </c>
      <c r="M15" s="130">
        <v>5</v>
      </c>
      <c r="N15" s="130">
        <v>9</v>
      </c>
      <c r="O15" s="134">
        <f>L$2+(I15-L15)/(M15-L15)*(M$2-L$2)</f>
        <v>134.5</v>
      </c>
    </row>
    <row r="16" spans="1:17" x14ac:dyDescent="0.25">
      <c r="A16" s="130" t="s">
        <v>53</v>
      </c>
      <c r="B16" s="130" t="s">
        <v>449</v>
      </c>
      <c r="C16" s="130">
        <v>0</v>
      </c>
      <c r="D16" s="130">
        <v>3</v>
      </c>
      <c r="E16" s="130">
        <v>7</v>
      </c>
      <c r="F16" s="130">
        <v>8</v>
      </c>
      <c r="G16" s="130">
        <v>8</v>
      </c>
      <c r="H16" s="130">
        <v>8</v>
      </c>
      <c r="I16" s="130">
        <f t="shared" si="0"/>
        <v>4</v>
      </c>
      <c r="J16" s="134">
        <f t="shared" si="1"/>
        <v>125</v>
      </c>
      <c r="L16" s="130">
        <v>0</v>
      </c>
      <c r="M16" s="130">
        <v>5</v>
      </c>
      <c r="N16" s="130">
        <v>8</v>
      </c>
      <c r="O16" s="134">
        <f>M$2+(I16-M16)/(N16-M16)*(N$2-M$2)</f>
        <v>134</v>
      </c>
    </row>
    <row r="17" spans="1:15" x14ac:dyDescent="0.25">
      <c r="A17" s="130" t="s">
        <v>55</v>
      </c>
      <c r="B17" s="130" t="s">
        <v>449</v>
      </c>
      <c r="C17" s="130">
        <v>1</v>
      </c>
      <c r="D17" s="130">
        <v>4</v>
      </c>
      <c r="E17" s="130">
        <v>5</v>
      </c>
      <c r="F17" s="130">
        <v>7</v>
      </c>
      <c r="G17" s="130">
        <v>8</v>
      </c>
      <c r="H17" s="130">
        <v>8</v>
      </c>
      <c r="I17" s="130">
        <f t="shared" si="0"/>
        <v>4</v>
      </c>
      <c r="J17" s="134">
        <f t="shared" si="1"/>
        <v>124</v>
      </c>
      <c r="K17" s="134"/>
      <c r="L17" s="130">
        <v>0</v>
      </c>
      <c r="M17" s="130">
        <v>4</v>
      </c>
      <c r="N17" s="130">
        <v>8</v>
      </c>
      <c r="O17" s="134">
        <f>M$2+(I17-M17)/(N17-M17)*(N$2-M$2)</f>
        <v>135</v>
      </c>
    </row>
    <row r="18" spans="1:15" x14ac:dyDescent="0.25">
      <c r="A18" s="130" t="s">
        <v>84</v>
      </c>
      <c r="B18" s="130" t="s">
        <v>448</v>
      </c>
      <c r="C18" s="130">
        <v>2</v>
      </c>
      <c r="D18" s="130">
        <v>4</v>
      </c>
      <c r="E18" s="130">
        <v>3</v>
      </c>
      <c r="F18" s="130">
        <v>4</v>
      </c>
      <c r="G18" s="130">
        <v>4</v>
      </c>
      <c r="H18" s="130">
        <v>4</v>
      </c>
      <c r="I18" s="130">
        <f t="shared" si="0"/>
        <v>2</v>
      </c>
      <c r="J18" s="134">
        <f t="shared" ref="J18:J30" si="2">C$2+(I18-C18)/(D18-C18)*(D$2-C$2)</f>
        <v>122</v>
      </c>
      <c r="L18" s="130">
        <v>0</v>
      </c>
      <c r="M18" s="130">
        <v>1</v>
      </c>
      <c r="N18" s="130">
        <v>3</v>
      </c>
      <c r="O18" s="134">
        <f>M$2+(I18-M18)/(N18-M18)*(N$2-M$2)</f>
        <v>136.5</v>
      </c>
    </row>
    <row r="19" spans="1:15" x14ac:dyDescent="0.25">
      <c r="A19" s="130" t="s">
        <v>82</v>
      </c>
      <c r="B19" s="130" t="s">
        <v>448</v>
      </c>
      <c r="C19" s="130">
        <v>4</v>
      </c>
      <c r="D19" s="130">
        <v>8</v>
      </c>
      <c r="E19" s="130">
        <v>9</v>
      </c>
      <c r="F19" s="130">
        <v>9</v>
      </c>
      <c r="G19" s="130">
        <v>9</v>
      </c>
      <c r="H19" s="130">
        <v>9</v>
      </c>
      <c r="I19" s="130">
        <f t="shared" si="0"/>
        <v>4.5</v>
      </c>
      <c r="J19" s="134">
        <f t="shared" si="2"/>
        <v>122.25</v>
      </c>
      <c r="L19" s="130">
        <v>0</v>
      </c>
      <c r="M19" s="130">
        <v>4</v>
      </c>
      <c r="N19" s="130">
        <v>9</v>
      </c>
      <c r="O19" s="134">
        <f>M$2+(I19-M19)/(N19-M19)*(N$2-M$2)</f>
        <v>135.30000000000001</v>
      </c>
    </row>
    <row r="20" spans="1:15" x14ac:dyDescent="0.25">
      <c r="A20" s="130" t="s">
        <v>80</v>
      </c>
      <c r="B20" s="130" t="s">
        <v>449</v>
      </c>
      <c r="C20" s="130">
        <v>4</v>
      </c>
      <c r="D20" s="130">
        <v>7</v>
      </c>
      <c r="E20" s="130">
        <v>9</v>
      </c>
      <c r="F20" s="130">
        <v>10</v>
      </c>
      <c r="G20" s="130">
        <v>10</v>
      </c>
      <c r="H20" s="130">
        <v>10</v>
      </c>
      <c r="I20" s="130">
        <f t="shared" si="0"/>
        <v>5</v>
      </c>
      <c r="J20" s="134">
        <f t="shared" si="2"/>
        <v>122.66666666666667</v>
      </c>
      <c r="L20" s="130">
        <v>1</v>
      </c>
      <c r="M20" s="130">
        <v>6</v>
      </c>
      <c r="N20" s="130">
        <v>10</v>
      </c>
      <c r="O20" s="134">
        <f>L$2+(I20-L20)/(M20-L20)*(M$2-L$2)</f>
        <v>134.19999999999999</v>
      </c>
    </row>
    <row r="21" spans="1:15" x14ac:dyDescent="0.25">
      <c r="A21" s="130" t="s">
        <v>78</v>
      </c>
      <c r="B21" s="130" t="s">
        <v>449</v>
      </c>
      <c r="C21" s="130">
        <v>5</v>
      </c>
      <c r="D21" s="130">
        <v>8</v>
      </c>
      <c r="E21" s="130">
        <v>8</v>
      </c>
      <c r="F21" s="130">
        <v>8</v>
      </c>
      <c r="G21" s="130">
        <v>8</v>
      </c>
      <c r="H21" s="130">
        <v>8</v>
      </c>
      <c r="I21" s="130">
        <f t="shared" si="0"/>
        <v>4</v>
      </c>
      <c r="J21" s="134">
        <f t="shared" si="2"/>
        <v>121.33333333333333</v>
      </c>
      <c r="L21" s="130">
        <v>0</v>
      </c>
      <c r="M21" s="130">
        <v>3</v>
      </c>
      <c r="N21" s="130">
        <v>8</v>
      </c>
      <c r="O21" s="134">
        <f>M$2+(I21-M21)/(N21-M21)*(N$2-M$2)</f>
        <v>135.6</v>
      </c>
    </row>
    <row r="22" spans="1:15" x14ac:dyDescent="0.25">
      <c r="A22" s="130" t="s">
        <v>76</v>
      </c>
      <c r="B22" s="130" t="s">
        <v>449</v>
      </c>
      <c r="C22" s="130">
        <v>3</v>
      </c>
      <c r="D22" s="130">
        <v>6</v>
      </c>
      <c r="E22" s="130">
        <v>8</v>
      </c>
      <c r="F22" s="130">
        <v>9</v>
      </c>
      <c r="G22" s="130">
        <v>9</v>
      </c>
      <c r="H22" s="130">
        <v>9</v>
      </c>
      <c r="I22" s="130">
        <f t="shared" si="0"/>
        <v>4.5</v>
      </c>
      <c r="J22" s="134">
        <f t="shared" si="2"/>
        <v>123</v>
      </c>
      <c r="L22" s="130">
        <v>0</v>
      </c>
      <c r="M22" s="130">
        <v>5</v>
      </c>
      <c r="N22" s="130">
        <v>9</v>
      </c>
      <c r="O22" s="134">
        <f>L$2+(I22-L22)/(M22-L22)*(M$2-L$2)</f>
        <v>134.6</v>
      </c>
    </row>
    <row r="23" spans="1:15" x14ac:dyDescent="0.25">
      <c r="A23" s="130" t="s">
        <v>74</v>
      </c>
      <c r="B23" s="130" t="s">
        <v>449</v>
      </c>
      <c r="C23" s="130">
        <v>0</v>
      </c>
      <c r="D23" s="130">
        <v>2</v>
      </c>
      <c r="E23" s="130">
        <v>3</v>
      </c>
      <c r="F23" s="130">
        <v>3</v>
      </c>
      <c r="G23" s="130">
        <v>3</v>
      </c>
      <c r="H23" s="130">
        <v>3</v>
      </c>
      <c r="I23" s="130">
        <f t="shared" si="0"/>
        <v>1.5</v>
      </c>
      <c r="J23" s="134">
        <f t="shared" si="2"/>
        <v>123.5</v>
      </c>
      <c r="L23" s="130">
        <v>0</v>
      </c>
      <c r="M23" s="130">
        <v>1</v>
      </c>
      <c r="N23" s="130">
        <v>3</v>
      </c>
      <c r="O23" s="134">
        <f>M$2+(I23-M23)/(N23-M23)*(N$2-M$2)</f>
        <v>135.75</v>
      </c>
    </row>
    <row r="24" spans="1:15" x14ac:dyDescent="0.25">
      <c r="A24" s="130" t="s">
        <v>72</v>
      </c>
      <c r="B24" s="130" t="s">
        <v>448</v>
      </c>
      <c r="C24" s="130">
        <v>4</v>
      </c>
      <c r="D24" s="130">
        <v>5</v>
      </c>
      <c r="E24" s="130">
        <v>6</v>
      </c>
      <c r="F24" s="130">
        <v>6</v>
      </c>
      <c r="G24" s="130">
        <v>7</v>
      </c>
      <c r="H24" s="130">
        <v>7</v>
      </c>
      <c r="I24" s="130">
        <f t="shared" si="0"/>
        <v>3.5</v>
      </c>
      <c r="J24" s="134">
        <f t="shared" si="2"/>
        <v>121</v>
      </c>
      <c r="L24" s="130">
        <v>1</v>
      </c>
      <c r="M24" s="130">
        <v>5</v>
      </c>
      <c r="N24" s="130">
        <v>7</v>
      </c>
      <c r="O24" s="134">
        <f>L$2+(I24-L24)/(M24-L24)*(M$2-L$2)</f>
        <v>133.5</v>
      </c>
    </row>
    <row r="25" spans="1:15" x14ac:dyDescent="0.25">
      <c r="A25" s="130" t="s">
        <v>70</v>
      </c>
      <c r="B25" s="130" t="s">
        <v>448</v>
      </c>
      <c r="C25" s="130">
        <v>0</v>
      </c>
      <c r="D25" s="130">
        <v>3</v>
      </c>
      <c r="E25" s="130">
        <v>4</v>
      </c>
      <c r="F25" s="130">
        <v>4</v>
      </c>
      <c r="G25" s="130">
        <v>4</v>
      </c>
      <c r="H25" s="130">
        <v>4</v>
      </c>
      <c r="I25" s="130">
        <f t="shared" si="0"/>
        <v>2</v>
      </c>
      <c r="J25" s="134">
        <f t="shared" si="2"/>
        <v>123.33333333333333</v>
      </c>
      <c r="L25" s="130">
        <v>0</v>
      </c>
      <c r="M25" s="130">
        <v>2</v>
      </c>
      <c r="N25" s="130">
        <v>4</v>
      </c>
      <c r="O25" s="134">
        <f>M$2+(I25-M25)/(N25-M25)*(N$2-M$2)</f>
        <v>135</v>
      </c>
    </row>
    <row r="26" spans="1:15" x14ac:dyDescent="0.25">
      <c r="A26" s="130" t="s">
        <v>68</v>
      </c>
      <c r="B26" s="130" t="s">
        <v>448</v>
      </c>
      <c r="C26" s="130">
        <v>1</v>
      </c>
      <c r="D26" s="130">
        <v>5</v>
      </c>
      <c r="E26" s="130">
        <v>6</v>
      </c>
      <c r="F26" s="130">
        <v>5</v>
      </c>
      <c r="G26" s="130">
        <v>7</v>
      </c>
      <c r="H26" s="130">
        <v>7</v>
      </c>
      <c r="I26" s="130">
        <f t="shared" si="0"/>
        <v>3.5</v>
      </c>
      <c r="J26" s="134">
        <f t="shared" si="2"/>
        <v>123.25</v>
      </c>
      <c r="L26" s="130">
        <v>0</v>
      </c>
      <c r="M26" s="130">
        <v>3</v>
      </c>
      <c r="N26" s="130">
        <v>7</v>
      </c>
      <c r="O26" s="134">
        <f>M$2+(I26-M26)/(N26-M26)*(N$2-M$2)</f>
        <v>135.375</v>
      </c>
    </row>
    <row r="27" spans="1:15" x14ac:dyDescent="0.25">
      <c r="A27" s="130" t="s">
        <v>66</v>
      </c>
      <c r="B27" s="130" t="s">
        <v>448</v>
      </c>
      <c r="C27" s="130">
        <v>2</v>
      </c>
      <c r="D27" s="130">
        <v>3</v>
      </c>
      <c r="E27" s="130">
        <v>3</v>
      </c>
      <c r="F27" s="130">
        <v>4</v>
      </c>
      <c r="G27" s="130">
        <v>4</v>
      </c>
      <c r="H27" s="130">
        <v>4</v>
      </c>
      <c r="I27" s="130">
        <f t="shared" si="0"/>
        <v>2</v>
      </c>
      <c r="J27" s="134">
        <f t="shared" si="2"/>
        <v>122</v>
      </c>
      <c r="L27" s="130">
        <v>1</v>
      </c>
      <c r="M27" s="130">
        <v>3</v>
      </c>
      <c r="N27" s="130">
        <v>4</v>
      </c>
      <c r="O27" s="134">
        <f>L$2+(I27-L27)/(M27-L27)*(M$2-L$2)</f>
        <v>133</v>
      </c>
    </row>
    <row r="28" spans="1:15" x14ac:dyDescent="0.25">
      <c r="A28" s="130" t="s">
        <v>64</v>
      </c>
      <c r="B28" s="130" t="s">
        <v>449</v>
      </c>
      <c r="C28" s="130">
        <v>3</v>
      </c>
      <c r="D28" s="130">
        <v>4</v>
      </c>
      <c r="E28" s="130">
        <v>6</v>
      </c>
      <c r="F28" s="130">
        <v>6</v>
      </c>
      <c r="G28" s="130">
        <v>6</v>
      </c>
      <c r="H28" s="130">
        <v>6</v>
      </c>
      <c r="I28" s="130">
        <f t="shared" si="0"/>
        <v>3</v>
      </c>
      <c r="J28" s="134">
        <f t="shared" si="2"/>
        <v>122</v>
      </c>
      <c r="L28" s="130">
        <v>0</v>
      </c>
      <c r="M28" s="130">
        <v>2</v>
      </c>
      <c r="N28" s="130">
        <v>6</v>
      </c>
      <c r="O28" s="134">
        <f>M$2+(I28-M28)/(N28-M28)*(N$2-M$2)</f>
        <v>135.75</v>
      </c>
    </row>
    <row r="29" spans="1:15" x14ac:dyDescent="0.25">
      <c r="A29" s="130" t="s">
        <v>62</v>
      </c>
      <c r="B29" s="130" t="s">
        <v>449</v>
      </c>
      <c r="C29" s="130">
        <v>3</v>
      </c>
      <c r="D29" s="130">
        <v>7</v>
      </c>
      <c r="E29" s="130">
        <v>10</v>
      </c>
      <c r="F29" s="130">
        <v>10</v>
      </c>
      <c r="G29" s="130">
        <v>11</v>
      </c>
      <c r="H29" s="130">
        <v>11</v>
      </c>
      <c r="I29" s="130">
        <f t="shared" si="0"/>
        <v>5.5</v>
      </c>
      <c r="J29" s="134">
        <f t="shared" si="2"/>
        <v>123.25</v>
      </c>
      <c r="L29" s="130">
        <v>1</v>
      </c>
      <c r="M29" s="130">
        <v>5</v>
      </c>
      <c r="N29" s="130">
        <v>10</v>
      </c>
      <c r="O29" s="134">
        <f>M$2+(I29-M29)/(N29-M29)*(N$2-M$2)</f>
        <v>135.30000000000001</v>
      </c>
    </row>
    <row r="30" spans="1:15" x14ac:dyDescent="0.25">
      <c r="A30" s="130" t="s">
        <v>60</v>
      </c>
      <c r="B30" s="130" t="s">
        <v>449</v>
      </c>
      <c r="C30" s="130">
        <v>1</v>
      </c>
      <c r="D30" s="130">
        <v>3</v>
      </c>
      <c r="E30" s="130">
        <v>3</v>
      </c>
      <c r="F30" s="130">
        <v>3</v>
      </c>
      <c r="G30" s="130">
        <v>3</v>
      </c>
      <c r="H30" s="130">
        <v>3</v>
      </c>
      <c r="I30" s="130">
        <f t="shared" si="0"/>
        <v>1.5</v>
      </c>
      <c r="J30" s="134">
        <f t="shared" si="2"/>
        <v>122.5</v>
      </c>
      <c r="L30" s="130">
        <v>1</v>
      </c>
      <c r="M30" s="130">
        <v>2</v>
      </c>
      <c r="N30" s="130">
        <v>3</v>
      </c>
      <c r="O30" s="134">
        <f>L$2+(I30-L30)/(M30-L30)*(M$2-L$2)</f>
        <v>133</v>
      </c>
    </row>
    <row r="31" spans="1:15" x14ac:dyDescent="0.25">
      <c r="A31" s="130" t="s">
        <v>58</v>
      </c>
      <c r="B31" s="130" t="s">
        <v>449</v>
      </c>
      <c r="C31" s="130">
        <v>0</v>
      </c>
      <c r="D31" s="130">
        <v>6</v>
      </c>
      <c r="E31" s="130">
        <v>8</v>
      </c>
      <c r="F31" s="130">
        <v>12</v>
      </c>
      <c r="G31" s="130">
        <v>12</v>
      </c>
      <c r="H31" s="130">
        <v>12</v>
      </c>
      <c r="I31" s="130">
        <f t="shared" si="0"/>
        <v>6</v>
      </c>
      <c r="J31" s="134">
        <f>D$2+(I31-D31)/(E31-D31)*(E$2-D$2)</f>
        <v>124</v>
      </c>
      <c r="L31" s="130">
        <v>1</v>
      </c>
      <c r="M31" s="130">
        <v>9</v>
      </c>
      <c r="N31" s="130">
        <v>10</v>
      </c>
      <c r="O31" s="134">
        <f>L$2+(I31-L31)/(M31-L31)*(M$2-L$2)</f>
        <v>133.5</v>
      </c>
    </row>
    <row r="32" spans="1:15" x14ac:dyDescent="0.25">
      <c r="A32" s="130" t="s">
        <v>56</v>
      </c>
      <c r="B32" s="130" t="s">
        <v>449</v>
      </c>
      <c r="C32" s="130">
        <v>3</v>
      </c>
      <c r="D32" s="130">
        <v>5</v>
      </c>
      <c r="E32" s="130">
        <v>5</v>
      </c>
      <c r="F32" s="130">
        <v>6</v>
      </c>
      <c r="G32" s="130">
        <v>6</v>
      </c>
      <c r="H32" s="130">
        <v>6</v>
      </c>
      <c r="I32" s="130">
        <f t="shared" si="0"/>
        <v>3</v>
      </c>
      <c r="J32" s="134">
        <f>C$2+(I32-C32)/(D32-C32)*(D$2-C$2)</f>
        <v>122</v>
      </c>
      <c r="K32" s="134"/>
      <c r="L32" s="130">
        <v>2</v>
      </c>
      <c r="M32" s="130">
        <v>5</v>
      </c>
      <c r="N32" s="130">
        <v>6</v>
      </c>
      <c r="O32" s="134">
        <f>L$2+(I32-L32)/(M32-L32)*(M$2-L$2)</f>
        <v>132.33333333333334</v>
      </c>
    </row>
    <row r="33" spans="1:15" x14ac:dyDescent="0.25">
      <c r="A33" s="130" t="s">
        <v>28</v>
      </c>
      <c r="B33" s="130" t="s">
        <v>448</v>
      </c>
      <c r="C33" s="130">
        <v>8</v>
      </c>
      <c r="D33" s="130">
        <v>10</v>
      </c>
      <c r="E33" s="130">
        <v>11</v>
      </c>
      <c r="F33" s="130">
        <v>11</v>
      </c>
      <c r="G33" s="130">
        <v>11</v>
      </c>
      <c r="H33" s="130">
        <v>11</v>
      </c>
      <c r="I33" s="130">
        <f t="shared" si="0"/>
        <v>5.5</v>
      </c>
      <c r="J33" s="134">
        <f>C$2+(I33-C33)/(D33-C33)*(D$2-C$2)</f>
        <v>119.5</v>
      </c>
      <c r="L33" s="130">
        <v>2</v>
      </c>
      <c r="M33" s="130">
        <v>8</v>
      </c>
      <c r="N33" s="130">
        <v>10</v>
      </c>
      <c r="O33" s="134">
        <f>L$2+(I33-L33)/(M33-L33)*(M$2-L$2)</f>
        <v>133.33333333333334</v>
      </c>
    </row>
    <row r="34" spans="1:15" x14ac:dyDescent="0.25">
      <c r="A34" s="130" t="s">
        <v>30</v>
      </c>
      <c r="B34" s="130" t="s">
        <v>448</v>
      </c>
      <c r="C34" s="130">
        <v>2</v>
      </c>
      <c r="D34" s="130">
        <v>4</v>
      </c>
      <c r="E34" s="130">
        <v>6</v>
      </c>
      <c r="F34" s="130">
        <v>6</v>
      </c>
      <c r="G34" s="130">
        <v>6</v>
      </c>
      <c r="H34" s="130">
        <v>6</v>
      </c>
      <c r="I34" s="130">
        <f t="shared" si="0"/>
        <v>3</v>
      </c>
      <c r="J34" s="134">
        <f>C$2+(I34-C34)/(D34-C34)*(D$2-C$2)</f>
        <v>123</v>
      </c>
      <c r="L34" s="130">
        <v>1</v>
      </c>
      <c r="M34" s="130">
        <v>4</v>
      </c>
      <c r="N34" s="130">
        <v>6</v>
      </c>
      <c r="O34" s="134">
        <f>L$2+(I34-L34)/(M34-L34)*(M$2-L$2)</f>
        <v>133.66666666666666</v>
      </c>
    </row>
    <row r="35" spans="1:15" x14ac:dyDescent="0.25">
      <c r="A35" s="130" t="s">
        <v>32</v>
      </c>
      <c r="B35" s="130" t="s">
        <v>448</v>
      </c>
      <c r="C35" s="130">
        <v>1</v>
      </c>
      <c r="D35" s="130">
        <v>1</v>
      </c>
      <c r="E35" s="130">
        <v>1</v>
      </c>
      <c r="F35" s="130">
        <v>1</v>
      </c>
      <c r="G35" s="130">
        <v>1</v>
      </c>
      <c r="H35" s="130">
        <v>1</v>
      </c>
      <c r="I35" s="130">
        <f t="shared" ref="I35:I66" si="3">H35/2</f>
        <v>0.5</v>
      </c>
      <c r="J35" s="134">
        <v>122</v>
      </c>
      <c r="L35" s="130">
        <v>0</v>
      </c>
      <c r="M35" s="130">
        <v>0</v>
      </c>
      <c r="N35" s="130">
        <v>0</v>
      </c>
      <c r="O35" s="134">
        <v>135</v>
      </c>
    </row>
    <row r="36" spans="1:15" x14ac:dyDescent="0.25">
      <c r="A36" s="130" t="s">
        <v>34</v>
      </c>
      <c r="B36" s="130" t="s">
        <v>448</v>
      </c>
      <c r="C36" s="130">
        <v>6</v>
      </c>
      <c r="D36" s="130">
        <v>8</v>
      </c>
      <c r="E36" s="130">
        <v>8</v>
      </c>
      <c r="F36" s="130">
        <v>8</v>
      </c>
      <c r="G36" s="130">
        <v>8</v>
      </c>
      <c r="H36" s="130">
        <v>8</v>
      </c>
      <c r="I36" s="130">
        <f t="shared" si="3"/>
        <v>4</v>
      </c>
      <c r="J36" s="134">
        <f>C$2+(I36-C36)/(D36-C36)*(D$2-C$2)</f>
        <v>120</v>
      </c>
      <c r="L36" s="130">
        <v>1</v>
      </c>
      <c r="M36" s="130">
        <v>5</v>
      </c>
      <c r="N36" s="130">
        <v>5</v>
      </c>
      <c r="O36" s="134">
        <f>L$2+(I36-L36)/(M36-L36)*(M$2-L$2)</f>
        <v>134</v>
      </c>
    </row>
    <row r="37" spans="1:15" x14ac:dyDescent="0.25">
      <c r="A37" s="130" t="s">
        <v>36</v>
      </c>
      <c r="B37" s="130" t="s">
        <v>448</v>
      </c>
      <c r="C37" s="130">
        <v>4</v>
      </c>
      <c r="D37" s="130">
        <v>5</v>
      </c>
      <c r="E37" s="130">
        <v>6</v>
      </c>
      <c r="F37" s="130">
        <v>6</v>
      </c>
      <c r="G37" s="130">
        <v>6</v>
      </c>
      <c r="H37" s="130">
        <v>6</v>
      </c>
      <c r="I37" s="130">
        <f t="shared" si="3"/>
        <v>3</v>
      </c>
      <c r="J37" s="134">
        <f>C$2+(I37-C37)/(D37-C37)*(D$2-C$2)</f>
        <v>120</v>
      </c>
      <c r="L37" s="130">
        <v>1</v>
      </c>
      <c r="M37" s="130">
        <v>4</v>
      </c>
      <c r="N37" s="130">
        <v>6</v>
      </c>
      <c r="O37" s="134">
        <f>L$2+(I37-L37)/(M37-L37)*(M$2-L$2)</f>
        <v>133.66666666666666</v>
      </c>
    </row>
    <row r="38" spans="1:15" x14ac:dyDescent="0.25">
      <c r="A38" s="130" t="s">
        <v>38</v>
      </c>
      <c r="B38" s="130" t="s">
        <v>448</v>
      </c>
      <c r="C38" s="130">
        <v>6</v>
      </c>
      <c r="D38" s="130">
        <v>10</v>
      </c>
      <c r="E38" s="130">
        <v>10</v>
      </c>
      <c r="F38" s="130">
        <v>10</v>
      </c>
      <c r="G38" s="130">
        <v>10</v>
      </c>
      <c r="H38" s="130">
        <v>10</v>
      </c>
      <c r="I38" s="130">
        <f t="shared" si="3"/>
        <v>5</v>
      </c>
      <c r="J38" s="134">
        <f>C$2+(I38-C38)/(D38-C38)*(D$2-C$2)</f>
        <v>121.5</v>
      </c>
      <c r="L38" s="130">
        <v>2</v>
      </c>
      <c r="M38" s="130">
        <v>7</v>
      </c>
      <c r="N38" s="130">
        <v>10</v>
      </c>
      <c r="O38" s="134">
        <f>L$2+(I38-L38)/(M38-L38)*(M$2-L$2)</f>
        <v>133.4</v>
      </c>
    </row>
    <row r="39" spans="1:15" x14ac:dyDescent="0.25">
      <c r="A39" s="130" t="s">
        <v>40</v>
      </c>
      <c r="B39" s="130" t="s">
        <v>449</v>
      </c>
      <c r="C39" s="130">
        <v>0</v>
      </c>
      <c r="D39" s="130">
        <v>1</v>
      </c>
      <c r="E39" s="130">
        <v>2</v>
      </c>
      <c r="F39" s="130">
        <v>2</v>
      </c>
      <c r="G39" s="130">
        <v>2</v>
      </c>
      <c r="H39" s="130">
        <v>2</v>
      </c>
      <c r="I39" s="130">
        <f t="shared" si="3"/>
        <v>1</v>
      </c>
      <c r="J39" s="134">
        <f>D$2+(I39-D39)/(E39-D39)*(E$2-D$2)</f>
        <v>124</v>
      </c>
      <c r="L39" s="130">
        <v>0</v>
      </c>
      <c r="N39" s="130">
        <v>1</v>
      </c>
      <c r="O39" s="134">
        <f>L$2+(I39-L39)/(N39-L39)*(N$2-L$2)</f>
        <v>138</v>
      </c>
    </row>
    <row r="40" spans="1:15" x14ac:dyDescent="0.25">
      <c r="A40" s="130" t="s">
        <v>42</v>
      </c>
      <c r="B40" s="130" t="s">
        <v>449</v>
      </c>
      <c r="C40" s="130">
        <v>6</v>
      </c>
      <c r="D40" s="130">
        <v>9</v>
      </c>
      <c r="E40" s="130">
        <v>10</v>
      </c>
      <c r="F40" s="130">
        <v>10</v>
      </c>
      <c r="G40" s="130">
        <v>10</v>
      </c>
      <c r="H40" s="130">
        <v>10</v>
      </c>
      <c r="I40" s="130">
        <f t="shared" si="3"/>
        <v>5</v>
      </c>
      <c r="J40" s="134">
        <f>C$2+(I40-C40)/(D40-C40)*(D$2-C$2)</f>
        <v>121.33333333333333</v>
      </c>
      <c r="L40" s="130">
        <v>1</v>
      </c>
      <c r="M40" s="130">
        <v>5</v>
      </c>
      <c r="N40" s="130">
        <v>10</v>
      </c>
      <c r="O40" s="134">
        <f>M$2+(I40-M40)/(N40-M40)*(N$2-M$2)</f>
        <v>135</v>
      </c>
    </row>
    <row r="41" spans="1:15" x14ac:dyDescent="0.25">
      <c r="A41" s="130" t="s">
        <v>44</v>
      </c>
      <c r="B41" s="130" t="s">
        <v>449</v>
      </c>
      <c r="C41" s="130">
        <v>3</v>
      </c>
      <c r="D41" s="130">
        <v>6</v>
      </c>
      <c r="E41" s="130">
        <v>6</v>
      </c>
      <c r="F41" s="130">
        <v>6</v>
      </c>
      <c r="G41" s="130">
        <v>6</v>
      </c>
      <c r="H41" s="130">
        <v>6</v>
      </c>
      <c r="I41" s="130">
        <f t="shared" si="3"/>
        <v>3</v>
      </c>
      <c r="J41" s="134">
        <f>C$2+(I41-C41)/(D41-C41)*(D$2-C$2)</f>
        <v>122</v>
      </c>
      <c r="L41" s="130">
        <v>0</v>
      </c>
      <c r="M41" s="130">
        <v>3</v>
      </c>
      <c r="N41" s="130">
        <v>6</v>
      </c>
      <c r="O41" s="134">
        <f>M$2+(I41-M41)/(N41-M41)*(N$2-M$2)</f>
        <v>135</v>
      </c>
    </row>
    <row r="42" spans="1:15" x14ac:dyDescent="0.25">
      <c r="A42" s="130" t="s">
        <v>46</v>
      </c>
      <c r="B42" s="130" t="s">
        <v>449</v>
      </c>
      <c r="C42" s="130">
        <v>5</v>
      </c>
      <c r="D42" s="130">
        <v>10</v>
      </c>
      <c r="E42" s="130">
        <v>11</v>
      </c>
      <c r="F42" s="130">
        <v>12</v>
      </c>
      <c r="G42" s="130">
        <v>12</v>
      </c>
      <c r="H42" s="130">
        <v>12</v>
      </c>
      <c r="I42" s="130">
        <f t="shared" si="3"/>
        <v>6</v>
      </c>
      <c r="J42" s="134">
        <f>C$2+(I42-C42)/(D42-C42)*(D$2-C$2)</f>
        <v>122.4</v>
      </c>
      <c r="L42" s="130">
        <v>0</v>
      </c>
      <c r="M42" s="130">
        <v>4</v>
      </c>
      <c r="N42" s="130">
        <v>10</v>
      </c>
      <c r="O42" s="134">
        <f>M$2+(I42-M42)/(N42-M42)*(N$2-M$2)</f>
        <v>136</v>
      </c>
    </row>
    <row r="43" spans="1:15" x14ac:dyDescent="0.25">
      <c r="A43" s="130" t="s">
        <v>48</v>
      </c>
      <c r="B43" s="130" t="s">
        <v>449</v>
      </c>
      <c r="C43" s="130">
        <v>1</v>
      </c>
      <c r="D43" s="130">
        <v>4</v>
      </c>
      <c r="E43" s="130">
        <v>5</v>
      </c>
      <c r="F43" s="130">
        <v>5</v>
      </c>
      <c r="G43" s="130">
        <v>5</v>
      </c>
      <c r="H43" s="130">
        <v>5</v>
      </c>
      <c r="I43" s="130">
        <f t="shared" si="3"/>
        <v>2.5</v>
      </c>
      <c r="J43" s="134">
        <f>C$2+(I43-C43)/(D43-C43)*(D$2-C$2)</f>
        <v>123</v>
      </c>
      <c r="L43" s="130">
        <v>0</v>
      </c>
      <c r="M43" s="130">
        <v>2</v>
      </c>
      <c r="N43" s="130">
        <v>5</v>
      </c>
      <c r="O43" s="134">
        <f>M$2+(I43-M43)/(N43-M43)*(N$2-M$2)</f>
        <v>135.5</v>
      </c>
    </row>
    <row r="44" spans="1:15" x14ac:dyDescent="0.25">
      <c r="A44" s="130" t="s">
        <v>50</v>
      </c>
      <c r="B44" s="130" t="s">
        <v>449</v>
      </c>
      <c r="C44" s="130">
        <v>4</v>
      </c>
      <c r="D44" s="130">
        <v>6</v>
      </c>
      <c r="E44" s="130">
        <v>8</v>
      </c>
      <c r="F44" s="130">
        <v>9</v>
      </c>
      <c r="G44" s="130">
        <v>9</v>
      </c>
      <c r="H44" s="130">
        <v>9</v>
      </c>
      <c r="I44" s="130">
        <f t="shared" si="3"/>
        <v>4.5</v>
      </c>
      <c r="J44" s="134">
        <f>C$2+(I44-C44)/(D44-C44)*(D$2-C$2)</f>
        <v>122.5</v>
      </c>
      <c r="L44" s="130">
        <v>2</v>
      </c>
      <c r="M44" s="130">
        <v>7</v>
      </c>
      <c r="N44" s="130">
        <v>9</v>
      </c>
      <c r="O44" s="134">
        <f>L$2+(I44-L44)/(M44-L44)*(M$2-L$2)</f>
        <v>133</v>
      </c>
    </row>
    <row r="45" spans="1:15" x14ac:dyDescent="0.25">
      <c r="A45" s="130" t="s">
        <v>52</v>
      </c>
      <c r="B45" s="130" t="s">
        <v>449</v>
      </c>
      <c r="C45" s="130">
        <v>1</v>
      </c>
      <c r="D45" s="130">
        <v>3</v>
      </c>
      <c r="E45" s="130">
        <v>5</v>
      </c>
      <c r="F45" s="130">
        <v>7</v>
      </c>
      <c r="G45" s="130">
        <v>7</v>
      </c>
      <c r="H45" s="130">
        <v>7</v>
      </c>
      <c r="I45" s="130">
        <f t="shared" si="3"/>
        <v>3.5</v>
      </c>
      <c r="J45" s="134">
        <f>D$2+(I45-D45)/(E45-D45)*(E$2-D$2)</f>
        <v>125</v>
      </c>
      <c r="L45" s="130">
        <v>0</v>
      </c>
      <c r="M45" s="130">
        <v>4</v>
      </c>
      <c r="N45" s="130">
        <v>7</v>
      </c>
      <c r="O45" s="134">
        <f>L$2+(I45-L45)/(M45-L45)*(M$2-L$2)</f>
        <v>134.5</v>
      </c>
    </row>
    <row r="46" spans="1:15" x14ac:dyDescent="0.25">
      <c r="A46" s="130" t="s">
        <v>54</v>
      </c>
      <c r="B46" s="130" t="s">
        <v>449</v>
      </c>
      <c r="C46" s="130">
        <v>5</v>
      </c>
      <c r="D46" s="130">
        <v>6</v>
      </c>
      <c r="E46" s="130">
        <v>8</v>
      </c>
      <c r="F46" s="130">
        <v>9</v>
      </c>
      <c r="G46" s="130">
        <v>9</v>
      </c>
      <c r="H46" s="130">
        <v>9</v>
      </c>
      <c r="I46" s="130">
        <f t="shared" si="3"/>
        <v>4.5</v>
      </c>
      <c r="J46" s="134">
        <f>C$2+(I46-C46)/(D46-C46)*(D$2-C$2)</f>
        <v>121</v>
      </c>
      <c r="L46" s="130">
        <v>0</v>
      </c>
      <c r="M46" s="130">
        <v>4</v>
      </c>
      <c r="N46" s="130">
        <v>8</v>
      </c>
      <c r="O46" s="134">
        <f t="shared" ref="O46:O59" si="4">M$2+(I46-M46)/(N46-M46)*(N$2-M$2)</f>
        <v>135.375</v>
      </c>
    </row>
    <row r="47" spans="1:15" x14ac:dyDescent="0.25">
      <c r="A47" s="130" t="s">
        <v>424</v>
      </c>
      <c r="B47" s="130" t="s">
        <v>448</v>
      </c>
      <c r="C47" s="130">
        <v>7</v>
      </c>
      <c r="D47" s="130">
        <v>7</v>
      </c>
      <c r="E47" s="130">
        <v>7</v>
      </c>
      <c r="F47" s="130">
        <v>8</v>
      </c>
      <c r="G47" s="130">
        <v>8</v>
      </c>
      <c r="H47" s="130">
        <v>8</v>
      </c>
      <c r="I47" s="130">
        <f t="shared" si="3"/>
        <v>4</v>
      </c>
      <c r="J47" s="134">
        <v>120</v>
      </c>
      <c r="K47" s="134"/>
      <c r="L47" s="130">
        <v>0</v>
      </c>
      <c r="M47" s="130">
        <v>2</v>
      </c>
      <c r="N47" s="130">
        <v>7</v>
      </c>
      <c r="O47" s="134">
        <f t="shared" si="4"/>
        <v>136.19999999999999</v>
      </c>
    </row>
    <row r="48" spans="1:15" x14ac:dyDescent="0.25">
      <c r="A48" s="130" t="s">
        <v>85</v>
      </c>
      <c r="C48" s="130">
        <v>1</v>
      </c>
      <c r="D48" s="130">
        <v>5</v>
      </c>
      <c r="E48" s="130">
        <v>11</v>
      </c>
      <c r="F48" s="130">
        <v>12</v>
      </c>
      <c r="G48" s="130">
        <v>12</v>
      </c>
      <c r="H48" s="130">
        <v>12</v>
      </c>
      <c r="I48" s="130">
        <f t="shared" si="3"/>
        <v>6</v>
      </c>
      <c r="J48" s="134">
        <f>D$2+(I48-D48)/(E48-D48)*(E$2-D$2)</f>
        <v>124.66666666666667</v>
      </c>
      <c r="L48" s="130">
        <v>0</v>
      </c>
      <c r="M48" s="130">
        <v>3</v>
      </c>
      <c r="N48" s="130">
        <v>10</v>
      </c>
      <c r="O48" s="134">
        <f t="shared" si="4"/>
        <v>136.28571428571428</v>
      </c>
    </row>
    <row r="49" spans="1:15" x14ac:dyDescent="0.25">
      <c r="A49" s="130" t="s">
        <v>83</v>
      </c>
      <c r="C49" s="130">
        <v>0</v>
      </c>
      <c r="D49" s="130">
        <v>4</v>
      </c>
      <c r="E49" s="130">
        <v>6</v>
      </c>
      <c r="F49" s="130">
        <v>6</v>
      </c>
      <c r="G49" s="130">
        <v>6</v>
      </c>
      <c r="H49" s="130">
        <v>6</v>
      </c>
      <c r="I49" s="130">
        <f t="shared" si="3"/>
        <v>3</v>
      </c>
      <c r="J49" s="134">
        <f>C$2+(I49-C49)/(D49-C49)*(D$2-C$2)</f>
        <v>123.5</v>
      </c>
      <c r="L49" s="130">
        <v>0</v>
      </c>
      <c r="M49" s="130">
        <v>1</v>
      </c>
      <c r="N49" s="130">
        <v>6</v>
      </c>
      <c r="O49" s="134">
        <f t="shared" si="4"/>
        <v>136.19999999999999</v>
      </c>
    </row>
    <row r="50" spans="1:15" x14ac:dyDescent="0.25">
      <c r="A50" s="130" t="s">
        <v>81</v>
      </c>
      <c r="C50" s="130">
        <v>1</v>
      </c>
      <c r="D50" s="130">
        <v>2</v>
      </c>
      <c r="E50" s="130">
        <v>3</v>
      </c>
      <c r="F50" s="130">
        <v>5</v>
      </c>
      <c r="G50" s="130">
        <v>5</v>
      </c>
      <c r="H50" s="130">
        <v>5</v>
      </c>
      <c r="I50" s="130">
        <f t="shared" si="3"/>
        <v>2.5</v>
      </c>
      <c r="J50" s="134">
        <f>D$2+(I50-D50)/(E50-D50)*(E$2-D$2)</f>
        <v>126</v>
      </c>
      <c r="L50" s="130">
        <v>0</v>
      </c>
      <c r="M50" s="130">
        <v>1</v>
      </c>
      <c r="N50" s="130">
        <v>5</v>
      </c>
      <c r="O50" s="134">
        <f t="shared" si="4"/>
        <v>136.125</v>
      </c>
    </row>
    <row r="51" spans="1:15" x14ac:dyDescent="0.25">
      <c r="A51" s="130" t="s">
        <v>79</v>
      </c>
      <c r="C51" s="130">
        <v>0</v>
      </c>
      <c r="D51" s="130">
        <v>4</v>
      </c>
      <c r="E51" s="130">
        <v>7</v>
      </c>
      <c r="F51" s="130">
        <v>7</v>
      </c>
      <c r="G51" s="130">
        <v>7</v>
      </c>
      <c r="H51" s="130">
        <v>7</v>
      </c>
      <c r="I51" s="130">
        <f t="shared" si="3"/>
        <v>3.5</v>
      </c>
      <c r="J51" s="134">
        <f>C$2+(I51-C51)/(D51-C51)*(D$2-C$2)</f>
        <v>123.75</v>
      </c>
      <c r="L51" s="130">
        <v>0</v>
      </c>
      <c r="M51" s="130">
        <v>3</v>
      </c>
      <c r="N51" s="130">
        <v>6</v>
      </c>
      <c r="O51" s="134">
        <f t="shared" si="4"/>
        <v>135.5</v>
      </c>
    </row>
    <row r="52" spans="1:15" x14ac:dyDescent="0.25">
      <c r="A52" s="130" t="s">
        <v>77</v>
      </c>
      <c r="C52" s="130">
        <v>1</v>
      </c>
      <c r="D52" s="130">
        <v>2</v>
      </c>
      <c r="E52" s="130">
        <v>5</v>
      </c>
      <c r="F52" s="130">
        <v>5</v>
      </c>
      <c r="G52" s="130">
        <v>5</v>
      </c>
      <c r="H52" s="130">
        <v>5</v>
      </c>
      <c r="I52" s="130">
        <f t="shared" si="3"/>
        <v>2.5</v>
      </c>
      <c r="J52" s="134">
        <f>D$2+(I52-D52)/(E52-D52)*(E$2-D$2)</f>
        <v>124.66666666666667</v>
      </c>
      <c r="L52" s="130">
        <v>0</v>
      </c>
      <c r="M52" s="130">
        <v>2</v>
      </c>
      <c r="N52" s="130">
        <v>5</v>
      </c>
      <c r="O52" s="134">
        <f t="shared" si="4"/>
        <v>135.5</v>
      </c>
    </row>
    <row r="53" spans="1:15" x14ac:dyDescent="0.25">
      <c r="A53" s="130" t="s">
        <v>75</v>
      </c>
      <c r="C53" s="130">
        <v>0</v>
      </c>
      <c r="D53" s="130">
        <v>5</v>
      </c>
      <c r="E53" s="130">
        <v>10</v>
      </c>
      <c r="F53" s="130">
        <v>11</v>
      </c>
      <c r="G53" s="130">
        <v>11</v>
      </c>
      <c r="H53" s="130">
        <v>11</v>
      </c>
      <c r="I53" s="130">
        <f t="shared" si="3"/>
        <v>5.5</v>
      </c>
      <c r="J53" s="134">
        <f>D$2+(I53-D53)/(E53-D53)*(E$2-D$2)</f>
        <v>124.4</v>
      </c>
      <c r="L53" s="130">
        <v>0</v>
      </c>
      <c r="M53" s="130">
        <v>4</v>
      </c>
      <c r="N53" s="130">
        <v>9</v>
      </c>
      <c r="O53" s="134">
        <f t="shared" si="4"/>
        <v>135.9</v>
      </c>
    </row>
    <row r="54" spans="1:15" x14ac:dyDescent="0.25">
      <c r="A54" s="130" t="s">
        <v>73</v>
      </c>
      <c r="C54" s="130">
        <v>1</v>
      </c>
      <c r="D54" s="130">
        <v>2</v>
      </c>
      <c r="E54" s="130">
        <v>3</v>
      </c>
      <c r="F54" s="130">
        <v>5</v>
      </c>
      <c r="G54" s="130">
        <v>5</v>
      </c>
      <c r="H54" s="130">
        <v>5</v>
      </c>
      <c r="I54" s="130">
        <f t="shared" si="3"/>
        <v>2.5</v>
      </c>
      <c r="J54" s="134">
        <f>D$2+(I54-D54)/(E54-D54)*(E$2-D$2)</f>
        <v>126</v>
      </c>
      <c r="L54" s="130">
        <v>0</v>
      </c>
      <c r="M54" s="130">
        <v>1</v>
      </c>
      <c r="N54" s="130">
        <v>4</v>
      </c>
      <c r="O54" s="134">
        <f t="shared" si="4"/>
        <v>136.5</v>
      </c>
    </row>
    <row r="55" spans="1:15" x14ac:dyDescent="0.25">
      <c r="A55" s="130" t="s">
        <v>71</v>
      </c>
      <c r="C55" s="130">
        <v>0</v>
      </c>
      <c r="D55" s="130">
        <v>3</v>
      </c>
      <c r="E55" s="130">
        <v>4</v>
      </c>
      <c r="F55" s="130">
        <v>7</v>
      </c>
      <c r="G55" s="130">
        <v>8</v>
      </c>
      <c r="H55" s="130">
        <v>8</v>
      </c>
      <c r="I55" s="130">
        <f t="shared" si="3"/>
        <v>4</v>
      </c>
      <c r="J55" s="134">
        <f>D$2+(I55-D55)/(E55-D55)*(E$2-D$2)</f>
        <v>128</v>
      </c>
      <c r="L55" s="130">
        <v>0</v>
      </c>
      <c r="M55" s="130">
        <v>3</v>
      </c>
      <c r="N55" s="130">
        <v>7</v>
      </c>
      <c r="O55" s="134">
        <f t="shared" si="4"/>
        <v>135.75</v>
      </c>
    </row>
    <row r="56" spans="1:15" x14ac:dyDescent="0.25">
      <c r="A56" s="130" t="s">
        <v>69</v>
      </c>
      <c r="C56" s="130">
        <v>0</v>
      </c>
      <c r="D56" s="130">
        <v>1</v>
      </c>
      <c r="E56" s="130">
        <v>4</v>
      </c>
      <c r="F56" s="130">
        <v>4</v>
      </c>
      <c r="G56" s="130">
        <v>5</v>
      </c>
      <c r="H56" s="130">
        <v>5</v>
      </c>
      <c r="I56" s="130">
        <f t="shared" si="3"/>
        <v>2.5</v>
      </c>
      <c r="J56" s="134">
        <f>D$2+(I56-D56)/(E56-D56)*(E$2-D$2)</f>
        <v>126</v>
      </c>
      <c r="L56" s="130">
        <v>0</v>
      </c>
      <c r="M56" s="130">
        <v>2</v>
      </c>
      <c r="N56" s="130">
        <v>5</v>
      </c>
      <c r="O56" s="134">
        <f t="shared" si="4"/>
        <v>135.5</v>
      </c>
    </row>
    <row r="57" spans="1:15" x14ac:dyDescent="0.25">
      <c r="A57" s="130" t="s">
        <v>67</v>
      </c>
      <c r="C57" s="130">
        <v>0</v>
      </c>
      <c r="D57" s="130">
        <v>4</v>
      </c>
      <c r="E57" s="130">
        <v>5</v>
      </c>
      <c r="F57" s="130">
        <v>7</v>
      </c>
      <c r="G57" s="130">
        <v>7</v>
      </c>
      <c r="H57" s="130">
        <v>7</v>
      </c>
      <c r="I57" s="130">
        <f t="shared" si="3"/>
        <v>3.5</v>
      </c>
      <c r="J57" s="134">
        <f>C$2+(I57-C57)/(D57-C57)*(D$2-C$2)</f>
        <v>123.75</v>
      </c>
      <c r="L57" s="130">
        <v>0</v>
      </c>
      <c r="M57" s="130">
        <v>3</v>
      </c>
      <c r="N57" s="130">
        <v>7</v>
      </c>
      <c r="O57" s="134">
        <f t="shared" si="4"/>
        <v>135.375</v>
      </c>
    </row>
    <row r="58" spans="1:15" x14ac:dyDescent="0.25">
      <c r="A58" s="130" t="s">
        <v>65</v>
      </c>
      <c r="C58" s="130">
        <v>0</v>
      </c>
      <c r="D58" s="130">
        <v>5</v>
      </c>
      <c r="E58" s="130">
        <v>7</v>
      </c>
      <c r="F58" s="130">
        <v>8</v>
      </c>
      <c r="G58" s="130">
        <v>8</v>
      </c>
      <c r="H58" s="130">
        <v>8</v>
      </c>
      <c r="I58" s="130">
        <f t="shared" si="3"/>
        <v>4</v>
      </c>
      <c r="J58" s="134">
        <f>C$2+(I58-C58)/(D58-C58)*(D$2-C$2)</f>
        <v>123.6</v>
      </c>
      <c r="L58" s="130">
        <v>0</v>
      </c>
      <c r="M58" s="130">
        <v>4</v>
      </c>
      <c r="N58" s="130">
        <v>8</v>
      </c>
      <c r="O58" s="134">
        <f t="shared" si="4"/>
        <v>135</v>
      </c>
    </row>
    <row r="59" spans="1:15" x14ac:dyDescent="0.25">
      <c r="A59" s="130" t="s">
        <v>63</v>
      </c>
      <c r="C59" s="130">
        <v>1</v>
      </c>
      <c r="D59" s="130">
        <v>3</v>
      </c>
      <c r="E59" s="130">
        <v>6</v>
      </c>
      <c r="F59" s="130">
        <v>6</v>
      </c>
      <c r="G59" s="130">
        <v>6</v>
      </c>
      <c r="H59" s="130">
        <v>6</v>
      </c>
      <c r="I59" s="130">
        <f t="shared" si="3"/>
        <v>3</v>
      </c>
      <c r="J59" s="134">
        <f>D$2+(I59-D59)/(E59-D59)*(E$2-D$2)</f>
        <v>124</v>
      </c>
      <c r="L59" s="130">
        <v>0</v>
      </c>
      <c r="M59" s="130">
        <v>3</v>
      </c>
      <c r="N59" s="130">
        <v>6</v>
      </c>
      <c r="O59" s="134">
        <f t="shared" si="4"/>
        <v>135</v>
      </c>
    </row>
    <row r="60" spans="1:15" x14ac:dyDescent="0.25">
      <c r="A60" s="130" t="s">
        <v>61</v>
      </c>
      <c r="B60" s="130" t="s">
        <v>448</v>
      </c>
      <c r="C60" s="130">
        <v>0</v>
      </c>
      <c r="D60" s="130">
        <v>4</v>
      </c>
      <c r="E60" s="130">
        <v>6</v>
      </c>
      <c r="F60" s="130">
        <v>6</v>
      </c>
      <c r="G60" s="130">
        <v>6</v>
      </c>
      <c r="H60" s="130">
        <v>6</v>
      </c>
      <c r="I60" s="130">
        <f t="shared" si="3"/>
        <v>3</v>
      </c>
      <c r="J60" s="134">
        <f>C$2+(I60-C60)/(D60-C60)*(D$2-C$2)</f>
        <v>123.5</v>
      </c>
      <c r="L60" s="130">
        <v>0</v>
      </c>
      <c r="M60" s="130">
        <v>4</v>
      </c>
      <c r="N60" s="130">
        <v>4</v>
      </c>
      <c r="O60" s="134">
        <f>L$2+(I60-L60)/(M60-L60)*(M$2-L$2)</f>
        <v>134</v>
      </c>
    </row>
    <row r="61" spans="1:15" x14ac:dyDescent="0.25">
      <c r="A61" s="130" t="s">
        <v>59</v>
      </c>
      <c r="B61" s="130" t="s">
        <v>448</v>
      </c>
      <c r="C61" s="130">
        <v>0</v>
      </c>
      <c r="D61" s="130">
        <v>2</v>
      </c>
      <c r="E61" s="130">
        <v>5</v>
      </c>
      <c r="F61" s="130">
        <v>7</v>
      </c>
      <c r="G61" s="130">
        <v>6</v>
      </c>
      <c r="H61" s="130">
        <v>6</v>
      </c>
      <c r="I61" s="130">
        <f t="shared" si="3"/>
        <v>3</v>
      </c>
      <c r="J61" s="134">
        <f>D$2+(I61-D61)/(E61-D61)*(E$2-D$2)</f>
        <v>125.33333333333333</v>
      </c>
      <c r="L61" s="130">
        <v>0</v>
      </c>
      <c r="M61" s="130">
        <v>1</v>
      </c>
      <c r="N61" s="130">
        <v>5</v>
      </c>
      <c r="O61" s="134">
        <f>M$2+(I61-M61)/(N61-M61)*(N$2-M$2)</f>
        <v>136.5</v>
      </c>
    </row>
    <row r="62" spans="1:15" x14ac:dyDescent="0.25">
      <c r="A62" s="130" t="s">
        <v>57</v>
      </c>
      <c r="B62" s="130" t="s">
        <v>448</v>
      </c>
      <c r="C62" s="130">
        <v>0</v>
      </c>
      <c r="D62" s="130">
        <v>4</v>
      </c>
      <c r="E62" s="130">
        <v>6</v>
      </c>
      <c r="F62" s="130">
        <v>7</v>
      </c>
      <c r="G62" s="130">
        <v>8</v>
      </c>
      <c r="H62" s="130">
        <v>8</v>
      </c>
      <c r="I62" s="130">
        <f t="shared" si="3"/>
        <v>4</v>
      </c>
      <c r="J62" s="134">
        <f>D$2+(I62-D62)/(E62-D62)*(E$2-D$2)</f>
        <v>124</v>
      </c>
      <c r="K62" s="134"/>
      <c r="L62" s="130">
        <v>0</v>
      </c>
      <c r="M62" s="130">
        <v>2</v>
      </c>
      <c r="N62" s="130">
        <v>8</v>
      </c>
      <c r="O62" s="134">
        <f>M$2+(I62-M62)/(N62-M62)*(N$2-M$2)</f>
        <v>136</v>
      </c>
    </row>
    <row r="63" spans="1:15" x14ac:dyDescent="0.25">
      <c r="A63" s="130" t="s">
        <v>86</v>
      </c>
      <c r="C63" s="130">
        <v>3</v>
      </c>
      <c r="D63" s="130">
        <v>4</v>
      </c>
      <c r="E63" s="130">
        <v>4</v>
      </c>
      <c r="F63" s="130">
        <v>4</v>
      </c>
      <c r="G63" s="130">
        <v>4</v>
      </c>
      <c r="H63" s="130">
        <v>4</v>
      </c>
      <c r="I63" s="130">
        <f t="shared" si="3"/>
        <v>2</v>
      </c>
      <c r="J63" s="134">
        <f>C$2+(I63-C63)/(D63-C63)*(D$2-C$2)</f>
        <v>120</v>
      </c>
      <c r="L63" s="130">
        <v>0</v>
      </c>
      <c r="M63" s="130">
        <v>1</v>
      </c>
      <c r="N63" s="130">
        <v>4</v>
      </c>
      <c r="O63" s="134">
        <f>M$2+(I63-M63)/(N63-M63)*(N$2-M$2)</f>
        <v>136</v>
      </c>
    </row>
    <row r="64" spans="1:15" x14ac:dyDescent="0.25">
      <c r="A64" s="130" t="s">
        <v>88</v>
      </c>
      <c r="C64" s="130">
        <v>1</v>
      </c>
      <c r="D64" s="130">
        <v>5</v>
      </c>
      <c r="E64" s="130">
        <v>6</v>
      </c>
      <c r="F64" s="130">
        <v>6</v>
      </c>
      <c r="G64" s="130">
        <v>6</v>
      </c>
      <c r="H64" s="130">
        <v>6</v>
      </c>
      <c r="I64" s="130">
        <f t="shared" si="3"/>
        <v>3</v>
      </c>
      <c r="J64" s="134">
        <f>C$2+(I64-C64)/(D64-C64)*(D$2-C$2)</f>
        <v>123</v>
      </c>
      <c r="L64" s="130">
        <v>0</v>
      </c>
      <c r="M64" s="130">
        <v>3</v>
      </c>
      <c r="N64" s="130">
        <v>5</v>
      </c>
      <c r="O64" s="134">
        <f>M$2+(I64-M64)/(N64-M64)*(N$2-M$2)</f>
        <v>135</v>
      </c>
    </row>
    <row r="65" spans="1:15" x14ac:dyDescent="0.25">
      <c r="A65" s="130" t="s">
        <v>90</v>
      </c>
      <c r="C65" s="130">
        <v>1</v>
      </c>
      <c r="D65" s="130">
        <v>4</v>
      </c>
      <c r="E65" s="130">
        <v>6</v>
      </c>
      <c r="F65" s="130">
        <v>7</v>
      </c>
      <c r="G65" s="130">
        <v>7</v>
      </c>
      <c r="H65" s="130">
        <v>7</v>
      </c>
      <c r="I65" s="130">
        <f t="shared" si="3"/>
        <v>3.5</v>
      </c>
      <c r="J65" s="134">
        <f>C$2+(I65-C65)/(D65-C65)*(D$2-C$2)</f>
        <v>123.66666666666667</v>
      </c>
      <c r="L65" s="130">
        <v>0</v>
      </c>
      <c r="M65" s="130">
        <v>5</v>
      </c>
      <c r="N65" s="130">
        <v>7</v>
      </c>
      <c r="O65" s="134">
        <f>L$2+(I65-L65)/(M65-L65)*(M$2-L$2)</f>
        <v>133.80000000000001</v>
      </c>
    </row>
    <row r="66" spans="1:15" x14ac:dyDescent="0.25">
      <c r="A66" s="130" t="s">
        <v>92</v>
      </c>
      <c r="C66" s="130">
        <v>6</v>
      </c>
      <c r="D66" s="130">
        <v>6</v>
      </c>
      <c r="E66" s="130">
        <v>8</v>
      </c>
      <c r="F66" s="130">
        <v>8</v>
      </c>
      <c r="G66" s="130">
        <v>8</v>
      </c>
      <c r="H66" s="130">
        <v>8</v>
      </c>
      <c r="I66" s="130">
        <f t="shared" si="3"/>
        <v>4</v>
      </c>
      <c r="J66" s="134">
        <f>D$2+(I66-D66)/(E66-D66)*(E$2-D$2)</f>
        <v>120</v>
      </c>
      <c r="L66" s="130">
        <v>1</v>
      </c>
      <c r="M66" s="130">
        <v>6</v>
      </c>
      <c r="N66" s="130">
        <v>8</v>
      </c>
      <c r="O66" s="134">
        <f>L$2+(I66-L66)/(M66-L66)*(M$2-L$2)</f>
        <v>133.4</v>
      </c>
    </row>
    <row r="67" spans="1:15" x14ac:dyDescent="0.25">
      <c r="A67" s="130" t="s">
        <v>94</v>
      </c>
      <c r="C67" s="130">
        <v>4</v>
      </c>
      <c r="D67" s="130">
        <v>4</v>
      </c>
      <c r="E67" s="130">
        <v>5</v>
      </c>
      <c r="F67" s="130">
        <v>5</v>
      </c>
      <c r="G67" s="130">
        <v>5</v>
      </c>
      <c r="H67" s="130">
        <v>5</v>
      </c>
      <c r="I67" s="130">
        <f t="shared" ref="I67:I98" si="5">H67/2</f>
        <v>2.5</v>
      </c>
      <c r="J67" s="134">
        <v>120</v>
      </c>
      <c r="L67" s="130">
        <v>0</v>
      </c>
      <c r="M67" s="130">
        <v>3</v>
      </c>
      <c r="N67" s="130">
        <v>7</v>
      </c>
      <c r="O67" s="134">
        <f>L$2+(I67-L67)/(M67-L67)*(M$2-L$2)</f>
        <v>134.33333333333334</v>
      </c>
    </row>
    <row r="68" spans="1:15" x14ac:dyDescent="0.25">
      <c r="A68" s="130" t="s">
        <v>96</v>
      </c>
      <c r="C68" s="130">
        <v>2</v>
      </c>
      <c r="D68" s="130">
        <v>7</v>
      </c>
      <c r="E68" s="130">
        <v>7</v>
      </c>
      <c r="F68" s="130">
        <v>7</v>
      </c>
      <c r="G68" s="130">
        <v>7</v>
      </c>
      <c r="H68" s="130">
        <v>7</v>
      </c>
      <c r="I68" s="130">
        <f t="shared" si="5"/>
        <v>3.5</v>
      </c>
      <c r="J68" s="134">
        <f>C$2+(I68-C68)/(D68-C68)*(D$2-C$2)</f>
        <v>122.6</v>
      </c>
      <c r="L68" s="130">
        <v>2</v>
      </c>
      <c r="M68" s="130">
        <v>6</v>
      </c>
      <c r="N68" s="130">
        <v>7</v>
      </c>
      <c r="O68" s="134">
        <f>L$2+(I68-L68)/(M68-L68)*(M$2-L$2)</f>
        <v>132.5</v>
      </c>
    </row>
    <row r="69" spans="1:15" x14ac:dyDescent="0.25">
      <c r="A69" s="130" t="s">
        <v>98</v>
      </c>
      <c r="C69" s="130">
        <v>3</v>
      </c>
      <c r="D69" s="130">
        <v>4</v>
      </c>
      <c r="E69" s="130">
        <v>7</v>
      </c>
      <c r="F69" s="130">
        <v>7</v>
      </c>
      <c r="G69" s="130">
        <v>8</v>
      </c>
      <c r="H69" s="130">
        <v>8</v>
      </c>
      <c r="I69" s="130">
        <f t="shared" si="5"/>
        <v>4</v>
      </c>
      <c r="J69" s="134">
        <f>D$2+(I69-D69)/(E69-D69)*(E$2-D$2)</f>
        <v>124</v>
      </c>
      <c r="L69" s="130">
        <v>0</v>
      </c>
      <c r="M69" s="130">
        <v>3</v>
      </c>
      <c r="N69" s="130">
        <v>7</v>
      </c>
      <c r="O69" s="134">
        <f>M$2+(I69-M69)/(N69-M69)*(N$2-M$2)</f>
        <v>135.75</v>
      </c>
    </row>
    <row r="70" spans="1:15" x14ac:dyDescent="0.25">
      <c r="A70" s="130" t="s">
        <v>100</v>
      </c>
      <c r="C70" s="130">
        <v>5</v>
      </c>
      <c r="D70" s="130">
        <v>8</v>
      </c>
      <c r="E70" s="130">
        <v>10</v>
      </c>
      <c r="F70" s="130">
        <v>10</v>
      </c>
      <c r="G70" s="130">
        <v>10</v>
      </c>
      <c r="H70" s="130">
        <v>10</v>
      </c>
      <c r="I70" s="130">
        <f t="shared" si="5"/>
        <v>5</v>
      </c>
      <c r="J70" s="134">
        <f>C$2+(I70-C70)/(D70-C70)*(D$2-C$2)</f>
        <v>122</v>
      </c>
      <c r="L70" s="130">
        <v>1</v>
      </c>
      <c r="M70" s="130">
        <v>5</v>
      </c>
      <c r="N70" s="130">
        <v>8</v>
      </c>
      <c r="O70" s="134">
        <f>M$2+(I70-M70)/(N70-M70)*(N$2-M$2)</f>
        <v>135</v>
      </c>
    </row>
    <row r="71" spans="1:15" x14ac:dyDescent="0.25">
      <c r="A71" s="130" t="s">
        <v>102</v>
      </c>
      <c r="C71" s="130">
        <v>2</v>
      </c>
      <c r="D71" s="130">
        <v>3</v>
      </c>
      <c r="E71" s="130">
        <v>4</v>
      </c>
      <c r="F71" s="130">
        <v>4</v>
      </c>
      <c r="G71" s="130">
        <v>4</v>
      </c>
      <c r="H71" s="130">
        <v>4</v>
      </c>
      <c r="I71" s="130">
        <f t="shared" si="5"/>
        <v>2</v>
      </c>
      <c r="J71" s="134">
        <f>C$2+(I71-C71)/(D71-C71)*(D$2-C$2)</f>
        <v>122</v>
      </c>
      <c r="L71" s="130">
        <v>0</v>
      </c>
      <c r="M71" s="130">
        <v>2</v>
      </c>
      <c r="N71" s="130">
        <v>4</v>
      </c>
      <c r="O71" s="134">
        <f>M$2+(I71-M71)/(N71-M71)*(N$2-M$2)</f>
        <v>135</v>
      </c>
    </row>
    <row r="72" spans="1:15" x14ac:dyDescent="0.25">
      <c r="A72" s="130" t="s">
        <v>104</v>
      </c>
      <c r="C72" s="130">
        <v>1</v>
      </c>
      <c r="D72" s="130">
        <v>4</v>
      </c>
      <c r="E72" s="130">
        <v>5</v>
      </c>
      <c r="F72" s="130">
        <v>6</v>
      </c>
      <c r="G72" s="130">
        <v>6</v>
      </c>
      <c r="H72" s="130">
        <v>6</v>
      </c>
      <c r="I72" s="130">
        <f t="shared" si="5"/>
        <v>3</v>
      </c>
      <c r="J72" s="134">
        <f>C$2+(I72-C72)/(D72-C72)*(D$2-C$2)</f>
        <v>123.33333333333333</v>
      </c>
      <c r="L72" s="130">
        <v>0</v>
      </c>
      <c r="M72" s="130">
        <v>4</v>
      </c>
      <c r="N72" s="130">
        <v>5</v>
      </c>
      <c r="O72" s="134">
        <f>L$2+(I72-L72)/(M72-L72)*(M$2-L$2)</f>
        <v>134</v>
      </c>
    </row>
    <row r="73" spans="1:15" x14ac:dyDescent="0.25">
      <c r="A73" s="130" t="s">
        <v>106</v>
      </c>
      <c r="C73" s="130">
        <v>3</v>
      </c>
      <c r="D73" s="130">
        <v>6</v>
      </c>
      <c r="E73" s="130">
        <v>6</v>
      </c>
      <c r="F73" s="130">
        <v>7</v>
      </c>
      <c r="G73" s="130">
        <v>7</v>
      </c>
      <c r="H73" s="130">
        <v>7</v>
      </c>
      <c r="I73" s="130">
        <f t="shared" si="5"/>
        <v>3.5</v>
      </c>
      <c r="J73" s="134">
        <f>C$2+(I73-C73)/(D73-C73)*(D$2-C$2)</f>
        <v>122.33333333333333</v>
      </c>
      <c r="L73" s="130">
        <v>0</v>
      </c>
      <c r="M73" s="130">
        <v>4</v>
      </c>
      <c r="N73" s="130">
        <v>7</v>
      </c>
      <c r="O73" s="134">
        <f>L$2+(I73-L73)/(M73-L73)*(M$2-L$2)</f>
        <v>134.5</v>
      </c>
    </row>
    <row r="74" spans="1:15" x14ac:dyDescent="0.25">
      <c r="A74" s="130" t="s">
        <v>108</v>
      </c>
      <c r="C74" s="130">
        <v>2</v>
      </c>
      <c r="D74" s="130">
        <v>3</v>
      </c>
      <c r="E74" s="130">
        <v>7</v>
      </c>
      <c r="F74" s="130">
        <v>7</v>
      </c>
      <c r="G74" s="130">
        <v>8</v>
      </c>
      <c r="H74" s="130">
        <v>8</v>
      </c>
      <c r="I74" s="130">
        <f t="shared" si="5"/>
        <v>4</v>
      </c>
      <c r="J74" s="134">
        <f>D$2+(I74-D74)/(E74-D74)*(E$2-D$2)</f>
        <v>125</v>
      </c>
      <c r="L74" s="130">
        <v>0</v>
      </c>
      <c r="M74" s="130">
        <v>3</v>
      </c>
      <c r="N74" s="130">
        <v>7</v>
      </c>
      <c r="O74" s="134">
        <f t="shared" ref="O74:O79" si="6">M$2+(I74-M74)/(N74-M74)*(N$2-M$2)</f>
        <v>135.75</v>
      </c>
    </row>
    <row r="75" spans="1:15" x14ac:dyDescent="0.25">
      <c r="A75" s="130" t="s">
        <v>110</v>
      </c>
      <c r="C75" s="130">
        <v>2</v>
      </c>
      <c r="D75" s="130">
        <v>6</v>
      </c>
      <c r="E75" s="130">
        <v>9</v>
      </c>
      <c r="F75" s="130">
        <v>10</v>
      </c>
      <c r="G75" s="130">
        <v>10</v>
      </c>
      <c r="H75" s="130">
        <v>10</v>
      </c>
      <c r="I75" s="130">
        <f t="shared" si="5"/>
        <v>5</v>
      </c>
      <c r="J75" s="134">
        <f>C$2+(I75-C75)/(D75-C75)*(D$2-C$2)</f>
        <v>123.5</v>
      </c>
      <c r="L75" s="130">
        <v>0</v>
      </c>
      <c r="M75" s="130">
        <v>5</v>
      </c>
      <c r="N75" s="130">
        <v>9</v>
      </c>
      <c r="O75" s="134">
        <f t="shared" si="6"/>
        <v>135</v>
      </c>
    </row>
    <row r="76" spans="1:15" x14ac:dyDescent="0.25">
      <c r="A76" s="130" t="s">
        <v>112</v>
      </c>
      <c r="C76" s="130">
        <v>3</v>
      </c>
      <c r="D76" s="130">
        <v>4</v>
      </c>
      <c r="E76" s="130">
        <v>5</v>
      </c>
      <c r="F76" s="130">
        <v>5</v>
      </c>
      <c r="G76" s="130">
        <v>5</v>
      </c>
      <c r="H76" s="130">
        <v>5</v>
      </c>
      <c r="I76" s="130">
        <f t="shared" si="5"/>
        <v>2.5</v>
      </c>
      <c r="J76" s="134">
        <f>C$2+(I76-C76)/(D76-C76)*(D$2-C$2)</f>
        <v>121</v>
      </c>
      <c r="L76" s="130">
        <v>0</v>
      </c>
      <c r="M76" s="130">
        <v>2</v>
      </c>
      <c r="N76" s="130">
        <v>5</v>
      </c>
      <c r="O76" s="134">
        <f t="shared" si="6"/>
        <v>135.5</v>
      </c>
    </row>
    <row r="77" spans="1:15" x14ac:dyDescent="0.25">
      <c r="A77" s="130" t="s">
        <v>114</v>
      </c>
      <c r="C77" s="130">
        <v>1</v>
      </c>
      <c r="D77" s="130">
        <v>3</v>
      </c>
      <c r="E77" s="130">
        <v>3</v>
      </c>
      <c r="F77" s="130">
        <v>3</v>
      </c>
      <c r="G77" s="130">
        <v>4</v>
      </c>
      <c r="H77" s="130">
        <v>4</v>
      </c>
      <c r="I77" s="130">
        <f t="shared" si="5"/>
        <v>2</v>
      </c>
      <c r="J77" s="134">
        <f>C$2+(I77-C77)/(D77-C77)*(D$2-C$2)</f>
        <v>123</v>
      </c>
      <c r="K77" s="134"/>
      <c r="L77" s="130">
        <v>0</v>
      </c>
      <c r="M77" s="130">
        <v>1</v>
      </c>
      <c r="N77" s="130">
        <v>3</v>
      </c>
      <c r="O77" s="134">
        <f t="shared" si="6"/>
        <v>136.5</v>
      </c>
    </row>
    <row r="78" spans="1:15" x14ac:dyDescent="0.25">
      <c r="A78" s="130" t="s">
        <v>144</v>
      </c>
      <c r="C78" s="130">
        <v>2</v>
      </c>
      <c r="D78" s="130">
        <v>5</v>
      </c>
      <c r="E78" s="130">
        <v>7</v>
      </c>
      <c r="F78" s="130">
        <v>10</v>
      </c>
      <c r="G78" s="130">
        <v>10</v>
      </c>
      <c r="H78" s="130">
        <v>10</v>
      </c>
      <c r="I78" s="130">
        <f t="shared" si="5"/>
        <v>5</v>
      </c>
      <c r="J78" s="134">
        <f>D$2+(I78-D78)/(E78-D78)*(E$2-D$2)</f>
        <v>124</v>
      </c>
      <c r="L78" s="130">
        <v>0</v>
      </c>
      <c r="M78" s="130">
        <v>4</v>
      </c>
      <c r="N78" s="130">
        <v>9</v>
      </c>
      <c r="O78" s="134">
        <f t="shared" si="6"/>
        <v>135.6</v>
      </c>
    </row>
    <row r="79" spans="1:15" x14ac:dyDescent="0.25">
      <c r="A79" s="130" t="s">
        <v>142</v>
      </c>
      <c r="C79" s="130">
        <v>0</v>
      </c>
      <c r="D79" s="130">
        <v>2</v>
      </c>
      <c r="E79" s="130">
        <v>5</v>
      </c>
      <c r="F79" s="130">
        <v>5</v>
      </c>
      <c r="G79" s="130">
        <v>6</v>
      </c>
      <c r="H79" s="130">
        <v>6</v>
      </c>
      <c r="I79" s="130">
        <f t="shared" si="5"/>
        <v>3</v>
      </c>
      <c r="J79" s="134">
        <f>D$2+(I79-D79)/(E79-D79)*(E$2-D$2)</f>
        <v>125.33333333333333</v>
      </c>
      <c r="L79" s="130">
        <v>0</v>
      </c>
      <c r="M79" s="130">
        <v>2</v>
      </c>
      <c r="N79" s="130">
        <v>6</v>
      </c>
      <c r="O79" s="134">
        <f t="shared" si="6"/>
        <v>135.75</v>
      </c>
    </row>
    <row r="80" spans="1:15" x14ac:dyDescent="0.25">
      <c r="A80" s="130" t="s">
        <v>140</v>
      </c>
      <c r="C80" s="130">
        <v>2</v>
      </c>
      <c r="D80" s="130">
        <v>5</v>
      </c>
      <c r="E80" s="130">
        <v>9</v>
      </c>
      <c r="F80" s="130">
        <v>9</v>
      </c>
      <c r="G80" s="130">
        <v>9</v>
      </c>
      <c r="H80" s="130">
        <v>9</v>
      </c>
      <c r="I80" s="130">
        <f t="shared" si="5"/>
        <v>4.5</v>
      </c>
      <c r="J80" s="134">
        <f>C$2+(I80-C80)/(D80-C80)*(D$2-C$2)</f>
        <v>123.66666666666667</v>
      </c>
      <c r="L80" s="130">
        <v>0</v>
      </c>
      <c r="M80" s="130">
        <v>5</v>
      </c>
      <c r="N80" s="130">
        <v>9</v>
      </c>
      <c r="O80" s="134">
        <f>L$2+(I80-L80)/(M80-L80)*(M$2-L$2)</f>
        <v>134.6</v>
      </c>
    </row>
    <row r="81" spans="1:15" x14ac:dyDescent="0.25">
      <c r="A81" s="130" t="s">
        <v>138</v>
      </c>
      <c r="C81" s="130">
        <v>0</v>
      </c>
      <c r="D81" s="130">
        <v>3</v>
      </c>
      <c r="E81" s="130">
        <v>4</v>
      </c>
      <c r="F81" s="130">
        <v>5</v>
      </c>
      <c r="G81" s="130">
        <v>5</v>
      </c>
      <c r="H81" s="130">
        <v>5</v>
      </c>
      <c r="I81" s="130">
        <f t="shared" si="5"/>
        <v>2.5</v>
      </c>
      <c r="J81" s="134">
        <f>C$2+(I81-C81)/(D81-C81)*(D$2-C$2)</f>
        <v>123.66666666666667</v>
      </c>
      <c r="L81" s="130">
        <v>0</v>
      </c>
      <c r="M81" s="130">
        <v>3</v>
      </c>
      <c r="N81" s="130">
        <v>5</v>
      </c>
      <c r="O81" s="134">
        <f>L$2+(I81-L81)/(M81-L81)*(M$2-L$2)</f>
        <v>134.33333333333334</v>
      </c>
    </row>
    <row r="82" spans="1:15" x14ac:dyDescent="0.25">
      <c r="A82" s="130" t="s">
        <v>136</v>
      </c>
      <c r="C82" s="130">
        <v>0</v>
      </c>
      <c r="D82" s="130">
        <v>0</v>
      </c>
      <c r="E82" s="130">
        <v>5</v>
      </c>
      <c r="F82" s="130">
        <v>5</v>
      </c>
      <c r="G82" s="130">
        <v>7</v>
      </c>
      <c r="H82" s="130">
        <v>7</v>
      </c>
      <c r="I82" s="130">
        <f t="shared" si="5"/>
        <v>3.5</v>
      </c>
      <c r="J82" s="134">
        <f>D$2+(I82-D82)/(E82-D82)*(E$2-D$2)</f>
        <v>126.8</v>
      </c>
      <c r="L82" s="130">
        <v>0</v>
      </c>
      <c r="M82" s="130">
        <v>2</v>
      </c>
      <c r="N82" s="130">
        <v>5</v>
      </c>
      <c r="O82" s="134">
        <f>M$2+(I82-M82)/(N82-M82)*(N$2-M$2)</f>
        <v>136.5</v>
      </c>
    </row>
    <row r="83" spans="1:15" x14ac:dyDescent="0.25">
      <c r="A83" s="130" t="s">
        <v>134</v>
      </c>
      <c r="C83" s="130">
        <v>2</v>
      </c>
      <c r="D83" s="130">
        <v>2</v>
      </c>
      <c r="E83" s="130">
        <v>6</v>
      </c>
      <c r="F83" s="130">
        <v>7</v>
      </c>
      <c r="G83" s="130">
        <v>8</v>
      </c>
      <c r="H83" s="130">
        <v>8</v>
      </c>
      <c r="I83" s="130">
        <f t="shared" si="5"/>
        <v>4</v>
      </c>
      <c r="J83" s="134">
        <f>D$2+(I83-D83)/(E83-D83)*(E$2-D$2)</f>
        <v>126</v>
      </c>
      <c r="L83" s="130">
        <v>0</v>
      </c>
      <c r="M83" s="130">
        <v>3</v>
      </c>
      <c r="N83" s="130">
        <v>7</v>
      </c>
      <c r="O83" s="134">
        <f>M$2+(I83-M83)/(N83-M83)*(N$2-M$2)</f>
        <v>135.75</v>
      </c>
    </row>
    <row r="84" spans="1:15" x14ac:dyDescent="0.25">
      <c r="A84" s="130" t="s">
        <v>132</v>
      </c>
      <c r="C84" s="130">
        <v>2</v>
      </c>
      <c r="D84" s="130">
        <v>5</v>
      </c>
      <c r="E84" s="130">
        <v>6</v>
      </c>
      <c r="F84" s="130">
        <v>8</v>
      </c>
      <c r="G84" s="130">
        <v>8</v>
      </c>
      <c r="H84" s="130">
        <v>8</v>
      </c>
      <c r="I84" s="130">
        <f t="shared" si="5"/>
        <v>4</v>
      </c>
      <c r="J84" s="134">
        <f>C$2+(I84-C84)/(D84-C84)*(D$2-C$2)</f>
        <v>123.33333333333333</v>
      </c>
      <c r="L84" s="130">
        <v>0</v>
      </c>
      <c r="M84" s="130">
        <v>4</v>
      </c>
      <c r="N84" s="130">
        <v>8</v>
      </c>
      <c r="O84" s="134">
        <f>M$2+(I84-M84)/(N84-M84)*(N$2-M$2)</f>
        <v>135</v>
      </c>
    </row>
    <row r="85" spans="1:15" x14ac:dyDescent="0.25">
      <c r="A85" s="130" t="s">
        <v>130</v>
      </c>
      <c r="C85" s="130">
        <v>1</v>
      </c>
      <c r="D85" s="130">
        <v>2</v>
      </c>
      <c r="E85" s="130">
        <v>3</v>
      </c>
      <c r="F85" s="130">
        <v>4</v>
      </c>
      <c r="G85" s="130">
        <v>5</v>
      </c>
      <c r="H85" s="130">
        <v>5</v>
      </c>
      <c r="I85" s="130">
        <f t="shared" si="5"/>
        <v>2.5</v>
      </c>
      <c r="J85" s="134">
        <f>D$2+(I85-D85)/(E85-D85)*(E$2-D$2)</f>
        <v>126</v>
      </c>
      <c r="L85" s="130">
        <v>1</v>
      </c>
      <c r="M85" s="130">
        <v>4</v>
      </c>
      <c r="N85" s="130">
        <v>5</v>
      </c>
      <c r="O85" s="134">
        <f>L$2+(I85-L85)/(M85-L85)*(M$2-L$2)</f>
        <v>133</v>
      </c>
    </row>
    <row r="86" spans="1:15" x14ac:dyDescent="0.25">
      <c r="A86" s="130" t="s">
        <v>128</v>
      </c>
      <c r="C86" s="130">
        <v>2</v>
      </c>
      <c r="D86" s="130">
        <v>7</v>
      </c>
      <c r="E86" s="130">
        <v>8</v>
      </c>
      <c r="F86" s="130">
        <v>7</v>
      </c>
      <c r="G86" s="130">
        <v>7</v>
      </c>
      <c r="H86" s="130">
        <v>7</v>
      </c>
      <c r="I86" s="130">
        <f t="shared" si="5"/>
        <v>3.5</v>
      </c>
      <c r="J86" s="134">
        <f>C$2+(I86-C86)/(D86-C86)*(D$2-C$2)</f>
        <v>122.6</v>
      </c>
      <c r="L86" s="130">
        <v>0</v>
      </c>
      <c r="M86" s="130">
        <v>2</v>
      </c>
      <c r="N86" s="130">
        <v>6</v>
      </c>
      <c r="O86" s="134">
        <f t="shared" ref="O86:O114" si="7">M$2+(I86-M86)/(N86-M86)*(N$2-M$2)</f>
        <v>136.125</v>
      </c>
    </row>
    <row r="87" spans="1:15" x14ac:dyDescent="0.25">
      <c r="A87" s="130" t="s">
        <v>126</v>
      </c>
      <c r="C87" s="130">
        <v>0</v>
      </c>
      <c r="D87" s="130">
        <v>6</v>
      </c>
      <c r="E87" s="130">
        <v>9</v>
      </c>
      <c r="F87" s="130">
        <v>8</v>
      </c>
      <c r="G87" s="130">
        <v>10</v>
      </c>
      <c r="H87" s="130">
        <v>10</v>
      </c>
      <c r="I87" s="130">
        <f t="shared" si="5"/>
        <v>5</v>
      </c>
      <c r="J87" s="134">
        <f>C$2+(I87-C87)/(D87-C87)*(D$2-C$2)</f>
        <v>123.66666666666667</v>
      </c>
      <c r="L87" s="130">
        <v>0</v>
      </c>
      <c r="M87" s="130">
        <v>4</v>
      </c>
      <c r="N87" s="130">
        <v>8</v>
      </c>
      <c r="O87" s="134">
        <f t="shared" si="7"/>
        <v>135.75</v>
      </c>
    </row>
    <row r="88" spans="1:15" x14ac:dyDescent="0.25">
      <c r="A88" s="130" t="s">
        <v>124</v>
      </c>
      <c r="C88" s="130">
        <v>0</v>
      </c>
      <c r="D88" s="130">
        <v>4</v>
      </c>
      <c r="E88" s="130">
        <v>6</v>
      </c>
      <c r="F88" s="130">
        <v>7</v>
      </c>
      <c r="G88" s="130">
        <v>7</v>
      </c>
      <c r="H88" s="130">
        <v>7</v>
      </c>
      <c r="I88" s="130">
        <f t="shared" si="5"/>
        <v>3.5</v>
      </c>
      <c r="J88" s="134">
        <f>C$2+(I88-C88)/(D88-C88)*(D$2-C$2)</f>
        <v>123.75</v>
      </c>
      <c r="L88" s="130">
        <v>0</v>
      </c>
      <c r="M88" s="130">
        <v>3</v>
      </c>
      <c r="N88" s="130">
        <v>6</v>
      </c>
      <c r="O88" s="134">
        <f t="shared" si="7"/>
        <v>135.5</v>
      </c>
    </row>
    <row r="89" spans="1:15" x14ac:dyDescent="0.25">
      <c r="A89" s="130" t="s">
        <v>122</v>
      </c>
      <c r="C89" s="130">
        <v>1</v>
      </c>
      <c r="D89" s="130">
        <v>3</v>
      </c>
      <c r="E89" s="130">
        <v>6</v>
      </c>
      <c r="F89" s="130">
        <v>7</v>
      </c>
      <c r="G89" s="130">
        <v>7</v>
      </c>
      <c r="H89" s="130">
        <v>7</v>
      </c>
      <c r="I89" s="130">
        <f t="shared" si="5"/>
        <v>3.5</v>
      </c>
      <c r="J89" s="134">
        <f>D$2+(I89-D89)/(E89-D89)*(E$2-D$2)</f>
        <v>124.66666666666667</v>
      </c>
      <c r="L89" s="130">
        <v>0</v>
      </c>
      <c r="M89" s="130">
        <v>3</v>
      </c>
      <c r="N89" s="130">
        <v>7</v>
      </c>
      <c r="O89" s="134">
        <f t="shared" si="7"/>
        <v>135.375</v>
      </c>
    </row>
    <row r="90" spans="1:15" x14ac:dyDescent="0.25">
      <c r="A90" s="130" t="s">
        <v>120</v>
      </c>
      <c r="C90" s="130">
        <v>1</v>
      </c>
      <c r="D90" s="130">
        <v>4</v>
      </c>
      <c r="E90" s="130">
        <v>9</v>
      </c>
      <c r="F90" s="130">
        <v>12</v>
      </c>
      <c r="G90" s="130">
        <v>12</v>
      </c>
      <c r="H90" s="130">
        <v>12</v>
      </c>
      <c r="I90" s="130">
        <f t="shared" si="5"/>
        <v>6</v>
      </c>
      <c r="J90" s="134">
        <f>D$2+(I90-D90)/(E90-D90)*(E$2-D$2)</f>
        <v>125.6</v>
      </c>
      <c r="L90" s="130">
        <v>0</v>
      </c>
      <c r="M90" s="130">
        <v>5</v>
      </c>
      <c r="N90" s="130">
        <v>10</v>
      </c>
      <c r="O90" s="134">
        <f t="shared" si="7"/>
        <v>135.6</v>
      </c>
    </row>
    <row r="91" spans="1:15" x14ac:dyDescent="0.25">
      <c r="A91" s="130" t="s">
        <v>118</v>
      </c>
      <c r="C91" s="130">
        <v>1</v>
      </c>
      <c r="D91" s="130">
        <v>2</v>
      </c>
      <c r="E91" s="130">
        <v>5</v>
      </c>
      <c r="F91" s="130">
        <v>5</v>
      </c>
      <c r="G91" s="130">
        <v>5</v>
      </c>
      <c r="H91" s="130">
        <v>5</v>
      </c>
      <c r="I91" s="130">
        <f t="shared" si="5"/>
        <v>2.5</v>
      </c>
      <c r="J91" s="134">
        <f>D$2+(I91-D91)/(E91-D91)*(E$2-D$2)</f>
        <v>124.66666666666667</v>
      </c>
      <c r="L91" s="130">
        <v>0</v>
      </c>
      <c r="M91" s="130">
        <v>2</v>
      </c>
      <c r="N91" s="130">
        <v>5</v>
      </c>
      <c r="O91" s="134">
        <f t="shared" si="7"/>
        <v>135.5</v>
      </c>
    </row>
    <row r="92" spans="1:15" x14ac:dyDescent="0.25">
      <c r="A92" s="130" t="s">
        <v>116</v>
      </c>
      <c r="C92" s="130">
        <v>0</v>
      </c>
      <c r="D92" s="130">
        <v>2</v>
      </c>
      <c r="E92" s="130">
        <v>6</v>
      </c>
      <c r="F92" s="130">
        <v>9</v>
      </c>
      <c r="G92" s="130">
        <v>8</v>
      </c>
      <c r="H92" s="130">
        <v>8</v>
      </c>
      <c r="I92" s="130">
        <f t="shared" si="5"/>
        <v>4</v>
      </c>
      <c r="J92" s="134">
        <f>D$2+(I92-D92)/(E92-D92)*(E$2-D$2)</f>
        <v>126</v>
      </c>
      <c r="K92" s="134"/>
      <c r="L92" s="130">
        <v>0</v>
      </c>
      <c r="M92" s="130">
        <v>4</v>
      </c>
      <c r="N92" s="130">
        <v>7</v>
      </c>
      <c r="O92" s="134">
        <f t="shared" si="7"/>
        <v>135</v>
      </c>
    </row>
    <row r="93" spans="1:15" x14ac:dyDescent="0.25">
      <c r="A93" s="130" t="s">
        <v>87</v>
      </c>
      <c r="C93" s="130">
        <v>0</v>
      </c>
      <c r="D93" s="130">
        <v>3</v>
      </c>
      <c r="E93" s="130">
        <v>8</v>
      </c>
      <c r="F93" s="130">
        <v>8</v>
      </c>
      <c r="G93" s="130">
        <v>8</v>
      </c>
      <c r="H93" s="130">
        <v>8</v>
      </c>
      <c r="I93" s="130">
        <f t="shared" si="5"/>
        <v>4</v>
      </c>
      <c r="J93" s="134">
        <f>D$2+(I93-D93)/(E93-D93)*(E$2-D$2)</f>
        <v>124.8</v>
      </c>
      <c r="L93" s="130">
        <v>0</v>
      </c>
      <c r="M93" s="130">
        <v>1</v>
      </c>
      <c r="N93" s="130">
        <v>6</v>
      </c>
      <c r="O93" s="134">
        <f t="shared" si="7"/>
        <v>136.80000000000001</v>
      </c>
    </row>
    <row r="94" spans="1:15" x14ac:dyDescent="0.25">
      <c r="A94" s="130" t="s">
        <v>89</v>
      </c>
      <c r="C94" s="130">
        <v>0</v>
      </c>
      <c r="D94" s="130">
        <v>4</v>
      </c>
      <c r="E94" s="130">
        <v>7</v>
      </c>
      <c r="F94" s="130">
        <v>7</v>
      </c>
      <c r="G94" s="130">
        <v>7</v>
      </c>
      <c r="H94" s="130">
        <v>7</v>
      </c>
      <c r="I94" s="130">
        <f t="shared" si="5"/>
        <v>3.5</v>
      </c>
      <c r="J94" s="134">
        <f>C$2+(I94-C94)/(D94-C94)*(D$2-C$2)</f>
        <v>123.75</v>
      </c>
      <c r="L94" s="130">
        <v>0</v>
      </c>
      <c r="M94" s="130">
        <v>1</v>
      </c>
      <c r="N94" s="130">
        <v>5</v>
      </c>
      <c r="O94" s="134">
        <f t="shared" si="7"/>
        <v>136.875</v>
      </c>
    </row>
    <row r="95" spans="1:15" x14ac:dyDescent="0.25">
      <c r="A95" s="130" t="s">
        <v>91</v>
      </c>
      <c r="C95" s="130">
        <v>0</v>
      </c>
      <c r="D95" s="130">
        <v>2</v>
      </c>
      <c r="E95" s="130">
        <v>6</v>
      </c>
      <c r="F95" s="130">
        <v>7</v>
      </c>
      <c r="G95" s="130">
        <v>7</v>
      </c>
      <c r="H95" s="130">
        <v>7</v>
      </c>
      <c r="I95" s="130">
        <f t="shared" si="5"/>
        <v>3.5</v>
      </c>
      <c r="J95" s="134">
        <f>D$2+(I95-D95)/(E95-D95)*(E$2-D$2)</f>
        <v>125.5</v>
      </c>
      <c r="L95" s="130">
        <v>0</v>
      </c>
      <c r="M95" s="130">
        <v>1</v>
      </c>
      <c r="N95" s="130">
        <v>6</v>
      </c>
      <c r="O95" s="134">
        <f t="shared" si="7"/>
        <v>136.5</v>
      </c>
    </row>
    <row r="96" spans="1:15" x14ac:dyDescent="0.25">
      <c r="A96" s="130" t="s">
        <v>93</v>
      </c>
      <c r="C96" s="130">
        <v>1</v>
      </c>
      <c r="D96" s="130">
        <v>4</v>
      </c>
      <c r="E96" s="130">
        <v>7</v>
      </c>
      <c r="F96" s="130">
        <v>9</v>
      </c>
      <c r="G96" s="130">
        <v>9</v>
      </c>
      <c r="H96" s="130">
        <v>9</v>
      </c>
      <c r="I96" s="130">
        <f t="shared" si="5"/>
        <v>4.5</v>
      </c>
      <c r="J96" s="134">
        <f>D$2+(I96-D96)/(E96-D96)*(E$2-D$2)</f>
        <v>124.66666666666667</v>
      </c>
      <c r="L96" s="130">
        <v>0</v>
      </c>
      <c r="M96" s="130">
        <v>2</v>
      </c>
      <c r="N96" s="130">
        <v>7</v>
      </c>
      <c r="O96" s="134">
        <f t="shared" si="7"/>
        <v>136.5</v>
      </c>
    </row>
    <row r="97" spans="1:15" x14ac:dyDescent="0.25">
      <c r="A97" s="130" t="s">
        <v>95</v>
      </c>
      <c r="C97" s="130">
        <v>4</v>
      </c>
      <c r="D97" s="130">
        <v>9</v>
      </c>
      <c r="E97" s="130">
        <v>9</v>
      </c>
      <c r="F97" s="130">
        <v>10</v>
      </c>
      <c r="G97" s="130">
        <v>10</v>
      </c>
      <c r="H97" s="130">
        <v>10</v>
      </c>
      <c r="I97" s="130">
        <f t="shared" si="5"/>
        <v>5</v>
      </c>
      <c r="J97" s="134">
        <f>C$2+(I97-C97)/(D97-C97)*(D$2-C$2)</f>
        <v>122.4</v>
      </c>
      <c r="L97" s="130">
        <v>0</v>
      </c>
      <c r="M97" s="130">
        <v>3</v>
      </c>
      <c r="N97" s="130">
        <v>8</v>
      </c>
      <c r="O97" s="134">
        <f t="shared" si="7"/>
        <v>136.19999999999999</v>
      </c>
    </row>
    <row r="98" spans="1:15" x14ac:dyDescent="0.25">
      <c r="A98" s="130" t="s">
        <v>97</v>
      </c>
      <c r="C98" s="130">
        <v>0</v>
      </c>
      <c r="D98" s="130">
        <v>6</v>
      </c>
      <c r="E98" s="130">
        <v>8</v>
      </c>
      <c r="F98" s="130">
        <v>8</v>
      </c>
      <c r="G98" s="130">
        <v>8</v>
      </c>
      <c r="H98" s="130">
        <v>8</v>
      </c>
      <c r="I98" s="130">
        <f t="shared" si="5"/>
        <v>4</v>
      </c>
      <c r="J98" s="134">
        <f>C$2+(I98-C98)/(D98-C98)*(D$2-C$2)</f>
        <v>123.33333333333333</v>
      </c>
      <c r="L98" s="130">
        <v>0</v>
      </c>
      <c r="M98" s="130">
        <v>1</v>
      </c>
      <c r="N98" s="130">
        <v>6</v>
      </c>
      <c r="O98" s="134">
        <f t="shared" si="7"/>
        <v>136.80000000000001</v>
      </c>
    </row>
    <row r="99" spans="1:15" x14ac:dyDescent="0.25">
      <c r="A99" s="130" t="s">
        <v>99</v>
      </c>
      <c r="C99" s="130">
        <v>0</v>
      </c>
      <c r="D99" s="130">
        <v>2</v>
      </c>
      <c r="E99" s="130">
        <v>7</v>
      </c>
      <c r="F99" s="130">
        <v>9</v>
      </c>
      <c r="G99" s="130">
        <v>9</v>
      </c>
      <c r="H99" s="130">
        <v>9</v>
      </c>
      <c r="I99" s="130">
        <f t="shared" ref="I99:I130" si="8">H99/2</f>
        <v>4.5</v>
      </c>
      <c r="J99" s="134">
        <f>D$2+(I99-D99)/(E99-D99)*(E$2-D$2)</f>
        <v>126</v>
      </c>
      <c r="L99" s="130">
        <v>0</v>
      </c>
      <c r="M99" s="130">
        <v>2</v>
      </c>
      <c r="N99" s="130">
        <v>7</v>
      </c>
      <c r="O99" s="134">
        <f t="shared" si="7"/>
        <v>136.5</v>
      </c>
    </row>
    <row r="100" spans="1:15" x14ac:dyDescent="0.25">
      <c r="A100" s="130" t="s">
        <v>101</v>
      </c>
      <c r="C100" s="130">
        <v>0</v>
      </c>
      <c r="D100" s="130">
        <v>0</v>
      </c>
      <c r="E100" s="130">
        <v>2</v>
      </c>
      <c r="F100" s="130">
        <v>5</v>
      </c>
      <c r="G100" s="130">
        <v>5</v>
      </c>
      <c r="H100" s="130">
        <v>5</v>
      </c>
      <c r="I100" s="130">
        <f t="shared" si="8"/>
        <v>2.5</v>
      </c>
      <c r="J100" s="134">
        <f>E$2+(I100-E100)/(F100-E100)*(F$2-E$2)</f>
        <v>128.5</v>
      </c>
      <c r="L100" s="130">
        <v>0</v>
      </c>
      <c r="M100" s="130">
        <v>0</v>
      </c>
      <c r="N100" s="130">
        <v>2</v>
      </c>
      <c r="O100" s="134">
        <f t="shared" si="7"/>
        <v>138.75</v>
      </c>
    </row>
    <row r="101" spans="1:15" x14ac:dyDescent="0.25">
      <c r="A101" s="130" t="s">
        <v>103</v>
      </c>
      <c r="C101" s="130">
        <v>0</v>
      </c>
      <c r="D101" s="130">
        <v>1</v>
      </c>
      <c r="E101" s="130">
        <v>8</v>
      </c>
      <c r="F101" s="130">
        <v>9</v>
      </c>
      <c r="G101" s="130">
        <v>9</v>
      </c>
      <c r="H101" s="130">
        <v>9</v>
      </c>
      <c r="I101" s="130">
        <f t="shared" si="8"/>
        <v>4.5</v>
      </c>
      <c r="J101" s="134">
        <f>D$2+(I101-D101)/(E101-D101)*(E$2-D$2)</f>
        <v>126</v>
      </c>
      <c r="L101" s="130">
        <v>0</v>
      </c>
      <c r="M101" s="130">
        <v>2</v>
      </c>
      <c r="N101" s="130">
        <v>6</v>
      </c>
      <c r="O101" s="134">
        <f t="shared" si="7"/>
        <v>136.875</v>
      </c>
    </row>
    <row r="102" spans="1:15" x14ac:dyDescent="0.25">
      <c r="A102" s="130" t="s">
        <v>105</v>
      </c>
      <c r="C102" s="130">
        <v>2</v>
      </c>
      <c r="D102" s="130">
        <v>10</v>
      </c>
      <c r="E102" s="130">
        <v>11</v>
      </c>
      <c r="F102" s="130">
        <v>10</v>
      </c>
      <c r="G102" s="130">
        <v>10</v>
      </c>
      <c r="H102" s="130">
        <v>10</v>
      </c>
      <c r="I102" s="130">
        <f t="shared" si="8"/>
        <v>5</v>
      </c>
      <c r="J102" s="134">
        <f>C$2+(I102-C102)/(D102-C102)*(D$2-C$2)</f>
        <v>122.75</v>
      </c>
      <c r="L102" s="130">
        <v>0</v>
      </c>
      <c r="M102" s="130">
        <v>3</v>
      </c>
      <c r="N102" s="130">
        <v>8</v>
      </c>
      <c r="O102" s="134">
        <f t="shared" si="7"/>
        <v>136.19999999999999</v>
      </c>
    </row>
    <row r="103" spans="1:15" x14ac:dyDescent="0.25">
      <c r="A103" s="130" t="s">
        <v>107</v>
      </c>
      <c r="C103" s="130">
        <v>7</v>
      </c>
      <c r="D103" s="130">
        <v>9</v>
      </c>
      <c r="E103" s="130">
        <v>11</v>
      </c>
      <c r="F103" s="130">
        <v>11</v>
      </c>
      <c r="G103" s="130">
        <v>11</v>
      </c>
      <c r="H103" s="130">
        <v>11</v>
      </c>
      <c r="I103" s="130">
        <f t="shared" si="8"/>
        <v>5.5</v>
      </c>
      <c r="J103" s="134">
        <f>C$2+(I103-C103)/(D103-C103)*(D$2-C$2)</f>
        <v>120.5</v>
      </c>
      <c r="L103" s="130">
        <v>0</v>
      </c>
      <c r="M103" s="130">
        <v>2</v>
      </c>
      <c r="N103" s="130">
        <v>8</v>
      </c>
      <c r="O103" s="134">
        <f t="shared" si="7"/>
        <v>136.75</v>
      </c>
    </row>
    <row r="104" spans="1:15" x14ac:dyDescent="0.25">
      <c r="A104" s="130" t="s">
        <v>109</v>
      </c>
      <c r="C104" s="130">
        <v>0</v>
      </c>
      <c r="D104" s="130">
        <v>9</v>
      </c>
      <c r="E104" s="130">
        <v>13</v>
      </c>
      <c r="F104" s="130">
        <v>12</v>
      </c>
      <c r="G104" s="130">
        <v>12</v>
      </c>
      <c r="H104" s="130">
        <v>12</v>
      </c>
      <c r="I104" s="130">
        <f t="shared" si="8"/>
        <v>6</v>
      </c>
      <c r="J104" s="134">
        <f>C$2+(I104-C104)/(D104-C104)*(D$2-C$2)</f>
        <v>123.33333333333333</v>
      </c>
      <c r="L104" s="130">
        <v>0</v>
      </c>
      <c r="M104" s="130">
        <v>3</v>
      </c>
      <c r="N104" s="130">
        <v>9</v>
      </c>
      <c r="O104" s="134">
        <f t="shared" si="7"/>
        <v>136.5</v>
      </c>
    </row>
    <row r="105" spans="1:15" x14ac:dyDescent="0.25">
      <c r="A105" s="130" t="s">
        <v>111</v>
      </c>
      <c r="C105" s="130">
        <v>0</v>
      </c>
      <c r="D105" s="130">
        <v>2</v>
      </c>
      <c r="E105" s="130">
        <v>6</v>
      </c>
      <c r="F105" s="130">
        <v>7</v>
      </c>
      <c r="G105" s="130">
        <v>7</v>
      </c>
      <c r="H105" s="130">
        <v>7</v>
      </c>
      <c r="I105" s="130">
        <f t="shared" si="8"/>
        <v>3.5</v>
      </c>
      <c r="J105" s="134">
        <f>D$2+(I105-D105)/(E105-D105)*(E$2-D$2)</f>
        <v>125.5</v>
      </c>
      <c r="L105" s="130">
        <v>0</v>
      </c>
      <c r="M105" s="130">
        <v>1</v>
      </c>
      <c r="N105" s="130">
        <v>5</v>
      </c>
      <c r="O105" s="134">
        <f t="shared" si="7"/>
        <v>136.875</v>
      </c>
    </row>
    <row r="106" spans="1:15" x14ac:dyDescent="0.25">
      <c r="A106" s="130" t="s">
        <v>113</v>
      </c>
      <c r="C106" s="130">
        <v>0</v>
      </c>
      <c r="D106" s="130">
        <v>3</v>
      </c>
      <c r="E106" s="130">
        <v>6</v>
      </c>
      <c r="F106" s="130">
        <v>8</v>
      </c>
      <c r="G106" s="130">
        <v>8</v>
      </c>
      <c r="H106" s="130">
        <v>8</v>
      </c>
      <c r="I106" s="130">
        <f t="shared" si="8"/>
        <v>4</v>
      </c>
      <c r="J106" s="134">
        <f>D$2+(I106-D106)/(E106-D106)*(E$2-D$2)</f>
        <v>125.33333333333333</v>
      </c>
      <c r="L106" s="130">
        <v>0</v>
      </c>
      <c r="M106" s="130">
        <v>2</v>
      </c>
      <c r="N106" s="130">
        <v>6</v>
      </c>
      <c r="O106" s="134">
        <f t="shared" si="7"/>
        <v>136.5</v>
      </c>
    </row>
    <row r="107" spans="1:15" x14ac:dyDescent="0.25">
      <c r="A107" s="130" t="s">
        <v>115</v>
      </c>
      <c r="C107" s="130">
        <v>0</v>
      </c>
      <c r="D107" s="130">
        <v>2</v>
      </c>
      <c r="E107" s="130">
        <v>10</v>
      </c>
      <c r="F107" s="130">
        <v>10</v>
      </c>
      <c r="G107" s="130">
        <v>10</v>
      </c>
      <c r="H107" s="130">
        <v>10</v>
      </c>
      <c r="I107" s="130">
        <f t="shared" si="8"/>
        <v>5</v>
      </c>
      <c r="J107" s="134">
        <f>D$2+(I107-D107)/(E107-D107)*(E$2-D$2)</f>
        <v>125.5</v>
      </c>
      <c r="K107" s="134"/>
      <c r="L107" s="130">
        <v>0</v>
      </c>
      <c r="M107" s="130">
        <v>2</v>
      </c>
      <c r="N107" s="130">
        <v>8</v>
      </c>
      <c r="O107" s="134">
        <f t="shared" si="7"/>
        <v>136.5</v>
      </c>
    </row>
    <row r="108" spans="1:15" x14ac:dyDescent="0.25">
      <c r="A108" s="130" t="s">
        <v>145</v>
      </c>
      <c r="C108" s="130">
        <v>2</v>
      </c>
      <c r="D108" s="130">
        <v>6</v>
      </c>
      <c r="E108" s="130">
        <v>7</v>
      </c>
      <c r="F108" s="130">
        <v>9</v>
      </c>
      <c r="G108" s="130">
        <v>9</v>
      </c>
      <c r="H108" s="130">
        <v>9</v>
      </c>
      <c r="I108" s="130">
        <f t="shared" si="8"/>
        <v>4.5</v>
      </c>
      <c r="J108" s="134">
        <f t="shared" ref="J108:J114" si="9">C$2+(I108-C108)/(D108-C108)*(D$2-C$2)</f>
        <v>123.25</v>
      </c>
      <c r="L108" s="130">
        <v>0</v>
      </c>
      <c r="M108" s="130">
        <v>2</v>
      </c>
      <c r="N108" s="130">
        <v>6</v>
      </c>
      <c r="O108" s="134">
        <f t="shared" si="7"/>
        <v>136.875</v>
      </c>
    </row>
    <row r="109" spans="1:15" x14ac:dyDescent="0.25">
      <c r="A109" s="130" t="s">
        <v>143</v>
      </c>
      <c r="C109" s="130">
        <v>2</v>
      </c>
      <c r="D109" s="130">
        <v>5</v>
      </c>
      <c r="E109" s="130">
        <v>7</v>
      </c>
      <c r="F109" s="130">
        <v>7</v>
      </c>
      <c r="G109" s="130">
        <v>7</v>
      </c>
      <c r="H109" s="130">
        <v>7</v>
      </c>
      <c r="I109" s="130">
        <f t="shared" si="8"/>
        <v>3.5</v>
      </c>
      <c r="J109" s="134">
        <f t="shared" si="9"/>
        <v>123</v>
      </c>
      <c r="L109" s="130">
        <v>0</v>
      </c>
      <c r="M109" s="130">
        <v>0</v>
      </c>
      <c r="N109" s="130">
        <v>4</v>
      </c>
      <c r="O109" s="134">
        <f t="shared" si="7"/>
        <v>137.625</v>
      </c>
    </row>
    <row r="110" spans="1:15" x14ac:dyDescent="0.25">
      <c r="A110" s="130" t="s">
        <v>141</v>
      </c>
      <c r="C110" s="130">
        <v>1</v>
      </c>
      <c r="D110" s="130">
        <v>6</v>
      </c>
      <c r="E110" s="130">
        <v>10</v>
      </c>
      <c r="F110" s="130">
        <v>10</v>
      </c>
      <c r="G110" s="130">
        <v>10</v>
      </c>
      <c r="H110" s="130">
        <v>10</v>
      </c>
      <c r="I110" s="130">
        <f t="shared" si="8"/>
        <v>5</v>
      </c>
      <c r="J110" s="134">
        <f t="shared" si="9"/>
        <v>123.6</v>
      </c>
      <c r="L110" s="130">
        <v>0</v>
      </c>
      <c r="M110" s="130">
        <v>2</v>
      </c>
      <c r="N110" s="130">
        <v>8</v>
      </c>
      <c r="O110" s="134">
        <f t="shared" si="7"/>
        <v>136.5</v>
      </c>
    </row>
    <row r="111" spans="1:15" x14ac:dyDescent="0.25">
      <c r="A111" s="130" t="s">
        <v>139</v>
      </c>
      <c r="C111" s="130">
        <v>5</v>
      </c>
      <c r="D111" s="130">
        <v>9</v>
      </c>
      <c r="E111" s="130">
        <v>12</v>
      </c>
      <c r="F111" s="130">
        <v>12</v>
      </c>
      <c r="G111" s="130">
        <v>12</v>
      </c>
      <c r="H111" s="130">
        <v>12</v>
      </c>
      <c r="I111" s="130">
        <f t="shared" si="8"/>
        <v>6</v>
      </c>
      <c r="J111" s="134">
        <f t="shared" si="9"/>
        <v>122.5</v>
      </c>
      <c r="L111" s="130">
        <v>0</v>
      </c>
      <c r="M111" s="130">
        <v>2</v>
      </c>
      <c r="N111" s="130">
        <v>10</v>
      </c>
      <c r="O111" s="134">
        <f t="shared" si="7"/>
        <v>136.5</v>
      </c>
    </row>
    <row r="112" spans="1:15" x14ac:dyDescent="0.25">
      <c r="A112" s="130" t="s">
        <v>137</v>
      </c>
      <c r="C112" s="130">
        <v>6</v>
      </c>
      <c r="D112" s="130">
        <v>10</v>
      </c>
      <c r="E112" s="130">
        <v>11</v>
      </c>
      <c r="F112" s="130">
        <v>11</v>
      </c>
      <c r="G112" s="130">
        <v>11</v>
      </c>
      <c r="H112" s="130">
        <v>11</v>
      </c>
      <c r="I112" s="130">
        <f t="shared" si="8"/>
        <v>5.5</v>
      </c>
      <c r="J112" s="134">
        <f t="shared" si="9"/>
        <v>121.75</v>
      </c>
      <c r="L112" s="130">
        <v>0</v>
      </c>
      <c r="M112" s="130">
        <v>1</v>
      </c>
      <c r="N112" s="130">
        <v>8</v>
      </c>
      <c r="O112" s="134">
        <f t="shared" si="7"/>
        <v>136.92857142857142</v>
      </c>
    </row>
    <row r="113" spans="1:15" x14ac:dyDescent="0.25">
      <c r="A113" s="130" t="s">
        <v>135</v>
      </c>
      <c r="C113" s="130">
        <v>3</v>
      </c>
      <c r="D113" s="130">
        <v>7</v>
      </c>
      <c r="E113" s="130">
        <v>7</v>
      </c>
      <c r="F113" s="130">
        <v>7</v>
      </c>
      <c r="G113" s="130">
        <v>8</v>
      </c>
      <c r="H113" s="130">
        <v>8</v>
      </c>
      <c r="I113" s="130">
        <f t="shared" si="8"/>
        <v>4</v>
      </c>
      <c r="J113" s="134">
        <f t="shared" si="9"/>
        <v>122.5</v>
      </c>
      <c r="L113" s="130">
        <v>0</v>
      </c>
      <c r="M113" s="130">
        <v>1</v>
      </c>
      <c r="N113" s="130">
        <v>5</v>
      </c>
      <c r="O113" s="134">
        <f t="shared" si="7"/>
        <v>137.25</v>
      </c>
    </row>
    <row r="114" spans="1:15" x14ac:dyDescent="0.25">
      <c r="A114" s="130" t="s">
        <v>133</v>
      </c>
      <c r="C114" s="130">
        <v>1</v>
      </c>
      <c r="D114" s="130">
        <v>6</v>
      </c>
      <c r="E114" s="130">
        <v>8</v>
      </c>
      <c r="F114" s="130">
        <v>9</v>
      </c>
      <c r="G114" s="130">
        <v>10</v>
      </c>
      <c r="H114" s="130">
        <v>10</v>
      </c>
      <c r="I114" s="130">
        <f t="shared" si="8"/>
        <v>5</v>
      </c>
      <c r="J114" s="134">
        <f t="shared" si="9"/>
        <v>123.6</v>
      </c>
      <c r="L114" s="130">
        <v>0</v>
      </c>
      <c r="M114" s="130">
        <v>1</v>
      </c>
      <c r="N114" s="130">
        <v>8</v>
      </c>
      <c r="O114" s="134">
        <f t="shared" si="7"/>
        <v>136.71428571428572</v>
      </c>
    </row>
    <row r="115" spans="1:15" x14ac:dyDescent="0.25">
      <c r="A115" s="130" t="s">
        <v>131</v>
      </c>
      <c r="C115" s="130">
        <v>6</v>
      </c>
      <c r="D115" s="130">
        <v>9</v>
      </c>
      <c r="E115" s="130">
        <v>11</v>
      </c>
      <c r="F115" s="130">
        <v>11</v>
      </c>
      <c r="G115" s="130">
        <v>11</v>
      </c>
      <c r="H115" s="130">
        <v>11</v>
      </c>
      <c r="I115" s="130">
        <f t="shared" si="8"/>
        <v>5.5</v>
      </c>
      <c r="J115" s="134">
        <f>C$2+(I115-C115)/(D115-C115)*(C$2-C$2)</f>
        <v>122</v>
      </c>
      <c r="L115" s="130">
        <v>0</v>
      </c>
      <c r="M115" s="130">
        <v>2</v>
      </c>
      <c r="N115" s="130">
        <v>3</v>
      </c>
      <c r="O115" s="134">
        <v>140</v>
      </c>
    </row>
    <row r="116" spans="1:15" x14ac:dyDescent="0.25">
      <c r="A116" s="130" t="s">
        <v>129</v>
      </c>
      <c r="C116" s="130">
        <v>0</v>
      </c>
      <c r="D116" s="130">
        <v>6</v>
      </c>
      <c r="E116" s="130">
        <v>8</v>
      </c>
      <c r="F116" s="130">
        <v>9</v>
      </c>
      <c r="G116" s="130">
        <v>8</v>
      </c>
      <c r="H116" s="130">
        <v>8</v>
      </c>
      <c r="I116" s="130">
        <f t="shared" si="8"/>
        <v>4</v>
      </c>
      <c r="J116" s="134">
        <f t="shared" ref="J116:J123" si="10">C$2+(I116-C116)/(D116-C116)*(D$2-C$2)</f>
        <v>123.33333333333333</v>
      </c>
      <c r="L116" s="130">
        <v>0</v>
      </c>
      <c r="M116" s="130">
        <v>1</v>
      </c>
      <c r="N116" s="130">
        <v>5</v>
      </c>
      <c r="O116" s="134">
        <f>M$2+(I116-M116)/(N116-M116)*(N$2-M$2)</f>
        <v>137.25</v>
      </c>
    </row>
    <row r="117" spans="1:15" x14ac:dyDescent="0.25">
      <c r="A117" s="130" t="s">
        <v>127</v>
      </c>
      <c r="C117" s="130">
        <v>4</v>
      </c>
      <c r="D117" s="130">
        <v>8</v>
      </c>
      <c r="E117" s="130">
        <v>10</v>
      </c>
      <c r="F117" s="130">
        <v>11</v>
      </c>
      <c r="G117" s="130">
        <v>11</v>
      </c>
      <c r="H117" s="130">
        <v>11</v>
      </c>
      <c r="I117" s="130">
        <f t="shared" si="8"/>
        <v>5.5</v>
      </c>
      <c r="J117" s="134">
        <f t="shared" si="10"/>
        <v>122.75</v>
      </c>
      <c r="L117" s="130">
        <v>0</v>
      </c>
      <c r="M117" s="130">
        <v>3</v>
      </c>
      <c r="N117" s="130">
        <v>4</v>
      </c>
      <c r="O117" s="134">
        <v>139</v>
      </c>
    </row>
    <row r="118" spans="1:15" x14ac:dyDescent="0.25">
      <c r="A118" s="130" t="s">
        <v>125</v>
      </c>
      <c r="C118" s="130">
        <v>0</v>
      </c>
      <c r="D118" s="130">
        <v>7</v>
      </c>
      <c r="E118" s="130">
        <v>10</v>
      </c>
      <c r="F118" s="130">
        <v>10</v>
      </c>
      <c r="G118" s="130">
        <v>10</v>
      </c>
      <c r="H118" s="130">
        <v>10</v>
      </c>
      <c r="I118" s="130">
        <f t="shared" si="8"/>
        <v>5</v>
      </c>
      <c r="J118" s="134">
        <f t="shared" si="10"/>
        <v>123.42857142857143</v>
      </c>
      <c r="L118" s="130">
        <v>0</v>
      </c>
      <c r="M118" s="130">
        <v>1</v>
      </c>
      <c r="N118" s="130">
        <v>7</v>
      </c>
      <c r="O118" s="134">
        <f t="shared" ref="O118:O129" si="11">M$2+(I118-M118)/(N118-M118)*(N$2-M$2)</f>
        <v>137</v>
      </c>
    </row>
    <row r="119" spans="1:15" x14ac:dyDescent="0.25">
      <c r="A119" s="130" t="s">
        <v>123</v>
      </c>
      <c r="C119" s="130">
        <v>2</v>
      </c>
      <c r="D119" s="130">
        <v>6</v>
      </c>
      <c r="E119" s="130">
        <v>10</v>
      </c>
      <c r="F119" s="130">
        <v>8</v>
      </c>
      <c r="G119" s="130">
        <v>8</v>
      </c>
      <c r="H119" s="130">
        <v>8</v>
      </c>
      <c r="I119" s="130">
        <f t="shared" si="8"/>
        <v>4</v>
      </c>
      <c r="J119" s="134">
        <f t="shared" si="10"/>
        <v>123</v>
      </c>
      <c r="L119" s="130">
        <v>0</v>
      </c>
      <c r="M119" s="130">
        <v>2</v>
      </c>
      <c r="N119" s="130">
        <v>7</v>
      </c>
      <c r="O119" s="134">
        <f t="shared" si="11"/>
        <v>136.19999999999999</v>
      </c>
    </row>
    <row r="120" spans="1:15" x14ac:dyDescent="0.25">
      <c r="A120" s="130" t="s">
        <v>121</v>
      </c>
      <c r="C120" s="130">
        <v>1</v>
      </c>
      <c r="D120" s="130">
        <v>5</v>
      </c>
      <c r="E120" s="130">
        <v>7</v>
      </c>
      <c r="F120" s="130">
        <v>7</v>
      </c>
      <c r="G120" s="130">
        <v>7</v>
      </c>
      <c r="H120" s="130">
        <v>7</v>
      </c>
      <c r="I120" s="130">
        <f t="shared" si="8"/>
        <v>3.5</v>
      </c>
      <c r="J120" s="134">
        <f t="shared" si="10"/>
        <v>123.25</v>
      </c>
      <c r="L120" s="130">
        <v>0</v>
      </c>
      <c r="M120" s="130">
        <v>1</v>
      </c>
      <c r="N120" s="130">
        <v>5</v>
      </c>
      <c r="O120" s="134">
        <f t="shared" si="11"/>
        <v>136.875</v>
      </c>
    </row>
    <row r="121" spans="1:15" x14ac:dyDescent="0.25">
      <c r="A121" s="130" t="s">
        <v>119</v>
      </c>
      <c r="C121" s="130">
        <v>1</v>
      </c>
      <c r="D121" s="130">
        <v>11</v>
      </c>
      <c r="E121" s="130">
        <v>11</v>
      </c>
      <c r="F121" s="130">
        <v>12</v>
      </c>
      <c r="G121" s="130">
        <v>12</v>
      </c>
      <c r="H121" s="130">
        <v>12</v>
      </c>
      <c r="I121" s="130">
        <f t="shared" si="8"/>
        <v>6</v>
      </c>
      <c r="J121" s="134">
        <f t="shared" si="10"/>
        <v>123</v>
      </c>
      <c r="L121" s="130">
        <v>0</v>
      </c>
      <c r="M121" s="130">
        <v>3</v>
      </c>
      <c r="N121" s="130">
        <v>10</v>
      </c>
      <c r="O121" s="134">
        <f t="shared" si="11"/>
        <v>136.28571428571428</v>
      </c>
    </row>
    <row r="122" spans="1:15" x14ac:dyDescent="0.25">
      <c r="A122" s="130" t="s">
        <v>117</v>
      </c>
      <c r="C122" s="130">
        <v>2</v>
      </c>
      <c r="D122" s="130">
        <v>6</v>
      </c>
      <c r="E122" s="130">
        <v>11</v>
      </c>
      <c r="F122" s="130">
        <v>11</v>
      </c>
      <c r="G122" s="130">
        <v>11</v>
      </c>
      <c r="H122" s="130">
        <v>11</v>
      </c>
      <c r="I122" s="130">
        <f t="shared" si="8"/>
        <v>5.5</v>
      </c>
      <c r="J122" s="134">
        <f t="shared" si="10"/>
        <v>123.75</v>
      </c>
      <c r="K122" s="134"/>
      <c r="L122" s="130">
        <v>0</v>
      </c>
      <c r="M122" s="130">
        <v>3</v>
      </c>
      <c r="N122" s="130">
        <v>9</v>
      </c>
      <c r="O122" s="134">
        <f t="shared" si="11"/>
        <v>136.25</v>
      </c>
    </row>
    <row r="123" spans="1:15" x14ac:dyDescent="0.25">
      <c r="A123" s="130" t="s">
        <v>146</v>
      </c>
      <c r="C123" s="130">
        <v>3</v>
      </c>
      <c r="D123" s="130">
        <v>11</v>
      </c>
      <c r="E123" s="130">
        <v>11</v>
      </c>
      <c r="F123" s="130">
        <v>11</v>
      </c>
      <c r="G123" s="130">
        <v>11</v>
      </c>
      <c r="H123" s="130">
        <v>11</v>
      </c>
      <c r="I123" s="130">
        <f t="shared" si="8"/>
        <v>5.5</v>
      </c>
      <c r="J123" s="134">
        <f t="shared" si="10"/>
        <v>122.625</v>
      </c>
      <c r="L123" s="130">
        <v>0</v>
      </c>
      <c r="M123" s="130">
        <v>4</v>
      </c>
      <c r="N123" s="130">
        <v>9</v>
      </c>
      <c r="O123" s="134">
        <f t="shared" si="11"/>
        <v>135.9</v>
      </c>
    </row>
    <row r="124" spans="1:15" x14ac:dyDescent="0.25">
      <c r="A124" s="130" t="s">
        <v>148</v>
      </c>
      <c r="C124" s="130">
        <v>2</v>
      </c>
      <c r="D124" s="130">
        <v>3</v>
      </c>
      <c r="E124" s="130">
        <v>8</v>
      </c>
      <c r="F124" s="130">
        <v>8</v>
      </c>
      <c r="G124" s="130">
        <v>8</v>
      </c>
      <c r="H124" s="130">
        <v>8</v>
      </c>
      <c r="I124" s="130">
        <f t="shared" si="8"/>
        <v>4</v>
      </c>
      <c r="J124" s="134">
        <f>D$2+(I124-D124)/(E124-D124)*(E$2-D$2)</f>
        <v>124.8</v>
      </c>
      <c r="L124" s="130">
        <v>0</v>
      </c>
      <c r="M124" s="130">
        <v>2</v>
      </c>
      <c r="N124" s="130">
        <v>5</v>
      </c>
      <c r="O124" s="134">
        <f t="shared" si="11"/>
        <v>137</v>
      </c>
    </row>
    <row r="125" spans="1:15" x14ac:dyDescent="0.25">
      <c r="A125" s="130" t="s">
        <v>150</v>
      </c>
      <c r="C125" s="130">
        <v>0</v>
      </c>
      <c r="D125" s="130">
        <v>5</v>
      </c>
      <c r="E125" s="130">
        <v>7</v>
      </c>
      <c r="F125" s="130">
        <v>10</v>
      </c>
      <c r="G125" s="130">
        <v>11</v>
      </c>
      <c r="H125" s="130">
        <v>11</v>
      </c>
      <c r="I125" s="130">
        <f t="shared" si="8"/>
        <v>5.5</v>
      </c>
      <c r="J125" s="134">
        <f>D$2+(I125-D125)/(E125-D125)*(E$2-D$2)</f>
        <v>125</v>
      </c>
      <c r="L125" s="130">
        <v>0</v>
      </c>
      <c r="M125" s="130">
        <v>3</v>
      </c>
      <c r="N125" s="130">
        <v>6</v>
      </c>
      <c r="O125" s="134">
        <f t="shared" si="11"/>
        <v>137.5</v>
      </c>
    </row>
    <row r="126" spans="1:15" x14ac:dyDescent="0.25">
      <c r="A126" s="130" t="s">
        <v>152</v>
      </c>
      <c r="C126" s="130">
        <v>2</v>
      </c>
      <c r="D126" s="130">
        <v>6</v>
      </c>
      <c r="E126" s="130">
        <v>10</v>
      </c>
      <c r="F126" s="130">
        <v>12</v>
      </c>
      <c r="G126" s="130">
        <v>12</v>
      </c>
      <c r="H126" s="130">
        <v>12</v>
      </c>
      <c r="I126" s="130">
        <f t="shared" si="8"/>
        <v>6</v>
      </c>
      <c r="J126" s="134">
        <f>C$2+(I126-C126)/(D126-C126)*(D$2-C$2)</f>
        <v>124</v>
      </c>
      <c r="L126" s="130">
        <v>0</v>
      </c>
      <c r="M126" s="130">
        <v>4</v>
      </c>
      <c r="N126" s="130">
        <v>11</v>
      </c>
      <c r="O126" s="134">
        <f t="shared" si="11"/>
        <v>135.85714285714286</v>
      </c>
    </row>
    <row r="127" spans="1:15" x14ac:dyDescent="0.25">
      <c r="A127" s="130" t="s">
        <v>154</v>
      </c>
      <c r="C127" s="130">
        <v>3</v>
      </c>
      <c r="D127" s="130">
        <v>7</v>
      </c>
      <c r="E127" s="130">
        <v>9</v>
      </c>
      <c r="F127" s="130">
        <v>9</v>
      </c>
      <c r="G127" s="130">
        <v>9</v>
      </c>
      <c r="H127" s="130">
        <v>9</v>
      </c>
      <c r="I127" s="130">
        <f t="shared" si="8"/>
        <v>4.5</v>
      </c>
      <c r="J127" s="134">
        <f>C$2+(I127-C127)/(D127-C127)*(D$2-C$2)</f>
        <v>122.75</v>
      </c>
      <c r="L127" s="130">
        <v>0</v>
      </c>
      <c r="M127" s="130">
        <v>2</v>
      </c>
      <c r="N127" s="130">
        <v>8</v>
      </c>
      <c r="O127" s="134">
        <f t="shared" si="11"/>
        <v>136.25</v>
      </c>
    </row>
    <row r="128" spans="1:15" x14ac:dyDescent="0.25">
      <c r="A128" s="130" t="s">
        <v>156</v>
      </c>
      <c r="C128" s="130">
        <v>2</v>
      </c>
      <c r="D128" s="130">
        <v>4</v>
      </c>
      <c r="E128" s="130">
        <v>8</v>
      </c>
      <c r="F128" s="130">
        <v>8</v>
      </c>
      <c r="G128" s="130">
        <v>8</v>
      </c>
      <c r="H128" s="130">
        <v>8</v>
      </c>
      <c r="I128" s="130">
        <f t="shared" si="8"/>
        <v>4</v>
      </c>
      <c r="J128" s="134">
        <f>C$2+(I128-C128)/(D128-C128)*(D$2-C$2)</f>
        <v>124</v>
      </c>
      <c r="L128" s="130">
        <v>0</v>
      </c>
      <c r="M128" s="130">
        <v>2</v>
      </c>
      <c r="N128" s="130">
        <v>7</v>
      </c>
      <c r="O128" s="134">
        <f t="shared" si="11"/>
        <v>136.19999999999999</v>
      </c>
    </row>
    <row r="129" spans="1:15" x14ac:dyDescent="0.25">
      <c r="A129" s="130" t="s">
        <v>158</v>
      </c>
      <c r="C129" s="130">
        <v>0</v>
      </c>
      <c r="D129" s="130">
        <v>3</v>
      </c>
      <c r="E129" s="130">
        <v>7</v>
      </c>
      <c r="F129" s="130">
        <v>8</v>
      </c>
      <c r="G129" s="130">
        <v>8</v>
      </c>
      <c r="H129" s="130">
        <v>8</v>
      </c>
      <c r="I129" s="130">
        <f t="shared" si="8"/>
        <v>4</v>
      </c>
      <c r="J129" s="134">
        <f>D$2+(I129-D129)/(E129-D129)*(E$2-D$2)</f>
        <v>125</v>
      </c>
      <c r="L129" s="130">
        <v>0</v>
      </c>
      <c r="M129" s="130">
        <v>1</v>
      </c>
      <c r="N129" s="130">
        <v>5</v>
      </c>
      <c r="O129" s="134">
        <f t="shared" si="11"/>
        <v>137.25</v>
      </c>
    </row>
    <row r="130" spans="1:15" x14ac:dyDescent="0.25">
      <c r="A130" s="130" t="s">
        <v>160</v>
      </c>
      <c r="C130" s="130">
        <v>0</v>
      </c>
      <c r="D130" s="130">
        <v>6</v>
      </c>
      <c r="E130" s="130">
        <v>8</v>
      </c>
      <c r="F130" s="130">
        <v>8</v>
      </c>
      <c r="G130" s="130">
        <v>8</v>
      </c>
      <c r="H130" s="130">
        <v>8</v>
      </c>
      <c r="I130" s="130">
        <f t="shared" si="8"/>
        <v>4</v>
      </c>
      <c r="J130" s="134">
        <f>C$2+(I130-C130)/(D130-C130)*(D$2-C$2)</f>
        <v>123.33333333333333</v>
      </c>
      <c r="L130" s="130">
        <v>1</v>
      </c>
      <c r="M130" s="130">
        <v>5</v>
      </c>
      <c r="N130" s="130">
        <v>8</v>
      </c>
      <c r="O130" s="134">
        <f>L$2+(I130-L130)/(M130-L130)*(M$2-L$2)</f>
        <v>134</v>
      </c>
    </row>
    <row r="131" spans="1:15" x14ac:dyDescent="0.25">
      <c r="A131" s="130" t="s">
        <v>162</v>
      </c>
      <c r="C131" s="130">
        <v>2</v>
      </c>
      <c r="D131" s="130">
        <v>7</v>
      </c>
      <c r="E131" s="130">
        <v>9</v>
      </c>
      <c r="F131" s="130">
        <v>11</v>
      </c>
      <c r="G131" s="130">
        <v>10</v>
      </c>
      <c r="H131" s="130">
        <v>10</v>
      </c>
      <c r="I131" s="130">
        <f t="shared" ref="I131:I162" si="12">H131/2</f>
        <v>5</v>
      </c>
      <c r="J131" s="134">
        <f>C$2+(I131-C131)/(D131-C131)*(D$2-C$2)</f>
        <v>123.2</v>
      </c>
      <c r="L131" s="130">
        <v>0</v>
      </c>
      <c r="M131" s="130">
        <v>5</v>
      </c>
      <c r="N131" s="130">
        <v>8</v>
      </c>
      <c r="O131" s="134">
        <f t="shared" ref="O131:O162" si="13">M$2+(I131-M131)/(N131-M131)*(N$2-M$2)</f>
        <v>135</v>
      </c>
    </row>
    <row r="132" spans="1:15" x14ac:dyDescent="0.25">
      <c r="A132" s="130" t="s">
        <v>164</v>
      </c>
      <c r="C132" s="130">
        <v>1</v>
      </c>
      <c r="D132" s="130">
        <v>4</v>
      </c>
      <c r="E132" s="130">
        <v>8</v>
      </c>
      <c r="F132" s="130">
        <v>8</v>
      </c>
      <c r="G132" s="130">
        <v>8</v>
      </c>
      <c r="H132" s="130">
        <v>8</v>
      </c>
      <c r="I132" s="130">
        <f t="shared" si="12"/>
        <v>4</v>
      </c>
      <c r="J132" s="134">
        <f>C$2+(I132-C132)/(D132-C132)*(D$2-C$2)</f>
        <v>124</v>
      </c>
      <c r="L132" s="130">
        <v>0</v>
      </c>
      <c r="M132" s="130">
        <v>3</v>
      </c>
      <c r="N132" s="130">
        <v>7</v>
      </c>
      <c r="O132" s="134">
        <f t="shared" si="13"/>
        <v>135.75</v>
      </c>
    </row>
    <row r="133" spans="1:15" x14ac:dyDescent="0.25">
      <c r="A133" s="130" t="s">
        <v>166</v>
      </c>
      <c r="C133" s="130">
        <v>0</v>
      </c>
      <c r="D133" s="130">
        <v>5</v>
      </c>
      <c r="E133" s="130">
        <v>9</v>
      </c>
      <c r="F133" s="130">
        <v>12</v>
      </c>
      <c r="G133" s="130">
        <v>12</v>
      </c>
      <c r="H133" s="130">
        <v>12</v>
      </c>
      <c r="I133" s="130">
        <f t="shared" si="12"/>
        <v>6</v>
      </c>
      <c r="J133" s="134">
        <f>D$2+(I133-D133)/(E133-D133)*(E$2-D$2)</f>
        <v>125</v>
      </c>
      <c r="L133" s="130">
        <v>0</v>
      </c>
      <c r="M133" s="130">
        <v>4</v>
      </c>
      <c r="N133" s="130">
        <v>10</v>
      </c>
      <c r="O133" s="134">
        <f t="shared" si="13"/>
        <v>136</v>
      </c>
    </row>
    <row r="134" spans="1:15" x14ac:dyDescent="0.25">
      <c r="A134" s="130" t="s">
        <v>168</v>
      </c>
      <c r="C134" s="130">
        <v>2</v>
      </c>
      <c r="D134" s="130">
        <v>5</v>
      </c>
      <c r="E134" s="130">
        <v>9</v>
      </c>
      <c r="F134" s="130">
        <v>9</v>
      </c>
      <c r="G134" s="130">
        <v>9</v>
      </c>
      <c r="H134" s="130">
        <v>9</v>
      </c>
      <c r="I134" s="130">
        <f t="shared" si="12"/>
        <v>4.5</v>
      </c>
      <c r="J134" s="134">
        <f>C$2+(I134-C134)/(D134-C134)*(D$2-C$2)</f>
        <v>123.66666666666667</v>
      </c>
      <c r="L134" s="130">
        <v>0</v>
      </c>
      <c r="M134" s="130">
        <v>3</v>
      </c>
      <c r="N134" s="130">
        <v>7</v>
      </c>
      <c r="O134" s="134">
        <f t="shared" si="13"/>
        <v>136.125</v>
      </c>
    </row>
    <row r="135" spans="1:15" x14ac:dyDescent="0.25">
      <c r="A135" s="130" t="s">
        <v>170</v>
      </c>
      <c r="C135" s="130">
        <v>1</v>
      </c>
      <c r="D135" s="130">
        <v>4</v>
      </c>
      <c r="E135" s="130">
        <v>8</v>
      </c>
      <c r="F135" s="130">
        <v>9</v>
      </c>
      <c r="G135" s="130">
        <v>9</v>
      </c>
      <c r="H135" s="130">
        <v>9</v>
      </c>
      <c r="I135" s="130">
        <f t="shared" si="12"/>
        <v>4.5</v>
      </c>
      <c r="J135" s="134">
        <f>D$2+(I135-D135)/(E135-D135)*(E$2-D$2)</f>
        <v>124.5</v>
      </c>
      <c r="L135" s="130">
        <v>0</v>
      </c>
      <c r="M135" s="130">
        <v>4</v>
      </c>
      <c r="N135" s="130">
        <v>8</v>
      </c>
      <c r="O135" s="134">
        <f t="shared" si="13"/>
        <v>135.375</v>
      </c>
    </row>
    <row r="136" spans="1:15" x14ac:dyDescent="0.25">
      <c r="A136" s="130" t="s">
        <v>172</v>
      </c>
      <c r="C136" s="130">
        <v>0</v>
      </c>
      <c r="D136" s="130">
        <v>5</v>
      </c>
      <c r="E136" s="130">
        <v>8</v>
      </c>
      <c r="F136" s="130">
        <v>8</v>
      </c>
      <c r="G136" s="130">
        <v>10</v>
      </c>
      <c r="H136" s="130">
        <v>10</v>
      </c>
      <c r="I136" s="130">
        <f t="shared" si="12"/>
        <v>5</v>
      </c>
      <c r="J136" s="134">
        <f>C$2+(I136-C136)/(D136-C136)*(D$2-C$2)</f>
        <v>124</v>
      </c>
      <c r="L136" s="130">
        <v>0</v>
      </c>
      <c r="M136" s="130">
        <v>3</v>
      </c>
      <c r="N136" s="130">
        <v>8</v>
      </c>
      <c r="O136" s="134">
        <f t="shared" si="13"/>
        <v>136.19999999999999</v>
      </c>
    </row>
    <row r="137" spans="1:15" x14ac:dyDescent="0.25">
      <c r="A137" s="130" t="s">
        <v>174</v>
      </c>
      <c r="C137" s="130">
        <v>1</v>
      </c>
      <c r="D137" s="130">
        <v>5</v>
      </c>
      <c r="E137" s="130">
        <v>7</v>
      </c>
      <c r="F137" s="130">
        <v>8</v>
      </c>
      <c r="G137" s="130">
        <v>8</v>
      </c>
      <c r="H137" s="130">
        <v>8</v>
      </c>
      <c r="I137" s="130">
        <f t="shared" si="12"/>
        <v>4</v>
      </c>
      <c r="J137" s="134">
        <f>C$2+(I137-C137)/(D137-C137)*(D$2-C$2)</f>
        <v>123.5</v>
      </c>
      <c r="K137" s="134"/>
      <c r="L137" s="130">
        <v>0</v>
      </c>
      <c r="M137" s="130">
        <v>2</v>
      </c>
      <c r="N137" s="130">
        <v>7</v>
      </c>
      <c r="O137" s="134">
        <f t="shared" si="13"/>
        <v>136.19999999999999</v>
      </c>
    </row>
    <row r="138" spans="1:15" x14ac:dyDescent="0.25">
      <c r="A138" s="130" t="s">
        <v>204</v>
      </c>
      <c r="C138" s="130">
        <v>0</v>
      </c>
      <c r="D138" s="130">
        <v>2</v>
      </c>
      <c r="E138" s="130">
        <v>5</v>
      </c>
      <c r="F138" s="130">
        <v>6</v>
      </c>
      <c r="G138" s="130">
        <v>7</v>
      </c>
      <c r="H138" s="130">
        <v>7</v>
      </c>
      <c r="I138" s="130">
        <f t="shared" si="12"/>
        <v>3.5</v>
      </c>
      <c r="J138" s="134">
        <f t="shared" ref="J138:J149" si="14">D$2+(I138-D138)/(E138-D138)*(E$2-D$2)</f>
        <v>126</v>
      </c>
      <c r="L138" s="130">
        <v>0</v>
      </c>
      <c r="M138" s="130">
        <v>1</v>
      </c>
      <c r="N138" s="130">
        <v>6</v>
      </c>
      <c r="O138" s="134">
        <f t="shared" si="13"/>
        <v>136.5</v>
      </c>
    </row>
    <row r="139" spans="1:15" x14ac:dyDescent="0.25">
      <c r="A139" s="130" t="s">
        <v>202</v>
      </c>
      <c r="C139" s="130">
        <v>0</v>
      </c>
      <c r="D139" s="130">
        <v>3</v>
      </c>
      <c r="E139" s="130">
        <v>6</v>
      </c>
      <c r="F139" s="130">
        <v>8</v>
      </c>
      <c r="G139" s="130">
        <v>8</v>
      </c>
      <c r="H139" s="130">
        <v>8</v>
      </c>
      <c r="I139" s="130">
        <f t="shared" si="12"/>
        <v>4</v>
      </c>
      <c r="J139" s="134">
        <f t="shared" si="14"/>
        <v>125.33333333333333</v>
      </c>
      <c r="L139" s="130">
        <v>0</v>
      </c>
      <c r="M139" s="130">
        <v>2</v>
      </c>
      <c r="N139" s="130">
        <v>7</v>
      </c>
      <c r="O139" s="134">
        <f t="shared" si="13"/>
        <v>136.19999999999999</v>
      </c>
    </row>
    <row r="140" spans="1:15" x14ac:dyDescent="0.25">
      <c r="A140" s="130" t="s">
        <v>200</v>
      </c>
      <c r="C140" s="130">
        <v>0</v>
      </c>
      <c r="D140" s="130">
        <v>3</v>
      </c>
      <c r="E140" s="130">
        <v>6</v>
      </c>
      <c r="F140" s="130">
        <v>8</v>
      </c>
      <c r="G140" s="130">
        <v>9</v>
      </c>
      <c r="H140" s="130">
        <v>9</v>
      </c>
      <c r="I140" s="130">
        <f t="shared" si="12"/>
        <v>4.5</v>
      </c>
      <c r="J140" s="134">
        <f t="shared" si="14"/>
        <v>126</v>
      </c>
      <c r="L140" s="130">
        <v>0</v>
      </c>
      <c r="M140" s="130">
        <v>2</v>
      </c>
      <c r="N140" s="130">
        <v>7</v>
      </c>
      <c r="O140" s="134">
        <f t="shared" si="13"/>
        <v>136.5</v>
      </c>
    </row>
    <row r="141" spans="1:15" x14ac:dyDescent="0.25">
      <c r="A141" s="130" t="s">
        <v>198</v>
      </c>
      <c r="C141" s="130">
        <v>0</v>
      </c>
      <c r="D141" s="130">
        <v>1</v>
      </c>
      <c r="E141" s="130">
        <v>6</v>
      </c>
      <c r="F141" s="130">
        <v>7</v>
      </c>
      <c r="G141" s="130">
        <v>7</v>
      </c>
      <c r="H141" s="130">
        <v>7</v>
      </c>
      <c r="I141" s="130">
        <f t="shared" si="12"/>
        <v>3.5</v>
      </c>
      <c r="J141" s="134">
        <f t="shared" si="14"/>
        <v>126</v>
      </c>
      <c r="L141" s="130">
        <v>0</v>
      </c>
      <c r="M141" s="130">
        <v>2</v>
      </c>
      <c r="N141" s="130">
        <v>5</v>
      </c>
      <c r="O141" s="134">
        <f t="shared" si="13"/>
        <v>136.5</v>
      </c>
    </row>
    <row r="142" spans="1:15" x14ac:dyDescent="0.25">
      <c r="A142" s="130" t="s">
        <v>196</v>
      </c>
      <c r="C142" s="130">
        <v>0</v>
      </c>
      <c r="D142" s="130">
        <v>3</v>
      </c>
      <c r="E142" s="130">
        <v>8</v>
      </c>
      <c r="F142" s="130">
        <v>9</v>
      </c>
      <c r="G142" s="130">
        <v>9</v>
      </c>
      <c r="H142" s="130">
        <v>9</v>
      </c>
      <c r="I142" s="130">
        <f t="shared" si="12"/>
        <v>4.5</v>
      </c>
      <c r="J142" s="134">
        <f t="shared" si="14"/>
        <v>125.2</v>
      </c>
      <c r="L142" s="130">
        <v>0</v>
      </c>
      <c r="M142" s="130">
        <v>3</v>
      </c>
      <c r="N142" s="130">
        <v>7</v>
      </c>
      <c r="O142" s="134">
        <f t="shared" si="13"/>
        <v>136.125</v>
      </c>
    </row>
    <row r="143" spans="1:15" x14ac:dyDescent="0.25">
      <c r="A143" s="130" t="s">
        <v>194</v>
      </c>
      <c r="C143" s="130">
        <v>0</v>
      </c>
      <c r="D143" s="130">
        <v>1</v>
      </c>
      <c r="E143" s="130">
        <v>8</v>
      </c>
      <c r="F143" s="130">
        <v>8</v>
      </c>
      <c r="G143" s="130">
        <v>8</v>
      </c>
      <c r="H143" s="130">
        <v>8</v>
      </c>
      <c r="I143" s="130">
        <f t="shared" si="12"/>
        <v>4</v>
      </c>
      <c r="J143" s="134">
        <f t="shared" si="14"/>
        <v>125.71428571428571</v>
      </c>
      <c r="L143" s="130">
        <v>0</v>
      </c>
      <c r="M143" s="130">
        <v>1</v>
      </c>
      <c r="N143" s="130">
        <v>5</v>
      </c>
      <c r="O143" s="134">
        <f t="shared" si="13"/>
        <v>137.25</v>
      </c>
    </row>
    <row r="144" spans="1:15" x14ac:dyDescent="0.25">
      <c r="A144" s="130" t="s">
        <v>192</v>
      </c>
      <c r="C144" s="130">
        <v>0</v>
      </c>
      <c r="D144" s="130">
        <v>0</v>
      </c>
      <c r="E144" s="130">
        <v>2</v>
      </c>
      <c r="F144" s="130">
        <v>3</v>
      </c>
      <c r="G144" s="130">
        <v>3</v>
      </c>
      <c r="H144" s="130">
        <v>3</v>
      </c>
      <c r="I144" s="130">
        <f t="shared" si="12"/>
        <v>1.5</v>
      </c>
      <c r="J144" s="134">
        <f t="shared" si="14"/>
        <v>127</v>
      </c>
      <c r="L144" s="130">
        <v>0</v>
      </c>
      <c r="M144" s="130">
        <v>0</v>
      </c>
      <c r="N144" s="130">
        <v>1</v>
      </c>
      <c r="O144" s="134">
        <f t="shared" si="13"/>
        <v>139.5</v>
      </c>
    </row>
    <row r="145" spans="1:15" x14ac:dyDescent="0.25">
      <c r="A145" s="130" t="s">
        <v>190</v>
      </c>
      <c r="C145" s="130">
        <v>0</v>
      </c>
      <c r="D145" s="130">
        <v>0</v>
      </c>
      <c r="E145" s="130">
        <v>1</v>
      </c>
      <c r="F145" s="130">
        <v>1</v>
      </c>
      <c r="G145" s="130">
        <v>2</v>
      </c>
      <c r="H145" s="130">
        <v>2</v>
      </c>
      <c r="I145" s="130">
        <f t="shared" si="12"/>
        <v>1</v>
      </c>
      <c r="J145" s="134">
        <f t="shared" si="14"/>
        <v>128</v>
      </c>
      <c r="L145" s="130">
        <v>0</v>
      </c>
      <c r="M145" s="130">
        <v>0</v>
      </c>
      <c r="N145" s="130">
        <v>1</v>
      </c>
      <c r="O145" s="134">
        <f t="shared" si="13"/>
        <v>138</v>
      </c>
    </row>
    <row r="146" spans="1:15" x14ac:dyDescent="0.25">
      <c r="A146" s="130" t="s">
        <v>188</v>
      </c>
      <c r="C146" s="130">
        <v>0</v>
      </c>
      <c r="D146" s="130">
        <v>1</v>
      </c>
      <c r="E146" s="130">
        <v>8</v>
      </c>
      <c r="F146" s="130">
        <v>7</v>
      </c>
      <c r="G146" s="130">
        <v>7</v>
      </c>
      <c r="H146" s="130">
        <v>7</v>
      </c>
      <c r="I146" s="130">
        <f t="shared" si="12"/>
        <v>3.5</v>
      </c>
      <c r="J146" s="134">
        <f t="shared" si="14"/>
        <v>125.42857142857143</v>
      </c>
      <c r="L146" s="130">
        <v>0</v>
      </c>
      <c r="M146" s="130">
        <v>2</v>
      </c>
      <c r="N146" s="130">
        <v>7</v>
      </c>
      <c r="O146" s="134">
        <f t="shared" si="13"/>
        <v>135.9</v>
      </c>
    </row>
    <row r="147" spans="1:15" x14ac:dyDescent="0.25">
      <c r="A147" s="130" t="s">
        <v>186</v>
      </c>
      <c r="C147" s="130">
        <v>0</v>
      </c>
      <c r="D147" s="130">
        <v>1</v>
      </c>
      <c r="E147" s="130">
        <v>7</v>
      </c>
      <c r="F147" s="130">
        <v>7</v>
      </c>
      <c r="G147" s="130">
        <v>7</v>
      </c>
      <c r="H147" s="130">
        <v>7</v>
      </c>
      <c r="I147" s="130">
        <f t="shared" si="12"/>
        <v>3.5</v>
      </c>
      <c r="J147" s="134">
        <f t="shared" si="14"/>
        <v>125.66666666666667</v>
      </c>
      <c r="L147" s="130">
        <v>0</v>
      </c>
      <c r="M147" s="130">
        <v>1</v>
      </c>
      <c r="N147" s="130">
        <v>5</v>
      </c>
      <c r="O147" s="134">
        <f t="shared" si="13"/>
        <v>136.875</v>
      </c>
    </row>
    <row r="148" spans="1:15" x14ac:dyDescent="0.25">
      <c r="A148" s="130" t="s">
        <v>184</v>
      </c>
      <c r="C148" s="130">
        <v>0</v>
      </c>
      <c r="D148" s="130">
        <v>4</v>
      </c>
      <c r="E148" s="130">
        <v>9</v>
      </c>
      <c r="F148" s="130">
        <v>9</v>
      </c>
      <c r="G148" s="130">
        <v>9</v>
      </c>
      <c r="H148" s="130">
        <v>9</v>
      </c>
      <c r="I148" s="130">
        <f t="shared" si="12"/>
        <v>4.5</v>
      </c>
      <c r="J148" s="134">
        <f t="shared" si="14"/>
        <v>124.4</v>
      </c>
      <c r="L148" s="130">
        <v>0</v>
      </c>
      <c r="M148" s="130">
        <v>2</v>
      </c>
      <c r="N148" s="130">
        <v>7</v>
      </c>
      <c r="O148" s="134">
        <f t="shared" si="13"/>
        <v>136.5</v>
      </c>
    </row>
    <row r="149" spans="1:15" x14ac:dyDescent="0.25">
      <c r="A149" s="130" t="s">
        <v>182</v>
      </c>
      <c r="C149" s="130">
        <v>0</v>
      </c>
      <c r="D149" s="130">
        <v>5</v>
      </c>
      <c r="E149" s="130">
        <v>10</v>
      </c>
      <c r="F149" s="130">
        <v>12</v>
      </c>
      <c r="G149" s="130">
        <v>12</v>
      </c>
      <c r="H149" s="130">
        <v>12</v>
      </c>
      <c r="I149" s="130">
        <f t="shared" si="12"/>
        <v>6</v>
      </c>
      <c r="J149" s="134">
        <f t="shared" si="14"/>
        <v>124.8</v>
      </c>
      <c r="L149" s="130">
        <v>0</v>
      </c>
      <c r="M149" s="130">
        <v>4</v>
      </c>
      <c r="N149" s="130">
        <v>9</v>
      </c>
      <c r="O149" s="134">
        <f t="shared" si="13"/>
        <v>136.19999999999999</v>
      </c>
    </row>
    <row r="150" spans="1:15" x14ac:dyDescent="0.25">
      <c r="A150" s="130" t="s">
        <v>180</v>
      </c>
      <c r="C150" s="130">
        <v>0</v>
      </c>
      <c r="D150" s="130">
        <v>6</v>
      </c>
      <c r="E150" s="130">
        <v>8</v>
      </c>
      <c r="F150" s="130">
        <v>8</v>
      </c>
      <c r="G150" s="130">
        <v>8</v>
      </c>
      <c r="H150" s="130">
        <v>8</v>
      </c>
      <c r="I150" s="130">
        <f t="shared" si="12"/>
        <v>4</v>
      </c>
      <c r="J150" s="134">
        <f>C$2+(I150-C150)/(D150-C150)*(D$2-C$2)</f>
        <v>123.33333333333333</v>
      </c>
      <c r="L150" s="130">
        <v>0</v>
      </c>
      <c r="M150" s="130">
        <v>1</v>
      </c>
      <c r="N150" s="130">
        <v>5</v>
      </c>
      <c r="O150" s="134">
        <f t="shared" si="13"/>
        <v>137.25</v>
      </c>
    </row>
    <row r="151" spans="1:15" x14ac:dyDescent="0.25">
      <c r="A151" s="130" t="s">
        <v>178</v>
      </c>
      <c r="C151" s="130">
        <v>0</v>
      </c>
      <c r="D151" s="130">
        <v>1</v>
      </c>
      <c r="E151" s="130">
        <v>7</v>
      </c>
      <c r="F151" s="130">
        <v>7</v>
      </c>
      <c r="G151" s="130">
        <v>8</v>
      </c>
      <c r="H151" s="130">
        <v>8</v>
      </c>
      <c r="I151" s="130">
        <f t="shared" si="12"/>
        <v>4</v>
      </c>
      <c r="J151" s="134">
        <f>D$2+(I151-D151)/(E151-D151)*(E$2-D$2)</f>
        <v>126</v>
      </c>
      <c r="L151" s="130">
        <v>0</v>
      </c>
      <c r="M151" s="130">
        <v>2</v>
      </c>
      <c r="N151" s="130">
        <v>7</v>
      </c>
      <c r="O151" s="134">
        <f t="shared" si="13"/>
        <v>136.19999999999999</v>
      </c>
    </row>
    <row r="152" spans="1:15" x14ac:dyDescent="0.25">
      <c r="A152" s="130" t="s">
        <v>176</v>
      </c>
      <c r="C152" s="130">
        <v>0</v>
      </c>
      <c r="D152" s="130">
        <v>1</v>
      </c>
      <c r="E152" s="130">
        <v>7</v>
      </c>
      <c r="F152" s="130">
        <v>7</v>
      </c>
      <c r="G152" s="130">
        <v>9</v>
      </c>
      <c r="H152" s="130">
        <v>9</v>
      </c>
      <c r="I152" s="130">
        <f t="shared" si="12"/>
        <v>4.5</v>
      </c>
      <c r="J152" s="134">
        <f>D$2+(I152-D152)/(E152-D152)*(E$2-D$2)</f>
        <v>126.33333333333333</v>
      </c>
      <c r="K152" s="134"/>
      <c r="L152" s="130">
        <v>0</v>
      </c>
      <c r="M152" s="130">
        <v>2</v>
      </c>
      <c r="N152" s="130">
        <v>8</v>
      </c>
      <c r="O152" s="134">
        <f t="shared" si="13"/>
        <v>136.25</v>
      </c>
    </row>
    <row r="153" spans="1:15" x14ac:dyDescent="0.25">
      <c r="A153" s="130" t="s">
        <v>147</v>
      </c>
      <c r="C153" s="130">
        <v>2</v>
      </c>
      <c r="D153" s="130">
        <v>6</v>
      </c>
      <c r="E153" s="130">
        <v>9</v>
      </c>
      <c r="F153" s="130">
        <v>8</v>
      </c>
      <c r="G153" s="130">
        <v>8</v>
      </c>
      <c r="H153" s="130">
        <v>8</v>
      </c>
      <c r="I153" s="130">
        <f t="shared" si="12"/>
        <v>4</v>
      </c>
      <c r="J153" s="134">
        <f t="shared" ref="J153:J159" si="15">C$2+(I153-C153)/(D153-C153)*(D$2-C$2)</f>
        <v>123</v>
      </c>
      <c r="L153" s="130">
        <v>0</v>
      </c>
      <c r="M153" s="130">
        <v>1</v>
      </c>
      <c r="N153" s="130">
        <v>5</v>
      </c>
      <c r="O153" s="134">
        <f t="shared" si="13"/>
        <v>137.25</v>
      </c>
    </row>
    <row r="154" spans="1:15" x14ac:dyDescent="0.25">
      <c r="A154" s="130" t="s">
        <v>149</v>
      </c>
      <c r="C154" s="130">
        <v>3</v>
      </c>
      <c r="D154" s="130">
        <v>8</v>
      </c>
      <c r="E154" s="130">
        <v>10</v>
      </c>
      <c r="F154" s="130">
        <v>9</v>
      </c>
      <c r="G154" s="130">
        <v>9</v>
      </c>
      <c r="H154" s="130">
        <v>9</v>
      </c>
      <c r="I154" s="130">
        <f t="shared" si="12"/>
        <v>4.5</v>
      </c>
      <c r="J154" s="134">
        <f t="shared" si="15"/>
        <v>122.6</v>
      </c>
      <c r="L154" s="130">
        <v>0</v>
      </c>
      <c r="M154" s="130">
        <v>2</v>
      </c>
      <c r="N154" s="130">
        <v>7</v>
      </c>
      <c r="O154" s="134">
        <f t="shared" si="13"/>
        <v>136.5</v>
      </c>
    </row>
    <row r="155" spans="1:15" x14ac:dyDescent="0.25">
      <c r="A155" s="130" t="s">
        <v>151</v>
      </c>
      <c r="C155" s="130">
        <v>2</v>
      </c>
      <c r="D155" s="130">
        <v>5</v>
      </c>
      <c r="E155" s="130">
        <v>8</v>
      </c>
      <c r="F155" s="130">
        <v>8</v>
      </c>
      <c r="G155" s="130">
        <v>8</v>
      </c>
      <c r="H155" s="130">
        <v>8</v>
      </c>
      <c r="I155" s="130">
        <f t="shared" si="12"/>
        <v>4</v>
      </c>
      <c r="J155" s="134">
        <f t="shared" si="15"/>
        <v>123.33333333333333</v>
      </c>
      <c r="L155" s="130">
        <v>0</v>
      </c>
      <c r="M155" s="130">
        <v>1</v>
      </c>
      <c r="N155" s="130">
        <v>5</v>
      </c>
      <c r="O155" s="134">
        <f t="shared" si="13"/>
        <v>137.25</v>
      </c>
    </row>
    <row r="156" spans="1:15" x14ac:dyDescent="0.25">
      <c r="A156" s="130" t="s">
        <v>153</v>
      </c>
      <c r="C156" s="130">
        <v>2</v>
      </c>
      <c r="D156" s="130">
        <v>9</v>
      </c>
      <c r="E156" s="130">
        <v>10</v>
      </c>
      <c r="F156" s="130">
        <v>10</v>
      </c>
      <c r="G156" s="130">
        <v>10</v>
      </c>
      <c r="H156" s="130">
        <v>10</v>
      </c>
      <c r="I156" s="130">
        <f t="shared" si="12"/>
        <v>5</v>
      </c>
      <c r="J156" s="134">
        <f t="shared" si="15"/>
        <v>122.85714285714286</v>
      </c>
      <c r="L156" s="130">
        <v>0</v>
      </c>
      <c r="M156" s="130">
        <v>2</v>
      </c>
      <c r="N156" s="130">
        <v>8</v>
      </c>
      <c r="O156" s="134">
        <f t="shared" si="13"/>
        <v>136.5</v>
      </c>
    </row>
    <row r="157" spans="1:15" x14ac:dyDescent="0.25">
      <c r="A157" s="130" t="s">
        <v>155</v>
      </c>
      <c r="C157" s="130">
        <v>3</v>
      </c>
      <c r="D157" s="130">
        <v>7</v>
      </c>
      <c r="E157" s="130">
        <v>10</v>
      </c>
      <c r="F157" s="130">
        <v>11</v>
      </c>
      <c r="G157" s="130">
        <v>11</v>
      </c>
      <c r="H157" s="130">
        <v>11</v>
      </c>
      <c r="I157" s="130">
        <f t="shared" si="12"/>
        <v>5.5</v>
      </c>
      <c r="J157" s="134">
        <f t="shared" si="15"/>
        <v>123.25</v>
      </c>
      <c r="L157" s="130">
        <v>0</v>
      </c>
      <c r="M157" s="130">
        <v>3</v>
      </c>
      <c r="N157" s="130">
        <v>10</v>
      </c>
      <c r="O157" s="134">
        <f t="shared" si="13"/>
        <v>136.07142857142858</v>
      </c>
    </row>
    <row r="158" spans="1:15" x14ac:dyDescent="0.25">
      <c r="A158" s="130" t="s">
        <v>157</v>
      </c>
      <c r="C158" s="130">
        <v>1</v>
      </c>
      <c r="D158" s="130">
        <v>4</v>
      </c>
      <c r="E158" s="130">
        <v>6</v>
      </c>
      <c r="F158" s="130">
        <v>6</v>
      </c>
      <c r="G158" s="130">
        <v>6</v>
      </c>
      <c r="H158" s="130">
        <v>6</v>
      </c>
      <c r="I158" s="130">
        <f t="shared" si="12"/>
        <v>3</v>
      </c>
      <c r="J158" s="134">
        <f t="shared" si="15"/>
        <v>123.33333333333333</v>
      </c>
      <c r="L158" s="130">
        <v>0</v>
      </c>
      <c r="M158" s="130">
        <v>1</v>
      </c>
      <c r="N158" s="130">
        <v>5</v>
      </c>
      <c r="O158" s="134">
        <f t="shared" si="13"/>
        <v>136.5</v>
      </c>
    </row>
    <row r="159" spans="1:15" x14ac:dyDescent="0.25">
      <c r="A159" s="130" t="s">
        <v>159</v>
      </c>
      <c r="C159" s="130">
        <v>2</v>
      </c>
      <c r="D159" s="130">
        <v>5</v>
      </c>
      <c r="E159" s="130">
        <v>5</v>
      </c>
      <c r="F159" s="130">
        <v>6</v>
      </c>
      <c r="G159" s="130">
        <v>6</v>
      </c>
      <c r="H159" s="130">
        <v>6</v>
      </c>
      <c r="I159" s="130">
        <f t="shared" si="12"/>
        <v>3</v>
      </c>
      <c r="J159" s="134">
        <f t="shared" si="15"/>
        <v>122.66666666666667</v>
      </c>
      <c r="L159" s="130">
        <v>0</v>
      </c>
      <c r="M159" s="130">
        <v>1</v>
      </c>
      <c r="N159" s="130">
        <v>5</v>
      </c>
      <c r="O159" s="134">
        <f t="shared" si="13"/>
        <v>136.5</v>
      </c>
    </row>
    <row r="160" spans="1:15" x14ac:dyDescent="0.25">
      <c r="A160" s="130" t="s">
        <v>161</v>
      </c>
      <c r="C160" s="130">
        <v>5</v>
      </c>
      <c r="D160" s="130">
        <v>6</v>
      </c>
      <c r="E160" s="130">
        <v>6</v>
      </c>
      <c r="F160" s="130">
        <v>7</v>
      </c>
      <c r="G160" s="130">
        <v>7</v>
      </c>
      <c r="H160" s="130">
        <v>7</v>
      </c>
      <c r="I160" s="130">
        <f t="shared" si="12"/>
        <v>3.5</v>
      </c>
      <c r="J160" s="134">
        <v>120</v>
      </c>
      <c r="L160" s="130">
        <v>0</v>
      </c>
      <c r="M160" s="130">
        <v>2</v>
      </c>
      <c r="N160" s="130">
        <v>5</v>
      </c>
      <c r="O160" s="134">
        <f t="shared" si="13"/>
        <v>136.5</v>
      </c>
    </row>
    <row r="161" spans="1:15" x14ac:dyDescent="0.25">
      <c r="A161" s="130" t="s">
        <v>163</v>
      </c>
      <c r="C161" s="130">
        <v>3</v>
      </c>
      <c r="D161" s="130">
        <v>7</v>
      </c>
      <c r="E161" s="130">
        <v>8</v>
      </c>
      <c r="F161" s="130">
        <v>8</v>
      </c>
      <c r="G161" s="130">
        <v>8</v>
      </c>
      <c r="H161" s="130">
        <v>8</v>
      </c>
      <c r="I161" s="130">
        <f t="shared" si="12"/>
        <v>4</v>
      </c>
      <c r="J161" s="134">
        <f t="shared" ref="J161:J169" si="16">C$2+(I161-C161)/(D161-C161)*(D$2-C$2)</f>
        <v>122.5</v>
      </c>
      <c r="L161" s="130">
        <v>0</v>
      </c>
      <c r="M161" s="130">
        <v>2</v>
      </c>
      <c r="N161" s="130">
        <v>6</v>
      </c>
      <c r="O161" s="134">
        <f t="shared" si="13"/>
        <v>136.5</v>
      </c>
    </row>
    <row r="162" spans="1:15" x14ac:dyDescent="0.25">
      <c r="A162" s="130" t="s">
        <v>165</v>
      </c>
      <c r="C162" s="130">
        <v>3</v>
      </c>
      <c r="D162" s="130">
        <v>8</v>
      </c>
      <c r="E162" s="130">
        <v>8</v>
      </c>
      <c r="F162" s="130">
        <v>9</v>
      </c>
      <c r="G162" s="130">
        <v>9</v>
      </c>
      <c r="H162" s="130">
        <v>9</v>
      </c>
      <c r="I162" s="130">
        <f t="shared" si="12"/>
        <v>4.5</v>
      </c>
      <c r="J162" s="134">
        <f t="shared" si="16"/>
        <v>122.6</v>
      </c>
      <c r="L162" s="130">
        <v>0</v>
      </c>
      <c r="M162" s="130">
        <v>2</v>
      </c>
      <c r="N162" s="130">
        <v>7</v>
      </c>
      <c r="O162" s="134">
        <f t="shared" si="13"/>
        <v>136.5</v>
      </c>
    </row>
    <row r="163" spans="1:15" x14ac:dyDescent="0.25">
      <c r="A163" s="130" t="s">
        <v>167</v>
      </c>
      <c r="C163" s="130">
        <v>1</v>
      </c>
      <c r="D163" s="130">
        <v>4</v>
      </c>
      <c r="E163" s="130">
        <v>7</v>
      </c>
      <c r="F163" s="130">
        <v>7</v>
      </c>
      <c r="G163" s="130">
        <v>7</v>
      </c>
      <c r="H163" s="130">
        <v>7</v>
      </c>
      <c r="I163" s="130">
        <f t="shared" ref="I163:I182" si="17">H163/2</f>
        <v>3.5</v>
      </c>
      <c r="J163" s="134">
        <f t="shared" si="16"/>
        <v>123.66666666666667</v>
      </c>
      <c r="L163" s="130">
        <v>0</v>
      </c>
      <c r="M163" s="130">
        <v>1</v>
      </c>
      <c r="N163" s="130">
        <v>5</v>
      </c>
      <c r="O163" s="134">
        <f t="shared" ref="O163:O182" si="18">M$2+(I163-M163)/(N163-M163)*(N$2-M$2)</f>
        <v>136.875</v>
      </c>
    </row>
    <row r="164" spans="1:15" x14ac:dyDescent="0.25">
      <c r="A164" s="130" t="s">
        <v>169</v>
      </c>
      <c r="C164" s="130">
        <v>3</v>
      </c>
      <c r="D164" s="130">
        <v>8</v>
      </c>
      <c r="E164" s="130">
        <v>10</v>
      </c>
      <c r="F164" s="130">
        <v>10</v>
      </c>
      <c r="G164" s="130">
        <v>10</v>
      </c>
      <c r="H164" s="130">
        <v>10</v>
      </c>
      <c r="I164" s="130">
        <f t="shared" si="17"/>
        <v>5</v>
      </c>
      <c r="J164" s="134">
        <f t="shared" si="16"/>
        <v>122.8</v>
      </c>
      <c r="L164" s="130">
        <v>0</v>
      </c>
      <c r="M164" s="130">
        <v>2</v>
      </c>
      <c r="N164" s="130">
        <v>6</v>
      </c>
      <c r="O164" s="134">
        <f t="shared" si="18"/>
        <v>137.25</v>
      </c>
    </row>
    <row r="165" spans="1:15" x14ac:dyDescent="0.25">
      <c r="A165" s="130" t="s">
        <v>171</v>
      </c>
      <c r="C165" s="130">
        <v>2</v>
      </c>
      <c r="D165" s="130">
        <v>6</v>
      </c>
      <c r="E165" s="130">
        <v>8</v>
      </c>
      <c r="F165" s="130">
        <v>8</v>
      </c>
      <c r="G165" s="130">
        <v>8</v>
      </c>
      <c r="H165" s="130">
        <v>8</v>
      </c>
      <c r="I165" s="130">
        <f t="shared" si="17"/>
        <v>4</v>
      </c>
      <c r="J165" s="134">
        <f t="shared" si="16"/>
        <v>123</v>
      </c>
      <c r="L165" s="130">
        <v>0</v>
      </c>
      <c r="M165" s="130">
        <v>2</v>
      </c>
      <c r="N165" s="130">
        <v>7</v>
      </c>
      <c r="O165" s="134">
        <f t="shared" si="18"/>
        <v>136.19999999999999</v>
      </c>
    </row>
    <row r="166" spans="1:15" x14ac:dyDescent="0.25">
      <c r="A166" s="130" t="s">
        <v>173</v>
      </c>
      <c r="C166" s="130">
        <v>4</v>
      </c>
      <c r="D166" s="130">
        <v>8</v>
      </c>
      <c r="E166" s="130">
        <v>9</v>
      </c>
      <c r="F166" s="130">
        <v>10</v>
      </c>
      <c r="G166" s="130">
        <v>10</v>
      </c>
      <c r="H166" s="130">
        <v>10</v>
      </c>
      <c r="I166" s="130">
        <f t="shared" si="17"/>
        <v>5</v>
      </c>
      <c r="J166" s="134">
        <f t="shared" si="16"/>
        <v>122.5</v>
      </c>
      <c r="L166" s="130">
        <v>0</v>
      </c>
      <c r="M166" s="130">
        <v>3</v>
      </c>
      <c r="N166" s="130">
        <v>9</v>
      </c>
      <c r="O166" s="134">
        <f t="shared" si="18"/>
        <v>136</v>
      </c>
    </row>
    <row r="167" spans="1:15" x14ac:dyDescent="0.25">
      <c r="A167" s="130" t="s">
        <v>175</v>
      </c>
      <c r="C167" s="130">
        <v>3</v>
      </c>
      <c r="D167" s="130">
        <v>7</v>
      </c>
      <c r="E167" s="130">
        <v>8</v>
      </c>
      <c r="F167" s="130">
        <v>8</v>
      </c>
      <c r="G167" s="130">
        <v>8</v>
      </c>
      <c r="H167" s="130">
        <v>8</v>
      </c>
      <c r="I167" s="130">
        <f t="shared" si="17"/>
        <v>4</v>
      </c>
      <c r="J167" s="134">
        <f t="shared" si="16"/>
        <v>122.5</v>
      </c>
      <c r="K167" s="134"/>
      <c r="L167" s="130">
        <v>0</v>
      </c>
      <c r="M167" s="130">
        <v>2</v>
      </c>
      <c r="N167" s="130">
        <v>5</v>
      </c>
      <c r="O167" s="134">
        <f t="shared" si="18"/>
        <v>137</v>
      </c>
    </row>
    <row r="168" spans="1:15" x14ac:dyDescent="0.25">
      <c r="A168" s="130" t="s">
        <v>205</v>
      </c>
      <c r="C168" s="130">
        <v>0</v>
      </c>
      <c r="D168" s="130">
        <v>4</v>
      </c>
      <c r="E168" s="130">
        <v>6</v>
      </c>
      <c r="F168" s="130">
        <v>6</v>
      </c>
      <c r="G168" s="130">
        <v>6</v>
      </c>
      <c r="H168" s="130">
        <v>6</v>
      </c>
      <c r="I168" s="130">
        <f t="shared" si="17"/>
        <v>3</v>
      </c>
      <c r="J168" s="134">
        <f t="shared" si="16"/>
        <v>123.5</v>
      </c>
      <c r="L168" s="130">
        <v>0</v>
      </c>
      <c r="M168" s="130">
        <v>0</v>
      </c>
      <c r="N168" s="130">
        <v>2</v>
      </c>
      <c r="O168" s="134">
        <f t="shared" si="18"/>
        <v>139.5</v>
      </c>
    </row>
    <row r="169" spans="1:15" x14ac:dyDescent="0.25">
      <c r="A169" s="130" t="s">
        <v>203</v>
      </c>
      <c r="C169" s="130">
        <v>1</v>
      </c>
      <c r="D169" s="130">
        <v>5</v>
      </c>
      <c r="E169" s="130">
        <v>7</v>
      </c>
      <c r="F169" s="130">
        <v>7</v>
      </c>
      <c r="G169" s="130">
        <v>7</v>
      </c>
      <c r="H169" s="130">
        <v>7</v>
      </c>
      <c r="I169" s="130">
        <f t="shared" si="17"/>
        <v>3.5</v>
      </c>
      <c r="J169" s="134">
        <f t="shared" si="16"/>
        <v>123.25</v>
      </c>
      <c r="L169" s="130">
        <v>0</v>
      </c>
      <c r="M169" s="130">
        <v>1</v>
      </c>
      <c r="N169" s="130">
        <v>5</v>
      </c>
      <c r="O169" s="134">
        <f t="shared" si="18"/>
        <v>136.875</v>
      </c>
    </row>
    <row r="170" spans="1:15" x14ac:dyDescent="0.25">
      <c r="A170" s="130" t="s">
        <v>201</v>
      </c>
      <c r="C170" s="130">
        <v>0</v>
      </c>
      <c r="D170" s="130">
        <v>3</v>
      </c>
      <c r="E170" s="130">
        <v>9</v>
      </c>
      <c r="F170" s="130">
        <v>10</v>
      </c>
      <c r="G170" s="130">
        <v>10</v>
      </c>
      <c r="H170" s="130">
        <v>10</v>
      </c>
      <c r="I170" s="130">
        <f t="shared" si="17"/>
        <v>5</v>
      </c>
      <c r="J170" s="134">
        <f>D$2+(I170-D170)/(E170-D170)*(E$2-D$2)</f>
        <v>125.33333333333333</v>
      </c>
      <c r="L170" s="130">
        <v>0</v>
      </c>
      <c r="M170" s="130">
        <v>2</v>
      </c>
      <c r="N170" s="130">
        <v>8</v>
      </c>
      <c r="O170" s="134">
        <f t="shared" si="18"/>
        <v>136.5</v>
      </c>
    </row>
    <row r="171" spans="1:15" x14ac:dyDescent="0.25">
      <c r="A171" s="130" t="s">
        <v>199</v>
      </c>
      <c r="C171" s="130">
        <v>1</v>
      </c>
      <c r="D171" s="130">
        <v>7</v>
      </c>
      <c r="E171" s="130">
        <v>9</v>
      </c>
      <c r="F171" s="130">
        <v>9</v>
      </c>
      <c r="G171" s="130">
        <v>10</v>
      </c>
      <c r="H171" s="130">
        <v>10</v>
      </c>
      <c r="I171" s="130">
        <f t="shared" si="17"/>
        <v>5</v>
      </c>
      <c r="J171" s="134">
        <f>C$2+(I171-C171)/(D171-C171)*(D$2-C$2)</f>
        <v>123.33333333333333</v>
      </c>
      <c r="L171" s="130">
        <v>0</v>
      </c>
      <c r="M171" s="130">
        <v>2</v>
      </c>
      <c r="N171" s="130">
        <v>7</v>
      </c>
      <c r="O171" s="134">
        <f t="shared" si="18"/>
        <v>136.80000000000001</v>
      </c>
    </row>
    <row r="172" spans="1:15" x14ac:dyDescent="0.25">
      <c r="A172" s="130" t="s">
        <v>197</v>
      </c>
      <c r="C172" s="130">
        <v>0</v>
      </c>
      <c r="D172" s="130">
        <v>4</v>
      </c>
      <c r="E172" s="130">
        <v>8</v>
      </c>
      <c r="F172" s="130">
        <v>8</v>
      </c>
      <c r="G172" s="130">
        <v>10</v>
      </c>
      <c r="H172" s="130">
        <v>10</v>
      </c>
      <c r="I172" s="130">
        <f t="shared" si="17"/>
        <v>5</v>
      </c>
      <c r="J172" s="134">
        <f>D$2+(I172-D172)/(E172-D172)*(E$2-D$2)</f>
        <v>125</v>
      </c>
      <c r="L172" s="130">
        <v>0</v>
      </c>
      <c r="M172" s="130">
        <v>3</v>
      </c>
      <c r="N172" s="130">
        <v>8</v>
      </c>
      <c r="O172" s="134">
        <f t="shared" si="18"/>
        <v>136.19999999999999</v>
      </c>
    </row>
    <row r="173" spans="1:15" x14ac:dyDescent="0.25">
      <c r="A173" s="130" t="s">
        <v>195</v>
      </c>
      <c r="C173" s="130">
        <v>0</v>
      </c>
      <c r="D173" s="130">
        <v>6</v>
      </c>
      <c r="E173" s="130">
        <v>7</v>
      </c>
      <c r="F173" s="130">
        <v>8</v>
      </c>
      <c r="G173" s="130">
        <v>8</v>
      </c>
      <c r="H173" s="130">
        <v>8</v>
      </c>
      <c r="I173" s="130">
        <f t="shared" si="17"/>
        <v>4</v>
      </c>
      <c r="J173" s="134">
        <f>C$2+(I173-C173)/(D173-C173)*(D$2-C$2)</f>
        <v>123.33333333333333</v>
      </c>
      <c r="L173" s="130">
        <v>0</v>
      </c>
      <c r="M173" s="130">
        <v>2</v>
      </c>
      <c r="N173" s="130">
        <v>6</v>
      </c>
      <c r="O173" s="134">
        <f t="shared" si="18"/>
        <v>136.5</v>
      </c>
    </row>
    <row r="174" spans="1:15" x14ac:dyDescent="0.25">
      <c r="A174" s="130" t="s">
        <v>193</v>
      </c>
      <c r="C174" s="130">
        <v>0</v>
      </c>
      <c r="D174" s="130">
        <v>0</v>
      </c>
      <c r="E174" s="130">
        <v>4</v>
      </c>
      <c r="F174" s="130">
        <v>6</v>
      </c>
      <c r="G174" s="130">
        <v>6</v>
      </c>
      <c r="H174" s="130">
        <v>6</v>
      </c>
      <c r="I174" s="130">
        <f t="shared" si="17"/>
        <v>3</v>
      </c>
      <c r="J174" s="134">
        <f>D$2+(I174-D174)/(E174-D174)*(E$2-D$2)</f>
        <v>127</v>
      </c>
      <c r="L174" s="130">
        <v>0</v>
      </c>
      <c r="M174" s="130">
        <v>1</v>
      </c>
      <c r="N174" s="130">
        <v>5</v>
      </c>
      <c r="O174" s="134">
        <f t="shared" si="18"/>
        <v>136.5</v>
      </c>
    </row>
    <row r="175" spans="1:15" x14ac:dyDescent="0.25">
      <c r="A175" s="130" t="s">
        <v>191</v>
      </c>
      <c r="C175" s="130">
        <v>0</v>
      </c>
      <c r="D175" s="130">
        <v>6</v>
      </c>
      <c r="E175" s="130">
        <v>8</v>
      </c>
      <c r="F175" s="130">
        <v>9</v>
      </c>
      <c r="G175" s="130">
        <v>9</v>
      </c>
      <c r="H175" s="130">
        <v>9</v>
      </c>
      <c r="I175" s="130">
        <f t="shared" si="17"/>
        <v>4.5</v>
      </c>
      <c r="J175" s="134">
        <f>C$2+(I175-C175)/(D175-C175)*(D$2-C$2)</f>
        <v>123.5</v>
      </c>
      <c r="L175" s="130">
        <v>0</v>
      </c>
      <c r="M175" s="130">
        <v>2</v>
      </c>
      <c r="N175" s="130">
        <v>7</v>
      </c>
      <c r="O175" s="134">
        <f t="shared" si="18"/>
        <v>136.5</v>
      </c>
    </row>
    <row r="176" spans="1:15" x14ac:dyDescent="0.25">
      <c r="A176" s="130" t="s">
        <v>189</v>
      </c>
      <c r="C176" s="130">
        <v>0</v>
      </c>
      <c r="D176" s="130">
        <v>5</v>
      </c>
      <c r="E176" s="130">
        <v>11</v>
      </c>
      <c r="F176" s="130">
        <v>12</v>
      </c>
      <c r="G176" s="130">
        <v>12</v>
      </c>
      <c r="H176" s="130">
        <v>12</v>
      </c>
      <c r="I176" s="130">
        <f t="shared" si="17"/>
        <v>6</v>
      </c>
      <c r="J176" s="134">
        <f>D$2+(I176-D176)/(E176-D176)*(E$2-D$2)</f>
        <v>124.66666666666667</v>
      </c>
      <c r="L176" s="130">
        <v>0</v>
      </c>
      <c r="M176" s="130">
        <v>3</v>
      </c>
      <c r="N176" s="130">
        <v>8</v>
      </c>
      <c r="O176" s="134">
        <f t="shared" si="18"/>
        <v>136.80000000000001</v>
      </c>
    </row>
    <row r="177" spans="1:15" x14ac:dyDescent="0.25">
      <c r="A177" s="130" t="s">
        <v>187</v>
      </c>
      <c r="C177" s="130">
        <v>0</v>
      </c>
      <c r="D177" s="130">
        <v>3</v>
      </c>
      <c r="E177" s="130">
        <v>9</v>
      </c>
      <c r="F177" s="130">
        <v>11</v>
      </c>
      <c r="G177" s="130">
        <v>10</v>
      </c>
      <c r="H177" s="130">
        <v>10</v>
      </c>
      <c r="I177" s="130">
        <f t="shared" si="17"/>
        <v>5</v>
      </c>
      <c r="J177" s="134">
        <f>D$2+(I177-D177)/(E177-D177)*(E$2-D$2)</f>
        <v>125.33333333333333</v>
      </c>
      <c r="L177" s="130">
        <v>0</v>
      </c>
      <c r="M177" s="130">
        <v>2</v>
      </c>
      <c r="N177" s="130">
        <v>6</v>
      </c>
      <c r="O177" s="134">
        <f t="shared" si="18"/>
        <v>137.25</v>
      </c>
    </row>
    <row r="178" spans="1:15" x14ac:dyDescent="0.25">
      <c r="A178" s="130" t="s">
        <v>185</v>
      </c>
      <c r="C178" s="130">
        <v>1</v>
      </c>
      <c r="D178" s="130">
        <v>2</v>
      </c>
      <c r="E178" s="130">
        <v>8</v>
      </c>
      <c r="F178" s="130">
        <v>9</v>
      </c>
      <c r="G178" s="130">
        <v>10</v>
      </c>
      <c r="H178" s="130">
        <v>10</v>
      </c>
      <c r="I178" s="130">
        <f t="shared" si="17"/>
        <v>5</v>
      </c>
      <c r="J178" s="134">
        <f>D$2+(I178-D178)/(E178-D178)*(E$2-D$2)</f>
        <v>126</v>
      </c>
      <c r="L178" s="130">
        <v>0</v>
      </c>
      <c r="M178" s="130">
        <v>2</v>
      </c>
      <c r="N178" s="130">
        <v>5</v>
      </c>
      <c r="O178" s="134">
        <f t="shared" si="18"/>
        <v>138</v>
      </c>
    </row>
    <row r="179" spans="1:15" x14ac:dyDescent="0.25">
      <c r="A179" s="130" t="s">
        <v>183</v>
      </c>
      <c r="C179" s="130">
        <v>1</v>
      </c>
      <c r="D179" s="130">
        <v>7</v>
      </c>
      <c r="E179" s="130">
        <v>10</v>
      </c>
      <c r="F179" s="130">
        <v>11</v>
      </c>
      <c r="G179" s="130">
        <v>11</v>
      </c>
      <c r="H179" s="130">
        <v>11</v>
      </c>
      <c r="I179" s="130">
        <f t="shared" si="17"/>
        <v>5.5</v>
      </c>
      <c r="J179" s="134">
        <f>C$2+(I179-C179)/(D179-C179)*(D$2-C$2)</f>
        <v>123.5</v>
      </c>
      <c r="L179" s="130">
        <v>0</v>
      </c>
      <c r="M179" s="130">
        <v>2</v>
      </c>
      <c r="N179" s="130">
        <v>6</v>
      </c>
      <c r="O179" s="134">
        <f t="shared" si="18"/>
        <v>137.625</v>
      </c>
    </row>
    <row r="180" spans="1:15" x14ac:dyDescent="0.25">
      <c r="A180" s="130" t="s">
        <v>181</v>
      </c>
      <c r="C180" s="130">
        <v>1</v>
      </c>
      <c r="D180" s="130">
        <v>8</v>
      </c>
      <c r="E180" s="130">
        <v>11</v>
      </c>
      <c r="F180" s="130">
        <v>11</v>
      </c>
      <c r="G180" s="130">
        <v>11</v>
      </c>
      <c r="H180" s="130">
        <v>11</v>
      </c>
      <c r="I180" s="130">
        <f t="shared" si="17"/>
        <v>5.5</v>
      </c>
      <c r="J180" s="134">
        <f>C$2+(I180-C180)/(D180-C180)*(D$2-C$2)</f>
        <v>123.28571428571429</v>
      </c>
      <c r="L180" s="130">
        <v>0</v>
      </c>
      <c r="M180" s="130">
        <v>3</v>
      </c>
      <c r="N180" s="130">
        <v>7</v>
      </c>
      <c r="O180" s="134">
        <f t="shared" si="18"/>
        <v>136.875</v>
      </c>
    </row>
    <row r="181" spans="1:15" x14ac:dyDescent="0.25">
      <c r="A181" s="130" t="s">
        <v>179</v>
      </c>
      <c r="C181" s="130">
        <v>0</v>
      </c>
      <c r="D181" s="130">
        <v>3</v>
      </c>
      <c r="E181" s="130">
        <v>8</v>
      </c>
      <c r="F181" s="130">
        <v>8</v>
      </c>
      <c r="G181" s="130">
        <v>8</v>
      </c>
      <c r="H181" s="130">
        <v>8</v>
      </c>
      <c r="I181" s="130">
        <f t="shared" si="17"/>
        <v>4</v>
      </c>
      <c r="J181" s="134">
        <f>D$2+(I181-D181)/(E181-D181)*(E$2-D$2)</f>
        <v>124.8</v>
      </c>
      <c r="L181" s="130">
        <v>0</v>
      </c>
      <c r="M181" s="130">
        <v>2</v>
      </c>
      <c r="N181" s="130">
        <v>5</v>
      </c>
      <c r="O181" s="134">
        <f t="shared" si="18"/>
        <v>137</v>
      </c>
    </row>
    <row r="182" spans="1:15" x14ac:dyDescent="0.25">
      <c r="A182" s="130" t="s">
        <v>177</v>
      </c>
      <c r="C182" s="130">
        <v>1</v>
      </c>
      <c r="D182" s="130">
        <v>6</v>
      </c>
      <c r="E182" s="130">
        <v>12</v>
      </c>
      <c r="F182" s="130">
        <v>12</v>
      </c>
      <c r="G182" s="130">
        <v>12</v>
      </c>
      <c r="H182" s="130">
        <v>12</v>
      </c>
      <c r="I182" s="130">
        <f t="shared" si="17"/>
        <v>6</v>
      </c>
      <c r="J182" s="134">
        <f>C$2+(I182-C182)/(D182-C182)*(D$2-C$2)</f>
        <v>124</v>
      </c>
      <c r="K182" s="134"/>
      <c r="L182" s="130">
        <v>0</v>
      </c>
      <c r="M182" s="130">
        <v>4</v>
      </c>
      <c r="N182" s="130">
        <v>10</v>
      </c>
      <c r="O182" s="134">
        <f t="shared" si="18"/>
        <v>136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3674E-0816-4FB0-A64E-4671686D6A10}">
  <dimension ref="A1:J206"/>
  <sheetViews>
    <sheetView topLeftCell="A181" zoomScaleNormal="100" workbookViewId="0">
      <selection activeCell="F195" sqref="F195:F206"/>
    </sheetView>
  </sheetViews>
  <sheetFormatPr defaultRowHeight="15" x14ac:dyDescent="0.25"/>
  <cols>
    <col min="1" max="1" width="17" style="133" customWidth="1"/>
    <col min="2" max="2" width="7" style="132" customWidth="1"/>
    <col min="3" max="8" width="15.7109375" style="130" customWidth="1"/>
    <col min="9" max="16384" width="9.140625" style="130"/>
  </cols>
  <sheetData>
    <row r="1" spans="1:10" ht="22.15" customHeight="1" x14ac:dyDescent="0.35">
      <c r="A1" s="201">
        <v>2023</v>
      </c>
      <c r="B1" s="195"/>
      <c r="D1" s="200" t="s">
        <v>474</v>
      </c>
      <c r="E1" s="200"/>
      <c r="F1" s="200" t="s">
        <v>6</v>
      </c>
    </row>
    <row r="2" spans="1:10" ht="22.15" customHeight="1" x14ac:dyDescent="0.3">
      <c r="A2" s="196"/>
      <c r="B2" s="195"/>
      <c r="C2" s="193"/>
    </row>
    <row r="3" spans="1:10" ht="22.15" customHeight="1" x14ac:dyDescent="0.3">
      <c r="A3" s="196"/>
      <c r="B3" s="193" t="s">
        <v>473</v>
      </c>
      <c r="C3" s="193"/>
    </row>
    <row r="4" spans="1:10" x14ac:dyDescent="0.25">
      <c r="B4" s="192"/>
    </row>
    <row r="5" spans="1:10" x14ac:dyDescent="0.25">
      <c r="A5" s="190"/>
      <c r="B5" s="192" t="s">
        <v>472</v>
      </c>
    </row>
    <row r="6" spans="1:10" x14ac:dyDescent="0.25">
      <c r="A6" s="190"/>
      <c r="B6" s="189"/>
    </row>
    <row r="7" spans="1:10" ht="19.899999999999999" customHeight="1" x14ac:dyDescent="0.25">
      <c r="B7" s="187" t="s">
        <v>18</v>
      </c>
      <c r="C7" s="185">
        <v>45133</v>
      </c>
      <c r="D7" s="185">
        <v>45110</v>
      </c>
      <c r="E7" s="185">
        <v>45120</v>
      </c>
      <c r="F7" s="185"/>
      <c r="G7" s="185"/>
      <c r="H7" s="185"/>
    </row>
    <row r="8" spans="1:10" ht="19.899999999999999" customHeight="1" x14ac:dyDescent="0.25">
      <c r="B8" s="184" t="s">
        <v>20</v>
      </c>
      <c r="C8" s="182">
        <v>177</v>
      </c>
      <c r="D8" s="182">
        <v>184</v>
      </c>
      <c r="E8" s="182">
        <v>194</v>
      </c>
      <c r="F8" s="182"/>
      <c r="G8" s="182"/>
      <c r="H8" s="182"/>
    </row>
    <row r="9" spans="1:10" s="178" customFormat="1" ht="19.899999999999999" customHeight="1" x14ac:dyDescent="0.2">
      <c r="B9" s="181" t="s">
        <v>19</v>
      </c>
      <c r="C9" s="179" t="s">
        <v>216</v>
      </c>
      <c r="D9" s="179" t="s">
        <v>217</v>
      </c>
      <c r="E9" s="179" t="s">
        <v>218</v>
      </c>
      <c r="F9" s="179"/>
      <c r="G9" s="179"/>
      <c r="H9" s="179"/>
    </row>
    <row r="10" spans="1:10" s="131" customFormat="1" ht="8.4499999999999993" customHeight="1" x14ac:dyDescent="0.25">
      <c r="A10" s="174"/>
      <c r="B10" s="173"/>
      <c r="C10" s="177"/>
      <c r="D10" s="175"/>
      <c r="E10" s="175"/>
      <c r="F10" s="175"/>
      <c r="G10" s="175"/>
      <c r="H10" s="176"/>
    </row>
    <row r="11" spans="1:10" s="131" customFormat="1" ht="37.15" customHeight="1" thickBot="1" x14ac:dyDescent="0.3">
      <c r="A11" s="174"/>
      <c r="B11" s="173" t="s">
        <v>7</v>
      </c>
      <c r="C11" s="199" t="s">
        <v>471</v>
      </c>
      <c r="D11" s="199" t="s">
        <v>471</v>
      </c>
      <c r="E11" s="199" t="s">
        <v>471</v>
      </c>
      <c r="F11" s="199" t="s">
        <v>471</v>
      </c>
      <c r="G11" s="199" t="s">
        <v>471</v>
      </c>
      <c r="H11" s="199" t="s">
        <v>471</v>
      </c>
      <c r="J11" s="131" t="s">
        <v>470</v>
      </c>
    </row>
    <row r="12" spans="1:10" ht="24.95" customHeight="1" x14ac:dyDescent="0.25">
      <c r="A12" s="166"/>
      <c r="B12" s="164" t="s">
        <v>27</v>
      </c>
      <c r="C12" s="157">
        <v>2</v>
      </c>
      <c r="D12" s="157">
        <v>7</v>
      </c>
      <c r="E12" s="157">
        <v>10</v>
      </c>
      <c r="F12" s="157"/>
      <c r="G12" s="157"/>
      <c r="H12" s="157"/>
      <c r="J12" s="134">
        <f t="shared" ref="J12:J26" si="0">C$8+(5-C12)/(D12-C12)*(D$8-C$8)</f>
        <v>181.2</v>
      </c>
    </row>
    <row r="13" spans="1:10" ht="24.95" customHeight="1" x14ac:dyDescent="0.25">
      <c r="A13" s="166"/>
      <c r="B13" s="162" t="s">
        <v>29</v>
      </c>
      <c r="C13" s="147">
        <v>1</v>
      </c>
      <c r="D13" s="147">
        <v>6</v>
      </c>
      <c r="E13" s="147">
        <v>10</v>
      </c>
      <c r="F13" s="147"/>
      <c r="G13" s="147"/>
      <c r="H13" s="147"/>
      <c r="J13" s="134">
        <f t="shared" si="0"/>
        <v>182.6</v>
      </c>
    </row>
    <row r="14" spans="1:10" ht="24.95" customHeight="1" x14ac:dyDescent="0.25">
      <c r="A14" s="168"/>
      <c r="B14" s="163" t="s">
        <v>31</v>
      </c>
      <c r="C14" s="147">
        <v>1</v>
      </c>
      <c r="D14" s="147">
        <v>7</v>
      </c>
      <c r="E14" s="147">
        <v>10</v>
      </c>
      <c r="F14" s="147"/>
      <c r="G14" s="147"/>
      <c r="H14" s="147"/>
      <c r="J14" s="134">
        <f t="shared" si="0"/>
        <v>181.66666666666666</v>
      </c>
    </row>
    <row r="15" spans="1:10" ht="24.95" customHeight="1" x14ac:dyDescent="0.25">
      <c r="A15" s="167"/>
      <c r="B15" s="162" t="s">
        <v>33</v>
      </c>
      <c r="C15" s="147">
        <v>0</v>
      </c>
      <c r="D15" s="147">
        <v>7</v>
      </c>
      <c r="E15" s="147">
        <v>10</v>
      </c>
      <c r="F15" s="147"/>
      <c r="G15" s="147"/>
      <c r="H15" s="147"/>
      <c r="J15" s="134">
        <f t="shared" si="0"/>
        <v>182</v>
      </c>
    </row>
    <row r="16" spans="1:10" ht="24.95" customHeight="1" x14ac:dyDescent="0.25">
      <c r="A16" s="167"/>
      <c r="B16" s="163" t="s">
        <v>35</v>
      </c>
      <c r="C16" s="147">
        <v>0</v>
      </c>
      <c r="D16" s="147">
        <v>6</v>
      </c>
      <c r="E16" s="147">
        <v>10</v>
      </c>
      <c r="F16" s="147"/>
      <c r="G16" s="147"/>
      <c r="H16" s="147"/>
      <c r="J16" s="134">
        <f t="shared" si="0"/>
        <v>182.83333333333334</v>
      </c>
    </row>
    <row r="17" spans="1:10" ht="24.95" customHeight="1" x14ac:dyDescent="0.25">
      <c r="A17" s="167"/>
      <c r="B17" s="162" t="s">
        <v>37</v>
      </c>
      <c r="C17" s="147">
        <v>0</v>
      </c>
      <c r="D17" s="147">
        <v>5</v>
      </c>
      <c r="E17" s="147">
        <v>10</v>
      </c>
      <c r="F17" s="147"/>
      <c r="G17" s="147"/>
      <c r="H17" s="147"/>
      <c r="J17" s="134">
        <f t="shared" si="0"/>
        <v>184</v>
      </c>
    </row>
    <row r="18" spans="1:10" ht="24.95" customHeight="1" x14ac:dyDescent="0.25">
      <c r="A18" s="130"/>
      <c r="B18" s="163" t="s">
        <v>39</v>
      </c>
      <c r="C18" s="147">
        <v>0</v>
      </c>
      <c r="D18" s="147">
        <v>5</v>
      </c>
      <c r="E18" s="147">
        <v>10</v>
      </c>
      <c r="F18" s="147"/>
      <c r="G18" s="147"/>
      <c r="H18" s="147"/>
      <c r="J18" s="134">
        <f t="shared" si="0"/>
        <v>184</v>
      </c>
    </row>
    <row r="19" spans="1:10" ht="24.95" customHeight="1" x14ac:dyDescent="0.25">
      <c r="A19" s="167"/>
      <c r="B19" s="162" t="s">
        <v>41</v>
      </c>
      <c r="C19" s="147">
        <v>1</v>
      </c>
      <c r="D19" s="147">
        <v>7</v>
      </c>
      <c r="E19" s="147">
        <v>10</v>
      </c>
      <c r="F19" s="147"/>
      <c r="G19" s="147"/>
      <c r="H19" s="147"/>
      <c r="J19" s="134">
        <f t="shared" si="0"/>
        <v>181.66666666666666</v>
      </c>
    </row>
    <row r="20" spans="1:10" ht="24.95" customHeight="1" x14ac:dyDescent="0.25">
      <c r="A20" s="167"/>
      <c r="B20" s="163" t="s">
        <v>43</v>
      </c>
      <c r="C20" s="147">
        <v>0</v>
      </c>
      <c r="D20" s="147">
        <v>6</v>
      </c>
      <c r="E20" s="147">
        <v>10</v>
      </c>
      <c r="F20" s="147"/>
      <c r="G20" s="147"/>
      <c r="H20" s="147"/>
      <c r="J20" s="134">
        <f t="shared" si="0"/>
        <v>182.83333333333334</v>
      </c>
    </row>
    <row r="21" spans="1:10" ht="24.95" customHeight="1" x14ac:dyDescent="0.25">
      <c r="A21" s="167"/>
      <c r="B21" s="162" t="s">
        <v>45</v>
      </c>
      <c r="C21" s="147">
        <v>0</v>
      </c>
      <c r="D21" s="147">
        <v>7</v>
      </c>
      <c r="E21" s="147">
        <v>10</v>
      </c>
      <c r="F21" s="147"/>
      <c r="G21" s="147"/>
      <c r="H21" s="147"/>
      <c r="J21" s="134">
        <f t="shared" si="0"/>
        <v>182</v>
      </c>
    </row>
    <row r="22" spans="1:10" ht="24.95" customHeight="1" x14ac:dyDescent="0.25">
      <c r="A22" s="167"/>
      <c r="B22" s="163" t="s">
        <v>47</v>
      </c>
      <c r="C22" s="147">
        <v>1</v>
      </c>
      <c r="D22" s="147">
        <v>7</v>
      </c>
      <c r="E22" s="147">
        <v>10</v>
      </c>
      <c r="F22" s="147"/>
      <c r="G22" s="147"/>
      <c r="H22" s="147"/>
      <c r="J22" s="134">
        <f t="shared" si="0"/>
        <v>181.66666666666666</v>
      </c>
    </row>
    <row r="23" spans="1:10" ht="24.95" customHeight="1" x14ac:dyDescent="0.25">
      <c r="A23" s="167"/>
      <c r="B23" s="162" t="s">
        <v>49</v>
      </c>
      <c r="C23" s="147">
        <v>1</v>
      </c>
      <c r="D23" s="147">
        <v>7</v>
      </c>
      <c r="E23" s="147">
        <v>10</v>
      </c>
      <c r="F23" s="147"/>
      <c r="G23" s="147"/>
      <c r="H23" s="147"/>
      <c r="J23" s="134">
        <f t="shared" si="0"/>
        <v>181.66666666666666</v>
      </c>
    </row>
    <row r="24" spans="1:10" ht="24.95" customHeight="1" x14ac:dyDescent="0.25">
      <c r="A24" s="167"/>
      <c r="B24" s="163" t="s">
        <v>51</v>
      </c>
      <c r="C24" s="147">
        <v>0</v>
      </c>
      <c r="D24" s="147">
        <v>6</v>
      </c>
      <c r="E24" s="147">
        <v>10</v>
      </c>
      <c r="F24" s="147"/>
      <c r="G24" s="147"/>
      <c r="H24" s="147"/>
      <c r="J24" s="134">
        <f t="shared" si="0"/>
        <v>182.83333333333334</v>
      </c>
    </row>
    <row r="25" spans="1:10" ht="24.95" customHeight="1" x14ac:dyDescent="0.25">
      <c r="A25" s="167"/>
      <c r="B25" s="162" t="s">
        <v>53</v>
      </c>
      <c r="C25" s="147">
        <v>0</v>
      </c>
      <c r="D25" s="147">
        <v>6</v>
      </c>
      <c r="E25" s="147">
        <v>10</v>
      </c>
      <c r="F25" s="147"/>
      <c r="G25" s="147"/>
      <c r="H25" s="147"/>
      <c r="J25" s="134">
        <f t="shared" si="0"/>
        <v>182.83333333333334</v>
      </c>
    </row>
    <row r="26" spans="1:10" ht="24.95" customHeight="1" thickBot="1" x14ac:dyDescent="0.3">
      <c r="A26" s="130"/>
      <c r="B26" s="161" t="s">
        <v>55</v>
      </c>
      <c r="C26" s="140">
        <v>1</v>
      </c>
      <c r="D26" s="140">
        <v>7</v>
      </c>
      <c r="E26" s="140">
        <v>10</v>
      </c>
      <c r="F26" s="140"/>
      <c r="G26" s="140"/>
      <c r="H26" s="140"/>
      <c r="J26" s="134">
        <f t="shared" si="0"/>
        <v>181.66666666666666</v>
      </c>
    </row>
    <row r="27" spans="1:10" ht="24.95" customHeight="1" x14ac:dyDescent="0.25">
      <c r="A27" s="166"/>
      <c r="B27" s="160" t="s">
        <v>56</v>
      </c>
      <c r="C27" s="157">
        <v>0</v>
      </c>
      <c r="D27" s="157">
        <v>4</v>
      </c>
      <c r="E27" s="157">
        <v>8</v>
      </c>
      <c r="F27" s="157"/>
      <c r="G27" s="157"/>
      <c r="H27" s="157"/>
      <c r="J27" s="134">
        <f>D$8+(5-D27)/(E27-D27)*(E$8-D$8)</f>
        <v>186.5</v>
      </c>
    </row>
    <row r="28" spans="1:10" ht="24.95" customHeight="1" x14ac:dyDescent="0.25">
      <c r="A28" s="166"/>
      <c r="B28" s="151" t="s">
        <v>58</v>
      </c>
      <c r="C28" s="147">
        <v>1</v>
      </c>
      <c r="D28" s="147">
        <v>7</v>
      </c>
      <c r="E28" s="147">
        <v>10</v>
      </c>
      <c r="F28" s="147"/>
      <c r="G28" s="147"/>
      <c r="H28" s="147"/>
      <c r="J28" s="134">
        <f>C$8+(5-C28)/(D28-C28)*(D$8-C$8)</f>
        <v>181.66666666666666</v>
      </c>
    </row>
    <row r="29" spans="1:10" ht="24.95" customHeight="1" x14ac:dyDescent="0.25">
      <c r="A29" s="166"/>
      <c r="B29" s="152" t="s">
        <v>60</v>
      </c>
      <c r="C29" s="147">
        <v>1</v>
      </c>
      <c r="D29" s="147">
        <v>6</v>
      </c>
      <c r="E29" s="147">
        <v>10</v>
      </c>
      <c r="F29" s="147"/>
      <c r="G29" s="147"/>
      <c r="H29" s="147"/>
      <c r="J29" s="134">
        <f>C$8+(5-C29)/(D29-C29)*(D$8-C$8)</f>
        <v>182.6</v>
      </c>
    </row>
    <row r="30" spans="1:10" ht="24.95" customHeight="1" x14ac:dyDescent="0.25">
      <c r="A30" s="168"/>
      <c r="B30" s="151" t="s">
        <v>62</v>
      </c>
      <c r="C30" s="147">
        <v>0</v>
      </c>
      <c r="D30" s="147">
        <v>5</v>
      </c>
      <c r="E30" s="147">
        <v>10</v>
      </c>
      <c r="F30" s="147"/>
      <c r="G30" s="147"/>
      <c r="H30" s="147"/>
      <c r="J30" s="134">
        <f>C$8+(5-C30)/(D30-C30)*(D$8-C$8)</f>
        <v>184</v>
      </c>
    </row>
    <row r="31" spans="1:10" ht="24.95" customHeight="1" x14ac:dyDescent="0.25">
      <c r="A31" s="167"/>
      <c r="B31" s="152" t="s">
        <v>64</v>
      </c>
      <c r="C31" s="147">
        <v>0</v>
      </c>
      <c r="D31" s="147">
        <v>5</v>
      </c>
      <c r="E31" s="147">
        <v>10</v>
      </c>
      <c r="F31" s="147"/>
      <c r="G31" s="147"/>
      <c r="H31" s="147"/>
      <c r="J31" s="134">
        <f>C$8+(5-C31)/(D31-C31)*(D$8-C$8)</f>
        <v>184</v>
      </c>
    </row>
    <row r="32" spans="1:10" ht="24.95" customHeight="1" x14ac:dyDescent="0.25">
      <c r="A32" s="167"/>
      <c r="B32" s="151" t="s">
        <v>66</v>
      </c>
      <c r="C32" s="147">
        <v>0</v>
      </c>
      <c r="D32" s="147">
        <v>4</v>
      </c>
      <c r="E32" s="147">
        <v>9</v>
      </c>
      <c r="F32" s="147"/>
      <c r="G32" s="147"/>
      <c r="H32" s="147"/>
      <c r="J32" s="134">
        <f>D$8+(5-D32)/(E32-D32)*(E$8-D$8)</f>
        <v>186</v>
      </c>
    </row>
    <row r="33" spans="1:10" ht="24.95" customHeight="1" x14ac:dyDescent="0.25">
      <c r="A33" s="167"/>
      <c r="B33" s="152" t="s">
        <v>68</v>
      </c>
      <c r="C33" s="147">
        <v>1</v>
      </c>
      <c r="D33" s="147">
        <v>7</v>
      </c>
      <c r="E33" s="147">
        <v>10</v>
      </c>
      <c r="F33" s="147"/>
      <c r="G33" s="147"/>
      <c r="H33" s="147"/>
      <c r="J33" s="134">
        <f t="shared" ref="J33:J64" si="1">C$8+(5-C33)/(D33-C33)*(D$8-C$8)</f>
        <v>181.66666666666666</v>
      </c>
    </row>
    <row r="34" spans="1:10" ht="24.95" customHeight="1" x14ac:dyDescent="0.25">
      <c r="A34" s="167"/>
      <c r="B34" s="151" t="s">
        <v>70</v>
      </c>
      <c r="C34" s="147">
        <v>0</v>
      </c>
      <c r="D34" s="147">
        <v>6</v>
      </c>
      <c r="E34" s="147">
        <v>10</v>
      </c>
      <c r="F34" s="147"/>
      <c r="G34" s="147"/>
      <c r="H34" s="147"/>
      <c r="J34" s="134">
        <f t="shared" si="1"/>
        <v>182.83333333333334</v>
      </c>
    </row>
    <row r="35" spans="1:10" ht="24.95" customHeight="1" x14ac:dyDescent="0.25">
      <c r="A35" s="167"/>
      <c r="B35" s="152" t="s">
        <v>72</v>
      </c>
      <c r="C35" s="147">
        <v>0</v>
      </c>
      <c r="D35" s="147">
        <v>6</v>
      </c>
      <c r="E35" s="147">
        <v>10</v>
      </c>
      <c r="F35" s="147"/>
      <c r="G35" s="147"/>
      <c r="H35" s="147"/>
      <c r="J35" s="134">
        <f t="shared" si="1"/>
        <v>182.83333333333334</v>
      </c>
    </row>
    <row r="36" spans="1:10" ht="24.95" customHeight="1" x14ac:dyDescent="0.25">
      <c r="A36" s="167"/>
      <c r="B36" s="151" t="s">
        <v>74</v>
      </c>
      <c r="C36" s="147">
        <v>0</v>
      </c>
      <c r="D36" s="147">
        <v>5</v>
      </c>
      <c r="E36" s="147">
        <v>10</v>
      </c>
      <c r="F36" s="147"/>
      <c r="G36" s="147"/>
      <c r="H36" s="147"/>
      <c r="J36" s="134">
        <f t="shared" si="1"/>
        <v>184</v>
      </c>
    </row>
    <row r="37" spans="1:10" ht="24.95" customHeight="1" x14ac:dyDescent="0.25">
      <c r="A37" s="167"/>
      <c r="B37" s="152" t="s">
        <v>76</v>
      </c>
      <c r="C37" s="147">
        <v>0</v>
      </c>
      <c r="D37" s="147">
        <v>5</v>
      </c>
      <c r="E37" s="147">
        <v>9</v>
      </c>
      <c r="F37" s="147"/>
      <c r="G37" s="147"/>
      <c r="H37" s="147"/>
      <c r="J37" s="134">
        <f t="shared" si="1"/>
        <v>184</v>
      </c>
    </row>
    <row r="38" spans="1:10" ht="24.95" customHeight="1" x14ac:dyDescent="0.25">
      <c r="A38" s="167"/>
      <c r="B38" s="151" t="s">
        <v>78</v>
      </c>
      <c r="C38" s="147">
        <v>0</v>
      </c>
      <c r="D38" s="147">
        <v>6</v>
      </c>
      <c r="E38" s="147">
        <v>10</v>
      </c>
      <c r="F38" s="147"/>
      <c r="G38" s="147"/>
      <c r="H38" s="147"/>
      <c r="J38" s="134">
        <f t="shared" si="1"/>
        <v>182.83333333333334</v>
      </c>
    </row>
    <row r="39" spans="1:10" ht="24.95" customHeight="1" x14ac:dyDescent="0.25">
      <c r="A39" s="167"/>
      <c r="B39" s="152" t="s">
        <v>80</v>
      </c>
      <c r="C39" s="147">
        <v>0</v>
      </c>
      <c r="D39" s="147">
        <v>6</v>
      </c>
      <c r="E39" s="147">
        <v>10</v>
      </c>
      <c r="F39" s="147"/>
      <c r="G39" s="147"/>
      <c r="H39" s="147"/>
      <c r="J39" s="134">
        <f t="shared" si="1"/>
        <v>182.83333333333334</v>
      </c>
    </row>
    <row r="40" spans="1:10" ht="24.95" customHeight="1" x14ac:dyDescent="0.25">
      <c r="A40" s="167"/>
      <c r="B40" s="151" t="s">
        <v>82</v>
      </c>
      <c r="C40" s="147">
        <v>0</v>
      </c>
      <c r="D40" s="147">
        <v>6</v>
      </c>
      <c r="E40" s="147">
        <v>10</v>
      </c>
      <c r="F40" s="147"/>
      <c r="G40" s="147"/>
      <c r="H40" s="147"/>
      <c r="J40" s="134">
        <f t="shared" si="1"/>
        <v>182.83333333333334</v>
      </c>
    </row>
    <row r="41" spans="1:10" ht="24.95" customHeight="1" thickBot="1" x14ac:dyDescent="0.3">
      <c r="A41" s="167"/>
      <c r="B41" s="144" t="s">
        <v>84</v>
      </c>
      <c r="C41" s="140">
        <v>1</v>
      </c>
      <c r="D41" s="140">
        <v>7</v>
      </c>
      <c r="E41" s="140">
        <v>10</v>
      </c>
      <c r="F41" s="140"/>
      <c r="G41" s="140"/>
      <c r="H41" s="140"/>
      <c r="J41" s="134">
        <f t="shared" si="1"/>
        <v>181.66666666666666</v>
      </c>
    </row>
    <row r="42" spans="1:10" ht="24.95" customHeight="1" x14ac:dyDescent="0.25">
      <c r="A42" s="130"/>
      <c r="B42" s="164" t="s">
        <v>28</v>
      </c>
      <c r="C42" s="157">
        <v>0</v>
      </c>
      <c r="D42" s="157">
        <v>6</v>
      </c>
      <c r="E42" s="157">
        <v>10</v>
      </c>
      <c r="F42" s="157"/>
      <c r="G42" s="157"/>
      <c r="H42" s="157"/>
      <c r="J42" s="134">
        <f t="shared" si="1"/>
        <v>182.83333333333334</v>
      </c>
    </row>
    <row r="43" spans="1:10" ht="24.95" customHeight="1" x14ac:dyDescent="0.25">
      <c r="A43" s="166"/>
      <c r="B43" s="162" t="s">
        <v>30</v>
      </c>
      <c r="C43" s="147">
        <v>0</v>
      </c>
      <c r="D43" s="147">
        <v>5</v>
      </c>
      <c r="E43" s="147">
        <v>10</v>
      </c>
      <c r="F43" s="147"/>
      <c r="G43" s="147"/>
      <c r="H43" s="147"/>
      <c r="J43" s="134">
        <f t="shared" si="1"/>
        <v>184</v>
      </c>
    </row>
    <row r="44" spans="1:10" ht="24.95" customHeight="1" x14ac:dyDescent="0.25">
      <c r="A44" s="166"/>
      <c r="B44" s="163" t="s">
        <v>32</v>
      </c>
      <c r="C44" s="147">
        <v>1</v>
      </c>
      <c r="D44" s="147">
        <v>7</v>
      </c>
      <c r="E44" s="147">
        <v>10</v>
      </c>
      <c r="F44" s="147"/>
      <c r="G44" s="147"/>
      <c r="H44" s="147"/>
      <c r="J44" s="134">
        <f t="shared" si="1"/>
        <v>181.66666666666666</v>
      </c>
    </row>
    <row r="45" spans="1:10" ht="24.95" customHeight="1" x14ac:dyDescent="0.25">
      <c r="A45" s="166"/>
      <c r="B45" s="162" t="s">
        <v>34</v>
      </c>
      <c r="C45" s="147">
        <v>0</v>
      </c>
      <c r="D45" s="147">
        <v>6</v>
      </c>
      <c r="E45" s="147">
        <v>10</v>
      </c>
      <c r="F45" s="147"/>
      <c r="G45" s="147"/>
      <c r="H45" s="147"/>
      <c r="J45" s="134">
        <f t="shared" si="1"/>
        <v>182.83333333333334</v>
      </c>
    </row>
    <row r="46" spans="1:10" ht="24.95" customHeight="1" x14ac:dyDescent="0.25">
      <c r="A46" s="168"/>
      <c r="B46" s="163" t="s">
        <v>36</v>
      </c>
      <c r="C46" s="147">
        <v>0</v>
      </c>
      <c r="D46" s="147">
        <v>6</v>
      </c>
      <c r="E46" s="147">
        <v>10</v>
      </c>
      <c r="F46" s="147"/>
      <c r="G46" s="147"/>
      <c r="H46" s="147"/>
      <c r="J46" s="134">
        <f t="shared" si="1"/>
        <v>182.83333333333334</v>
      </c>
    </row>
    <row r="47" spans="1:10" ht="24.95" customHeight="1" x14ac:dyDescent="0.25">
      <c r="A47" s="167"/>
      <c r="B47" s="162" t="s">
        <v>38</v>
      </c>
      <c r="C47" s="147">
        <v>0</v>
      </c>
      <c r="D47" s="147">
        <v>6</v>
      </c>
      <c r="E47" s="147">
        <v>10</v>
      </c>
      <c r="F47" s="147"/>
      <c r="G47" s="147"/>
      <c r="H47" s="147"/>
      <c r="J47" s="134">
        <f t="shared" si="1"/>
        <v>182.83333333333334</v>
      </c>
    </row>
    <row r="48" spans="1:10" ht="24.95" customHeight="1" x14ac:dyDescent="0.25">
      <c r="A48" s="167"/>
      <c r="B48" s="163" t="s">
        <v>40</v>
      </c>
      <c r="C48" s="147">
        <v>0</v>
      </c>
      <c r="D48" s="147">
        <v>6</v>
      </c>
      <c r="E48" s="147">
        <v>10</v>
      </c>
      <c r="F48" s="147"/>
      <c r="G48" s="147"/>
      <c r="H48" s="147"/>
      <c r="J48" s="134">
        <f t="shared" si="1"/>
        <v>182.83333333333334</v>
      </c>
    </row>
    <row r="49" spans="1:10" ht="24.95" customHeight="1" x14ac:dyDescent="0.25">
      <c r="A49" s="167"/>
      <c r="B49" s="162" t="s">
        <v>42</v>
      </c>
      <c r="C49" s="147">
        <v>0</v>
      </c>
      <c r="D49" s="147">
        <v>6</v>
      </c>
      <c r="E49" s="147">
        <v>10</v>
      </c>
      <c r="F49" s="147"/>
      <c r="G49" s="147"/>
      <c r="H49" s="147"/>
      <c r="J49" s="134">
        <f t="shared" si="1"/>
        <v>182.83333333333334</v>
      </c>
    </row>
    <row r="50" spans="1:10" ht="24.95" customHeight="1" x14ac:dyDescent="0.25">
      <c r="B50" s="163" t="s">
        <v>44</v>
      </c>
      <c r="C50" s="147">
        <v>0</v>
      </c>
      <c r="D50" s="147">
        <v>7</v>
      </c>
      <c r="E50" s="147">
        <v>10</v>
      </c>
      <c r="F50" s="147"/>
      <c r="G50" s="147"/>
      <c r="H50" s="147"/>
      <c r="J50" s="134">
        <f t="shared" si="1"/>
        <v>182</v>
      </c>
    </row>
    <row r="51" spans="1:10" ht="24.95" customHeight="1" x14ac:dyDescent="0.25">
      <c r="A51" s="167"/>
      <c r="B51" s="162" t="s">
        <v>46</v>
      </c>
      <c r="C51" s="147">
        <v>1</v>
      </c>
      <c r="D51" s="147">
        <v>7</v>
      </c>
      <c r="E51" s="147">
        <v>10</v>
      </c>
      <c r="F51" s="147"/>
      <c r="G51" s="147"/>
      <c r="H51" s="147"/>
      <c r="J51" s="134">
        <f t="shared" si="1"/>
        <v>181.66666666666666</v>
      </c>
    </row>
    <row r="52" spans="1:10" ht="24.95" customHeight="1" x14ac:dyDescent="0.25">
      <c r="A52" s="167"/>
      <c r="B52" s="163" t="s">
        <v>48</v>
      </c>
      <c r="C52" s="147">
        <v>0</v>
      </c>
      <c r="D52" s="147">
        <v>5</v>
      </c>
      <c r="E52" s="147">
        <v>9</v>
      </c>
      <c r="F52" s="147"/>
      <c r="G52" s="147"/>
      <c r="H52" s="147"/>
      <c r="J52" s="134">
        <f t="shared" si="1"/>
        <v>184</v>
      </c>
    </row>
    <row r="53" spans="1:10" ht="24.95" customHeight="1" x14ac:dyDescent="0.25">
      <c r="A53" s="167"/>
      <c r="B53" s="162" t="s">
        <v>50</v>
      </c>
      <c r="C53" s="147">
        <v>0</v>
      </c>
      <c r="D53" s="147">
        <v>5</v>
      </c>
      <c r="E53" s="147">
        <v>9</v>
      </c>
      <c r="F53" s="147"/>
      <c r="G53" s="147"/>
      <c r="H53" s="147"/>
      <c r="J53" s="134">
        <f t="shared" si="1"/>
        <v>184</v>
      </c>
    </row>
    <row r="54" spans="1:10" ht="24.95" customHeight="1" x14ac:dyDescent="0.25">
      <c r="A54" s="167"/>
      <c r="B54" s="163" t="s">
        <v>52</v>
      </c>
      <c r="C54" s="147">
        <v>0</v>
      </c>
      <c r="D54" s="147">
        <v>6</v>
      </c>
      <c r="E54" s="147">
        <v>10</v>
      </c>
      <c r="F54" s="147"/>
      <c r="G54" s="147"/>
      <c r="H54" s="147"/>
      <c r="J54" s="134">
        <f t="shared" si="1"/>
        <v>182.83333333333334</v>
      </c>
    </row>
    <row r="55" spans="1:10" ht="24.95" customHeight="1" x14ac:dyDescent="0.25">
      <c r="A55" s="167"/>
      <c r="B55" s="162" t="s">
        <v>54</v>
      </c>
      <c r="C55" s="147">
        <v>0</v>
      </c>
      <c r="D55" s="147">
        <v>5</v>
      </c>
      <c r="E55" s="147">
        <v>10</v>
      </c>
      <c r="F55" s="147"/>
      <c r="G55" s="147"/>
      <c r="H55" s="147"/>
      <c r="J55" s="134">
        <f t="shared" si="1"/>
        <v>184</v>
      </c>
    </row>
    <row r="56" spans="1:10" ht="24.95" customHeight="1" thickBot="1" x14ac:dyDescent="0.3">
      <c r="A56" s="167"/>
      <c r="B56" s="161" t="s">
        <v>55</v>
      </c>
      <c r="C56" s="140">
        <v>1</v>
      </c>
      <c r="D56" s="140">
        <v>6</v>
      </c>
      <c r="E56" s="140">
        <v>10</v>
      </c>
      <c r="F56" s="140"/>
      <c r="G56" s="140"/>
      <c r="H56" s="140"/>
      <c r="J56" s="134">
        <f t="shared" si="1"/>
        <v>182.6</v>
      </c>
    </row>
    <row r="57" spans="1:10" ht="24.95" customHeight="1" x14ac:dyDescent="0.25">
      <c r="A57" s="167"/>
      <c r="B57" s="164" t="s">
        <v>57</v>
      </c>
      <c r="C57" s="157">
        <v>0</v>
      </c>
      <c r="D57" s="157">
        <v>6</v>
      </c>
      <c r="E57" s="157">
        <v>10</v>
      </c>
      <c r="F57" s="157"/>
      <c r="G57" s="157"/>
      <c r="H57" s="157"/>
      <c r="J57" s="134">
        <f t="shared" si="1"/>
        <v>182.83333333333334</v>
      </c>
    </row>
    <row r="58" spans="1:10" ht="24.95" customHeight="1" x14ac:dyDescent="0.25">
      <c r="A58" s="167"/>
      <c r="B58" s="162" t="s">
        <v>59</v>
      </c>
      <c r="C58" s="147">
        <v>0</v>
      </c>
      <c r="D58" s="147">
        <v>6</v>
      </c>
      <c r="E58" s="147">
        <v>10</v>
      </c>
      <c r="F58" s="147"/>
      <c r="G58" s="147"/>
      <c r="H58" s="147"/>
      <c r="J58" s="134">
        <f t="shared" si="1"/>
        <v>182.83333333333334</v>
      </c>
    </row>
    <row r="59" spans="1:10" ht="24.95" customHeight="1" x14ac:dyDescent="0.25">
      <c r="A59" s="166"/>
      <c r="B59" s="163" t="s">
        <v>61</v>
      </c>
      <c r="C59" s="147">
        <v>1</v>
      </c>
      <c r="D59" s="147">
        <v>7</v>
      </c>
      <c r="E59" s="147">
        <v>10</v>
      </c>
      <c r="F59" s="147"/>
      <c r="G59" s="147"/>
      <c r="H59" s="147"/>
      <c r="J59" s="134">
        <f t="shared" si="1"/>
        <v>181.66666666666666</v>
      </c>
    </row>
    <row r="60" spans="1:10" ht="24.95" customHeight="1" x14ac:dyDescent="0.25">
      <c r="B60" s="162" t="s">
        <v>63</v>
      </c>
      <c r="C60" s="147">
        <v>2</v>
      </c>
      <c r="D60" s="147">
        <v>8</v>
      </c>
      <c r="E60" s="147">
        <v>10</v>
      </c>
      <c r="F60" s="147"/>
      <c r="G60" s="147"/>
      <c r="H60" s="147"/>
      <c r="J60" s="134">
        <f t="shared" si="1"/>
        <v>180.5</v>
      </c>
    </row>
    <row r="61" spans="1:10" ht="24.95" customHeight="1" x14ac:dyDescent="0.25">
      <c r="B61" s="163" t="s">
        <v>65</v>
      </c>
      <c r="C61" s="147">
        <v>0</v>
      </c>
      <c r="D61" s="147">
        <v>6</v>
      </c>
      <c r="E61" s="147">
        <v>10</v>
      </c>
      <c r="F61" s="147"/>
      <c r="G61" s="147"/>
      <c r="H61" s="147"/>
      <c r="J61" s="134">
        <f t="shared" si="1"/>
        <v>182.83333333333334</v>
      </c>
    </row>
    <row r="62" spans="1:10" ht="24.95" customHeight="1" x14ac:dyDescent="0.25">
      <c r="B62" s="162" t="s">
        <v>67</v>
      </c>
      <c r="C62" s="147">
        <v>0</v>
      </c>
      <c r="D62" s="147">
        <v>6</v>
      </c>
      <c r="E62" s="147">
        <v>10</v>
      </c>
      <c r="F62" s="147"/>
      <c r="G62" s="147"/>
      <c r="H62" s="147"/>
      <c r="J62" s="134">
        <f t="shared" si="1"/>
        <v>182.83333333333334</v>
      </c>
    </row>
    <row r="63" spans="1:10" ht="24.95" customHeight="1" x14ac:dyDescent="0.25">
      <c r="B63" s="163" t="s">
        <v>69</v>
      </c>
      <c r="C63" s="147">
        <v>1</v>
      </c>
      <c r="D63" s="147">
        <v>7</v>
      </c>
      <c r="E63" s="147">
        <v>10</v>
      </c>
      <c r="F63" s="147"/>
      <c r="G63" s="147"/>
      <c r="H63" s="147"/>
      <c r="J63" s="134">
        <f t="shared" si="1"/>
        <v>181.66666666666666</v>
      </c>
    </row>
    <row r="64" spans="1:10" ht="24.95" customHeight="1" x14ac:dyDescent="0.25">
      <c r="B64" s="162" t="s">
        <v>71</v>
      </c>
      <c r="C64" s="147">
        <v>0</v>
      </c>
      <c r="D64" s="147">
        <v>6</v>
      </c>
      <c r="E64" s="147">
        <v>10</v>
      </c>
      <c r="F64" s="147"/>
      <c r="G64" s="147"/>
      <c r="H64" s="147"/>
      <c r="J64" s="134">
        <f t="shared" si="1"/>
        <v>182.83333333333334</v>
      </c>
    </row>
    <row r="65" spans="2:10" ht="24.95" customHeight="1" x14ac:dyDescent="0.25">
      <c r="B65" s="163" t="s">
        <v>73</v>
      </c>
      <c r="C65" s="147">
        <v>1</v>
      </c>
      <c r="D65" s="147">
        <v>7</v>
      </c>
      <c r="E65" s="147">
        <v>10</v>
      </c>
      <c r="F65" s="147"/>
      <c r="G65" s="147"/>
      <c r="H65" s="147"/>
      <c r="J65" s="134">
        <f t="shared" ref="J65:J96" si="2">C$8+(5-C65)/(D65-C65)*(D$8-C$8)</f>
        <v>181.66666666666666</v>
      </c>
    </row>
    <row r="66" spans="2:10" ht="24.95" customHeight="1" x14ac:dyDescent="0.25">
      <c r="B66" s="162" t="s">
        <v>75</v>
      </c>
      <c r="C66" s="147">
        <v>0</v>
      </c>
      <c r="D66" s="147">
        <v>8</v>
      </c>
      <c r="E66" s="147">
        <v>10</v>
      </c>
      <c r="F66" s="147"/>
      <c r="G66" s="147"/>
      <c r="H66" s="147"/>
      <c r="J66" s="134">
        <f t="shared" si="2"/>
        <v>181.375</v>
      </c>
    </row>
    <row r="67" spans="2:10" ht="24.95" customHeight="1" x14ac:dyDescent="0.25">
      <c r="B67" s="163" t="s">
        <v>77</v>
      </c>
      <c r="C67" s="147">
        <v>0</v>
      </c>
      <c r="D67" s="147">
        <v>7</v>
      </c>
      <c r="E67" s="147">
        <v>10</v>
      </c>
      <c r="F67" s="147"/>
      <c r="G67" s="147"/>
      <c r="H67" s="147"/>
      <c r="J67" s="134">
        <f t="shared" si="2"/>
        <v>182</v>
      </c>
    </row>
    <row r="68" spans="2:10" ht="24.95" customHeight="1" x14ac:dyDescent="0.25">
      <c r="B68" s="162" t="s">
        <v>79</v>
      </c>
      <c r="C68" s="147">
        <v>1</v>
      </c>
      <c r="D68" s="147">
        <v>7</v>
      </c>
      <c r="E68" s="147">
        <v>10</v>
      </c>
      <c r="F68" s="147"/>
      <c r="G68" s="147"/>
      <c r="H68" s="147"/>
      <c r="J68" s="134">
        <f t="shared" si="2"/>
        <v>181.66666666666666</v>
      </c>
    </row>
    <row r="69" spans="2:10" ht="24.95" customHeight="1" x14ac:dyDescent="0.25">
      <c r="B69" s="163" t="s">
        <v>81</v>
      </c>
      <c r="C69" s="147">
        <v>2</v>
      </c>
      <c r="D69" s="147">
        <v>8</v>
      </c>
      <c r="E69" s="147">
        <v>10</v>
      </c>
      <c r="F69" s="147"/>
      <c r="G69" s="147"/>
      <c r="H69" s="147"/>
      <c r="J69" s="134">
        <f t="shared" si="2"/>
        <v>180.5</v>
      </c>
    </row>
    <row r="70" spans="2:10" ht="24.95" customHeight="1" x14ac:dyDescent="0.25">
      <c r="B70" s="162" t="s">
        <v>83</v>
      </c>
      <c r="C70" s="147">
        <v>1</v>
      </c>
      <c r="D70" s="147">
        <v>7</v>
      </c>
      <c r="E70" s="147">
        <v>10</v>
      </c>
      <c r="F70" s="147"/>
      <c r="G70" s="147"/>
      <c r="H70" s="147"/>
      <c r="J70" s="134">
        <f t="shared" si="2"/>
        <v>181.66666666666666</v>
      </c>
    </row>
    <row r="71" spans="2:10" ht="24.95" customHeight="1" thickBot="1" x14ac:dyDescent="0.3">
      <c r="B71" s="161" t="s">
        <v>85</v>
      </c>
      <c r="C71" s="140">
        <v>1</v>
      </c>
      <c r="D71" s="140">
        <v>7</v>
      </c>
      <c r="E71" s="140">
        <v>10</v>
      </c>
      <c r="F71" s="140"/>
      <c r="G71" s="140"/>
      <c r="H71" s="140"/>
      <c r="J71" s="134">
        <f t="shared" si="2"/>
        <v>181.66666666666666</v>
      </c>
    </row>
    <row r="72" spans="2:10" ht="24.95" customHeight="1" x14ac:dyDescent="0.25">
      <c r="B72" s="164" t="s">
        <v>86</v>
      </c>
      <c r="C72" s="157">
        <v>0</v>
      </c>
      <c r="D72" s="157">
        <v>6</v>
      </c>
      <c r="E72" s="157">
        <v>10</v>
      </c>
      <c r="F72" s="157"/>
      <c r="G72" s="157"/>
      <c r="H72" s="157"/>
      <c r="J72" s="134">
        <f t="shared" si="2"/>
        <v>182.83333333333334</v>
      </c>
    </row>
    <row r="73" spans="2:10" ht="24.95" customHeight="1" x14ac:dyDescent="0.25">
      <c r="B73" s="162" t="s">
        <v>88</v>
      </c>
      <c r="C73" s="147">
        <v>0</v>
      </c>
      <c r="D73" s="147">
        <v>6</v>
      </c>
      <c r="E73" s="147">
        <v>10</v>
      </c>
      <c r="F73" s="147"/>
      <c r="G73" s="147"/>
      <c r="H73" s="147"/>
      <c r="J73" s="134">
        <f t="shared" si="2"/>
        <v>182.83333333333334</v>
      </c>
    </row>
    <row r="74" spans="2:10" ht="24.95" customHeight="1" x14ac:dyDescent="0.25">
      <c r="B74" s="163" t="s">
        <v>90</v>
      </c>
      <c r="C74" s="147">
        <v>0</v>
      </c>
      <c r="D74" s="147">
        <v>5</v>
      </c>
      <c r="E74" s="147">
        <v>10</v>
      </c>
      <c r="F74" s="147"/>
      <c r="G74" s="147"/>
      <c r="H74" s="147"/>
      <c r="J74" s="134">
        <f t="shared" si="2"/>
        <v>184</v>
      </c>
    </row>
    <row r="75" spans="2:10" ht="24.95" customHeight="1" x14ac:dyDescent="0.25">
      <c r="B75" s="162" t="s">
        <v>92</v>
      </c>
      <c r="C75" s="147">
        <v>1</v>
      </c>
      <c r="D75" s="147">
        <v>7</v>
      </c>
      <c r="E75" s="147">
        <v>10</v>
      </c>
      <c r="F75" s="147"/>
      <c r="G75" s="147"/>
      <c r="H75" s="147"/>
      <c r="J75" s="134">
        <f t="shared" si="2"/>
        <v>181.66666666666666</v>
      </c>
    </row>
    <row r="76" spans="2:10" ht="24.95" customHeight="1" x14ac:dyDescent="0.25">
      <c r="B76" s="163" t="s">
        <v>94</v>
      </c>
      <c r="C76" s="147">
        <v>1</v>
      </c>
      <c r="D76" s="147">
        <v>7</v>
      </c>
      <c r="E76" s="147">
        <v>10</v>
      </c>
      <c r="F76" s="147"/>
      <c r="G76" s="147"/>
      <c r="H76" s="147"/>
      <c r="J76" s="134">
        <f t="shared" si="2"/>
        <v>181.66666666666666</v>
      </c>
    </row>
    <row r="77" spans="2:10" ht="24.95" customHeight="1" x14ac:dyDescent="0.25">
      <c r="B77" s="162" t="s">
        <v>96</v>
      </c>
      <c r="C77" s="147">
        <v>0</v>
      </c>
      <c r="D77" s="147">
        <v>6</v>
      </c>
      <c r="E77" s="147">
        <v>10</v>
      </c>
      <c r="F77" s="147"/>
      <c r="G77" s="147"/>
      <c r="H77" s="147"/>
      <c r="J77" s="134">
        <f t="shared" si="2"/>
        <v>182.83333333333334</v>
      </c>
    </row>
    <row r="78" spans="2:10" ht="24.95" customHeight="1" x14ac:dyDescent="0.25">
      <c r="B78" s="163" t="s">
        <v>98</v>
      </c>
      <c r="C78" s="147">
        <v>0</v>
      </c>
      <c r="D78" s="147">
        <v>7</v>
      </c>
      <c r="E78" s="147">
        <v>10</v>
      </c>
      <c r="F78" s="147"/>
      <c r="G78" s="147"/>
      <c r="H78" s="147"/>
      <c r="J78" s="134">
        <f t="shared" si="2"/>
        <v>182</v>
      </c>
    </row>
    <row r="79" spans="2:10" ht="24.95" customHeight="1" x14ac:dyDescent="0.25">
      <c r="B79" s="162" t="s">
        <v>100</v>
      </c>
      <c r="C79" s="147">
        <v>1</v>
      </c>
      <c r="D79" s="147">
        <v>7</v>
      </c>
      <c r="E79" s="147">
        <v>10</v>
      </c>
      <c r="F79" s="147"/>
      <c r="G79" s="147"/>
      <c r="H79" s="147"/>
      <c r="J79" s="134">
        <f t="shared" si="2"/>
        <v>181.66666666666666</v>
      </c>
    </row>
    <row r="80" spans="2:10" ht="24.95" customHeight="1" x14ac:dyDescent="0.25">
      <c r="B80" s="163" t="s">
        <v>102</v>
      </c>
      <c r="C80" s="147">
        <v>0</v>
      </c>
      <c r="D80" s="147">
        <v>6</v>
      </c>
      <c r="E80" s="147">
        <v>10</v>
      </c>
      <c r="F80" s="147"/>
      <c r="G80" s="147"/>
      <c r="H80" s="147"/>
      <c r="J80" s="134">
        <f t="shared" si="2"/>
        <v>182.83333333333334</v>
      </c>
    </row>
    <row r="81" spans="2:10" ht="24.95" customHeight="1" x14ac:dyDescent="0.25">
      <c r="B81" s="162" t="s">
        <v>104</v>
      </c>
      <c r="C81" s="147">
        <v>0</v>
      </c>
      <c r="D81" s="147">
        <v>5</v>
      </c>
      <c r="E81" s="147">
        <v>8</v>
      </c>
      <c r="F81" s="147"/>
      <c r="G81" s="147"/>
      <c r="H81" s="147"/>
      <c r="J81" s="134">
        <f t="shared" si="2"/>
        <v>184</v>
      </c>
    </row>
    <row r="82" spans="2:10" ht="24.95" customHeight="1" x14ac:dyDescent="0.25">
      <c r="B82" s="163" t="s">
        <v>106</v>
      </c>
      <c r="C82" s="147">
        <v>0</v>
      </c>
      <c r="D82" s="147">
        <v>6</v>
      </c>
      <c r="E82" s="147">
        <v>10</v>
      </c>
      <c r="F82" s="147"/>
      <c r="G82" s="147"/>
      <c r="H82" s="147"/>
      <c r="J82" s="134">
        <f t="shared" si="2"/>
        <v>182.83333333333334</v>
      </c>
    </row>
    <row r="83" spans="2:10" ht="24.95" customHeight="1" x14ac:dyDescent="0.25">
      <c r="B83" s="162" t="s">
        <v>108</v>
      </c>
      <c r="C83" s="147">
        <v>0</v>
      </c>
      <c r="D83" s="147">
        <v>5</v>
      </c>
      <c r="E83" s="147">
        <v>9</v>
      </c>
      <c r="F83" s="147"/>
      <c r="G83" s="147"/>
      <c r="H83" s="147"/>
      <c r="J83" s="134">
        <f t="shared" si="2"/>
        <v>184</v>
      </c>
    </row>
    <row r="84" spans="2:10" ht="24.95" customHeight="1" x14ac:dyDescent="0.25">
      <c r="B84" s="163" t="s">
        <v>110</v>
      </c>
      <c r="C84" s="147">
        <v>0</v>
      </c>
      <c r="D84" s="147">
        <v>6</v>
      </c>
      <c r="E84" s="147">
        <v>10</v>
      </c>
      <c r="F84" s="147"/>
      <c r="G84" s="147"/>
      <c r="H84" s="147"/>
      <c r="J84" s="134">
        <f t="shared" si="2"/>
        <v>182.83333333333334</v>
      </c>
    </row>
    <row r="85" spans="2:10" ht="24.95" customHeight="1" x14ac:dyDescent="0.25">
      <c r="B85" s="162" t="s">
        <v>112</v>
      </c>
      <c r="C85" s="147">
        <v>0</v>
      </c>
      <c r="D85" s="147">
        <v>5</v>
      </c>
      <c r="E85" s="147">
        <v>10</v>
      </c>
      <c r="F85" s="147"/>
      <c r="G85" s="147"/>
      <c r="H85" s="147"/>
      <c r="J85" s="134">
        <f t="shared" si="2"/>
        <v>184</v>
      </c>
    </row>
    <row r="86" spans="2:10" ht="24.95" customHeight="1" thickBot="1" x14ac:dyDescent="0.3">
      <c r="B86" s="161" t="s">
        <v>114</v>
      </c>
      <c r="C86" s="140">
        <v>0</v>
      </c>
      <c r="D86" s="140">
        <v>5</v>
      </c>
      <c r="E86" s="140">
        <v>10</v>
      </c>
      <c r="F86" s="140"/>
      <c r="G86" s="140"/>
      <c r="H86" s="140"/>
      <c r="J86" s="134">
        <f t="shared" si="2"/>
        <v>184</v>
      </c>
    </row>
    <row r="87" spans="2:10" ht="24.95" customHeight="1" x14ac:dyDescent="0.25">
      <c r="B87" s="160" t="s">
        <v>116</v>
      </c>
      <c r="C87" s="157">
        <v>0</v>
      </c>
      <c r="D87" s="157">
        <v>6</v>
      </c>
      <c r="E87" s="157">
        <v>10</v>
      </c>
      <c r="F87" s="157"/>
      <c r="G87" s="157"/>
      <c r="H87" s="157"/>
      <c r="J87" s="134">
        <f t="shared" si="2"/>
        <v>182.83333333333334</v>
      </c>
    </row>
    <row r="88" spans="2:10" ht="24.95" customHeight="1" x14ac:dyDescent="0.25">
      <c r="B88" s="151" t="s">
        <v>118</v>
      </c>
      <c r="C88" s="147">
        <v>0</v>
      </c>
      <c r="D88" s="147">
        <v>5</v>
      </c>
      <c r="E88" s="147">
        <v>9</v>
      </c>
      <c r="F88" s="147"/>
      <c r="G88" s="147"/>
      <c r="H88" s="147"/>
      <c r="J88" s="134">
        <f t="shared" si="2"/>
        <v>184</v>
      </c>
    </row>
    <row r="89" spans="2:10" ht="24.95" customHeight="1" x14ac:dyDescent="0.25">
      <c r="B89" s="152" t="s">
        <v>120</v>
      </c>
      <c r="C89" s="147">
        <v>0</v>
      </c>
      <c r="D89" s="147">
        <v>6</v>
      </c>
      <c r="E89" s="147">
        <v>10</v>
      </c>
      <c r="F89" s="147"/>
      <c r="G89" s="147"/>
      <c r="H89" s="147"/>
      <c r="J89" s="134">
        <f t="shared" si="2"/>
        <v>182.83333333333334</v>
      </c>
    </row>
    <row r="90" spans="2:10" ht="24.95" customHeight="1" x14ac:dyDescent="0.25">
      <c r="B90" s="151" t="s">
        <v>122</v>
      </c>
      <c r="C90" s="147">
        <v>0</v>
      </c>
      <c r="D90" s="147">
        <v>5</v>
      </c>
      <c r="E90" s="147">
        <v>9</v>
      </c>
      <c r="F90" s="147"/>
      <c r="G90" s="147"/>
      <c r="H90" s="147"/>
      <c r="J90" s="134">
        <f t="shared" si="2"/>
        <v>184</v>
      </c>
    </row>
    <row r="91" spans="2:10" ht="24.95" customHeight="1" x14ac:dyDescent="0.25">
      <c r="B91" s="152" t="s">
        <v>124</v>
      </c>
      <c r="C91" s="147">
        <v>1</v>
      </c>
      <c r="D91" s="147">
        <v>7</v>
      </c>
      <c r="E91" s="147">
        <v>10</v>
      </c>
      <c r="F91" s="147"/>
      <c r="G91" s="147"/>
      <c r="H91" s="147"/>
      <c r="J91" s="134">
        <f t="shared" si="2"/>
        <v>181.66666666666666</v>
      </c>
    </row>
    <row r="92" spans="2:10" ht="24.95" customHeight="1" x14ac:dyDescent="0.25">
      <c r="B92" s="151" t="s">
        <v>126</v>
      </c>
      <c r="C92" s="147">
        <v>0</v>
      </c>
      <c r="D92" s="147">
        <v>6</v>
      </c>
      <c r="E92" s="147">
        <v>9</v>
      </c>
      <c r="F92" s="147"/>
      <c r="G92" s="147"/>
      <c r="H92" s="147"/>
      <c r="J92" s="134">
        <f t="shared" si="2"/>
        <v>182.83333333333334</v>
      </c>
    </row>
    <row r="93" spans="2:10" ht="24.95" customHeight="1" x14ac:dyDescent="0.25">
      <c r="B93" s="152" t="s">
        <v>128</v>
      </c>
      <c r="C93" s="147">
        <v>0</v>
      </c>
      <c r="D93" s="147">
        <v>6</v>
      </c>
      <c r="E93" s="147">
        <v>10</v>
      </c>
      <c r="F93" s="147"/>
      <c r="G93" s="147"/>
      <c r="H93" s="147"/>
      <c r="J93" s="134">
        <f t="shared" si="2"/>
        <v>182.83333333333334</v>
      </c>
    </row>
    <row r="94" spans="2:10" ht="24.95" customHeight="1" x14ac:dyDescent="0.25">
      <c r="B94" s="151" t="s">
        <v>130</v>
      </c>
      <c r="C94" s="147">
        <v>1</v>
      </c>
      <c r="D94" s="147">
        <v>7</v>
      </c>
      <c r="E94" s="147">
        <v>10</v>
      </c>
      <c r="F94" s="147"/>
      <c r="G94" s="147"/>
      <c r="H94" s="147"/>
      <c r="J94" s="134">
        <f t="shared" si="2"/>
        <v>181.66666666666666</v>
      </c>
    </row>
    <row r="95" spans="2:10" ht="24.95" customHeight="1" x14ac:dyDescent="0.25">
      <c r="B95" s="152" t="s">
        <v>132</v>
      </c>
      <c r="C95" s="147">
        <v>1</v>
      </c>
      <c r="D95" s="147">
        <v>7</v>
      </c>
      <c r="E95" s="147">
        <v>10</v>
      </c>
      <c r="F95" s="147"/>
      <c r="G95" s="147"/>
      <c r="H95" s="147"/>
      <c r="J95" s="134">
        <f t="shared" si="2"/>
        <v>181.66666666666666</v>
      </c>
    </row>
    <row r="96" spans="2:10" ht="24.95" customHeight="1" x14ac:dyDescent="0.25">
      <c r="B96" s="151" t="s">
        <v>134</v>
      </c>
      <c r="C96" s="147">
        <v>0</v>
      </c>
      <c r="D96" s="147">
        <v>6</v>
      </c>
      <c r="E96" s="147">
        <v>10</v>
      </c>
      <c r="F96" s="147"/>
      <c r="G96" s="147"/>
      <c r="H96" s="147"/>
      <c r="J96" s="134">
        <f t="shared" si="2"/>
        <v>182.83333333333334</v>
      </c>
    </row>
    <row r="97" spans="2:10" ht="24.95" customHeight="1" x14ac:dyDescent="0.25">
      <c r="B97" s="152" t="s">
        <v>136</v>
      </c>
      <c r="C97" s="147">
        <v>0</v>
      </c>
      <c r="D97" s="147">
        <v>7</v>
      </c>
      <c r="E97" s="147">
        <v>10</v>
      </c>
      <c r="F97" s="147"/>
      <c r="G97" s="147"/>
      <c r="H97" s="147"/>
      <c r="J97" s="134">
        <f t="shared" ref="J97:J108" si="3">C$8+(5-C97)/(D97-C97)*(D$8-C$8)</f>
        <v>182</v>
      </c>
    </row>
    <row r="98" spans="2:10" ht="24.95" customHeight="1" x14ac:dyDescent="0.25">
      <c r="B98" s="151" t="s">
        <v>138</v>
      </c>
      <c r="C98" s="147">
        <v>0</v>
      </c>
      <c r="D98" s="147">
        <v>6</v>
      </c>
      <c r="E98" s="147">
        <v>10</v>
      </c>
      <c r="F98" s="147"/>
      <c r="G98" s="147"/>
      <c r="H98" s="147"/>
      <c r="J98" s="134">
        <f t="shared" si="3"/>
        <v>182.83333333333334</v>
      </c>
    </row>
    <row r="99" spans="2:10" ht="24.95" customHeight="1" x14ac:dyDescent="0.25">
      <c r="B99" s="152" t="s">
        <v>140</v>
      </c>
      <c r="C99" s="147">
        <v>1</v>
      </c>
      <c r="D99" s="147">
        <v>7</v>
      </c>
      <c r="E99" s="147">
        <v>10</v>
      </c>
      <c r="F99" s="147"/>
      <c r="G99" s="147"/>
      <c r="H99" s="147"/>
      <c r="J99" s="134">
        <f t="shared" si="3"/>
        <v>181.66666666666666</v>
      </c>
    </row>
    <row r="100" spans="2:10" ht="24.95" customHeight="1" x14ac:dyDescent="0.25">
      <c r="B100" s="151" t="s">
        <v>142</v>
      </c>
      <c r="C100" s="147">
        <v>1</v>
      </c>
      <c r="D100" s="147">
        <v>7</v>
      </c>
      <c r="E100" s="147">
        <v>10</v>
      </c>
      <c r="F100" s="147"/>
      <c r="G100" s="147"/>
      <c r="H100" s="147"/>
      <c r="J100" s="134">
        <f t="shared" si="3"/>
        <v>181.66666666666666</v>
      </c>
    </row>
    <row r="101" spans="2:10" ht="24.95" customHeight="1" thickBot="1" x14ac:dyDescent="0.3">
      <c r="B101" s="144" t="s">
        <v>144</v>
      </c>
      <c r="C101" s="140">
        <v>3</v>
      </c>
      <c r="D101" s="140">
        <v>8</v>
      </c>
      <c r="E101" s="140">
        <v>10</v>
      </c>
      <c r="F101" s="140"/>
      <c r="G101" s="140"/>
      <c r="H101" s="140"/>
      <c r="J101" s="134">
        <f t="shared" si="3"/>
        <v>179.8</v>
      </c>
    </row>
    <row r="102" spans="2:10" ht="24.95" customHeight="1" x14ac:dyDescent="0.25">
      <c r="B102" s="164" t="s">
        <v>87</v>
      </c>
      <c r="C102" s="157">
        <v>0</v>
      </c>
      <c r="D102" s="157">
        <v>6</v>
      </c>
      <c r="E102" s="157">
        <v>10</v>
      </c>
      <c r="F102" s="157"/>
      <c r="G102" s="157"/>
      <c r="H102" s="157"/>
      <c r="J102" s="134">
        <f t="shared" si="3"/>
        <v>182.83333333333334</v>
      </c>
    </row>
    <row r="103" spans="2:10" ht="24.95" customHeight="1" x14ac:dyDescent="0.25">
      <c r="B103" s="162" t="s">
        <v>89</v>
      </c>
      <c r="C103" s="147">
        <v>0</v>
      </c>
      <c r="D103" s="147">
        <v>5</v>
      </c>
      <c r="E103" s="147">
        <v>8</v>
      </c>
      <c r="F103" s="147"/>
      <c r="G103" s="147"/>
      <c r="H103" s="147"/>
      <c r="J103" s="134">
        <f t="shared" si="3"/>
        <v>184</v>
      </c>
    </row>
    <row r="104" spans="2:10" ht="24.95" customHeight="1" x14ac:dyDescent="0.25">
      <c r="B104" s="163" t="s">
        <v>91</v>
      </c>
      <c r="C104" s="147">
        <v>1</v>
      </c>
      <c r="D104" s="147">
        <v>7</v>
      </c>
      <c r="E104" s="147">
        <v>10</v>
      </c>
      <c r="F104" s="147"/>
      <c r="G104" s="147"/>
      <c r="H104" s="147"/>
      <c r="J104" s="134">
        <f t="shared" si="3"/>
        <v>181.66666666666666</v>
      </c>
    </row>
    <row r="105" spans="2:10" ht="24.95" customHeight="1" x14ac:dyDescent="0.25">
      <c r="B105" s="162" t="s">
        <v>93</v>
      </c>
      <c r="C105" s="147">
        <v>0</v>
      </c>
      <c r="D105" s="147">
        <v>5</v>
      </c>
      <c r="E105" s="147">
        <v>9</v>
      </c>
      <c r="F105" s="147"/>
      <c r="G105" s="147"/>
      <c r="H105" s="147"/>
      <c r="J105" s="134">
        <f t="shared" si="3"/>
        <v>184</v>
      </c>
    </row>
    <row r="106" spans="2:10" ht="24.95" customHeight="1" x14ac:dyDescent="0.25">
      <c r="B106" s="163" t="s">
        <v>95</v>
      </c>
      <c r="C106" s="147">
        <v>0</v>
      </c>
      <c r="D106" s="147">
        <v>6</v>
      </c>
      <c r="E106" s="147">
        <v>10</v>
      </c>
      <c r="F106" s="147"/>
      <c r="G106" s="147"/>
      <c r="H106" s="147"/>
      <c r="J106" s="134">
        <f t="shared" si="3"/>
        <v>182.83333333333334</v>
      </c>
    </row>
    <row r="107" spans="2:10" ht="24.95" customHeight="1" x14ac:dyDescent="0.25">
      <c r="B107" s="162" t="s">
        <v>97</v>
      </c>
      <c r="C107" s="147">
        <v>0</v>
      </c>
      <c r="D107" s="147">
        <v>5</v>
      </c>
      <c r="E107" s="147">
        <v>9</v>
      </c>
      <c r="F107" s="147"/>
      <c r="G107" s="147"/>
      <c r="H107" s="147"/>
      <c r="J107" s="134">
        <f t="shared" si="3"/>
        <v>184</v>
      </c>
    </row>
    <row r="108" spans="2:10" ht="24.95" customHeight="1" x14ac:dyDescent="0.25">
      <c r="B108" s="163" t="s">
        <v>99</v>
      </c>
      <c r="C108" s="147">
        <v>0</v>
      </c>
      <c r="D108" s="147">
        <v>5</v>
      </c>
      <c r="E108" s="147">
        <v>9</v>
      </c>
      <c r="F108" s="147"/>
      <c r="G108" s="147"/>
      <c r="H108" s="147"/>
      <c r="J108" s="134">
        <f t="shared" si="3"/>
        <v>184</v>
      </c>
    </row>
    <row r="109" spans="2:10" ht="24.95" customHeight="1" x14ac:dyDescent="0.25">
      <c r="B109" s="162" t="s">
        <v>101</v>
      </c>
      <c r="C109" s="147">
        <v>0</v>
      </c>
      <c r="D109" s="147">
        <v>4</v>
      </c>
      <c r="E109" s="147">
        <v>10</v>
      </c>
      <c r="F109" s="147"/>
      <c r="G109" s="147"/>
      <c r="H109" s="147"/>
      <c r="J109" s="134">
        <f>D$8+(5-D109)/(E109-D109)*(E$8-D$8)</f>
        <v>185.66666666666666</v>
      </c>
    </row>
    <row r="110" spans="2:10" ht="24.95" customHeight="1" x14ac:dyDescent="0.25">
      <c r="B110" s="163" t="s">
        <v>103</v>
      </c>
      <c r="C110" s="147">
        <v>0</v>
      </c>
      <c r="D110" s="147">
        <v>6</v>
      </c>
      <c r="E110" s="147">
        <v>10</v>
      </c>
      <c r="F110" s="147"/>
      <c r="G110" s="147"/>
      <c r="H110" s="147"/>
      <c r="J110" s="134">
        <f t="shared" ref="J110:J115" si="4">C$8+(5-C110)/(D110-C110)*(D$8-C$8)</f>
        <v>182.83333333333334</v>
      </c>
    </row>
    <row r="111" spans="2:10" ht="24.95" customHeight="1" x14ac:dyDescent="0.25">
      <c r="B111" s="162" t="s">
        <v>105</v>
      </c>
      <c r="C111" s="147">
        <v>0</v>
      </c>
      <c r="D111" s="147">
        <v>6</v>
      </c>
      <c r="E111" s="147">
        <v>10</v>
      </c>
      <c r="F111" s="147"/>
      <c r="G111" s="147"/>
      <c r="H111" s="147"/>
      <c r="J111" s="134">
        <f t="shared" si="4"/>
        <v>182.83333333333334</v>
      </c>
    </row>
    <row r="112" spans="2:10" ht="24.95" customHeight="1" x14ac:dyDescent="0.25">
      <c r="B112" s="163" t="s">
        <v>107</v>
      </c>
      <c r="C112" s="147">
        <v>0</v>
      </c>
      <c r="D112" s="147">
        <v>5</v>
      </c>
      <c r="E112" s="147">
        <v>10</v>
      </c>
      <c r="F112" s="147"/>
      <c r="G112" s="147"/>
      <c r="H112" s="147"/>
      <c r="J112" s="134">
        <f t="shared" si="4"/>
        <v>184</v>
      </c>
    </row>
    <row r="113" spans="2:10" ht="24.95" customHeight="1" x14ac:dyDescent="0.25">
      <c r="B113" s="162" t="s">
        <v>109</v>
      </c>
      <c r="C113" s="147">
        <v>0</v>
      </c>
      <c r="D113" s="147">
        <v>5</v>
      </c>
      <c r="E113" s="147">
        <v>10</v>
      </c>
      <c r="F113" s="147"/>
      <c r="G113" s="147"/>
      <c r="H113" s="147"/>
      <c r="J113" s="134">
        <f t="shared" si="4"/>
        <v>184</v>
      </c>
    </row>
    <row r="114" spans="2:10" ht="24.95" customHeight="1" x14ac:dyDescent="0.25">
      <c r="B114" s="163" t="s">
        <v>111</v>
      </c>
      <c r="C114" s="147">
        <v>0</v>
      </c>
      <c r="D114" s="147">
        <v>6</v>
      </c>
      <c r="E114" s="147">
        <v>10</v>
      </c>
      <c r="F114" s="147"/>
      <c r="G114" s="147"/>
      <c r="H114" s="147"/>
      <c r="J114" s="134">
        <f t="shared" si="4"/>
        <v>182.83333333333334</v>
      </c>
    </row>
    <row r="115" spans="2:10" ht="24.95" customHeight="1" x14ac:dyDescent="0.25">
      <c r="B115" s="162" t="s">
        <v>113</v>
      </c>
      <c r="C115" s="147">
        <v>0</v>
      </c>
      <c r="D115" s="147">
        <v>5</v>
      </c>
      <c r="E115" s="147">
        <v>9</v>
      </c>
      <c r="F115" s="147"/>
      <c r="G115" s="147"/>
      <c r="H115" s="147"/>
      <c r="J115" s="134">
        <f t="shared" si="4"/>
        <v>184</v>
      </c>
    </row>
    <row r="116" spans="2:10" ht="24.95" customHeight="1" thickBot="1" x14ac:dyDescent="0.3">
      <c r="B116" s="161" t="s">
        <v>115</v>
      </c>
      <c r="C116" s="140">
        <v>0</v>
      </c>
      <c r="D116" s="140">
        <v>4</v>
      </c>
      <c r="E116" s="140">
        <v>8</v>
      </c>
      <c r="F116" s="140"/>
      <c r="G116" s="140"/>
      <c r="H116" s="140"/>
      <c r="J116" s="134">
        <f>D$8+(5-D116)/(E116-D116)*(E$8-D$8)</f>
        <v>186.5</v>
      </c>
    </row>
    <row r="117" spans="2:10" ht="24.95" customHeight="1" x14ac:dyDescent="0.25">
      <c r="B117" s="160" t="s">
        <v>117</v>
      </c>
      <c r="C117" s="157">
        <v>0</v>
      </c>
      <c r="D117" s="157">
        <v>5</v>
      </c>
      <c r="E117" s="157">
        <v>9</v>
      </c>
      <c r="F117" s="157"/>
      <c r="G117" s="157"/>
      <c r="H117" s="157"/>
      <c r="J117" s="134">
        <f t="shared" ref="J117:J148" si="5">C$8+(5-C117)/(D117-C117)*(D$8-C$8)</f>
        <v>184</v>
      </c>
    </row>
    <row r="118" spans="2:10" ht="24.95" customHeight="1" x14ac:dyDescent="0.25">
      <c r="B118" s="151" t="s">
        <v>119</v>
      </c>
      <c r="C118" s="147">
        <v>0</v>
      </c>
      <c r="D118" s="147">
        <v>6</v>
      </c>
      <c r="E118" s="147">
        <v>10</v>
      </c>
      <c r="F118" s="147"/>
      <c r="G118" s="147"/>
      <c r="H118" s="147"/>
      <c r="J118" s="134">
        <f t="shared" si="5"/>
        <v>182.83333333333334</v>
      </c>
    </row>
    <row r="119" spans="2:10" ht="24.95" customHeight="1" x14ac:dyDescent="0.25">
      <c r="B119" s="152" t="s">
        <v>121</v>
      </c>
      <c r="C119" s="147">
        <v>0</v>
      </c>
      <c r="D119" s="147">
        <v>6</v>
      </c>
      <c r="E119" s="147">
        <v>10</v>
      </c>
      <c r="F119" s="147"/>
      <c r="G119" s="147"/>
      <c r="H119" s="147"/>
      <c r="J119" s="134">
        <f t="shared" si="5"/>
        <v>182.83333333333334</v>
      </c>
    </row>
    <row r="120" spans="2:10" ht="24.95" customHeight="1" x14ac:dyDescent="0.25">
      <c r="B120" s="151" t="s">
        <v>123</v>
      </c>
      <c r="C120" s="147">
        <v>0</v>
      </c>
      <c r="D120" s="147">
        <v>5</v>
      </c>
      <c r="E120" s="147">
        <v>10</v>
      </c>
      <c r="F120" s="147"/>
      <c r="G120" s="147"/>
      <c r="H120" s="147"/>
      <c r="J120" s="134">
        <f t="shared" si="5"/>
        <v>184</v>
      </c>
    </row>
    <row r="121" spans="2:10" ht="24.95" customHeight="1" x14ac:dyDescent="0.25">
      <c r="B121" s="152" t="s">
        <v>125</v>
      </c>
      <c r="C121" s="147">
        <v>0</v>
      </c>
      <c r="D121" s="147">
        <v>6</v>
      </c>
      <c r="E121" s="147">
        <v>10</v>
      </c>
      <c r="F121" s="147"/>
      <c r="G121" s="147"/>
      <c r="H121" s="147"/>
      <c r="J121" s="134">
        <f t="shared" si="5"/>
        <v>182.83333333333334</v>
      </c>
    </row>
    <row r="122" spans="2:10" ht="24.95" customHeight="1" x14ac:dyDescent="0.25">
      <c r="B122" s="151" t="s">
        <v>127</v>
      </c>
      <c r="C122" s="147">
        <v>0</v>
      </c>
      <c r="D122" s="147">
        <v>5</v>
      </c>
      <c r="E122" s="147">
        <v>8</v>
      </c>
      <c r="F122" s="147"/>
      <c r="G122" s="147"/>
      <c r="H122" s="147"/>
      <c r="J122" s="134">
        <f t="shared" si="5"/>
        <v>184</v>
      </c>
    </row>
    <row r="123" spans="2:10" ht="24.95" customHeight="1" x14ac:dyDescent="0.25">
      <c r="B123" s="152" t="s">
        <v>129</v>
      </c>
      <c r="C123" s="147">
        <v>0</v>
      </c>
      <c r="D123" s="147">
        <v>6</v>
      </c>
      <c r="E123" s="147">
        <v>10</v>
      </c>
      <c r="F123" s="147"/>
      <c r="G123" s="147"/>
      <c r="H123" s="147"/>
      <c r="J123" s="134">
        <f t="shared" si="5"/>
        <v>182.83333333333334</v>
      </c>
    </row>
    <row r="124" spans="2:10" ht="24.95" customHeight="1" x14ac:dyDescent="0.25">
      <c r="B124" s="151" t="s">
        <v>131</v>
      </c>
      <c r="C124" s="147">
        <v>0</v>
      </c>
      <c r="D124" s="165">
        <v>6</v>
      </c>
      <c r="E124" s="147">
        <v>10</v>
      </c>
      <c r="F124" s="147"/>
      <c r="G124" s="147"/>
      <c r="H124" s="147"/>
      <c r="J124" s="134">
        <f t="shared" si="5"/>
        <v>182.83333333333334</v>
      </c>
    </row>
    <row r="125" spans="2:10" ht="24.95" customHeight="1" x14ac:dyDescent="0.25">
      <c r="B125" s="152" t="s">
        <v>133</v>
      </c>
      <c r="C125" s="147">
        <v>0</v>
      </c>
      <c r="D125" s="147">
        <v>5</v>
      </c>
      <c r="E125" s="147">
        <v>9</v>
      </c>
      <c r="F125" s="147"/>
      <c r="G125" s="147"/>
      <c r="H125" s="147"/>
      <c r="J125" s="134">
        <f t="shared" si="5"/>
        <v>184</v>
      </c>
    </row>
    <row r="126" spans="2:10" ht="24.95" customHeight="1" x14ac:dyDescent="0.25">
      <c r="B126" s="151" t="s">
        <v>135</v>
      </c>
      <c r="C126" s="147">
        <v>1</v>
      </c>
      <c r="D126" s="147">
        <v>7</v>
      </c>
      <c r="E126" s="147">
        <v>10</v>
      </c>
      <c r="F126" s="147"/>
      <c r="G126" s="147"/>
      <c r="H126" s="147"/>
      <c r="J126" s="134">
        <f t="shared" si="5"/>
        <v>181.66666666666666</v>
      </c>
    </row>
    <row r="127" spans="2:10" ht="24.95" customHeight="1" x14ac:dyDescent="0.25">
      <c r="B127" s="152" t="s">
        <v>137</v>
      </c>
      <c r="C127" s="147">
        <v>0</v>
      </c>
      <c r="D127" s="147">
        <v>5</v>
      </c>
      <c r="E127" s="147">
        <v>10</v>
      </c>
      <c r="F127" s="147"/>
      <c r="G127" s="147"/>
      <c r="H127" s="147"/>
      <c r="J127" s="134">
        <f t="shared" si="5"/>
        <v>184</v>
      </c>
    </row>
    <row r="128" spans="2:10" ht="24.95" customHeight="1" x14ac:dyDescent="0.25">
      <c r="B128" s="151" t="s">
        <v>139</v>
      </c>
      <c r="C128" s="147">
        <v>1</v>
      </c>
      <c r="D128" s="147">
        <v>6</v>
      </c>
      <c r="E128" s="147">
        <v>10</v>
      </c>
      <c r="F128" s="147"/>
      <c r="G128" s="147"/>
      <c r="H128" s="147"/>
      <c r="J128" s="134">
        <f t="shared" si="5"/>
        <v>182.6</v>
      </c>
    </row>
    <row r="129" spans="2:10" ht="24.95" customHeight="1" x14ac:dyDescent="0.25">
      <c r="B129" s="152" t="s">
        <v>141</v>
      </c>
      <c r="C129" s="147">
        <v>0</v>
      </c>
      <c r="D129" s="147">
        <v>7</v>
      </c>
      <c r="E129" s="147">
        <v>10</v>
      </c>
      <c r="F129" s="147"/>
      <c r="G129" s="147"/>
      <c r="H129" s="147"/>
      <c r="J129" s="134">
        <f t="shared" si="5"/>
        <v>182</v>
      </c>
    </row>
    <row r="130" spans="2:10" ht="24.95" customHeight="1" x14ac:dyDescent="0.25">
      <c r="B130" s="151" t="s">
        <v>143</v>
      </c>
      <c r="C130" s="147">
        <v>0</v>
      </c>
      <c r="D130" s="147">
        <v>6</v>
      </c>
      <c r="E130" s="147">
        <v>10</v>
      </c>
      <c r="F130" s="147"/>
      <c r="G130" s="147"/>
      <c r="H130" s="147"/>
      <c r="J130" s="134">
        <f t="shared" si="5"/>
        <v>182.83333333333334</v>
      </c>
    </row>
    <row r="131" spans="2:10" ht="24.95" customHeight="1" thickBot="1" x14ac:dyDescent="0.3">
      <c r="B131" s="144" t="s">
        <v>145</v>
      </c>
      <c r="C131" s="140">
        <v>1</v>
      </c>
      <c r="D131" s="140">
        <v>6</v>
      </c>
      <c r="E131" s="140">
        <v>10</v>
      </c>
      <c r="F131" s="140"/>
      <c r="G131" s="140"/>
      <c r="H131" s="140"/>
      <c r="J131" s="134">
        <f t="shared" si="5"/>
        <v>182.6</v>
      </c>
    </row>
    <row r="132" spans="2:10" ht="24.95" customHeight="1" x14ac:dyDescent="0.25">
      <c r="B132" s="164" t="s">
        <v>146</v>
      </c>
      <c r="C132" s="157">
        <v>2</v>
      </c>
      <c r="D132" s="157">
        <v>7</v>
      </c>
      <c r="E132" s="157">
        <v>10</v>
      </c>
      <c r="F132" s="157"/>
      <c r="G132" s="157"/>
      <c r="H132" s="157"/>
      <c r="J132" s="134">
        <f t="shared" si="5"/>
        <v>181.2</v>
      </c>
    </row>
    <row r="133" spans="2:10" ht="24.95" customHeight="1" x14ac:dyDescent="0.25">
      <c r="B133" s="162" t="s">
        <v>148</v>
      </c>
      <c r="C133" s="147">
        <v>1</v>
      </c>
      <c r="D133" s="147">
        <v>6</v>
      </c>
      <c r="E133" s="147">
        <v>10</v>
      </c>
      <c r="F133" s="147"/>
      <c r="G133" s="147"/>
      <c r="H133" s="147"/>
      <c r="J133" s="134">
        <f t="shared" si="5"/>
        <v>182.6</v>
      </c>
    </row>
    <row r="134" spans="2:10" ht="24.95" customHeight="1" x14ac:dyDescent="0.25">
      <c r="B134" s="163" t="s">
        <v>150</v>
      </c>
      <c r="C134" s="147">
        <v>1</v>
      </c>
      <c r="D134" s="147">
        <v>7</v>
      </c>
      <c r="E134" s="147">
        <v>10</v>
      </c>
      <c r="F134" s="147"/>
      <c r="G134" s="147"/>
      <c r="H134" s="147"/>
      <c r="J134" s="134">
        <f t="shared" si="5"/>
        <v>181.66666666666666</v>
      </c>
    </row>
    <row r="135" spans="2:10" ht="24.95" customHeight="1" x14ac:dyDescent="0.25">
      <c r="B135" s="162" t="s">
        <v>152</v>
      </c>
      <c r="C135" s="147">
        <v>0</v>
      </c>
      <c r="D135" s="147">
        <v>7</v>
      </c>
      <c r="E135" s="147">
        <v>10</v>
      </c>
      <c r="F135" s="147"/>
      <c r="G135" s="147"/>
      <c r="H135" s="147"/>
      <c r="J135" s="134">
        <f t="shared" si="5"/>
        <v>182</v>
      </c>
    </row>
    <row r="136" spans="2:10" ht="24.95" customHeight="1" x14ac:dyDescent="0.25">
      <c r="B136" s="163" t="s">
        <v>154</v>
      </c>
      <c r="C136" s="147">
        <v>1</v>
      </c>
      <c r="D136" s="147">
        <v>7</v>
      </c>
      <c r="E136" s="147">
        <v>10</v>
      </c>
      <c r="F136" s="147"/>
      <c r="G136" s="147"/>
      <c r="H136" s="147"/>
      <c r="J136" s="134">
        <f t="shared" si="5"/>
        <v>181.66666666666666</v>
      </c>
    </row>
    <row r="137" spans="2:10" ht="24.95" customHeight="1" x14ac:dyDescent="0.25">
      <c r="B137" s="162" t="s">
        <v>156</v>
      </c>
      <c r="C137" s="147">
        <v>1</v>
      </c>
      <c r="D137" s="147">
        <v>7</v>
      </c>
      <c r="E137" s="147">
        <v>10</v>
      </c>
      <c r="F137" s="147"/>
      <c r="G137" s="147"/>
      <c r="H137" s="147"/>
      <c r="J137" s="134">
        <f t="shared" si="5"/>
        <v>181.66666666666666</v>
      </c>
    </row>
    <row r="138" spans="2:10" ht="24.95" customHeight="1" x14ac:dyDescent="0.25">
      <c r="B138" s="163" t="s">
        <v>158</v>
      </c>
      <c r="C138" s="147">
        <v>0</v>
      </c>
      <c r="D138" s="147">
        <v>6</v>
      </c>
      <c r="E138" s="147">
        <v>10</v>
      </c>
      <c r="F138" s="147"/>
      <c r="G138" s="147"/>
      <c r="H138" s="147"/>
      <c r="J138" s="134">
        <f t="shared" si="5"/>
        <v>182.83333333333334</v>
      </c>
    </row>
    <row r="139" spans="2:10" ht="24.95" customHeight="1" x14ac:dyDescent="0.25">
      <c r="B139" s="162" t="s">
        <v>160</v>
      </c>
      <c r="C139" s="147">
        <v>0</v>
      </c>
      <c r="D139" s="147">
        <v>7</v>
      </c>
      <c r="E139" s="147">
        <v>10</v>
      </c>
      <c r="F139" s="147"/>
      <c r="G139" s="147"/>
      <c r="H139" s="147"/>
      <c r="J139" s="134">
        <f t="shared" si="5"/>
        <v>182</v>
      </c>
    </row>
    <row r="140" spans="2:10" ht="24.95" customHeight="1" x14ac:dyDescent="0.25">
      <c r="B140" s="163" t="s">
        <v>162</v>
      </c>
      <c r="C140" s="147">
        <v>0</v>
      </c>
      <c r="D140" s="147">
        <v>5</v>
      </c>
      <c r="E140" s="147">
        <v>10</v>
      </c>
      <c r="F140" s="147"/>
      <c r="G140" s="147"/>
      <c r="H140" s="147"/>
      <c r="J140" s="134">
        <f t="shared" si="5"/>
        <v>184</v>
      </c>
    </row>
    <row r="141" spans="2:10" ht="24.95" customHeight="1" x14ac:dyDescent="0.25">
      <c r="B141" s="162" t="s">
        <v>164</v>
      </c>
      <c r="C141" s="147">
        <v>1</v>
      </c>
      <c r="D141" s="147">
        <v>7</v>
      </c>
      <c r="E141" s="147">
        <v>10</v>
      </c>
      <c r="F141" s="147"/>
      <c r="G141" s="147"/>
      <c r="H141" s="147"/>
      <c r="J141" s="134">
        <f t="shared" si="5"/>
        <v>181.66666666666666</v>
      </c>
    </row>
    <row r="142" spans="2:10" ht="24.95" customHeight="1" x14ac:dyDescent="0.25">
      <c r="B142" s="163" t="s">
        <v>166</v>
      </c>
      <c r="C142" s="147">
        <v>0</v>
      </c>
      <c r="D142" s="147">
        <v>6</v>
      </c>
      <c r="E142" s="147">
        <v>10</v>
      </c>
      <c r="F142" s="147"/>
      <c r="G142" s="147"/>
      <c r="H142" s="147"/>
      <c r="J142" s="134">
        <f t="shared" si="5"/>
        <v>182.83333333333334</v>
      </c>
    </row>
    <row r="143" spans="2:10" ht="24.95" customHeight="1" x14ac:dyDescent="0.25">
      <c r="B143" s="162" t="s">
        <v>168</v>
      </c>
      <c r="C143" s="147">
        <v>0</v>
      </c>
      <c r="D143" s="147">
        <v>6</v>
      </c>
      <c r="E143" s="147">
        <v>10</v>
      </c>
      <c r="F143" s="147"/>
      <c r="G143" s="147"/>
      <c r="H143" s="147"/>
      <c r="J143" s="134">
        <f t="shared" si="5"/>
        <v>182.83333333333334</v>
      </c>
    </row>
    <row r="144" spans="2:10" ht="24.95" customHeight="1" x14ac:dyDescent="0.25">
      <c r="B144" s="163" t="s">
        <v>170</v>
      </c>
      <c r="C144" s="147">
        <v>0</v>
      </c>
      <c r="D144" s="147">
        <v>5</v>
      </c>
      <c r="E144" s="147">
        <v>9</v>
      </c>
      <c r="F144" s="147"/>
      <c r="G144" s="147"/>
      <c r="H144" s="147"/>
      <c r="J144" s="134">
        <f t="shared" si="5"/>
        <v>184</v>
      </c>
    </row>
    <row r="145" spans="2:10" ht="24.95" customHeight="1" x14ac:dyDescent="0.25">
      <c r="B145" s="162" t="s">
        <v>172</v>
      </c>
      <c r="C145" s="147">
        <v>0</v>
      </c>
      <c r="D145" s="147">
        <v>6</v>
      </c>
      <c r="E145" s="147">
        <v>10</v>
      </c>
      <c r="F145" s="147"/>
      <c r="G145" s="147"/>
      <c r="H145" s="147"/>
      <c r="J145" s="134">
        <f t="shared" si="5"/>
        <v>182.83333333333334</v>
      </c>
    </row>
    <row r="146" spans="2:10" ht="24.95" customHeight="1" thickBot="1" x14ac:dyDescent="0.3">
      <c r="B146" s="161" t="s">
        <v>174</v>
      </c>
      <c r="C146" s="140">
        <v>1</v>
      </c>
      <c r="D146" s="140">
        <v>6</v>
      </c>
      <c r="E146" s="140">
        <v>10</v>
      </c>
      <c r="F146" s="140"/>
      <c r="G146" s="140"/>
      <c r="H146" s="140"/>
      <c r="J146" s="134">
        <f t="shared" si="5"/>
        <v>182.6</v>
      </c>
    </row>
    <row r="147" spans="2:10" ht="24.95" customHeight="1" x14ac:dyDescent="0.25">
      <c r="B147" s="160" t="s">
        <v>176</v>
      </c>
      <c r="C147" s="157">
        <v>0</v>
      </c>
      <c r="D147" s="157">
        <v>5</v>
      </c>
      <c r="E147" s="157">
        <v>10</v>
      </c>
      <c r="F147" s="157"/>
      <c r="G147" s="157"/>
      <c r="H147" s="157"/>
      <c r="J147" s="134">
        <f t="shared" si="5"/>
        <v>184</v>
      </c>
    </row>
    <row r="148" spans="2:10" ht="24.95" customHeight="1" x14ac:dyDescent="0.25">
      <c r="B148" s="151" t="s">
        <v>178</v>
      </c>
      <c r="C148" s="147">
        <v>0</v>
      </c>
      <c r="D148" s="147">
        <v>5</v>
      </c>
      <c r="E148" s="147">
        <v>10</v>
      </c>
      <c r="F148" s="147"/>
      <c r="G148" s="147"/>
      <c r="H148" s="147"/>
      <c r="J148" s="134">
        <f t="shared" si="5"/>
        <v>184</v>
      </c>
    </row>
    <row r="149" spans="2:10" ht="24.95" customHeight="1" x14ac:dyDescent="0.25">
      <c r="B149" s="152" t="s">
        <v>180</v>
      </c>
      <c r="C149" s="147">
        <v>0</v>
      </c>
      <c r="D149" s="147">
        <v>4</v>
      </c>
      <c r="E149" s="147">
        <v>8</v>
      </c>
      <c r="F149" s="147"/>
      <c r="G149" s="147"/>
      <c r="H149" s="147"/>
      <c r="J149" s="134">
        <f>D$8+(5-D149)/(E149-D149)*(E$8-D$8)</f>
        <v>186.5</v>
      </c>
    </row>
    <row r="150" spans="2:10" ht="24.95" customHeight="1" x14ac:dyDescent="0.25">
      <c r="B150" s="151" t="s">
        <v>182</v>
      </c>
      <c r="C150" s="147">
        <v>0</v>
      </c>
      <c r="D150" s="147">
        <v>5</v>
      </c>
      <c r="E150" s="147">
        <v>9</v>
      </c>
      <c r="F150" s="147"/>
      <c r="G150" s="147"/>
      <c r="H150" s="147"/>
      <c r="J150" s="134">
        <f>C$8+(5-C150)/(D150-C150)*(D$8-C$8)</f>
        <v>184</v>
      </c>
    </row>
    <row r="151" spans="2:10" ht="24.95" customHeight="1" x14ac:dyDescent="0.25">
      <c r="B151" s="152" t="s">
        <v>184</v>
      </c>
      <c r="C151" s="147">
        <v>0</v>
      </c>
      <c r="D151" s="147">
        <v>5</v>
      </c>
      <c r="E151" s="147">
        <v>10</v>
      </c>
      <c r="F151" s="147"/>
      <c r="G151" s="147"/>
      <c r="H151" s="147"/>
      <c r="J151" s="134">
        <f>C$8+(5-C151)/(D151-C151)*(D$8-C$8)</f>
        <v>184</v>
      </c>
    </row>
    <row r="152" spans="2:10" ht="24.95" customHeight="1" x14ac:dyDescent="0.25">
      <c r="B152" s="151" t="s">
        <v>186</v>
      </c>
      <c r="C152" s="147">
        <v>0</v>
      </c>
      <c r="D152" s="147">
        <v>6</v>
      </c>
      <c r="E152" s="147">
        <v>10</v>
      </c>
      <c r="F152" s="147"/>
      <c r="G152" s="147"/>
      <c r="H152" s="147"/>
      <c r="J152" s="134">
        <f>C$8+(5-C152)/(D152-C152)*(D$8-C$8)</f>
        <v>182.83333333333334</v>
      </c>
    </row>
    <row r="153" spans="2:10" ht="24.95" customHeight="1" x14ac:dyDescent="0.25">
      <c r="B153" s="152" t="s">
        <v>188</v>
      </c>
      <c r="C153" s="147">
        <v>0</v>
      </c>
      <c r="D153" s="147">
        <v>5</v>
      </c>
      <c r="E153" s="147">
        <v>10</v>
      </c>
      <c r="F153" s="147"/>
      <c r="G153" s="147"/>
      <c r="H153" s="147"/>
      <c r="J153" s="134">
        <f>C$8+(5-C153)/(D153-C153)*(D$8-C$8)</f>
        <v>184</v>
      </c>
    </row>
    <row r="154" spans="2:10" ht="24.95" customHeight="1" x14ac:dyDescent="0.25">
      <c r="B154" s="151" t="s">
        <v>190</v>
      </c>
      <c r="C154" s="147">
        <v>0</v>
      </c>
      <c r="D154" s="147">
        <v>4</v>
      </c>
      <c r="E154" s="147">
        <v>9</v>
      </c>
      <c r="F154" s="147"/>
      <c r="G154" s="147"/>
      <c r="H154" s="147"/>
      <c r="J154" s="134">
        <f>D$8+(5-D154)/(E154-D154)*(E$8-D$8)</f>
        <v>186</v>
      </c>
    </row>
    <row r="155" spans="2:10" ht="24.95" customHeight="1" x14ac:dyDescent="0.25">
      <c r="B155" s="152" t="s">
        <v>192</v>
      </c>
      <c r="C155" s="147">
        <v>0</v>
      </c>
      <c r="D155" s="147">
        <v>6</v>
      </c>
      <c r="E155" s="147">
        <v>10</v>
      </c>
      <c r="F155" s="147"/>
      <c r="G155" s="147"/>
      <c r="H155" s="147"/>
      <c r="J155" s="134">
        <f t="shared" ref="J155:J191" si="6">C$8+(5-C155)/(D155-C155)*(D$8-C$8)</f>
        <v>182.83333333333334</v>
      </c>
    </row>
    <row r="156" spans="2:10" ht="24.95" customHeight="1" x14ac:dyDescent="0.25">
      <c r="B156" s="151" t="s">
        <v>194</v>
      </c>
      <c r="C156" s="147">
        <v>0</v>
      </c>
      <c r="D156" s="147">
        <v>6</v>
      </c>
      <c r="E156" s="147">
        <v>10</v>
      </c>
      <c r="F156" s="147"/>
      <c r="G156" s="147"/>
      <c r="H156" s="147"/>
      <c r="J156" s="134">
        <f t="shared" si="6"/>
        <v>182.83333333333334</v>
      </c>
    </row>
    <row r="157" spans="2:10" ht="24.95" customHeight="1" x14ac:dyDescent="0.25">
      <c r="B157" s="152" t="s">
        <v>196</v>
      </c>
      <c r="C157" s="147">
        <v>0</v>
      </c>
      <c r="D157" s="147">
        <v>6</v>
      </c>
      <c r="E157" s="147">
        <v>10</v>
      </c>
      <c r="F157" s="147"/>
      <c r="G157" s="147"/>
      <c r="H157" s="147"/>
      <c r="J157" s="134">
        <f t="shared" si="6"/>
        <v>182.83333333333334</v>
      </c>
    </row>
    <row r="158" spans="2:10" ht="24.95" customHeight="1" x14ac:dyDescent="0.25">
      <c r="B158" s="151" t="s">
        <v>198</v>
      </c>
      <c r="C158" s="147">
        <v>0</v>
      </c>
      <c r="D158" s="147">
        <v>6</v>
      </c>
      <c r="E158" s="147">
        <v>10</v>
      </c>
      <c r="F158" s="147"/>
      <c r="G158" s="147"/>
      <c r="H158" s="147"/>
      <c r="J158" s="134">
        <f t="shared" si="6"/>
        <v>182.83333333333334</v>
      </c>
    </row>
    <row r="159" spans="2:10" ht="24.95" customHeight="1" x14ac:dyDescent="0.25">
      <c r="B159" s="152" t="s">
        <v>200</v>
      </c>
      <c r="C159" s="147">
        <v>1</v>
      </c>
      <c r="D159" s="147">
        <v>7</v>
      </c>
      <c r="E159" s="147">
        <v>10</v>
      </c>
      <c r="F159" s="147"/>
      <c r="G159" s="147"/>
      <c r="H159" s="147"/>
      <c r="J159" s="134">
        <f t="shared" si="6"/>
        <v>181.66666666666666</v>
      </c>
    </row>
    <row r="160" spans="2:10" ht="24.95" customHeight="1" x14ac:dyDescent="0.25">
      <c r="B160" s="151" t="s">
        <v>202</v>
      </c>
      <c r="C160" s="147">
        <v>1</v>
      </c>
      <c r="D160" s="147">
        <v>7</v>
      </c>
      <c r="E160" s="147">
        <v>10</v>
      </c>
      <c r="F160" s="147"/>
      <c r="G160" s="147"/>
      <c r="H160" s="147"/>
      <c r="J160" s="134">
        <f t="shared" si="6"/>
        <v>181.66666666666666</v>
      </c>
    </row>
    <row r="161" spans="2:10" ht="24.95" customHeight="1" thickBot="1" x14ac:dyDescent="0.3">
      <c r="B161" s="144" t="s">
        <v>204</v>
      </c>
      <c r="C161" s="140">
        <v>2</v>
      </c>
      <c r="D161" s="140">
        <v>7</v>
      </c>
      <c r="E161" s="140">
        <v>10</v>
      </c>
      <c r="F161" s="140"/>
      <c r="G161" s="140"/>
      <c r="H161" s="140"/>
      <c r="J161" s="134">
        <f t="shared" si="6"/>
        <v>181.2</v>
      </c>
    </row>
    <row r="162" spans="2:10" ht="24.95" customHeight="1" x14ac:dyDescent="0.25">
      <c r="B162" s="164" t="s">
        <v>147</v>
      </c>
      <c r="C162" s="157">
        <v>2</v>
      </c>
      <c r="D162" s="157">
        <v>7</v>
      </c>
      <c r="E162" s="157">
        <v>10</v>
      </c>
      <c r="F162" s="157"/>
      <c r="G162" s="157"/>
      <c r="H162" s="157"/>
      <c r="J162" s="134">
        <f t="shared" si="6"/>
        <v>181.2</v>
      </c>
    </row>
    <row r="163" spans="2:10" ht="24.95" customHeight="1" x14ac:dyDescent="0.25">
      <c r="B163" s="162" t="s">
        <v>149</v>
      </c>
      <c r="C163" s="147">
        <v>1</v>
      </c>
      <c r="D163" s="147">
        <v>7</v>
      </c>
      <c r="E163" s="147">
        <v>10</v>
      </c>
      <c r="F163" s="147"/>
      <c r="G163" s="147"/>
      <c r="H163" s="147"/>
      <c r="J163" s="134">
        <f t="shared" si="6"/>
        <v>181.66666666666666</v>
      </c>
    </row>
    <row r="164" spans="2:10" ht="24.95" customHeight="1" x14ac:dyDescent="0.25">
      <c r="B164" s="163" t="s">
        <v>151</v>
      </c>
      <c r="C164" s="147">
        <v>1</v>
      </c>
      <c r="D164" s="147">
        <v>8</v>
      </c>
      <c r="E164" s="147">
        <v>10</v>
      </c>
      <c r="F164" s="147"/>
      <c r="G164" s="147"/>
      <c r="H164" s="147"/>
      <c r="J164" s="134">
        <f t="shared" si="6"/>
        <v>181</v>
      </c>
    </row>
    <row r="165" spans="2:10" ht="24.95" customHeight="1" x14ac:dyDescent="0.25">
      <c r="B165" s="162" t="s">
        <v>153</v>
      </c>
      <c r="C165" s="147">
        <v>2</v>
      </c>
      <c r="D165" s="147">
        <v>8</v>
      </c>
      <c r="E165" s="147">
        <v>10</v>
      </c>
      <c r="F165" s="147"/>
      <c r="G165" s="147"/>
      <c r="H165" s="147"/>
      <c r="J165" s="134">
        <f t="shared" si="6"/>
        <v>180.5</v>
      </c>
    </row>
    <row r="166" spans="2:10" ht="24.95" customHeight="1" x14ac:dyDescent="0.25">
      <c r="B166" s="163" t="s">
        <v>155</v>
      </c>
      <c r="C166" s="147">
        <v>1</v>
      </c>
      <c r="D166" s="147">
        <v>7</v>
      </c>
      <c r="E166" s="147">
        <v>10</v>
      </c>
      <c r="F166" s="147"/>
      <c r="G166" s="147"/>
      <c r="H166" s="147"/>
      <c r="J166" s="134">
        <f t="shared" si="6"/>
        <v>181.66666666666666</v>
      </c>
    </row>
    <row r="167" spans="2:10" ht="24.95" customHeight="1" x14ac:dyDescent="0.25">
      <c r="B167" s="162" t="s">
        <v>157</v>
      </c>
      <c r="C167" s="147">
        <v>0</v>
      </c>
      <c r="D167" s="147">
        <v>6</v>
      </c>
      <c r="E167" s="147">
        <v>10</v>
      </c>
      <c r="F167" s="147"/>
      <c r="G167" s="147"/>
      <c r="H167" s="147"/>
      <c r="J167" s="134">
        <f t="shared" si="6"/>
        <v>182.83333333333334</v>
      </c>
    </row>
    <row r="168" spans="2:10" ht="24.95" customHeight="1" x14ac:dyDescent="0.25">
      <c r="B168" s="163" t="s">
        <v>159</v>
      </c>
      <c r="C168" s="147">
        <v>0</v>
      </c>
      <c r="D168" s="147">
        <v>7</v>
      </c>
      <c r="E168" s="147">
        <v>10</v>
      </c>
      <c r="F168" s="147"/>
      <c r="G168" s="147"/>
      <c r="H168" s="147"/>
      <c r="J168" s="134">
        <f t="shared" si="6"/>
        <v>182</v>
      </c>
    </row>
    <row r="169" spans="2:10" ht="24.95" customHeight="1" x14ac:dyDescent="0.25">
      <c r="B169" s="162" t="s">
        <v>161</v>
      </c>
      <c r="C169" s="147">
        <v>1</v>
      </c>
      <c r="D169" s="147">
        <v>7</v>
      </c>
      <c r="E169" s="147">
        <v>10</v>
      </c>
      <c r="F169" s="147"/>
      <c r="G169" s="147"/>
      <c r="H169" s="147"/>
      <c r="J169" s="134">
        <f t="shared" si="6"/>
        <v>181.66666666666666</v>
      </c>
    </row>
    <row r="170" spans="2:10" ht="24.95" customHeight="1" x14ac:dyDescent="0.25">
      <c r="B170" s="163" t="s">
        <v>163</v>
      </c>
      <c r="C170" s="147">
        <v>0</v>
      </c>
      <c r="D170" s="147">
        <v>6</v>
      </c>
      <c r="E170" s="147">
        <v>10</v>
      </c>
      <c r="F170" s="147"/>
      <c r="G170" s="147"/>
      <c r="H170" s="147"/>
      <c r="J170" s="134">
        <f t="shared" si="6"/>
        <v>182.83333333333334</v>
      </c>
    </row>
    <row r="171" spans="2:10" ht="24.95" customHeight="1" x14ac:dyDescent="0.25">
      <c r="B171" s="162" t="s">
        <v>165</v>
      </c>
      <c r="C171" s="147">
        <v>0</v>
      </c>
      <c r="D171" s="147">
        <v>6</v>
      </c>
      <c r="E171" s="147">
        <v>10</v>
      </c>
      <c r="F171" s="147"/>
      <c r="G171" s="147"/>
      <c r="H171" s="147"/>
      <c r="J171" s="134">
        <f t="shared" si="6"/>
        <v>182.83333333333334</v>
      </c>
    </row>
    <row r="172" spans="2:10" ht="24.95" customHeight="1" x14ac:dyDescent="0.25">
      <c r="B172" s="163" t="s">
        <v>167</v>
      </c>
      <c r="C172" s="147">
        <v>0</v>
      </c>
      <c r="D172" s="147">
        <v>7</v>
      </c>
      <c r="E172" s="147">
        <v>10</v>
      </c>
      <c r="F172" s="147"/>
      <c r="G172" s="147"/>
      <c r="H172" s="147"/>
      <c r="J172" s="134">
        <f t="shared" si="6"/>
        <v>182</v>
      </c>
    </row>
    <row r="173" spans="2:10" ht="24.95" customHeight="1" x14ac:dyDescent="0.25">
      <c r="B173" s="162" t="s">
        <v>169</v>
      </c>
      <c r="C173" s="147">
        <v>0</v>
      </c>
      <c r="D173" s="147">
        <v>6</v>
      </c>
      <c r="E173" s="147">
        <v>10</v>
      </c>
      <c r="F173" s="147"/>
      <c r="G173" s="147"/>
      <c r="H173" s="147"/>
      <c r="J173" s="134">
        <f t="shared" si="6"/>
        <v>182.83333333333334</v>
      </c>
    </row>
    <row r="174" spans="2:10" ht="24.95" customHeight="1" x14ac:dyDescent="0.25">
      <c r="B174" s="163" t="s">
        <v>171</v>
      </c>
      <c r="C174" s="147">
        <v>0</v>
      </c>
      <c r="D174" s="147">
        <v>6</v>
      </c>
      <c r="E174" s="147">
        <v>10</v>
      </c>
      <c r="F174" s="147"/>
      <c r="G174" s="147"/>
      <c r="H174" s="147"/>
      <c r="J174" s="134">
        <f t="shared" si="6"/>
        <v>182.83333333333334</v>
      </c>
    </row>
    <row r="175" spans="2:10" ht="24.95" customHeight="1" x14ac:dyDescent="0.25">
      <c r="B175" s="162" t="s">
        <v>173</v>
      </c>
      <c r="C175" s="147">
        <v>2</v>
      </c>
      <c r="D175" s="147">
        <v>7</v>
      </c>
      <c r="E175" s="147">
        <v>10</v>
      </c>
      <c r="F175" s="147"/>
      <c r="G175" s="147"/>
      <c r="H175" s="147"/>
      <c r="J175" s="134">
        <f t="shared" si="6"/>
        <v>181.2</v>
      </c>
    </row>
    <row r="176" spans="2:10" ht="24.95" customHeight="1" thickBot="1" x14ac:dyDescent="0.3">
      <c r="B176" s="161" t="s">
        <v>175</v>
      </c>
      <c r="C176" s="140">
        <v>0</v>
      </c>
      <c r="D176" s="140">
        <v>6</v>
      </c>
      <c r="E176" s="140">
        <v>10</v>
      </c>
      <c r="F176" s="140"/>
      <c r="G176" s="140"/>
      <c r="H176" s="140"/>
      <c r="J176" s="134">
        <f t="shared" si="6"/>
        <v>182.83333333333334</v>
      </c>
    </row>
    <row r="177" spans="2:10" ht="24.95" customHeight="1" x14ac:dyDescent="0.25">
      <c r="B177" s="160" t="s">
        <v>177</v>
      </c>
      <c r="C177" s="157">
        <v>1</v>
      </c>
      <c r="D177" s="157">
        <v>6</v>
      </c>
      <c r="E177" s="157">
        <v>10</v>
      </c>
      <c r="F177" s="157"/>
      <c r="G177" s="157"/>
      <c r="H177" s="157"/>
      <c r="J177" s="134">
        <f t="shared" si="6"/>
        <v>182.6</v>
      </c>
    </row>
    <row r="178" spans="2:10" ht="24.95" customHeight="1" x14ac:dyDescent="0.25">
      <c r="B178" s="151" t="s">
        <v>179</v>
      </c>
      <c r="C178" s="147">
        <v>0</v>
      </c>
      <c r="D178" s="147">
        <v>5</v>
      </c>
      <c r="E178" s="147">
        <v>9</v>
      </c>
      <c r="F178" s="147"/>
      <c r="G178" s="147"/>
      <c r="H178" s="147"/>
      <c r="J178" s="134">
        <f t="shared" si="6"/>
        <v>184</v>
      </c>
    </row>
    <row r="179" spans="2:10" ht="24.95" customHeight="1" x14ac:dyDescent="0.25">
      <c r="B179" s="152" t="s">
        <v>181</v>
      </c>
      <c r="C179" s="147">
        <v>0</v>
      </c>
      <c r="D179" s="147">
        <v>6</v>
      </c>
      <c r="E179" s="147">
        <v>10</v>
      </c>
      <c r="F179" s="147"/>
      <c r="G179" s="147"/>
      <c r="H179" s="147"/>
      <c r="J179" s="134">
        <f t="shared" si="6"/>
        <v>182.83333333333334</v>
      </c>
    </row>
    <row r="180" spans="2:10" ht="24.95" customHeight="1" x14ac:dyDescent="0.25">
      <c r="B180" s="151" t="s">
        <v>183</v>
      </c>
      <c r="C180" s="147">
        <v>0</v>
      </c>
      <c r="D180" s="147">
        <v>7</v>
      </c>
      <c r="E180" s="147">
        <v>10</v>
      </c>
      <c r="F180" s="147"/>
      <c r="G180" s="147"/>
      <c r="H180" s="147"/>
      <c r="J180" s="134">
        <f t="shared" si="6"/>
        <v>182</v>
      </c>
    </row>
    <row r="181" spans="2:10" ht="24.95" customHeight="1" x14ac:dyDescent="0.25">
      <c r="B181" s="152" t="s">
        <v>185</v>
      </c>
      <c r="C181" s="147">
        <v>0</v>
      </c>
      <c r="D181" s="147">
        <v>6</v>
      </c>
      <c r="E181" s="147">
        <v>10</v>
      </c>
      <c r="F181" s="147"/>
      <c r="G181" s="147"/>
      <c r="H181" s="147"/>
      <c r="J181" s="134">
        <f t="shared" si="6"/>
        <v>182.83333333333334</v>
      </c>
    </row>
    <row r="182" spans="2:10" ht="24.95" customHeight="1" x14ac:dyDescent="0.25">
      <c r="B182" s="151" t="s">
        <v>187</v>
      </c>
      <c r="C182" s="147">
        <v>0</v>
      </c>
      <c r="D182" s="147">
        <v>6</v>
      </c>
      <c r="E182" s="147">
        <v>10</v>
      </c>
      <c r="F182" s="147"/>
      <c r="G182" s="147"/>
      <c r="H182" s="147"/>
      <c r="J182" s="134">
        <f t="shared" si="6"/>
        <v>182.83333333333334</v>
      </c>
    </row>
    <row r="183" spans="2:10" ht="24.95" customHeight="1" x14ac:dyDescent="0.25">
      <c r="B183" s="152" t="s">
        <v>189</v>
      </c>
      <c r="C183" s="147">
        <v>1</v>
      </c>
      <c r="D183" s="147">
        <v>7</v>
      </c>
      <c r="E183" s="147">
        <v>10</v>
      </c>
      <c r="F183" s="147"/>
      <c r="G183" s="147"/>
      <c r="H183" s="147"/>
      <c r="J183" s="134">
        <f t="shared" si="6"/>
        <v>181.66666666666666</v>
      </c>
    </row>
    <row r="184" spans="2:10" ht="24.95" customHeight="1" x14ac:dyDescent="0.25">
      <c r="B184" s="151" t="s">
        <v>191</v>
      </c>
      <c r="C184" s="147">
        <v>0</v>
      </c>
      <c r="D184" s="147">
        <v>7</v>
      </c>
      <c r="E184" s="147">
        <v>10</v>
      </c>
      <c r="F184" s="147"/>
      <c r="G184" s="147"/>
      <c r="H184" s="147"/>
      <c r="J184" s="134">
        <f t="shared" si="6"/>
        <v>182</v>
      </c>
    </row>
    <row r="185" spans="2:10" ht="24.95" customHeight="1" x14ac:dyDescent="0.25">
      <c r="B185" s="152" t="s">
        <v>193</v>
      </c>
      <c r="C185" s="147">
        <v>0</v>
      </c>
      <c r="D185" s="147">
        <v>6</v>
      </c>
      <c r="E185" s="147">
        <v>10</v>
      </c>
      <c r="F185" s="147"/>
      <c r="G185" s="147"/>
      <c r="H185" s="147"/>
      <c r="J185" s="134">
        <f t="shared" si="6"/>
        <v>182.83333333333334</v>
      </c>
    </row>
    <row r="186" spans="2:10" ht="24.95" customHeight="1" x14ac:dyDescent="0.25">
      <c r="B186" s="151" t="s">
        <v>195</v>
      </c>
      <c r="C186" s="147">
        <v>0</v>
      </c>
      <c r="D186" s="147">
        <v>6</v>
      </c>
      <c r="E186" s="147">
        <v>10</v>
      </c>
      <c r="F186" s="147"/>
      <c r="G186" s="147"/>
      <c r="H186" s="147"/>
      <c r="J186" s="134">
        <f t="shared" si="6"/>
        <v>182.83333333333334</v>
      </c>
    </row>
    <row r="187" spans="2:10" ht="24.95" customHeight="1" x14ac:dyDescent="0.25">
      <c r="B187" s="152" t="s">
        <v>197</v>
      </c>
      <c r="C187" s="147">
        <v>0</v>
      </c>
      <c r="D187" s="147">
        <v>6</v>
      </c>
      <c r="E187" s="147">
        <v>10</v>
      </c>
      <c r="F187" s="147"/>
      <c r="G187" s="147"/>
      <c r="H187" s="147"/>
      <c r="J187" s="134">
        <f t="shared" si="6"/>
        <v>182.83333333333334</v>
      </c>
    </row>
    <row r="188" spans="2:10" ht="24.95" customHeight="1" x14ac:dyDescent="0.25">
      <c r="B188" s="151" t="s">
        <v>199</v>
      </c>
      <c r="C188" s="147">
        <v>1</v>
      </c>
      <c r="D188" s="147">
        <v>7</v>
      </c>
      <c r="E188" s="147">
        <v>10</v>
      </c>
      <c r="F188" s="147"/>
      <c r="G188" s="147"/>
      <c r="H188" s="147"/>
      <c r="J188" s="134">
        <f t="shared" si="6"/>
        <v>181.66666666666666</v>
      </c>
    </row>
    <row r="189" spans="2:10" ht="24.95" customHeight="1" x14ac:dyDescent="0.25">
      <c r="B189" s="152" t="s">
        <v>201</v>
      </c>
      <c r="C189" s="147">
        <v>0</v>
      </c>
      <c r="D189" s="147">
        <v>7</v>
      </c>
      <c r="E189" s="147">
        <v>10</v>
      </c>
      <c r="F189" s="147"/>
      <c r="G189" s="147"/>
      <c r="H189" s="147"/>
      <c r="J189" s="134">
        <f t="shared" si="6"/>
        <v>182</v>
      </c>
    </row>
    <row r="190" spans="2:10" ht="24.95" customHeight="1" x14ac:dyDescent="0.25">
      <c r="B190" s="151" t="s">
        <v>203</v>
      </c>
      <c r="C190" s="147">
        <v>1</v>
      </c>
      <c r="D190" s="147">
        <v>7</v>
      </c>
      <c r="E190" s="147">
        <v>10</v>
      </c>
      <c r="F190" s="147"/>
      <c r="G190" s="147"/>
      <c r="H190" s="147"/>
      <c r="J190" s="134">
        <f t="shared" si="6"/>
        <v>181.66666666666666</v>
      </c>
    </row>
    <row r="191" spans="2:10" ht="24.95" customHeight="1" thickBot="1" x14ac:dyDescent="0.3">
      <c r="B191" s="144" t="s">
        <v>205</v>
      </c>
      <c r="C191" s="140">
        <v>0</v>
      </c>
      <c r="D191" s="140">
        <v>6</v>
      </c>
      <c r="E191" s="140">
        <v>10</v>
      </c>
      <c r="F191" s="140"/>
      <c r="G191" s="140"/>
      <c r="H191" s="140"/>
      <c r="J191" s="134">
        <f t="shared" si="6"/>
        <v>182.83333333333334</v>
      </c>
    </row>
    <row r="194" spans="2:6" x14ac:dyDescent="0.25">
      <c r="C194" s="130">
        <v>177</v>
      </c>
      <c r="D194" s="130">
        <v>184</v>
      </c>
      <c r="E194" s="130">
        <v>194</v>
      </c>
    </row>
    <row r="195" spans="2:6" x14ac:dyDescent="0.25">
      <c r="B195" s="202" t="s">
        <v>477</v>
      </c>
      <c r="C195" s="203">
        <f>AVERAGE(C12:C26)</f>
        <v>0.53333333333333333</v>
      </c>
      <c r="D195" s="203">
        <f t="shared" ref="D195:E195" si="7">AVERAGE(D12:D26)</f>
        <v>6.4</v>
      </c>
      <c r="E195" s="203">
        <f t="shared" si="7"/>
        <v>10</v>
      </c>
      <c r="F195" s="134">
        <f>C$194+(5-C195)/(D195-C195)*(D$194-C$194)</f>
        <v>182.32954545454547</v>
      </c>
    </row>
    <row r="196" spans="2:6" x14ac:dyDescent="0.25">
      <c r="B196" s="202" t="s">
        <v>478</v>
      </c>
      <c r="C196" s="203">
        <f>AVERAGE(C27:C41)</f>
        <v>0.26666666666666666</v>
      </c>
      <c r="D196" s="203">
        <f t="shared" ref="D196:E196" si="8">AVERAGE(D27:D41)</f>
        <v>5.666666666666667</v>
      </c>
      <c r="E196" s="203">
        <f t="shared" si="8"/>
        <v>9.7333333333333325</v>
      </c>
      <c r="F196" s="134">
        <f t="shared" ref="F196:F206" si="9">C$194+(5-C196)/(D196-C196)*(D$194-C$194)</f>
        <v>183.1358024691358</v>
      </c>
    </row>
    <row r="197" spans="2:6" x14ac:dyDescent="0.25">
      <c r="B197" s="202" t="s">
        <v>479</v>
      </c>
      <c r="C197" s="203">
        <f>AVERAGE(C42:C56)</f>
        <v>0.2</v>
      </c>
      <c r="D197" s="203">
        <f t="shared" ref="D197:E197" si="10">AVERAGE(D42:D56)</f>
        <v>5.9333333333333336</v>
      </c>
      <c r="E197" s="203">
        <f t="shared" si="10"/>
        <v>9.8666666666666671</v>
      </c>
      <c r="F197" s="134">
        <f t="shared" si="9"/>
        <v>182.86046511627907</v>
      </c>
    </row>
    <row r="198" spans="2:6" x14ac:dyDescent="0.25">
      <c r="B198" s="202" t="s">
        <v>480</v>
      </c>
      <c r="C198" s="203">
        <f>AVERAGE(C57:C71)</f>
        <v>0.66666666666666663</v>
      </c>
      <c r="D198" s="203">
        <f t="shared" ref="D198:E198" si="11">AVERAGE(D57:D71)</f>
        <v>6.8666666666666663</v>
      </c>
      <c r="E198" s="203">
        <f t="shared" si="11"/>
        <v>10</v>
      </c>
      <c r="F198" s="134">
        <f t="shared" si="9"/>
        <v>181.89247311827958</v>
      </c>
    </row>
    <row r="199" spans="2:6" x14ac:dyDescent="0.25">
      <c r="B199" s="202" t="s">
        <v>481</v>
      </c>
      <c r="C199" s="203">
        <f>AVERAGE(C72:C86)</f>
        <v>0.2</v>
      </c>
      <c r="D199" s="203">
        <f t="shared" ref="D199:E199" si="12">AVERAGE(D72:D86)</f>
        <v>5.9333333333333336</v>
      </c>
      <c r="E199" s="203">
        <f t="shared" si="12"/>
        <v>9.8000000000000007</v>
      </c>
      <c r="F199" s="134">
        <f t="shared" si="9"/>
        <v>182.86046511627907</v>
      </c>
    </row>
    <row r="200" spans="2:6" x14ac:dyDescent="0.25">
      <c r="B200" s="202" t="s">
        <v>482</v>
      </c>
      <c r="C200" s="203">
        <f>AVERAGE(C87:C101)</f>
        <v>0.53333333333333333</v>
      </c>
      <c r="D200" s="203">
        <f t="shared" ref="D200:E200" si="13">AVERAGE(D87:D101)</f>
        <v>6.4</v>
      </c>
      <c r="E200" s="203">
        <f t="shared" si="13"/>
        <v>9.8000000000000007</v>
      </c>
      <c r="F200" s="134">
        <f t="shared" si="9"/>
        <v>182.32954545454547</v>
      </c>
    </row>
    <row r="201" spans="2:6" x14ac:dyDescent="0.25">
      <c r="B201" s="202" t="s">
        <v>483</v>
      </c>
      <c r="C201" s="203">
        <f>AVERAGE(C102:C116)</f>
        <v>6.6666666666666666E-2</v>
      </c>
      <c r="D201" s="203">
        <f t="shared" ref="D201:E201" si="14">AVERAGE(D102:D116)</f>
        <v>5.333333333333333</v>
      </c>
      <c r="E201" s="203">
        <f t="shared" si="14"/>
        <v>9.4666666666666668</v>
      </c>
      <c r="F201" s="134">
        <f t="shared" si="9"/>
        <v>183.55696202531647</v>
      </c>
    </row>
    <row r="202" spans="2:6" x14ac:dyDescent="0.25">
      <c r="B202" s="202" t="s">
        <v>484</v>
      </c>
      <c r="C202" s="203">
        <f>AVERAGE(C117:C131)</f>
        <v>0.2</v>
      </c>
      <c r="D202" s="203">
        <f t="shared" ref="D202:E202" si="15">AVERAGE(D117:D131)</f>
        <v>5.8</v>
      </c>
      <c r="E202" s="203">
        <f t="shared" si="15"/>
        <v>9.7333333333333325</v>
      </c>
      <c r="F202" s="134">
        <f t="shared" si="9"/>
        <v>183</v>
      </c>
    </row>
    <row r="203" spans="2:6" x14ac:dyDescent="0.25">
      <c r="B203" s="202" t="s">
        <v>485</v>
      </c>
      <c r="C203" s="203">
        <f>AVERAGE(C132:C146)</f>
        <v>0.53333333333333333</v>
      </c>
      <c r="D203" s="203">
        <f t="shared" ref="D203:E203" si="16">AVERAGE(D132:D146)</f>
        <v>6.333333333333333</v>
      </c>
      <c r="E203" s="203">
        <f t="shared" si="16"/>
        <v>9.9333333333333336</v>
      </c>
      <c r="F203" s="134">
        <f t="shared" si="9"/>
        <v>182.39080459770116</v>
      </c>
    </row>
    <row r="204" spans="2:6" x14ac:dyDescent="0.25">
      <c r="B204" s="202" t="s">
        <v>486</v>
      </c>
      <c r="C204" s="203">
        <f>AVERAGE(C147:C161)</f>
        <v>0.26666666666666666</v>
      </c>
      <c r="D204" s="203">
        <f t="shared" ref="D204:E204" si="17">AVERAGE(D147:D161)</f>
        <v>5.6</v>
      </c>
      <c r="E204" s="203">
        <f t="shared" si="17"/>
        <v>9.7333333333333325</v>
      </c>
      <c r="F204" s="134">
        <f t="shared" si="9"/>
        <v>183.21250000000001</v>
      </c>
    </row>
    <row r="205" spans="2:6" x14ac:dyDescent="0.25">
      <c r="B205" s="202" t="s">
        <v>487</v>
      </c>
      <c r="C205" s="203">
        <f>AVERAGE(C162:C176)</f>
        <v>0.66666666666666663</v>
      </c>
      <c r="D205" s="203">
        <f t="shared" ref="D205:E205" si="18">AVERAGE(D162:D176)</f>
        <v>6.7333333333333334</v>
      </c>
      <c r="E205" s="203">
        <f t="shared" si="18"/>
        <v>10</v>
      </c>
      <c r="F205" s="134">
        <f t="shared" si="9"/>
        <v>182</v>
      </c>
    </row>
    <row r="206" spans="2:6" x14ac:dyDescent="0.25">
      <c r="B206" s="202" t="s">
        <v>488</v>
      </c>
      <c r="C206" s="203">
        <f>AVERAGE(C177:C191)</f>
        <v>0.26666666666666666</v>
      </c>
      <c r="D206" s="203">
        <f t="shared" ref="D206:E206" si="19">AVERAGE(D177:D191)</f>
        <v>6.333333333333333</v>
      </c>
      <c r="E206" s="203">
        <f t="shared" si="19"/>
        <v>9.9333333333333336</v>
      </c>
      <c r="F206" s="134">
        <f t="shared" si="9"/>
        <v>182.46153846153845</v>
      </c>
    </row>
  </sheetData>
  <phoneticPr fontId="34" type="noConversion"/>
  <printOptions horizontalCentered="1"/>
  <pageMargins left="0.5" right="0.5" top="0.5" bottom="0.5" header="0" footer="0.25"/>
  <pageSetup scale="80" fitToHeight="2" orientation="portrait" r:id="rId1"/>
  <headerFooter>
    <oddFooter xml:space="preserve">&amp;R&amp;9smm - &amp;Z&amp;F&amp;P of &amp;N&amp;11
  </oddFooter>
  </headerFooter>
  <rowBreaks count="2" manualBreakCount="2">
    <brk id="27" max="16383" man="1"/>
    <brk id="43"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597FC-3E0C-4A88-9556-6CA4BE1586E6}">
  <dimension ref="A1:N19"/>
  <sheetViews>
    <sheetView topLeftCell="E1" zoomScaleNormal="100" zoomScaleSheetLayoutView="100" workbookViewId="0">
      <selection activeCell="O7" sqref="O7"/>
    </sheetView>
  </sheetViews>
  <sheetFormatPr defaultRowHeight="12.75" x14ac:dyDescent="0.2"/>
  <cols>
    <col min="2" max="2" width="7.7109375" style="1" customWidth="1"/>
    <col min="3" max="13" width="12.7109375" customWidth="1"/>
  </cols>
  <sheetData>
    <row r="1" spans="1:14" ht="15.75" x14ac:dyDescent="0.25">
      <c r="A1" s="6">
        <v>2023</v>
      </c>
      <c r="B1" s="8" t="s">
        <v>16</v>
      </c>
      <c r="C1" s="8" t="s">
        <v>6</v>
      </c>
      <c r="E1" s="4" t="s">
        <v>503</v>
      </c>
      <c r="F1" s="215">
        <v>45110</v>
      </c>
      <c r="G1" s="214"/>
      <c r="H1" s="214"/>
      <c r="I1" s="214"/>
      <c r="J1" s="214"/>
      <c r="K1" s="214"/>
      <c r="L1" s="214"/>
    </row>
    <row r="2" spans="1:14" ht="6.6" customHeight="1" x14ac:dyDescent="0.25">
      <c r="B2" s="7"/>
      <c r="E2" s="4"/>
      <c r="F2" s="4"/>
    </row>
    <row r="3" spans="1:14" x14ac:dyDescent="0.2">
      <c r="B3" s="5" t="s">
        <v>502</v>
      </c>
      <c r="E3" s="4" t="s">
        <v>9</v>
      </c>
      <c r="F3" s="4" t="s">
        <v>223</v>
      </c>
    </row>
    <row r="4" spans="1:14" ht="33" customHeight="1" x14ac:dyDescent="0.2">
      <c r="B4" s="238" t="s">
        <v>501</v>
      </c>
      <c r="C4" s="239"/>
      <c r="D4" s="239"/>
      <c r="E4" s="239"/>
      <c r="F4" s="239"/>
      <c r="G4" s="239"/>
      <c r="H4" s="213"/>
      <c r="I4" s="213"/>
      <c r="J4" s="213" t="s">
        <v>23</v>
      </c>
      <c r="K4" s="213"/>
      <c r="L4" s="213"/>
      <c r="M4" s="212"/>
    </row>
    <row r="5" spans="1:14" ht="15" customHeight="1" x14ac:dyDescent="0.2">
      <c r="B5" s="5"/>
      <c r="C5" s="211"/>
      <c r="D5" s="211"/>
      <c r="E5" s="211"/>
      <c r="F5" s="211"/>
      <c r="G5" s="211"/>
      <c r="H5" s="211"/>
      <c r="I5" s="211"/>
      <c r="J5" s="211"/>
      <c r="K5" s="211"/>
      <c r="L5" s="211"/>
      <c r="M5" s="3"/>
    </row>
    <row r="6" spans="1:14" ht="21.6" customHeight="1" thickBot="1" x14ac:dyDescent="0.25">
      <c r="B6" s="12" t="s">
        <v>7</v>
      </c>
      <c r="C6" s="210" t="s">
        <v>21</v>
      </c>
      <c r="D6" s="210" t="s">
        <v>21</v>
      </c>
      <c r="E6" s="210" t="s">
        <v>21</v>
      </c>
      <c r="F6" s="210" t="s">
        <v>21</v>
      </c>
      <c r="G6" s="210" t="s">
        <v>21</v>
      </c>
      <c r="H6" s="210" t="s">
        <v>21</v>
      </c>
      <c r="I6" s="210" t="s">
        <v>21</v>
      </c>
      <c r="J6" s="210" t="s">
        <v>21</v>
      </c>
      <c r="K6" s="210" t="s">
        <v>21</v>
      </c>
      <c r="L6" s="210" t="s">
        <v>21</v>
      </c>
      <c r="M6" s="210" t="s">
        <v>21</v>
      </c>
      <c r="N6" s="209" t="s">
        <v>500</v>
      </c>
    </row>
    <row r="7" spans="1:14" ht="21.6" customHeight="1" thickTop="1" thickBot="1" x14ac:dyDescent="0.25">
      <c r="A7" t="s">
        <v>497</v>
      </c>
      <c r="B7" s="11">
        <v>1</v>
      </c>
      <c r="C7" s="208">
        <v>6</v>
      </c>
      <c r="D7" s="208">
        <v>6</v>
      </c>
      <c r="E7" s="208">
        <v>6</v>
      </c>
      <c r="F7" s="208">
        <v>7</v>
      </c>
      <c r="G7" s="208">
        <v>6</v>
      </c>
      <c r="H7" s="208">
        <v>8</v>
      </c>
      <c r="I7" s="208">
        <v>7</v>
      </c>
      <c r="J7" s="208">
        <v>6</v>
      </c>
      <c r="K7" s="208">
        <v>6</v>
      </c>
      <c r="L7" s="208">
        <v>6</v>
      </c>
      <c r="M7" s="208">
        <v>5</v>
      </c>
      <c r="N7" s="204">
        <f t="shared" ref="N7:N18" si="0">AVERAGE(C7:M7)</f>
        <v>6.2727272727272725</v>
      </c>
    </row>
    <row r="8" spans="1:14" ht="21.6" customHeight="1" thickTop="1" thickBot="1" x14ac:dyDescent="0.25">
      <c r="A8" t="s">
        <v>498</v>
      </c>
      <c r="B8" s="65">
        <v>2</v>
      </c>
      <c r="C8" s="207">
        <v>6</v>
      </c>
      <c r="D8" s="207">
        <v>7</v>
      </c>
      <c r="E8" s="207">
        <v>7</v>
      </c>
      <c r="F8" s="207">
        <v>7</v>
      </c>
      <c r="G8" s="207">
        <v>8</v>
      </c>
      <c r="H8" s="207">
        <v>7</v>
      </c>
      <c r="I8" s="207">
        <v>7</v>
      </c>
      <c r="J8" s="207">
        <v>8</v>
      </c>
      <c r="K8" s="207">
        <v>8</v>
      </c>
      <c r="L8" s="207">
        <v>7</v>
      </c>
      <c r="M8" s="207">
        <v>7</v>
      </c>
      <c r="N8" s="204">
        <f t="shared" si="0"/>
        <v>7.1818181818181817</v>
      </c>
    </row>
    <row r="9" spans="1:14" ht="21.6" customHeight="1" thickTop="1" thickBot="1" x14ac:dyDescent="0.25">
      <c r="A9" t="s">
        <v>498</v>
      </c>
      <c r="B9" s="65">
        <v>3</v>
      </c>
      <c r="C9" s="207">
        <v>7</v>
      </c>
      <c r="D9" s="207">
        <v>8</v>
      </c>
      <c r="E9" s="207">
        <v>8</v>
      </c>
      <c r="F9" s="207">
        <v>9</v>
      </c>
      <c r="G9" s="207">
        <v>7</v>
      </c>
      <c r="H9" s="207">
        <v>7</v>
      </c>
      <c r="I9" s="207">
        <v>8</v>
      </c>
      <c r="J9" s="207">
        <v>7</v>
      </c>
      <c r="K9" s="207">
        <v>7</v>
      </c>
      <c r="L9" s="207">
        <v>6</v>
      </c>
      <c r="M9" s="207">
        <v>6</v>
      </c>
      <c r="N9" s="204">
        <f t="shared" si="0"/>
        <v>7.2727272727272725</v>
      </c>
    </row>
    <row r="10" spans="1:14" ht="21.6" customHeight="1" thickTop="1" thickBot="1" x14ac:dyDescent="0.25">
      <c r="A10" t="s">
        <v>499</v>
      </c>
      <c r="B10" s="206">
        <v>4</v>
      </c>
      <c r="C10" s="205">
        <v>5</v>
      </c>
      <c r="D10" s="205">
        <v>5</v>
      </c>
      <c r="E10" s="205">
        <v>6</v>
      </c>
      <c r="F10" s="205">
        <v>9</v>
      </c>
      <c r="G10" s="205">
        <v>7</v>
      </c>
      <c r="H10" s="205">
        <v>7</v>
      </c>
      <c r="I10" s="205">
        <v>7</v>
      </c>
      <c r="J10" s="205">
        <v>8</v>
      </c>
      <c r="K10" s="205">
        <v>7</v>
      </c>
      <c r="L10" s="205">
        <v>6</v>
      </c>
      <c r="M10" s="205">
        <v>6</v>
      </c>
      <c r="N10" s="204">
        <f t="shared" si="0"/>
        <v>6.6363636363636367</v>
      </c>
    </row>
    <row r="11" spans="1:14" ht="21.6" customHeight="1" thickTop="1" thickBot="1" x14ac:dyDescent="0.25">
      <c r="A11" t="s">
        <v>498</v>
      </c>
      <c r="B11" s="206">
        <v>5</v>
      </c>
      <c r="C11" s="205">
        <v>8</v>
      </c>
      <c r="D11" s="205">
        <v>7</v>
      </c>
      <c r="E11" s="205">
        <v>7</v>
      </c>
      <c r="F11" s="205">
        <v>8</v>
      </c>
      <c r="G11" s="205">
        <v>7</v>
      </c>
      <c r="H11" s="205">
        <v>8</v>
      </c>
      <c r="I11" s="205">
        <v>8</v>
      </c>
      <c r="J11" s="205">
        <v>7</v>
      </c>
      <c r="K11" s="205">
        <v>6</v>
      </c>
      <c r="L11" s="205">
        <v>7</v>
      </c>
      <c r="M11" s="205">
        <v>6</v>
      </c>
      <c r="N11" s="204">
        <f t="shared" si="0"/>
        <v>7.1818181818181817</v>
      </c>
    </row>
    <row r="12" spans="1:14" ht="21.6" customHeight="1" thickTop="1" thickBot="1" x14ac:dyDescent="0.25">
      <c r="A12" t="s">
        <v>497</v>
      </c>
      <c r="B12" s="206">
        <v>6</v>
      </c>
      <c r="C12" s="205">
        <v>6</v>
      </c>
      <c r="D12" s="205">
        <v>5</v>
      </c>
      <c r="E12" s="205">
        <v>6</v>
      </c>
      <c r="F12" s="205">
        <v>6</v>
      </c>
      <c r="G12" s="205">
        <v>7</v>
      </c>
      <c r="H12" s="205">
        <v>7</v>
      </c>
      <c r="I12" s="205">
        <v>8</v>
      </c>
      <c r="J12" s="205">
        <v>7</v>
      </c>
      <c r="K12" s="205">
        <v>8</v>
      </c>
      <c r="L12" s="205">
        <v>7</v>
      </c>
      <c r="M12" s="205">
        <v>7</v>
      </c>
      <c r="N12" s="204">
        <f t="shared" si="0"/>
        <v>6.7272727272727275</v>
      </c>
    </row>
    <row r="13" spans="1:14" ht="21.6" customHeight="1" thickTop="1" thickBot="1" x14ac:dyDescent="0.25">
      <c r="A13" t="s">
        <v>495</v>
      </c>
      <c r="B13" s="206">
        <v>7</v>
      </c>
      <c r="C13" s="205">
        <v>6</v>
      </c>
      <c r="D13" s="205">
        <v>7</v>
      </c>
      <c r="E13" s="205">
        <v>6</v>
      </c>
      <c r="F13" s="205">
        <v>6</v>
      </c>
      <c r="G13" s="205">
        <v>6</v>
      </c>
      <c r="H13" s="205">
        <v>7</v>
      </c>
      <c r="I13" s="205">
        <v>7</v>
      </c>
      <c r="J13" s="205">
        <v>6</v>
      </c>
      <c r="K13" s="205">
        <v>6</v>
      </c>
      <c r="L13" s="205">
        <v>7</v>
      </c>
      <c r="M13" s="205">
        <v>5</v>
      </c>
      <c r="N13" s="204">
        <f t="shared" si="0"/>
        <v>6.2727272727272725</v>
      </c>
    </row>
    <row r="14" spans="1:14" ht="21.6" customHeight="1" thickTop="1" thickBot="1" x14ac:dyDescent="0.25">
      <c r="A14" t="s">
        <v>496</v>
      </c>
      <c r="B14" s="206">
        <v>8</v>
      </c>
      <c r="C14" s="205">
        <v>6</v>
      </c>
      <c r="D14" s="205">
        <v>6</v>
      </c>
      <c r="E14" s="205">
        <v>8</v>
      </c>
      <c r="F14" s="205">
        <v>7</v>
      </c>
      <c r="G14" s="205">
        <v>7</v>
      </c>
      <c r="H14" s="205">
        <v>8</v>
      </c>
      <c r="I14" s="205">
        <v>7</v>
      </c>
      <c r="J14" s="205">
        <v>6</v>
      </c>
      <c r="K14" s="205">
        <v>6</v>
      </c>
      <c r="L14" s="205">
        <v>7</v>
      </c>
      <c r="M14" s="205">
        <v>7</v>
      </c>
      <c r="N14" s="204">
        <f t="shared" si="0"/>
        <v>6.8181818181818183</v>
      </c>
    </row>
    <row r="15" spans="1:14" ht="21.6" customHeight="1" thickTop="1" thickBot="1" x14ac:dyDescent="0.25">
      <c r="A15" t="s">
        <v>496</v>
      </c>
      <c r="B15" s="206">
        <v>9</v>
      </c>
      <c r="C15" s="205">
        <v>6</v>
      </c>
      <c r="D15" s="205">
        <v>7</v>
      </c>
      <c r="E15" s="205">
        <v>8</v>
      </c>
      <c r="F15" s="205">
        <v>6</v>
      </c>
      <c r="G15" s="205">
        <v>7</v>
      </c>
      <c r="H15" s="205">
        <v>8</v>
      </c>
      <c r="I15" s="205">
        <v>7</v>
      </c>
      <c r="J15" s="205">
        <v>6</v>
      </c>
      <c r="K15" s="205">
        <v>7</v>
      </c>
      <c r="L15" s="205">
        <v>6</v>
      </c>
      <c r="M15" s="205">
        <v>5</v>
      </c>
      <c r="N15" s="204">
        <f t="shared" si="0"/>
        <v>6.6363636363636367</v>
      </c>
    </row>
    <row r="16" spans="1:14" ht="21.6" customHeight="1" thickTop="1" thickBot="1" x14ac:dyDescent="0.25">
      <c r="A16" t="s">
        <v>495</v>
      </c>
      <c r="B16" s="206">
        <v>10</v>
      </c>
      <c r="C16" s="205">
        <v>4</v>
      </c>
      <c r="D16" s="205">
        <v>6</v>
      </c>
      <c r="E16" s="205">
        <v>6</v>
      </c>
      <c r="F16" s="205">
        <v>7</v>
      </c>
      <c r="G16" s="205">
        <v>7</v>
      </c>
      <c r="H16" s="205">
        <v>6</v>
      </c>
      <c r="I16" s="205">
        <v>6</v>
      </c>
      <c r="J16" s="205">
        <v>7</v>
      </c>
      <c r="K16" s="205">
        <v>6</v>
      </c>
      <c r="L16" s="205">
        <v>6</v>
      </c>
      <c r="M16" s="205">
        <v>6</v>
      </c>
      <c r="N16" s="204">
        <f t="shared" si="0"/>
        <v>6.0909090909090908</v>
      </c>
    </row>
    <row r="17" spans="1:14" ht="21.6" customHeight="1" thickTop="1" thickBot="1" x14ac:dyDescent="0.25">
      <c r="A17" t="s">
        <v>496</v>
      </c>
      <c r="B17" s="206">
        <v>11</v>
      </c>
      <c r="C17" s="205">
        <v>6</v>
      </c>
      <c r="D17" s="205">
        <v>6</v>
      </c>
      <c r="E17" s="205">
        <v>7</v>
      </c>
      <c r="F17" s="205">
        <v>8</v>
      </c>
      <c r="G17" s="205">
        <v>8</v>
      </c>
      <c r="H17" s="205">
        <v>7</v>
      </c>
      <c r="I17" s="205">
        <v>6</v>
      </c>
      <c r="J17" s="205">
        <v>6</v>
      </c>
      <c r="K17" s="205">
        <v>7</v>
      </c>
      <c r="L17" s="205">
        <v>6</v>
      </c>
      <c r="M17" s="205">
        <v>7</v>
      </c>
      <c r="N17" s="204">
        <f t="shared" si="0"/>
        <v>6.7272727272727275</v>
      </c>
    </row>
    <row r="18" spans="1:14" ht="21.6" customHeight="1" thickTop="1" thickBot="1" x14ac:dyDescent="0.25">
      <c r="A18" t="s">
        <v>495</v>
      </c>
      <c r="B18" s="206">
        <v>12</v>
      </c>
      <c r="C18" s="205">
        <v>5</v>
      </c>
      <c r="D18" s="205">
        <v>5</v>
      </c>
      <c r="E18" s="205">
        <v>6</v>
      </c>
      <c r="F18" s="205">
        <v>6</v>
      </c>
      <c r="G18" s="205">
        <v>7</v>
      </c>
      <c r="H18" s="205">
        <v>7</v>
      </c>
      <c r="I18" s="205">
        <v>6</v>
      </c>
      <c r="J18" s="205">
        <v>7</v>
      </c>
      <c r="K18" s="205">
        <v>6</v>
      </c>
      <c r="L18" s="205">
        <v>8</v>
      </c>
      <c r="M18" s="205">
        <v>6</v>
      </c>
      <c r="N18" s="204">
        <f t="shared" si="0"/>
        <v>6.2727272727272725</v>
      </c>
    </row>
    <row r="19" spans="1:14" ht="13.5" thickTop="1" x14ac:dyDescent="0.2"/>
  </sheetData>
  <mergeCells count="1">
    <mergeCell ref="B4:G4"/>
  </mergeCells>
  <pageMargins left="0.45" right="0.45" top="0.5" bottom="0.5" header="0" footer="0"/>
  <pageSetup scale="93" fitToHeight="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755FB-9F75-4462-B84A-6598098FDF19}">
  <dimension ref="A1:N19"/>
  <sheetViews>
    <sheetView topLeftCell="D1" zoomScaleNormal="100" zoomScaleSheetLayoutView="100" workbookViewId="0">
      <selection activeCell="N7" sqref="N7:N18"/>
    </sheetView>
  </sheetViews>
  <sheetFormatPr defaultRowHeight="12.75" x14ac:dyDescent="0.2"/>
  <cols>
    <col min="2" max="2" width="7.7109375" style="1" customWidth="1"/>
    <col min="3" max="13" width="12.7109375" customWidth="1"/>
  </cols>
  <sheetData>
    <row r="1" spans="1:14" ht="15.75" x14ac:dyDescent="0.25">
      <c r="A1" s="6">
        <v>2023</v>
      </c>
      <c r="B1" s="8" t="s">
        <v>16</v>
      </c>
      <c r="C1" s="8" t="s">
        <v>6</v>
      </c>
      <c r="E1" s="4" t="s">
        <v>503</v>
      </c>
      <c r="F1" s="215">
        <v>45120</v>
      </c>
      <c r="G1" s="214"/>
      <c r="H1" s="214"/>
      <c r="I1" s="214"/>
      <c r="J1" s="214"/>
      <c r="K1" s="214"/>
      <c r="L1" s="214"/>
    </row>
    <row r="2" spans="1:14" ht="6.6" customHeight="1" x14ac:dyDescent="0.25">
      <c r="B2" s="7"/>
      <c r="E2" s="4"/>
      <c r="F2" s="4"/>
    </row>
    <row r="3" spans="1:14" x14ac:dyDescent="0.2">
      <c r="B3" s="5" t="s">
        <v>502</v>
      </c>
      <c r="E3" s="4" t="s">
        <v>9</v>
      </c>
      <c r="F3" s="4" t="s">
        <v>223</v>
      </c>
    </row>
    <row r="4" spans="1:14" ht="33" customHeight="1" x14ac:dyDescent="0.2">
      <c r="B4" s="238" t="s">
        <v>501</v>
      </c>
      <c r="C4" s="239"/>
      <c r="D4" s="239"/>
      <c r="E4" s="239"/>
      <c r="F4" s="239"/>
      <c r="G4" s="239"/>
      <c r="H4" s="213"/>
      <c r="I4" s="213"/>
      <c r="J4" s="213" t="s">
        <v>23</v>
      </c>
      <c r="K4" s="213"/>
      <c r="L4" s="213"/>
      <c r="M4" s="212"/>
    </row>
    <row r="5" spans="1:14" ht="15" customHeight="1" x14ac:dyDescent="0.2">
      <c r="B5" s="5"/>
      <c r="C5" s="211"/>
      <c r="D5" s="211"/>
      <c r="E5" s="211"/>
      <c r="F5" s="211"/>
      <c r="G5" s="211"/>
      <c r="H5" s="211"/>
      <c r="I5" s="211"/>
      <c r="J5" s="211"/>
      <c r="K5" s="211"/>
      <c r="L5" s="211"/>
      <c r="M5" s="3"/>
    </row>
    <row r="6" spans="1:14" ht="21.6" customHeight="1" thickBot="1" x14ac:dyDescent="0.25">
      <c r="B6" s="12" t="s">
        <v>7</v>
      </c>
      <c r="C6" s="210" t="s">
        <v>21</v>
      </c>
      <c r="D6" s="210" t="s">
        <v>21</v>
      </c>
      <c r="E6" s="210" t="s">
        <v>21</v>
      </c>
      <c r="F6" s="210" t="s">
        <v>21</v>
      </c>
      <c r="G6" s="210" t="s">
        <v>21</v>
      </c>
      <c r="H6" s="210" t="s">
        <v>21</v>
      </c>
      <c r="I6" s="210" t="s">
        <v>21</v>
      </c>
      <c r="J6" s="210" t="s">
        <v>21</v>
      </c>
      <c r="K6" s="210" t="s">
        <v>21</v>
      </c>
      <c r="L6" s="210" t="s">
        <v>21</v>
      </c>
      <c r="M6" s="210" t="s">
        <v>21</v>
      </c>
      <c r="N6" s="209" t="s">
        <v>500</v>
      </c>
    </row>
    <row r="7" spans="1:14" ht="21.6" customHeight="1" thickTop="1" thickBot="1" x14ac:dyDescent="0.25">
      <c r="A7" t="s">
        <v>497</v>
      </c>
      <c r="B7" s="11">
        <v>1</v>
      </c>
      <c r="C7" s="208">
        <v>6</v>
      </c>
      <c r="D7" s="208">
        <v>6</v>
      </c>
      <c r="E7" s="208">
        <v>6</v>
      </c>
      <c r="F7" s="208">
        <v>5</v>
      </c>
      <c r="G7" s="208">
        <v>7</v>
      </c>
      <c r="H7" s="208">
        <v>7</v>
      </c>
      <c r="I7" s="208">
        <v>6</v>
      </c>
      <c r="J7" s="208">
        <v>5</v>
      </c>
      <c r="K7" s="208">
        <v>6</v>
      </c>
      <c r="L7" s="208">
        <v>6</v>
      </c>
      <c r="M7" s="208">
        <v>5</v>
      </c>
      <c r="N7" s="204">
        <f t="shared" ref="N7:N18" si="0">AVERAGE(C7:M7)</f>
        <v>5.9090909090909092</v>
      </c>
    </row>
    <row r="8" spans="1:14" ht="21.6" customHeight="1" thickTop="1" thickBot="1" x14ac:dyDescent="0.25">
      <c r="A8" t="s">
        <v>498</v>
      </c>
      <c r="B8" s="65">
        <v>2</v>
      </c>
      <c r="C8" s="207">
        <v>6</v>
      </c>
      <c r="D8" s="207">
        <v>5</v>
      </c>
      <c r="E8" s="207">
        <v>7</v>
      </c>
      <c r="F8" s="207">
        <v>7</v>
      </c>
      <c r="G8" s="207">
        <v>8</v>
      </c>
      <c r="H8" s="207">
        <v>7</v>
      </c>
      <c r="I8" s="207">
        <v>6</v>
      </c>
      <c r="J8" s="207">
        <v>7</v>
      </c>
      <c r="K8" s="207">
        <v>7</v>
      </c>
      <c r="L8" s="207">
        <v>8</v>
      </c>
      <c r="M8" s="207">
        <v>7</v>
      </c>
      <c r="N8" s="204">
        <f t="shared" si="0"/>
        <v>6.8181818181818183</v>
      </c>
    </row>
    <row r="9" spans="1:14" ht="21.6" customHeight="1" thickTop="1" thickBot="1" x14ac:dyDescent="0.25">
      <c r="A9" t="s">
        <v>498</v>
      </c>
      <c r="B9" s="65">
        <v>3</v>
      </c>
      <c r="C9" s="207">
        <v>7</v>
      </c>
      <c r="D9" s="207">
        <v>7</v>
      </c>
      <c r="E9" s="207">
        <v>6</v>
      </c>
      <c r="F9" s="207">
        <v>8</v>
      </c>
      <c r="G9" s="207">
        <v>8</v>
      </c>
      <c r="H9" s="207">
        <v>7</v>
      </c>
      <c r="I9" s="207">
        <v>5</v>
      </c>
      <c r="J9" s="207">
        <v>6</v>
      </c>
      <c r="K9" s="207">
        <v>6</v>
      </c>
      <c r="L9" s="207">
        <v>7</v>
      </c>
      <c r="M9" s="207">
        <v>7</v>
      </c>
      <c r="N9" s="204">
        <f t="shared" si="0"/>
        <v>6.7272727272727275</v>
      </c>
    </row>
    <row r="10" spans="1:14" ht="21.6" customHeight="1" thickTop="1" thickBot="1" x14ac:dyDescent="0.25">
      <c r="A10" t="s">
        <v>499</v>
      </c>
      <c r="B10" s="206">
        <v>4</v>
      </c>
      <c r="C10" s="205">
        <v>5</v>
      </c>
      <c r="D10" s="205">
        <v>5</v>
      </c>
      <c r="E10" s="205">
        <v>6</v>
      </c>
      <c r="F10" s="205">
        <v>6</v>
      </c>
      <c r="G10" s="205">
        <v>6</v>
      </c>
      <c r="H10" s="205">
        <v>7</v>
      </c>
      <c r="I10" s="205">
        <v>6</v>
      </c>
      <c r="J10" s="205">
        <v>6</v>
      </c>
      <c r="K10" s="205">
        <v>5</v>
      </c>
      <c r="L10" s="205">
        <v>6</v>
      </c>
      <c r="M10" s="205">
        <v>6</v>
      </c>
      <c r="N10" s="204">
        <f t="shared" si="0"/>
        <v>5.8181818181818183</v>
      </c>
    </row>
    <row r="11" spans="1:14" ht="21.6" customHeight="1" thickTop="1" thickBot="1" x14ac:dyDescent="0.25">
      <c r="A11" t="s">
        <v>498</v>
      </c>
      <c r="B11" s="206">
        <v>5</v>
      </c>
      <c r="C11" s="205">
        <v>7</v>
      </c>
      <c r="D11" s="205">
        <v>6</v>
      </c>
      <c r="E11" s="205">
        <v>7</v>
      </c>
      <c r="F11" s="205">
        <v>6</v>
      </c>
      <c r="G11" s="205">
        <v>7</v>
      </c>
      <c r="H11" s="205">
        <v>6</v>
      </c>
      <c r="I11" s="205">
        <v>7</v>
      </c>
      <c r="J11" s="205">
        <v>8</v>
      </c>
      <c r="K11" s="205">
        <v>6</v>
      </c>
      <c r="L11" s="205">
        <v>7</v>
      </c>
      <c r="M11" s="205">
        <v>6</v>
      </c>
      <c r="N11" s="204">
        <f t="shared" si="0"/>
        <v>6.6363636363636367</v>
      </c>
    </row>
    <row r="12" spans="1:14" ht="21.6" customHeight="1" thickTop="1" thickBot="1" x14ac:dyDescent="0.25">
      <c r="A12" t="s">
        <v>497</v>
      </c>
      <c r="B12" s="206">
        <v>6</v>
      </c>
      <c r="C12" s="205">
        <v>4</v>
      </c>
      <c r="D12" s="205">
        <v>6</v>
      </c>
      <c r="E12" s="205">
        <v>6</v>
      </c>
      <c r="F12" s="205">
        <v>7</v>
      </c>
      <c r="G12" s="205">
        <v>6</v>
      </c>
      <c r="H12" s="205">
        <v>6</v>
      </c>
      <c r="I12" s="205">
        <v>5</v>
      </c>
      <c r="J12" s="205">
        <v>5</v>
      </c>
      <c r="K12" s="205">
        <v>6</v>
      </c>
      <c r="L12" s="205">
        <v>6</v>
      </c>
      <c r="M12" s="205">
        <v>5</v>
      </c>
      <c r="N12" s="204">
        <f t="shared" si="0"/>
        <v>5.6363636363636367</v>
      </c>
    </row>
    <row r="13" spans="1:14" ht="21.6" customHeight="1" thickTop="1" thickBot="1" x14ac:dyDescent="0.25">
      <c r="A13" t="s">
        <v>495</v>
      </c>
      <c r="B13" s="206">
        <v>7</v>
      </c>
      <c r="C13" s="205">
        <v>5</v>
      </c>
      <c r="D13" s="205">
        <v>5</v>
      </c>
      <c r="E13" s="205">
        <v>6</v>
      </c>
      <c r="F13" s="205">
        <v>6</v>
      </c>
      <c r="G13" s="205">
        <v>7</v>
      </c>
      <c r="H13" s="205">
        <v>6</v>
      </c>
      <c r="I13" s="205">
        <v>5</v>
      </c>
      <c r="J13" s="205">
        <v>6</v>
      </c>
      <c r="K13" s="205">
        <v>5</v>
      </c>
      <c r="L13" s="205">
        <v>4</v>
      </c>
      <c r="M13" s="205">
        <v>4</v>
      </c>
      <c r="N13" s="204">
        <f t="shared" si="0"/>
        <v>5.3636363636363633</v>
      </c>
    </row>
    <row r="14" spans="1:14" ht="21.6" customHeight="1" thickTop="1" thickBot="1" x14ac:dyDescent="0.25">
      <c r="A14" t="s">
        <v>496</v>
      </c>
      <c r="B14" s="206">
        <v>8</v>
      </c>
      <c r="C14" s="205">
        <v>5</v>
      </c>
      <c r="D14" s="205">
        <v>6</v>
      </c>
      <c r="E14" s="205">
        <v>6</v>
      </c>
      <c r="F14" s="205">
        <v>7</v>
      </c>
      <c r="G14" s="205">
        <v>7</v>
      </c>
      <c r="H14" s="205">
        <v>7</v>
      </c>
      <c r="I14" s="205">
        <v>6</v>
      </c>
      <c r="J14" s="205">
        <v>5</v>
      </c>
      <c r="K14" s="205">
        <v>5</v>
      </c>
      <c r="L14" s="205">
        <v>5</v>
      </c>
      <c r="M14" s="205">
        <v>5</v>
      </c>
      <c r="N14" s="204">
        <f t="shared" si="0"/>
        <v>5.8181818181818183</v>
      </c>
    </row>
    <row r="15" spans="1:14" ht="21.6" customHeight="1" thickTop="1" thickBot="1" x14ac:dyDescent="0.25">
      <c r="A15" t="s">
        <v>496</v>
      </c>
      <c r="B15" s="206">
        <v>9</v>
      </c>
      <c r="C15" s="205">
        <v>6</v>
      </c>
      <c r="D15" s="205">
        <v>5</v>
      </c>
      <c r="E15" s="205">
        <v>7</v>
      </c>
      <c r="F15" s="205">
        <v>6</v>
      </c>
      <c r="G15" s="205">
        <v>6</v>
      </c>
      <c r="H15" s="205">
        <v>7</v>
      </c>
      <c r="I15" s="205">
        <v>8</v>
      </c>
      <c r="J15" s="205">
        <v>7</v>
      </c>
      <c r="K15" s="205">
        <v>6</v>
      </c>
      <c r="L15" s="205">
        <v>5</v>
      </c>
      <c r="M15" s="205">
        <v>4</v>
      </c>
      <c r="N15" s="204">
        <f t="shared" si="0"/>
        <v>6.0909090909090908</v>
      </c>
    </row>
    <row r="16" spans="1:14" ht="21.6" customHeight="1" thickTop="1" thickBot="1" x14ac:dyDescent="0.25">
      <c r="A16" t="s">
        <v>495</v>
      </c>
      <c r="B16" s="206">
        <v>10</v>
      </c>
      <c r="C16" s="205">
        <v>4</v>
      </c>
      <c r="D16" s="205">
        <v>4</v>
      </c>
      <c r="E16" s="205">
        <v>6</v>
      </c>
      <c r="F16" s="205">
        <v>5</v>
      </c>
      <c r="G16" s="205">
        <v>6</v>
      </c>
      <c r="H16" s="205">
        <v>6</v>
      </c>
      <c r="I16" s="205">
        <v>7</v>
      </c>
      <c r="J16" s="205">
        <v>6</v>
      </c>
      <c r="K16" s="205">
        <v>6</v>
      </c>
      <c r="L16" s="205">
        <v>5</v>
      </c>
      <c r="M16" s="205">
        <v>6</v>
      </c>
      <c r="N16" s="204">
        <f t="shared" si="0"/>
        <v>5.5454545454545459</v>
      </c>
    </row>
    <row r="17" spans="1:14" ht="21.6" customHeight="1" thickTop="1" thickBot="1" x14ac:dyDescent="0.25">
      <c r="A17" t="s">
        <v>496</v>
      </c>
      <c r="B17" s="206">
        <v>11</v>
      </c>
      <c r="C17" s="205">
        <v>6</v>
      </c>
      <c r="D17" s="205">
        <v>7</v>
      </c>
      <c r="E17" s="205">
        <v>6</v>
      </c>
      <c r="F17" s="205">
        <v>5</v>
      </c>
      <c r="G17" s="205">
        <v>6</v>
      </c>
      <c r="H17" s="205">
        <v>7</v>
      </c>
      <c r="I17" s="205">
        <v>6</v>
      </c>
      <c r="J17" s="205">
        <v>6</v>
      </c>
      <c r="K17" s="205">
        <v>6</v>
      </c>
      <c r="L17" s="205">
        <v>7</v>
      </c>
      <c r="M17" s="205">
        <v>6</v>
      </c>
      <c r="N17" s="204">
        <f t="shared" si="0"/>
        <v>6.1818181818181817</v>
      </c>
    </row>
    <row r="18" spans="1:14" ht="21.6" customHeight="1" thickTop="1" thickBot="1" x14ac:dyDescent="0.25">
      <c r="A18" t="s">
        <v>495</v>
      </c>
      <c r="B18" s="206">
        <v>12</v>
      </c>
      <c r="C18" s="205">
        <v>3</v>
      </c>
      <c r="D18" s="205">
        <v>4</v>
      </c>
      <c r="E18" s="205">
        <v>6</v>
      </c>
      <c r="F18" s="205">
        <v>6</v>
      </c>
      <c r="G18" s="205">
        <v>6</v>
      </c>
      <c r="H18" s="205">
        <v>7</v>
      </c>
      <c r="I18" s="205">
        <v>6</v>
      </c>
      <c r="J18" s="205">
        <v>6</v>
      </c>
      <c r="K18" s="205">
        <v>7</v>
      </c>
      <c r="L18" s="205">
        <v>6</v>
      </c>
      <c r="M18" s="205">
        <v>6</v>
      </c>
      <c r="N18" s="204">
        <f t="shared" si="0"/>
        <v>5.7272727272727275</v>
      </c>
    </row>
    <row r="19" spans="1:14" ht="13.5" thickTop="1" x14ac:dyDescent="0.2"/>
  </sheetData>
  <mergeCells count="1">
    <mergeCell ref="B4:G4"/>
  </mergeCells>
  <pageMargins left="0.45" right="0.45" top="0.5" bottom="0.5" header="0" footer="0"/>
  <pageSetup scale="93" fitToHeight="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D4346-05AC-4F4D-A75E-C9AC9C53C52C}">
  <dimension ref="A1:N19"/>
  <sheetViews>
    <sheetView topLeftCell="F1" zoomScaleNormal="100" zoomScaleSheetLayoutView="100" workbookViewId="0">
      <selection activeCell="N7" sqref="N7:N18"/>
    </sheetView>
  </sheetViews>
  <sheetFormatPr defaultRowHeight="12.75" x14ac:dyDescent="0.2"/>
  <cols>
    <col min="2" max="2" width="7.7109375" style="1" customWidth="1"/>
    <col min="3" max="13" width="12.7109375" customWidth="1"/>
  </cols>
  <sheetData>
    <row r="1" spans="1:14" ht="15.75" x14ac:dyDescent="0.25">
      <c r="A1" s="6">
        <v>2023</v>
      </c>
      <c r="B1" s="8" t="s">
        <v>16</v>
      </c>
      <c r="C1" s="8" t="s">
        <v>6</v>
      </c>
      <c r="E1" s="4" t="s">
        <v>503</v>
      </c>
      <c r="F1" s="215">
        <v>45127</v>
      </c>
      <c r="G1" s="214"/>
      <c r="H1" s="214"/>
      <c r="I1" s="214"/>
      <c r="J1" s="214"/>
      <c r="K1" s="214"/>
      <c r="L1" s="214"/>
    </row>
    <row r="2" spans="1:14" ht="6.6" customHeight="1" x14ac:dyDescent="0.25">
      <c r="B2" s="7"/>
      <c r="E2" s="4"/>
      <c r="F2" s="4"/>
    </row>
    <row r="3" spans="1:14" x14ac:dyDescent="0.2">
      <c r="B3" s="5" t="s">
        <v>502</v>
      </c>
      <c r="E3" s="4" t="s">
        <v>9</v>
      </c>
      <c r="F3" s="4" t="s">
        <v>223</v>
      </c>
    </row>
    <row r="4" spans="1:14" ht="33" customHeight="1" x14ac:dyDescent="0.2">
      <c r="B4" s="238" t="s">
        <v>501</v>
      </c>
      <c r="C4" s="239"/>
      <c r="D4" s="239"/>
      <c r="E4" s="239"/>
      <c r="F4" s="239"/>
      <c r="G4" s="239"/>
      <c r="H4" s="213"/>
      <c r="I4" s="213"/>
      <c r="J4" s="213" t="s">
        <v>23</v>
      </c>
      <c r="K4" s="213"/>
      <c r="L4" s="213"/>
      <c r="M4" s="212"/>
    </row>
    <row r="5" spans="1:14" ht="15" customHeight="1" x14ac:dyDescent="0.2">
      <c r="B5" s="5"/>
      <c r="C5" s="211"/>
      <c r="D5" s="211"/>
      <c r="E5" s="211"/>
      <c r="F5" s="211"/>
      <c r="G5" s="211"/>
      <c r="H5" s="211"/>
      <c r="I5" s="211"/>
      <c r="J5" s="211"/>
      <c r="K5" s="211"/>
      <c r="L5" s="211"/>
      <c r="M5" s="3"/>
    </row>
    <row r="6" spans="1:14" ht="21.6" customHeight="1" thickBot="1" x14ac:dyDescent="0.25">
      <c r="B6" s="12" t="s">
        <v>7</v>
      </c>
      <c r="C6" s="210" t="s">
        <v>21</v>
      </c>
      <c r="D6" s="210" t="s">
        <v>21</v>
      </c>
      <c r="E6" s="210" t="s">
        <v>21</v>
      </c>
      <c r="F6" s="210" t="s">
        <v>21</v>
      </c>
      <c r="G6" s="210" t="s">
        <v>21</v>
      </c>
      <c r="H6" s="210" t="s">
        <v>21</v>
      </c>
      <c r="I6" s="210" t="s">
        <v>21</v>
      </c>
      <c r="J6" s="210" t="s">
        <v>21</v>
      </c>
      <c r="K6" s="210" t="s">
        <v>21</v>
      </c>
      <c r="L6" s="210" t="s">
        <v>21</v>
      </c>
      <c r="M6" s="210" t="s">
        <v>21</v>
      </c>
      <c r="N6" s="209" t="s">
        <v>500</v>
      </c>
    </row>
    <row r="7" spans="1:14" ht="21.6" customHeight="1" thickTop="1" thickBot="1" x14ac:dyDescent="0.25">
      <c r="A7" t="s">
        <v>497</v>
      </c>
      <c r="B7" s="11">
        <v>1</v>
      </c>
      <c r="C7" s="208">
        <v>4</v>
      </c>
      <c r="D7" s="208">
        <v>5</v>
      </c>
      <c r="E7" s="208">
        <v>4</v>
      </c>
      <c r="F7" s="208">
        <v>5</v>
      </c>
      <c r="G7" s="208">
        <v>6</v>
      </c>
      <c r="H7" s="208">
        <v>5</v>
      </c>
      <c r="I7" s="208">
        <v>5</v>
      </c>
      <c r="J7" s="208">
        <v>5</v>
      </c>
      <c r="K7" s="208">
        <v>4</v>
      </c>
      <c r="L7" s="208">
        <v>5</v>
      </c>
      <c r="M7" s="208">
        <v>4</v>
      </c>
      <c r="N7" s="204">
        <f t="shared" ref="N7:N18" si="0">AVERAGE(C7:M7)</f>
        <v>4.7272727272727275</v>
      </c>
    </row>
    <row r="8" spans="1:14" ht="21.6" customHeight="1" thickTop="1" thickBot="1" x14ac:dyDescent="0.25">
      <c r="A8" t="s">
        <v>498</v>
      </c>
      <c r="B8" s="65">
        <v>2</v>
      </c>
      <c r="C8" s="207">
        <v>3</v>
      </c>
      <c r="D8" s="207">
        <v>4</v>
      </c>
      <c r="E8" s="207">
        <v>5</v>
      </c>
      <c r="F8" s="207">
        <v>5</v>
      </c>
      <c r="G8" s="207">
        <v>6</v>
      </c>
      <c r="H8" s="207">
        <v>7</v>
      </c>
      <c r="I8" s="207">
        <v>5</v>
      </c>
      <c r="J8" s="207">
        <v>6</v>
      </c>
      <c r="K8" s="207">
        <v>5</v>
      </c>
      <c r="L8" s="207">
        <v>5</v>
      </c>
      <c r="M8" s="207">
        <v>5</v>
      </c>
      <c r="N8" s="204">
        <f t="shared" si="0"/>
        <v>5.0909090909090908</v>
      </c>
    </row>
    <row r="9" spans="1:14" ht="21.6" customHeight="1" thickTop="1" thickBot="1" x14ac:dyDescent="0.25">
      <c r="A9" t="s">
        <v>498</v>
      </c>
      <c r="B9" s="65">
        <v>3</v>
      </c>
      <c r="C9" s="207">
        <v>4</v>
      </c>
      <c r="D9" s="207">
        <v>5</v>
      </c>
      <c r="E9" s="207">
        <v>5</v>
      </c>
      <c r="F9" s="207">
        <v>7</v>
      </c>
      <c r="G9" s="207">
        <v>5</v>
      </c>
      <c r="H9" s="207">
        <v>6</v>
      </c>
      <c r="I9" s="207">
        <v>5</v>
      </c>
      <c r="J9" s="207">
        <v>6</v>
      </c>
      <c r="K9" s="207">
        <v>6</v>
      </c>
      <c r="L9" s="207">
        <v>5</v>
      </c>
      <c r="M9" s="207">
        <v>4</v>
      </c>
      <c r="N9" s="204">
        <f t="shared" si="0"/>
        <v>5.2727272727272725</v>
      </c>
    </row>
    <row r="10" spans="1:14" ht="21.6" customHeight="1" thickTop="1" thickBot="1" x14ac:dyDescent="0.25">
      <c r="A10" t="s">
        <v>499</v>
      </c>
      <c r="B10" s="206">
        <v>4</v>
      </c>
      <c r="C10" s="205">
        <v>4</v>
      </c>
      <c r="D10" s="205">
        <v>4</v>
      </c>
      <c r="E10" s="205">
        <v>4</v>
      </c>
      <c r="F10" s="205">
        <v>5</v>
      </c>
      <c r="G10" s="205">
        <v>5</v>
      </c>
      <c r="H10" s="205">
        <v>4</v>
      </c>
      <c r="I10" s="205">
        <v>5</v>
      </c>
      <c r="J10" s="205">
        <v>5</v>
      </c>
      <c r="K10" s="205">
        <v>5</v>
      </c>
      <c r="L10" s="205">
        <v>4</v>
      </c>
      <c r="M10" s="205">
        <v>3</v>
      </c>
      <c r="N10" s="204">
        <f t="shared" si="0"/>
        <v>4.3636363636363633</v>
      </c>
    </row>
    <row r="11" spans="1:14" ht="21.6" customHeight="1" thickTop="1" thickBot="1" x14ac:dyDescent="0.25">
      <c r="A11" t="s">
        <v>498</v>
      </c>
      <c r="B11" s="206">
        <v>5</v>
      </c>
      <c r="C11" s="205">
        <v>5</v>
      </c>
      <c r="D11" s="205">
        <v>5</v>
      </c>
      <c r="E11" s="205">
        <v>4</v>
      </c>
      <c r="F11" s="205">
        <v>5</v>
      </c>
      <c r="G11" s="205">
        <v>7</v>
      </c>
      <c r="H11" s="205">
        <v>6</v>
      </c>
      <c r="I11" s="205">
        <v>6</v>
      </c>
      <c r="J11" s="205">
        <v>5</v>
      </c>
      <c r="K11" s="205">
        <v>5</v>
      </c>
      <c r="L11" s="205">
        <v>4</v>
      </c>
      <c r="M11" s="205">
        <v>5</v>
      </c>
      <c r="N11" s="204">
        <f t="shared" si="0"/>
        <v>5.1818181818181817</v>
      </c>
    </row>
    <row r="12" spans="1:14" ht="21.6" customHeight="1" thickTop="1" thickBot="1" x14ac:dyDescent="0.25">
      <c r="A12" t="s">
        <v>497</v>
      </c>
      <c r="B12" s="206">
        <v>6</v>
      </c>
      <c r="C12" s="205">
        <v>3</v>
      </c>
      <c r="D12" s="205">
        <v>3</v>
      </c>
      <c r="E12" s="205">
        <v>4</v>
      </c>
      <c r="F12" s="205">
        <v>4</v>
      </c>
      <c r="G12" s="205">
        <v>5</v>
      </c>
      <c r="H12" s="205">
        <v>5</v>
      </c>
      <c r="I12" s="205">
        <v>4</v>
      </c>
      <c r="J12" s="205">
        <v>5</v>
      </c>
      <c r="K12" s="205">
        <v>4</v>
      </c>
      <c r="L12" s="205">
        <v>5</v>
      </c>
      <c r="M12" s="205">
        <v>4</v>
      </c>
      <c r="N12" s="204">
        <f t="shared" si="0"/>
        <v>4.1818181818181817</v>
      </c>
    </row>
    <row r="13" spans="1:14" ht="21.6" customHeight="1" thickTop="1" thickBot="1" x14ac:dyDescent="0.25">
      <c r="A13" t="s">
        <v>495</v>
      </c>
      <c r="B13" s="206">
        <v>7</v>
      </c>
      <c r="C13" s="205">
        <v>3</v>
      </c>
      <c r="D13" s="205">
        <v>4</v>
      </c>
      <c r="E13" s="205">
        <v>3</v>
      </c>
      <c r="F13" s="205">
        <v>3</v>
      </c>
      <c r="G13" s="205">
        <v>4</v>
      </c>
      <c r="H13" s="205">
        <v>5</v>
      </c>
      <c r="I13" s="205">
        <v>3</v>
      </c>
      <c r="J13" s="205">
        <v>4</v>
      </c>
      <c r="K13" s="205">
        <v>4</v>
      </c>
      <c r="L13" s="205">
        <v>4</v>
      </c>
      <c r="M13" s="205">
        <v>3</v>
      </c>
      <c r="N13" s="204">
        <f t="shared" si="0"/>
        <v>3.6363636363636362</v>
      </c>
    </row>
    <row r="14" spans="1:14" ht="21.6" customHeight="1" thickTop="1" thickBot="1" x14ac:dyDescent="0.25">
      <c r="A14" t="s">
        <v>496</v>
      </c>
      <c r="B14" s="206">
        <v>8</v>
      </c>
      <c r="C14" s="205">
        <v>3</v>
      </c>
      <c r="D14" s="205">
        <v>4</v>
      </c>
      <c r="E14" s="205">
        <v>5</v>
      </c>
      <c r="F14" s="205">
        <v>4</v>
      </c>
      <c r="G14" s="205">
        <v>5</v>
      </c>
      <c r="H14" s="205">
        <v>6</v>
      </c>
      <c r="I14" s="205">
        <v>4</v>
      </c>
      <c r="J14" s="205">
        <v>3</v>
      </c>
      <c r="K14" s="205">
        <v>4</v>
      </c>
      <c r="L14" s="205">
        <v>3</v>
      </c>
      <c r="M14" s="205">
        <v>4</v>
      </c>
      <c r="N14" s="204">
        <f t="shared" si="0"/>
        <v>4.0909090909090908</v>
      </c>
    </row>
    <row r="15" spans="1:14" ht="21.6" customHeight="1" thickTop="1" thickBot="1" x14ac:dyDescent="0.25">
      <c r="A15" t="s">
        <v>496</v>
      </c>
      <c r="B15" s="206">
        <v>9</v>
      </c>
      <c r="C15" s="205">
        <v>4</v>
      </c>
      <c r="D15" s="205">
        <v>3</v>
      </c>
      <c r="E15" s="205">
        <v>4</v>
      </c>
      <c r="F15" s="205">
        <v>7</v>
      </c>
      <c r="G15" s="205">
        <v>5</v>
      </c>
      <c r="H15" s="205">
        <v>6</v>
      </c>
      <c r="I15" s="205">
        <v>5</v>
      </c>
      <c r="J15" s="205">
        <v>5</v>
      </c>
      <c r="K15" s="205">
        <v>4</v>
      </c>
      <c r="L15" s="205">
        <v>3</v>
      </c>
      <c r="M15" s="205">
        <v>2</v>
      </c>
      <c r="N15" s="204">
        <f t="shared" si="0"/>
        <v>4.3636363636363633</v>
      </c>
    </row>
    <row r="16" spans="1:14" ht="21.6" customHeight="1" thickTop="1" thickBot="1" x14ac:dyDescent="0.25">
      <c r="A16" t="s">
        <v>495</v>
      </c>
      <c r="B16" s="206">
        <v>10</v>
      </c>
      <c r="C16" s="205">
        <v>2</v>
      </c>
      <c r="D16" s="205">
        <v>3</v>
      </c>
      <c r="E16" s="205">
        <v>4</v>
      </c>
      <c r="F16" s="205">
        <v>5</v>
      </c>
      <c r="G16" s="205">
        <v>4</v>
      </c>
      <c r="H16" s="205">
        <v>5</v>
      </c>
      <c r="I16" s="205">
        <v>4</v>
      </c>
      <c r="J16" s="205">
        <v>5</v>
      </c>
      <c r="K16" s="205">
        <v>5</v>
      </c>
      <c r="L16" s="205">
        <v>3</v>
      </c>
      <c r="M16" s="205">
        <v>3</v>
      </c>
      <c r="N16" s="204">
        <f t="shared" si="0"/>
        <v>3.9090909090909092</v>
      </c>
    </row>
    <row r="17" spans="1:14" ht="21.6" customHeight="1" thickTop="1" thickBot="1" x14ac:dyDescent="0.25">
      <c r="A17" t="s">
        <v>496</v>
      </c>
      <c r="B17" s="206">
        <v>11</v>
      </c>
      <c r="C17" s="205">
        <v>4</v>
      </c>
      <c r="D17" s="205">
        <v>3</v>
      </c>
      <c r="E17" s="205">
        <v>4</v>
      </c>
      <c r="F17" s="205">
        <v>5</v>
      </c>
      <c r="G17" s="205">
        <v>5</v>
      </c>
      <c r="H17" s="205">
        <v>4</v>
      </c>
      <c r="I17" s="205">
        <v>6</v>
      </c>
      <c r="J17" s="205">
        <v>6</v>
      </c>
      <c r="K17" s="205">
        <v>5</v>
      </c>
      <c r="L17" s="205">
        <v>4</v>
      </c>
      <c r="M17" s="205">
        <v>3</v>
      </c>
      <c r="N17" s="204">
        <f t="shared" si="0"/>
        <v>4.4545454545454541</v>
      </c>
    </row>
    <row r="18" spans="1:14" ht="21.6" customHeight="1" thickTop="1" thickBot="1" x14ac:dyDescent="0.25">
      <c r="A18" t="s">
        <v>495</v>
      </c>
      <c r="B18" s="206">
        <v>12</v>
      </c>
      <c r="C18" s="205">
        <v>3</v>
      </c>
      <c r="D18" s="205">
        <v>3</v>
      </c>
      <c r="E18" s="205">
        <v>3</v>
      </c>
      <c r="F18" s="205">
        <v>4</v>
      </c>
      <c r="G18" s="205">
        <v>4</v>
      </c>
      <c r="H18" s="205">
        <v>5</v>
      </c>
      <c r="I18" s="205">
        <v>5</v>
      </c>
      <c r="J18" s="205">
        <v>4</v>
      </c>
      <c r="K18" s="205">
        <v>5</v>
      </c>
      <c r="L18" s="205">
        <v>4</v>
      </c>
      <c r="M18" s="205">
        <v>4</v>
      </c>
      <c r="N18" s="204">
        <f t="shared" si="0"/>
        <v>4</v>
      </c>
    </row>
    <row r="19" spans="1:14" ht="13.5" thickTop="1" x14ac:dyDescent="0.2"/>
  </sheetData>
  <mergeCells count="1">
    <mergeCell ref="B4:G4"/>
  </mergeCells>
  <pageMargins left="0.45" right="0.45" top="0.5" bottom="0.5" header="0" footer="0"/>
  <pageSetup scale="93" fitToHeight="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DF395-787D-44CF-82F4-43D14B267FA2}">
  <dimension ref="A1:N19"/>
  <sheetViews>
    <sheetView topLeftCell="E1" zoomScaleNormal="100" zoomScaleSheetLayoutView="100" workbookViewId="0">
      <selection activeCell="N7" sqref="N7:N18"/>
    </sheetView>
  </sheetViews>
  <sheetFormatPr defaultRowHeight="12.75" x14ac:dyDescent="0.2"/>
  <cols>
    <col min="2" max="2" width="7.7109375" style="1" customWidth="1"/>
    <col min="3" max="13" width="12.7109375" customWidth="1"/>
  </cols>
  <sheetData>
    <row r="1" spans="1:14" ht="15.75" x14ac:dyDescent="0.25">
      <c r="A1" s="6">
        <v>2023</v>
      </c>
      <c r="B1" s="8" t="s">
        <v>16</v>
      </c>
      <c r="C1" s="8" t="s">
        <v>6</v>
      </c>
      <c r="E1" s="4" t="s">
        <v>503</v>
      </c>
      <c r="F1" s="215">
        <v>45134</v>
      </c>
      <c r="G1" s="214"/>
      <c r="H1" s="214"/>
      <c r="I1" s="214"/>
      <c r="J1" s="214"/>
      <c r="K1" s="214"/>
      <c r="L1" s="214"/>
    </row>
    <row r="2" spans="1:14" ht="6.6" customHeight="1" x14ac:dyDescent="0.25">
      <c r="B2" s="7"/>
      <c r="E2" s="4"/>
      <c r="F2" s="4"/>
    </row>
    <row r="3" spans="1:14" x14ac:dyDescent="0.2">
      <c r="B3" s="5" t="s">
        <v>502</v>
      </c>
      <c r="E3" s="4" t="s">
        <v>9</v>
      </c>
      <c r="F3" s="4" t="s">
        <v>223</v>
      </c>
    </row>
    <row r="4" spans="1:14" ht="33" customHeight="1" x14ac:dyDescent="0.2">
      <c r="B4" s="238" t="s">
        <v>501</v>
      </c>
      <c r="C4" s="239"/>
      <c r="D4" s="239"/>
      <c r="E4" s="239"/>
      <c r="F4" s="239"/>
      <c r="G4" s="239"/>
      <c r="H4" s="213"/>
      <c r="I4" s="213"/>
      <c r="J4" s="213" t="s">
        <v>23</v>
      </c>
      <c r="K4" s="213"/>
      <c r="L4" s="213"/>
      <c r="M4" s="212"/>
    </row>
    <row r="5" spans="1:14" ht="15" customHeight="1" x14ac:dyDescent="0.2">
      <c r="B5" s="5"/>
      <c r="C5" s="211"/>
      <c r="D5" s="211"/>
      <c r="E5" s="211"/>
      <c r="F5" s="211"/>
      <c r="G5" s="211"/>
      <c r="H5" s="211"/>
      <c r="I5" s="211"/>
      <c r="J5" s="211"/>
      <c r="K5" s="211"/>
      <c r="L5" s="211"/>
      <c r="M5" s="3"/>
    </row>
    <row r="6" spans="1:14" ht="21.6" customHeight="1" thickBot="1" x14ac:dyDescent="0.25">
      <c r="B6" s="12" t="s">
        <v>7</v>
      </c>
      <c r="C6" s="210" t="s">
        <v>21</v>
      </c>
      <c r="D6" s="210" t="s">
        <v>21</v>
      </c>
      <c r="E6" s="210" t="s">
        <v>21</v>
      </c>
      <c r="F6" s="210" t="s">
        <v>21</v>
      </c>
      <c r="G6" s="210" t="s">
        <v>21</v>
      </c>
      <c r="H6" s="210" t="s">
        <v>21</v>
      </c>
      <c r="I6" s="210" t="s">
        <v>21</v>
      </c>
      <c r="J6" s="210" t="s">
        <v>21</v>
      </c>
      <c r="K6" s="210" t="s">
        <v>21</v>
      </c>
      <c r="L6" s="210" t="s">
        <v>21</v>
      </c>
      <c r="M6" s="210" t="s">
        <v>21</v>
      </c>
      <c r="N6" s="209" t="s">
        <v>500</v>
      </c>
    </row>
    <row r="7" spans="1:14" ht="21.6" customHeight="1" thickTop="1" thickBot="1" x14ac:dyDescent="0.25">
      <c r="A7" t="s">
        <v>497</v>
      </c>
      <c r="B7" s="11">
        <v>1</v>
      </c>
      <c r="C7" s="208">
        <v>2</v>
      </c>
      <c r="D7" s="208">
        <v>3</v>
      </c>
      <c r="E7" s="208">
        <v>3</v>
      </c>
      <c r="F7" s="208">
        <v>5</v>
      </c>
      <c r="G7" s="208">
        <v>4</v>
      </c>
      <c r="H7" s="208">
        <v>3</v>
      </c>
      <c r="I7" s="208">
        <v>4</v>
      </c>
      <c r="J7" s="208">
        <v>3</v>
      </c>
      <c r="K7" s="208">
        <v>3</v>
      </c>
      <c r="L7" s="208">
        <v>2</v>
      </c>
      <c r="M7" s="219">
        <v>2</v>
      </c>
      <c r="N7" s="204">
        <f t="shared" ref="N7:N18" si="0">AVERAGE(C7:M7)</f>
        <v>3.0909090909090908</v>
      </c>
    </row>
    <row r="8" spans="1:14" ht="21.6" customHeight="1" thickTop="1" thickBot="1" x14ac:dyDescent="0.25">
      <c r="A8" t="s">
        <v>498</v>
      </c>
      <c r="B8" s="65">
        <v>2</v>
      </c>
      <c r="C8" s="207">
        <v>3</v>
      </c>
      <c r="D8" s="207">
        <v>4</v>
      </c>
      <c r="E8" s="207">
        <v>3</v>
      </c>
      <c r="F8" s="207">
        <v>3</v>
      </c>
      <c r="G8" s="207">
        <v>4</v>
      </c>
      <c r="H8" s="207">
        <v>3</v>
      </c>
      <c r="I8" s="207">
        <v>3</v>
      </c>
      <c r="J8" s="207">
        <v>4</v>
      </c>
      <c r="K8" s="207">
        <v>5</v>
      </c>
      <c r="L8" s="207">
        <v>4</v>
      </c>
      <c r="M8" s="217">
        <v>4</v>
      </c>
      <c r="N8" s="204">
        <f t="shared" si="0"/>
        <v>3.6363636363636362</v>
      </c>
    </row>
    <row r="9" spans="1:14" ht="21.6" customHeight="1" thickTop="1" thickBot="1" x14ac:dyDescent="0.25">
      <c r="A9" t="s">
        <v>498</v>
      </c>
      <c r="B9" s="65">
        <v>3</v>
      </c>
      <c r="C9" s="207">
        <v>3</v>
      </c>
      <c r="D9" s="207">
        <v>3</v>
      </c>
      <c r="E9" s="207">
        <v>5</v>
      </c>
      <c r="F9" s="218">
        <v>4</v>
      </c>
      <c r="G9" s="207">
        <v>4</v>
      </c>
      <c r="H9" s="207">
        <v>4</v>
      </c>
      <c r="I9" s="207">
        <v>4</v>
      </c>
      <c r="J9" s="207">
        <v>4</v>
      </c>
      <c r="K9" s="207">
        <v>3</v>
      </c>
      <c r="L9" s="207">
        <v>3</v>
      </c>
      <c r="M9" s="217">
        <v>3</v>
      </c>
      <c r="N9" s="204">
        <f t="shared" si="0"/>
        <v>3.6363636363636362</v>
      </c>
    </row>
    <row r="10" spans="1:14" ht="21.6" customHeight="1" thickTop="1" thickBot="1" x14ac:dyDescent="0.25">
      <c r="A10" t="s">
        <v>499</v>
      </c>
      <c r="B10" s="206">
        <v>4</v>
      </c>
      <c r="C10" s="207">
        <v>3</v>
      </c>
      <c r="D10" s="207">
        <v>2</v>
      </c>
      <c r="E10" s="207">
        <v>3</v>
      </c>
      <c r="F10" s="207">
        <v>1</v>
      </c>
      <c r="G10" s="207">
        <v>2</v>
      </c>
      <c r="H10" s="207">
        <v>3</v>
      </c>
      <c r="I10" s="207">
        <v>3</v>
      </c>
      <c r="J10" s="207">
        <v>3</v>
      </c>
      <c r="K10" s="207">
        <v>3</v>
      </c>
      <c r="L10" s="207">
        <v>3</v>
      </c>
      <c r="M10" s="217">
        <v>2</v>
      </c>
      <c r="N10" s="204">
        <f t="shared" si="0"/>
        <v>2.5454545454545454</v>
      </c>
    </row>
    <row r="11" spans="1:14" ht="21.6" customHeight="1" thickTop="1" thickBot="1" x14ac:dyDescent="0.25">
      <c r="A11" t="s">
        <v>498</v>
      </c>
      <c r="B11" s="206">
        <v>5</v>
      </c>
      <c r="C11" s="207">
        <v>3</v>
      </c>
      <c r="D11" s="207">
        <v>4</v>
      </c>
      <c r="E11" s="207">
        <v>5</v>
      </c>
      <c r="F11" s="207">
        <v>4</v>
      </c>
      <c r="G11" s="207">
        <v>3</v>
      </c>
      <c r="H11" s="207">
        <v>4</v>
      </c>
      <c r="I11" s="207">
        <v>4</v>
      </c>
      <c r="J11" s="207">
        <v>5</v>
      </c>
      <c r="K11" s="207">
        <v>5</v>
      </c>
      <c r="L11" s="207">
        <v>5</v>
      </c>
      <c r="M11" s="217">
        <v>3</v>
      </c>
      <c r="N11" s="204">
        <f t="shared" si="0"/>
        <v>4.0909090909090908</v>
      </c>
    </row>
    <row r="12" spans="1:14" ht="21.6" customHeight="1" thickTop="1" thickBot="1" x14ac:dyDescent="0.25">
      <c r="A12" t="s">
        <v>497</v>
      </c>
      <c r="B12" s="206">
        <v>6</v>
      </c>
      <c r="C12" s="207">
        <v>3</v>
      </c>
      <c r="D12" s="207">
        <v>3</v>
      </c>
      <c r="E12" s="207">
        <v>2</v>
      </c>
      <c r="F12" s="207">
        <v>3</v>
      </c>
      <c r="G12" s="207">
        <v>3</v>
      </c>
      <c r="H12" s="207">
        <v>3</v>
      </c>
      <c r="I12" s="207">
        <v>2</v>
      </c>
      <c r="J12" s="207">
        <v>3</v>
      </c>
      <c r="K12" s="207">
        <v>3</v>
      </c>
      <c r="L12" s="207">
        <v>2</v>
      </c>
      <c r="M12" s="217">
        <v>2</v>
      </c>
      <c r="N12" s="204">
        <f t="shared" si="0"/>
        <v>2.6363636363636362</v>
      </c>
    </row>
    <row r="13" spans="1:14" ht="21.6" customHeight="1" thickTop="1" thickBot="1" x14ac:dyDescent="0.25">
      <c r="A13" t="s">
        <v>495</v>
      </c>
      <c r="B13" s="206">
        <v>7</v>
      </c>
      <c r="C13" s="207">
        <v>2</v>
      </c>
      <c r="D13" s="207">
        <v>2</v>
      </c>
      <c r="E13" s="207">
        <v>2</v>
      </c>
      <c r="F13" s="207">
        <v>3</v>
      </c>
      <c r="G13" s="207">
        <v>3</v>
      </c>
      <c r="H13" s="207">
        <v>2</v>
      </c>
      <c r="I13" s="207">
        <v>2</v>
      </c>
      <c r="J13" s="207">
        <v>1</v>
      </c>
      <c r="K13" s="207">
        <v>2</v>
      </c>
      <c r="L13" s="207">
        <v>2</v>
      </c>
      <c r="M13" s="217">
        <v>2</v>
      </c>
      <c r="N13" s="204">
        <f t="shared" si="0"/>
        <v>2.0909090909090908</v>
      </c>
    </row>
    <row r="14" spans="1:14" ht="21.6" customHeight="1" thickTop="1" thickBot="1" x14ac:dyDescent="0.25">
      <c r="A14" t="s">
        <v>496</v>
      </c>
      <c r="B14" s="206">
        <v>8</v>
      </c>
      <c r="C14" s="207">
        <v>2</v>
      </c>
      <c r="D14" s="207">
        <v>4</v>
      </c>
      <c r="E14" s="207">
        <v>4</v>
      </c>
      <c r="F14" s="207">
        <v>3</v>
      </c>
      <c r="G14" s="207">
        <v>3</v>
      </c>
      <c r="H14" s="207">
        <v>4</v>
      </c>
      <c r="I14" s="207">
        <v>2</v>
      </c>
      <c r="J14" s="207">
        <v>2</v>
      </c>
      <c r="K14" s="207">
        <v>3</v>
      </c>
      <c r="L14" s="207">
        <v>2</v>
      </c>
      <c r="M14" s="217">
        <v>2</v>
      </c>
      <c r="N14" s="204">
        <f t="shared" si="0"/>
        <v>2.8181818181818183</v>
      </c>
    </row>
    <row r="15" spans="1:14" ht="21.6" customHeight="1" thickTop="1" thickBot="1" x14ac:dyDescent="0.25">
      <c r="A15" t="s">
        <v>496</v>
      </c>
      <c r="B15" s="206">
        <v>9</v>
      </c>
      <c r="C15" s="207">
        <v>2</v>
      </c>
      <c r="D15" s="207">
        <v>3</v>
      </c>
      <c r="E15" s="207">
        <v>3</v>
      </c>
      <c r="F15" s="207">
        <v>4</v>
      </c>
      <c r="G15" s="207">
        <v>3</v>
      </c>
      <c r="H15" s="207">
        <v>2</v>
      </c>
      <c r="I15" s="207">
        <v>4</v>
      </c>
      <c r="J15" s="207">
        <v>2</v>
      </c>
      <c r="K15" s="207">
        <v>3</v>
      </c>
      <c r="L15" s="207">
        <v>4</v>
      </c>
      <c r="M15" s="217">
        <v>3</v>
      </c>
      <c r="N15" s="204">
        <f t="shared" si="0"/>
        <v>3</v>
      </c>
    </row>
    <row r="16" spans="1:14" ht="21.6" customHeight="1" thickTop="1" thickBot="1" x14ac:dyDescent="0.25">
      <c r="A16" t="s">
        <v>495</v>
      </c>
      <c r="B16" s="206">
        <v>10</v>
      </c>
      <c r="C16" s="207">
        <v>1</v>
      </c>
      <c r="D16" s="207">
        <v>2</v>
      </c>
      <c r="E16" s="207">
        <v>2</v>
      </c>
      <c r="F16" s="207">
        <v>3</v>
      </c>
      <c r="G16" s="207">
        <v>3</v>
      </c>
      <c r="H16" s="207">
        <v>3</v>
      </c>
      <c r="I16" s="207">
        <v>2</v>
      </c>
      <c r="J16" s="207">
        <v>2</v>
      </c>
      <c r="K16" s="207">
        <v>3</v>
      </c>
      <c r="L16" s="207">
        <v>2</v>
      </c>
      <c r="M16" s="217">
        <v>2</v>
      </c>
      <c r="N16" s="204">
        <f t="shared" si="0"/>
        <v>2.2727272727272729</v>
      </c>
    </row>
    <row r="17" spans="1:14" ht="21.6" customHeight="1" thickTop="1" thickBot="1" x14ac:dyDescent="0.25">
      <c r="A17" t="s">
        <v>496</v>
      </c>
      <c r="B17" s="206">
        <v>11</v>
      </c>
      <c r="C17" s="207">
        <v>2</v>
      </c>
      <c r="D17" s="207">
        <v>3</v>
      </c>
      <c r="E17" s="207">
        <v>3</v>
      </c>
      <c r="F17" s="207">
        <v>2</v>
      </c>
      <c r="G17" s="207">
        <v>4</v>
      </c>
      <c r="H17" s="207">
        <v>3</v>
      </c>
      <c r="I17" s="207">
        <v>3</v>
      </c>
      <c r="J17" s="207">
        <v>2</v>
      </c>
      <c r="K17" s="207">
        <v>4</v>
      </c>
      <c r="L17" s="207">
        <v>2</v>
      </c>
      <c r="M17" s="217">
        <v>2</v>
      </c>
      <c r="N17" s="204">
        <f t="shared" si="0"/>
        <v>2.7272727272727271</v>
      </c>
    </row>
    <row r="18" spans="1:14" ht="21.6" customHeight="1" thickTop="1" thickBot="1" x14ac:dyDescent="0.25">
      <c r="A18" t="s">
        <v>495</v>
      </c>
      <c r="B18" s="206">
        <v>12</v>
      </c>
      <c r="C18" s="205">
        <v>2</v>
      </c>
      <c r="D18" s="205">
        <v>2</v>
      </c>
      <c r="E18" s="205">
        <v>1</v>
      </c>
      <c r="F18" s="205">
        <v>3</v>
      </c>
      <c r="G18" s="205">
        <v>2</v>
      </c>
      <c r="H18" s="205">
        <v>2</v>
      </c>
      <c r="I18" s="205">
        <v>3</v>
      </c>
      <c r="J18" s="205">
        <v>2</v>
      </c>
      <c r="K18" s="205">
        <v>3</v>
      </c>
      <c r="L18" s="205">
        <v>2</v>
      </c>
      <c r="M18" s="216">
        <v>2</v>
      </c>
      <c r="N18" s="204">
        <f t="shared" si="0"/>
        <v>2.1818181818181817</v>
      </c>
    </row>
    <row r="19" spans="1:14" ht="13.5" thickTop="1" x14ac:dyDescent="0.2"/>
  </sheetData>
  <mergeCells count="1">
    <mergeCell ref="B4:G4"/>
  </mergeCells>
  <pageMargins left="0.45" right="0.45" top="0.5" bottom="0.5" header="0" footer="0"/>
  <pageSetup scale="93" fitToHeight="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F76B8-D6C3-41E1-8732-308DF45069BA}">
  <dimension ref="A1:N19"/>
  <sheetViews>
    <sheetView topLeftCell="E1" zoomScaleNormal="100" zoomScaleSheetLayoutView="100" workbookViewId="0">
      <selection activeCell="N7" sqref="N7:N18"/>
    </sheetView>
  </sheetViews>
  <sheetFormatPr defaultRowHeight="12.75" x14ac:dyDescent="0.2"/>
  <cols>
    <col min="2" max="2" width="7.7109375" style="1" customWidth="1"/>
    <col min="3" max="13" width="12.7109375" customWidth="1"/>
  </cols>
  <sheetData>
    <row r="1" spans="1:14" ht="15.75" x14ac:dyDescent="0.25">
      <c r="A1" s="6">
        <v>2023</v>
      </c>
      <c r="B1" s="8" t="s">
        <v>16</v>
      </c>
      <c r="C1" s="8" t="s">
        <v>6</v>
      </c>
      <c r="E1" s="4" t="s">
        <v>503</v>
      </c>
      <c r="F1" s="215">
        <v>45141</v>
      </c>
      <c r="G1" s="214"/>
      <c r="H1" s="214"/>
      <c r="I1" s="214"/>
      <c r="J1" s="214"/>
      <c r="K1" s="214"/>
      <c r="L1" s="214"/>
    </row>
    <row r="2" spans="1:14" ht="6.6" customHeight="1" x14ac:dyDescent="0.25">
      <c r="B2" s="7"/>
      <c r="E2" s="4"/>
      <c r="F2" s="4"/>
    </row>
    <row r="3" spans="1:14" x14ac:dyDescent="0.2">
      <c r="B3" s="5" t="s">
        <v>502</v>
      </c>
      <c r="E3" s="4" t="s">
        <v>9</v>
      </c>
      <c r="F3" s="4" t="s">
        <v>223</v>
      </c>
    </row>
    <row r="4" spans="1:14" ht="33" customHeight="1" x14ac:dyDescent="0.2">
      <c r="B4" s="238" t="s">
        <v>501</v>
      </c>
      <c r="C4" s="239"/>
      <c r="D4" s="239"/>
      <c r="E4" s="239"/>
      <c r="F4" s="239"/>
      <c r="G4" s="239"/>
      <c r="H4" s="213"/>
      <c r="I4" s="213"/>
      <c r="J4" s="213" t="s">
        <v>23</v>
      </c>
      <c r="K4" s="213"/>
      <c r="L4" s="213"/>
      <c r="M4" s="212"/>
    </row>
    <row r="5" spans="1:14" ht="15" customHeight="1" x14ac:dyDescent="0.2">
      <c r="B5" s="5"/>
      <c r="C5" s="211"/>
      <c r="D5" s="211"/>
      <c r="E5" s="211"/>
      <c r="F5" s="211"/>
      <c r="G5" s="211"/>
      <c r="H5" s="211"/>
      <c r="I5" s="211"/>
      <c r="J5" s="211"/>
      <c r="K5" s="211"/>
      <c r="L5" s="211"/>
      <c r="M5" s="3"/>
    </row>
    <row r="6" spans="1:14" ht="21.6" customHeight="1" thickBot="1" x14ac:dyDescent="0.25">
      <c r="B6" s="12" t="s">
        <v>7</v>
      </c>
      <c r="C6" s="210" t="s">
        <v>21</v>
      </c>
      <c r="D6" s="210" t="s">
        <v>21</v>
      </c>
      <c r="E6" s="210" t="s">
        <v>21</v>
      </c>
      <c r="F6" s="210" t="s">
        <v>21</v>
      </c>
      <c r="G6" s="210" t="s">
        <v>21</v>
      </c>
      <c r="H6" s="210" t="s">
        <v>21</v>
      </c>
      <c r="I6" s="210" t="s">
        <v>21</v>
      </c>
      <c r="J6" s="210" t="s">
        <v>21</v>
      </c>
      <c r="K6" s="210" t="s">
        <v>21</v>
      </c>
      <c r="L6" s="210" t="s">
        <v>21</v>
      </c>
      <c r="M6" s="210" t="s">
        <v>21</v>
      </c>
      <c r="N6" s="209" t="s">
        <v>500</v>
      </c>
    </row>
    <row r="7" spans="1:14" ht="21.6" customHeight="1" thickTop="1" thickBot="1" x14ac:dyDescent="0.25">
      <c r="A7" t="s">
        <v>497</v>
      </c>
      <c r="B7" s="11">
        <v>1</v>
      </c>
      <c r="C7" s="208">
        <v>1</v>
      </c>
      <c r="D7" s="208">
        <v>1</v>
      </c>
      <c r="E7" s="208">
        <v>2</v>
      </c>
      <c r="F7" s="208">
        <v>4</v>
      </c>
      <c r="G7" s="208">
        <v>3</v>
      </c>
      <c r="H7" s="208">
        <v>3</v>
      </c>
      <c r="I7" s="208">
        <v>3</v>
      </c>
      <c r="J7" s="208">
        <v>3</v>
      </c>
      <c r="K7" s="208">
        <v>2</v>
      </c>
      <c r="L7" s="208">
        <v>2</v>
      </c>
      <c r="M7" s="208">
        <v>2</v>
      </c>
      <c r="N7" s="204">
        <f t="shared" ref="N7:N18" si="0">AVERAGE(C7:M7)</f>
        <v>2.3636363636363638</v>
      </c>
    </row>
    <row r="8" spans="1:14" ht="21.6" customHeight="1" thickTop="1" thickBot="1" x14ac:dyDescent="0.25">
      <c r="A8" t="s">
        <v>498</v>
      </c>
      <c r="B8" s="65">
        <v>2</v>
      </c>
      <c r="C8" s="207">
        <v>2</v>
      </c>
      <c r="D8" s="207">
        <v>3</v>
      </c>
      <c r="E8" s="207">
        <v>3</v>
      </c>
      <c r="F8" s="207">
        <v>4</v>
      </c>
      <c r="G8" s="207">
        <v>3</v>
      </c>
      <c r="H8" s="207">
        <v>4</v>
      </c>
      <c r="I8" s="207">
        <v>4</v>
      </c>
      <c r="J8" s="207">
        <v>3</v>
      </c>
      <c r="K8" s="207">
        <v>3</v>
      </c>
      <c r="L8" s="207">
        <v>3</v>
      </c>
      <c r="M8" s="207">
        <v>2</v>
      </c>
      <c r="N8" s="204">
        <f t="shared" si="0"/>
        <v>3.0909090909090908</v>
      </c>
    </row>
    <row r="9" spans="1:14" ht="21.6" customHeight="1" thickTop="1" thickBot="1" x14ac:dyDescent="0.25">
      <c r="A9" t="s">
        <v>498</v>
      </c>
      <c r="B9" s="65">
        <v>3</v>
      </c>
      <c r="C9" s="207">
        <v>2</v>
      </c>
      <c r="D9" s="207">
        <v>2</v>
      </c>
      <c r="E9" s="207">
        <v>3</v>
      </c>
      <c r="F9" s="207">
        <v>3</v>
      </c>
      <c r="G9" s="207">
        <v>4</v>
      </c>
      <c r="H9" s="207">
        <v>5</v>
      </c>
      <c r="I9" s="207">
        <v>3</v>
      </c>
      <c r="J9" s="207">
        <v>4</v>
      </c>
      <c r="K9" s="207">
        <v>3</v>
      </c>
      <c r="L9" s="207">
        <v>3</v>
      </c>
      <c r="M9" s="207">
        <v>3</v>
      </c>
      <c r="N9" s="204">
        <f t="shared" si="0"/>
        <v>3.1818181818181817</v>
      </c>
    </row>
    <row r="10" spans="1:14" ht="21.6" customHeight="1" thickTop="1" thickBot="1" x14ac:dyDescent="0.25">
      <c r="A10" t="s">
        <v>499</v>
      </c>
      <c r="B10" s="206">
        <v>4</v>
      </c>
      <c r="C10" s="205">
        <v>1</v>
      </c>
      <c r="D10" s="205">
        <v>2</v>
      </c>
      <c r="E10" s="205">
        <v>2</v>
      </c>
      <c r="F10" s="205">
        <v>2</v>
      </c>
      <c r="G10" s="205">
        <v>1</v>
      </c>
      <c r="H10" s="205">
        <v>2</v>
      </c>
      <c r="I10" s="205">
        <v>2</v>
      </c>
      <c r="J10" s="205">
        <v>4</v>
      </c>
      <c r="K10" s="205">
        <v>3</v>
      </c>
      <c r="L10" s="205">
        <v>2</v>
      </c>
      <c r="M10" s="205">
        <v>2</v>
      </c>
      <c r="N10" s="204">
        <f t="shared" si="0"/>
        <v>2.0909090909090908</v>
      </c>
    </row>
    <row r="11" spans="1:14" ht="21.6" customHeight="1" thickTop="1" thickBot="1" x14ac:dyDescent="0.25">
      <c r="A11" t="s">
        <v>498</v>
      </c>
      <c r="B11" s="206">
        <v>5</v>
      </c>
      <c r="C11" s="205">
        <v>1</v>
      </c>
      <c r="D11" s="205">
        <v>1</v>
      </c>
      <c r="E11" s="205">
        <v>3</v>
      </c>
      <c r="F11" s="205">
        <v>4</v>
      </c>
      <c r="G11" s="205">
        <v>5</v>
      </c>
      <c r="H11" s="205">
        <v>5</v>
      </c>
      <c r="I11" s="205">
        <v>4</v>
      </c>
      <c r="J11" s="205">
        <v>4</v>
      </c>
      <c r="K11" s="205">
        <v>3</v>
      </c>
      <c r="L11" s="205">
        <v>3</v>
      </c>
      <c r="M11" s="205">
        <v>3</v>
      </c>
      <c r="N11" s="204">
        <f t="shared" si="0"/>
        <v>3.2727272727272729</v>
      </c>
    </row>
    <row r="12" spans="1:14" ht="21.6" customHeight="1" thickTop="1" thickBot="1" x14ac:dyDescent="0.25">
      <c r="A12" t="s">
        <v>497</v>
      </c>
      <c r="B12" s="206">
        <v>6</v>
      </c>
      <c r="C12" s="205">
        <v>1</v>
      </c>
      <c r="D12" s="205">
        <v>1</v>
      </c>
      <c r="E12" s="205">
        <v>1</v>
      </c>
      <c r="F12" s="205">
        <v>2</v>
      </c>
      <c r="G12" s="205">
        <v>3</v>
      </c>
      <c r="H12" s="205">
        <v>4</v>
      </c>
      <c r="I12" s="205">
        <v>2</v>
      </c>
      <c r="J12" s="205">
        <v>3</v>
      </c>
      <c r="K12" s="205">
        <v>2</v>
      </c>
      <c r="L12" s="205">
        <v>2</v>
      </c>
      <c r="M12" s="205">
        <v>1</v>
      </c>
      <c r="N12" s="204">
        <f t="shared" si="0"/>
        <v>2</v>
      </c>
    </row>
    <row r="13" spans="1:14" ht="21.6" customHeight="1" thickTop="1" thickBot="1" x14ac:dyDescent="0.25">
      <c r="A13" t="s">
        <v>495</v>
      </c>
      <c r="B13" s="206">
        <v>7</v>
      </c>
      <c r="C13" s="205">
        <v>1</v>
      </c>
      <c r="D13" s="205">
        <v>1</v>
      </c>
      <c r="E13" s="205">
        <v>1</v>
      </c>
      <c r="F13" s="205">
        <v>1</v>
      </c>
      <c r="G13" s="205">
        <v>1</v>
      </c>
      <c r="H13" s="205">
        <v>2</v>
      </c>
      <c r="I13" s="205">
        <v>2</v>
      </c>
      <c r="J13" s="205">
        <v>2</v>
      </c>
      <c r="K13" s="205">
        <v>2</v>
      </c>
      <c r="L13" s="205">
        <v>1</v>
      </c>
      <c r="M13" s="205">
        <v>1</v>
      </c>
      <c r="N13" s="204">
        <f t="shared" si="0"/>
        <v>1.3636363636363635</v>
      </c>
    </row>
    <row r="14" spans="1:14" ht="21.6" customHeight="1" thickTop="1" thickBot="1" x14ac:dyDescent="0.25">
      <c r="A14" t="s">
        <v>496</v>
      </c>
      <c r="B14" s="206">
        <v>8</v>
      </c>
      <c r="C14" s="205">
        <v>1</v>
      </c>
      <c r="D14" s="205">
        <v>2</v>
      </c>
      <c r="E14" s="205">
        <v>2</v>
      </c>
      <c r="F14" s="205">
        <v>3</v>
      </c>
      <c r="G14" s="205">
        <v>3</v>
      </c>
      <c r="H14" s="205">
        <v>4</v>
      </c>
      <c r="I14" s="205">
        <v>2</v>
      </c>
      <c r="J14" s="205">
        <v>3</v>
      </c>
      <c r="K14" s="205">
        <v>3</v>
      </c>
      <c r="L14" s="205">
        <v>1</v>
      </c>
      <c r="M14" s="205">
        <v>1</v>
      </c>
      <c r="N14" s="204">
        <f t="shared" si="0"/>
        <v>2.2727272727272729</v>
      </c>
    </row>
    <row r="15" spans="1:14" ht="21.6" customHeight="1" thickTop="1" thickBot="1" x14ac:dyDescent="0.25">
      <c r="A15" t="s">
        <v>496</v>
      </c>
      <c r="B15" s="206">
        <v>9</v>
      </c>
      <c r="C15" s="205">
        <v>1</v>
      </c>
      <c r="D15" s="205">
        <v>2</v>
      </c>
      <c r="E15" s="205">
        <v>1</v>
      </c>
      <c r="F15" s="205">
        <v>1</v>
      </c>
      <c r="G15" s="205">
        <v>3</v>
      </c>
      <c r="H15" s="205">
        <v>3</v>
      </c>
      <c r="I15" s="205">
        <v>3</v>
      </c>
      <c r="J15" s="205">
        <v>3</v>
      </c>
      <c r="K15" s="205">
        <v>2</v>
      </c>
      <c r="L15" s="205">
        <v>3</v>
      </c>
      <c r="M15" s="205">
        <v>1</v>
      </c>
      <c r="N15" s="204">
        <f t="shared" si="0"/>
        <v>2.0909090909090908</v>
      </c>
    </row>
    <row r="16" spans="1:14" ht="21.6" customHeight="1" thickTop="1" thickBot="1" x14ac:dyDescent="0.25">
      <c r="A16" t="s">
        <v>495</v>
      </c>
      <c r="B16" s="206">
        <v>10</v>
      </c>
      <c r="C16" s="205">
        <v>1</v>
      </c>
      <c r="D16" s="205">
        <v>2</v>
      </c>
      <c r="E16" s="205">
        <v>2</v>
      </c>
      <c r="F16" s="205">
        <v>2</v>
      </c>
      <c r="G16" s="205">
        <v>2</v>
      </c>
      <c r="H16" s="205">
        <v>3</v>
      </c>
      <c r="I16" s="205">
        <v>2</v>
      </c>
      <c r="J16" s="205">
        <v>2</v>
      </c>
      <c r="K16" s="205">
        <v>1</v>
      </c>
      <c r="L16" s="205">
        <v>2</v>
      </c>
      <c r="M16" s="205">
        <v>1</v>
      </c>
      <c r="N16" s="204">
        <f t="shared" si="0"/>
        <v>1.8181818181818181</v>
      </c>
    </row>
    <row r="17" spans="1:14" ht="21.6" customHeight="1" thickTop="1" thickBot="1" x14ac:dyDescent="0.25">
      <c r="A17" t="s">
        <v>496</v>
      </c>
      <c r="B17" s="206">
        <v>11</v>
      </c>
      <c r="C17" s="205">
        <v>1</v>
      </c>
      <c r="D17" s="205">
        <v>3</v>
      </c>
      <c r="E17" s="205">
        <v>2</v>
      </c>
      <c r="F17" s="205">
        <v>2</v>
      </c>
      <c r="G17" s="205">
        <v>2</v>
      </c>
      <c r="H17" s="205">
        <v>3</v>
      </c>
      <c r="I17" s="205">
        <v>2</v>
      </c>
      <c r="J17" s="205">
        <v>3</v>
      </c>
      <c r="K17" s="205">
        <v>2</v>
      </c>
      <c r="L17" s="205">
        <v>1</v>
      </c>
      <c r="M17" s="205">
        <v>1</v>
      </c>
      <c r="N17" s="204">
        <f t="shared" si="0"/>
        <v>2</v>
      </c>
    </row>
    <row r="18" spans="1:14" ht="21.6" customHeight="1" thickTop="1" thickBot="1" x14ac:dyDescent="0.25">
      <c r="A18" t="s">
        <v>495</v>
      </c>
      <c r="B18" s="206">
        <v>12</v>
      </c>
      <c r="C18" s="205">
        <v>1</v>
      </c>
      <c r="D18" s="205">
        <v>1</v>
      </c>
      <c r="E18" s="205">
        <v>2</v>
      </c>
      <c r="F18" s="205">
        <v>1</v>
      </c>
      <c r="G18" s="205">
        <v>2</v>
      </c>
      <c r="H18" s="205">
        <v>2</v>
      </c>
      <c r="I18" s="205">
        <v>1</v>
      </c>
      <c r="J18" s="205">
        <v>2</v>
      </c>
      <c r="K18" s="205">
        <v>3</v>
      </c>
      <c r="L18" s="205">
        <v>2</v>
      </c>
      <c r="M18" s="205">
        <v>1</v>
      </c>
      <c r="N18" s="204">
        <f t="shared" si="0"/>
        <v>1.6363636363636365</v>
      </c>
    </row>
    <row r="19" spans="1:14" ht="13.5" thickTop="1" x14ac:dyDescent="0.2"/>
  </sheetData>
  <mergeCells count="1">
    <mergeCell ref="B4:G4"/>
  </mergeCells>
  <pageMargins left="0.45" right="0.45" top="0.5" bottom="0.5" header="0" footer="0"/>
  <pageSetup scale="93" fitToHeight="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E9885-6730-42F0-BFF2-91D6DE5DDF63}">
  <dimension ref="A1:N19"/>
  <sheetViews>
    <sheetView topLeftCell="F1" zoomScaleNormal="100" zoomScaleSheetLayoutView="100" workbookViewId="0">
      <selection activeCell="N7" sqref="N7:N18"/>
    </sheetView>
  </sheetViews>
  <sheetFormatPr defaultRowHeight="12.75" x14ac:dyDescent="0.2"/>
  <cols>
    <col min="2" max="2" width="7.7109375" style="1" customWidth="1"/>
    <col min="3" max="13" width="12.7109375" customWidth="1"/>
  </cols>
  <sheetData>
    <row r="1" spans="1:14" ht="15.75" x14ac:dyDescent="0.25">
      <c r="A1" s="6">
        <v>2023</v>
      </c>
      <c r="B1" s="8" t="s">
        <v>16</v>
      </c>
      <c r="C1" s="8" t="s">
        <v>6</v>
      </c>
      <c r="E1" s="4" t="s">
        <v>503</v>
      </c>
      <c r="F1" s="14">
        <v>45162</v>
      </c>
      <c r="G1" s="214"/>
      <c r="H1" s="214"/>
      <c r="I1" s="214"/>
      <c r="J1" s="214"/>
      <c r="K1" s="214"/>
      <c r="L1" s="214"/>
    </row>
    <row r="2" spans="1:14" ht="8.4499999999999993" customHeight="1" x14ac:dyDescent="0.25">
      <c r="B2" s="7"/>
      <c r="E2" s="4"/>
      <c r="F2" s="12"/>
    </row>
    <row r="3" spans="1:14" x14ac:dyDescent="0.2">
      <c r="B3" s="5" t="s">
        <v>502</v>
      </c>
      <c r="E3" s="4" t="s">
        <v>9</v>
      </c>
      <c r="F3" s="4" t="s">
        <v>223</v>
      </c>
    </row>
    <row r="4" spans="1:14" ht="33" customHeight="1" x14ac:dyDescent="0.2">
      <c r="B4" s="238" t="s">
        <v>501</v>
      </c>
      <c r="C4" s="239"/>
      <c r="D4" s="239"/>
      <c r="E4" s="239"/>
      <c r="F4" s="239"/>
      <c r="G4" s="239"/>
      <c r="H4" s="213"/>
      <c r="I4" s="213"/>
      <c r="J4" s="213" t="s">
        <v>23</v>
      </c>
      <c r="K4" s="213"/>
      <c r="L4" s="213"/>
      <c r="M4" s="212"/>
    </row>
    <row r="5" spans="1:14" ht="15" customHeight="1" x14ac:dyDescent="0.2">
      <c r="B5" s="5"/>
      <c r="C5" s="211"/>
      <c r="D5" s="211"/>
      <c r="E5" s="211"/>
      <c r="F5" s="211"/>
      <c r="G5" s="211"/>
      <c r="H5" s="211"/>
      <c r="I5" s="211"/>
      <c r="J5" s="211"/>
      <c r="K5" s="211"/>
      <c r="L5" s="211"/>
      <c r="M5" s="3"/>
    </row>
    <row r="6" spans="1:14" ht="21.6" customHeight="1" thickBot="1" x14ac:dyDescent="0.25">
      <c r="B6" s="12" t="s">
        <v>7</v>
      </c>
      <c r="C6" s="210" t="s">
        <v>21</v>
      </c>
      <c r="D6" s="210" t="s">
        <v>21</v>
      </c>
      <c r="E6" s="210" t="s">
        <v>21</v>
      </c>
      <c r="F6" s="210" t="s">
        <v>21</v>
      </c>
      <c r="G6" s="210" t="s">
        <v>21</v>
      </c>
      <c r="H6" s="210" t="s">
        <v>21</v>
      </c>
      <c r="I6" s="210" t="s">
        <v>21</v>
      </c>
      <c r="J6" s="210" t="s">
        <v>21</v>
      </c>
      <c r="K6" s="210" t="s">
        <v>21</v>
      </c>
      <c r="L6" s="210" t="s">
        <v>21</v>
      </c>
      <c r="M6" s="210" t="s">
        <v>21</v>
      </c>
      <c r="N6" s="209" t="s">
        <v>500</v>
      </c>
    </row>
    <row r="7" spans="1:14" ht="21.6" customHeight="1" thickTop="1" thickBot="1" x14ac:dyDescent="0.25">
      <c r="A7" t="s">
        <v>497</v>
      </c>
      <c r="B7" s="11">
        <v>1</v>
      </c>
      <c r="C7" s="208">
        <v>0</v>
      </c>
      <c r="D7" s="208">
        <v>1</v>
      </c>
      <c r="E7" s="208">
        <v>0</v>
      </c>
      <c r="F7" s="208">
        <v>1</v>
      </c>
      <c r="G7" s="208">
        <v>1</v>
      </c>
      <c r="H7" s="208">
        <v>2</v>
      </c>
      <c r="I7" s="208">
        <v>2</v>
      </c>
      <c r="J7" s="208">
        <v>2</v>
      </c>
      <c r="K7" s="208">
        <v>2</v>
      </c>
      <c r="L7" s="208">
        <v>1</v>
      </c>
      <c r="M7" s="208">
        <v>0</v>
      </c>
      <c r="N7" s="204">
        <f t="shared" ref="N7:N18" si="0">AVERAGE(C7:M7)</f>
        <v>1.0909090909090908</v>
      </c>
    </row>
    <row r="8" spans="1:14" ht="21.6" customHeight="1" thickTop="1" thickBot="1" x14ac:dyDescent="0.25">
      <c r="A8" t="s">
        <v>498</v>
      </c>
      <c r="B8" s="65">
        <v>2</v>
      </c>
      <c r="C8" s="207">
        <v>1</v>
      </c>
      <c r="D8" s="207">
        <v>2</v>
      </c>
      <c r="E8" s="207">
        <v>1</v>
      </c>
      <c r="F8" s="207">
        <v>3</v>
      </c>
      <c r="G8" s="207">
        <v>3</v>
      </c>
      <c r="H8" s="207">
        <v>2</v>
      </c>
      <c r="I8" s="207">
        <v>3</v>
      </c>
      <c r="J8" s="207">
        <v>2</v>
      </c>
      <c r="K8" s="207">
        <v>2</v>
      </c>
      <c r="L8" s="207">
        <v>2</v>
      </c>
      <c r="M8" s="207">
        <v>1</v>
      </c>
      <c r="N8" s="204">
        <f t="shared" si="0"/>
        <v>2</v>
      </c>
    </row>
    <row r="9" spans="1:14" ht="21.6" customHeight="1" thickTop="1" thickBot="1" x14ac:dyDescent="0.25">
      <c r="A9" t="s">
        <v>498</v>
      </c>
      <c r="B9" s="65">
        <v>3</v>
      </c>
      <c r="C9" s="207">
        <v>1</v>
      </c>
      <c r="D9" s="207">
        <v>0</v>
      </c>
      <c r="E9" s="207">
        <v>1</v>
      </c>
      <c r="F9" s="207">
        <v>3</v>
      </c>
      <c r="G9" s="207">
        <v>2</v>
      </c>
      <c r="H9" s="207">
        <v>2</v>
      </c>
      <c r="I9" s="207">
        <v>2</v>
      </c>
      <c r="J9" s="207">
        <v>3</v>
      </c>
      <c r="K9" s="207">
        <v>2</v>
      </c>
      <c r="L9" s="207">
        <v>1</v>
      </c>
      <c r="M9" s="207">
        <v>1</v>
      </c>
      <c r="N9" s="204">
        <f t="shared" si="0"/>
        <v>1.6363636363636365</v>
      </c>
    </row>
    <row r="10" spans="1:14" ht="21.6" customHeight="1" thickTop="1" thickBot="1" x14ac:dyDescent="0.25">
      <c r="A10" t="s">
        <v>499</v>
      </c>
      <c r="B10" s="206">
        <v>4</v>
      </c>
      <c r="C10" s="205">
        <v>0</v>
      </c>
      <c r="D10" s="205">
        <v>0</v>
      </c>
      <c r="E10" s="205">
        <v>1</v>
      </c>
      <c r="F10" s="205">
        <v>1</v>
      </c>
      <c r="G10" s="205">
        <v>2</v>
      </c>
      <c r="H10" s="205">
        <v>1</v>
      </c>
      <c r="I10" s="205">
        <v>1</v>
      </c>
      <c r="J10" s="205">
        <v>1</v>
      </c>
      <c r="K10" s="205">
        <v>1</v>
      </c>
      <c r="L10" s="205">
        <v>0</v>
      </c>
      <c r="M10" s="205">
        <v>1</v>
      </c>
      <c r="N10" s="204">
        <f t="shared" si="0"/>
        <v>0.81818181818181823</v>
      </c>
    </row>
    <row r="11" spans="1:14" ht="21.6" customHeight="1" thickTop="1" thickBot="1" x14ac:dyDescent="0.25">
      <c r="A11" t="s">
        <v>498</v>
      </c>
      <c r="B11" s="206">
        <v>5</v>
      </c>
      <c r="C11" s="205">
        <v>1</v>
      </c>
      <c r="D11" s="205">
        <v>1</v>
      </c>
      <c r="E11" s="205">
        <v>1</v>
      </c>
      <c r="F11" s="205">
        <v>2</v>
      </c>
      <c r="G11" s="205">
        <v>3</v>
      </c>
      <c r="H11" s="205">
        <v>2</v>
      </c>
      <c r="I11" s="205">
        <v>2</v>
      </c>
      <c r="J11" s="205">
        <v>3</v>
      </c>
      <c r="K11" s="205">
        <v>2</v>
      </c>
      <c r="L11" s="205">
        <v>2</v>
      </c>
      <c r="M11" s="205">
        <v>2</v>
      </c>
      <c r="N11" s="204">
        <f t="shared" si="0"/>
        <v>1.9090909090909092</v>
      </c>
    </row>
    <row r="12" spans="1:14" ht="21.6" customHeight="1" thickTop="1" thickBot="1" x14ac:dyDescent="0.25">
      <c r="A12" t="s">
        <v>497</v>
      </c>
      <c r="B12" s="206">
        <v>6</v>
      </c>
      <c r="C12" s="205">
        <v>0</v>
      </c>
      <c r="D12" s="205">
        <v>0</v>
      </c>
      <c r="E12" s="205">
        <v>1</v>
      </c>
      <c r="F12" s="205">
        <v>2</v>
      </c>
      <c r="G12" s="205">
        <v>1</v>
      </c>
      <c r="H12" s="205">
        <v>1</v>
      </c>
      <c r="I12" s="205">
        <v>2</v>
      </c>
      <c r="J12" s="205">
        <v>1</v>
      </c>
      <c r="K12" s="205">
        <v>2</v>
      </c>
      <c r="L12" s="205">
        <v>1</v>
      </c>
      <c r="M12" s="205">
        <v>0</v>
      </c>
      <c r="N12" s="204">
        <f t="shared" si="0"/>
        <v>1</v>
      </c>
    </row>
    <row r="13" spans="1:14" ht="21.6" customHeight="1" thickTop="1" thickBot="1" x14ac:dyDescent="0.25">
      <c r="A13" t="s">
        <v>495</v>
      </c>
      <c r="B13" s="206">
        <v>7</v>
      </c>
      <c r="C13" s="205">
        <v>0</v>
      </c>
      <c r="D13" s="205">
        <v>1</v>
      </c>
      <c r="E13" s="205">
        <v>1</v>
      </c>
      <c r="F13" s="205">
        <v>1</v>
      </c>
      <c r="G13" s="205">
        <v>2</v>
      </c>
      <c r="H13" s="205">
        <v>2</v>
      </c>
      <c r="I13" s="205">
        <v>1</v>
      </c>
      <c r="J13" s="205">
        <v>0</v>
      </c>
      <c r="K13" s="205">
        <v>0</v>
      </c>
      <c r="L13" s="205">
        <v>1</v>
      </c>
      <c r="M13" s="205">
        <v>0</v>
      </c>
      <c r="N13" s="204">
        <f t="shared" si="0"/>
        <v>0.81818181818181823</v>
      </c>
    </row>
    <row r="14" spans="1:14" ht="21.6" customHeight="1" thickTop="1" thickBot="1" x14ac:dyDescent="0.25">
      <c r="A14" t="s">
        <v>496</v>
      </c>
      <c r="B14" s="206">
        <v>8</v>
      </c>
      <c r="C14" s="205">
        <v>1</v>
      </c>
      <c r="D14" s="205">
        <v>2</v>
      </c>
      <c r="E14" s="205">
        <v>2</v>
      </c>
      <c r="F14" s="205">
        <v>1</v>
      </c>
      <c r="G14" s="205">
        <v>2</v>
      </c>
      <c r="H14" s="205">
        <v>1</v>
      </c>
      <c r="I14" s="205">
        <v>1</v>
      </c>
      <c r="J14" s="205">
        <v>2</v>
      </c>
      <c r="K14" s="205">
        <v>1</v>
      </c>
      <c r="L14" s="205">
        <v>1</v>
      </c>
      <c r="M14" s="205">
        <v>1</v>
      </c>
      <c r="N14" s="204">
        <f t="shared" si="0"/>
        <v>1.3636363636363635</v>
      </c>
    </row>
    <row r="15" spans="1:14" ht="21.6" customHeight="1" thickTop="1" thickBot="1" x14ac:dyDescent="0.25">
      <c r="A15" t="s">
        <v>496</v>
      </c>
      <c r="B15" s="206">
        <v>9</v>
      </c>
      <c r="C15" s="205">
        <v>0</v>
      </c>
      <c r="D15" s="205">
        <v>1</v>
      </c>
      <c r="E15" s="205">
        <v>2</v>
      </c>
      <c r="F15" s="205">
        <v>1</v>
      </c>
      <c r="G15" s="205">
        <v>2</v>
      </c>
      <c r="H15" s="205">
        <v>2</v>
      </c>
      <c r="I15" s="205">
        <v>2</v>
      </c>
      <c r="J15" s="205">
        <v>1</v>
      </c>
      <c r="K15" s="205">
        <v>2</v>
      </c>
      <c r="L15" s="205">
        <v>2</v>
      </c>
      <c r="M15" s="205">
        <v>2</v>
      </c>
      <c r="N15" s="204">
        <f t="shared" si="0"/>
        <v>1.5454545454545454</v>
      </c>
    </row>
    <row r="16" spans="1:14" ht="21.6" customHeight="1" thickTop="1" thickBot="1" x14ac:dyDescent="0.25">
      <c r="A16" t="s">
        <v>495</v>
      </c>
      <c r="B16" s="206">
        <v>10</v>
      </c>
      <c r="C16" s="205">
        <v>0</v>
      </c>
      <c r="D16" s="205">
        <v>0</v>
      </c>
      <c r="E16" s="205">
        <v>1</v>
      </c>
      <c r="F16" s="205">
        <v>1</v>
      </c>
      <c r="G16" s="205">
        <v>1</v>
      </c>
      <c r="H16" s="205">
        <v>2</v>
      </c>
      <c r="I16" s="205">
        <v>2</v>
      </c>
      <c r="J16" s="205">
        <v>1</v>
      </c>
      <c r="K16" s="205">
        <v>1</v>
      </c>
      <c r="L16" s="205">
        <v>1</v>
      </c>
      <c r="M16" s="205">
        <v>1</v>
      </c>
      <c r="N16" s="204">
        <f t="shared" si="0"/>
        <v>1</v>
      </c>
    </row>
    <row r="17" spans="1:14" ht="21.6" customHeight="1" thickTop="1" thickBot="1" x14ac:dyDescent="0.25">
      <c r="A17" t="s">
        <v>496</v>
      </c>
      <c r="B17" s="206">
        <v>11</v>
      </c>
      <c r="C17" s="205">
        <v>1</v>
      </c>
      <c r="D17" s="205">
        <v>1</v>
      </c>
      <c r="E17" s="205">
        <v>2</v>
      </c>
      <c r="F17" s="205">
        <v>2</v>
      </c>
      <c r="G17" s="205">
        <v>1</v>
      </c>
      <c r="H17" s="205">
        <v>1</v>
      </c>
      <c r="I17" s="205">
        <v>2</v>
      </c>
      <c r="J17" s="205">
        <v>2</v>
      </c>
      <c r="K17" s="205">
        <v>1</v>
      </c>
      <c r="L17" s="205">
        <v>2</v>
      </c>
      <c r="M17" s="205">
        <v>1</v>
      </c>
      <c r="N17" s="204">
        <f t="shared" si="0"/>
        <v>1.4545454545454546</v>
      </c>
    </row>
    <row r="18" spans="1:14" ht="21.6" customHeight="1" thickTop="1" thickBot="1" x14ac:dyDescent="0.25">
      <c r="A18" t="s">
        <v>495</v>
      </c>
      <c r="B18" s="206">
        <v>12</v>
      </c>
      <c r="C18" s="205">
        <v>0</v>
      </c>
      <c r="D18" s="205">
        <v>1</v>
      </c>
      <c r="E18" s="205">
        <v>0</v>
      </c>
      <c r="F18" s="205">
        <v>1</v>
      </c>
      <c r="G18" s="205">
        <v>1</v>
      </c>
      <c r="H18" s="205">
        <v>2</v>
      </c>
      <c r="I18" s="205">
        <v>0</v>
      </c>
      <c r="J18" s="205">
        <v>2</v>
      </c>
      <c r="K18" s="205">
        <v>1</v>
      </c>
      <c r="L18" s="205">
        <v>1</v>
      </c>
      <c r="M18" s="205">
        <v>1</v>
      </c>
      <c r="N18" s="204">
        <f t="shared" si="0"/>
        <v>0.90909090909090906</v>
      </c>
    </row>
    <row r="19" spans="1:14" ht="13.5" thickTop="1" x14ac:dyDescent="0.2"/>
  </sheetData>
  <mergeCells count="1">
    <mergeCell ref="B4:G4"/>
  </mergeCells>
  <pageMargins left="0.45" right="0.45" top="0.5" bottom="0.5" header="0" footer="0"/>
  <pageSetup scale="93"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Height</vt:lpstr>
      <vt:lpstr>Width</vt:lpstr>
      <vt:lpstr>Density</vt:lpstr>
      <vt:lpstr>Develop</vt:lpstr>
      <vt:lpstr>PlotDevelop</vt:lpstr>
      <vt:lpstr>Blank Data Sheet</vt:lpstr>
      <vt:lpstr>Height Summary</vt:lpstr>
      <vt:lpstr>Cover Summary</vt:lpstr>
      <vt:lpstr>Averages</vt:lpstr>
      <vt:lpstr>Counts</vt:lpstr>
      <vt:lpstr>Counts2</vt:lpstr>
      <vt:lpstr>Emergence1</vt:lpstr>
      <vt:lpstr>Emergence2</vt:lpstr>
      <vt:lpstr>Anthesis</vt:lpstr>
      <vt:lpstr>NAWFd184</vt:lpstr>
      <vt:lpstr>NAWFd194</vt:lpstr>
      <vt:lpstr>NAWFd201</vt:lpstr>
      <vt:lpstr>NAWFd208</vt:lpstr>
      <vt:lpstr>NAWFd215</vt:lpstr>
      <vt:lpstr>NAWFd236</vt:lpstr>
      <vt:lpstr>Counts!Print_Area</vt:lpstr>
      <vt:lpstr>'Cover Summary'!Print_Area</vt:lpstr>
      <vt:lpstr>'Height Summary'!Print_Area</vt:lpstr>
      <vt:lpstr>NAWFd184!Print_Area</vt:lpstr>
      <vt:lpstr>NAWFd194!Print_Area</vt:lpstr>
      <vt:lpstr>NAWFd201!Print_Area</vt:lpstr>
      <vt:lpstr>NAWFd208!Print_Area</vt:lpstr>
      <vt:lpstr>NAWFd215!Print_Area</vt:lpstr>
      <vt:lpstr>NAWFd236!Print_Area</vt:lpstr>
      <vt:lpstr>Anthesis!Print_Titles</vt:lpstr>
      <vt:lpstr>'Cover Summary'!Print_Titles</vt:lpstr>
      <vt:lpstr>Emergence1!Print_Titles</vt:lpstr>
      <vt:lpstr>'Height Summary'!Print_Titles</vt:lpstr>
      <vt:lpstr>NAWFd184!Print_Titles</vt:lpstr>
      <vt:lpstr>NAWFd194!Print_Titles</vt:lpstr>
      <vt:lpstr>NAWFd201!Print_Titles</vt:lpstr>
      <vt:lpstr>NAWFd208!Print_Titles</vt:lpstr>
      <vt:lpstr>NAWFd215!Print_Titles</vt:lpstr>
      <vt:lpstr>NAWFd236!Print_Titles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Maneely, Suzette</dc:creator>
  <cp:lastModifiedBy>Reviewer</cp:lastModifiedBy>
  <cp:lastPrinted>2023-08-10T17:57:29Z</cp:lastPrinted>
  <dcterms:created xsi:type="dcterms:W3CDTF">2016-05-31T16:53:28Z</dcterms:created>
  <dcterms:modified xsi:type="dcterms:W3CDTF">2025-04-02T13:28:42Z</dcterms:modified>
</cp:coreProperties>
</file>