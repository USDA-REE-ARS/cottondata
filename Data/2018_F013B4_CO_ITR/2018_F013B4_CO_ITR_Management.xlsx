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8_F013B4_CO_ITR\"/>
    </mc:Choice>
  </mc:AlternateContent>
  <xr:revisionPtr revIDLastSave="0" documentId="13_ncr:1_{C2958F99-4069-47D3-A34E-E3F74C39D845}" xr6:coauthVersionLast="47" xr6:coauthVersionMax="47" xr10:uidLastSave="{00000000-0000-0000-0000-000000000000}"/>
  <bookViews>
    <workbookView xWindow="-1515" yWindow="-28410" windowWidth="17850" windowHeight="19275" tabRatio="756" xr2:uid="{00000000-000D-0000-FFFF-FFFF00000000}"/>
  </bookViews>
  <sheets>
    <sheet name="Irrigation" sheetId="4" r:id="rId1"/>
    <sheet name="Fertigation" sheetId="10" r:id="rId2"/>
    <sheet name="Other" sheetId="2" r:id="rId3"/>
    <sheet name="IrrigationDF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5" i="4" l="1"/>
  <c r="P70" i="4"/>
  <c r="C3" i="4"/>
  <c r="C4" i="4"/>
  <c r="C5" i="4"/>
  <c r="F3" i="4"/>
  <c r="I3" i="4"/>
  <c r="F4" i="4"/>
  <c r="I4" i="4"/>
  <c r="F5" i="4"/>
  <c r="I5" i="4"/>
  <c r="I28" i="10"/>
  <c r="J42" i="4" l="1"/>
  <c r="H42" i="4"/>
  <c r="F42" i="4"/>
  <c r="AE74" i="4" l="1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82" i="4" s="1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82" i="4" s="1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82" i="4" s="1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82" i="4" s="1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82" i="4" s="1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82" i="4" s="1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82" i="4" s="1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82" i="4" s="1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P75" i="4"/>
  <c r="P74" i="4"/>
  <c r="P73" i="4"/>
  <c r="P72" i="4"/>
  <c r="P71" i="4"/>
  <c r="P69" i="4"/>
  <c r="P68" i="4"/>
  <c r="P67" i="4"/>
  <c r="P66" i="4"/>
  <c r="P65" i="4"/>
  <c r="P64" i="4"/>
  <c r="P63" i="4"/>
  <c r="P62" i="4"/>
  <c r="P61" i="4"/>
  <c r="P82" i="4" s="1"/>
  <c r="AC47" i="4"/>
  <c r="AD47" i="4"/>
  <c r="AE47" i="4"/>
  <c r="AC48" i="4"/>
  <c r="AD48" i="4"/>
  <c r="AE48" i="4"/>
  <c r="AC49" i="4"/>
  <c r="AD49" i="4"/>
  <c r="AE49" i="4"/>
  <c r="AC50" i="4"/>
  <c r="AD50" i="4"/>
  <c r="AE50" i="4"/>
  <c r="AC51" i="4"/>
  <c r="AD51" i="4"/>
  <c r="AE51" i="4"/>
  <c r="AC52" i="4"/>
  <c r="AD52" i="4"/>
  <c r="AE52" i="4"/>
  <c r="AC53" i="4"/>
  <c r="AD53" i="4"/>
  <c r="AE53" i="4"/>
  <c r="AC54" i="4"/>
  <c r="AD54" i="4"/>
  <c r="AE54" i="4"/>
  <c r="AC55" i="4"/>
  <c r="AD55" i="4"/>
  <c r="AE55" i="4"/>
  <c r="AC56" i="4"/>
  <c r="AD56" i="4"/>
  <c r="AE56" i="4"/>
  <c r="AC57" i="4"/>
  <c r="AD57" i="4"/>
  <c r="AE57" i="4"/>
  <c r="AC58" i="4"/>
  <c r="AD58" i="4"/>
  <c r="AE58" i="4"/>
  <c r="AC59" i="4"/>
  <c r="AD59" i="4"/>
  <c r="AE59" i="4"/>
  <c r="AC60" i="4"/>
  <c r="AD60" i="4"/>
  <c r="AE60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Y47" i="4"/>
  <c r="Z47" i="4"/>
  <c r="AA47" i="4"/>
  <c r="Y48" i="4"/>
  <c r="Z48" i="4"/>
  <c r="AA48" i="4"/>
  <c r="Y49" i="4"/>
  <c r="Z49" i="4"/>
  <c r="AA49" i="4"/>
  <c r="Y50" i="4"/>
  <c r="Z50" i="4"/>
  <c r="AA50" i="4"/>
  <c r="Y51" i="4"/>
  <c r="Z51" i="4"/>
  <c r="AA51" i="4"/>
  <c r="Y52" i="4"/>
  <c r="Z52" i="4"/>
  <c r="AA52" i="4"/>
  <c r="Y53" i="4"/>
  <c r="Z53" i="4"/>
  <c r="AA53" i="4"/>
  <c r="Y54" i="4"/>
  <c r="Z54" i="4"/>
  <c r="AA54" i="4"/>
  <c r="Y55" i="4"/>
  <c r="Z55" i="4"/>
  <c r="AA55" i="4"/>
  <c r="Y56" i="4"/>
  <c r="Z56" i="4"/>
  <c r="AA56" i="4"/>
  <c r="Y57" i="4"/>
  <c r="Z57" i="4"/>
  <c r="AA57" i="4"/>
  <c r="Y58" i="4"/>
  <c r="Z58" i="4"/>
  <c r="AA58" i="4"/>
  <c r="Y59" i="4"/>
  <c r="Z59" i="4"/>
  <c r="AA59" i="4"/>
  <c r="Y60" i="4"/>
  <c r="Z60" i="4"/>
  <c r="AA60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81" i="4" s="1"/>
  <c r="U47" i="4"/>
  <c r="V47" i="4"/>
  <c r="W47" i="4"/>
  <c r="U48" i="4"/>
  <c r="V48" i="4"/>
  <c r="W48" i="4"/>
  <c r="U49" i="4"/>
  <c r="V49" i="4"/>
  <c r="W49" i="4"/>
  <c r="U50" i="4"/>
  <c r="V50" i="4"/>
  <c r="W50" i="4"/>
  <c r="U51" i="4"/>
  <c r="V51" i="4"/>
  <c r="W51" i="4"/>
  <c r="U52" i="4"/>
  <c r="V52" i="4"/>
  <c r="W52" i="4"/>
  <c r="U53" i="4"/>
  <c r="V53" i="4"/>
  <c r="W53" i="4"/>
  <c r="U54" i="4"/>
  <c r="V54" i="4"/>
  <c r="W54" i="4"/>
  <c r="U55" i="4"/>
  <c r="V55" i="4"/>
  <c r="W55" i="4"/>
  <c r="U56" i="4"/>
  <c r="V56" i="4"/>
  <c r="W56" i="4"/>
  <c r="U57" i="4"/>
  <c r="V57" i="4"/>
  <c r="W57" i="4"/>
  <c r="U58" i="4"/>
  <c r="V58" i="4"/>
  <c r="W58" i="4"/>
  <c r="U59" i="4"/>
  <c r="V59" i="4"/>
  <c r="W59" i="4"/>
  <c r="U60" i="4"/>
  <c r="V60" i="4"/>
  <c r="W60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81" i="4" s="1"/>
  <c r="Q47" i="4"/>
  <c r="R47" i="4"/>
  <c r="S47" i="4"/>
  <c r="Q48" i="4"/>
  <c r="R48" i="4"/>
  <c r="S48" i="4"/>
  <c r="Q49" i="4"/>
  <c r="R49" i="4"/>
  <c r="S49" i="4"/>
  <c r="Q50" i="4"/>
  <c r="R50" i="4"/>
  <c r="S50" i="4"/>
  <c r="Q51" i="4"/>
  <c r="R51" i="4"/>
  <c r="S51" i="4"/>
  <c r="Q52" i="4"/>
  <c r="R52" i="4"/>
  <c r="S52" i="4"/>
  <c r="Q53" i="4"/>
  <c r="R53" i="4"/>
  <c r="S53" i="4"/>
  <c r="Q54" i="4"/>
  <c r="R54" i="4"/>
  <c r="S54" i="4"/>
  <c r="Q55" i="4"/>
  <c r="R55" i="4"/>
  <c r="S55" i="4"/>
  <c r="Q56" i="4"/>
  <c r="R56" i="4"/>
  <c r="S56" i="4"/>
  <c r="Q57" i="4"/>
  <c r="R57" i="4"/>
  <c r="S57" i="4"/>
  <c r="Q58" i="4"/>
  <c r="R58" i="4"/>
  <c r="S58" i="4"/>
  <c r="Q59" i="4"/>
  <c r="R59" i="4"/>
  <c r="S59" i="4"/>
  <c r="Q60" i="4"/>
  <c r="R60" i="4"/>
  <c r="S60" i="4"/>
  <c r="P52" i="4"/>
  <c r="P56" i="4"/>
  <c r="P60" i="4"/>
  <c r="P59" i="4"/>
  <c r="P58" i="4"/>
  <c r="P57" i="4"/>
  <c r="P55" i="4"/>
  <c r="P54" i="4"/>
  <c r="P53" i="4"/>
  <c r="P51" i="4"/>
  <c r="P50" i="4"/>
  <c r="P49" i="4"/>
  <c r="P48" i="4"/>
  <c r="P47" i="4"/>
  <c r="P81" i="4" s="1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P46" i="4"/>
  <c r="M72" i="4"/>
  <c r="AE81" i="4" l="1"/>
  <c r="AD81" i="4"/>
  <c r="W82" i="4"/>
  <c r="AA81" i="4"/>
  <c r="AD82" i="4"/>
  <c r="Z81" i="4"/>
  <c r="V82" i="4"/>
  <c r="S81" i="4"/>
  <c r="R81" i="4"/>
  <c r="Q81" i="4"/>
  <c r="AC81" i="4"/>
  <c r="U82" i="4"/>
  <c r="V81" i="4"/>
  <c r="Y81" i="4"/>
  <c r="AB81" i="4"/>
  <c r="AC82" i="4"/>
  <c r="W81" i="4"/>
  <c r="AB82" i="4"/>
  <c r="U81" i="4"/>
  <c r="T82" i="4"/>
  <c r="P77" i="4"/>
  <c r="AE77" i="4"/>
  <c r="W77" i="4"/>
  <c r="AD77" i="4"/>
  <c r="V77" i="4"/>
  <c r="AC77" i="4"/>
  <c r="U77" i="4"/>
  <c r="T77" i="4"/>
  <c r="AA77" i="4"/>
  <c r="S77" i="4"/>
  <c r="AB77" i="4"/>
  <c r="Z77" i="4"/>
  <c r="R77" i="4"/>
  <c r="Y77" i="4"/>
  <c r="Q77" i="4"/>
  <c r="X77" i="4"/>
  <c r="M89" i="4" l="1"/>
  <c r="M88" i="4" l="1"/>
  <c r="M87" i="4" l="1"/>
  <c r="E46" i="4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33" i="4"/>
  <c r="E34" i="4"/>
  <c r="E35" i="4"/>
  <c r="E36" i="4"/>
  <c r="F36" i="4" s="1"/>
  <c r="E37" i="4"/>
  <c r="F37" i="4" s="1"/>
  <c r="E40" i="4"/>
  <c r="F40" i="4" s="1"/>
  <c r="E24" i="4"/>
  <c r="F24" i="4" s="1"/>
  <c r="E25" i="4"/>
  <c r="F25" i="4" s="1"/>
  <c r="E26" i="4"/>
  <c r="F26" i="4" s="1"/>
  <c r="E27" i="4"/>
  <c r="E28" i="4"/>
  <c r="F28" i="4" s="1"/>
  <c r="M78" i="4"/>
  <c r="M80" i="4"/>
  <c r="M82" i="4"/>
  <c r="M83" i="4"/>
  <c r="M84" i="4"/>
  <c r="M85" i="4"/>
  <c r="M86" i="4"/>
  <c r="I75" i="4"/>
  <c r="J75" i="4" s="1"/>
  <c r="G75" i="4"/>
  <c r="H75" i="4" s="1"/>
  <c r="I74" i="4"/>
  <c r="J74" i="4" s="1"/>
  <c r="G74" i="4"/>
  <c r="H74" i="4" s="1"/>
  <c r="I73" i="4"/>
  <c r="J73" i="4" s="1"/>
  <c r="I72" i="4"/>
  <c r="J72" i="4" s="1"/>
  <c r="G73" i="4"/>
  <c r="H73" i="4" s="1"/>
  <c r="G72" i="4"/>
  <c r="H72" i="4" s="1"/>
  <c r="I71" i="4"/>
  <c r="J71" i="4" s="1"/>
  <c r="I70" i="4"/>
  <c r="J70" i="4" s="1"/>
  <c r="G71" i="4"/>
  <c r="H71" i="4" s="1"/>
  <c r="G70" i="4"/>
  <c r="H70" i="4" s="1"/>
  <c r="I69" i="4"/>
  <c r="J69" i="4" s="1"/>
  <c r="G69" i="4"/>
  <c r="H69" i="4" s="1"/>
  <c r="I68" i="4"/>
  <c r="J68" i="4" s="1"/>
  <c r="I67" i="4"/>
  <c r="J67" i="4" s="1"/>
  <c r="G68" i="4"/>
  <c r="H68" i="4" s="1"/>
  <c r="G67" i="4"/>
  <c r="H67" i="4" s="1"/>
  <c r="I66" i="4"/>
  <c r="J66" i="4" s="1"/>
  <c r="I65" i="4"/>
  <c r="J65" i="4" s="1"/>
  <c r="G66" i="4"/>
  <c r="H66" i="4" s="1"/>
  <c r="G65" i="4"/>
  <c r="H65" i="4" s="1"/>
  <c r="I64" i="4"/>
  <c r="J64" i="4" s="1"/>
  <c r="I63" i="4"/>
  <c r="J63" i="4" s="1"/>
  <c r="G64" i="4"/>
  <c r="H64" i="4" s="1"/>
  <c r="G63" i="4"/>
  <c r="H63" i="4" s="1"/>
  <c r="L7" i="10"/>
  <c r="L9" i="10" s="1"/>
  <c r="I62" i="4"/>
  <c r="J62" i="4" s="1"/>
  <c r="G62" i="4"/>
  <c r="H62" i="4" s="1"/>
  <c r="I61" i="4"/>
  <c r="J61" i="4" s="1"/>
  <c r="G61" i="4"/>
  <c r="H61" i="4" s="1"/>
  <c r="F61" i="4"/>
  <c r="I60" i="4"/>
  <c r="J60" i="4" s="1"/>
  <c r="G60" i="4"/>
  <c r="H60" i="4" s="1"/>
  <c r="I59" i="4"/>
  <c r="J59" i="4" s="1"/>
  <c r="G59" i="4"/>
  <c r="H59" i="4" s="1"/>
  <c r="I58" i="4"/>
  <c r="J58" i="4" s="1"/>
  <c r="G58" i="4"/>
  <c r="H58" i="4" s="1"/>
  <c r="I57" i="4"/>
  <c r="J57" i="4" s="1"/>
  <c r="I56" i="4"/>
  <c r="J56" i="4" s="1"/>
  <c r="G57" i="4"/>
  <c r="H57" i="4" s="1"/>
  <c r="G56" i="4"/>
  <c r="H56" i="4" s="1"/>
  <c r="I55" i="4"/>
  <c r="J55" i="4" s="1"/>
  <c r="I54" i="4"/>
  <c r="J54" i="4" s="1"/>
  <c r="G55" i="4"/>
  <c r="H55" i="4" s="1"/>
  <c r="G54" i="4"/>
  <c r="H54" i="4" s="1"/>
  <c r="F26" i="10"/>
  <c r="H26" i="10"/>
  <c r="H25" i="10"/>
  <c r="F21" i="10"/>
  <c r="H21" i="10" s="1"/>
  <c r="H20" i="10"/>
  <c r="F16" i="10"/>
  <c r="H16" i="10"/>
  <c r="H15" i="10"/>
  <c r="F11" i="10"/>
  <c r="H11" i="10"/>
  <c r="H10" i="10"/>
  <c r="I10" i="10" s="1"/>
  <c r="I53" i="4"/>
  <c r="J53" i="4" s="1"/>
  <c r="G53" i="4"/>
  <c r="H53" i="4" s="1"/>
  <c r="I52" i="4"/>
  <c r="J52" i="4" s="1"/>
  <c r="G52" i="4"/>
  <c r="H52" i="4" s="1"/>
  <c r="F53" i="4"/>
  <c r="I51" i="4"/>
  <c r="J51" i="4" s="1"/>
  <c r="G51" i="4"/>
  <c r="H51" i="4" s="1"/>
  <c r="I50" i="4"/>
  <c r="J50" i="4" s="1"/>
  <c r="G50" i="4"/>
  <c r="H50" i="4" s="1"/>
  <c r="I49" i="4"/>
  <c r="J49" i="4" s="1"/>
  <c r="G49" i="4"/>
  <c r="H49" i="4" s="1"/>
  <c r="I48" i="4"/>
  <c r="J48" i="4" s="1"/>
  <c r="G48" i="4"/>
  <c r="H48" i="4" s="1"/>
  <c r="I47" i="4"/>
  <c r="J47" i="4" s="1"/>
  <c r="G47" i="4"/>
  <c r="H47" i="4" s="1"/>
  <c r="I46" i="4"/>
  <c r="J46" i="4" s="1"/>
  <c r="G46" i="4"/>
  <c r="H46" i="4" s="1"/>
  <c r="F46" i="4"/>
  <c r="J41" i="4"/>
  <c r="H41" i="4"/>
  <c r="F41" i="4"/>
  <c r="I39" i="4"/>
  <c r="J39" i="4" s="1"/>
  <c r="I40" i="4"/>
  <c r="J40" i="4" s="1"/>
  <c r="G40" i="4"/>
  <c r="H40" i="4" s="1"/>
  <c r="G39" i="4"/>
  <c r="H39" i="4" s="1"/>
  <c r="F39" i="4"/>
  <c r="J35" i="4"/>
  <c r="J36" i="4"/>
  <c r="F38" i="4"/>
  <c r="J33" i="4"/>
  <c r="H33" i="4"/>
  <c r="I38" i="4"/>
  <c r="J38" i="4" s="1"/>
  <c r="G38" i="4"/>
  <c r="H38" i="4" s="1"/>
  <c r="I37" i="4"/>
  <c r="J37" i="4" s="1"/>
  <c r="G37" i="4"/>
  <c r="H37" i="4" s="1"/>
  <c r="G36" i="4"/>
  <c r="H36" i="4" s="1"/>
  <c r="G35" i="4"/>
  <c r="H35" i="4" s="1"/>
  <c r="I34" i="4"/>
  <c r="G34" i="4"/>
  <c r="F35" i="4"/>
  <c r="F34" i="4"/>
  <c r="F27" i="4"/>
  <c r="F23" i="4"/>
  <c r="E21" i="4"/>
  <c r="F20" i="4"/>
  <c r="F19" i="4"/>
  <c r="F18" i="4"/>
  <c r="F17" i="4"/>
  <c r="F16" i="4"/>
  <c r="F15" i="4"/>
  <c r="F14" i="4"/>
  <c r="F13" i="4"/>
  <c r="F12" i="4"/>
  <c r="F11" i="4"/>
  <c r="F10" i="4"/>
  <c r="H34" i="4" l="1"/>
  <c r="H43" i="4" s="1"/>
  <c r="G43" i="4"/>
  <c r="T78" i="4"/>
  <c r="Y78" i="4"/>
  <c r="AC78" i="4"/>
  <c r="U78" i="4"/>
  <c r="V78" i="4"/>
  <c r="AA78" i="4"/>
  <c r="Z78" i="4"/>
  <c r="AB78" i="4"/>
  <c r="W78" i="4"/>
  <c r="AD78" i="4"/>
  <c r="X78" i="4"/>
  <c r="Q78" i="4"/>
  <c r="R78" i="4"/>
  <c r="AE78" i="4"/>
  <c r="P78" i="4"/>
  <c r="S78" i="4"/>
  <c r="F33" i="4"/>
  <c r="F43" i="4" s="1"/>
  <c r="E43" i="4"/>
  <c r="J34" i="4"/>
  <c r="J43" i="4" s="1"/>
  <c r="I43" i="4"/>
  <c r="I25" i="10"/>
  <c r="F21" i="4"/>
  <c r="I15" i="10"/>
  <c r="I20" i="10"/>
  <c r="M90" i="4"/>
  <c r="E77" i="4"/>
  <c r="E79" i="4" s="1"/>
  <c r="E80" i="4" s="1"/>
  <c r="F29" i="4"/>
  <c r="E29" i="4"/>
  <c r="Q80" i="4" l="1"/>
  <c r="T80" i="4"/>
  <c r="R80" i="4"/>
  <c r="S80" i="4"/>
  <c r="V80" i="4"/>
  <c r="W80" i="4"/>
  <c r="X80" i="4"/>
  <c r="Y80" i="4"/>
  <c r="Z80" i="4"/>
  <c r="AA80" i="4"/>
  <c r="AB80" i="4"/>
  <c r="AC80" i="4"/>
  <c r="AD80" i="4"/>
  <c r="AE80" i="4"/>
  <c r="P80" i="4"/>
  <c r="U80" i="4"/>
  <c r="Q79" i="4"/>
  <c r="R79" i="4"/>
  <c r="R84" i="4" s="1"/>
  <c r="S79" i="4"/>
  <c r="S84" i="4" s="1"/>
  <c r="T79" i="4"/>
  <c r="U79" i="4"/>
  <c r="U84" i="4" s="1"/>
  <c r="V79" i="4"/>
  <c r="V84" i="4" s="1"/>
  <c r="W79" i="4"/>
  <c r="W84" i="4" s="1"/>
  <c r="X79" i="4"/>
  <c r="X84" i="4" s="1"/>
  <c r="Y79" i="4"/>
  <c r="Y84" i="4" s="1"/>
  <c r="Z79" i="4"/>
  <c r="Z84" i="4" s="1"/>
  <c r="AA79" i="4"/>
  <c r="AA84" i="4" s="1"/>
  <c r="AB79" i="4"/>
  <c r="AB84" i="4" s="1"/>
  <c r="AC79" i="4"/>
  <c r="AC84" i="4" s="1"/>
  <c r="AD79" i="4"/>
  <c r="AD84" i="4" s="1"/>
  <c r="P79" i="4"/>
  <c r="P84" i="4" s="1"/>
  <c r="AE79" i="4"/>
  <c r="T84" i="4" l="1"/>
  <c r="Q84" i="4"/>
  <c r="AE84" i="4"/>
</calcChain>
</file>

<file path=xl/sharedStrings.xml><?xml version="1.0" encoding="utf-8"?>
<sst xmlns="http://schemas.openxmlformats.org/spreadsheetml/2006/main" count="316" uniqueCount="164">
  <si>
    <t>Round-up barley cover crop. (Next season use controlled traffic.)</t>
  </si>
  <si>
    <t>Double disk Span 1 and 2</t>
  </si>
  <si>
    <t>Finishing ripper on Span 1 and 2</t>
  </si>
  <si>
    <t>Land plane on Span 1 and 2</t>
  </si>
  <si>
    <t>Wheel track berms on tower 1 and 2</t>
  </si>
  <si>
    <t>Double disc</t>
  </si>
  <si>
    <t>Deep rip</t>
  </si>
  <si>
    <t>Start prewater irrigation</t>
  </si>
  <si>
    <t>Installed new meters on no-till planter</t>
  </si>
  <si>
    <t>Tested no-till planter</t>
  </si>
  <si>
    <t>Applied Prowl preemergent herbicide and Round-Up.  (Next season use controlled traffic and spray Paraquat for volunteer cotton)</t>
  </si>
  <si>
    <t>Water in Prowl (no-till)</t>
  </si>
  <si>
    <t>Applied Prowl with S-tine preemergent herbicide to Span 1 and 2</t>
  </si>
  <si>
    <t>Planted Span 3-7 with JD no-till planter</t>
  </si>
  <si>
    <t>Planted Span 2 with JD cone planter</t>
  </si>
  <si>
    <t>Cotton plants popped overnight last night</t>
  </si>
  <si>
    <t>Plant Span 1 with JD cone planter</t>
  </si>
  <si>
    <t>5/1-2/2018</t>
  </si>
  <si>
    <t>Install 64 nuetron tubes in 30 hours</t>
  </si>
  <si>
    <t>5/3-4/2018</t>
  </si>
  <si>
    <t>Weeded volunteer cotton from 2017</t>
  </si>
  <si>
    <t>Sprayed glyphosate on Span 3-7</t>
  </si>
  <si>
    <t>Aerial apply Flonicamid for Lygus</t>
  </si>
  <si>
    <t>Aerial apply Sulfluxaflor for Lygus</t>
  </si>
  <si>
    <t>Apply diuron, thidiazuron, ethephon, urea sulfate (tractor-based)</t>
  </si>
  <si>
    <t>Aerial apply Sulfluxaflor and Pyriproxyfen</t>
  </si>
  <si>
    <t>Harvest remaining with 4-row picker</t>
  </si>
  <si>
    <t>Chop stalks</t>
  </si>
  <si>
    <t>Dig around neutron tubes</t>
  </si>
  <si>
    <t>Pull neutron tubes</t>
  </si>
  <si>
    <t>Root pull</t>
  </si>
  <si>
    <t>Moldboard plow</t>
  </si>
  <si>
    <t>Laser level</t>
  </si>
  <si>
    <t>For next year:</t>
  </si>
  <si>
    <t>Use drone-based cover to calculate Kcb for wheat, likely will lower water application</t>
  </si>
  <si>
    <t>Last cover crop irrigation (Feb 22)</t>
  </si>
  <si>
    <t>Wait longer after irrigation shut-off to apply Round-up to avoid compaction (March 8)</t>
  </si>
  <si>
    <t>Give Russ spray flags as controlled traffic approach to avoid compaction in cotton rows</t>
  </si>
  <si>
    <t>Tillage (week of March 18)</t>
  </si>
  <si>
    <t>Apply 122.4 mm of prewater (5.1 mm * 8 passes * 3 days) (week of March 25).</t>
  </si>
  <si>
    <t>Apply Prowl preemergent with Paraquat for volunteers using controlled traffic (March 10)</t>
  </si>
  <si>
    <t>Plant NexGen 5007 on March 16.  Consider two-hill seed plate to help push through crust.</t>
  </si>
  <si>
    <t>Get emergence before running up wheel tracks.  Use spray pads on border rows.</t>
  </si>
  <si>
    <t>Four treatments</t>
  </si>
  <si>
    <t>Standard Kcb curve for FAO-56</t>
  </si>
  <si>
    <t>Drone-based Kcb curve for FAO-56 (blanket)</t>
  </si>
  <si>
    <t>Drone-based Kcb curve for FAO-56 with VRI</t>
  </si>
  <si>
    <t>Drone-based Kcb curve for FAO-56 with VRI and water restriction…shoot for 20% cut with geospatial watering decisions</t>
  </si>
  <si>
    <t>Use 2018 yield map to identify crop cover patterns (from drone) that led to higher yield.  Use that to assist watering decisions for fourth treatment.</t>
  </si>
  <si>
    <t>DOY</t>
  </si>
  <si>
    <t>mm</t>
  </si>
  <si>
    <t>Speed</t>
  </si>
  <si>
    <t>Depth (mm)</t>
  </si>
  <si>
    <t>Depth (in)</t>
  </si>
  <si>
    <t>#11</t>
  </si>
  <si>
    <t>#12</t>
  </si>
  <si>
    <t>#13.5</t>
  </si>
  <si>
    <t>Depth</t>
  </si>
  <si>
    <t>Linear</t>
  </si>
  <si>
    <t>Date</t>
  </si>
  <si>
    <t>inch</t>
  </si>
  <si>
    <t>Barley Cover</t>
  </si>
  <si>
    <t>100%*6</t>
  </si>
  <si>
    <t>100%*4</t>
  </si>
  <si>
    <t>100%*2</t>
  </si>
  <si>
    <t>Dawit pressure test</t>
  </si>
  <si>
    <t>100%*5</t>
  </si>
  <si>
    <t>Senninger rep here</t>
  </si>
  <si>
    <t>(.222-.115)*2*100/2.54 = 8.5 inches</t>
  </si>
  <si>
    <t>Pre-water</t>
  </si>
  <si>
    <t>Switched to 13.5 nozzles</t>
  </si>
  <si>
    <t>100%*8</t>
  </si>
  <si>
    <t>Emergence irrigation strategy of 20.4 mm (4 passes ) every third day works well.</t>
  </si>
  <si>
    <t>Span3-7 (KT)</t>
  </si>
  <si>
    <t>Span 2 (AT)</t>
  </si>
  <si>
    <t>Span 1 (DP)</t>
  </si>
  <si>
    <t>Emergence</t>
  </si>
  <si>
    <t>VRI broken after update</t>
  </si>
  <si>
    <t>100%*1(2)</t>
  </si>
  <si>
    <t>50%*1</t>
  </si>
  <si>
    <t>Cotton</t>
  </si>
  <si>
    <t>25%*1</t>
  </si>
  <si>
    <t>Fertigation (39.3 kg/ha)</t>
  </si>
  <si>
    <t>Started VRI treatments</t>
  </si>
  <si>
    <t>Blew the fertigation metering pump diaphragm</t>
  </si>
  <si>
    <t xml:space="preserve">Cotton </t>
  </si>
  <si>
    <t>50%+100%</t>
  </si>
  <si>
    <t>100%*2+25%</t>
  </si>
  <si>
    <t>CAM error on fertigation pump. I suspect only half of the northern plots received 43.2 kg/ha</t>
  </si>
  <si>
    <t>50%+100%*2+50%</t>
  </si>
  <si>
    <t>100%*4+25%+100%*1</t>
  </si>
  <si>
    <t>Fertigation (41.4 kg/ha)</t>
  </si>
  <si>
    <t>100%*4+25%+100%</t>
  </si>
  <si>
    <t>Fertigation (53.1 kg/ha)</t>
  </si>
  <si>
    <t>100%*2+25%+100%</t>
  </si>
  <si>
    <t>Low pressure on first two passes (10-20psi)</t>
  </si>
  <si>
    <t>Rain (mm)</t>
  </si>
  <si>
    <t>Injection</t>
  </si>
  <si>
    <t>lb/gal</t>
  </si>
  <si>
    <t>kg/lb</t>
  </si>
  <si>
    <t>hr/s</t>
  </si>
  <si>
    <t xml:space="preserve">Lateral </t>
  </si>
  <si>
    <t>Lateral</t>
  </si>
  <si>
    <t>m2/ha</t>
  </si>
  <si>
    <t>Application</t>
  </si>
  <si>
    <t>Rate</t>
  </si>
  <si>
    <t>UAN32</t>
  </si>
  <si>
    <t>Speed (25%)</t>
  </si>
  <si>
    <t>Length</t>
  </si>
  <si>
    <t>Yield Goal = 60 lb/ac N per bale</t>
  </si>
  <si>
    <t>30 gal</t>
  </si>
  <si>
    <t>3.55 lb N</t>
  </si>
  <si>
    <t>1 kg N</t>
  </si>
  <si>
    <t>1 hr</t>
  </si>
  <si>
    <t>1 s</t>
  </si>
  <si>
    <t>10000 m2</t>
  </si>
  <si>
    <t>kg</t>
  </si>
  <si>
    <t>kg/ha/bale</t>
  </si>
  <si>
    <t>hr</t>
  </si>
  <si>
    <t>1 gal</t>
  </si>
  <si>
    <t>2.20462 lb N</t>
  </si>
  <si>
    <t>3600 s</t>
  </si>
  <si>
    <t>0.00973914445625566 m</t>
  </si>
  <si>
    <t>345 nozzles * 1.016 m</t>
  </si>
  <si>
    <t>ha</t>
  </si>
  <si>
    <t>bales</t>
  </si>
  <si>
    <t>kg/ha soil N</t>
  </si>
  <si>
    <t>Fertigation #1 (5/16/2018) - Main line injection using OMNI pump</t>
  </si>
  <si>
    <t>kg/ha N requirement</t>
  </si>
  <si>
    <t>Fertigation #2 (6/20/2018) - Toilet tank box mounted to the rig, pulled with truck, spilling in canal</t>
  </si>
  <si>
    <t>Fertigation #3 (7/5/2018) - Toilet tank box on board with stationary rig, spilling in canal</t>
  </si>
  <si>
    <t>Fertigation #4 (7/19/2018) - Toilet tank box on board with stationary rig, spilling in canal</t>
  </si>
  <si>
    <t>Total</t>
  </si>
  <si>
    <t>Harvest Thompson and Thorp Spans with 2-row picker</t>
  </si>
  <si>
    <t>Mapped yield in Thorp Spans with 4-row picker</t>
  </si>
  <si>
    <t>11/15-16/2018</t>
  </si>
  <si>
    <t>60-60</t>
  </si>
  <si>
    <t>60-80</t>
  </si>
  <si>
    <t>60-100</t>
  </si>
  <si>
    <t>60-120</t>
  </si>
  <si>
    <t>80-60</t>
  </si>
  <si>
    <t>80-80</t>
  </si>
  <si>
    <t>80-100</t>
  </si>
  <si>
    <t>80-120</t>
  </si>
  <si>
    <t>100-60</t>
  </si>
  <si>
    <t>100-80</t>
  </si>
  <si>
    <t>100-100</t>
  </si>
  <si>
    <t>100-120</t>
  </si>
  <si>
    <t>120-60</t>
  </si>
  <si>
    <t>120-80</t>
  </si>
  <si>
    <t>120-100</t>
  </si>
  <si>
    <t>120-120</t>
  </si>
  <si>
    <t>Fertigation (45.5 kg/ha); VRI T2 treatments</t>
  </si>
  <si>
    <t>Time1</t>
  </si>
  <si>
    <t>Time2</t>
  </si>
  <si>
    <t>Time3</t>
  </si>
  <si>
    <t>Time4</t>
  </si>
  <si>
    <t>Preplant</t>
  </si>
  <si>
    <t>&lt;480GDD</t>
  </si>
  <si>
    <t>480-1155</t>
  </si>
  <si>
    <t>&gt;1155</t>
  </si>
  <si>
    <t>Field Rain Gauge</t>
  </si>
  <si>
    <t>Neutron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</si>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</sst>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9">
    <xf numFmtId="0" fontId="0" fillId="0" borderId="0" xfId="0"/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4" fontId="0" fillId="2" borderId="0" xfId="0" applyNumberFormat="1" applyFill="1"/>
    <xf numFmtId="165" fontId="0" fillId="0" borderId="0" xfId="0" applyNumberFormat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31000000}"/>
    <cellStyle name="60% - Accent2" xfId="25" builtinId="36" customBuiltin="1"/>
    <cellStyle name="60% - Accent2 2" xfId="44" xr:uid="{00000000-0005-0000-0000-000032000000}"/>
    <cellStyle name="60% - Accent3" xfId="29" builtinId="40" customBuiltin="1"/>
    <cellStyle name="60% - Accent3 2" xfId="45" xr:uid="{00000000-0005-0000-0000-000033000000}"/>
    <cellStyle name="60% - Accent4" xfId="33" builtinId="44" customBuiltin="1"/>
    <cellStyle name="60% - Accent4 2" xfId="46" xr:uid="{00000000-0005-0000-0000-000034000000}"/>
    <cellStyle name="60% - Accent5" xfId="37" builtinId="48" customBuiltin="1"/>
    <cellStyle name="60% - Accent5 2" xfId="47" xr:uid="{00000000-0005-0000-0000-000035000000}"/>
    <cellStyle name="60% - Accent6" xfId="41" builtinId="52" customBuiltin="1"/>
    <cellStyle name="60% - Accent6 2" xfId="48" xr:uid="{00000000-0005-0000-0000-000036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7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1"/>
  <sheetViews>
    <sheetView tabSelected="1" workbookViewId="0"/>
  </sheetViews>
  <sheetFormatPr defaultRowHeight="15" x14ac:dyDescent="0.25"/>
  <cols>
    <col min="1" max="1" width="10.85546875" bestFit="1" customWidth="1"/>
    <col min="2" max="2" width="10.7109375" bestFit="1" customWidth="1"/>
    <col min="4" max="4" width="12" customWidth="1"/>
    <col min="8" max="8" width="9.7109375" bestFit="1" customWidth="1"/>
  </cols>
  <sheetData>
    <row r="1" spans="1:10" x14ac:dyDescent="0.25">
      <c r="A1" t="s">
        <v>51</v>
      </c>
      <c r="B1" t="s">
        <v>52</v>
      </c>
      <c r="C1" t="s">
        <v>53</v>
      </c>
      <c r="E1" t="s">
        <v>52</v>
      </c>
      <c r="F1" t="s">
        <v>53</v>
      </c>
      <c r="H1" t="s">
        <v>52</v>
      </c>
      <c r="I1" t="s">
        <v>53</v>
      </c>
    </row>
    <row r="2" spans="1:10" x14ac:dyDescent="0.25">
      <c r="B2" t="s">
        <v>54</v>
      </c>
      <c r="C2" t="s">
        <v>54</v>
      </c>
      <c r="E2" t="s">
        <v>55</v>
      </c>
      <c r="F2" t="s">
        <v>55</v>
      </c>
      <c r="H2" t="s">
        <v>56</v>
      </c>
      <c r="I2" t="s">
        <v>56</v>
      </c>
    </row>
    <row r="3" spans="1:10" x14ac:dyDescent="0.25">
      <c r="A3" s="3">
        <v>1</v>
      </c>
      <c r="B3">
        <v>3.4</v>
      </c>
      <c r="C3" s="4">
        <f>B3/25.4</f>
        <v>0.13385826771653545</v>
      </c>
      <c r="E3" s="5">
        <v>4</v>
      </c>
      <c r="F3" s="4">
        <f>E3/25.4</f>
        <v>0.15748031496062992</v>
      </c>
      <c r="H3" s="5">
        <v>5.0999999999999996</v>
      </c>
      <c r="I3" s="4">
        <f>H3/25.4</f>
        <v>0.20078740157480315</v>
      </c>
      <c r="J3" s="4"/>
    </row>
    <row r="4" spans="1:10" x14ac:dyDescent="0.25">
      <c r="A4" s="3">
        <v>0.5</v>
      </c>
      <c r="B4">
        <v>6.7</v>
      </c>
      <c r="C4" s="4">
        <f>B4/25.4</f>
        <v>0.26377952755905515</v>
      </c>
      <c r="E4" s="5">
        <v>8</v>
      </c>
      <c r="F4" s="4">
        <f>E4/25.4</f>
        <v>0.31496062992125984</v>
      </c>
      <c r="H4" s="5">
        <v>10.1</v>
      </c>
      <c r="I4" s="4">
        <f>H4/25.4</f>
        <v>0.39763779527559057</v>
      </c>
      <c r="J4" s="4"/>
    </row>
    <row r="5" spans="1:10" x14ac:dyDescent="0.25">
      <c r="A5" s="3">
        <v>0.25</v>
      </c>
      <c r="B5">
        <v>13.3</v>
      </c>
      <c r="C5" s="4">
        <f>B5/25.4</f>
        <v>0.52362204724409456</v>
      </c>
      <c r="E5" s="5">
        <v>15.9</v>
      </c>
      <c r="F5" s="4">
        <f>E5/25.4</f>
        <v>0.62598425196850394</v>
      </c>
      <c r="H5" s="5">
        <v>20.2</v>
      </c>
      <c r="I5" s="4">
        <f>H5/25.4</f>
        <v>0.79527559055118113</v>
      </c>
      <c r="J5" s="4"/>
    </row>
    <row r="8" spans="1:10" x14ac:dyDescent="0.25">
      <c r="D8" t="s">
        <v>58</v>
      </c>
      <c r="E8" t="s">
        <v>57</v>
      </c>
      <c r="F8" t="s">
        <v>57</v>
      </c>
    </row>
    <row r="9" spans="1:10" x14ac:dyDescent="0.25">
      <c r="B9" t="s">
        <v>59</v>
      </c>
      <c r="C9" t="s">
        <v>49</v>
      </c>
      <c r="D9" t="s">
        <v>51</v>
      </c>
      <c r="E9" t="s">
        <v>50</v>
      </c>
      <c r="F9" t="s">
        <v>60</v>
      </c>
    </row>
    <row r="10" spans="1:10" x14ac:dyDescent="0.25">
      <c r="A10" t="s">
        <v>61</v>
      </c>
      <c r="B10" s="2">
        <v>43455</v>
      </c>
      <c r="C10">
        <v>355</v>
      </c>
      <c r="D10" s="6" t="s">
        <v>62</v>
      </c>
      <c r="E10" s="5">
        <v>24</v>
      </c>
      <c r="F10" s="5">
        <f>E10/25.4</f>
        <v>0.94488188976377963</v>
      </c>
    </row>
    <row r="11" spans="1:10" x14ac:dyDescent="0.25">
      <c r="A11" t="s">
        <v>61</v>
      </c>
      <c r="B11" s="2">
        <v>43463</v>
      </c>
      <c r="C11">
        <v>363</v>
      </c>
      <c r="D11" s="6" t="s">
        <v>63</v>
      </c>
      <c r="E11" s="5">
        <v>16</v>
      </c>
      <c r="F11" s="5">
        <f>E11/25.4</f>
        <v>0.62992125984251968</v>
      </c>
    </row>
    <row r="12" spans="1:10" x14ac:dyDescent="0.25">
      <c r="A12" t="s">
        <v>61</v>
      </c>
      <c r="B12" s="2">
        <v>43103</v>
      </c>
      <c r="C12">
        <v>3</v>
      </c>
      <c r="D12" s="6" t="s">
        <v>64</v>
      </c>
      <c r="E12" s="5">
        <v>8</v>
      </c>
      <c r="F12" s="5">
        <f>E12/25.4</f>
        <v>0.31496062992125984</v>
      </c>
    </row>
    <row r="13" spans="1:10" x14ac:dyDescent="0.25">
      <c r="A13" t="s">
        <v>61</v>
      </c>
      <c r="B13" s="2">
        <v>43105</v>
      </c>
      <c r="C13">
        <v>5</v>
      </c>
      <c r="D13" s="6" t="s">
        <v>64</v>
      </c>
      <c r="E13" s="5">
        <v>8</v>
      </c>
      <c r="F13" s="5">
        <f>E13/25.4</f>
        <v>0.31496062992125984</v>
      </c>
    </row>
    <row r="14" spans="1:10" x14ac:dyDescent="0.25">
      <c r="A14" t="s">
        <v>61</v>
      </c>
      <c r="B14" s="2">
        <v>43112</v>
      </c>
      <c r="C14">
        <v>12</v>
      </c>
      <c r="D14" s="6" t="s">
        <v>64</v>
      </c>
      <c r="E14" s="5">
        <v>8</v>
      </c>
      <c r="F14" s="5">
        <f t="shared" ref="F14:F15" si="0">E14/25.4</f>
        <v>0.31496062992125984</v>
      </c>
    </row>
    <row r="15" spans="1:10" x14ac:dyDescent="0.25">
      <c r="A15" t="s">
        <v>61</v>
      </c>
      <c r="B15" s="2">
        <v>43119</v>
      </c>
      <c r="C15">
        <v>19</v>
      </c>
      <c r="D15" s="6" t="s">
        <v>63</v>
      </c>
      <c r="E15" s="5">
        <v>16</v>
      </c>
      <c r="F15" s="5">
        <f t="shared" si="0"/>
        <v>0.62992125984251968</v>
      </c>
    </row>
    <row r="16" spans="1:10" x14ac:dyDescent="0.25">
      <c r="A16" t="s">
        <v>61</v>
      </c>
      <c r="B16" s="2">
        <v>43126</v>
      </c>
      <c r="C16">
        <v>26</v>
      </c>
      <c r="D16" s="6" t="s">
        <v>63</v>
      </c>
      <c r="E16" s="5">
        <v>16</v>
      </c>
      <c r="F16" s="5">
        <f t="shared" ref="F16" si="1">E16/25.4</f>
        <v>0.62992125984251968</v>
      </c>
    </row>
    <row r="17" spans="1:10" x14ac:dyDescent="0.25">
      <c r="A17" t="s">
        <v>61</v>
      </c>
      <c r="B17" s="2">
        <v>43132</v>
      </c>
      <c r="C17">
        <v>32</v>
      </c>
      <c r="D17" s="6" t="s">
        <v>62</v>
      </c>
      <c r="E17" s="5">
        <v>24</v>
      </c>
      <c r="F17" s="5">
        <f t="shared" ref="F17" si="2">E17/25.4</f>
        <v>0.94488188976377963</v>
      </c>
    </row>
    <row r="18" spans="1:10" x14ac:dyDescent="0.25">
      <c r="A18" t="s">
        <v>61</v>
      </c>
      <c r="B18" s="2">
        <v>43140</v>
      </c>
      <c r="C18">
        <v>40</v>
      </c>
      <c r="D18" s="6">
        <v>0.17</v>
      </c>
      <c r="E18" s="5">
        <v>23.4</v>
      </c>
      <c r="F18" s="5">
        <f t="shared" ref="F18" si="3">E18/25.4</f>
        <v>0.92125984251968507</v>
      </c>
      <c r="G18" t="s">
        <v>65</v>
      </c>
    </row>
    <row r="19" spans="1:10" x14ac:dyDescent="0.25">
      <c r="A19" t="s">
        <v>61</v>
      </c>
      <c r="B19" s="2">
        <v>43147</v>
      </c>
      <c r="C19">
        <v>47</v>
      </c>
      <c r="D19" s="6" t="s">
        <v>66</v>
      </c>
      <c r="E19" s="5">
        <v>20</v>
      </c>
      <c r="F19" s="5">
        <f t="shared" ref="F19" si="4">E19/25.4</f>
        <v>0.78740157480314965</v>
      </c>
    </row>
    <row r="20" spans="1:10" x14ac:dyDescent="0.25">
      <c r="A20" t="s">
        <v>61</v>
      </c>
      <c r="B20" s="2">
        <v>43154</v>
      </c>
      <c r="C20">
        <v>54</v>
      </c>
      <c r="D20" s="6" t="s">
        <v>64</v>
      </c>
      <c r="E20" s="5">
        <v>8</v>
      </c>
      <c r="F20" s="5">
        <f t="shared" ref="F20" si="5">E20/25.4</f>
        <v>0.31496062992125984</v>
      </c>
      <c r="G20" t="s">
        <v>67</v>
      </c>
    </row>
    <row r="21" spans="1:10" x14ac:dyDescent="0.25">
      <c r="E21" s="5">
        <f>SUM(E10:E20)</f>
        <v>171.4</v>
      </c>
      <c r="F21" s="5">
        <f>SUM(F10:F20)</f>
        <v>6.7480314960629926</v>
      </c>
    </row>
    <row r="22" spans="1:10" x14ac:dyDescent="0.25">
      <c r="A22" t="s">
        <v>68</v>
      </c>
    </row>
    <row r="23" spans="1:10" x14ac:dyDescent="0.25">
      <c r="A23" t="s">
        <v>69</v>
      </c>
      <c r="B23" s="2">
        <v>43181</v>
      </c>
      <c r="C23">
        <v>81</v>
      </c>
      <c r="D23" s="3">
        <v>0.17</v>
      </c>
      <c r="E23" s="5">
        <v>23.4</v>
      </c>
      <c r="F23" s="5">
        <f t="shared" ref="F23:F25" si="6">E23/25.4</f>
        <v>0.92125984251968507</v>
      </c>
      <c r="G23" t="s">
        <v>65</v>
      </c>
      <c r="H23" s="5"/>
    </row>
    <row r="24" spans="1:10" x14ac:dyDescent="0.25">
      <c r="A24" t="s">
        <v>69</v>
      </c>
      <c r="B24" s="2">
        <v>43182</v>
      </c>
      <c r="C24">
        <v>82</v>
      </c>
      <c r="D24" s="6" t="s">
        <v>66</v>
      </c>
      <c r="E24">
        <f>5.1*5</f>
        <v>25.5</v>
      </c>
      <c r="F24" s="5">
        <f t="shared" si="6"/>
        <v>1.0039370078740157</v>
      </c>
      <c r="G24" t="s">
        <v>70</v>
      </c>
    </row>
    <row r="25" spans="1:10" x14ac:dyDescent="0.25">
      <c r="A25" t="s">
        <v>69</v>
      </c>
      <c r="B25" s="2">
        <v>43185</v>
      </c>
      <c r="C25">
        <v>85</v>
      </c>
      <c r="D25" s="6" t="s">
        <v>71</v>
      </c>
      <c r="E25">
        <f>5.1*8</f>
        <v>40.799999999999997</v>
      </c>
      <c r="F25" s="5">
        <f t="shared" si="6"/>
        <v>1.6062992125984252</v>
      </c>
    </row>
    <row r="26" spans="1:10" x14ac:dyDescent="0.25">
      <c r="A26" t="s">
        <v>69</v>
      </c>
      <c r="B26" s="2">
        <v>43186</v>
      </c>
      <c r="C26">
        <v>86</v>
      </c>
      <c r="D26" s="6" t="s">
        <v>71</v>
      </c>
      <c r="E26">
        <f>5.1*8</f>
        <v>40.799999999999997</v>
      </c>
      <c r="F26" s="5">
        <f t="shared" ref="F26:F28" si="7">E26/25.4</f>
        <v>1.6062992125984252</v>
      </c>
    </row>
    <row r="27" spans="1:10" x14ac:dyDescent="0.25">
      <c r="A27" t="s">
        <v>69</v>
      </c>
      <c r="B27" s="2">
        <v>43187</v>
      </c>
      <c r="C27">
        <v>87</v>
      </c>
      <c r="D27" s="6" t="s">
        <v>71</v>
      </c>
      <c r="E27">
        <f>5.1*8</f>
        <v>40.799999999999997</v>
      </c>
      <c r="F27" s="5">
        <f t="shared" si="7"/>
        <v>1.6062992125984252</v>
      </c>
    </row>
    <row r="28" spans="1:10" x14ac:dyDescent="0.25">
      <c r="A28" t="s">
        <v>69</v>
      </c>
      <c r="B28" s="2">
        <v>43188</v>
      </c>
      <c r="C28">
        <v>88</v>
      </c>
      <c r="D28" s="6" t="s">
        <v>71</v>
      </c>
      <c r="E28">
        <f>5.1*8</f>
        <v>40.799999999999997</v>
      </c>
      <c r="F28" s="5">
        <f t="shared" si="7"/>
        <v>1.6062992125984252</v>
      </c>
    </row>
    <row r="29" spans="1:10" x14ac:dyDescent="0.25">
      <c r="B29" s="2"/>
      <c r="D29" s="6"/>
      <c r="E29" s="5">
        <f>SUM(E23:E28)</f>
        <v>212.10000000000002</v>
      </c>
      <c r="F29" s="5">
        <f>SUM(F23:F28)</f>
        <v>8.3503937007874018</v>
      </c>
      <c r="I29" s="5"/>
    </row>
    <row r="30" spans="1:10" x14ac:dyDescent="0.25">
      <c r="B30" s="2"/>
      <c r="D30" s="6"/>
      <c r="E30" s="5"/>
      <c r="F30" s="5"/>
    </row>
    <row r="31" spans="1:10" x14ac:dyDescent="0.25">
      <c r="A31" t="s">
        <v>72</v>
      </c>
      <c r="B31" s="2"/>
      <c r="D31" s="6"/>
      <c r="F31" s="5"/>
    </row>
    <row r="32" spans="1:10" x14ac:dyDescent="0.25">
      <c r="B32" s="2"/>
      <c r="D32" s="6"/>
      <c r="E32" t="s">
        <v>73</v>
      </c>
      <c r="F32" t="s">
        <v>73</v>
      </c>
      <c r="G32" t="s">
        <v>74</v>
      </c>
      <c r="H32" t="s">
        <v>74</v>
      </c>
      <c r="I32" t="s">
        <v>75</v>
      </c>
      <c r="J32" t="s">
        <v>75</v>
      </c>
    </row>
    <row r="33" spans="1:31" x14ac:dyDescent="0.25">
      <c r="A33" t="s">
        <v>76</v>
      </c>
      <c r="B33" s="2">
        <v>43202</v>
      </c>
      <c r="C33">
        <v>102</v>
      </c>
      <c r="D33" s="6" t="s">
        <v>64</v>
      </c>
      <c r="E33" s="5">
        <f>5.1*2</f>
        <v>10.199999999999999</v>
      </c>
      <c r="F33" s="5">
        <f t="shared" ref="F33:F42" si="8">E33/25.4</f>
        <v>0.40157480314960631</v>
      </c>
      <c r="G33" s="5">
        <v>0</v>
      </c>
      <c r="H33" s="5">
        <f t="shared" ref="H33:H42" si="9">G33/25.4</f>
        <v>0</v>
      </c>
      <c r="I33" s="5">
        <v>0</v>
      </c>
      <c r="J33" s="5">
        <f t="shared" ref="J33:J42" si="10">I33/25.4</f>
        <v>0</v>
      </c>
    </row>
    <row r="34" spans="1:31" x14ac:dyDescent="0.25">
      <c r="A34" t="s">
        <v>76</v>
      </c>
      <c r="B34" s="2">
        <v>43210</v>
      </c>
      <c r="C34">
        <v>110</v>
      </c>
      <c r="D34" s="6" t="s">
        <v>63</v>
      </c>
      <c r="E34" s="5">
        <f>5.1*4</f>
        <v>20.399999999999999</v>
      </c>
      <c r="F34" s="5">
        <f t="shared" si="8"/>
        <v>0.80314960629921262</v>
      </c>
      <c r="G34" s="5">
        <f>5.1*4</f>
        <v>20.399999999999999</v>
      </c>
      <c r="H34" s="5">
        <f t="shared" si="9"/>
        <v>0.80314960629921262</v>
      </c>
      <c r="I34" s="5">
        <f>5.1*4</f>
        <v>20.399999999999999</v>
      </c>
      <c r="J34" s="5">
        <f t="shared" si="10"/>
        <v>0.80314960629921262</v>
      </c>
    </row>
    <row r="35" spans="1:31" x14ac:dyDescent="0.25">
      <c r="A35" t="s">
        <v>76</v>
      </c>
      <c r="B35" s="2">
        <v>43214</v>
      </c>
      <c r="C35">
        <v>114</v>
      </c>
      <c r="D35" s="6" t="s">
        <v>63</v>
      </c>
      <c r="E35" s="5">
        <f>5.1*4</f>
        <v>20.399999999999999</v>
      </c>
      <c r="F35" s="5">
        <f t="shared" si="8"/>
        <v>0.80314960629921262</v>
      </c>
      <c r="G35" s="5">
        <f>5.1*4</f>
        <v>20.399999999999999</v>
      </c>
      <c r="H35" s="5">
        <f t="shared" si="9"/>
        <v>0.80314960629921262</v>
      </c>
      <c r="I35" s="5">
        <v>0</v>
      </c>
      <c r="J35" s="5">
        <f t="shared" si="10"/>
        <v>0</v>
      </c>
      <c r="K35" t="s">
        <v>77</v>
      </c>
    </row>
    <row r="36" spans="1:31" x14ac:dyDescent="0.25">
      <c r="A36" t="s">
        <v>76</v>
      </c>
      <c r="B36" s="2">
        <v>43217</v>
      </c>
      <c r="C36">
        <v>117</v>
      </c>
      <c r="D36" s="6" t="s">
        <v>63</v>
      </c>
      <c r="E36" s="5">
        <f>5.1*4</f>
        <v>20.399999999999999</v>
      </c>
      <c r="F36" s="5">
        <f t="shared" si="8"/>
        <v>0.80314960629921262</v>
      </c>
      <c r="G36" s="5">
        <f>5.1*4</f>
        <v>20.399999999999999</v>
      </c>
      <c r="H36" s="5">
        <f t="shared" si="9"/>
        <v>0.80314960629921262</v>
      </c>
      <c r="I36" s="5">
        <v>0</v>
      </c>
      <c r="J36" s="5">
        <f t="shared" si="10"/>
        <v>0</v>
      </c>
      <c r="K36" t="s">
        <v>77</v>
      </c>
    </row>
    <row r="37" spans="1:31" x14ac:dyDescent="0.25">
      <c r="A37" t="s">
        <v>76</v>
      </c>
      <c r="B37" s="2">
        <v>43220</v>
      </c>
      <c r="C37">
        <v>120</v>
      </c>
      <c r="D37" s="6" t="s">
        <v>78</v>
      </c>
      <c r="E37" s="5">
        <f>5.1*1</f>
        <v>5.0999999999999996</v>
      </c>
      <c r="F37" s="5">
        <f t="shared" si="8"/>
        <v>0.20078740157480315</v>
      </c>
      <c r="G37" s="5">
        <f>5.1*2</f>
        <v>10.199999999999999</v>
      </c>
      <c r="H37" s="5">
        <f t="shared" si="9"/>
        <v>0.40157480314960631</v>
      </c>
      <c r="I37" s="5">
        <f>5.1*2</f>
        <v>10.199999999999999</v>
      </c>
      <c r="J37" s="5">
        <f t="shared" si="10"/>
        <v>0.40157480314960631</v>
      </c>
      <c r="K37" t="s">
        <v>77</v>
      </c>
    </row>
    <row r="38" spans="1:31" x14ac:dyDescent="0.25">
      <c r="A38" t="s">
        <v>76</v>
      </c>
      <c r="B38" s="2">
        <v>43221</v>
      </c>
      <c r="C38">
        <v>121</v>
      </c>
      <c r="D38" s="6" t="s">
        <v>64</v>
      </c>
      <c r="E38" s="5">
        <v>0</v>
      </c>
      <c r="F38" s="5">
        <f t="shared" si="8"/>
        <v>0</v>
      </c>
      <c r="G38" s="5">
        <f>5.1*2</f>
        <v>10.199999999999999</v>
      </c>
      <c r="H38" s="5">
        <f t="shared" si="9"/>
        <v>0.40157480314960631</v>
      </c>
      <c r="I38" s="5">
        <f>5.1*2</f>
        <v>10.199999999999999</v>
      </c>
      <c r="J38" s="5">
        <f t="shared" si="10"/>
        <v>0.40157480314960631</v>
      </c>
      <c r="K38" t="s">
        <v>77</v>
      </c>
    </row>
    <row r="39" spans="1:31" x14ac:dyDescent="0.25">
      <c r="A39" t="s">
        <v>76</v>
      </c>
      <c r="B39" s="2">
        <v>43224</v>
      </c>
      <c r="C39">
        <v>124</v>
      </c>
      <c r="D39" s="6" t="s">
        <v>63</v>
      </c>
      <c r="E39" s="5">
        <v>0</v>
      </c>
      <c r="F39" s="5">
        <f t="shared" si="8"/>
        <v>0</v>
      </c>
      <c r="G39" s="5">
        <f>5.1*0</f>
        <v>0</v>
      </c>
      <c r="H39" s="5">
        <f t="shared" si="9"/>
        <v>0</v>
      </c>
      <c r="I39" s="5">
        <f>5.1*1</f>
        <v>5.0999999999999996</v>
      </c>
      <c r="J39" s="5">
        <f t="shared" si="10"/>
        <v>0.20078740157480315</v>
      </c>
    </row>
    <row r="40" spans="1:31" x14ac:dyDescent="0.25">
      <c r="A40" t="s">
        <v>76</v>
      </c>
      <c r="B40" s="2">
        <v>43227</v>
      </c>
      <c r="C40">
        <v>127</v>
      </c>
      <c r="D40" s="6" t="s">
        <v>63</v>
      </c>
      <c r="E40" s="5">
        <f>5.1*4</f>
        <v>20.399999999999999</v>
      </c>
      <c r="F40" s="5">
        <f t="shared" si="8"/>
        <v>0.80314960629921262</v>
      </c>
      <c r="G40" s="5">
        <f>5.1*4</f>
        <v>20.399999999999999</v>
      </c>
      <c r="H40" s="5">
        <f t="shared" si="9"/>
        <v>0.80314960629921262</v>
      </c>
      <c r="I40" s="5">
        <f>5.1*4</f>
        <v>20.399999999999999</v>
      </c>
      <c r="J40" s="5">
        <f t="shared" si="10"/>
        <v>0.80314960629921262</v>
      </c>
    </row>
    <row r="41" spans="1:31" x14ac:dyDescent="0.25">
      <c r="A41" t="s">
        <v>76</v>
      </c>
      <c r="B41" s="2">
        <v>43234</v>
      </c>
      <c r="C41">
        <v>134</v>
      </c>
      <c r="D41" s="6" t="s">
        <v>79</v>
      </c>
      <c r="E41" s="5">
        <v>0</v>
      </c>
      <c r="F41" s="5">
        <f t="shared" si="8"/>
        <v>0</v>
      </c>
      <c r="G41" s="5">
        <v>0</v>
      </c>
      <c r="H41" s="5">
        <f t="shared" si="9"/>
        <v>0</v>
      </c>
      <c r="I41" s="5">
        <v>10.1</v>
      </c>
      <c r="J41" s="5">
        <f t="shared" si="10"/>
        <v>0.39763779527559057</v>
      </c>
    </row>
    <row r="42" spans="1:31" x14ac:dyDescent="0.25">
      <c r="A42" t="s">
        <v>76</v>
      </c>
      <c r="B42" s="2">
        <v>43236</v>
      </c>
      <c r="C42">
        <v>136</v>
      </c>
      <c r="D42" t="s">
        <v>81</v>
      </c>
      <c r="E42" s="5">
        <v>20.2</v>
      </c>
      <c r="F42" s="5">
        <f t="shared" si="8"/>
        <v>0.79527559055118113</v>
      </c>
      <c r="G42" s="5">
        <v>20.2</v>
      </c>
      <c r="H42" s="5">
        <f t="shared" si="9"/>
        <v>0.79527559055118113</v>
      </c>
      <c r="I42" s="5">
        <v>20.2</v>
      </c>
      <c r="J42" s="5">
        <f t="shared" si="10"/>
        <v>0.79527559055118113</v>
      </c>
      <c r="K42" t="s">
        <v>82</v>
      </c>
    </row>
    <row r="43" spans="1:31" x14ac:dyDescent="0.25">
      <c r="E43" s="5">
        <f>SUM(E33:E42)</f>
        <v>117.10000000000001</v>
      </c>
      <c r="F43" s="5">
        <f t="shared" ref="F43:J43" si="11">SUM(F33:F42)</f>
        <v>4.6102362204724407</v>
      </c>
      <c r="G43" s="5">
        <f t="shared" si="11"/>
        <v>122.2</v>
      </c>
      <c r="H43" s="5">
        <f t="shared" si="11"/>
        <v>4.8110236220472453</v>
      </c>
      <c r="I43" s="5">
        <f t="shared" si="11"/>
        <v>96.6</v>
      </c>
      <c r="J43" s="5">
        <f t="shared" si="11"/>
        <v>3.8031496062992129</v>
      </c>
    </row>
    <row r="45" spans="1:31" x14ac:dyDescent="0.25">
      <c r="E45" s="5"/>
      <c r="P45" s="7" t="s">
        <v>136</v>
      </c>
      <c r="Q45" s="7" t="s">
        <v>137</v>
      </c>
      <c r="R45" s="1" t="s">
        <v>138</v>
      </c>
      <c r="S45" s="1" t="s">
        <v>139</v>
      </c>
      <c r="T45" s="1" t="s">
        <v>140</v>
      </c>
      <c r="U45" s="1" t="s">
        <v>141</v>
      </c>
      <c r="V45" s="1" t="s">
        <v>142</v>
      </c>
      <c r="W45" s="1" t="s">
        <v>143</v>
      </c>
      <c r="X45" s="1" t="s">
        <v>144</v>
      </c>
      <c r="Y45" s="1" t="s">
        <v>145</v>
      </c>
      <c r="Z45" s="1" t="s">
        <v>146</v>
      </c>
      <c r="AA45" s="1" t="s">
        <v>147</v>
      </c>
      <c r="AB45" s="1" t="s">
        <v>148</v>
      </c>
      <c r="AC45" s="1" t="s">
        <v>149</v>
      </c>
      <c r="AD45" s="1" t="s">
        <v>150</v>
      </c>
      <c r="AE45" s="1" t="s">
        <v>151</v>
      </c>
    </row>
    <row r="46" spans="1:31" x14ac:dyDescent="0.25">
      <c r="A46" t="s">
        <v>80</v>
      </c>
      <c r="B46" s="2">
        <v>43243</v>
      </c>
      <c r="C46">
        <v>143</v>
      </c>
      <c r="D46" t="s">
        <v>63</v>
      </c>
      <c r="E46" s="5">
        <f>5.1*4</f>
        <v>20.399999999999999</v>
      </c>
      <c r="F46" s="5">
        <f t="shared" ref="F46" si="12">E46/25.4</f>
        <v>0.80314960629921262</v>
      </c>
      <c r="G46" s="5">
        <f>5.1*4</f>
        <v>20.399999999999999</v>
      </c>
      <c r="H46" s="5">
        <f t="shared" ref="H46" si="13">G46/25.4</f>
        <v>0.80314960629921262</v>
      </c>
      <c r="I46" s="5">
        <f>5.1*4*0.75</f>
        <v>15.299999999999999</v>
      </c>
      <c r="J46" s="5">
        <f>I46/25.4</f>
        <v>0.60236220472440949</v>
      </c>
      <c r="P46" s="7">
        <f>5.1*4</f>
        <v>20.399999999999999</v>
      </c>
      <c r="Q46" s="7">
        <f t="shared" ref="Q46:AE46" si="14">5.1*4</f>
        <v>20.399999999999999</v>
      </c>
      <c r="R46" s="7">
        <f t="shared" si="14"/>
        <v>20.399999999999999</v>
      </c>
      <c r="S46" s="7">
        <f t="shared" si="14"/>
        <v>20.399999999999999</v>
      </c>
      <c r="T46" s="7">
        <f t="shared" si="14"/>
        <v>20.399999999999999</v>
      </c>
      <c r="U46" s="7">
        <f t="shared" si="14"/>
        <v>20.399999999999999</v>
      </c>
      <c r="V46" s="7">
        <f t="shared" si="14"/>
        <v>20.399999999999999</v>
      </c>
      <c r="W46" s="7">
        <f t="shared" si="14"/>
        <v>20.399999999999999</v>
      </c>
      <c r="X46" s="7">
        <f t="shared" si="14"/>
        <v>20.399999999999999</v>
      </c>
      <c r="Y46" s="7">
        <f t="shared" si="14"/>
        <v>20.399999999999999</v>
      </c>
      <c r="Z46" s="7">
        <f t="shared" si="14"/>
        <v>20.399999999999999</v>
      </c>
      <c r="AA46" s="7">
        <f t="shared" si="14"/>
        <v>20.399999999999999</v>
      </c>
      <c r="AB46" s="7">
        <f t="shared" si="14"/>
        <v>20.399999999999999</v>
      </c>
      <c r="AC46" s="7">
        <f t="shared" si="14"/>
        <v>20.399999999999999</v>
      </c>
      <c r="AD46" s="7">
        <f t="shared" si="14"/>
        <v>20.399999999999999</v>
      </c>
      <c r="AE46" s="7">
        <f t="shared" si="14"/>
        <v>20.399999999999999</v>
      </c>
    </row>
    <row r="47" spans="1:31" x14ac:dyDescent="0.25">
      <c r="A47" t="s">
        <v>80</v>
      </c>
      <c r="B47" s="2">
        <v>43250</v>
      </c>
      <c r="C47">
        <v>150</v>
      </c>
      <c r="D47" t="s">
        <v>62</v>
      </c>
      <c r="E47" s="5">
        <f>5.1*6*0.8333</f>
        <v>25.49898</v>
      </c>
      <c r="F47" s="5">
        <f t="shared" ref="F47:F64" si="15">E47/25.4</f>
        <v>1.0038968503937009</v>
      </c>
      <c r="G47" s="5">
        <f>5.1*6*0.6667</f>
        <v>20.401019999999999</v>
      </c>
      <c r="H47" s="5">
        <f t="shared" ref="H47:H64" si="16">G47/25.4</f>
        <v>0.80318976377952755</v>
      </c>
      <c r="I47" s="5">
        <f>5.1*6*0.4167</f>
        <v>12.751019999999999</v>
      </c>
      <c r="J47" s="5">
        <f>I47/25.4</f>
        <v>0.50200866141732281</v>
      </c>
      <c r="K47" t="s">
        <v>83</v>
      </c>
      <c r="P47" s="7">
        <f>5.1*6*0.5</f>
        <v>15.299999999999999</v>
      </c>
      <c r="Q47" s="7">
        <f t="shared" ref="Q47:S47" si="17">5.1*6*0.5</f>
        <v>15.299999999999999</v>
      </c>
      <c r="R47" s="7">
        <f t="shared" si="17"/>
        <v>15.299999999999999</v>
      </c>
      <c r="S47" s="7">
        <f t="shared" si="17"/>
        <v>15.299999999999999</v>
      </c>
      <c r="T47" s="7">
        <f>5.1*6*0.6667</f>
        <v>20.401019999999999</v>
      </c>
      <c r="U47" s="7">
        <f t="shared" ref="U47:W47" si="18">5.1*6*0.6667</f>
        <v>20.401019999999999</v>
      </c>
      <c r="V47" s="7">
        <f t="shared" si="18"/>
        <v>20.401019999999999</v>
      </c>
      <c r="W47" s="7">
        <f t="shared" si="18"/>
        <v>20.401019999999999</v>
      </c>
      <c r="X47" s="7">
        <f>5.1*6*0.8333</f>
        <v>25.49898</v>
      </c>
      <c r="Y47" s="7">
        <f t="shared" ref="Y47:AA47" si="19">5.1*6*0.8333</f>
        <v>25.49898</v>
      </c>
      <c r="Z47" s="7">
        <f t="shared" si="19"/>
        <v>25.49898</v>
      </c>
      <c r="AA47" s="7">
        <f t="shared" si="19"/>
        <v>25.49898</v>
      </c>
      <c r="AB47" s="7">
        <f>5.1*6*1</f>
        <v>30.599999999999998</v>
      </c>
      <c r="AC47" s="7">
        <f t="shared" ref="AC47:AE47" si="20">5.1*6*1</f>
        <v>30.599999999999998</v>
      </c>
      <c r="AD47" s="7">
        <f t="shared" si="20"/>
        <v>30.599999999999998</v>
      </c>
      <c r="AE47" s="7">
        <f t="shared" si="20"/>
        <v>30.599999999999998</v>
      </c>
    </row>
    <row r="48" spans="1:31" x14ac:dyDescent="0.25">
      <c r="A48" t="s">
        <v>80</v>
      </c>
      <c r="B48" s="2">
        <v>43257</v>
      </c>
      <c r="C48">
        <v>157</v>
      </c>
      <c r="D48" t="s">
        <v>66</v>
      </c>
      <c r="E48" s="5">
        <f>5.1*5*0.8333</f>
        <v>21.24915</v>
      </c>
      <c r="F48" s="5">
        <f t="shared" si="15"/>
        <v>0.83658070866141743</v>
      </c>
      <c r="G48" s="5">
        <f>5.1*5*0.6667</f>
        <v>17.00085</v>
      </c>
      <c r="H48" s="5">
        <f t="shared" si="16"/>
        <v>0.6693248031496063</v>
      </c>
      <c r="I48" s="5">
        <f>5.1*5*0.733</f>
        <v>18.691500000000001</v>
      </c>
      <c r="J48" s="5">
        <f>I48/25.4</f>
        <v>0.7358858267716536</v>
      </c>
      <c r="K48" t="s">
        <v>84</v>
      </c>
      <c r="P48" s="7">
        <f>5.1*5*0.5</f>
        <v>12.75</v>
      </c>
      <c r="Q48" s="7">
        <f t="shared" ref="Q48:S48" si="21">5.1*5*0.5</f>
        <v>12.75</v>
      </c>
      <c r="R48" s="7">
        <f t="shared" si="21"/>
        <v>12.75</v>
      </c>
      <c r="S48" s="7">
        <f t="shared" si="21"/>
        <v>12.75</v>
      </c>
      <c r="T48" s="7">
        <f>5.1*5*0.6667</f>
        <v>17.00085</v>
      </c>
      <c r="U48" s="7">
        <f t="shared" ref="U48:W48" si="22">5.1*5*0.6667</f>
        <v>17.00085</v>
      </c>
      <c r="V48" s="7">
        <f t="shared" si="22"/>
        <v>17.00085</v>
      </c>
      <c r="W48" s="7">
        <f t="shared" si="22"/>
        <v>17.00085</v>
      </c>
      <c r="X48" s="7">
        <f>5.1*5*0.8333</f>
        <v>21.24915</v>
      </c>
      <c r="Y48" s="7">
        <f t="shared" ref="Y48:AA48" si="23">5.1*5*0.8333</f>
        <v>21.24915</v>
      </c>
      <c r="Z48" s="7">
        <f t="shared" si="23"/>
        <v>21.24915</v>
      </c>
      <c r="AA48" s="7">
        <f t="shared" si="23"/>
        <v>21.24915</v>
      </c>
      <c r="AB48" s="7">
        <f>5.1*5*1</f>
        <v>25.5</v>
      </c>
      <c r="AC48" s="7">
        <f t="shared" ref="AC48:AE48" si="24">5.1*5*1</f>
        <v>25.5</v>
      </c>
      <c r="AD48" s="7">
        <f t="shared" si="24"/>
        <v>25.5</v>
      </c>
      <c r="AE48" s="7">
        <f t="shared" si="24"/>
        <v>25.5</v>
      </c>
    </row>
    <row r="49" spans="1:31" x14ac:dyDescent="0.25">
      <c r="A49" t="s">
        <v>85</v>
      </c>
      <c r="B49" s="2">
        <v>43258</v>
      </c>
      <c r="C49">
        <v>158</v>
      </c>
      <c r="D49" t="s">
        <v>86</v>
      </c>
      <c r="E49" s="5">
        <f>(10.1+5.1)*0.8333</f>
        <v>12.66616</v>
      </c>
      <c r="F49" s="5">
        <f t="shared" si="15"/>
        <v>0.49866771653543307</v>
      </c>
      <c r="G49" s="5">
        <f>(10.1+5.1)*0.6667</f>
        <v>10.133839999999999</v>
      </c>
      <c r="H49" s="5">
        <f t="shared" si="16"/>
        <v>0.3989700787401575</v>
      </c>
      <c r="I49" s="5">
        <f>(10.1+5.1)*0.11</f>
        <v>1.6719999999999999</v>
      </c>
      <c r="J49" s="5">
        <f>I49/25.4</f>
        <v>6.5826771653543309E-2</v>
      </c>
      <c r="P49" s="7">
        <f>(10.1+5.1)*0.5</f>
        <v>7.6</v>
      </c>
      <c r="Q49" s="7">
        <f t="shared" ref="Q49:S49" si="25">(10.1+5.1)*0.5</f>
        <v>7.6</v>
      </c>
      <c r="R49" s="7">
        <f t="shared" si="25"/>
        <v>7.6</v>
      </c>
      <c r="S49" s="7">
        <f t="shared" si="25"/>
        <v>7.6</v>
      </c>
      <c r="T49" s="7">
        <f>(10.1+5.1)*0.6667</f>
        <v>10.133839999999999</v>
      </c>
      <c r="U49" s="7">
        <f t="shared" ref="U49:W49" si="26">(10.1+5.1)*0.6667</f>
        <v>10.133839999999999</v>
      </c>
      <c r="V49" s="7">
        <f t="shared" si="26"/>
        <v>10.133839999999999</v>
      </c>
      <c r="W49" s="7">
        <f t="shared" si="26"/>
        <v>10.133839999999999</v>
      </c>
      <c r="X49" s="7">
        <f>(10.1+5.1)*0.8333</f>
        <v>12.66616</v>
      </c>
      <c r="Y49" s="7">
        <f t="shared" ref="Y49:AA49" si="27">(10.1+5.1)*0.8333</f>
        <v>12.66616</v>
      </c>
      <c r="Z49" s="7">
        <f t="shared" si="27"/>
        <v>12.66616</v>
      </c>
      <c r="AA49" s="7">
        <f t="shared" si="27"/>
        <v>12.66616</v>
      </c>
      <c r="AB49" s="7">
        <f>(10.1+5.1)*1</f>
        <v>15.2</v>
      </c>
      <c r="AC49" s="7">
        <f t="shared" ref="AC49:AE49" si="28">(10.1+5.1)*1</f>
        <v>15.2</v>
      </c>
      <c r="AD49" s="7">
        <f t="shared" si="28"/>
        <v>15.2</v>
      </c>
      <c r="AE49" s="7">
        <f t="shared" si="28"/>
        <v>15.2</v>
      </c>
    </row>
    <row r="50" spans="1:31" x14ac:dyDescent="0.25">
      <c r="A50" t="s">
        <v>80</v>
      </c>
      <c r="B50" s="2">
        <v>43264</v>
      </c>
      <c r="C50">
        <v>164</v>
      </c>
      <c r="D50" t="s">
        <v>87</v>
      </c>
      <c r="E50" s="5">
        <f>20.2+(5.1*2)*0.8333</f>
        <v>28.699660000000002</v>
      </c>
      <c r="F50" s="5">
        <f t="shared" si="15"/>
        <v>1.1299078740157482</v>
      </c>
      <c r="G50" s="5">
        <f>20.2+(5.1*2)*0.6667</f>
        <v>27.000339999999998</v>
      </c>
      <c r="H50" s="5">
        <f t="shared" si="16"/>
        <v>1.0630055118110235</v>
      </c>
      <c r="I50" s="5">
        <f>20.2+(5.1*2)*0.5</f>
        <v>25.299999999999997</v>
      </c>
      <c r="J50" s="5">
        <f>I50/25.4</f>
        <v>0.99606299212598415</v>
      </c>
      <c r="K50" t="s">
        <v>88</v>
      </c>
      <c r="P50" s="7">
        <f>20.2+(5.1*2)*0.5</f>
        <v>25.299999999999997</v>
      </c>
      <c r="Q50" s="7">
        <f t="shared" ref="Q50:S50" si="29">20.2+(5.1*2)*0.5</f>
        <v>25.299999999999997</v>
      </c>
      <c r="R50" s="7">
        <f t="shared" si="29"/>
        <v>25.299999999999997</v>
      </c>
      <c r="S50" s="7">
        <f t="shared" si="29"/>
        <v>25.299999999999997</v>
      </c>
      <c r="T50" s="7">
        <f>20.2+(5.1*2)*0.6667</f>
        <v>27.000339999999998</v>
      </c>
      <c r="U50" s="7">
        <f t="shared" ref="U50:W50" si="30">20.2+(5.1*2)*0.6667</f>
        <v>27.000339999999998</v>
      </c>
      <c r="V50" s="7">
        <f t="shared" si="30"/>
        <v>27.000339999999998</v>
      </c>
      <c r="W50" s="7">
        <f t="shared" si="30"/>
        <v>27.000339999999998</v>
      </c>
      <c r="X50" s="7">
        <f>20.2+(5.1*2)*0.8333</f>
        <v>28.699660000000002</v>
      </c>
      <c r="Y50" s="7">
        <f t="shared" ref="Y50:AA50" si="31">20.2+(5.1*2)*0.8333</f>
        <v>28.699660000000002</v>
      </c>
      <c r="Z50" s="7">
        <f t="shared" si="31"/>
        <v>28.699660000000002</v>
      </c>
      <c r="AA50" s="7">
        <f t="shared" si="31"/>
        <v>28.699660000000002</v>
      </c>
      <c r="AB50" s="7">
        <f>20.2+(5.1*2)*1</f>
        <v>30.4</v>
      </c>
      <c r="AC50" s="7">
        <f t="shared" ref="AC50:AE50" si="32">20.2+(5.1*2)*1</f>
        <v>30.4</v>
      </c>
      <c r="AD50" s="7">
        <f t="shared" si="32"/>
        <v>30.4</v>
      </c>
      <c r="AE50" s="7">
        <f t="shared" si="32"/>
        <v>30.4</v>
      </c>
    </row>
    <row r="51" spans="1:31" x14ac:dyDescent="0.25">
      <c r="A51" t="s">
        <v>80</v>
      </c>
      <c r="B51" s="2">
        <v>43265</v>
      </c>
      <c r="C51">
        <v>165</v>
      </c>
      <c r="D51" t="s">
        <v>89</v>
      </c>
      <c r="E51" s="5">
        <f>(10.1+5.1*2+10.1)*0.8333</f>
        <v>25.332319999999999</v>
      </c>
      <c r="F51" s="5">
        <f t="shared" si="15"/>
        <v>0.99733543307086614</v>
      </c>
      <c r="G51" s="5">
        <f>(10.1+5.1*2+10.1)*0.6667</f>
        <v>20.267679999999999</v>
      </c>
      <c r="H51" s="5">
        <f t="shared" si="16"/>
        <v>0.79794015748031499</v>
      </c>
      <c r="I51" s="5">
        <f>(10.1+5.1*2+10.1)*0.5</f>
        <v>15.2</v>
      </c>
      <c r="J51" s="5">
        <f t="shared" ref="J51:J64" si="33">I51/25.4</f>
        <v>0.59842519685039375</v>
      </c>
      <c r="P51" s="7">
        <f>(10.1+5.1*2+10.1)*0.5</f>
        <v>15.2</v>
      </c>
      <c r="Q51" s="7">
        <f t="shared" ref="Q51:S51" si="34">(10.1+5.1*2+10.1)*0.5</f>
        <v>15.2</v>
      </c>
      <c r="R51" s="7">
        <f t="shared" si="34"/>
        <v>15.2</v>
      </c>
      <c r="S51" s="7">
        <f t="shared" si="34"/>
        <v>15.2</v>
      </c>
      <c r="T51" s="7">
        <f>(10.1+5.1*2+10.1)*0.6667</f>
        <v>20.267679999999999</v>
      </c>
      <c r="U51" s="7">
        <f t="shared" ref="U51:W51" si="35">(10.1+5.1*2+10.1)*0.6667</f>
        <v>20.267679999999999</v>
      </c>
      <c r="V51" s="7">
        <f t="shared" si="35"/>
        <v>20.267679999999999</v>
      </c>
      <c r="W51" s="7">
        <f t="shared" si="35"/>
        <v>20.267679999999999</v>
      </c>
      <c r="X51" s="7">
        <f>(10.1+5.1*2+10.1)*0.8333</f>
        <v>25.332319999999999</v>
      </c>
      <c r="Y51" s="7">
        <f t="shared" ref="Y51:AA51" si="36">(10.1+5.1*2+10.1)*0.8333</f>
        <v>25.332319999999999</v>
      </c>
      <c r="Z51" s="7">
        <f t="shared" si="36"/>
        <v>25.332319999999999</v>
      </c>
      <c r="AA51" s="7">
        <f t="shared" si="36"/>
        <v>25.332319999999999</v>
      </c>
      <c r="AB51" s="7">
        <f>(10.1+5.1*2+10.1)*1</f>
        <v>30.4</v>
      </c>
      <c r="AC51" s="7">
        <f t="shared" ref="AC51:AE51" si="37">(10.1+5.1*2+10.1)*1</f>
        <v>30.4</v>
      </c>
      <c r="AD51" s="7">
        <f t="shared" si="37"/>
        <v>30.4</v>
      </c>
      <c r="AE51" s="7">
        <f t="shared" si="37"/>
        <v>30.4</v>
      </c>
    </row>
    <row r="52" spans="1:31" x14ac:dyDescent="0.25">
      <c r="A52" t="s">
        <v>80</v>
      </c>
      <c r="B52" s="2">
        <v>43271</v>
      </c>
      <c r="C52">
        <v>171</v>
      </c>
      <c r="D52" t="s">
        <v>90</v>
      </c>
      <c r="E52" s="5">
        <f>(5.1*4)*0.8333+20.2+(5.1)*0.8333</f>
        <v>41.449150000000003</v>
      </c>
      <c r="F52" s="5">
        <f t="shared" si="15"/>
        <v>1.6318562992125987</v>
      </c>
      <c r="G52" s="5">
        <f>(5.1*4)*0.6667+20.2+(5.1)*0.6667</f>
        <v>37.200850000000003</v>
      </c>
      <c r="H52" s="5">
        <f t="shared" si="16"/>
        <v>1.4646003937007877</v>
      </c>
      <c r="I52" s="5">
        <f>(5.1*4)*0.5667+20.2+(5.1)*0.5667</f>
        <v>34.650849999999998</v>
      </c>
      <c r="J52" s="5">
        <f t="shared" si="33"/>
        <v>1.3642066929133858</v>
      </c>
      <c r="K52" t="s">
        <v>91</v>
      </c>
      <c r="P52" s="7">
        <f>(5.1*4)*0.5+20.2+(5.1)*0.5</f>
        <v>32.949999999999996</v>
      </c>
      <c r="Q52" s="7">
        <f t="shared" ref="Q52:S52" si="38">(5.1*4)*0.5+20.2+(5.1)*0.5</f>
        <v>32.949999999999996</v>
      </c>
      <c r="R52" s="7">
        <f t="shared" si="38"/>
        <v>32.949999999999996</v>
      </c>
      <c r="S52" s="7">
        <f t="shared" si="38"/>
        <v>32.949999999999996</v>
      </c>
      <c r="T52" s="7">
        <f>(5.1*4)*0.6667+20.2+(5.1)*0.6667</f>
        <v>37.200850000000003</v>
      </c>
      <c r="U52" s="7">
        <f t="shared" ref="U52:W52" si="39">(5.1*4)*0.6667+20.2+(5.1)*0.6667</f>
        <v>37.200850000000003</v>
      </c>
      <c r="V52" s="7">
        <f t="shared" si="39"/>
        <v>37.200850000000003</v>
      </c>
      <c r="W52" s="7">
        <f t="shared" si="39"/>
        <v>37.200850000000003</v>
      </c>
      <c r="X52" s="7">
        <f>(5.1*4)*0.8333+20.2+(5.1)*0.8333</f>
        <v>41.449150000000003</v>
      </c>
      <c r="Y52" s="7">
        <f t="shared" ref="Y52:AA52" si="40">(5.1*4)*0.8333+20.2+(5.1)*0.8333</f>
        <v>41.449150000000003</v>
      </c>
      <c r="Z52" s="7">
        <f t="shared" si="40"/>
        <v>41.449150000000003</v>
      </c>
      <c r="AA52" s="7">
        <f t="shared" si="40"/>
        <v>41.449150000000003</v>
      </c>
      <c r="AB52" s="7">
        <f>(5.1*4)*1+20.2+(5.1)*1</f>
        <v>45.699999999999996</v>
      </c>
      <c r="AC52" s="7">
        <f t="shared" ref="AC52:AE52" si="41">(5.1*4)*1+20.2+(5.1)*1</f>
        <v>45.699999999999996</v>
      </c>
      <c r="AD52" s="7">
        <f t="shared" si="41"/>
        <v>45.699999999999996</v>
      </c>
      <c r="AE52" s="7">
        <f t="shared" si="41"/>
        <v>45.699999999999996</v>
      </c>
    </row>
    <row r="53" spans="1:31" x14ac:dyDescent="0.25">
      <c r="A53" t="s">
        <v>80</v>
      </c>
      <c r="B53" s="2">
        <v>43272</v>
      </c>
      <c r="C53">
        <v>172</v>
      </c>
      <c r="D53" t="s">
        <v>62</v>
      </c>
      <c r="E53" s="5">
        <f>(5.1*6)*0.8333</f>
        <v>25.49898</v>
      </c>
      <c r="F53" s="5">
        <f t="shared" si="15"/>
        <v>1.0038968503937009</v>
      </c>
      <c r="G53" s="5">
        <f>(5.1*6)*0.6667</f>
        <v>20.401019999999999</v>
      </c>
      <c r="H53" s="5">
        <f t="shared" si="16"/>
        <v>0.80318976377952755</v>
      </c>
      <c r="I53" s="5">
        <f>(5.1*6)*0.5667</f>
        <v>17.341019999999997</v>
      </c>
      <c r="J53" s="5">
        <f t="shared" si="33"/>
        <v>0.68271732283464559</v>
      </c>
      <c r="P53" s="7">
        <f>(5.1*6)*0.5</f>
        <v>15.299999999999999</v>
      </c>
      <c r="Q53" s="7">
        <f t="shared" ref="Q53:S53" si="42">(5.1*6)*0.5</f>
        <v>15.299999999999999</v>
      </c>
      <c r="R53" s="7">
        <f t="shared" si="42"/>
        <v>15.299999999999999</v>
      </c>
      <c r="S53" s="7">
        <f t="shared" si="42"/>
        <v>15.299999999999999</v>
      </c>
      <c r="T53" s="7">
        <f>(5.1*6)*0.6667</f>
        <v>20.401019999999999</v>
      </c>
      <c r="U53" s="7">
        <f t="shared" ref="U53:W53" si="43">(5.1*6)*0.6667</f>
        <v>20.401019999999999</v>
      </c>
      <c r="V53" s="7">
        <f t="shared" si="43"/>
        <v>20.401019999999999</v>
      </c>
      <c r="W53" s="7">
        <f t="shared" si="43"/>
        <v>20.401019999999999</v>
      </c>
      <c r="X53" s="7">
        <f>(5.1*6)*0.8333</f>
        <v>25.49898</v>
      </c>
      <c r="Y53" s="7">
        <f t="shared" ref="Y53:AA53" si="44">(5.1*6)*0.8333</f>
        <v>25.49898</v>
      </c>
      <c r="Z53" s="7">
        <f t="shared" si="44"/>
        <v>25.49898</v>
      </c>
      <c r="AA53" s="7">
        <f t="shared" si="44"/>
        <v>25.49898</v>
      </c>
      <c r="AB53" s="7">
        <f>(5.1*6)*1</f>
        <v>30.599999999999998</v>
      </c>
      <c r="AC53" s="7">
        <f t="shared" ref="AC53:AE53" si="45">(5.1*6)*1</f>
        <v>30.599999999999998</v>
      </c>
      <c r="AD53" s="7">
        <f t="shared" si="45"/>
        <v>30.599999999999998</v>
      </c>
      <c r="AE53" s="7">
        <f t="shared" si="45"/>
        <v>30.599999999999998</v>
      </c>
    </row>
    <row r="54" spans="1:31" x14ac:dyDescent="0.25">
      <c r="A54" t="s">
        <v>80</v>
      </c>
      <c r="B54" s="2">
        <v>43278</v>
      </c>
      <c r="C54">
        <v>178</v>
      </c>
      <c r="D54" t="s">
        <v>71</v>
      </c>
      <c r="E54" s="5">
        <f>(5.1*8)*0.8333</f>
        <v>33.998640000000002</v>
      </c>
      <c r="F54" s="5">
        <f t="shared" si="15"/>
        <v>1.3385291338582679</v>
      </c>
      <c r="G54" s="5">
        <f>(5.1*8)*0.6667</f>
        <v>27.201359999999998</v>
      </c>
      <c r="H54" s="5">
        <f t="shared" si="16"/>
        <v>1.0709196850393701</v>
      </c>
      <c r="I54" s="5">
        <f>(5.1*8)*0.7051</f>
        <v>28.768079999999998</v>
      </c>
      <c r="J54" s="5">
        <f t="shared" si="33"/>
        <v>1.1326015748031495</v>
      </c>
      <c r="P54" s="7">
        <f>(5.1*8)*0.5</f>
        <v>20.399999999999999</v>
      </c>
      <c r="Q54" s="7">
        <f t="shared" ref="Q54:S55" si="46">(5.1*8)*0.5</f>
        <v>20.399999999999999</v>
      </c>
      <c r="R54" s="7">
        <f t="shared" si="46"/>
        <v>20.399999999999999</v>
      </c>
      <c r="S54" s="7">
        <f t="shared" si="46"/>
        <v>20.399999999999999</v>
      </c>
      <c r="T54" s="7">
        <f>(5.1*8)*0.6667</f>
        <v>27.201359999999998</v>
      </c>
      <c r="U54" s="7">
        <f t="shared" ref="U54:W55" si="47">(5.1*8)*0.6667</f>
        <v>27.201359999999998</v>
      </c>
      <c r="V54" s="7">
        <f t="shared" si="47"/>
        <v>27.201359999999998</v>
      </c>
      <c r="W54" s="7">
        <f t="shared" si="47"/>
        <v>27.201359999999998</v>
      </c>
      <c r="X54" s="7">
        <f>(5.1*8)*0.8333</f>
        <v>33.998640000000002</v>
      </c>
      <c r="Y54" s="7">
        <f t="shared" ref="Y54:AA55" si="48">(5.1*8)*0.8333</f>
        <v>33.998640000000002</v>
      </c>
      <c r="Z54" s="7">
        <f t="shared" si="48"/>
        <v>33.998640000000002</v>
      </c>
      <c r="AA54" s="7">
        <f t="shared" si="48"/>
        <v>33.998640000000002</v>
      </c>
      <c r="AB54" s="7">
        <f>(5.1*8)*1</f>
        <v>40.799999999999997</v>
      </c>
      <c r="AC54" s="7">
        <f t="shared" ref="AC54:AE55" si="49">(5.1*8)*1</f>
        <v>40.799999999999997</v>
      </c>
      <c r="AD54" s="7">
        <f t="shared" si="49"/>
        <v>40.799999999999997</v>
      </c>
      <c r="AE54" s="7">
        <f t="shared" si="49"/>
        <v>40.799999999999997</v>
      </c>
    </row>
    <row r="55" spans="1:31" x14ac:dyDescent="0.25">
      <c r="A55" t="s">
        <v>80</v>
      </c>
      <c r="B55" s="2">
        <v>43279</v>
      </c>
      <c r="C55">
        <v>179</v>
      </c>
      <c r="D55" t="s">
        <v>71</v>
      </c>
      <c r="E55" s="5">
        <f>(5.1*8)*0.8333</f>
        <v>33.998640000000002</v>
      </c>
      <c r="F55" s="5">
        <f t="shared" si="15"/>
        <v>1.3385291338582679</v>
      </c>
      <c r="G55" s="5">
        <f>(5.1*8)*0.6667</f>
        <v>27.201359999999998</v>
      </c>
      <c r="H55" s="5">
        <f t="shared" si="16"/>
        <v>1.0709196850393701</v>
      </c>
      <c r="I55" s="5">
        <f>(5.1*8)*0.7051</f>
        <v>28.768079999999998</v>
      </c>
      <c r="J55" s="5">
        <f t="shared" si="33"/>
        <v>1.1326015748031495</v>
      </c>
      <c r="P55" s="7">
        <f>(5.1*8)*0.5</f>
        <v>20.399999999999999</v>
      </c>
      <c r="Q55" s="7">
        <f t="shared" si="46"/>
        <v>20.399999999999999</v>
      </c>
      <c r="R55" s="7">
        <f t="shared" si="46"/>
        <v>20.399999999999999</v>
      </c>
      <c r="S55" s="7">
        <f t="shared" si="46"/>
        <v>20.399999999999999</v>
      </c>
      <c r="T55" s="7">
        <f>(5.1*8)*0.6667</f>
        <v>27.201359999999998</v>
      </c>
      <c r="U55" s="7">
        <f t="shared" si="47"/>
        <v>27.201359999999998</v>
      </c>
      <c r="V55" s="7">
        <f t="shared" si="47"/>
        <v>27.201359999999998</v>
      </c>
      <c r="W55" s="7">
        <f t="shared" si="47"/>
        <v>27.201359999999998</v>
      </c>
      <c r="X55" s="7">
        <f>(5.1*8)*0.8333</f>
        <v>33.998640000000002</v>
      </c>
      <c r="Y55" s="7">
        <f t="shared" si="48"/>
        <v>33.998640000000002</v>
      </c>
      <c r="Z55" s="7">
        <f t="shared" si="48"/>
        <v>33.998640000000002</v>
      </c>
      <c r="AA55" s="7">
        <f t="shared" si="48"/>
        <v>33.998640000000002</v>
      </c>
      <c r="AB55" s="7">
        <f>(5.1*8)*1</f>
        <v>40.799999999999997</v>
      </c>
      <c r="AC55" s="7">
        <f t="shared" si="49"/>
        <v>40.799999999999997</v>
      </c>
      <c r="AD55" s="7">
        <f t="shared" si="49"/>
        <v>40.799999999999997</v>
      </c>
      <c r="AE55" s="7">
        <f t="shared" si="49"/>
        <v>40.799999999999997</v>
      </c>
    </row>
    <row r="56" spans="1:31" x14ac:dyDescent="0.25">
      <c r="A56" t="s">
        <v>80</v>
      </c>
      <c r="B56" s="2">
        <v>43286</v>
      </c>
      <c r="C56">
        <v>186</v>
      </c>
      <c r="D56" t="s">
        <v>92</v>
      </c>
      <c r="E56" s="5">
        <f>(5.1*4)*0.8333+20.2+(5.1*1)*0.8333</f>
        <v>41.449150000000003</v>
      </c>
      <c r="F56" s="5">
        <f t="shared" si="15"/>
        <v>1.6318562992125987</v>
      </c>
      <c r="G56" s="5">
        <f>(5.1*4)*0.6667+20.2+(5.1*1)*0.6667</f>
        <v>37.200850000000003</v>
      </c>
      <c r="H56" s="5">
        <f t="shared" si="16"/>
        <v>1.4646003937007877</v>
      </c>
      <c r="I56" s="5">
        <f>(5.1*4)*0.8333+20.2+(5.1*1)*0.8333</f>
        <v>41.449150000000003</v>
      </c>
      <c r="J56" s="5">
        <f t="shared" si="33"/>
        <v>1.6318562992125987</v>
      </c>
      <c r="K56" t="s">
        <v>93</v>
      </c>
      <c r="P56" s="7">
        <f>(5.1*4)*0.5+20.2+(5.1*1)*0.5</f>
        <v>32.949999999999996</v>
      </c>
      <c r="Q56" s="7">
        <f t="shared" ref="Q56:S56" si="50">(5.1*4)*0.5+20.2+(5.1*1)*0.5</f>
        <v>32.949999999999996</v>
      </c>
      <c r="R56" s="7">
        <f t="shared" si="50"/>
        <v>32.949999999999996</v>
      </c>
      <c r="S56" s="7">
        <f t="shared" si="50"/>
        <v>32.949999999999996</v>
      </c>
      <c r="T56" s="7">
        <f>(5.1*4)*0.6667+20.2+(5.1*1)*0.6667</f>
        <v>37.200850000000003</v>
      </c>
      <c r="U56" s="7">
        <f t="shared" ref="U56:W56" si="51">(5.1*4)*0.6667+20.2+(5.1*1)*0.6667</f>
        <v>37.200850000000003</v>
      </c>
      <c r="V56" s="7">
        <f t="shared" si="51"/>
        <v>37.200850000000003</v>
      </c>
      <c r="W56" s="7">
        <f t="shared" si="51"/>
        <v>37.200850000000003</v>
      </c>
      <c r="X56" s="7">
        <f>(5.1*4)*0.8333+20.2+(5.1*1)*0.8333</f>
        <v>41.449150000000003</v>
      </c>
      <c r="Y56" s="7">
        <f t="shared" ref="Y56:AA56" si="52">(5.1*4)*0.8333+20.2+(5.1*1)*0.8333</f>
        <v>41.449150000000003</v>
      </c>
      <c r="Z56" s="7">
        <f t="shared" si="52"/>
        <v>41.449150000000003</v>
      </c>
      <c r="AA56" s="7">
        <f t="shared" si="52"/>
        <v>41.449150000000003</v>
      </c>
      <c r="AB56" s="7">
        <f>(5.1*4)*1+20.2+(5.1*1)*1</f>
        <v>45.699999999999996</v>
      </c>
      <c r="AC56" s="7">
        <f t="shared" ref="AC56:AE56" si="53">(5.1*4)*1+20.2+(5.1*1)*1</f>
        <v>45.699999999999996</v>
      </c>
      <c r="AD56" s="7">
        <f t="shared" si="53"/>
        <v>45.699999999999996</v>
      </c>
      <c r="AE56" s="7">
        <f t="shared" si="53"/>
        <v>45.699999999999996</v>
      </c>
    </row>
    <row r="57" spans="1:31" x14ac:dyDescent="0.25">
      <c r="A57" t="s">
        <v>80</v>
      </c>
      <c r="B57" s="2">
        <v>43287</v>
      </c>
      <c r="C57">
        <v>187</v>
      </c>
      <c r="D57" t="s">
        <v>71</v>
      </c>
      <c r="E57" s="5">
        <f t="shared" ref="E57:I57" si="54">(5.1*8)*0.8333</f>
        <v>33.998640000000002</v>
      </c>
      <c r="F57" s="5">
        <f t="shared" si="15"/>
        <v>1.3385291338582679</v>
      </c>
      <c r="G57" s="5">
        <f>(5.1*8)*0.6667</f>
        <v>27.201359999999998</v>
      </c>
      <c r="H57" s="5">
        <f t="shared" si="16"/>
        <v>1.0709196850393701</v>
      </c>
      <c r="I57" s="5">
        <f t="shared" si="54"/>
        <v>33.998640000000002</v>
      </c>
      <c r="J57" s="5">
        <f t="shared" si="33"/>
        <v>1.3385291338582679</v>
      </c>
      <c r="P57" s="7">
        <f>(5.1*8)*0.5</f>
        <v>20.399999999999999</v>
      </c>
      <c r="Q57" s="7">
        <f t="shared" ref="Q57:S57" si="55">(5.1*8)*0.5</f>
        <v>20.399999999999999</v>
      </c>
      <c r="R57" s="7">
        <f t="shared" si="55"/>
        <v>20.399999999999999</v>
      </c>
      <c r="S57" s="7">
        <f t="shared" si="55"/>
        <v>20.399999999999999</v>
      </c>
      <c r="T57" s="7">
        <f>(5.1*8)*0.6667</f>
        <v>27.201359999999998</v>
      </c>
      <c r="U57" s="7">
        <f t="shared" ref="U57:W57" si="56">(5.1*8)*0.6667</f>
        <v>27.201359999999998</v>
      </c>
      <c r="V57" s="7">
        <f t="shared" si="56"/>
        <v>27.201359999999998</v>
      </c>
      <c r="W57" s="7">
        <f t="shared" si="56"/>
        <v>27.201359999999998</v>
      </c>
      <c r="X57" s="7">
        <f>(5.1*8)*0.8333</f>
        <v>33.998640000000002</v>
      </c>
      <c r="Y57" s="7">
        <f t="shared" ref="Y57:AA57" si="57">(5.1*8)*0.8333</f>
        <v>33.998640000000002</v>
      </c>
      <c r="Z57" s="7">
        <f t="shared" si="57"/>
        <v>33.998640000000002</v>
      </c>
      <c r="AA57" s="7">
        <f t="shared" si="57"/>
        <v>33.998640000000002</v>
      </c>
      <c r="AB57" s="7">
        <f>(5.1*8)*1</f>
        <v>40.799999999999997</v>
      </c>
      <c r="AC57" s="7">
        <f t="shared" ref="AC57:AE57" si="58">(5.1*8)*1</f>
        <v>40.799999999999997</v>
      </c>
      <c r="AD57" s="7">
        <f t="shared" si="58"/>
        <v>40.799999999999997</v>
      </c>
      <c r="AE57" s="7">
        <f t="shared" si="58"/>
        <v>40.799999999999997</v>
      </c>
    </row>
    <row r="58" spans="1:31" x14ac:dyDescent="0.25">
      <c r="A58" t="s">
        <v>80</v>
      </c>
      <c r="B58" s="2">
        <v>43292</v>
      </c>
      <c r="C58">
        <v>192</v>
      </c>
      <c r="D58" t="s">
        <v>62</v>
      </c>
      <c r="E58" s="5">
        <f>(5.1*6)*0.8333</f>
        <v>25.49898</v>
      </c>
      <c r="F58" s="5">
        <f t="shared" si="15"/>
        <v>1.0038968503937009</v>
      </c>
      <c r="G58" s="5">
        <f>(5.1*6)*0.6667</f>
        <v>20.401019999999999</v>
      </c>
      <c r="H58" s="5">
        <f t="shared" si="16"/>
        <v>0.80318976377952755</v>
      </c>
      <c r="I58" s="5">
        <f>(5.1*6)*0.8333</f>
        <v>25.49898</v>
      </c>
      <c r="J58" s="5">
        <f t="shared" si="33"/>
        <v>1.0038968503937009</v>
      </c>
      <c r="P58" s="7">
        <f>(5.1*6)*0.5</f>
        <v>15.299999999999999</v>
      </c>
      <c r="Q58" s="7">
        <f t="shared" ref="Q58:S58" si="59">(5.1*6)*0.5</f>
        <v>15.299999999999999</v>
      </c>
      <c r="R58" s="7">
        <f t="shared" si="59"/>
        <v>15.299999999999999</v>
      </c>
      <c r="S58" s="7">
        <f t="shared" si="59"/>
        <v>15.299999999999999</v>
      </c>
      <c r="T58" s="7">
        <f>(5.1*6)*0.6667</f>
        <v>20.401019999999999</v>
      </c>
      <c r="U58" s="7">
        <f t="shared" ref="U58:W58" si="60">(5.1*6)*0.6667</f>
        <v>20.401019999999999</v>
      </c>
      <c r="V58" s="7">
        <f t="shared" si="60"/>
        <v>20.401019999999999</v>
      </c>
      <c r="W58" s="7">
        <f t="shared" si="60"/>
        <v>20.401019999999999</v>
      </c>
      <c r="X58" s="7">
        <f>(5.1*6)*0.8333</f>
        <v>25.49898</v>
      </c>
      <c r="Y58" s="7">
        <f t="shared" ref="Y58:AA58" si="61">(5.1*6)*0.8333</f>
        <v>25.49898</v>
      </c>
      <c r="Z58" s="7">
        <f t="shared" si="61"/>
        <v>25.49898</v>
      </c>
      <c r="AA58" s="7">
        <f t="shared" si="61"/>
        <v>25.49898</v>
      </c>
      <c r="AB58" s="7">
        <f>(5.1*6)*1</f>
        <v>30.599999999999998</v>
      </c>
      <c r="AC58" s="7">
        <f t="shared" ref="AC58:AE58" si="62">(5.1*6)*1</f>
        <v>30.599999999999998</v>
      </c>
      <c r="AD58" s="7">
        <f t="shared" si="62"/>
        <v>30.599999999999998</v>
      </c>
      <c r="AE58" s="7">
        <f t="shared" si="62"/>
        <v>30.599999999999998</v>
      </c>
    </row>
    <row r="59" spans="1:31" x14ac:dyDescent="0.25">
      <c r="A59" t="s">
        <v>80</v>
      </c>
      <c r="B59" s="2">
        <v>43293</v>
      </c>
      <c r="C59">
        <v>193</v>
      </c>
      <c r="D59" t="s">
        <v>71</v>
      </c>
      <c r="E59" s="5">
        <f>(5.1*8)*0.8333</f>
        <v>33.998640000000002</v>
      </c>
      <c r="F59" s="5">
        <f t="shared" si="15"/>
        <v>1.3385291338582679</v>
      </c>
      <c r="G59" s="5">
        <f>(5.1*8)*0.6667</f>
        <v>27.201359999999998</v>
      </c>
      <c r="H59" s="5">
        <f t="shared" si="16"/>
        <v>1.0709196850393701</v>
      </c>
      <c r="I59" s="5">
        <f>(5.1*8)*0.8333</f>
        <v>33.998640000000002</v>
      </c>
      <c r="J59" s="5">
        <f t="shared" si="33"/>
        <v>1.3385291338582679</v>
      </c>
      <c r="P59" s="7">
        <f>(5.1*8)*0.5</f>
        <v>20.399999999999999</v>
      </c>
      <c r="Q59" s="7">
        <f t="shared" ref="Q59:S59" si="63">(5.1*8)*0.5</f>
        <v>20.399999999999999</v>
      </c>
      <c r="R59" s="7">
        <f t="shared" si="63"/>
        <v>20.399999999999999</v>
      </c>
      <c r="S59" s="7">
        <f t="shared" si="63"/>
        <v>20.399999999999999</v>
      </c>
      <c r="T59" s="7">
        <f>(5.1*8)*0.6667</f>
        <v>27.201359999999998</v>
      </c>
      <c r="U59" s="7">
        <f t="shared" ref="U59:W59" si="64">(5.1*8)*0.6667</f>
        <v>27.201359999999998</v>
      </c>
      <c r="V59" s="7">
        <f t="shared" si="64"/>
        <v>27.201359999999998</v>
      </c>
      <c r="W59" s="7">
        <f t="shared" si="64"/>
        <v>27.201359999999998</v>
      </c>
      <c r="X59" s="7">
        <f>(5.1*8)*0.8333</f>
        <v>33.998640000000002</v>
      </c>
      <c r="Y59" s="7">
        <f t="shared" ref="Y59:AA59" si="65">(5.1*8)*0.8333</f>
        <v>33.998640000000002</v>
      </c>
      <c r="Z59" s="7">
        <f t="shared" si="65"/>
        <v>33.998640000000002</v>
      </c>
      <c r="AA59" s="7">
        <f t="shared" si="65"/>
        <v>33.998640000000002</v>
      </c>
      <c r="AB59" s="7">
        <f>(5.1*8)*1</f>
        <v>40.799999999999997</v>
      </c>
      <c r="AC59" s="7">
        <f t="shared" ref="AC59:AE59" si="66">(5.1*8)*1</f>
        <v>40.799999999999997</v>
      </c>
      <c r="AD59" s="7">
        <f t="shared" si="66"/>
        <v>40.799999999999997</v>
      </c>
      <c r="AE59" s="7">
        <f t="shared" si="66"/>
        <v>40.799999999999997</v>
      </c>
    </row>
    <row r="60" spans="1:31" x14ac:dyDescent="0.25">
      <c r="A60" t="s">
        <v>80</v>
      </c>
      <c r="B60" s="2">
        <v>43294</v>
      </c>
      <c r="C60">
        <v>194</v>
      </c>
      <c r="D60" t="s">
        <v>64</v>
      </c>
      <c r="E60" s="5">
        <f>(5.1*2)*0.8333</f>
        <v>8.4996600000000004</v>
      </c>
      <c r="F60" s="5">
        <f t="shared" si="15"/>
        <v>0.33463228346456697</v>
      </c>
      <c r="G60" s="5">
        <f>(5.1*2)*0.6667</f>
        <v>6.8003399999999994</v>
      </c>
      <c r="H60" s="5">
        <f t="shared" si="16"/>
        <v>0.26772992125984252</v>
      </c>
      <c r="I60" s="5">
        <f>(5.1*2)*0.8333</f>
        <v>8.4996600000000004</v>
      </c>
      <c r="J60" s="5">
        <f t="shared" si="33"/>
        <v>0.33463228346456697</v>
      </c>
      <c r="P60" s="7">
        <f>(5.1*2)*0.5</f>
        <v>5.0999999999999996</v>
      </c>
      <c r="Q60" s="7">
        <f t="shared" ref="Q60:S60" si="67">(5.1*2)*0.5</f>
        <v>5.0999999999999996</v>
      </c>
      <c r="R60" s="7">
        <f t="shared" si="67"/>
        <v>5.0999999999999996</v>
      </c>
      <c r="S60" s="7">
        <f t="shared" si="67"/>
        <v>5.0999999999999996</v>
      </c>
      <c r="T60" s="7">
        <f>(5.1*2)*0.6667</f>
        <v>6.8003399999999994</v>
      </c>
      <c r="U60" s="7">
        <f t="shared" ref="U60:W60" si="68">(5.1*2)*0.6667</f>
        <v>6.8003399999999994</v>
      </c>
      <c r="V60" s="7">
        <f t="shared" si="68"/>
        <v>6.8003399999999994</v>
      </c>
      <c r="W60" s="7">
        <f t="shared" si="68"/>
        <v>6.8003399999999994</v>
      </c>
      <c r="X60" s="7">
        <f>(5.1*2)*0.8333</f>
        <v>8.4996600000000004</v>
      </c>
      <c r="Y60" s="7">
        <f t="shared" ref="Y60:AA60" si="69">(5.1*2)*0.8333</f>
        <v>8.4996600000000004</v>
      </c>
      <c r="Z60" s="7">
        <f t="shared" si="69"/>
        <v>8.4996600000000004</v>
      </c>
      <c r="AA60" s="7">
        <f t="shared" si="69"/>
        <v>8.4996600000000004</v>
      </c>
      <c r="AB60" s="7">
        <f>(5.1*2)*1</f>
        <v>10.199999999999999</v>
      </c>
      <c r="AC60" s="7">
        <f t="shared" ref="AC60:AE60" si="70">(5.1*2)*1</f>
        <v>10.199999999999999</v>
      </c>
      <c r="AD60" s="7">
        <f t="shared" si="70"/>
        <v>10.199999999999999</v>
      </c>
      <c r="AE60" s="7">
        <f t="shared" si="70"/>
        <v>10.199999999999999</v>
      </c>
    </row>
    <row r="61" spans="1:31" x14ac:dyDescent="0.25">
      <c r="A61" t="s">
        <v>80</v>
      </c>
      <c r="B61" s="2">
        <v>43300</v>
      </c>
      <c r="C61">
        <v>200</v>
      </c>
      <c r="D61" t="s">
        <v>94</v>
      </c>
      <c r="E61" s="5">
        <f>(5.1*2)*0.8333+20.2+(5.1*1)*0.8333</f>
        <v>32.949490000000004</v>
      </c>
      <c r="F61" s="5">
        <f t="shared" si="15"/>
        <v>1.2972240157480317</v>
      </c>
      <c r="G61" s="5">
        <f>(5.1*2)*0.8333+20.2+(5.1*1)*0.8333</f>
        <v>32.949490000000004</v>
      </c>
      <c r="H61" s="5">
        <f t="shared" si="16"/>
        <v>1.2972240157480317</v>
      </c>
      <c r="I61" s="5">
        <f>(5.1*2)*0.8333+20.2+(5.1*1)*0.8333</f>
        <v>32.949490000000004</v>
      </c>
      <c r="J61" s="5">
        <f t="shared" si="33"/>
        <v>1.2972240157480317</v>
      </c>
      <c r="K61" t="s">
        <v>152</v>
      </c>
      <c r="P61" s="7">
        <f>(5.1*2)*0.5+20.2+(5.1*1)*0.5</f>
        <v>27.849999999999998</v>
      </c>
      <c r="Q61" s="7">
        <f>(5.1*2)*0.6667+20.2+(5.1*1)*0.6667</f>
        <v>30.400509999999997</v>
      </c>
      <c r="R61" s="7">
        <f>(5.1*2)*0.8333+20.2+(5.1*1)*0.8333</f>
        <v>32.949490000000004</v>
      </c>
      <c r="S61" s="7">
        <f>(5.1*2)*1+20.2+(5.1*1)*1</f>
        <v>35.5</v>
      </c>
      <c r="T61" s="7">
        <f>(5.1*2)*0.5+20.2+(5.1*1)*0.5</f>
        <v>27.849999999999998</v>
      </c>
      <c r="U61" s="7">
        <f>(5.1*2)*0.6667+20.2+(5.1*1)*0.6667</f>
        <v>30.400509999999997</v>
      </c>
      <c r="V61" s="7">
        <f>(5.1*2)*0.8333+20.2+(5.1*1)*0.8333</f>
        <v>32.949490000000004</v>
      </c>
      <c r="W61" s="7">
        <f>(5.1*2)*1+20.2+(5.1*1)*1</f>
        <v>35.5</v>
      </c>
      <c r="X61" s="7">
        <f>(5.1*2)*0.5+20.2+(5.1*1)*0.5</f>
        <v>27.849999999999998</v>
      </c>
      <c r="Y61" s="7">
        <f>(5.1*2)*0.6667+20.2+(5.1*1)*0.6667</f>
        <v>30.400509999999997</v>
      </c>
      <c r="Z61" s="7">
        <f>(5.1*2)*0.8333+20.2+(5.1*1)*0.8333</f>
        <v>32.949490000000004</v>
      </c>
      <c r="AA61" s="7">
        <f>(5.1*2)*1+20.2+(5.1*1)*1</f>
        <v>35.5</v>
      </c>
      <c r="AB61" s="7">
        <f>(5.1*2)*0.5+20.2+(5.1*1)*0.5</f>
        <v>27.849999999999998</v>
      </c>
      <c r="AC61" s="7">
        <f>(5.1*2)*0.6667+20.2+(5.1*1)*0.6667</f>
        <v>30.400509999999997</v>
      </c>
      <c r="AD61" s="7">
        <f>(5.1*2)*0.8333+20.2+(5.1*1)*0.8333</f>
        <v>32.949490000000004</v>
      </c>
      <c r="AE61" s="7">
        <f>(5.1*2)*1+20.2+(5.1*1)*1</f>
        <v>35.5</v>
      </c>
    </row>
    <row r="62" spans="1:31" x14ac:dyDescent="0.25">
      <c r="A62" t="s">
        <v>80</v>
      </c>
      <c r="B62" s="2">
        <v>43301</v>
      </c>
      <c r="C62">
        <v>201</v>
      </c>
      <c r="D62" t="s">
        <v>62</v>
      </c>
      <c r="E62" s="5">
        <f>(5.1*6)*0.8333</f>
        <v>25.49898</v>
      </c>
      <c r="F62" s="5">
        <f t="shared" si="15"/>
        <v>1.0038968503937009</v>
      </c>
      <c r="G62" s="5">
        <f>(5.1*6)*0.8333</f>
        <v>25.49898</v>
      </c>
      <c r="H62" s="5">
        <f t="shared" si="16"/>
        <v>1.0038968503937009</v>
      </c>
      <c r="I62" s="5">
        <f>(5.1*6)*0.8333</f>
        <v>25.49898</v>
      </c>
      <c r="J62" s="5">
        <f t="shared" si="33"/>
        <v>1.0038968503937009</v>
      </c>
      <c r="P62" s="7">
        <f>(5.1*6)*0.5</f>
        <v>15.299999999999999</v>
      </c>
      <c r="Q62" s="7">
        <f>(5.1*6)*0.6667</f>
        <v>20.401019999999999</v>
      </c>
      <c r="R62" s="7">
        <f>(5.1*6)*0.8333</f>
        <v>25.49898</v>
      </c>
      <c r="S62" s="7">
        <f>(5.1*6)*1</f>
        <v>30.599999999999998</v>
      </c>
      <c r="T62" s="7">
        <f>(5.1*6)*0.5</f>
        <v>15.299999999999999</v>
      </c>
      <c r="U62" s="7">
        <f>(5.1*6)*0.6667</f>
        <v>20.401019999999999</v>
      </c>
      <c r="V62" s="7">
        <f>(5.1*6)*0.8333</f>
        <v>25.49898</v>
      </c>
      <c r="W62" s="7">
        <f>(5.1*6)*1</f>
        <v>30.599999999999998</v>
      </c>
      <c r="X62" s="7">
        <f>(5.1*6)*0.5</f>
        <v>15.299999999999999</v>
      </c>
      <c r="Y62" s="7">
        <f>(5.1*6)*0.6667</f>
        <v>20.401019999999999</v>
      </c>
      <c r="Z62" s="7">
        <f>(5.1*6)*0.8333</f>
        <v>25.49898</v>
      </c>
      <c r="AA62" s="7">
        <f>(5.1*6)*1</f>
        <v>30.599999999999998</v>
      </c>
      <c r="AB62" s="7">
        <f>(5.1*6)*0.5</f>
        <v>15.299999999999999</v>
      </c>
      <c r="AC62" s="7">
        <f>(5.1*6)*0.6667</f>
        <v>20.401019999999999</v>
      </c>
      <c r="AD62" s="7">
        <f>(5.1*6)*0.8333</f>
        <v>25.49898</v>
      </c>
      <c r="AE62" s="7">
        <f>(5.1*6)*1</f>
        <v>30.599999999999998</v>
      </c>
    </row>
    <row r="63" spans="1:31" x14ac:dyDescent="0.25">
      <c r="A63" t="s">
        <v>80</v>
      </c>
      <c r="B63" s="2">
        <v>43306</v>
      </c>
      <c r="C63">
        <v>206</v>
      </c>
      <c r="D63" t="s">
        <v>71</v>
      </c>
      <c r="E63" s="5">
        <f>(5.1*8)*0.8333</f>
        <v>33.998640000000002</v>
      </c>
      <c r="F63" s="5">
        <f t="shared" si="15"/>
        <v>1.3385291338582679</v>
      </c>
      <c r="G63" s="5">
        <f>(5.1*8)*0.8333</f>
        <v>33.998640000000002</v>
      </c>
      <c r="H63" s="5">
        <f t="shared" si="16"/>
        <v>1.3385291338582679</v>
      </c>
      <c r="I63" s="5">
        <f>(5.1*8)*0.8333</f>
        <v>33.998640000000002</v>
      </c>
      <c r="J63" s="5">
        <f t="shared" si="33"/>
        <v>1.3385291338582679</v>
      </c>
      <c r="P63" s="7">
        <f>(5.1*8)*0.5</f>
        <v>20.399999999999999</v>
      </c>
      <c r="Q63" s="7">
        <f>(5.1*8)*0.6667</f>
        <v>27.201359999999998</v>
      </c>
      <c r="R63" s="7">
        <f>(5.1*8)*0.8333</f>
        <v>33.998640000000002</v>
      </c>
      <c r="S63" s="7">
        <f>(5.1*8)*1</f>
        <v>40.799999999999997</v>
      </c>
      <c r="T63" s="7">
        <f>(5.1*8)*0.5</f>
        <v>20.399999999999999</v>
      </c>
      <c r="U63" s="7">
        <f>(5.1*8)*0.6667</f>
        <v>27.201359999999998</v>
      </c>
      <c r="V63" s="7">
        <f>(5.1*8)*0.8333</f>
        <v>33.998640000000002</v>
      </c>
      <c r="W63" s="7">
        <f>(5.1*8)*1</f>
        <v>40.799999999999997</v>
      </c>
      <c r="X63" s="7">
        <f>(5.1*8)*0.5</f>
        <v>20.399999999999999</v>
      </c>
      <c r="Y63" s="7">
        <f>(5.1*8)*0.6667</f>
        <v>27.201359999999998</v>
      </c>
      <c r="Z63" s="7">
        <f>(5.1*8)*0.8333</f>
        <v>33.998640000000002</v>
      </c>
      <c r="AA63" s="7">
        <f>(5.1*8)*1</f>
        <v>40.799999999999997</v>
      </c>
      <c r="AB63" s="7">
        <f>(5.1*8)*0.5</f>
        <v>20.399999999999999</v>
      </c>
      <c r="AC63" s="7">
        <f>(5.1*8)*0.6667</f>
        <v>27.201359999999998</v>
      </c>
      <c r="AD63" s="7">
        <f>(5.1*8)*0.8333</f>
        <v>33.998640000000002</v>
      </c>
      <c r="AE63" s="7">
        <f>(5.1*8)*1</f>
        <v>40.799999999999997</v>
      </c>
    </row>
    <row r="64" spans="1:31" x14ac:dyDescent="0.25">
      <c r="A64" t="s">
        <v>80</v>
      </c>
      <c r="B64" s="2">
        <v>43307</v>
      </c>
      <c r="C64">
        <v>207</v>
      </c>
      <c r="D64" t="s">
        <v>62</v>
      </c>
      <c r="E64" s="5">
        <f t="shared" ref="E64:I64" si="71">(5.1*6)*0.8333</f>
        <v>25.49898</v>
      </c>
      <c r="F64" s="5">
        <f t="shared" si="15"/>
        <v>1.0038968503937009</v>
      </c>
      <c r="G64" s="5">
        <f t="shared" si="71"/>
        <v>25.49898</v>
      </c>
      <c r="H64" s="5">
        <f t="shared" si="16"/>
        <v>1.0038968503937009</v>
      </c>
      <c r="I64" s="5">
        <f t="shared" si="71"/>
        <v>25.49898</v>
      </c>
      <c r="J64" s="5">
        <f t="shared" si="33"/>
        <v>1.0038968503937009</v>
      </c>
      <c r="P64" s="7">
        <f>(5.1*6)*0.5</f>
        <v>15.299999999999999</v>
      </c>
      <c r="Q64" s="7">
        <f>(5.1*6)*0.6667</f>
        <v>20.401019999999999</v>
      </c>
      <c r="R64" s="7">
        <f>(5.1*6)*0.8333</f>
        <v>25.49898</v>
      </c>
      <c r="S64" s="7">
        <f>(5.1*6)*1</f>
        <v>30.599999999999998</v>
      </c>
      <c r="T64" s="7">
        <f>(5.1*6)*0.5</f>
        <v>15.299999999999999</v>
      </c>
      <c r="U64" s="7">
        <f>(5.1*6)*0.6667</f>
        <v>20.401019999999999</v>
      </c>
      <c r="V64" s="7">
        <f>(5.1*6)*0.8333</f>
        <v>25.49898</v>
      </c>
      <c r="W64" s="7">
        <f>(5.1*6)*1</f>
        <v>30.599999999999998</v>
      </c>
      <c r="X64" s="7">
        <f>(5.1*6)*0.5</f>
        <v>15.299999999999999</v>
      </c>
      <c r="Y64" s="7">
        <f>(5.1*6)*0.6667</f>
        <v>20.401019999999999</v>
      </c>
      <c r="Z64" s="7">
        <f>(5.1*6)*0.8333</f>
        <v>25.49898</v>
      </c>
      <c r="AA64" s="7">
        <f>(5.1*6)*1</f>
        <v>30.599999999999998</v>
      </c>
      <c r="AB64" s="7">
        <f>(5.1*6)*0.5</f>
        <v>15.299999999999999</v>
      </c>
      <c r="AC64" s="7">
        <f>(5.1*6)*0.6667</f>
        <v>20.401019999999999</v>
      </c>
      <c r="AD64" s="7">
        <f>(5.1*6)*0.8333</f>
        <v>25.49898</v>
      </c>
      <c r="AE64" s="7">
        <f>(5.1*6)*1</f>
        <v>30.599999999999998</v>
      </c>
    </row>
    <row r="65" spans="1:31" x14ac:dyDescent="0.25">
      <c r="A65" t="s">
        <v>80</v>
      </c>
      <c r="B65" s="2">
        <v>43313</v>
      </c>
      <c r="C65">
        <v>213</v>
      </c>
      <c r="D65" t="s">
        <v>71</v>
      </c>
      <c r="E65" s="5">
        <f>(5.1*8)*0.8333</f>
        <v>33.998640000000002</v>
      </c>
      <c r="F65" s="5">
        <f t="shared" ref="F65:F73" si="72">E65/25.4</f>
        <v>1.3385291338582679</v>
      </c>
      <c r="G65" s="5">
        <f>(5.1*8)*0.8333</f>
        <v>33.998640000000002</v>
      </c>
      <c r="H65" s="5">
        <f t="shared" ref="H65:H73" si="73">G65/25.4</f>
        <v>1.3385291338582679</v>
      </c>
      <c r="I65" s="5">
        <f>(5.1*8)*0.8333</f>
        <v>33.998640000000002</v>
      </c>
      <c r="J65" s="5">
        <f t="shared" ref="J65:J73" si="74">I65/25.4</f>
        <v>1.3385291338582679</v>
      </c>
      <c r="P65" s="7">
        <f>(5.1*8)*0.5</f>
        <v>20.399999999999999</v>
      </c>
      <c r="Q65" s="7">
        <f>(5.1*8)*0.6667</f>
        <v>27.201359999999998</v>
      </c>
      <c r="R65" s="7">
        <f>(5.1*8)*0.8333</f>
        <v>33.998640000000002</v>
      </c>
      <c r="S65" s="7">
        <f>(5.1*8)*1</f>
        <v>40.799999999999997</v>
      </c>
      <c r="T65" s="7">
        <f>(5.1*8)*0.5</f>
        <v>20.399999999999999</v>
      </c>
      <c r="U65" s="7">
        <f>(5.1*8)*0.6667</f>
        <v>27.201359999999998</v>
      </c>
      <c r="V65" s="7">
        <f>(5.1*8)*0.8333</f>
        <v>33.998640000000002</v>
      </c>
      <c r="W65" s="7">
        <f>(5.1*8)*1</f>
        <v>40.799999999999997</v>
      </c>
      <c r="X65" s="7">
        <f>(5.1*8)*0.5</f>
        <v>20.399999999999999</v>
      </c>
      <c r="Y65" s="7">
        <f>(5.1*8)*0.6667</f>
        <v>27.201359999999998</v>
      </c>
      <c r="Z65" s="7">
        <f>(5.1*8)*0.8333</f>
        <v>33.998640000000002</v>
      </c>
      <c r="AA65" s="7">
        <f>(5.1*8)*1</f>
        <v>40.799999999999997</v>
      </c>
      <c r="AB65" s="7">
        <f>(5.1*8)*0.5</f>
        <v>20.399999999999999</v>
      </c>
      <c r="AC65" s="7">
        <f>(5.1*8)*0.6667</f>
        <v>27.201359999999998</v>
      </c>
      <c r="AD65" s="7">
        <f>(5.1*8)*0.8333</f>
        <v>33.998640000000002</v>
      </c>
      <c r="AE65" s="7">
        <f>(5.1*8)*1</f>
        <v>40.799999999999997</v>
      </c>
    </row>
    <row r="66" spans="1:31" x14ac:dyDescent="0.25">
      <c r="A66" t="s">
        <v>80</v>
      </c>
      <c r="B66" s="2">
        <v>43314</v>
      </c>
      <c r="C66">
        <v>214</v>
      </c>
      <c r="D66" t="s">
        <v>71</v>
      </c>
      <c r="E66" s="5">
        <f>(5.1*8)*0.8333</f>
        <v>33.998640000000002</v>
      </c>
      <c r="F66" s="5">
        <f t="shared" si="72"/>
        <v>1.3385291338582679</v>
      </c>
      <c r="G66" s="5">
        <f>(5.1*8)*0.8333</f>
        <v>33.998640000000002</v>
      </c>
      <c r="H66" s="5">
        <f t="shared" si="73"/>
        <v>1.3385291338582679</v>
      </c>
      <c r="I66" s="5">
        <f>(5.1*8)*0.8333</f>
        <v>33.998640000000002</v>
      </c>
      <c r="J66" s="5">
        <f t="shared" si="74"/>
        <v>1.3385291338582679</v>
      </c>
      <c r="P66" s="7">
        <f>(5.1*8)*0.5</f>
        <v>20.399999999999999</v>
      </c>
      <c r="Q66" s="7">
        <f>(5.1*8)*0.6667</f>
        <v>27.201359999999998</v>
      </c>
      <c r="R66" s="7">
        <f>(5.1*8)*0.8333</f>
        <v>33.998640000000002</v>
      </c>
      <c r="S66" s="7">
        <f>(5.1*8)*1</f>
        <v>40.799999999999997</v>
      </c>
      <c r="T66" s="7">
        <f>(5.1*8)*0.5</f>
        <v>20.399999999999999</v>
      </c>
      <c r="U66" s="7">
        <f>(5.1*8)*0.6667</f>
        <v>27.201359999999998</v>
      </c>
      <c r="V66" s="7">
        <f>(5.1*8)*0.8333</f>
        <v>33.998640000000002</v>
      </c>
      <c r="W66" s="7">
        <f>(5.1*8)*1</f>
        <v>40.799999999999997</v>
      </c>
      <c r="X66" s="7">
        <f>(5.1*8)*0.5</f>
        <v>20.399999999999999</v>
      </c>
      <c r="Y66" s="7">
        <f>(5.1*8)*0.6667</f>
        <v>27.201359999999998</v>
      </c>
      <c r="Z66" s="7">
        <f>(5.1*8)*0.8333</f>
        <v>33.998640000000002</v>
      </c>
      <c r="AA66" s="7">
        <f>(5.1*8)*1</f>
        <v>40.799999999999997</v>
      </c>
      <c r="AB66" s="7">
        <f>(5.1*8)*0.5</f>
        <v>20.399999999999999</v>
      </c>
      <c r="AC66" s="7">
        <f>(5.1*8)*0.6667</f>
        <v>27.201359999999998</v>
      </c>
      <c r="AD66" s="7">
        <f>(5.1*8)*0.8333</f>
        <v>33.998640000000002</v>
      </c>
      <c r="AE66" s="7">
        <f>(5.1*8)*1</f>
        <v>40.799999999999997</v>
      </c>
    </row>
    <row r="67" spans="1:31" x14ac:dyDescent="0.25">
      <c r="A67" t="s">
        <v>80</v>
      </c>
      <c r="B67" s="2">
        <v>43320</v>
      </c>
      <c r="C67">
        <v>220</v>
      </c>
      <c r="D67" t="s">
        <v>62</v>
      </c>
      <c r="E67" s="5">
        <f t="shared" ref="E67:I75" si="75">(5.1*6)*0.8333</f>
        <v>25.49898</v>
      </c>
      <c r="F67" s="5">
        <f t="shared" si="72"/>
        <v>1.0038968503937009</v>
      </c>
      <c r="G67" s="5">
        <f t="shared" si="75"/>
        <v>25.49898</v>
      </c>
      <c r="H67" s="5">
        <f t="shared" si="73"/>
        <v>1.0038968503937009</v>
      </c>
      <c r="I67" s="5">
        <f t="shared" si="75"/>
        <v>25.49898</v>
      </c>
      <c r="J67" s="5">
        <f t="shared" si="74"/>
        <v>1.0038968503937009</v>
      </c>
      <c r="P67" s="7">
        <f>(5.1*6)*0.5</f>
        <v>15.299999999999999</v>
      </c>
      <c r="Q67" s="7">
        <f>(5.1*6)*0.6667</f>
        <v>20.401019999999999</v>
      </c>
      <c r="R67" s="7">
        <f>(5.1*6)*0.8333</f>
        <v>25.49898</v>
      </c>
      <c r="S67" s="7">
        <f>(5.1*6)*1</f>
        <v>30.599999999999998</v>
      </c>
      <c r="T67" s="7">
        <f>(5.1*6)*0.5</f>
        <v>15.299999999999999</v>
      </c>
      <c r="U67" s="7">
        <f>(5.1*6)*0.6667</f>
        <v>20.401019999999999</v>
      </c>
      <c r="V67" s="7">
        <f>(5.1*6)*0.8333</f>
        <v>25.49898</v>
      </c>
      <c r="W67" s="7">
        <f>(5.1*6)*1</f>
        <v>30.599999999999998</v>
      </c>
      <c r="X67" s="7">
        <f>(5.1*6)*0.5</f>
        <v>15.299999999999999</v>
      </c>
      <c r="Y67" s="7">
        <f>(5.1*6)*0.6667</f>
        <v>20.401019999999999</v>
      </c>
      <c r="Z67" s="7">
        <f>(5.1*6)*0.8333</f>
        <v>25.49898</v>
      </c>
      <c r="AA67" s="7">
        <f>(5.1*6)*1</f>
        <v>30.599999999999998</v>
      </c>
      <c r="AB67" s="7">
        <f>(5.1*6)*0.5</f>
        <v>15.299999999999999</v>
      </c>
      <c r="AC67" s="7">
        <f>(5.1*6)*0.6667</f>
        <v>20.401019999999999</v>
      </c>
      <c r="AD67" s="7">
        <f>(5.1*6)*0.8333</f>
        <v>25.49898</v>
      </c>
      <c r="AE67" s="7">
        <f>(5.1*6)*1</f>
        <v>30.599999999999998</v>
      </c>
    </row>
    <row r="68" spans="1:31" x14ac:dyDescent="0.25">
      <c r="A68" t="s">
        <v>80</v>
      </c>
      <c r="B68" s="2">
        <v>43321</v>
      </c>
      <c r="C68">
        <v>221</v>
      </c>
      <c r="D68" t="s">
        <v>62</v>
      </c>
      <c r="E68" s="5">
        <f t="shared" si="75"/>
        <v>25.49898</v>
      </c>
      <c r="F68" s="5">
        <f t="shared" si="72"/>
        <v>1.0038968503937009</v>
      </c>
      <c r="G68" s="5">
        <f t="shared" si="75"/>
        <v>25.49898</v>
      </c>
      <c r="H68" s="5">
        <f t="shared" si="73"/>
        <v>1.0038968503937009</v>
      </c>
      <c r="I68" s="5">
        <f t="shared" si="75"/>
        <v>25.49898</v>
      </c>
      <c r="J68" s="5">
        <f t="shared" si="74"/>
        <v>1.0038968503937009</v>
      </c>
      <c r="K68" t="s">
        <v>95</v>
      </c>
      <c r="P68" s="7">
        <f>(5.1*6)*0.5</f>
        <v>15.299999999999999</v>
      </c>
      <c r="Q68" s="7">
        <f>(5.1*6)*0.6667</f>
        <v>20.401019999999999</v>
      </c>
      <c r="R68" s="7">
        <f>(5.1*6)*0.8333</f>
        <v>25.49898</v>
      </c>
      <c r="S68" s="7">
        <f>(5.1*6)*1</f>
        <v>30.599999999999998</v>
      </c>
      <c r="T68" s="7">
        <f>(5.1*6)*0.5</f>
        <v>15.299999999999999</v>
      </c>
      <c r="U68" s="7">
        <f>(5.1*6)*0.6667</f>
        <v>20.401019999999999</v>
      </c>
      <c r="V68" s="7">
        <f>(5.1*6)*0.8333</f>
        <v>25.49898</v>
      </c>
      <c r="W68" s="7">
        <f>(5.1*6)*1</f>
        <v>30.599999999999998</v>
      </c>
      <c r="X68" s="7">
        <f>(5.1*6)*0.5</f>
        <v>15.299999999999999</v>
      </c>
      <c r="Y68" s="7">
        <f>(5.1*6)*0.6667</f>
        <v>20.401019999999999</v>
      </c>
      <c r="Z68" s="7">
        <f>(5.1*6)*0.8333</f>
        <v>25.49898</v>
      </c>
      <c r="AA68" s="7">
        <f>(5.1*6)*1</f>
        <v>30.599999999999998</v>
      </c>
      <c r="AB68" s="7">
        <f>(5.1*6)*0.5</f>
        <v>15.299999999999999</v>
      </c>
      <c r="AC68" s="7">
        <f>(5.1*6)*0.6667</f>
        <v>20.401019999999999</v>
      </c>
      <c r="AD68" s="7">
        <f>(5.1*6)*0.8333</f>
        <v>25.49898</v>
      </c>
      <c r="AE68" s="7">
        <f>(5.1*6)*1</f>
        <v>30.599999999999998</v>
      </c>
    </row>
    <row r="69" spans="1:31" x14ac:dyDescent="0.25">
      <c r="A69" t="s">
        <v>80</v>
      </c>
      <c r="B69" s="2">
        <v>43329</v>
      </c>
      <c r="C69">
        <v>229</v>
      </c>
      <c r="D69" t="s">
        <v>63</v>
      </c>
      <c r="E69" s="5">
        <f>(5.1*4)*0.8333</f>
        <v>16.999320000000001</v>
      </c>
      <c r="F69" s="5">
        <f t="shared" si="72"/>
        <v>0.66926456692913394</v>
      </c>
      <c r="G69" s="5">
        <f>(5.1*4)*0.8333</f>
        <v>16.999320000000001</v>
      </c>
      <c r="H69" s="5">
        <f t="shared" si="73"/>
        <v>0.66926456692913394</v>
      </c>
      <c r="I69" s="5">
        <f>(5.1*4)*0.8333</f>
        <v>16.999320000000001</v>
      </c>
      <c r="J69" s="5">
        <f t="shared" si="74"/>
        <v>0.66926456692913394</v>
      </c>
      <c r="P69" s="7">
        <f>(5.1*4)*0.5</f>
        <v>10.199999999999999</v>
      </c>
      <c r="Q69" s="7">
        <f>(5.1*4)*0.6667</f>
        <v>13.600679999999999</v>
      </c>
      <c r="R69" s="7">
        <f>(5.1*4)*0.8333</f>
        <v>16.999320000000001</v>
      </c>
      <c r="S69" s="7">
        <f>(5.1*4)*1</f>
        <v>20.399999999999999</v>
      </c>
      <c r="T69" s="7">
        <f>(5.1*4)*0.5</f>
        <v>10.199999999999999</v>
      </c>
      <c r="U69" s="7">
        <f>(5.1*4)*0.6667</f>
        <v>13.600679999999999</v>
      </c>
      <c r="V69" s="7">
        <f>(5.1*4)*0.8333</f>
        <v>16.999320000000001</v>
      </c>
      <c r="W69" s="7">
        <f>(5.1*4)*1</f>
        <v>20.399999999999999</v>
      </c>
      <c r="X69" s="7">
        <f>(5.1*4)*0.5</f>
        <v>10.199999999999999</v>
      </c>
      <c r="Y69" s="7">
        <f>(5.1*4)*0.6667</f>
        <v>13.600679999999999</v>
      </c>
      <c r="Z69" s="7">
        <f>(5.1*4)*0.8333</f>
        <v>16.999320000000001</v>
      </c>
      <c r="AA69" s="7">
        <f>(5.1*4)*1</f>
        <v>20.399999999999999</v>
      </c>
      <c r="AB69" s="7">
        <f>(5.1*4)*0.5</f>
        <v>10.199999999999999</v>
      </c>
      <c r="AC69" s="7">
        <f>(5.1*4)*0.6667</f>
        <v>13.600679999999999</v>
      </c>
      <c r="AD69" s="7">
        <f>(5.1*4)*0.8333</f>
        <v>16.999320000000001</v>
      </c>
      <c r="AE69" s="7">
        <f>(5.1*4)*1</f>
        <v>20.399999999999999</v>
      </c>
    </row>
    <row r="70" spans="1:31" x14ac:dyDescent="0.25">
      <c r="A70" t="s">
        <v>80</v>
      </c>
      <c r="B70" s="2">
        <v>43334</v>
      </c>
      <c r="C70">
        <v>234</v>
      </c>
      <c r="D70" t="s">
        <v>62</v>
      </c>
      <c r="E70" s="5">
        <f t="shared" si="75"/>
        <v>25.49898</v>
      </c>
      <c r="F70" s="5">
        <f t="shared" si="72"/>
        <v>1.0038968503937009</v>
      </c>
      <c r="G70" s="5">
        <f t="shared" si="75"/>
        <v>25.49898</v>
      </c>
      <c r="H70" s="5">
        <f t="shared" si="73"/>
        <v>1.0038968503937009</v>
      </c>
      <c r="I70" s="5">
        <f t="shared" si="75"/>
        <v>25.49898</v>
      </c>
      <c r="J70" s="5">
        <f t="shared" si="74"/>
        <v>1.0038968503937009</v>
      </c>
      <c r="L70" t="s">
        <v>161</v>
      </c>
      <c r="P70" s="7">
        <f>(5.1*6)*0.5</f>
        <v>15.299999999999999</v>
      </c>
      <c r="Q70" s="7">
        <f>(5.1*6)*0.6667</f>
        <v>20.401019999999999</v>
      </c>
      <c r="R70" s="7">
        <f>(5.1*6)*0.8333</f>
        <v>25.49898</v>
      </c>
      <c r="S70" s="7">
        <f>(5.1*6)*1</f>
        <v>30.599999999999998</v>
      </c>
      <c r="T70" s="7">
        <f>(5.1*6)*0.5</f>
        <v>15.299999999999999</v>
      </c>
      <c r="U70" s="7">
        <f>(5.1*6)*0.6667</f>
        <v>20.401019999999999</v>
      </c>
      <c r="V70" s="7">
        <f>(5.1*6)*0.8333</f>
        <v>25.49898</v>
      </c>
      <c r="W70" s="7">
        <f>(5.1*6)*1</f>
        <v>30.599999999999998</v>
      </c>
      <c r="X70" s="7">
        <f>(5.1*6)*0.5</f>
        <v>15.299999999999999</v>
      </c>
      <c r="Y70" s="7">
        <f>(5.1*6)*0.6667</f>
        <v>20.401019999999999</v>
      </c>
      <c r="Z70" s="7">
        <f>(5.1*6)*0.8333</f>
        <v>25.49898</v>
      </c>
      <c r="AA70" s="7">
        <f>(5.1*6)*1</f>
        <v>30.599999999999998</v>
      </c>
      <c r="AB70" s="7">
        <f>(5.1*6)*0.5</f>
        <v>15.299999999999999</v>
      </c>
      <c r="AC70" s="7">
        <f>(5.1*6)*0.6667</f>
        <v>20.401019999999999</v>
      </c>
      <c r="AD70" s="7">
        <f>(5.1*6)*0.8333</f>
        <v>25.49898</v>
      </c>
      <c r="AE70" s="7">
        <f>(5.1*6)*1</f>
        <v>30.599999999999998</v>
      </c>
    </row>
    <row r="71" spans="1:31" x14ac:dyDescent="0.25">
      <c r="A71" t="s">
        <v>80</v>
      </c>
      <c r="B71" s="2">
        <v>43335</v>
      </c>
      <c r="C71">
        <v>235</v>
      </c>
      <c r="D71" t="s">
        <v>63</v>
      </c>
      <c r="E71" s="5">
        <f>(5.1*4)*0.8333</f>
        <v>16.999320000000001</v>
      </c>
      <c r="F71" s="5">
        <f t="shared" si="72"/>
        <v>0.66926456692913394</v>
      </c>
      <c r="G71" s="5">
        <f>(5.1*4)*0.8333</f>
        <v>16.999320000000001</v>
      </c>
      <c r="H71" s="5">
        <f t="shared" si="73"/>
        <v>0.66926456692913394</v>
      </c>
      <c r="I71" s="5">
        <f>(5.1*4)*0.8333</f>
        <v>16.999320000000001</v>
      </c>
      <c r="J71" s="5">
        <f t="shared" si="74"/>
        <v>0.66926456692913394</v>
      </c>
      <c r="L71" t="s">
        <v>49</v>
      </c>
      <c r="M71" t="s">
        <v>96</v>
      </c>
      <c r="P71" s="7">
        <f>(5.1*4)*0.5</f>
        <v>10.199999999999999</v>
      </c>
      <c r="Q71" s="7">
        <f>(5.1*4)*0.6667</f>
        <v>13.600679999999999</v>
      </c>
      <c r="R71" s="7">
        <f>(5.1*4)*0.8333</f>
        <v>16.999320000000001</v>
      </c>
      <c r="S71" s="7">
        <f>(5.1*4)*1</f>
        <v>20.399999999999999</v>
      </c>
      <c r="T71" s="7">
        <f>(5.1*4)*0.5</f>
        <v>10.199999999999999</v>
      </c>
      <c r="U71" s="7">
        <f>(5.1*4)*0.6667</f>
        <v>13.600679999999999</v>
      </c>
      <c r="V71" s="7">
        <f>(5.1*4)*0.8333</f>
        <v>16.999320000000001</v>
      </c>
      <c r="W71" s="7">
        <f>(5.1*4)*1</f>
        <v>20.399999999999999</v>
      </c>
      <c r="X71" s="7">
        <f>(5.1*4)*0.5</f>
        <v>10.199999999999999</v>
      </c>
      <c r="Y71" s="7">
        <f>(5.1*4)*0.6667</f>
        <v>13.600679999999999</v>
      </c>
      <c r="Z71" s="7">
        <f>(5.1*4)*0.8333</f>
        <v>16.999320000000001</v>
      </c>
      <c r="AA71" s="7">
        <f>(5.1*4)*1</f>
        <v>20.399999999999999</v>
      </c>
      <c r="AB71" s="7">
        <f>(5.1*4)*0.5</f>
        <v>10.199999999999999</v>
      </c>
      <c r="AC71" s="7">
        <f>(5.1*4)*0.6667</f>
        <v>13.600679999999999</v>
      </c>
      <c r="AD71" s="7">
        <f>(5.1*4)*0.8333</f>
        <v>16.999320000000001</v>
      </c>
      <c r="AE71" s="7">
        <f>(5.1*4)*1</f>
        <v>20.399999999999999</v>
      </c>
    </row>
    <row r="72" spans="1:31" x14ac:dyDescent="0.25">
      <c r="A72" t="s">
        <v>80</v>
      </c>
      <c r="B72" s="2">
        <v>43342</v>
      </c>
      <c r="C72">
        <v>242</v>
      </c>
      <c r="D72" t="s">
        <v>62</v>
      </c>
      <c r="E72" s="5">
        <f t="shared" si="75"/>
        <v>25.49898</v>
      </c>
      <c r="F72" s="5">
        <f t="shared" si="72"/>
        <v>1.0038968503937009</v>
      </c>
      <c r="G72" s="5">
        <f t="shared" si="75"/>
        <v>25.49898</v>
      </c>
      <c r="H72" s="5">
        <f t="shared" si="73"/>
        <v>1.0038968503937009</v>
      </c>
      <c r="I72" s="5">
        <f t="shared" si="75"/>
        <v>25.49898</v>
      </c>
      <c r="J72" s="5">
        <f t="shared" si="74"/>
        <v>1.0038968503937009</v>
      </c>
      <c r="L72">
        <v>167</v>
      </c>
      <c r="M72" s="8">
        <f>0.12*25.4</f>
        <v>3.0479999999999996</v>
      </c>
      <c r="N72" s="8"/>
      <c r="P72" s="7">
        <f>(5.1*6)*0.5</f>
        <v>15.299999999999999</v>
      </c>
      <c r="Q72" s="7">
        <f>(5.1*6)*0.6667</f>
        <v>20.401019999999999</v>
      </c>
      <c r="R72" s="7">
        <f>(5.1*6)*0.8333</f>
        <v>25.49898</v>
      </c>
      <c r="S72" s="7">
        <f>(5.1*6)*1</f>
        <v>30.599999999999998</v>
      </c>
      <c r="T72" s="7">
        <f>(5.1*6)*0.5</f>
        <v>15.299999999999999</v>
      </c>
      <c r="U72" s="7">
        <f>(5.1*6)*0.6667</f>
        <v>20.401019999999999</v>
      </c>
      <c r="V72" s="7">
        <f>(5.1*6)*0.8333</f>
        <v>25.49898</v>
      </c>
      <c r="W72" s="7">
        <f>(5.1*6)*1</f>
        <v>30.599999999999998</v>
      </c>
      <c r="X72" s="7">
        <f>(5.1*6)*0.5</f>
        <v>15.299999999999999</v>
      </c>
      <c r="Y72" s="7">
        <f>(5.1*6)*0.6667</f>
        <v>20.401019999999999</v>
      </c>
      <c r="Z72" s="7">
        <f>(5.1*6)*0.8333</f>
        <v>25.49898</v>
      </c>
      <c r="AA72" s="7">
        <f>(5.1*6)*1</f>
        <v>30.599999999999998</v>
      </c>
      <c r="AB72" s="7">
        <f>(5.1*6)*0.5</f>
        <v>15.299999999999999</v>
      </c>
      <c r="AC72" s="7">
        <f>(5.1*6)*0.6667</f>
        <v>20.401019999999999</v>
      </c>
      <c r="AD72" s="7">
        <f>(5.1*6)*0.8333</f>
        <v>25.49898</v>
      </c>
      <c r="AE72" s="7">
        <f>(5.1*6)*1</f>
        <v>30.599999999999998</v>
      </c>
    </row>
    <row r="73" spans="1:31" x14ac:dyDescent="0.25">
      <c r="A73" t="s">
        <v>80</v>
      </c>
      <c r="B73" s="2">
        <v>43343</v>
      </c>
      <c r="C73">
        <v>243</v>
      </c>
      <c r="D73" t="s">
        <v>62</v>
      </c>
      <c r="E73" s="5">
        <f t="shared" si="75"/>
        <v>25.49898</v>
      </c>
      <c r="F73" s="5">
        <f t="shared" si="72"/>
        <v>1.0038968503937009</v>
      </c>
      <c r="G73" s="5">
        <f t="shared" si="75"/>
        <v>25.49898</v>
      </c>
      <c r="H73" s="5">
        <f t="shared" si="73"/>
        <v>1.0038968503937009</v>
      </c>
      <c r="I73" s="5">
        <f t="shared" si="75"/>
        <v>25.49898</v>
      </c>
      <c r="J73" s="5">
        <f t="shared" si="74"/>
        <v>1.0038968503937009</v>
      </c>
      <c r="L73">
        <v>190</v>
      </c>
      <c r="M73" s="8">
        <v>2.4</v>
      </c>
      <c r="N73" s="8"/>
      <c r="P73" s="7">
        <f>(5.1*6)*0.5</f>
        <v>15.299999999999999</v>
      </c>
      <c r="Q73" s="7">
        <f>(5.1*6)*0.6667</f>
        <v>20.401019999999999</v>
      </c>
      <c r="R73" s="7">
        <f>(5.1*6)*0.8333</f>
        <v>25.49898</v>
      </c>
      <c r="S73" s="7">
        <f>(5.1*6)*1</f>
        <v>30.599999999999998</v>
      </c>
      <c r="T73" s="7">
        <f>(5.1*6)*0.5</f>
        <v>15.299999999999999</v>
      </c>
      <c r="U73" s="7">
        <f>(5.1*6)*0.6667</f>
        <v>20.401019999999999</v>
      </c>
      <c r="V73" s="7">
        <f>(5.1*6)*0.8333</f>
        <v>25.49898</v>
      </c>
      <c r="W73" s="7">
        <f>(5.1*6)*1</f>
        <v>30.599999999999998</v>
      </c>
      <c r="X73" s="7">
        <f>(5.1*6)*0.5</f>
        <v>15.299999999999999</v>
      </c>
      <c r="Y73" s="7">
        <f>(5.1*6)*0.6667</f>
        <v>20.401019999999999</v>
      </c>
      <c r="Z73" s="7">
        <f>(5.1*6)*0.8333</f>
        <v>25.49898</v>
      </c>
      <c r="AA73" s="7">
        <f>(5.1*6)*1</f>
        <v>30.599999999999998</v>
      </c>
      <c r="AB73" s="7">
        <f>(5.1*6)*0.5</f>
        <v>15.299999999999999</v>
      </c>
      <c r="AC73" s="7">
        <f>(5.1*6)*0.6667</f>
        <v>20.401019999999999</v>
      </c>
      <c r="AD73" s="7">
        <f>(5.1*6)*0.8333</f>
        <v>25.49898</v>
      </c>
      <c r="AE73" s="7">
        <f>(5.1*6)*1</f>
        <v>30.599999999999998</v>
      </c>
    </row>
    <row r="74" spans="1:31" x14ac:dyDescent="0.25">
      <c r="A74" t="s">
        <v>80</v>
      </c>
      <c r="B74" s="2">
        <v>43348</v>
      </c>
      <c r="C74">
        <v>248</v>
      </c>
      <c r="D74" t="s">
        <v>62</v>
      </c>
      <c r="E74" s="5">
        <f t="shared" si="75"/>
        <v>25.49898</v>
      </c>
      <c r="F74" s="5">
        <f t="shared" ref="F74:F75" si="76">E74/25.4</f>
        <v>1.0038968503937009</v>
      </c>
      <c r="G74" s="5">
        <f t="shared" si="75"/>
        <v>25.49898</v>
      </c>
      <c r="H74" s="5">
        <f t="shared" ref="H74:H75" si="77">G74/25.4</f>
        <v>1.0038968503937009</v>
      </c>
      <c r="I74" s="5">
        <f t="shared" si="75"/>
        <v>25.49898</v>
      </c>
      <c r="J74" s="5">
        <f t="shared" ref="J74:J75" si="78">I74/25.4</f>
        <v>1.0038968503937009</v>
      </c>
      <c r="L74">
        <v>195</v>
      </c>
      <c r="M74" s="8">
        <v>0.2</v>
      </c>
      <c r="N74" s="8"/>
      <c r="P74" s="7">
        <f>(5.1*6)*0.5</f>
        <v>15.299999999999999</v>
      </c>
      <c r="Q74" s="7">
        <f>(5.1*6)*0.6667</f>
        <v>20.401019999999999</v>
      </c>
      <c r="R74" s="7">
        <f>(5.1*6)*0.8333</f>
        <v>25.49898</v>
      </c>
      <c r="S74" s="7">
        <f>(5.1*6)*1</f>
        <v>30.599999999999998</v>
      </c>
      <c r="T74" s="7">
        <f>(5.1*6)*0.5</f>
        <v>15.299999999999999</v>
      </c>
      <c r="U74" s="7">
        <f>(5.1*6)*0.6667</f>
        <v>20.401019999999999</v>
      </c>
      <c r="V74" s="7">
        <f>(5.1*6)*0.8333</f>
        <v>25.49898</v>
      </c>
      <c r="W74" s="7">
        <f>(5.1*6)*1</f>
        <v>30.599999999999998</v>
      </c>
      <c r="X74" s="7">
        <f>(5.1*6)*0.5</f>
        <v>15.299999999999999</v>
      </c>
      <c r="Y74" s="7">
        <f>(5.1*6)*0.6667</f>
        <v>20.401019999999999</v>
      </c>
      <c r="Z74" s="7">
        <f>(5.1*6)*0.8333</f>
        <v>25.49898</v>
      </c>
      <c r="AA74" s="7">
        <f>(5.1*6)*1</f>
        <v>30.599999999999998</v>
      </c>
      <c r="AB74" s="7">
        <f>(5.1*6)*0.5</f>
        <v>15.299999999999999</v>
      </c>
      <c r="AC74" s="7">
        <f>(5.1*6)*0.6667</f>
        <v>20.401019999999999</v>
      </c>
      <c r="AD74" s="7">
        <f>(5.1*6)*0.8333</f>
        <v>25.49898</v>
      </c>
      <c r="AE74" s="7">
        <f>(5.1*6)*1</f>
        <v>30.599999999999998</v>
      </c>
    </row>
    <row r="75" spans="1:31" x14ac:dyDescent="0.25">
      <c r="A75" t="s">
        <v>80</v>
      </c>
      <c r="B75" s="2">
        <v>43350</v>
      </c>
      <c r="C75">
        <v>250</v>
      </c>
      <c r="D75" t="s">
        <v>62</v>
      </c>
      <c r="E75" s="5">
        <f t="shared" si="75"/>
        <v>25.49898</v>
      </c>
      <c r="F75" s="5">
        <f t="shared" si="76"/>
        <v>1.0038968503937009</v>
      </c>
      <c r="G75" s="5">
        <f t="shared" si="75"/>
        <v>25.49898</v>
      </c>
      <c r="H75" s="5">
        <f t="shared" si="77"/>
        <v>1.0038968503937009</v>
      </c>
      <c r="I75" s="5">
        <f t="shared" si="75"/>
        <v>25.49898</v>
      </c>
      <c r="J75" s="5">
        <f t="shared" si="78"/>
        <v>1.0038968503937009</v>
      </c>
      <c r="L75">
        <v>202</v>
      </c>
      <c r="M75" s="8">
        <v>2</v>
      </c>
      <c r="N75" s="8"/>
      <c r="P75" s="7">
        <f>(5.1*6)*0.5</f>
        <v>15.299999999999999</v>
      </c>
      <c r="Q75" s="7">
        <f>(5.1*6)*0.6667</f>
        <v>20.401019999999999</v>
      </c>
      <c r="R75" s="7">
        <f>(5.1*6)*0.8333</f>
        <v>25.49898</v>
      </c>
      <c r="S75" s="7">
        <f>(5.1*6)*1</f>
        <v>30.599999999999998</v>
      </c>
      <c r="T75" s="7">
        <f>(5.1*6)*0.5</f>
        <v>15.299999999999999</v>
      </c>
      <c r="U75" s="7">
        <f>(5.1*6)*0.6667</f>
        <v>20.401019999999999</v>
      </c>
      <c r="V75" s="7">
        <f>(5.1*6)*0.8333</f>
        <v>25.49898</v>
      </c>
      <c r="W75" s="7">
        <f>(5.1*6)*1</f>
        <v>30.599999999999998</v>
      </c>
      <c r="X75" s="7">
        <f>(5.1*6)*0.5</f>
        <v>15.299999999999999</v>
      </c>
      <c r="Y75" s="7">
        <f>(5.1*6)*0.6667</f>
        <v>20.401019999999999</v>
      </c>
      <c r="Z75" s="7">
        <f>(5.1*6)*0.8333</f>
        <v>25.49898</v>
      </c>
      <c r="AA75" s="7">
        <f>(5.1*6)*1</f>
        <v>30.599999999999998</v>
      </c>
      <c r="AB75" s="7">
        <f>(5.1*6)*0.5</f>
        <v>15.299999999999999</v>
      </c>
      <c r="AC75" s="7">
        <f>(5.1*6)*0.6667</f>
        <v>20.401019999999999</v>
      </c>
      <c r="AD75" s="7">
        <f>(5.1*6)*0.8333</f>
        <v>25.49898</v>
      </c>
      <c r="AE75" s="7">
        <f>(5.1*6)*1</f>
        <v>30.599999999999998</v>
      </c>
    </row>
    <row r="76" spans="1:31" x14ac:dyDescent="0.25">
      <c r="E76" s="5"/>
      <c r="F76" s="5"/>
      <c r="G76" s="5"/>
      <c r="H76" s="5"/>
      <c r="I76" s="5"/>
      <c r="J76" s="5"/>
      <c r="L76">
        <v>205</v>
      </c>
      <c r="M76" s="8">
        <v>0.4</v>
      </c>
      <c r="N76" s="8"/>
    </row>
    <row r="77" spans="1:31" x14ac:dyDescent="0.25">
      <c r="E77" s="5">
        <f>SUM(E46:E75,E33:E41,E23:E28)</f>
        <v>1119.6716199999996</v>
      </c>
      <c r="F77" s="5"/>
      <c r="G77" s="5"/>
      <c r="H77" s="5"/>
      <c r="I77" s="5"/>
      <c r="J77" s="5"/>
      <c r="L77">
        <v>210</v>
      </c>
      <c r="M77" s="8">
        <v>3</v>
      </c>
      <c r="N77" s="8"/>
      <c r="O77" t="s">
        <v>80</v>
      </c>
      <c r="P77" s="5">
        <f t="shared" ref="P77:AE77" si="79">SUM(P46:P75)</f>
        <v>526.90000000000009</v>
      </c>
      <c r="Q77" s="5">
        <f t="shared" si="79"/>
        <v>602.56513000000029</v>
      </c>
      <c r="R77" s="5">
        <f t="shared" si="79"/>
        <v>678.18487000000005</v>
      </c>
      <c r="S77" s="5">
        <f t="shared" si="79"/>
        <v>753.85000000000025</v>
      </c>
      <c r="T77" s="5">
        <f t="shared" si="79"/>
        <v>593.16324999999995</v>
      </c>
      <c r="U77" s="5">
        <f t="shared" si="79"/>
        <v>668.82838000000027</v>
      </c>
      <c r="V77" s="5">
        <f t="shared" si="79"/>
        <v>744.4481199999999</v>
      </c>
      <c r="W77" s="5">
        <f t="shared" si="79"/>
        <v>820.11325000000022</v>
      </c>
      <c r="X77" s="5">
        <f t="shared" si="79"/>
        <v>659.38674999999978</v>
      </c>
      <c r="Y77" s="5">
        <f t="shared" si="79"/>
        <v>735.05188000000021</v>
      </c>
      <c r="Z77" s="5">
        <f t="shared" si="79"/>
        <v>810.67161999999985</v>
      </c>
      <c r="AA77" s="5">
        <f t="shared" si="79"/>
        <v>886.33675000000005</v>
      </c>
      <c r="AB77" s="5">
        <f t="shared" si="79"/>
        <v>725.64999999999964</v>
      </c>
      <c r="AC77" s="5">
        <f t="shared" si="79"/>
        <v>801.31513000000018</v>
      </c>
      <c r="AD77" s="5">
        <f t="shared" si="79"/>
        <v>876.93486999999982</v>
      </c>
      <c r="AE77" s="5">
        <f t="shared" si="79"/>
        <v>952.6</v>
      </c>
    </row>
    <row r="78" spans="1:31" x14ac:dyDescent="0.25">
      <c r="E78" s="5"/>
      <c r="F78" s="5"/>
      <c r="G78" s="5"/>
      <c r="H78" s="5"/>
      <c r="I78" s="5"/>
      <c r="J78" s="5"/>
      <c r="L78">
        <v>214</v>
      </c>
      <c r="M78" s="5">
        <f>0.73*25.4</f>
        <v>18.541999999999998</v>
      </c>
      <c r="N78" s="5"/>
      <c r="O78" t="s">
        <v>162</v>
      </c>
      <c r="P78" s="5">
        <f>P77+$E$40+$E$42</f>
        <v>567.50000000000011</v>
      </c>
      <c r="Q78" s="5">
        <f t="shared" ref="Q78:AE78" si="80">Q77+$E$40+$E$42</f>
        <v>643.16513000000032</v>
      </c>
      <c r="R78" s="5">
        <f t="shared" si="80"/>
        <v>718.78487000000007</v>
      </c>
      <c r="S78" s="5">
        <f t="shared" si="80"/>
        <v>794.45000000000027</v>
      </c>
      <c r="T78" s="5">
        <f t="shared" si="80"/>
        <v>633.76324999999997</v>
      </c>
      <c r="U78" s="5">
        <f t="shared" si="80"/>
        <v>709.42838000000029</v>
      </c>
      <c r="V78" s="5">
        <f t="shared" si="80"/>
        <v>785.04811999999993</v>
      </c>
      <c r="W78" s="5">
        <f t="shared" si="80"/>
        <v>860.71325000000024</v>
      </c>
      <c r="X78" s="5">
        <f t="shared" si="80"/>
        <v>699.9867499999998</v>
      </c>
      <c r="Y78" s="5">
        <f t="shared" si="80"/>
        <v>775.65188000000023</v>
      </c>
      <c r="Z78" s="5">
        <f t="shared" si="80"/>
        <v>851.27161999999987</v>
      </c>
      <c r="AA78" s="5">
        <f t="shared" si="80"/>
        <v>926.93675000000007</v>
      </c>
      <c r="AB78" s="5">
        <f t="shared" si="80"/>
        <v>766.24999999999966</v>
      </c>
      <c r="AC78" s="5">
        <f t="shared" si="80"/>
        <v>841.9151300000002</v>
      </c>
      <c r="AD78" s="5">
        <f t="shared" si="80"/>
        <v>917.53486999999984</v>
      </c>
      <c r="AE78" s="5">
        <f t="shared" si="80"/>
        <v>993.2</v>
      </c>
    </row>
    <row r="79" spans="1:31" x14ac:dyDescent="0.25">
      <c r="E79" s="5">
        <f>E77-90</f>
        <v>1029.6716199999996</v>
      </c>
      <c r="F79" s="5"/>
      <c r="G79" s="5"/>
      <c r="H79" s="5"/>
      <c r="I79" s="5"/>
      <c r="J79" s="5"/>
      <c r="L79">
        <v>220</v>
      </c>
      <c r="M79" s="8">
        <v>3</v>
      </c>
      <c r="N79" t="s">
        <v>157</v>
      </c>
      <c r="O79" t="s">
        <v>153</v>
      </c>
      <c r="P79" s="5">
        <f>$E$29</f>
        <v>212.10000000000002</v>
      </c>
      <c r="Q79" s="5">
        <f t="shared" ref="Q79:AE79" si="81">$E$29</f>
        <v>212.10000000000002</v>
      </c>
      <c r="R79" s="5">
        <f t="shared" si="81"/>
        <v>212.10000000000002</v>
      </c>
      <c r="S79" s="5">
        <f t="shared" si="81"/>
        <v>212.10000000000002</v>
      </c>
      <c r="T79" s="5">
        <f t="shared" si="81"/>
        <v>212.10000000000002</v>
      </c>
      <c r="U79" s="5">
        <f t="shared" si="81"/>
        <v>212.10000000000002</v>
      </c>
      <c r="V79" s="5">
        <f t="shared" si="81"/>
        <v>212.10000000000002</v>
      </c>
      <c r="W79" s="5">
        <f t="shared" si="81"/>
        <v>212.10000000000002</v>
      </c>
      <c r="X79" s="5">
        <f t="shared" si="81"/>
        <v>212.10000000000002</v>
      </c>
      <c r="Y79" s="5">
        <f t="shared" si="81"/>
        <v>212.10000000000002</v>
      </c>
      <c r="Z79" s="5">
        <f t="shared" si="81"/>
        <v>212.10000000000002</v>
      </c>
      <c r="AA79" s="5">
        <f t="shared" si="81"/>
        <v>212.10000000000002</v>
      </c>
      <c r="AB79" s="5">
        <f t="shared" si="81"/>
        <v>212.10000000000002</v>
      </c>
      <c r="AC79" s="5">
        <f t="shared" si="81"/>
        <v>212.10000000000002</v>
      </c>
      <c r="AD79" s="5">
        <f t="shared" si="81"/>
        <v>212.10000000000002</v>
      </c>
      <c r="AE79" s="5">
        <f t="shared" si="81"/>
        <v>212.10000000000002</v>
      </c>
    </row>
    <row r="80" spans="1:31" x14ac:dyDescent="0.25">
      <c r="E80" s="5">
        <f>E79*0.8</f>
        <v>823.73729599999979</v>
      </c>
      <c r="F80" s="5"/>
      <c r="G80" s="5"/>
      <c r="H80" s="5"/>
      <c r="I80" s="5"/>
      <c r="J80" s="5"/>
      <c r="L80">
        <v>222</v>
      </c>
      <c r="M80" s="8">
        <f>1.04*25.4</f>
        <v>26.416</v>
      </c>
      <c r="N80" t="s">
        <v>158</v>
      </c>
      <c r="O80" t="s">
        <v>154</v>
      </c>
      <c r="P80" s="5">
        <f>$E$43+P46</f>
        <v>137.5</v>
      </c>
      <c r="Q80" s="5">
        <f t="shared" ref="Q80:AE80" si="82">$E$43+Q46</f>
        <v>137.5</v>
      </c>
      <c r="R80" s="5">
        <f t="shared" si="82"/>
        <v>137.5</v>
      </c>
      <c r="S80" s="5">
        <f t="shared" si="82"/>
        <v>137.5</v>
      </c>
      <c r="T80" s="5">
        <f t="shared" si="82"/>
        <v>137.5</v>
      </c>
      <c r="U80" s="5">
        <f t="shared" si="82"/>
        <v>137.5</v>
      </c>
      <c r="V80" s="5">
        <f t="shared" si="82"/>
        <v>137.5</v>
      </c>
      <c r="W80" s="5">
        <f t="shared" si="82"/>
        <v>137.5</v>
      </c>
      <c r="X80" s="5">
        <f t="shared" si="82"/>
        <v>137.5</v>
      </c>
      <c r="Y80" s="5">
        <f t="shared" si="82"/>
        <v>137.5</v>
      </c>
      <c r="Z80" s="5">
        <f t="shared" si="82"/>
        <v>137.5</v>
      </c>
      <c r="AA80" s="5">
        <f t="shared" si="82"/>
        <v>137.5</v>
      </c>
      <c r="AB80" s="5">
        <f t="shared" si="82"/>
        <v>137.5</v>
      </c>
      <c r="AC80" s="5">
        <f t="shared" si="82"/>
        <v>137.5</v>
      </c>
      <c r="AD80" s="5">
        <f t="shared" si="82"/>
        <v>137.5</v>
      </c>
      <c r="AE80" s="5">
        <f t="shared" si="82"/>
        <v>137.5</v>
      </c>
    </row>
    <row r="81" spans="5:31" x14ac:dyDescent="0.25">
      <c r="E81" s="5"/>
      <c r="F81" s="5"/>
      <c r="G81" s="5"/>
      <c r="H81" s="5"/>
      <c r="I81" s="5"/>
      <c r="J81" s="5"/>
      <c r="L81">
        <v>223</v>
      </c>
      <c r="M81" s="8">
        <v>0.6</v>
      </c>
      <c r="N81" t="s">
        <v>159</v>
      </c>
      <c r="O81" t="s">
        <v>155</v>
      </c>
      <c r="P81" s="5">
        <f>SUM(P47:P60)</f>
        <v>259.35000000000002</v>
      </c>
      <c r="Q81" s="5">
        <f t="shared" ref="Q81:AE81" si="83">SUM(Q47:Q60)</f>
        <v>259.35000000000002</v>
      </c>
      <c r="R81" s="5">
        <f t="shared" si="83"/>
        <v>259.35000000000002</v>
      </c>
      <c r="S81" s="5">
        <f t="shared" si="83"/>
        <v>259.35000000000002</v>
      </c>
      <c r="T81" s="5">
        <f t="shared" si="83"/>
        <v>325.61325000000005</v>
      </c>
      <c r="U81" s="5">
        <f t="shared" si="83"/>
        <v>325.61325000000005</v>
      </c>
      <c r="V81" s="5">
        <f t="shared" si="83"/>
        <v>325.61325000000005</v>
      </c>
      <c r="W81" s="5">
        <f t="shared" si="83"/>
        <v>325.61325000000005</v>
      </c>
      <c r="X81" s="5">
        <f t="shared" si="83"/>
        <v>391.83675000000005</v>
      </c>
      <c r="Y81" s="5">
        <f t="shared" si="83"/>
        <v>391.83675000000005</v>
      </c>
      <c r="Z81" s="5">
        <f t="shared" si="83"/>
        <v>391.83675000000005</v>
      </c>
      <c r="AA81" s="5">
        <f t="shared" si="83"/>
        <v>391.83675000000005</v>
      </c>
      <c r="AB81" s="5">
        <f t="shared" si="83"/>
        <v>458.1</v>
      </c>
      <c r="AC81" s="5">
        <f t="shared" si="83"/>
        <v>458.1</v>
      </c>
      <c r="AD81" s="5">
        <f t="shared" si="83"/>
        <v>458.1</v>
      </c>
      <c r="AE81" s="5">
        <f t="shared" si="83"/>
        <v>458.1</v>
      </c>
    </row>
    <row r="82" spans="5:31" x14ac:dyDescent="0.25">
      <c r="E82" s="5"/>
      <c r="F82" s="5"/>
      <c r="G82" s="5"/>
      <c r="H82" s="5"/>
      <c r="I82" s="5"/>
      <c r="J82" s="5"/>
      <c r="L82">
        <v>224</v>
      </c>
      <c r="M82" s="8">
        <f>1.15*25.4</f>
        <v>29.209999999999997</v>
      </c>
      <c r="N82" t="s">
        <v>160</v>
      </c>
      <c r="O82" t="s">
        <v>156</v>
      </c>
      <c r="P82" s="5">
        <f>SUM(P61:P75)</f>
        <v>247.15000000000006</v>
      </c>
      <c r="Q82" s="5">
        <f t="shared" ref="Q82:AE82" si="84">SUM(Q61:Q75)</f>
        <v>322.81513000000001</v>
      </c>
      <c r="R82" s="5">
        <f t="shared" si="84"/>
        <v>398.4348700000001</v>
      </c>
      <c r="S82" s="5">
        <f t="shared" si="84"/>
        <v>474.10000000000008</v>
      </c>
      <c r="T82" s="5">
        <f t="shared" si="84"/>
        <v>247.15000000000006</v>
      </c>
      <c r="U82" s="5">
        <f t="shared" si="84"/>
        <v>322.81513000000001</v>
      </c>
      <c r="V82" s="5">
        <f t="shared" si="84"/>
        <v>398.4348700000001</v>
      </c>
      <c r="W82" s="5">
        <f t="shared" si="84"/>
        <v>474.10000000000008</v>
      </c>
      <c r="X82" s="5">
        <f t="shared" si="84"/>
        <v>247.15000000000006</v>
      </c>
      <c r="Y82" s="5">
        <f t="shared" si="84"/>
        <v>322.81513000000001</v>
      </c>
      <c r="Z82" s="5">
        <f t="shared" si="84"/>
        <v>398.4348700000001</v>
      </c>
      <c r="AA82" s="5">
        <f t="shared" si="84"/>
        <v>474.10000000000008</v>
      </c>
      <c r="AB82" s="5">
        <f t="shared" si="84"/>
        <v>247.15000000000006</v>
      </c>
      <c r="AC82" s="5">
        <f t="shared" si="84"/>
        <v>322.81513000000001</v>
      </c>
      <c r="AD82" s="5">
        <f t="shared" si="84"/>
        <v>398.4348700000001</v>
      </c>
      <c r="AE82" s="5">
        <f t="shared" si="84"/>
        <v>474.10000000000008</v>
      </c>
    </row>
    <row r="83" spans="5:31" x14ac:dyDescent="0.25">
      <c r="E83" s="5"/>
      <c r="F83" s="5"/>
      <c r="G83" s="5"/>
      <c r="H83" s="5"/>
      <c r="I83" s="5"/>
      <c r="J83" s="5"/>
      <c r="L83">
        <v>225</v>
      </c>
      <c r="M83" s="8">
        <f>0.01*25.4</f>
        <v>0.254</v>
      </c>
      <c r="N83" s="8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5:31" x14ac:dyDescent="0.25">
      <c r="E84" s="5"/>
      <c r="F84" s="5"/>
      <c r="G84" s="5"/>
      <c r="H84" s="5"/>
      <c r="I84" s="5"/>
      <c r="J84" s="5"/>
      <c r="L84">
        <v>262</v>
      </c>
      <c r="M84" s="8">
        <f>0.57*25.4</f>
        <v>14.477999999999998</v>
      </c>
      <c r="N84" s="8"/>
      <c r="O84" t="s">
        <v>132</v>
      </c>
      <c r="P84" s="5">
        <f>SUM(P79:P82)</f>
        <v>856.10000000000014</v>
      </c>
      <c r="Q84" s="5">
        <f t="shared" ref="Q84:AE84" si="85">SUM(Q79:Q82)</f>
        <v>931.76513</v>
      </c>
      <c r="R84" s="5">
        <f t="shared" si="85"/>
        <v>1007.3848700000001</v>
      </c>
      <c r="S84" s="5">
        <f t="shared" si="85"/>
        <v>1083.0500000000002</v>
      </c>
      <c r="T84" s="5">
        <f t="shared" si="85"/>
        <v>922.36325000000011</v>
      </c>
      <c r="U84" s="5">
        <f t="shared" si="85"/>
        <v>998.02837999999997</v>
      </c>
      <c r="V84" s="5">
        <f t="shared" si="85"/>
        <v>1073.6481200000001</v>
      </c>
      <c r="W84" s="5">
        <f t="shared" si="85"/>
        <v>1149.3132500000002</v>
      </c>
      <c r="X84" s="5">
        <f t="shared" si="85"/>
        <v>988.58675000000017</v>
      </c>
      <c r="Y84" s="5">
        <f t="shared" si="85"/>
        <v>1064.25188</v>
      </c>
      <c r="Z84" s="5">
        <f t="shared" si="85"/>
        <v>1139.8716200000001</v>
      </c>
      <c r="AA84" s="5">
        <f t="shared" si="85"/>
        <v>1215.5367500000002</v>
      </c>
      <c r="AB84" s="5">
        <f t="shared" si="85"/>
        <v>1054.8500000000001</v>
      </c>
      <c r="AC84" s="5">
        <f t="shared" si="85"/>
        <v>1130.51513</v>
      </c>
      <c r="AD84" s="5">
        <f t="shared" si="85"/>
        <v>1206.1348700000001</v>
      </c>
      <c r="AE84" s="5">
        <f t="shared" si="85"/>
        <v>1281.8000000000002</v>
      </c>
    </row>
    <row r="85" spans="5:31" x14ac:dyDescent="0.25">
      <c r="E85" s="5"/>
      <c r="F85" s="5"/>
      <c r="G85" s="5"/>
      <c r="H85" s="5"/>
      <c r="I85" s="5"/>
      <c r="J85" s="5"/>
      <c r="L85">
        <v>274</v>
      </c>
      <c r="M85" s="8">
        <f>0.77*25.4</f>
        <v>19.558</v>
      </c>
      <c r="N85" s="8"/>
      <c r="P85" s="5" t="s">
        <v>136</v>
      </c>
      <c r="Q85" s="5" t="s">
        <v>137</v>
      </c>
      <c r="R85" t="s">
        <v>138</v>
      </c>
      <c r="S85" t="s">
        <v>139</v>
      </c>
      <c r="T85" t="s">
        <v>140</v>
      </c>
      <c r="U85" t="s">
        <v>141</v>
      </c>
      <c r="V85" t="s">
        <v>142</v>
      </c>
      <c r="W85" t="s">
        <v>143</v>
      </c>
      <c r="X85" t="s">
        <v>144</v>
      </c>
      <c r="Y85" t="s">
        <v>145</v>
      </c>
      <c r="Z85" t="s">
        <v>146</v>
      </c>
      <c r="AA85" t="s">
        <v>147</v>
      </c>
      <c r="AB85" t="s">
        <v>148</v>
      </c>
      <c r="AC85" t="s">
        <v>149</v>
      </c>
      <c r="AD85" t="s">
        <v>150</v>
      </c>
      <c r="AE85" t="s">
        <v>151</v>
      </c>
    </row>
    <row r="86" spans="5:31" x14ac:dyDescent="0.25">
      <c r="E86" s="5"/>
      <c r="F86" s="5"/>
      <c r="G86" s="5"/>
      <c r="H86" s="5"/>
      <c r="I86" s="5"/>
      <c r="J86" s="5"/>
      <c r="L86">
        <v>275</v>
      </c>
      <c r="M86" s="8">
        <f>1.85*25.4</f>
        <v>46.99</v>
      </c>
      <c r="N86" s="8"/>
    </row>
    <row r="87" spans="5:31" x14ac:dyDescent="0.25">
      <c r="E87" s="5"/>
      <c r="F87" s="5"/>
      <c r="G87" s="5"/>
      <c r="H87" s="5"/>
      <c r="I87" s="5"/>
      <c r="J87" s="5"/>
      <c r="L87">
        <v>280</v>
      </c>
      <c r="M87" s="8">
        <f>0.47*25.4</f>
        <v>11.937999999999999</v>
      </c>
      <c r="N87" s="8"/>
    </row>
    <row r="88" spans="5:31" x14ac:dyDescent="0.25">
      <c r="E88" s="5"/>
      <c r="F88" s="5"/>
      <c r="G88" s="5"/>
      <c r="H88" s="5"/>
      <c r="I88" s="5"/>
      <c r="J88" s="5"/>
      <c r="L88">
        <v>285</v>
      </c>
      <c r="M88" s="8">
        <f>0.04*25.4</f>
        <v>1.016</v>
      </c>
      <c r="N88" s="8"/>
    </row>
    <row r="89" spans="5:31" x14ac:dyDescent="0.25">
      <c r="E89" s="5"/>
      <c r="F89" s="5"/>
      <c r="G89" s="5"/>
      <c r="H89" s="5"/>
      <c r="I89" s="5"/>
      <c r="J89" s="5"/>
      <c r="L89">
        <v>286</v>
      </c>
      <c r="M89" s="8">
        <f>0.93*25.4</f>
        <v>23.622</v>
      </c>
      <c r="N89" s="8"/>
    </row>
    <row r="90" spans="5:31" x14ac:dyDescent="0.25">
      <c r="E90" s="5"/>
      <c r="F90" s="5"/>
      <c r="G90" s="5"/>
      <c r="H90" s="5"/>
      <c r="I90" s="5"/>
      <c r="J90" s="5"/>
      <c r="M90" s="8">
        <f>SUM(M72:M89)</f>
        <v>206.67199999999997</v>
      </c>
      <c r="N90" s="8"/>
    </row>
    <row r="91" spans="5:31" x14ac:dyDescent="0.25">
      <c r="E91" s="5"/>
      <c r="F91" s="5"/>
      <c r="G91" s="5"/>
      <c r="H91" s="5"/>
      <c r="I91" s="5"/>
      <c r="J91" s="5"/>
    </row>
    <row r="92" spans="5:31" x14ac:dyDescent="0.25">
      <c r="E92" s="5"/>
      <c r="F92" s="5"/>
      <c r="G92" s="5"/>
      <c r="H92" s="5"/>
      <c r="I92" s="5"/>
      <c r="J92" s="5"/>
    </row>
    <row r="93" spans="5:31" x14ac:dyDescent="0.25">
      <c r="E93" s="5"/>
      <c r="F93" s="5"/>
      <c r="G93" s="5"/>
      <c r="H93" s="5"/>
      <c r="I93" s="5"/>
      <c r="J93" s="5"/>
    </row>
    <row r="94" spans="5:31" x14ac:dyDescent="0.25">
      <c r="E94" s="5"/>
      <c r="F94" s="5"/>
      <c r="G94" s="5"/>
      <c r="H94" s="5"/>
      <c r="I94" s="5"/>
      <c r="J94" s="5"/>
    </row>
    <row r="95" spans="5:31" x14ac:dyDescent="0.25">
      <c r="E95" s="5"/>
      <c r="F95" s="5"/>
      <c r="G95" s="5"/>
      <c r="H95" s="5"/>
      <c r="I95" s="5"/>
      <c r="J95" s="5"/>
    </row>
    <row r="96" spans="5:31" x14ac:dyDescent="0.25">
      <c r="E96" s="5"/>
      <c r="F96" s="5"/>
      <c r="G96" s="5"/>
      <c r="H96" s="5"/>
      <c r="I96" s="5"/>
      <c r="J96" s="5"/>
    </row>
    <row r="97" spans="5:10" x14ac:dyDescent="0.25">
      <c r="E97" s="5"/>
      <c r="F97" s="5"/>
      <c r="G97" s="5"/>
      <c r="H97" s="5"/>
      <c r="I97" s="5"/>
      <c r="J97" s="5"/>
    </row>
    <row r="98" spans="5:10" x14ac:dyDescent="0.25">
      <c r="E98" s="5"/>
      <c r="F98" s="5"/>
      <c r="G98" s="5"/>
      <c r="H98" s="5"/>
      <c r="I98" s="5"/>
      <c r="J98" s="5"/>
    </row>
    <row r="99" spans="5:10" x14ac:dyDescent="0.25">
      <c r="E99" s="5"/>
      <c r="F99" s="5"/>
      <c r="G99" s="5"/>
      <c r="H99" s="5"/>
      <c r="I99" s="5"/>
      <c r="J99" s="5"/>
    </row>
    <row r="100" spans="5:10" x14ac:dyDescent="0.25">
      <c r="E100" s="5"/>
      <c r="F100" s="5"/>
      <c r="G100" s="5"/>
      <c r="H100" s="5"/>
      <c r="I100" s="5"/>
      <c r="J100" s="5"/>
    </row>
    <row r="101" spans="5:10" x14ac:dyDescent="0.25">
      <c r="E101" s="5"/>
      <c r="F101" s="5"/>
      <c r="G101" s="5"/>
      <c r="H101" s="5"/>
      <c r="I101" s="5"/>
      <c r="J101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28"/>
  <sheetViews>
    <sheetView workbookViewId="0"/>
  </sheetViews>
  <sheetFormatPr defaultRowHeight="15" x14ac:dyDescent="0.25"/>
  <sheetData>
    <row r="2" spans="1:13" x14ac:dyDescent="0.25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I2" t="s">
        <v>104</v>
      </c>
    </row>
    <row r="3" spans="1:13" x14ac:dyDescent="0.25">
      <c r="A3" t="s">
        <v>105</v>
      </c>
      <c r="B3" t="s">
        <v>106</v>
      </c>
      <c r="E3" t="s">
        <v>107</v>
      </c>
      <c r="F3" t="s">
        <v>108</v>
      </c>
      <c r="I3" t="s">
        <v>105</v>
      </c>
    </row>
    <row r="4" spans="1:13" x14ac:dyDescent="0.25">
      <c r="L4" t="s">
        <v>109</v>
      </c>
    </row>
    <row r="5" spans="1:13" x14ac:dyDescent="0.2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>
        <v>1</v>
      </c>
      <c r="G5" t="s">
        <v>115</v>
      </c>
      <c r="I5" t="s">
        <v>116</v>
      </c>
      <c r="L5">
        <v>67</v>
      </c>
      <c r="M5" t="s">
        <v>117</v>
      </c>
    </row>
    <row r="6" spans="1:13" x14ac:dyDescent="0.25">
      <c r="A6" t="s">
        <v>118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I6" t="s">
        <v>124</v>
      </c>
      <c r="L6">
        <v>3.5</v>
      </c>
      <c r="M6" t="s">
        <v>125</v>
      </c>
    </row>
    <row r="7" spans="1:13" x14ac:dyDescent="0.25">
      <c r="L7">
        <f>L5*L6</f>
        <v>234.5</v>
      </c>
    </row>
    <row r="8" spans="1:13" x14ac:dyDescent="0.25">
      <c r="L8">
        <v>60</v>
      </c>
      <c r="M8" t="s">
        <v>126</v>
      </c>
    </row>
    <row r="9" spans="1:13" x14ac:dyDescent="0.25">
      <c r="A9" t="s">
        <v>127</v>
      </c>
      <c r="L9">
        <f>L7-L8</f>
        <v>174.5</v>
      </c>
      <c r="M9" t="s">
        <v>128</v>
      </c>
    </row>
    <row r="10" spans="1:13" x14ac:dyDescent="0.25">
      <c r="A10">
        <v>30</v>
      </c>
      <c r="B10">
        <v>3.55</v>
      </c>
      <c r="C10">
        <v>1</v>
      </c>
      <c r="D10">
        <v>1</v>
      </c>
      <c r="E10">
        <v>1</v>
      </c>
      <c r="F10">
        <v>1</v>
      </c>
      <c r="G10">
        <v>10000</v>
      </c>
      <c r="H10">
        <f>PRODUCT(A10:G10)</f>
        <v>1065000</v>
      </c>
      <c r="I10" s="7">
        <f>H10/H11</f>
        <v>39.307891938512988</v>
      </c>
    </row>
    <row r="11" spans="1:13" x14ac:dyDescent="0.25">
      <c r="A11">
        <v>1</v>
      </c>
      <c r="B11">
        <v>1</v>
      </c>
      <c r="C11">
        <v>2.2046199999999998</v>
      </c>
      <c r="D11">
        <v>3600</v>
      </c>
      <c r="E11">
        <v>9.7391444562556599E-3</v>
      </c>
      <c r="F11">
        <f>345*1.016</f>
        <v>350.52</v>
      </c>
      <c r="G11">
        <v>1</v>
      </c>
      <c r="H11">
        <f>PRODUCT(A11:G11)</f>
        <v>27093.795863332394</v>
      </c>
    </row>
    <row r="14" spans="1:13" x14ac:dyDescent="0.25">
      <c r="A14" t="s">
        <v>129</v>
      </c>
    </row>
    <row r="15" spans="1:13" x14ac:dyDescent="0.25">
      <c r="A15">
        <v>31.6</v>
      </c>
      <c r="B15">
        <v>3.55</v>
      </c>
      <c r="C15">
        <v>1</v>
      </c>
      <c r="D15">
        <v>1</v>
      </c>
      <c r="E15">
        <v>1</v>
      </c>
      <c r="F15">
        <v>1</v>
      </c>
      <c r="G15">
        <v>10000</v>
      </c>
      <c r="H15">
        <f>PRODUCT(A15:G15)</f>
        <v>1121800</v>
      </c>
      <c r="I15" s="7">
        <f>H15/H16</f>
        <v>41.404312841900349</v>
      </c>
    </row>
    <row r="16" spans="1:13" x14ac:dyDescent="0.25">
      <c r="A16">
        <v>1</v>
      </c>
      <c r="B16">
        <v>1</v>
      </c>
      <c r="C16">
        <v>2.2046199999999998</v>
      </c>
      <c r="D16">
        <v>3600</v>
      </c>
      <c r="E16">
        <v>9.7391444562556599E-3</v>
      </c>
      <c r="F16">
        <f>345*1.016</f>
        <v>350.52</v>
      </c>
      <c r="G16">
        <v>1</v>
      </c>
      <c r="H16">
        <f>PRODUCT(A16:G16)</f>
        <v>27093.795863332394</v>
      </c>
    </row>
    <row r="19" spans="1:11" x14ac:dyDescent="0.25">
      <c r="A19" t="s">
        <v>130</v>
      </c>
    </row>
    <row r="20" spans="1:11" x14ac:dyDescent="0.25">
      <c r="A20">
        <v>40.5</v>
      </c>
      <c r="B20">
        <v>3.55</v>
      </c>
      <c r="C20">
        <v>1</v>
      </c>
      <c r="D20">
        <v>1</v>
      </c>
      <c r="E20">
        <v>1</v>
      </c>
      <c r="F20">
        <v>1</v>
      </c>
      <c r="G20">
        <v>10000</v>
      </c>
      <c r="H20">
        <f>PRODUCT(A20:G20)</f>
        <v>1437750</v>
      </c>
      <c r="I20" s="7">
        <f>H20/H21</f>
        <v>53.065654116992533</v>
      </c>
    </row>
    <row r="21" spans="1:11" x14ac:dyDescent="0.25">
      <c r="A21">
        <v>1</v>
      </c>
      <c r="B21">
        <v>1</v>
      </c>
      <c r="C21">
        <v>2.2046199999999998</v>
      </c>
      <c r="D21">
        <v>3600</v>
      </c>
      <c r="E21">
        <v>9.7391444562556599E-3</v>
      </c>
      <c r="F21">
        <f>345*1.016</f>
        <v>350.52</v>
      </c>
      <c r="G21">
        <v>1</v>
      </c>
      <c r="H21">
        <f>PRODUCT(A21:G21)</f>
        <v>27093.795863332394</v>
      </c>
    </row>
    <row r="24" spans="1:11" x14ac:dyDescent="0.25">
      <c r="A24" t="s">
        <v>131</v>
      </c>
    </row>
    <row r="25" spans="1:11" x14ac:dyDescent="0.25">
      <c r="A25">
        <v>34.700000000000003</v>
      </c>
      <c r="B25">
        <v>3.55</v>
      </c>
      <c r="C25">
        <v>1</v>
      </c>
      <c r="D25">
        <v>1</v>
      </c>
      <c r="E25">
        <v>1</v>
      </c>
      <c r="F25">
        <v>1</v>
      </c>
      <c r="G25">
        <v>10000</v>
      </c>
      <c r="H25">
        <f>PRODUCT(A25:G25)</f>
        <v>1231850</v>
      </c>
      <c r="I25" s="7">
        <f>H25/H26</f>
        <v>45.466128342213359</v>
      </c>
    </row>
    <row r="26" spans="1:11" x14ac:dyDescent="0.25">
      <c r="A26">
        <v>1</v>
      </c>
      <c r="B26">
        <v>1</v>
      </c>
      <c r="C26">
        <v>2.2046199999999998</v>
      </c>
      <c r="D26">
        <v>3600</v>
      </c>
      <c r="E26">
        <v>9.7391444562556599E-3</v>
      </c>
      <c r="F26">
        <f>345*1.016</f>
        <v>350.52</v>
      </c>
      <c r="G26">
        <v>1</v>
      </c>
      <c r="H26">
        <f>PRODUCT(A26:G26)</f>
        <v>27093.795863332394</v>
      </c>
    </row>
    <row r="28" spans="1:11" x14ac:dyDescent="0.25">
      <c r="I28" s="7">
        <f>SUM(I10:I25)</f>
        <v>179.24398723961923</v>
      </c>
      <c r="K28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/>
  </sheetViews>
  <sheetFormatPr defaultRowHeight="15" x14ac:dyDescent="0.25"/>
  <cols>
    <col min="1" max="1" width="10.7109375" bestFit="1" customWidth="1"/>
  </cols>
  <sheetData>
    <row r="1" spans="1:2" x14ac:dyDescent="0.25">
      <c r="A1">
        <v>2018</v>
      </c>
    </row>
    <row r="3" spans="1:2" x14ac:dyDescent="0.25">
      <c r="A3" s="2">
        <v>43161</v>
      </c>
      <c r="B3" t="s">
        <v>0</v>
      </c>
    </row>
    <row r="4" spans="1:2" x14ac:dyDescent="0.25">
      <c r="A4" s="2">
        <v>43171</v>
      </c>
      <c r="B4" t="s">
        <v>1</v>
      </c>
    </row>
    <row r="5" spans="1:2" x14ac:dyDescent="0.25">
      <c r="A5" s="2">
        <v>43172</v>
      </c>
      <c r="B5" t="s">
        <v>2</v>
      </c>
    </row>
    <row r="6" spans="1:2" x14ac:dyDescent="0.25">
      <c r="A6" s="2">
        <v>43179</v>
      </c>
      <c r="B6" t="s">
        <v>3</v>
      </c>
    </row>
    <row r="7" spans="1:2" x14ac:dyDescent="0.25">
      <c r="A7" s="2">
        <v>43180</v>
      </c>
      <c r="B7" t="s">
        <v>4</v>
      </c>
    </row>
    <row r="8" spans="1:2" x14ac:dyDescent="0.25">
      <c r="A8" s="2">
        <v>43181</v>
      </c>
      <c r="B8" t="s">
        <v>7</v>
      </c>
    </row>
    <row r="9" spans="1:2" x14ac:dyDescent="0.25">
      <c r="A9" s="2">
        <v>43196</v>
      </c>
      <c r="B9" t="s">
        <v>8</v>
      </c>
    </row>
    <row r="10" spans="1:2" x14ac:dyDescent="0.25">
      <c r="A10" s="2">
        <v>43199</v>
      </c>
      <c r="B10" t="s">
        <v>9</v>
      </c>
    </row>
    <row r="11" spans="1:2" x14ac:dyDescent="0.25">
      <c r="A11" s="2">
        <v>43201</v>
      </c>
      <c r="B11" t="s">
        <v>10</v>
      </c>
    </row>
    <row r="12" spans="1:2" x14ac:dyDescent="0.25">
      <c r="A12" s="2">
        <v>43202</v>
      </c>
      <c r="B12" t="s">
        <v>11</v>
      </c>
    </row>
    <row r="13" spans="1:2" x14ac:dyDescent="0.25">
      <c r="A13" s="2">
        <v>43206</v>
      </c>
      <c r="B13" t="s">
        <v>12</v>
      </c>
    </row>
    <row r="14" spans="1:2" x14ac:dyDescent="0.25">
      <c r="A14" s="2">
        <v>43208</v>
      </c>
      <c r="B14" t="s">
        <v>13</v>
      </c>
    </row>
    <row r="15" spans="1:2" x14ac:dyDescent="0.25">
      <c r="A15" s="2">
        <v>43209</v>
      </c>
      <c r="B15" t="s">
        <v>14</v>
      </c>
    </row>
    <row r="16" spans="1:2" x14ac:dyDescent="0.25">
      <c r="A16" s="2">
        <v>43216</v>
      </c>
      <c r="B16" t="s">
        <v>15</v>
      </c>
    </row>
    <row r="17" spans="1:2" x14ac:dyDescent="0.25">
      <c r="A17" s="2">
        <v>43220</v>
      </c>
      <c r="B17" t="s">
        <v>16</v>
      </c>
    </row>
    <row r="18" spans="1:2" x14ac:dyDescent="0.25">
      <c r="A18" s="2" t="s">
        <v>17</v>
      </c>
      <c r="B18" t="s">
        <v>18</v>
      </c>
    </row>
    <row r="19" spans="1:2" x14ac:dyDescent="0.25">
      <c r="A19" t="s">
        <v>19</v>
      </c>
      <c r="B19" t="s">
        <v>20</v>
      </c>
    </row>
    <row r="20" spans="1:2" x14ac:dyDescent="0.25">
      <c r="A20" s="2">
        <v>43242</v>
      </c>
      <c r="B20" t="s">
        <v>21</v>
      </c>
    </row>
    <row r="21" spans="1:2" x14ac:dyDescent="0.25">
      <c r="A21" s="2">
        <v>43285</v>
      </c>
      <c r="B21" t="s">
        <v>22</v>
      </c>
    </row>
    <row r="22" spans="1:2" x14ac:dyDescent="0.25">
      <c r="A22" s="2">
        <v>43295</v>
      </c>
      <c r="B22" t="s">
        <v>23</v>
      </c>
    </row>
    <row r="23" spans="1:2" x14ac:dyDescent="0.25">
      <c r="A23" s="2">
        <v>43299</v>
      </c>
      <c r="B23" t="s">
        <v>22</v>
      </c>
    </row>
    <row r="24" spans="1:2" x14ac:dyDescent="0.25">
      <c r="A24" s="2">
        <v>43309</v>
      </c>
      <c r="B24" t="s">
        <v>23</v>
      </c>
    </row>
    <row r="25" spans="1:2" x14ac:dyDescent="0.25">
      <c r="A25" s="2">
        <v>43351</v>
      </c>
      <c r="B25" t="s">
        <v>25</v>
      </c>
    </row>
    <row r="26" spans="1:2" x14ac:dyDescent="0.25">
      <c r="A26" s="2">
        <v>43358</v>
      </c>
      <c r="B26" t="s">
        <v>22</v>
      </c>
    </row>
    <row r="27" spans="1:2" x14ac:dyDescent="0.25">
      <c r="A27" s="2">
        <v>43371</v>
      </c>
      <c r="B27" t="s">
        <v>24</v>
      </c>
    </row>
    <row r="28" spans="1:2" x14ac:dyDescent="0.25">
      <c r="A28" s="2">
        <v>43392</v>
      </c>
      <c r="B28" t="s">
        <v>24</v>
      </c>
    </row>
    <row r="29" spans="1:2" x14ac:dyDescent="0.25">
      <c r="A29" s="2">
        <v>43403</v>
      </c>
      <c r="B29" t="s">
        <v>133</v>
      </c>
    </row>
    <row r="30" spans="1:2" x14ac:dyDescent="0.25">
      <c r="A30" s="2">
        <v>43412</v>
      </c>
      <c r="B30" t="s">
        <v>134</v>
      </c>
    </row>
    <row r="31" spans="1:2" x14ac:dyDescent="0.25">
      <c r="A31" s="2">
        <v>43413</v>
      </c>
      <c r="B31" t="s">
        <v>26</v>
      </c>
    </row>
    <row r="32" spans="1:2" x14ac:dyDescent="0.25">
      <c r="A32" t="s">
        <v>135</v>
      </c>
      <c r="B32" t="s">
        <v>27</v>
      </c>
    </row>
    <row r="33" spans="1:2" x14ac:dyDescent="0.25">
      <c r="A33" s="2">
        <v>43423</v>
      </c>
      <c r="B33" t="s">
        <v>28</v>
      </c>
    </row>
    <row r="34" spans="1:2" x14ac:dyDescent="0.25">
      <c r="A34" s="2">
        <v>43424</v>
      </c>
      <c r="B34" t="s">
        <v>29</v>
      </c>
    </row>
    <row r="35" spans="1:2" x14ac:dyDescent="0.25">
      <c r="B35" t="s">
        <v>30</v>
      </c>
    </row>
    <row r="36" spans="1:2" x14ac:dyDescent="0.25">
      <c r="B36" t="s">
        <v>5</v>
      </c>
    </row>
    <row r="37" spans="1:2" x14ac:dyDescent="0.25">
      <c r="A37" s="2">
        <v>43432</v>
      </c>
      <c r="B37" t="s">
        <v>6</v>
      </c>
    </row>
    <row r="38" spans="1:2" x14ac:dyDescent="0.25">
      <c r="A38" s="2">
        <v>43438</v>
      </c>
      <c r="B38" t="s">
        <v>31</v>
      </c>
    </row>
    <row r="39" spans="1:2" x14ac:dyDescent="0.25">
      <c r="A39" s="2">
        <v>43439</v>
      </c>
      <c r="B39" t="s">
        <v>5</v>
      </c>
    </row>
    <row r="40" spans="1:2" x14ac:dyDescent="0.25">
      <c r="B40" t="s">
        <v>32</v>
      </c>
    </row>
    <row r="42" spans="1:2" x14ac:dyDescent="0.25">
      <c r="A42" t="s">
        <v>33</v>
      </c>
    </row>
    <row r="43" spans="1:2" x14ac:dyDescent="0.25">
      <c r="A43" t="s">
        <v>34</v>
      </c>
    </row>
    <row r="44" spans="1:2" x14ac:dyDescent="0.25">
      <c r="A44" t="s">
        <v>35</v>
      </c>
    </row>
    <row r="45" spans="1:2" x14ac:dyDescent="0.25">
      <c r="A45" t="s">
        <v>36</v>
      </c>
    </row>
    <row r="46" spans="1:2" x14ac:dyDescent="0.25">
      <c r="A46" t="s">
        <v>37</v>
      </c>
    </row>
    <row r="47" spans="1:2" x14ac:dyDescent="0.25">
      <c r="A47" t="s">
        <v>38</v>
      </c>
    </row>
    <row r="48" spans="1:2" x14ac:dyDescent="0.25">
      <c r="A48" t="s">
        <v>39</v>
      </c>
    </row>
    <row r="49" spans="1:2" x14ac:dyDescent="0.25">
      <c r="A49" t="s">
        <v>40</v>
      </c>
    </row>
    <row r="50" spans="1:2" x14ac:dyDescent="0.25">
      <c r="A50" t="s">
        <v>41</v>
      </c>
    </row>
    <row r="51" spans="1:2" x14ac:dyDescent="0.25">
      <c r="A51" t="s">
        <v>42</v>
      </c>
    </row>
    <row r="52" spans="1:2" x14ac:dyDescent="0.25">
      <c r="A52" t="s">
        <v>43</v>
      </c>
    </row>
    <row r="53" spans="1:2" x14ac:dyDescent="0.25">
      <c r="B53" t="s">
        <v>44</v>
      </c>
    </row>
    <row r="54" spans="1:2" x14ac:dyDescent="0.25">
      <c r="B54" t="s">
        <v>45</v>
      </c>
    </row>
    <row r="55" spans="1:2" x14ac:dyDescent="0.25">
      <c r="B55" t="s">
        <v>46</v>
      </c>
    </row>
    <row r="56" spans="1:2" x14ac:dyDescent="0.25">
      <c r="B56" t="s">
        <v>47</v>
      </c>
    </row>
    <row r="57" spans="1:2" x14ac:dyDescent="0.25">
      <c r="B57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9313-9779-41B9-A88B-F1C6163C6E94}">
  <dimension ref="A1:R44"/>
  <sheetViews>
    <sheetView workbookViewId="0"/>
  </sheetViews>
  <sheetFormatPr defaultRowHeight="15" x14ac:dyDescent="0.25"/>
  <sheetData>
    <row r="1" spans="1:18" x14ac:dyDescent="0.25">
      <c r="A1" t="s">
        <v>163</v>
      </c>
      <c r="B1" t="s">
        <v>49</v>
      </c>
      <c r="C1" s="5" t="s">
        <v>136</v>
      </c>
      <c r="D1" s="5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</row>
    <row r="2" spans="1:18" x14ac:dyDescent="0.25">
      <c r="A2">
        <v>2018</v>
      </c>
      <c r="B2">
        <v>81</v>
      </c>
      <c r="C2" s="5">
        <v>23.4</v>
      </c>
      <c r="D2" s="5">
        <v>23.4</v>
      </c>
      <c r="E2" s="5">
        <v>23.4</v>
      </c>
      <c r="F2" s="5">
        <v>23.4</v>
      </c>
      <c r="G2" s="5">
        <v>23.4</v>
      </c>
      <c r="H2" s="5">
        <v>23.4</v>
      </c>
      <c r="I2" s="5">
        <v>23.4</v>
      </c>
      <c r="J2" s="5">
        <v>23.4</v>
      </c>
      <c r="K2" s="5">
        <v>23.4</v>
      </c>
      <c r="L2" s="5">
        <v>23.4</v>
      </c>
      <c r="M2" s="5">
        <v>23.4</v>
      </c>
      <c r="N2" s="5">
        <v>23.4</v>
      </c>
      <c r="O2" s="5">
        <v>23.4</v>
      </c>
      <c r="P2" s="5">
        <v>23.4</v>
      </c>
      <c r="Q2" s="5">
        <v>23.4</v>
      </c>
      <c r="R2" s="5">
        <v>23.4</v>
      </c>
    </row>
    <row r="3" spans="1:18" x14ac:dyDescent="0.25">
      <c r="A3">
        <v>2018</v>
      </c>
      <c r="B3">
        <v>82</v>
      </c>
      <c r="C3" s="5">
        <v>25.5</v>
      </c>
      <c r="D3" s="5">
        <v>25.5</v>
      </c>
      <c r="E3" s="5">
        <v>25.5</v>
      </c>
      <c r="F3" s="5">
        <v>25.5</v>
      </c>
      <c r="G3" s="5">
        <v>25.5</v>
      </c>
      <c r="H3" s="5">
        <v>25.5</v>
      </c>
      <c r="I3" s="5">
        <v>25.5</v>
      </c>
      <c r="J3" s="5">
        <v>25.5</v>
      </c>
      <c r="K3" s="5">
        <v>25.5</v>
      </c>
      <c r="L3" s="5">
        <v>25.5</v>
      </c>
      <c r="M3" s="5">
        <v>25.5</v>
      </c>
      <c r="N3" s="5">
        <v>25.5</v>
      </c>
      <c r="O3" s="5">
        <v>25.5</v>
      </c>
      <c r="P3" s="5">
        <v>25.5</v>
      </c>
      <c r="Q3" s="5">
        <v>25.5</v>
      </c>
      <c r="R3" s="5">
        <v>25.5</v>
      </c>
    </row>
    <row r="4" spans="1:18" x14ac:dyDescent="0.25">
      <c r="A4">
        <v>2018</v>
      </c>
      <c r="B4">
        <v>85</v>
      </c>
      <c r="C4" s="5">
        <v>40.799999999999997</v>
      </c>
      <c r="D4" s="5">
        <v>40.799999999999997</v>
      </c>
      <c r="E4" s="5">
        <v>40.799999999999997</v>
      </c>
      <c r="F4" s="5">
        <v>40.799999999999997</v>
      </c>
      <c r="G4" s="5">
        <v>40.799999999999997</v>
      </c>
      <c r="H4" s="5">
        <v>40.799999999999997</v>
      </c>
      <c r="I4" s="5">
        <v>40.799999999999997</v>
      </c>
      <c r="J4" s="5">
        <v>40.799999999999997</v>
      </c>
      <c r="K4" s="5">
        <v>40.799999999999997</v>
      </c>
      <c r="L4" s="5">
        <v>40.799999999999997</v>
      </c>
      <c r="M4" s="5">
        <v>40.799999999999997</v>
      </c>
      <c r="N4" s="5">
        <v>40.799999999999997</v>
      </c>
      <c r="O4" s="5">
        <v>40.799999999999997</v>
      </c>
      <c r="P4" s="5">
        <v>40.799999999999997</v>
      </c>
      <c r="Q4" s="5">
        <v>40.799999999999997</v>
      </c>
      <c r="R4" s="5">
        <v>40.799999999999997</v>
      </c>
    </row>
    <row r="5" spans="1:18" x14ac:dyDescent="0.25">
      <c r="A5">
        <v>2018</v>
      </c>
      <c r="B5">
        <v>86</v>
      </c>
      <c r="C5" s="5">
        <v>40.799999999999997</v>
      </c>
      <c r="D5" s="5">
        <v>40.799999999999997</v>
      </c>
      <c r="E5" s="5">
        <v>40.799999999999997</v>
      </c>
      <c r="F5" s="5">
        <v>40.799999999999997</v>
      </c>
      <c r="G5" s="5">
        <v>40.799999999999997</v>
      </c>
      <c r="H5" s="5">
        <v>40.799999999999997</v>
      </c>
      <c r="I5" s="5">
        <v>40.799999999999997</v>
      </c>
      <c r="J5" s="5">
        <v>40.799999999999997</v>
      </c>
      <c r="K5" s="5">
        <v>40.799999999999997</v>
      </c>
      <c r="L5" s="5">
        <v>40.799999999999997</v>
      </c>
      <c r="M5" s="5">
        <v>40.799999999999997</v>
      </c>
      <c r="N5" s="5">
        <v>40.799999999999997</v>
      </c>
      <c r="O5" s="5">
        <v>40.799999999999997</v>
      </c>
      <c r="P5" s="5">
        <v>40.799999999999997</v>
      </c>
      <c r="Q5" s="5">
        <v>40.799999999999997</v>
      </c>
      <c r="R5" s="5">
        <v>40.799999999999997</v>
      </c>
    </row>
    <row r="6" spans="1:18" x14ac:dyDescent="0.25">
      <c r="A6">
        <v>2018</v>
      </c>
      <c r="B6">
        <v>87</v>
      </c>
      <c r="C6" s="5">
        <v>40.799999999999997</v>
      </c>
      <c r="D6" s="5">
        <v>40.799999999999997</v>
      </c>
      <c r="E6" s="5">
        <v>40.799999999999997</v>
      </c>
      <c r="F6" s="5">
        <v>40.799999999999997</v>
      </c>
      <c r="G6" s="5">
        <v>40.799999999999997</v>
      </c>
      <c r="H6" s="5">
        <v>40.799999999999997</v>
      </c>
      <c r="I6" s="5">
        <v>40.799999999999997</v>
      </c>
      <c r="J6" s="5">
        <v>40.799999999999997</v>
      </c>
      <c r="K6" s="5">
        <v>40.799999999999997</v>
      </c>
      <c r="L6" s="5">
        <v>40.799999999999997</v>
      </c>
      <c r="M6" s="5">
        <v>40.799999999999997</v>
      </c>
      <c r="N6" s="5">
        <v>40.799999999999997</v>
      </c>
      <c r="O6" s="5">
        <v>40.799999999999997</v>
      </c>
      <c r="P6" s="5">
        <v>40.799999999999997</v>
      </c>
      <c r="Q6" s="5">
        <v>40.799999999999997</v>
      </c>
      <c r="R6" s="5">
        <v>40.799999999999997</v>
      </c>
    </row>
    <row r="7" spans="1:18" x14ac:dyDescent="0.25">
      <c r="A7">
        <v>2018</v>
      </c>
      <c r="B7">
        <v>88</v>
      </c>
      <c r="C7" s="5">
        <v>40.799999999999997</v>
      </c>
      <c r="D7" s="5">
        <v>40.799999999999997</v>
      </c>
      <c r="E7" s="5">
        <v>40.799999999999997</v>
      </c>
      <c r="F7" s="5">
        <v>40.799999999999997</v>
      </c>
      <c r="G7" s="5">
        <v>40.799999999999997</v>
      </c>
      <c r="H7" s="5">
        <v>40.799999999999997</v>
      </c>
      <c r="I7" s="5">
        <v>40.799999999999997</v>
      </c>
      <c r="J7" s="5">
        <v>40.799999999999997</v>
      </c>
      <c r="K7" s="5">
        <v>40.799999999999997</v>
      </c>
      <c r="L7" s="5">
        <v>40.799999999999997</v>
      </c>
      <c r="M7" s="5">
        <v>40.799999999999997</v>
      </c>
      <c r="N7" s="5">
        <v>40.799999999999997</v>
      </c>
      <c r="O7" s="5">
        <v>40.799999999999997</v>
      </c>
      <c r="P7" s="5">
        <v>40.799999999999997</v>
      </c>
      <c r="Q7" s="5">
        <v>40.799999999999997</v>
      </c>
      <c r="R7" s="5">
        <v>40.799999999999997</v>
      </c>
    </row>
    <row r="8" spans="1:18" x14ac:dyDescent="0.25">
      <c r="A8">
        <v>2018</v>
      </c>
      <c r="B8">
        <v>102</v>
      </c>
      <c r="C8" s="5">
        <v>10.199999999999999</v>
      </c>
      <c r="D8" s="5">
        <v>10.199999999999999</v>
      </c>
      <c r="E8" s="5">
        <v>10.199999999999999</v>
      </c>
      <c r="F8" s="5">
        <v>10.199999999999999</v>
      </c>
      <c r="G8" s="5">
        <v>10.199999999999999</v>
      </c>
      <c r="H8" s="5">
        <v>10.199999999999999</v>
      </c>
      <c r="I8" s="5">
        <v>10.199999999999999</v>
      </c>
      <c r="J8" s="5">
        <v>10.199999999999999</v>
      </c>
      <c r="K8" s="5">
        <v>10.199999999999999</v>
      </c>
      <c r="L8" s="5">
        <v>10.199999999999999</v>
      </c>
      <c r="M8" s="5">
        <v>10.199999999999999</v>
      </c>
      <c r="N8" s="5">
        <v>10.199999999999999</v>
      </c>
      <c r="O8" s="5">
        <v>10.199999999999999</v>
      </c>
      <c r="P8" s="5">
        <v>10.199999999999999</v>
      </c>
      <c r="Q8" s="5">
        <v>10.199999999999999</v>
      </c>
      <c r="R8" s="5">
        <v>10.199999999999999</v>
      </c>
    </row>
    <row r="9" spans="1:18" x14ac:dyDescent="0.25">
      <c r="A9">
        <v>2018</v>
      </c>
      <c r="B9">
        <v>110</v>
      </c>
      <c r="C9" s="5">
        <v>20.399999999999999</v>
      </c>
      <c r="D9" s="5">
        <v>20.399999999999999</v>
      </c>
      <c r="E9" s="5">
        <v>20.399999999999999</v>
      </c>
      <c r="F9" s="5">
        <v>20.399999999999999</v>
      </c>
      <c r="G9" s="5">
        <v>20.399999999999999</v>
      </c>
      <c r="H9" s="5">
        <v>20.399999999999999</v>
      </c>
      <c r="I9" s="5">
        <v>20.399999999999999</v>
      </c>
      <c r="J9" s="5">
        <v>20.399999999999999</v>
      </c>
      <c r="K9" s="5">
        <v>20.399999999999999</v>
      </c>
      <c r="L9" s="5">
        <v>20.399999999999999</v>
      </c>
      <c r="M9" s="5">
        <v>20.399999999999999</v>
      </c>
      <c r="N9" s="5">
        <v>20.399999999999999</v>
      </c>
      <c r="O9" s="5">
        <v>20.399999999999999</v>
      </c>
      <c r="P9" s="5">
        <v>20.399999999999999</v>
      </c>
      <c r="Q9" s="5">
        <v>20.399999999999999</v>
      </c>
      <c r="R9" s="5">
        <v>20.399999999999999</v>
      </c>
    </row>
    <row r="10" spans="1:18" x14ac:dyDescent="0.25">
      <c r="A10">
        <v>2018</v>
      </c>
      <c r="B10">
        <v>114</v>
      </c>
      <c r="C10" s="5">
        <v>20.399999999999999</v>
      </c>
      <c r="D10" s="5">
        <v>20.399999999999999</v>
      </c>
      <c r="E10" s="5">
        <v>20.399999999999999</v>
      </c>
      <c r="F10" s="5">
        <v>20.399999999999999</v>
      </c>
      <c r="G10" s="5">
        <v>20.399999999999999</v>
      </c>
      <c r="H10" s="5">
        <v>20.399999999999999</v>
      </c>
      <c r="I10" s="5">
        <v>20.399999999999999</v>
      </c>
      <c r="J10" s="5">
        <v>20.399999999999999</v>
      </c>
      <c r="K10" s="5">
        <v>20.399999999999999</v>
      </c>
      <c r="L10" s="5">
        <v>20.399999999999999</v>
      </c>
      <c r="M10" s="5">
        <v>20.399999999999999</v>
      </c>
      <c r="N10" s="5">
        <v>20.399999999999999</v>
      </c>
      <c r="O10" s="5">
        <v>20.399999999999999</v>
      </c>
      <c r="P10" s="5">
        <v>20.399999999999999</v>
      </c>
      <c r="Q10" s="5">
        <v>20.399999999999999</v>
      </c>
      <c r="R10" s="5">
        <v>20.399999999999999</v>
      </c>
    </row>
    <row r="11" spans="1:18" x14ac:dyDescent="0.25">
      <c r="A11">
        <v>2018</v>
      </c>
      <c r="B11">
        <v>117</v>
      </c>
      <c r="C11" s="5">
        <v>20.399999999999999</v>
      </c>
      <c r="D11" s="5">
        <v>20.399999999999999</v>
      </c>
      <c r="E11" s="5">
        <v>20.399999999999999</v>
      </c>
      <c r="F11" s="5">
        <v>20.399999999999999</v>
      </c>
      <c r="G11" s="5">
        <v>20.399999999999999</v>
      </c>
      <c r="H11" s="5">
        <v>20.399999999999999</v>
      </c>
      <c r="I11" s="5">
        <v>20.399999999999999</v>
      </c>
      <c r="J11" s="5">
        <v>20.399999999999999</v>
      </c>
      <c r="K11" s="5">
        <v>20.399999999999999</v>
      </c>
      <c r="L11" s="5">
        <v>20.399999999999999</v>
      </c>
      <c r="M11" s="5">
        <v>20.399999999999999</v>
      </c>
      <c r="N11" s="5">
        <v>20.399999999999999</v>
      </c>
      <c r="O11" s="5">
        <v>20.399999999999999</v>
      </c>
      <c r="P11" s="5">
        <v>20.399999999999999</v>
      </c>
      <c r="Q11" s="5">
        <v>20.399999999999999</v>
      </c>
      <c r="R11" s="5">
        <v>20.399999999999999</v>
      </c>
    </row>
    <row r="12" spans="1:18" x14ac:dyDescent="0.25">
      <c r="A12">
        <v>2018</v>
      </c>
      <c r="B12">
        <v>120</v>
      </c>
      <c r="C12" s="5">
        <v>5.0999999999999996</v>
      </c>
      <c r="D12" s="5">
        <v>5.0999999999999996</v>
      </c>
      <c r="E12" s="5">
        <v>5.0999999999999996</v>
      </c>
      <c r="F12" s="5">
        <v>5.0999999999999996</v>
      </c>
      <c r="G12" s="5">
        <v>5.0999999999999996</v>
      </c>
      <c r="H12" s="5">
        <v>5.0999999999999996</v>
      </c>
      <c r="I12" s="5">
        <v>5.0999999999999996</v>
      </c>
      <c r="J12" s="5">
        <v>5.0999999999999996</v>
      </c>
      <c r="K12" s="5">
        <v>5.0999999999999996</v>
      </c>
      <c r="L12" s="5">
        <v>5.0999999999999996</v>
      </c>
      <c r="M12" s="5">
        <v>5.0999999999999996</v>
      </c>
      <c r="N12" s="5">
        <v>5.0999999999999996</v>
      </c>
      <c r="O12" s="5">
        <v>5.0999999999999996</v>
      </c>
      <c r="P12" s="5">
        <v>5.0999999999999996</v>
      </c>
      <c r="Q12" s="5">
        <v>5.0999999999999996</v>
      </c>
      <c r="R12" s="5">
        <v>5.0999999999999996</v>
      </c>
    </row>
    <row r="13" spans="1:18" x14ac:dyDescent="0.25">
      <c r="A13">
        <v>2018</v>
      </c>
      <c r="B13">
        <v>127</v>
      </c>
      <c r="C13" s="5">
        <v>20.399999999999999</v>
      </c>
      <c r="D13" s="5">
        <v>20.399999999999999</v>
      </c>
      <c r="E13" s="5">
        <v>20.399999999999999</v>
      </c>
      <c r="F13" s="5">
        <v>20.399999999999999</v>
      </c>
      <c r="G13" s="5">
        <v>20.399999999999999</v>
      </c>
      <c r="H13" s="5">
        <v>20.399999999999999</v>
      </c>
      <c r="I13" s="5">
        <v>20.399999999999999</v>
      </c>
      <c r="J13" s="5">
        <v>20.399999999999999</v>
      </c>
      <c r="K13" s="5">
        <v>20.399999999999999</v>
      </c>
      <c r="L13" s="5">
        <v>20.399999999999999</v>
      </c>
      <c r="M13" s="5">
        <v>20.399999999999999</v>
      </c>
      <c r="N13" s="5">
        <v>20.399999999999999</v>
      </c>
      <c r="O13" s="5">
        <v>20.399999999999999</v>
      </c>
      <c r="P13" s="5">
        <v>20.399999999999999</v>
      </c>
      <c r="Q13" s="5">
        <v>20.399999999999999</v>
      </c>
      <c r="R13" s="5">
        <v>20.399999999999999</v>
      </c>
    </row>
    <row r="14" spans="1:18" x14ac:dyDescent="0.25">
      <c r="A14">
        <v>2018</v>
      </c>
      <c r="B14">
        <v>136</v>
      </c>
      <c r="C14" s="5">
        <v>20.2</v>
      </c>
      <c r="D14" s="5">
        <v>20.2</v>
      </c>
      <c r="E14" s="5">
        <v>20.2</v>
      </c>
      <c r="F14" s="5">
        <v>20.2</v>
      </c>
      <c r="G14" s="5">
        <v>20.2</v>
      </c>
      <c r="H14" s="5">
        <v>20.2</v>
      </c>
      <c r="I14" s="5">
        <v>20.2</v>
      </c>
      <c r="J14" s="5">
        <v>20.2</v>
      </c>
      <c r="K14" s="5">
        <v>20.2</v>
      </c>
      <c r="L14" s="5">
        <v>20.2</v>
      </c>
      <c r="M14" s="5">
        <v>20.2</v>
      </c>
      <c r="N14" s="5">
        <v>20.2</v>
      </c>
      <c r="O14" s="5">
        <v>20.2</v>
      </c>
      <c r="P14" s="5">
        <v>20.2</v>
      </c>
      <c r="Q14" s="5">
        <v>20.2</v>
      </c>
      <c r="R14" s="5">
        <v>20.2</v>
      </c>
    </row>
    <row r="15" spans="1:18" x14ac:dyDescent="0.25">
      <c r="A15">
        <v>2018</v>
      </c>
      <c r="B15">
        <v>143</v>
      </c>
      <c r="C15" s="5">
        <v>20.399999999999999</v>
      </c>
      <c r="D15" s="5">
        <v>20.399999999999999</v>
      </c>
      <c r="E15" s="5">
        <v>20.399999999999999</v>
      </c>
      <c r="F15" s="5">
        <v>20.399999999999999</v>
      </c>
      <c r="G15" s="5">
        <v>20.399999999999999</v>
      </c>
      <c r="H15" s="5">
        <v>20.399999999999999</v>
      </c>
      <c r="I15" s="5">
        <v>20.399999999999999</v>
      </c>
      <c r="J15" s="5">
        <v>20.399999999999999</v>
      </c>
      <c r="K15" s="5">
        <v>20.399999999999999</v>
      </c>
      <c r="L15" s="5">
        <v>20.399999999999999</v>
      </c>
      <c r="M15" s="5">
        <v>20.399999999999999</v>
      </c>
      <c r="N15" s="5">
        <v>20.399999999999999</v>
      </c>
      <c r="O15" s="5">
        <v>20.399999999999999</v>
      </c>
      <c r="P15" s="5">
        <v>20.399999999999999</v>
      </c>
      <c r="Q15" s="5">
        <v>20.399999999999999</v>
      </c>
      <c r="R15" s="5">
        <v>20.399999999999999</v>
      </c>
    </row>
    <row r="16" spans="1:18" x14ac:dyDescent="0.25">
      <c r="A16">
        <v>2018</v>
      </c>
      <c r="B16">
        <v>150</v>
      </c>
      <c r="C16" s="5">
        <v>15.299999999999999</v>
      </c>
      <c r="D16" s="5">
        <v>15.299999999999999</v>
      </c>
      <c r="E16" s="5">
        <v>15.299999999999999</v>
      </c>
      <c r="F16" s="5">
        <v>15.299999999999999</v>
      </c>
      <c r="G16" s="5">
        <v>20.401019999999999</v>
      </c>
      <c r="H16" s="5">
        <v>20.401019999999999</v>
      </c>
      <c r="I16" s="5">
        <v>20.401019999999999</v>
      </c>
      <c r="J16" s="5">
        <v>20.401019999999999</v>
      </c>
      <c r="K16" s="5">
        <v>25.49898</v>
      </c>
      <c r="L16" s="5">
        <v>25.49898</v>
      </c>
      <c r="M16" s="5">
        <v>25.49898</v>
      </c>
      <c r="N16" s="5">
        <v>25.49898</v>
      </c>
      <c r="O16" s="5">
        <v>30.599999999999998</v>
      </c>
      <c r="P16" s="5">
        <v>30.599999999999998</v>
      </c>
      <c r="Q16" s="5">
        <v>30.599999999999998</v>
      </c>
      <c r="R16" s="5">
        <v>30.599999999999998</v>
      </c>
    </row>
    <row r="17" spans="1:18" x14ac:dyDescent="0.25">
      <c r="A17">
        <v>2018</v>
      </c>
      <c r="B17">
        <v>157</v>
      </c>
      <c r="C17" s="5">
        <v>12.75</v>
      </c>
      <c r="D17" s="5">
        <v>12.75</v>
      </c>
      <c r="E17" s="5">
        <v>12.75</v>
      </c>
      <c r="F17" s="5">
        <v>12.75</v>
      </c>
      <c r="G17" s="5">
        <v>17.00085</v>
      </c>
      <c r="H17" s="5">
        <v>17.00085</v>
      </c>
      <c r="I17" s="5">
        <v>17.00085</v>
      </c>
      <c r="J17" s="5">
        <v>17.00085</v>
      </c>
      <c r="K17" s="5">
        <v>21.24915</v>
      </c>
      <c r="L17" s="5">
        <v>21.24915</v>
      </c>
      <c r="M17" s="5">
        <v>21.24915</v>
      </c>
      <c r="N17" s="5">
        <v>21.24915</v>
      </c>
      <c r="O17" s="5">
        <v>25.5</v>
      </c>
      <c r="P17" s="5">
        <v>25.5</v>
      </c>
      <c r="Q17" s="5">
        <v>25.5</v>
      </c>
      <c r="R17" s="5">
        <v>25.5</v>
      </c>
    </row>
    <row r="18" spans="1:18" x14ac:dyDescent="0.25">
      <c r="A18">
        <v>2018</v>
      </c>
      <c r="B18">
        <v>158</v>
      </c>
      <c r="C18" s="5">
        <v>7.6</v>
      </c>
      <c r="D18" s="5">
        <v>7.6</v>
      </c>
      <c r="E18" s="5">
        <v>7.6</v>
      </c>
      <c r="F18" s="5">
        <v>7.6</v>
      </c>
      <c r="G18" s="5">
        <v>10.133839999999999</v>
      </c>
      <c r="H18" s="5">
        <v>10.133839999999999</v>
      </c>
      <c r="I18" s="5">
        <v>10.133839999999999</v>
      </c>
      <c r="J18" s="5">
        <v>10.133839999999999</v>
      </c>
      <c r="K18" s="5">
        <v>12.66616</v>
      </c>
      <c r="L18" s="5">
        <v>12.66616</v>
      </c>
      <c r="M18" s="5">
        <v>12.66616</v>
      </c>
      <c r="N18" s="5">
        <v>12.66616</v>
      </c>
      <c r="O18" s="5">
        <v>15.2</v>
      </c>
      <c r="P18" s="5">
        <v>15.2</v>
      </c>
      <c r="Q18" s="5">
        <v>15.2</v>
      </c>
      <c r="R18" s="5">
        <v>15.2</v>
      </c>
    </row>
    <row r="19" spans="1:18" x14ac:dyDescent="0.25">
      <c r="A19">
        <v>2018</v>
      </c>
      <c r="B19">
        <v>164</v>
      </c>
      <c r="C19" s="5">
        <v>25.299999999999997</v>
      </c>
      <c r="D19" s="5">
        <v>25.299999999999997</v>
      </c>
      <c r="E19" s="5">
        <v>25.299999999999997</v>
      </c>
      <c r="F19" s="5">
        <v>25.299999999999997</v>
      </c>
      <c r="G19" s="5">
        <v>27.000339999999998</v>
      </c>
      <c r="H19" s="5">
        <v>27.000339999999998</v>
      </c>
      <c r="I19" s="5">
        <v>27.000339999999998</v>
      </c>
      <c r="J19" s="5">
        <v>27.000339999999998</v>
      </c>
      <c r="K19" s="5">
        <v>28.699660000000002</v>
      </c>
      <c r="L19" s="5">
        <v>28.699660000000002</v>
      </c>
      <c r="M19" s="5">
        <v>28.699660000000002</v>
      </c>
      <c r="N19" s="5">
        <v>28.699660000000002</v>
      </c>
      <c r="O19" s="5">
        <v>30.4</v>
      </c>
      <c r="P19" s="5">
        <v>30.4</v>
      </c>
      <c r="Q19" s="5">
        <v>30.4</v>
      </c>
      <c r="R19" s="5">
        <v>30.4</v>
      </c>
    </row>
    <row r="20" spans="1:18" x14ac:dyDescent="0.25">
      <c r="A20">
        <v>2018</v>
      </c>
      <c r="B20">
        <v>165</v>
      </c>
      <c r="C20" s="5">
        <v>15.2</v>
      </c>
      <c r="D20" s="5">
        <v>15.2</v>
      </c>
      <c r="E20" s="5">
        <v>15.2</v>
      </c>
      <c r="F20" s="5">
        <v>15.2</v>
      </c>
      <c r="G20" s="5">
        <v>20.267679999999999</v>
      </c>
      <c r="H20" s="5">
        <v>20.267679999999999</v>
      </c>
      <c r="I20" s="5">
        <v>20.267679999999999</v>
      </c>
      <c r="J20" s="5">
        <v>20.267679999999999</v>
      </c>
      <c r="K20" s="5">
        <v>25.332319999999999</v>
      </c>
      <c r="L20" s="5">
        <v>25.332319999999999</v>
      </c>
      <c r="M20" s="5">
        <v>25.332319999999999</v>
      </c>
      <c r="N20" s="5">
        <v>25.332319999999999</v>
      </c>
      <c r="O20" s="5">
        <v>30.4</v>
      </c>
      <c r="P20" s="5">
        <v>30.4</v>
      </c>
      <c r="Q20" s="5">
        <v>30.4</v>
      </c>
      <c r="R20" s="5">
        <v>30.4</v>
      </c>
    </row>
    <row r="21" spans="1:18" x14ac:dyDescent="0.25">
      <c r="A21">
        <v>2018</v>
      </c>
      <c r="B21">
        <v>171</v>
      </c>
      <c r="C21" s="5">
        <v>32.949999999999996</v>
      </c>
      <c r="D21" s="5">
        <v>32.949999999999996</v>
      </c>
      <c r="E21" s="5">
        <v>32.949999999999996</v>
      </c>
      <c r="F21" s="5">
        <v>32.949999999999996</v>
      </c>
      <c r="G21" s="5">
        <v>37.200850000000003</v>
      </c>
      <c r="H21" s="5">
        <v>37.200850000000003</v>
      </c>
      <c r="I21" s="5">
        <v>37.200850000000003</v>
      </c>
      <c r="J21" s="5">
        <v>37.200850000000003</v>
      </c>
      <c r="K21" s="5">
        <v>41.449150000000003</v>
      </c>
      <c r="L21" s="5">
        <v>41.449150000000003</v>
      </c>
      <c r="M21" s="5">
        <v>41.449150000000003</v>
      </c>
      <c r="N21" s="5">
        <v>41.449150000000003</v>
      </c>
      <c r="O21" s="5">
        <v>45.699999999999996</v>
      </c>
      <c r="P21" s="5">
        <v>45.699999999999996</v>
      </c>
      <c r="Q21" s="5">
        <v>45.699999999999996</v>
      </c>
      <c r="R21" s="5">
        <v>45.699999999999996</v>
      </c>
    </row>
    <row r="22" spans="1:18" x14ac:dyDescent="0.25">
      <c r="A22">
        <v>2018</v>
      </c>
      <c r="B22">
        <v>172</v>
      </c>
      <c r="C22" s="5">
        <v>15.299999999999999</v>
      </c>
      <c r="D22" s="5">
        <v>15.299999999999999</v>
      </c>
      <c r="E22" s="5">
        <v>15.299999999999999</v>
      </c>
      <c r="F22" s="5">
        <v>15.299999999999999</v>
      </c>
      <c r="G22" s="5">
        <v>20.401019999999999</v>
      </c>
      <c r="H22" s="5">
        <v>20.401019999999999</v>
      </c>
      <c r="I22" s="5">
        <v>20.401019999999999</v>
      </c>
      <c r="J22" s="5">
        <v>20.401019999999999</v>
      </c>
      <c r="K22" s="5">
        <v>25.49898</v>
      </c>
      <c r="L22" s="5">
        <v>25.49898</v>
      </c>
      <c r="M22" s="5">
        <v>25.49898</v>
      </c>
      <c r="N22" s="5">
        <v>25.49898</v>
      </c>
      <c r="O22" s="5">
        <v>30.599999999999998</v>
      </c>
      <c r="P22" s="5">
        <v>30.599999999999998</v>
      </c>
      <c r="Q22" s="5">
        <v>30.599999999999998</v>
      </c>
      <c r="R22" s="5">
        <v>30.599999999999998</v>
      </c>
    </row>
    <row r="23" spans="1:18" x14ac:dyDescent="0.25">
      <c r="A23">
        <v>2018</v>
      </c>
      <c r="B23">
        <v>178</v>
      </c>
      <c r="C23" s="5">
        <v>20.399999999999999</v>
      </c>
      <c r="D23" s="5">
        <v>20.399999999999999</v>
      </c>
      <c r="E23" s="5">
        <v>20.399999999999999</v>
      </c>
      <c r="F23" s="5">
        <v>20.399999999999999</v>
      </c>
      <c r="G23" s="5">
        <v>27.201359999999998</v>
      </c>
      <c r="H23" s="5">
        <v>27.201359999999998</v>
      </c>
      <c r="I23" s="5">
        <v>27.201359999999998</v>
      </c>
      <c r="J23" s="5">
        <v>27.201359999999998</v>
      </c>
      <c r="K23" s="5">
        <v>33.998640000000002</v>
      </c>
      <c r="L23" s="5">
        <v>33.998640000000002</v>
      </c>
      <c r="M23" s="5">
        <v>33.998640000000002</v>
      </c>
      <c r="N23" s="5">
        <v>33.998640000000002</v>
      </c>
      <c r="O23" s="5">
        <v>40.799999999999997</v>
      </c>
      <c r="P23" s="5">
        <v>40.799999999999997</v>
      </c>
      <c r="Q23" s="5">
        <v>40.799999999999997</v>
      </c>
      <c r="R23" s="5">
        <v>40.799999999999997</v>
      </c>
    </row>
    <row r="24" spans="1:18" x14ac:dyDescent="0.25">
      <c r="A24">
        <v>2018</v>
      </c>
      <c r="B24">
        <v>179</v>
      </c>
      <c r="C24" s="5">
        <v>20.399999999999999</v>
      </c>
      <c r="D24" s="5">
        <v>20.399999999999999</v>
      </c>
      <c r="E24" s="5">
        <v>20.399999999999999</v>
      </c>
      <c r="F24" s="5">
        <v>20.399999999999999</v>
      </c>
      <c r="G24" s="5">
        <v>27.201359999999998</v>
      </c>
      <c r="H24" s="5">
        <v>27.201359999999998</v>
      </c>
      <c r="I24" s="5">
        <v>27.201359999999998</v>
      </c>
      <c r="J24" s="5">
        <v>27.201359999999998</v>
      </c>
      <c r="K24" s="5">
        <v>33.998640000000002</v>
      </c>
      <c r="L24" s="5">
        <v>33.998640000000002</v>
      </c>
      <c r="M24" s="5">
        <v>33.998640000000002</v>
      </c>
      <c r="N24" s="5">
        <v>33.998640000000002</v>
      </c>
      <c r="O24" s="5">
        <v>40.799999999999997</v>
      </c>
      <c r="P24" s="5">
        <v>40.799999999999997</v>
      </c>
      <c r="Q24" s="5">
        <v>40.799999999999997</v>
      </c>
      <c r="R24" s="5">
        <v>40.799999999999997</v>
      </c>
    </row>
    <row r="25" spans="1:18" x14ac:dyDescent="0.25">
      <c r="A25">
        <v>2018</v>
      </c>
      <c r="B25">
        <v>186</v>
      </c>
      <c r="C25" s="5">
        <v>32.949999999999996</v>
      </c>
      <c r="D25" s="5">
        <v>32.949999999999996</v>
      </c>
      <c r="E25" s="5">
        <v>32.949999999999996</v>
      </c>
      <c r="F25" s="5">
        <v>32.949999999999996</v>
      </c>
      <c r="G25" s="5">
        <v>37.200850000000003</v>
      </c>
      <c r="H25" s="5">
        <v>37.200850000000003</v>
      </c>
      <c r="I25" s="5">
        <v>37.200850000000003</v>
      </c>
      <c r="J25" s="5">
        <v>37.200850000000003</v>
      </c>
      <c r="K25" s="5">
        <v>41.449150000000003</v>
      </c>
      <c r="L25" s="5">
        <v>41.449150000000003</v>
      </c>
      <c r="M25" s="5">
        <v>41.449150000000003</v>
      </c>
      <c r="N25" s="5">
        <v>41.449150000000003</v>
      </c>
      <c r="O25" s="5">
        <v>45.699999999999996</v>
      </c>
      <c r="P25" s="5">
        <v>45.699999999999996</v>
      </c>
      <c r="Q25" s="5">
        <v>45.699999999999996</v>
      </c>
      <c r="R25" s="5">
        <v>45.699999999999996</v>
      </c>
    </row>
    <row r="26" spans="1:18" x14ac:dyDescent="0.25">
      <c r="A26">
        <v>2018</v>
      </c>
      <c r="B26">
        <v>187</v>
      </c>
      <c r="C26" s="5">
        <v>20.399999999999999</v>
      </c>
      <c r="D26" s="5">
        <v>20.399999999999999</v>
      </c>
      <c r="E26" s="5">
        <v>20.399999999999999</v>
      </c>
      <c r="F26" s="5">
        <v>20.399999999999999</v>
      </c>
      <c r="G26" s="5">
        <v>27.201359999999998</v>
      </c>
      <c r="H26" s="5">
        <v>27.201359999999998</v>
      </c>
      <c r="I26" s="5">
        <v>27.201359999999998</v>
      </c>
      <c r="J26" s="5">
        <v>27.201359999999998</v>
      </c>
      <c r="K26" s="5">
        <v>33.998640000000002</v>
      </c>
      <c r="L26" s="5">
        <v>33.998640000000002</v>
      </c>
      <c r="M26" s="5">
        <v>33.998640000000002</v>
      </c>
      <c r="N26" s="5">
        <v>33.998640000000002</v>
      </c>
      <c r="O26" s="5">
        <v>40.799999999999997</v>
      </c>
      <c r="P26" s="5">
        <v>40.799999999999997</v>
      </c>
      <c r="Q26" s="5">
        <v>40.799999999999997</v>
      </c>
      <c r="R26" s="5">
        <v>40.799999999999997</v>
      </c>
    </row>
    <row r="27" spans="1:18" x14ac:dyDescent="0.25">
      <c r="A27">
        <v>2018</v>
      </c>
      <c r="B27">
        <v>192</v>
      </c>
      <c r="C27" s="5">
        <v>15.299999999999999</v>
      </c>
      <c r="D27" s="5">
        <v>15.299999999999999</v>
      </c>
      <c r="E27" s="5">
        <v>15.299999999999999</v>
      </c>
      <c r="F27" s="5">
        <v>15.299999999999999</v>
      </c>
      <c r="G27" s="5">
        <v>20.401019999999999</v>
      </c>
      <c r="H27" s="5">
        <v>20.401019999999999</v>
      </c>
      <c r="I27" s="5">
        <v>20.401019999999999</v>
      </c>
      <c r="J27" s="5">
        <v>20.401019999999999</v>
      </c>
      <c r="K27" s="5">
        <v>25.49898</v>
      </c>
      <c r="L27" s="5">
        <v>25.49898</v>
      </c>
      <c r="M27" s="5">
        <v>25.49898</v>
      </c>
      <c r="N27" s="5">
        <v>25.49898</v>
      </c>
      <c r="O27" s="5">
        <v>30.599999999999998</v>
      </c>
      <c r="P27" s="5">
        <v>30.599999999999998</v>
      </c>
      <c r="Q27" s="5">
        <v>30.599999999999998</v>
      </c>
      <c r="R27" s="5">
        <v>30.599999999999998</v>
      </c>
    </row>
    <row r="28" spans="1:18" x14ac:dyDescent="0.25">
      <c r="A28">
        <v>2018</v>
      </c>
      <c r="B28">
        <v>193</v>
      </c>
      <c r="C28" s="5">
        <v>20.399999999999999</v>
      </c>
      <c r="D28" s="5">
        <v>20.399999999999999</v>
      </c>
      <c r="E28" s="5">
        <v>20.399999999999999</v>
      </c>
      <c r="F28" s="5">
        <v>20.399999999999999</v>
      </c>
      <c r="G28" s="5">
        <v>27.201359999999998</v>
      </c>
      <c r="H28" s="5">
        <v>27.201359999999998</v>
      </c>
      <c r="I28" s="5">
        <v>27.201359999999998</v>
      </c>
      <c r="J28" s="5">
        <v>27.201359999999998</v>
      </c>
      <c r="K28" s="5">
        <v>33.998640000000002</v>
      </c>
      <c r="L28" s="5">
        <v>33.998640000000002</v>
      </c>
      <c r="M28" s="5">
        <v>33.998640000000002</v>
      </c>
      <c r="N28" s="5">
        <v>33.998640000000002</v>
      </c>
      <c r="O28" s="5">
        <v>40.799999999999997</v>
      </c>
      <c r="P28" s="5">
        <v>40.799999999999997</v>
      </c>
      <c r="Q28" s="5">
        <v>40.799999999999997</v>
      </c>
      <c r="R28" s="5">
        <v>40.799999999999997</v>
      </c>
    </row>
    <row r="29" spans="1:18" x14ac:dyDescent="0.25">
      <c r="A29">
        <v>2018</v>
      </c>
      <c r="B29">
        <v>194</v>
      </c>
      <c r="C29" s="5">
        <v>5.0999999999999996</v>
      </c>
      <c r="D29" s="5">
        <v>5.0999999999999996</v>
      </c>
      <c r="E29" s="5">
        <v>5.0999999999999996</v>
      </c>
      <c r="F29" s="5">
        <v>5.0999999999999996</v>
      </c>
      <c r="G29" s="5">
        <v>6.8003399999999994</v>
      </c>
      <c r="H29" s="5">
        <v>6.8003399999999994</v>
      </c>
      <c r="I29" s="5">
        <v>6.8003399999999994</v>
      </c>
      <c r="J29" s="5">
        <v>6.8003399999999994</v>
      </c>
      <c r="K29" s="5">
        <v>8.4996600000000004</v>
      </c>
      <c r="L29" s="5">
        <v>8.4996600000000004</v>
      </c>
      <c r="M29" s="5">
        <v>8.4996600000000004</v>
      </c>
      <c r="N29" s="5">
        <v>8.4996600000000004</v>
      </c>
      <c r="O29" s="5">
        <v>10.199999999999999</v>
      </c>
      <c r="P29" s="5">
        <v>10.199999999999999</v>
      </c>
      <c r="Q29" s="5">
        <v>10.199999999999999</v>
      </c>
      <c r="R29" s="5">
        <v>10.199999999999999</v>
      </c>
    </row>
    <row r="30" spans="1:18" x14ac:dyDescent="0.25">
      <c r="A30">
        <v>2018</v>
      </c>
      <c r="B30">
        <v>200</v>
      </c>
      <c r="C30" s="5">
        <v>27.849999999999998</v>
      </c>
      <c r="D30" s="5">
        <v>30.400509999999997</v>
      </c>
      <c r="E30" s="5">
        <v>32.949490000000004</v>
      </c>
      <c r="F30" s="5">
        <v>35.5</v>
      </c>
      <c r="G30" s="5">
        <v>27.849999999999998</v>
      </c>
      <c r="H30" s="5">
        <v>30.400509999999997</v>
      </c>
      <c r="I30" s="5">
        <v>32.949490000000004</v>
      </c>
      <c r="J30" s="5">
        <v>35.5</v>
      </c>
      <c r="K30" s="5">
        <v>27.849999999999998</v>
      </c>
      <c r="L30" s="5">
        <v>30.400509999999997</v>
      </c>
      <c r="M30" s="5">
        <v>32.949490000000004</v>
      </c>
      <c r="N30" s="5">
        <v>35.5</v>
      </c>
      <c r="O30" s="5">
        <v>27.849999999999998</v>
      </c>
      <c r="P30" s="5">
        <v>30.400509999999997</v>
      </c>
      <c r="Q30" s="5">
        <v>32.949490000000004</v>
      </c>
      <c r="R30" s="5">
        <v>35.5</v>
      </c>
    </row>
    <row r="31" spans="1:18" x14ac:dyDescent="0.25">
      <c r="A31">
        <v>2018</v>
      </c>
      <c r="B31">
        <v>201</v>
      </c>
      <c r="C31" s="5">
        <v>15.299999999999999</v>
      </c>
      <c r="D31" s="5">
        <v>20.401019999999999</v>
      </c>
      <c r="E31" s="5">
        <v>25.49898</v>
      </c>
      <c r="F31" s="5">
        <v>30.599999999999998</v>
      </c>
      <c r="G31" s="5">
        <v>15.299999999999999</v>
      </c>
      <c r="H31" s="5">
        <v>20.401019999999999</v>
      </c>
      <c r="I31" s="5">
        <v>25.49898</v>
      </c>
      <c r="J31" s="5">
        <v>30.599999999999998</v>
      </c>
      <c r="K31" s="5">
        <v>15.299999999999999</v>
      </c>
      <c r="L31" s="5">
        <v>20.401019999999999</v>
      </c>
      <c r="M31" s="5">
        <v>25.49898</v>
      </c>
      <c r="N31" s="5">
        <v>30.599999999999998</v>
      </c>
      <c r="O31" s="5">
        <v>15.299999999999999</v>
      </c>
      <c r="P31" s="5">
        <v>20.401019999999999</v>
      </c>
      <c r="Q31" s="5">
        <v>25.49898</v>
      </c>
      <c r="R31" s="5">
        <v>30.599999999999998</v>
      </c>
    </row>
    <row r="32" spans="1:18" x14ac:dyDescent="0.25">
      <c r="A32">
        <v>2018</v>
      </c>
      <c r="B32">
        <v>206</v>
      </c>
      <c r="C32" s="5">
        <v>20.399999999999999</v>
      </c>
      <c r="D32" s="5">
        <v>27.201359999999998</v>
      </c>
      <c r="E32" s="5">
        <v>33.998640000000002</v>
      </c>
      <c r="F32" s="5">
        <v>40.799999999999997</v>
      </c>
      <c r="G32" s="5">
        <v>20.399999999999999</v>
      </c>
      <c r="H32" s="5">
        <v>27.201359999999998</v>
      </c>
      <c r="I32" s="5">
        <v>33.998640000000002</v>
      </c>
      <c r="J32" s="5">
        <v>40.799999999999997</v>
      </c>
      <c r="K32" s="5">
        <v>20.399999999999999</v>
      </c>
      <c r="L32" s="5">
        <v>27.201359999999998</v>
      </c>
      <c r="M32" s="5">
        <v>33.998640000000002</v>
      </c>
      <c r="N32" s="5">
        <v>40.799999999999997</v>
      </c>
      <c r="O32" s="5">
        <v>20.399999999999999</v>
      </c>
      <c r="P32" s="5">
        <v>27.201359999999998</v>
      </c>
      <c r="Q32" s="5">
        <v>33.998640000000002</v>
      </c>
      <c r="R32" s="5">
        <v>40.799999999999997</v>
      </c>
    </row>
    <row r="33" spans="1:18" x14ac:dyDescent="0.25">
      <c r="A33">
        <v>2018</v>
      </c>
      <c r="B33">
        <v>207</v>
      </c>
      <c r="C33" s="5">
        <v>15.299999999999999</v>
      </c>
      <c r="D33" s="5">
        <v>20.401019999999999</v>
      </c>
      <c r="E33" s="5">
        <v>25.49898</v>
      </c>
      <c r="F33" s="5">
        <v>30.599999999999998</v>
      </c>
      <c r="G33" s="5">
        <v>15.299999999999999</v>
      </c>
      <c r="H33" s="5">
        <v>20.401019999999999</v>
      </c>
      <c r="I33" s="5">
        <v>25.49898</v>
      </c>
      <c r="J33" s="5">
        <v>30.599999999999998</v>
      </c>
      <c r="K33" s="5">
        <v>15.299999999999999</v>
      </c>
      <c r="L33" s="5">
        <v>20.401019999999999</v>
      </c>
      <c r="M33" s="5">
        <v>25.49898</v>
      </c>
      <c r="N33" s="5">
        <v>30.599999999999998</v>
      </c>
      <c r="O33" s="5">
        <v>15.299999999999999</v>
      </c>
      <c r="P33" s="5">
        <v>20.401019999999999</v>
      </c>
      <c r="Q33" s="5">
        <v>25.49898</v>
      </c>
      <c r="R33" s="5">
        <v>30.599999999999998</v>
      </c>
    </row>
    <row r="34" spans="1:18" x14ac:dyDescent="0.25">
      <c r="A34">
        <v>2018</v>
      </c>
      <c r="B34">
        <v>213</v>
      </c>
      <c r="C34" s="5">
        <v>20.399999999999999</v>
      </c>
      <c r="D34" s="5">
        <v>27.201359999999998</v>
      </c>
      <c r="E34" s="5">
        <v>33.998640000000002</v>
      </c>
      <c r="F34" s="5">
        <v>40.799999999999997</v>
      </c>
      <c r="G34" s="5">
        <v>20.399999999999999</v>
      </c>
      <c r="H34" s="5">
        <v>27.201359999999998</v>
      </c>
      <c r="I34" s="5">
        <v>33.998640000000002</v>
      </c>
      <c r="J34" s="5">
        <v>40.799999999999997</v>
      </c>
      <c r="K34" s="5">
        <v>20.399999999999999</v>
      </c>
      <c r="L34" s="5">
        <v>27.201359999999998</v>
      </c>
      <c r="M34" s="5">
        <v>33.998640000000002</v>
      </c>
      <c r="N34" s="5">
        <v>40.799999999999997</v>
      </c>
      <c r="O34" s="5">
        <v>20.399999999999999</v>
      </c>
      <c r="P34" s="5">
        <v>27.201359999999998</v>
      </c>
      <c r="Q34" s="5">
        <v>33.998640000000002</v>
      </c>
      <c r="R34" s="5">
        <v>40.799999999999997</v>
      </c>
    </row>
    <row r="35" spans="1:18" x14ac:dyDescent="0.25">
      <c r="A35">
        <v>2018</v>
      </c>
      <c r="B35">
        <v>214</v>
      </c>
      <c r="C35" s="5">
        <v>20.399999999999999</v>
      </c>
      <c r="D35" s="5">
        <v>27.201359999999998</v>
      </c>
      <c r="E35" s="5">
        <v>33.998640000000002</v>
      </c>
      <c r="F35" s="5">
        <v>40.799999999999997</v>
      </c>
      <c r="G35" s="5">
        <v>20.399999999999999</v>
      </c>
      <c r="H35" s="5">
        <v>27.201359999999998</v>
      </c>
      <c r="I35" s="5">
        <v>33.998640000000002</v>
      </c>
      <c r="J35" s="5">
        <v>40.799999999999997</v>
      </c>
      <c r="K35" s="5">
        <v>20.399999999999999</v>
      </c>
      <c r="L35" s="5">
        <v>27.201359999999998</v>
      </c>
      <c r="M35" s="5">
        <v>33.998640000000002</v>
      </c>
      <c r="N35" s="5">
        <v>40.799999999999997</v>
      </c>
      <c r="O35" s="5">
        <v>20.399999999999999</v>
      </c>
      <c r="P35" s="5">
        <v>27.201359999999998</v>
      </c>
      <c r="Q35" s="5">
        <v>33.998640000000002</v>
      </c>
      <c r="R35" s="5">
        <v>40.799999999999997</v>
      </c>
    </row>
    <row r="36" spans="1:18" x14ac:dyDescent="0.25">
      <c r="A36">
        <v>2018</v>
      </c>
      <c r="B36">
        <v>220</v>
      </c>
      <c r="C36" s="5">
        <v>15.299999999999999</v>
      </c>
      <c r="D36" s="5">
        <v>20.401019999999999</v>
      </c>
      <c r="E36" s="5">
        <v>25.49898</v>
      </c>
      <c r="F36" s="5">
        <v>30.599999999999998</v>
      </c>
      <c r="G36" s="5">
        <v>15.299999999999999</v>
      </c>
      <c r="H36" s="5">
        <v>20.401019999999999</v>
      </c>
      <c r="I36" s="5">
        <v>25.49898</v>
      </c>
      <c r="J36" s="5">
        <v>30.599999999999998</v>
      </c>
      <c r="K36" s="5">
        <v>15.299999999999999</v>
      </c>
      <c r="L36" s="5">
        <v>20.401019999999999</v>
      </c>
      <c r="M36" s="5">
        <v>25.49898</v>
      </c>
      <c r="N36" s="5">
        <v>30.599999999999998</v>
      </c>
      <c r="O36" s="5">
        <v>15.299999999999999</v>
      </c>
      <c r="P36" s="5">
        <v>20.401019999999999</v>
      </c>
      <c r="Q36" s="5">
        <v>25.49898</v>
      </c>
      <c r="R36" s="5">
        <v>30.599999999999998</v>
      </c>
    </row>
    <row r="37" spans="1:18" x14ac:dyDescent="0.25">
      <c r="A37">
        <v>2018</v>
      </c>
      <c r="B37">
        <v>221</v>
      </c>
      <c r="C37" s="5">
        <v>15.299999999999999</v>
      </c>
      <c r="D37" s="5">
        <v>20.401019999999999</v>
      </c>
      <c r="E37" s="5">
        <v>25.49898</v>
      </c>
      <c r="F37" s="5">
        <v>30.599999999999998</v>
      </c>
      <c r="G37" s="5">
        <v>15.299999999999999</v>
      </c>
      <c r="H37" s="5">
        <v>20.401019999999999</v>
      </c>
      <c r="I37" s="5">
        <v>25.49898</v>
      </c>
      <c r="J37" s="5">
        <v>30.599999999999998</v>
      </c>
      <c r="K37" s="5">
        <v>15.299999999999999</v>
      </c>
      <c r="L37" s="5">
        <v>20.401019999999999</v>
      </c>
      <c r="M37" s="5">
        <v>25.49898</v>
      </c>
      <c r="N37" s="5">
        <v>30.599999999999998</v>
      </c>
      <c r="O37" s="5">
        <v>15.299999999999999</v>
      </c>
      <c r="P37" s="5">
        <v>20.401019999999999</v>
      </c>
      <c r="Q37" s="5">
        <v>25.49898</v>
      </c>
      <c r="R37" s="5">
        <v>30.599999999999998</v>
      </c>
    </row>
    <row r="38" spans="1:18" x14ac:dyDescent="0.25">
      <c r="A38">
        <v>2018</v>
      </c>
      <c r="B38">
        <v>229</v>
      </c>
      <c r="C38" s="5">
        <v>10.199999999999999</v>
      </c>
      <c r="D38" s="5">
        <v>13.600679999999999</v>
      </c>
      <c r="E38" s="5">
        <v>16.999320000000001</v>
      </c>
      <c r="F38" s="5">
        <v>20.399999999999999</v>
      </c>
      <c r="G38" s="5">
        <v>10.199999999999999</v>
      </c>
      <c r="H38" s="5">
        <v>13.600679999999999</v>
      </c>
      <c r="I38" s="5">
        <v>16.999320000000001</v>
      </c>
      <c r="J38" s="5">
        <v>20.399999999999999</v>
      </c>
      <c r="K38" s="5">
        <v>10.199999999999999</v>
      </c>
      <c r="L38" s="5">
        <v>13.600679999999999</v>
      </c>
      <c r="M38" s="5">
        <v>16.999320000000001</v>
      </c>
      <c r="N38" s="5">
        <v>20.399999999999999</v>
      </c>
      <c r="O38" s="5">
        <v>10.199999999999999</v>
      </c>
      <c r="P38" s="5">
        <v>13.600679999999999</v>
      </c>
      <c r="Q38" s="5">
        <v>16.999320000000001</v>
      </c>
      <c r="R38" s="5">
        <v>20.399999999999999</v>
      </c>
    </row>
    <row r="39" spans="1:18" x14ac:dyDescent="0.25">
      <c r="A39">
        <v>2018</v>
      </c>
      <c r="B39">
        <v>234</v>
      </c>
      <c r="C39" s="5">
        <v>15.299999999999999</v>
      </c>
      <c r="D39" s="5">
        <v>20.401019999999999</v>
      </c>
      <c r="E39" s="5">
        <v>25.49898</v>
      </c>
      <c r="F39" s="5">
        <v>30.599999999999998</v>
      </c>
      <c r="G39" s="5">
        <v>15.299999999999999</v>
      </c>
      <c r="H39" s="5">
        <v>20.401019999999999</v>
      </c>
      <c r="I39" s="5">
        <v>25.49898</v>
      </c>
      <c r="J39" s="5">
        <v>30.599999999999998</v>
      </c>
      <c r="K39" s="5">
        <v>15.299999999999999</v>
      </c>
      <c r="L39" s="5">
        <v>20.401019999999999</v>
      </c>
      <c r="M39" s="5">
        <v>25.49898</v>
      </c>
      <c r="N39" s="5">
        <v>30.599999999999998</v>
      </c>
      <c r="O39" s="5">
        <v>15.299999999999999</v>
      </c>
      <c r="P39" s="5">
        <v>20.401019999999999</v>
      </c>
      <c r="Q39" s="5">
        <v>25.49898</v>
      </c>
      <c r="R39" s="5">
        <v>30.599999999999998</v>
      </c>
    </row>
    <row r="40" spans="1:18" x14ac:dyDescent="0.25">
      <c r="A40">
        <v>2018</v>
      </c>
      <c r="B40">
        <v>235</v>
      </c>
      <c r="C40" s="5">
        <v>10.199999999999999</v>
      </c>
      <c r="D40" s="5">
        <v>13.600679999999999</v>
      </c>
      <c r="E40" s="5">
        <v>16.999320000000001</v>
      </c>
      <c r="F40" s="5">
        <v>20.399999999999999</v>
      </c>
      <c r="G40" s="5">
        <v>10.199999999999999</v>
      </c>
      <c r="H40" s="5">
        <v>13.600679999999999</v>
      </c>
      <c r="I40" s="5">
        <v>16.999320000000001</v>
      </c>
      <c r="J40" s="5">
        <v>20.399999999999999</v>
      </c>
      <c r="K40" s="5">
        <v>10.199999999999999</v>
      </c>
      <c r="L40" s="5">
        <v>13.600679999999999</v>
      </c>
      <c r="M40" s="5">
        <v>16.999320000000001</v>
      </c>
      <c r="N40" s="5">
        <v>20.399999999999999</v>
      </c>
      <c r="O40" s="5">
        <v>10.199999999999999</v>
      </c>
      <c r="P40" s="5">
        <v>13.600679999999999</v>
      </c>
      <c r="Q40" s="5">
        <v>16.999320000000001</v>
      </c>
      <c r="R40" s="5">
        <v>20.399999999999999</v>
      </c>
    </row>
    <row r="41" spans="1:18" x14ac:dyDescent="0.25">
      <c r="A41">
        <v>2018</v>
      </c>
      <c r="B41">
        <v>242</v>
      </c>
      <c r="C41" s="5">
        <v>15.299999999999999</v>
      </c>
      <c r="D41" s="5">
        <v>20.401019999999999</v>
      </c>
      <c r="E41" s="5">
        <v>25.49898</v>
      </c>
      <c r="F41" s="5">
        <v>30.599999999999998</v>
      </c>
      <c r="G41" s="5">
        <v>15.299999999999999</v>
      </c>
      <c r="H41" s="5">
        <v>20.401019999999999</v>
      </c>
      <c r="I41" s="5">
        <v>25.49898</v>
      </c>
      <c r="J41" s="5">
        <v>30.599999999999998</v>
      </c>
      <c r="K41" s="5">
        <v>15.299999999999999</v>
      </c>
      <c r="L41" s="5">
        <v>20.401019999999999</v>
      </c>
      <c r="M41" s="5">
        <v>25.49898</v>
      </c>
      <c r="N41" s="5">
        <v>30.599999999999998</v>
      </c>
      <c r="O41" s="5">
        <v>15.299999999999999</v>
      </c>
      <c r="P41" s="5">
        <v>20.401019999999999</v>
      </c>
      <c r="Q41" s="5">
        <v>25.49898</v>
      </c>
      <c r="R41" s="5">
        <v>30.599999999999998</v>
      </c>
    </row>
    <row r="42" spans="1:18" x14ac:dyDescent="0.25">
      <c r="A42">
        <v>2018</v>
      </c>
      <c r="B42">
        <v>243</v>
      </c>
      <c r="C42" s="5">
        <v>15.299999999999999</v>
      </c>
      <c r="D42" s="5">
        <v>20.401019999999999</v>
      </c>
      <c r="E42" s="5">
        <v>25.49898</v>
      </c>
      <c r="F42" s="5">
        <v>30.599999999999998</v>
      </c>
      <c r="G42" s="5">
        <v>15.299999999999999</v>
      </c>
      <c r="H42" s="5">
        <v>20.401019999999999</v>
      </c>
      <c r="I42" s="5">
        <v>25.49898</v>
      </c>
      <c r="J42" s="5">
        <v>30.599999999999998</v>
      </c>
      <c r="K42" s="5">
        <v>15.299999999999999</v>
      </c>
      <c r="L42" s="5">
        <v>20.401019999999999</v>
      </c>
      <c r="M42" s="5">
        <v>25.49898</v>
      </c>
      <c r="N42" s="5">
        <v>30.599999999999998</v>
      </c>
      <c r="O42" s="5">
        <v>15.299999999999999</v>
      </c>
      <c r="P42" s="5">
        <v>20.401019999999999</v>
      </c>
      <c r="Q42" s="5">
        <v>25.49898</v>
      </c>
      <c r="R42" s="5">
        <v>30.599999999999998</v>
      </c>
    </row>
    <row r="43" spans="1:18" x14ac:dyDescent="0.25">
      <c r="A43">
        <v>2018</v>
      </c>
      <c r="B43">
        <v>248</v>
      </c>
      <c r="C43" s="5">
        <v>15.299999999999999</v>
      </c>
      <c r="D43" s="5">
        <v>20.401019999999999</v>
      </c>
      <c r="E43" s="5">
        <v>25.49898</v>
      </c>
      <c r="F43" s="5">
        <v>30.599999999999998</v>
      </c>
      <c r="G43" s="5">
        <v>15.299999999999999</v>
      </c>
      <c r="H43" s="5">
        <v>20.401019999999999</v>
      </c>
      <c r="I43" s="5">
        <v>25.49898</v>
      </c>
      <c r="J43" s="5">
        <v>30.599999999999998</v>
      </c>
      <c r="K43" s="5">
        <v>15.299999999999999</v>
      </c>
      <c r="L43" s="5">
        <v>20.401019999999999</v>
      </c>
      <c r="M43" s="5">
        <v>25.49898</v>
      </c>
      <c r="N43" s="5">
        <v>30.599999999999998</v>
      </c>
      <c r="O43" s="5">
        <v>15.299999999999999</v>
      </c>
      <c r="P43" s="5">
        <v>20.401019999999999</v>
      </c>
      <c r="Q43" s="5">
        <v>25.49898</v>
      </c>
      <c r="R43" s="5">
        <v>30.599999999999998</v>
      </c>
    </row>
    <row r="44" spans="1:18" x14ac:dyDescent="0.25">
      <c r="A44">
        <v>2018</v>
      </c>
      <c r="B44">
        <v>250</v>
      </c>
      <c r="C44" s="5">
        <v>15.299999999999999</v>
      </c>
      <c r="D44" s="5">
        <v>20.401019999999999</v>
      </c>
      <c r="E44" s="5">
        <v>25.49898</v>
      </c>
      <c r="F44" s="5">
        <v>30.599999999999998</v>
      </c>
      <c r="G44" s="5">
        <v>15.299999999999999</v>
      </c>
      <c r="H44" s="5">
        <v>20.401019999999999</v>
      </c>
      <c r="I44" s="5">
        <v>25.49898</v>
      </c>
      <c r="J44" s="5">
        <v>30.599999999999998</v>
      </c>
      <c r="K44" s="5">
        <v>15.299999999999999</v>
      </c>
      <c r="L44" s="5">
        <v>20.401019999999999</v>
      </c>
      <c r="M44" s="5">
        <v>25.49898</v>
      </c>
      <c r="N44" s="5">
        <v>30.599999999999998</v>
      </c>
      <c r="O44" s="5">
        <v>15.299999999999999</v>
      </c>
      <c r="P44" s="5">
        <v>20.401019999999999</v>
      </c>
      <c r="Q44" s="5">
        <v>25.49898</v>
      </c>
      <c r="R44" s="5">
        <v>30.599999999999998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Irrigation</vt:lpstr>
      <vt:lpstr>Fertigation</vt:lpstr>
      <vt:lpstr>Other</vt:lpstr>
      <vt:lpstr>IrrigationDF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Thorp, Kelly</dc:creator>
  <cp:keywords/>
  <dc:description/>
  <cp:lastModifiedBy>Reviewer</cp:lastModifiedBy>
  <cp:revision/>
  <dcterms:created xsi:type="dcterms:W3CDTF">2016-01-29T00:15:18Z</dcterms:created>
  <dcterms:modified xsi:type="dcterms:W3CDTF">2024-12-20T13:29:21Z</dcterms:modified>
  <cp:category/>
  <cp:contentStatus/>
</cp:coreProperties>
</file>