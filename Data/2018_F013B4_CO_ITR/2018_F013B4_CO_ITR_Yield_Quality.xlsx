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tool\tool\Data\2018_F013B4_CO_ITR\"/>
    </mc:Choice>
  </mc:AlternateContent>
  <xr:revisionPtr revIDLastSave="0" documentId="13_ncr:1_{17C7F6D8-8CC2-4DE1-84E5-D964E0AD21FE}" xr6:coauthVersionLast="47" xr6:coauthVersionMax="47" xr10:uidLastSave="{00000000-0000-0000-0000-000000000000}"/>
  <bookViews>
    <workbookView xWindow="-4590" yWindow="-28920" windowWidth="18240" windowHeight="29040" xr2:uid="{5485CBB2-C13A-4C0B-BAC8-38661C175E52}"/>
  </bookViews>
  <sheets>
    <sheet name="Raw Scale" sheetId="1" r:id="rId1"/>
    <sheet name="Plot Scale" sheetId="2" r:id="rId2"/>
    <sheet name="Compa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96" i="1" l="1"/>
  <c r="AU96" i="1"/>
  <c r="AW96" i="1"/>
  <c r="AT96" i="1"/>
  <c r="AK96" i="1"/>
  <c r="AT60" i="1"/>
  <c r="AX60" i="1" s="1"/>
  <c r="AY60" i="1" s="1"/>
  <c r="AW60" i="1"/>
  <c r="AV60" i="1"/>
  <c r="AU60" i="1"/>
  <c r="AX57" i="1"/>
  <c r="AW57" i="1"/>
  <c r="AT57" i="1"/>
  <c r="BL237" i="1"/>
  <c r="BK237" i="1"/>
  <c r="BJ237" i="1"/>
  <c r="BI237" i="1"/>
  <c r="BH237" i="1"/>
  <c r="BG237" i="1"/>
  <c r="BF237" i="1"/>
  <c r="AX237" i="1"/>
  <c r="AW237" i="1"/>
  <c r="AY237" i="1" s="1"/>
  <c r="AV237" i="1"/>
  <c r="AU237" i="1"/>
  <c r="AT237" i="1"/>
  <c r="AS237" i="1"/>
  <c r="AP237" i="1"/>
  <c r="AO237" i="1"/>
  <c r="AQ237" i="1" s="1"/>
  <c r="AN237" i="1"/>
  <c r="AM237" i="1"/>
  <c r="AK237" i="1"/>
  <c r="AL237" i="1" s="1"/>
  <c r="AJ237" i="1"/>
  <c r="AI237" i="1"/>
  <c r="BL234" i="1"/>
  <c r="BK234" i="1"/>
  <c r="BJ234" i="1"/>
  <c r="BI234" i="1"/>
  <c r="BH234" i="1"/>
  <c r="BG234" i="1"/>
  <c r="BF234" i="1"/>
  <c r="AX234" i="1"/>
  <c r="AV234" i="1"/>
  <c r="AU234" i="1"/>
  <c r="AW234" i="1" s="1"/>
  <c r="AY234" i="1" s="1"/>
  <c r="AT234" i="1"/>
  <c r="AS234" i="1"/>
  <c r="AP234" i="1"/>
  <c r="AN234" i="1"/>
  <c r="AM234" i="1"/>
  <c r="AO234" i="1" s="1"/>
  <c r="AQ234" i="1" s="1"/>
  <c r="AL234" i="1"/>
  <c r="BA234" i="1" s="1"/>
  <c r="AK234" i="1"/>
  <c r="AJ234" i="1"/>
  <c r="AI234" i="1"/>
  <c r="BL231" i="1"/>
  <c r="BK231" i="1"/>
  <c r="BJ231" i="1"/>
  <c r="BI231" i="1"/>
  <c r="BH231" i="1"/>
  <c r="BG231" i="1"/>
  <c r="BF231" i="1"/>
  <c r="AV231" i="1"/>
  <c r="AX231" i="1" s="1"/>
  <c r="AU231" i="1"/>
  <c r="AW231" i="1" s="1"/>
  <c r="AY231" i="1" s="1"/>
  <c r="AT231" i="1"/>
  <c r="AS231" i="1"/>
  <c r="AP231" i="1"/>
  <c r="AN231" i="1"/>
  <c r="AO231" i="1" s="1"/>
  <c r="AQ231" i="1" s="1"/>
  <c r="AM231" i="1"/>
  <c r="AK231" i="1"/>
  <c r="AL231" i="1" s="1"/>
  <c r="AJ231" i="1"/>
  <c r="AI231" i="1"/>
  <c r="BL228" i="1"/>
  <c r="BK228" i="1"/>
  <c r="BJ228" i="1"/>
  <c r="BI228" i="1"/>
  <c r="BH228" i="1"/>
  <c r="BG228" i="1"/>
  <c r="BF228" i="1"/>
  <c r="AV228" i="1"/>
  <c r="AX228" i="1" s="1"/>
  <c r="AU228" i="1"/>
  <c r="AW228" i="1" s="1"/>
  <c r="AT228" i="1"/>
  <c r="AS228" i="1"/>
  <c r="AP228" i="1"/>
  <c r="AN228" i="1"/>
  <c r="AO228" i="1" s="1"/>
  <c r="AQ228" i="1" s="1"/>
  <c r="AM228" i="1"/>
  <c r="AK228" i="1"/>
  <c r="AL228" i="1" s="1"/>
  <c r="AJ228" i="1"/>
  <c r="AI228" i="1"/>
  <c r="BL225" i="1"/>
  <c r="BK225" i="1"/>
  <c r="BJ225" i="1"/>
  <c r="BI225" i="1"/>
  <c r="BH225" i="1"/>
  <c r="BG225" i="1"/>
  <c r="BF225" i="1"/>
  <c r="AX225" i="1"/>
  <c r="AW225" i="1"/>
  <c r="AY225" i="1" s="1"/>
  <c r="AV225" i="1"/>
  <c r="AU225" i="1"/>
  <c r="AT225" i="1"/>
  <c r="AS225" i="1"/>
  <c r="AP225" i="1"/>
  <c r="AO225" i="1"/>
  <c r="AQ225" i="1" s="1"/>
  <c r="AN225" i="1"/>
  <c r="AM225" i="1"/>
  <c r="AK225" i="1"/>
  <c r="AL225" i="1" s="1"/>
  <c r="AJ225" i="1"/>
  <c r="AI225" i="1"/>
  <c r="BL222" i="1"/>
  <c r="BK222" i="1"/>
  <c r="BJ222" i="1"/>
  <c r="BI222" i="1"/>
  <c r="BH222" i="1"/>
  <c r="BG222" i="1"/>
  <c r="BF222" i="1"/>
  <c r="AV222" i="1"/>
  <c r="AX222" i="1" s="1"/>
  <c r="AU222" i="1"/>
  <c r="AW222" i="1" s="1"/>
  <c r="AT222" i="1"/>
  <c r="AS222" i="1"/>
  <c r="AP222" i="1"/>
  <c r="AN222" i="1"/>
  <c r="AO222" i="1" s="1"/>
  <c r="AQ222" i="1" s="1"/>
  <c r="AM222" i="1"/>
  <c r="AK222" i="1"/>
  <c r="AL222" i="1" s="1"/>
  <c r="AJ222" i="1"/>
  <c r="AI222" i="1"/>
  <c r="BL219" i="1"/>
  <c r="BK219" i="1"/>
  <c r="BJ219" i="1"/>
  <c r="BI219" i="1"/>
  <c r="BH219" i="1"/>
  <c r="BG219" i="1"/>
  <c r="BF219" i="1"/>
  <c r="AV219" i="1"/>
  <c r="AU219" i="1"/>
  <c r="AW219" i="1" s="1"/>
  <c r="AT219" i="1"/>
  <c r="AX219" i="1" s="1"/>
  <c r="AS219" i="1"/>
  <c r="AP219" i="1"/>
  <c r="AN219" i="1"/>
  <c r="AM219" i="1"/>
  <c r="AO219" i="1" s="1"/>
  <c r="AQ219" i="1" s="1"/>
  <c r="AK219" i="1"/>
  <c r="AL219" i="1" s="1"/>
  <c r="AJ219" i="1"/>
  <c r="AI219" i="1"/>
  <c r="BL216" i="1"/>
  <c r="BK216" i="1"/>
  <c r="BJ216" i="1"/>
  <c r="BI216" i="1"/>
  <c r="BH216" i="1"/>
  <c r="BG216" i="1"/>
  <c r="BF216" i="1"/>
  <c r="AV216" i="1"/>
  <c r="AX216" i="1" s="1"/>
  <c r="AU216" i="1"/>
  <c r="AW216" i="1" s="1"/>
  <c r="AY216" i="1" s="1"/>
  <c r="AT216" i="1"/>
  <c r="AS216" i="1"/>
  <c r="AP216" i="1"/>
  <c r="AN216" i="1"/>
  <c r="AM216" i="1"/>
  <c r="AO216" i="1" s="1"/>
  <c r="AQ216" i="1" s="1"/>
  <c r="AK216" i="1"/>
  <c r="AL216" i="1" s="1"/>
  <c r="AJ216" i="1"/>
  <c r="AI216" i="1"/>
  <c r="BL213" i="1"/>
  <c r="BK213" i="1"/>
  <c r="BJ213" i="1"/>
  <c r="BI213" i="1"/>
  <c r="BH213" i="1"/>
  <c r="BG213" i="1"/>
  <c r="BF213" i="1"/>
  <c r="AV213" i="1"/>
  <c r="AU213" i="1"/>
  <c r="AT213" i="1"/>
  <c r="AX213" i="1" s="1"/>
  <c r="AS213" i="1"/>
  <c r="AP213" i="1"/>
  <c r="AO213" i="1"/>
  <c r="AQ213" i="1" s="1"/>
  <c r="AN213" i="1"/>
  <c r="AM213" i="1"/>
  <c r="AL213" i="1"/>
  <c r="BA213" i="1" s="1"/>
  <c r="AK213" i="1"/>
  <c r="AJ213" i="1"/>
  <c r="AI213" i="1"/>
  <c r="BL210" i="1"/>
  <c r="BK210" i="1"/>
  <c r="BJ210" i="1"/>
  <c r="BI210" i="1"/>
  <c r="BH210" i="1"/>
  <c r="BG210" i="1"/>
  <c r="BF210" i="1"/>
  <c r="AV210" i="1"/>
  <c r="AX210" i="1" s="1"/>
  <c r="AU210" i="1"/>
  <c r="AW210" i="1" s="1"/>
  <c r="AT210" i="1"/>
  <c r="AS210" i="1"/>
  <c r="AP210" i="1"/>
  <c r="AN210" i="1"/>
  <c r="AM210" i="1"/>
  <c r="AO210" i="1" s="1"/>
  <c r="AQ210" i="1" s="1"/>
  <c r="AR210" i="1" s="1"/>
  <c r="AL210" i="1"/>
  <c r="BA210" i="1" s="1"/>
  <c r="AK210" i="1"/>
  <c r="AJ210" i="1"/>
  <c r="AI210" i="1"/>
  <c r="BL207" i="1"/>
  <c r="BK207" i="1"/>
  <c r="BJ207" i="1"/>
  <c r="BI207" i="1"/>
  <c r="BH207" i="1"/>
  <c r="BG207" i="1"/>
  <c r="BF207" i="1"/>
  <c r="AX207" i="1"/>
  <c r="AV207" i="1"/>
  <c r="AU207" i="1"/>
  <c r="AW207" i="1" s="1"/>
  <c r="AY207" i="1" s="1"/>
  <c r="AT207" i="1"/>
  <c r="AS207" i="1"/>
  <c r="AP207" i="1"/>
  <c r="AN207" i="1"/>
  <c r="AM207" i="1"/>
  <c r="AO207" i="1" s="1"/>
  <c r="AQ207" i="1" s="1"/>
  <c r="AK207" i="1"/>
  <c r="AL207" i="1" s="1"/>
  <c r="AJ207" i="1"/>
  <c r="AI207" i="1"/>
  <c r="BL204" i="1"/>
  <c r="BK204" i="1"/>
  <c r="BJ204" i="1"/>
  <c r="BI204" i="1"/>
  <c r="BH204" i="1"/>
  <c r="BG204" i="1"/>
  <c r="BF204" i="1"/>
  <c r="AV204" i="1"/>
  <c r="AX204" i="1" s="1"/>
  <c r="AU204" i="1"/>
  <c r="AW204" i="1" s="1"/>
  <c r="AY204" i="1" s="1"/>
  <c r="AT204" i="1"/>
  <c r="AS204" i="1"/>
  <c r="AP204" i="1"/>
  <c r="AN204" i="1"/>
  <c r="AO204" i="1" s="1"/>
  <c r="AQ204" i="1" s="1"/>
  <c r="AM204" i="1"/>
  <c r="AK204" i="1"/>
  <c r="AL204" i="1" s="1"/>
  <c r="AJ204" i="1"/>
  <c r="AI204" i="1"/>
  <c r="BL201" i="1"/>
  <c r="BK201" i="1"/>
  <c r="BJ201" i="1"/>
  <c r="BI201" i="1"/>
  <c r="BH201" i="1"/>
  <c r="BG201" i="1"/>
  <c r="BF201" i="1"/>
  <c r="AX201" i="1"/>
  <c r="AW201" i="1"/>
  <c r="AY201" i="1" s="1"/>
  <c r="AV201" i="1"/>
  <c r="AU201" i="1"/>
  <c r="AT201" i="1"/>
  <c r="AS201" i="1"/>
  <c r="AP201" i="1"/>
  <c r="AO201" i="1"/>
  <c r="AQ201" i="1" s="1"/>
  <c r="AN201" i="1"/>
  <c r="AM201" i="1"/>
  <c r="AK201" i="1"/>
  <c r="AL201" i="1" s="1"/>
  <c r="AJ201" i="1"/>
  <c r="AI201" i="1"/>
  <c r="BL198" i="1"/>
  <c r="BK198" i="1"/>
  <c r="BJ198" i="1"/>
  <c r="BI198" i="1"/>
  <c r="BH198" i="1"/>
  <c r="BG198" i="1"/>
  <c r="BF198" i="1"/>
  <c r="AV198" i="1"/>
  <c r="AX198" i="1" s="1"/>
  <c r="AU198" i="1"/>
  <c r="AW198" i="1" s="1"/>
  <c r="AT198" i="1"/>
  <c r="AS198" i="1"/>
  <c r="AP198" i="1"/>
  <c r="AN198" i="1"/>
  <c r="AO198" i="1" s="1"/>
  <c r="AQ198" i="1" s="1"/>
  <c r="AM198" i="1"/>
  <c r="AK198" i="1"/>
  <c r="AL198" i="1" s="1"/>
  <c r="AJ198" i="1"/>
  <c r="AI198" i="1"/>
  <c r="BL195" i="1"/>
  <c r="BK195" i="1"/>
  <c r="BJ195" i="1"/>
  <c r="BI195" i="1"/>
  <c r="BH195" i="1"/>
  <c r="BG195" i="1"/>
  <c r="BF195" i="1"/>
  <c r="AV195" i="1"/>
  <c r="AX195" i="1" s="1"/>
  <c r="AU195" i="1"/>
  <c r="AW195" i="1" s="1"/>
  <c r="AT195" i="1"/>
  <c r="AS195" i="1"/>
  <c r="AP195" i="1"/>
  <c r="AN195" i="1"/>
  <c r="AM195" i="1"/>
  <c r="AO195" i="1" s="1"/>
  <c r="AQ195" i="1" s="1"/>
  <c r="AK195" i="1"/>
  <c r="AL195" i="1" s="1"/>
  <c r="AJ195" i="1"/>
  <c r="AI195" i="1"/>
  <c r="BL192" i="1"/>
  <c r="BK192" i="1"/>
  <c r="BJ192" i="1"/>
  <c r="BI192" i="1"/>
  <c r="BH192" i="1"/>
  <c r="BG192" i="1"/>
  <c r="BF192" i="1"/>
  <c r="AV192" i="1"/>
  <c r="AX192" i="1" s="1"/>
  <c r="AU192" i="1"/>
  <c r="AW192" i="1" s="1"/>
  <c r="AY192" i="1" s="1"/>
  <c r="AT192" i="1"/>
  <c r="AS192" i="1"/>
  <c r="AP192" i="1"/>
  <c r="AN192" i="1"/>
  <c r="AM192" i="1"/>
  <c r="AO192" i="1" s="1"/>
  <c r="AQ192" i="1" s="1"/>
  <c r="AK192" i="1"/>
  <c r="AL192" i="1" s="1"/>
  <c r="AJ192" i="1"/>
  <c r="AI192" i="1"/>
  <c r="BL189" i="1"/>
  <c r="BK189" i="1"/>
  <c r="BJ189" i="1"/>
  <c r="BI189" i="1"/>
  <c r="BH189" i="1"/>
  <c r="BG189" i="1"/>
  <c r="BF189" i="1"/>
  <c r="AW189" i="1"/>
  <c r="AY189" i="1" s="1"/>
  <c r="AV189" i="1"/>
  <c r="AU189" i="1"/>
  <c r="AT189" i="1"/>
  <c r="AX189" i="1" s="1"/>
  <c r="AS189" i="1"/>
  <c r="AP189" i="1"/>
  <c r="AO189" i="1"/>
  <c r="AQ189" i="1" s="1"/>
  <c r="AN189" i="1"/>
  <c r="AM189" i="1"/>
  <c r="AK189" i="1"/>
  <c r="AL189" i="1" s="1"/>
  <c r="AJ189" i="1"/>
  <c r="AI189" i="1"/>
  <c r="BL186" i="1"/>
  <c r="BK186" i="1"/>
  <c r="BJ186" i="1"/>
  <c r="BI186" i="1"/>
  <c r="BH186" i="1"/>
  <c r="BG186" i="1"/>
  <c r="BF186" i="1"/>
  <c r="AV186" i="1"/>
  <c r="AX186" i="1" s="1"/>
  <c r="AU186" i="1"/>
  <c r="AW186" i="1" s="1"/>
  <c r="AY186" i="1" s="1"/>
  <c r="AT186" i="1"/>
  <c r="AS186" i="1"/>
  <c r="AP186" i="1"/>
  <c r="AN186" i="1"/>
  <c r="AO186" i="1" s="1"/>
  <c r="AQ186" i="1" s="1"/>
  <c r="AM186" i="1"/>
  <c r="AK186" i="1"/>
  <c r="AL186" i="1" s="1"/>
  <c r="AJ186" i="1"/>
  <c r="AI186" i="1"/>
  <c r="BL183" i="1"/>
  <c r="BK183" i="1"/>
  <c r="BJ183" i="1"/>
  <c r="BI183" i="1"/>
  <c r="BH183" i="1"/>
  <c r="BG183" i="1"/>
  <c r="BF183" i="1"/>
  <c r="AW183" i="1"/>
  <c r="AV183" i="1"/>
  <c r="AU183" i="1"/>
  <c r="AT183" i="1"/>
  <c r="AX183" i="1" s="1"/>
  <c r="AS183" i="1"/>
  <c r="AP183" i="1"/>
  <c r="AO183" i="1"/>
  <c r="AQ183" i="1" s="1"/>
  <c r="AN183" i="1"/>
  <c r="AM183" i="1"/>
  <c r="AK183" i="1"/>
  <c r="AL183" i="1" s="1"/>
  <c r="AJ183" i="1"/>
  <c r="AI183" i="1"/>
  <c r="BL180" i="1"/>
  <c r="BK180" i="1"/>
  <c r="BJ180" i="1"/>
  <c r="BI180" i="1"/>
  <c r="BH180" i="1"/>
  <c r="BG180" i="1"/>
  <c r="BF180" i="1"/>
  <c r="AV180" i="1"/>
  <c r="AX180" i="1" s="1"/>
  <c r="AU180" i="1"/>
  <c r="AW180" i="1" s="1"/>
  <c r="AY180" i="1" s="1"/>
  <c r="AT180" i="1"/>
  <c r="AS180" i="1"/>
  <c r="AP180" i="1"/>
  <c r="AN180" i="1"/>
  <c r="AO180" i="1" s="1"/>
  <c r="AQ180" i="1" s="1"/>
  <c r="AM180" i="1"/>
  <c r="AK180" i="1"/>
  <c r="AL180" i="1" s="1"/>
  <c r="AJ180" i="1"/>
  <c r="AI180" i="1"/>
  <c r="BL177" i="1"/>
  <c r="BK177" i="1"/>
  <c r="BJ177" i="1"/>
  <c r="BI177" i="1"/>
  <c r="BH177" i="1"/>
  <c r="BG177" i="1"/>
  <c r="BF177" i="1"/>
  <c r="AX177" i="1"/>
  <c r="AW177" i="1"/>
  <c r="AY177" i="1" s="1"/>
  <c r="AV177" i="1"/>
  <c r="AU177" i="1"/>
  <c r="AT177" i="1"/>
  <c r="AS177" i="1"/>
  <c r="AP177" i="1"/>
  <c r="AO177" i="1"/>
  <c r="AQ177" i="1" s="1"/>
  <c r="AN177" i="1"/>
  <c r="AM177" i="1"/>
  <c r="AK177" i="1"/>
  <c r="AL177" i="1" s="1"/>
  <c r="AJ177" i="1"/>
  <c r="AI177" i="1"/>
  <c r="BL174" i="1"/>
  <c r="BK174" i="1"/>
  <c r="BJ174" i="1"/>
  <c r="BI174" i="1"/>
  <c r="BH174" i="1"/>
  <c r="BG174" i="1"/>
  <c r="BF174" i="1"/>
  <c r="AV174" i="1"/>
  <c r="AX174" i="1" s="1"/>
  <c r="AU174" i="1"/>
  <c r="AW174" i="1" s="1"/>
  <c r="AY174" i="1" s="1"/>
  <c r="AT174" i="1"/>
  <c r="AS174" i="1"/>
  <c r="AP174" i="1"/>
  <c r="AN174" i="1"/>
  <c r="AO174" i="1" s="1"/>
  <c r="AQ174" i="1" s="1"/>
  <c r="AM174" i="1"/>
  <c r="AK174" i="1"/>
  <c r="AL174" i="1" s="1"/>
  <c r="AJ174" i="1"/>
  <c r="AI174" i="1"/>
  <c r="BL171" i="1"/>
  <c r="BK171" i="1"/>
  <c r="BJ171" i="1"/>
  <c r="BI171" i="1"/>
  <c r="BH171" i="1"/>
  <c r="BG171" i="1"/>
  <c r="BF171" i="1"/>
  <c r="AV171" i="1"/>
  <c r="AX171" i="1" s="1"/>
  <c r="AU171" i="1"/>
  <c r="AW171" i="1" s="1"/>
  <c r="AY171" i="1" s="1"/>
  <c r="AT171" i="1"/>
  <c r="AS171" i="1"/>
  <c r="AP171" i="1"/>
  <c r="AN171" i="1"/>
  <c r="AM171" i="1"/>
  <c r="AO171" i="1" s="1"/>
  <c r="AQ171" i="1" s="1"/>
  <c r="AK171" i="1"/>
  <c r="AL171" i="1" s="1"/>
  <c r="AJ171" i="1"/>
  <c r="AI171" i="1"/>
  <c r="BL168" i="1"/>
  <c r="BK168" i="1"/>
  <c r="BJ168" i="1"/>
  <c r="BI168" i="1"/>
  <c r="BH168" i="1"/>
  <c r="BG168" i="1"/>
  <c r="BF168" i="1"/>
  <c r="AV168" i="1"/>
  <c r="AX168" i="1" s="1"/>
  <c r="AU168" i="1"/>
  <c r="AW168" i="1" s="1"/>
  <c r="AY168" i="1" s="1"/>
  <c r="AT168" i="1"/>
  <c r="AS168" i="1"/>
  <c r="AP168" i="1"/>
  <c r="AN168" i="1"/>
  <c r="AM168" i="1"/>
  <c r="AO168" i="1" s="1"/>
  <c r="AQ168" i="1" s="1"/>
  <c r="AK168" i="1"/>
  <c r="AL168" i="1" s="1"/>
  <c r="AJ168" i="1"/>
  <c r="AI168" i="1"/>
  <c r="BL165" i="1"/>
  <c r="BK165" i="1"/>
  <c r="BJ165" i="1"/>
  <c r="BI165" i="1"/>
  <c r="BH165" i="1"/>
  <c r="BG165" i="1"/>
  <c r="BF165" i="1"/>
  <c r="AX165" i="1"/>
  <c r="AW165" i="1"/>
  <c r="AY165" i="1" s="1"/>
  <c r="AV165" i="1"/>
  <c r="AU165" i="1"/>
  <c r="AT165" i="1"/>
  <c r="AS165" i="1"/>
  <c r="AP165" i="1"/>
  <c r="AO165" i="1"/>
  <c r="AQ165" i="1" s="1"/>
  <c r="AN165" i="1"/>
  <c r="AM165" i="1"/>
  <c r="AK165" i="1"/>
  <c r="AL165" i="1" s="1"/>
  <c r="AJ165" i="1"/>
  <c r="AI165" i="1"/>
  <c r="BL162" i="1"/>
  <c r="BK162" i="1"/>
  <c r="BJ162" i="1"/>
  <c r="BI162" i="1"/>
  <c r="BH162" i="1"/>
  <c r="BG162" i="1"/>
  <c r="BF162" i="1"/>
  <c r="AV162" i="1"/>
  <c r="AX162" i="1" s="1"/>
  <c r="AU162" i="1"/>
  <c r="AW162" i="1" s="1"/>
  <c r="AY162" i="1" s="1"/>
  <c r="AT162" i="1"/>
  <c r="AS162" i="1"/>
  <c r="AP162" i="1"/>
  <c r="AN162" i="1"/>
  <c r="AO162" i="1" s="1"/>
  <c r="AQ162" i="1" s="1"/>
  <c r="AM162" i="1"/>
  <c r="AK162" i="1"/>
  <c r="AL162" i="1" s="1"/>
  <c r="AJ162" i="1"/>
  <c r="AI162" i="1"/>
  <c r="BL159" i="1"/>
  <c r="BK159" i="1"/>
  <c r="BJ159" i="1"/>
  <c r="BI159" i="1"/>
  <c r="BH159" i="1"/>
  <c r="BG159" i="1"/>
  <c r="BF159" i="1"/>
  <c r="AV159" i="1"/>
  <c r="AX159" i="1" s="1"/>
  <c r="AU159" i="1"/>
  <c r="AT159" i="1"/>
  <c r="AW159" i="1" s="1"/>
  <c r="AY159" i="1" s="1"/>
  <c r="AS159" i="1"/>
  <c r="AP159" i="1"/>
  <c r="AO159" i="1"/>
  <c r="AQ159" i="1" s="1"/>
  <c r="AN159" i="1"/>
  <c r="AM159" i="1"/>
  <c r="AK159" i="1"/>
  <c r="AL159" i="1" s="1"/>
  <c r="AJ159" i="1"/>
  <c r="AI159" i="1"/>
  <c r="BL156" i="1"/>
  <c r="BK156" i="1"/>
  <c r="BJ156" i="1"/>
  <c r="BI156" i="1"/>
  <c r="BH156" i="1"/>
  <c r="BG156" i="1"/>
  <c r="BF156" i="1"/>
  <c r="AV156" i="1"/>
  <c r="AX156" i="1" s="1"/>
  <c r="AU156" i="1"/>
  <c r="AW156" i="1" s="1"/>
  <c r="AY156" i="1" s="1"/>
  <c r="AT156" i="1"/>
  <c r="AS156" i="1"/>
  <c r="AP156" i="1"/>
  <c r="AN156" i="1"/>
  <c r="AO156" i="1" s="1"/>
  <c r="AQ156" i="1" s="1"/>
  <c r="AM156" i="1"/>
  <c r="AK156" i="1"/>
  <c r="AL156" i="1" s="1"/>
  <c r="AJ156" i="1"/>
  <c r="AI156" i="1"/>
  <c r="BL153" i="1"/>
  <c r="BK153" i="1"/>
  <c r="BJ153" i="1"/>
  <c r="BI153" i="1"/>
  <c r="BH153" i="1"/>
  <c r="BG153" i="1"/>
  <c r="BF153" i="1"/>
  <c r="AY153" i="1"/>
  <c r="AX153" i="1"/>
  <c r="AW153" i="1"/>
  <c r="AV153" i="1"/>
  <c r="AU153" i="1"/>
  <c r="AT153" i="1"/>
  <c r="AS153" i="1"/>
  <c r="AQ153" i="1"/>
  <c r="AP153" i="1"/>
  <c r="AO153" i="1"/>
  <c r="AN153" i="1"/>
  <c r="AM153" i="1"/>
  <c r="AK153" i="1"/>
  <c r="AL153" i="1" s="1"/>
  <c r="AJ153" i="1"/>
  <c r="AI153" i="1"/>
  <c r="BL150" i="1"/>
  <c r="BK150" i="1"/>
  <c r="BJ150" i="1"/>
  <c r="BI150" i="1"/>
  <c r="BH150" i="1"/>
  <c r="BG150" i="1"/>
  <c r="BF150" i="1"/>
  <c r="AX150" i="1"/>
  <c r="AW150" i="1"/>
  <c r="AY150" i="1" s="1"/>
  <c r="AV150" i="1"/>
  <c r="AU150" i="1"/>
  <c r="AT150" i="1"/>
  <c r="AS150" i="1"/>
  <c r="AP150" i="1"/>
  <c r="AO150" i="1"/>
  <c r="AQ150" i="1" s="1"/>
  <c r="AN150" i="1"/>
  <c r="AM150" i="1"/>
  <c r="AK150" i="1"/>
  <c r="AL150" i="1" s="1"/>
  <c r="AJ150" i="1"/>
  <c r="AI150" i="1"/>
  <c r="BL147" i="1"/>
  <c r="BK147" i="1"/>
  <c r="BJ147" i="1"/>
  <c r="BI147" i="1"/>
  <c r="BH147" i="1"/>
  <c r="BG147" i="1"/>
  <c r="BF147" i="1"/>
  <c r="AV147" i="1"/>
  <c r="AX147" i="1" s="1"/>
  <c r="AU147" i="1"/>
  <c r="AW147" i="1" s="1"/>
  <c r="AY147" i="1" s="1"/>
  <c r="AT147" i="1"/>
  <c r="AS147" i="1"/>
  <c r="AP147" i="1"/>
  <c r="AN147" i="1"/>
  <c r="AO147" i="1" s="1"/>
  <c r="AQ147" i="1" s="1"/>
  <c r="AM147" i="1"/>
  <c r="AK147" i="1"/>
  <c r="AL147" i="1" s="1"/>
  <c r="AJ147" i="1"/>
  <c r="AI147" i="1"/>
  <c r="BL144" i="1"/>
  <c r="BK144" i="1"/>
  <c r="BJ144" i="1"/>
  <c r="BI144" i="1"/>
  <c r="BH144" i="1"/>
  <c r="BG144" i="1"/>
  <c r="BF144" i="1"/>
  <c r="AV144" i="1"/>
  <c r="AX144" i="1" s="1"/>
  <c r="AU144" i="1"/>
  <c r="AW144" i="1" s="1"/>
  <c r="AY144" i="1" s="1"/>
  <c r="AT144" i="1"/>
  <c r="AS144" i="1"/>
  <c r="AP144" i="1"/>
  <c r="AN144" i="1"/>
  <c r="AM144" i="1"/>
  <c r="AO144" i="1" s="1"/>
  <c r="AQ144" i="1" s="1"/>
  <c r="AK144" i="1"/>
  <c r="AL144" i="1" s="1"/>
  <c r="AJ144" i="1"/>
  <c r="AI144" i="1"/>
  <c r="BL141" i="1"/>
  <c r="BK141" i="1"/>
  <c r="BJ141" i="1"/>
  <c r="BI141" i="1"/>
  <c r="BH141" i="1"/>
  <c r="BG141" i="1"/>
  <c r="BF141" i="1"/>
  <c r="AX141" i="1"/>
  <c r="AW141" i="1"/>
  <c r="AY141" i="1" s="1"/>
  <c r="AV141" i="1"/>
  <c r="AU141" i="1"/>
  <c r="AT141" i="1"/>
  <c r="AS141" i="1"/>
  <c r="AP141" i="1"/>
  <c r="AO141" i="1"/>
  <c r="AQ141" i="1" s="1"/>
  <c r="AN141" i="1"/>
  <c r="AM141" i="1"/>
  <c r="AL141" i="1"/>
  <c r="BA141" i="1" s="1"/>
  <c r="AK141" i="1"/>
  <c r="AJ141" i="1"/>
  <c r="AI141" i="1"/>
  <c r="BL138" i="1"/>
  <c r="BK138" i="1"/>
  <c r="BJ138" i="1"/>
  <c r="BI138" i="1"/>
  <c r="BH138" i="1"/>
  <c r="BG138" i="1"/>
  <c r="BF138" i="1"/>
  <c r="AV138" i="1"/>
  <c r="AX138" i="1" s="1"/>
  <c r="AU138" i="1"/>
  <c r="AW138" i="1" s="1"/>
  <c r="AT138" i="1"/>
  <c r="AS138" i="1"/>
  <c r="AP138" i="1"/>
  <c r="AN138" i="1"/>
  <c r="AO138" i="1" s="1"/>
  <c r="AQ138" i="1" s="1"/>
  <c r="AM138" i="1"/>
  <c r="AK138" i="1"/>
  <c r="AL138" i="1" s="1"/>
  <c r="AJ138" i="1"/>
  <c r="AI138" i="1"/>
  <c r="BL135" i="1"/>
  <c r="BK135" i="1"/>
  <c r="BJ135" i="1"/>
  <c r="BI135" i="1"/>
  <c r="BH135" i="1"/>
  <c r="BG135" i="1"/>
  <c r="BF135" i="1"/>
  <c r="AV135" i="1"/>
  <c r="AU135" i="1"/>
  <c r="AW135" i="1" s="1"/>
  <c r="AT135" i="1"/>
  <c r="AX135" i="1" s="1"/>
  <c r="AS135" i="1"/>
  <c r="AP135" i="1"/>
  <c r="AN135" i="1"/>
  <c r="AM135" i="1"/>
  <c r="AO135" i="1" s="1"/>
  <c r="AQ135" i="1" s="1"/>
  <c r="AK135" i="1"/>
  <c r="AL135" i="1" s="1"/>
  <c r="AJ135" i="1"/>
  <c r="AI135" i="1"/>
  <c r="BL132" i="1"/>
  <c r="BK132" i="1"/>
  <c r="BJ132" i="1"/>
  <c r="BI132" i="1"/>
  <c r="BH132" i="1"/>
  <c r="BG132" i="1"/>
  <c r="BF132" i="1"/>
  <c r="AV132" i="1"/>
  <c r="AX132" i="1" s="1"/>
  <c r="AU132" i="1"/>
  <c r="AW132" i="1" s="1"/>
  <c r="AY132" i="1" s="1"/>
  <c r="AT132" i="1"/>
  <c r="AS132" i="1"/>
  <c r="AP132" i="1"/>
  <c r="AN132" i="1"/>
  <c r="AO132" i="1" s="1"/>
  <c r="AQ132" i="1" s="1"/>
  <c r="AM132" i="1"/>
  <c r="AK132" i="1"/>
  <c r="AL132" i="1" s="1"/>
  <c r="AJ132" i="1"/>
  <c r="AI132" i="1"/>
  <c r="BL129" i="1"/>
  <c r="BK129" i="1"/>
  <c r="BJ129" i="1"/>
  <c r="BI129" i="1"/>
  <c r="BH129" i="1"/>
  <c r="BG129" i="1"/>
  <c r="BF129" i="1"/>
  <c r="AV129" i="1"/>
  <c r="AX129" i="1" s="1"/>
  <c r="AU129" i="1"/>
  <c r="AW129" i="1" s="1"/>
  <c r="AT129" i="1"/>
  <c r="AS129" i="1"/>
  <c r="AP129" i="1"/>
  <c r="AN129" i="1"/>
  <c r="AO129" i="1" s="1"/>
  <c r="AQ129" i="1" s="1"/>
  <c r="AR129" i="1" s="1"/>
  <c r="AM129" i="1"/>
  <c r="AL129" i="1"/>
  <c r="AK129" i="1"/>
  <c r="AJ129" i="1"/>
  <c r="AI129" i="1"/>
  <c r="BL126" i="1"/>
  <c r="BK126" i="1"/>
  <c r="BJ126" i="1"/>
  <c r="BI126" i="1"/>
  <c r="BH126" i="1"/>
  <c r="BG126" i="1"/>
  <c r="BF126" i="1"/>
  <c r="AX126" i="1"/>
  <c r="AW126" i="1"/>
  <c r="AY126" i="1" s="1"/>
  <c r="AV126" i="1"/>
  <c r="AU126" i="1"/>
  <c r="AT126" i="1"/>
  <c r="AS126" i="1"/>
  <c r="AP126" i="1"/>
  <c r="AO126" i="1"/>
  <c r="AQ126" i="1" s="1"/>
  <c r="AN126" i="1"/>
  <c r="AM126" i="1"/>
  <c r="AK126" i="1"/>
  <c r="AL126" i="1" s="1"/>
  <c r="AJ126" i="1"/>
  <c r="AI126" i="1"/>
  <c r="BL123" i="1"/>
  <c r="BK123" i="1"/>
  <c r="BJ123" i="1"/>
  <c r="BI123" i="1"/>
  <c r="BH123" i="1"/>
  <c r="BG123" i="1"/>
  <c r="BF123" i="1"/>
  <c r="AV123" i="1"/>
  <c r="AX123" i="1" s="1"/>
  <c r="AU123" i="1"/>
  <c r="AW123" i="1" s="1"/>
  <c r="AT123" i="1"/>
  <c r="AS123" i="1"/>
  <c r="AP123" i="1"/>
  <c r="AN123" i="1"/>
  <c r="AO123" i="1" s="1"/>
  <c r="AQ123" i="1" s="1"/>
  <c r="AM123" i="1"/>
  <c r="AK123" i="1"/>
  <c r="AL123" i="1" s="1"/>
  <c r="AJ123" i="1"/>
  <c r="AI123" i="1"/>
  <c r="BL120" i="1"/>
  <c r="BK120" i="1"/>
  <c r="BJ120" i="1"/>
  <c r="BI120" i="1"/>
  <c r="BH120" i="1"/>
  <c r="BG120" i="1"/>
  <c r="BF120" i="1"/>
  <c r="AV120" i="1"/>
  <c r="AX120" i="1" s="1"/>
  <c r="AU120" i="1"/>
  <c r="AT120" i="1"/>
  <c r="AW120" i="1" s="1"/>
  <c r="AS120" i="1"/>
  <c r="AP120" i="1"/>
  <c r="AO120" i="1"/>
  <c r="AQ120" i="1" s="1"/>
  <c r="AN120" i="1"/>
  <c r="AM120" i="1"/>
  <c r="AK120" i="1"/>
  <c r="AL120" i="1" s="1"/>
  <c r="AJ120" i="1"/>
  <c r="AI120" i="1"/>
  <c r="BL117" i="1"/>
  <c r="BK117" i="1"/>
  <c r="BJ117" i="1"/>
  <c r="BI117" i="1"/>
  <c r="BH117" i="1"/>
  <c r="BG117" i="1"/>
  <c r="BF117" i="1"/>
  <c r="AX117" i="1"/>
  <c r="AW117" i="1"/>
  <c r="AY117" i="1" s="1"/>
  <c r="AV117" i="1"/>
  <c r="AU117" i="1"/>
  <c r="AT117" i="1"/>
  <c r="AS117" i="1"/>
  <c r="AP117" i="1"/>
  <c r="AO117" i="1"/>
  <c r="AQ117" i="1" s="1"/>
  <c r="AN117" i="1"/>
  <c r="AM117" i="1"/>
  <c r="AL117" i="1"/>
  <c r="BA117" i="1" s="1"/>
  <c r="AK117" i="1"/>
  <c r="AJ117" i="1"/>
  <c r="AI117" i="1"/>
  <c r="BL114" i="1"/>
  <c r="BK114" i="1"/>
  <c r="BJ114" i="1"/>
  <c r="BI114" i="1"/>
  <c r="BH114" i="1"/>
  <c r="BG114" i="1"/>
  <c r="BF114" i="1"/>
  <c r="AV114" i="1"/>
  <c r="AX114" i="1" s="1"/>
  <c r="AU114" i="1"/>
  <c r="AW114" i="1" s="1"/>
  <c r="AY114" i="1" s="1"/>
  <c r="AT114" i="1"/>
  <c r="AS114" i="1"/>
  <c r="AP114" i="1"/>
  <c r="AN114" i="1"/>
  <c r="AM114" i="1"/>
  <c r="AO114" i="1" s="1"/>
  <c r="AQ114" i="1" s="1"/>
  <c r="AK114" i="1"/>
  <c r="AL114" i="1" s="1"/>
  <c r="AJ114" i="1"/>
  <c r="AI114" i="1"/>
  <c r="BL111" i="1"/>
  <c r="BK111" i="1"/>
  <c r="BJ111" i="1"/>
  <c r="BI111" i="1"/>
  <c r="BH111" i="1"/>
  <c r="BG111" i="1"/>
  <c r="BF111" i="1"/>
  <c r="AV111" i="1"/>
  <c r="AU111" i="1"/>
  <c r="AW111" i="1" s="1"/>
  <c r="AT111" i="1"/>
  <c r="AX111" i="1" s="1"/>
  <c r="AS111" i="1"/>
  <c r="AP111" i="1"/>
  <c r="AN111" i="1"/>
  <c r="AM111" i="1"/>
  <c r="AO111" i="1" s="1"/>
  <c r="AQ111" i="1" s="1"/>
  <c r="AK111" i="1"/>
  <c r="AL111" i="1" s="1"/>
  <c r="AJ111" i="1"/>
  <c r="AI111" i="1"/>
  <c r="BL108" i="1"/>
  <c r="BK108" i="1"/>
  <c r="BJ108" i="1"/>
  <c r="BI108" i="1"/>
  <c r="BH108" i="1"/>
  <c r="BG108" i="1"/>
  <c r="BF108" i="1"/>
  <c r="AW108" i="1"/>
  <c r="AV108" i="1"/>
  <c r="AX108" i="1" s="1"/>
  <c r="AY108" i="1" s="1"/>
  <c r="AU108" i="1"/>
  <c r="AT108" i="1"/>
  <c r="AS108" i="1"/>
  <c r="AQ108" i="1"/>
  <c r="AP108" i="1"/>
  <c r="AO108" i="1"/>
  <c r="AN108" i="1"/>
  <c r="AM108" i="1"/>
  <c r="AK108" i="1"/>
  <c r="AL108" i="1" s="1"/>
  <c r="AJ108" i="1"/>
  <c r="AI108" i="1"/>
  <c r="BL105" i="1"/>
  <c r="BK105" i="1"/>
  <c r="BJ105" i="1"/>
  <c r="BI105" i="1"/>
  <c r="BH105" i="1"/>
  <c r="BG105" i="1"/>
  <c r="BF105" i="1"/>
  <c r="AX105" i="1"/>
  <c r="AW105" i="1"/>
  <c r="AY105" i="1" s="1"/>
  <c r="AV105" i="1"/>
  <c r="AU105" i="1"/>
  <c r="AT105" i="1"/>
  <c r="AS105" i="1"/>
  <c r="AP105" i="1"/>
  <c r="AO105" i="1"/>
  <c r="AQ105" i="1" s="1"/>
  <c r="AN105" i="1"/>
  <c r="AM105" i="1"/>
  <c r="AK105" i="1"/>
  <c r="AL105" i="1" s="1"/>
  <c r="AJ105" i="1"/>
  <c r="AI105" i="1"/>
  <c r="BL102" i="1"/>
  <c r="BK102" i="1"/>
  <c r="BJ102" i="1"/>
  <c r="BI102" i="1"/>
  <c r="BH102" i="1"/>
  <c r="BG102" i="1"/>
  <c r="BF102" i="1"/>
  <c r="AV102" i="1"/>
  <c r="AX102" i="1" s="1"/>
  <c r="AU102" i="1"/>
  <c r="AW102" i="1" s="1"/>
  <c r="AY102" i="1" s="1"/>
  <c r="AT102" i="1"/>
  <c r="AS102" i="1"/>
  <c r="AP102" i="1"/>
  <c r="AN102" i="1"/>
  <c r="AO102" i="1" s="1"/>
  <c r="AQ102" i="1" s="1"/>
  <c r="AM102" i="1"/>
  <c r="AK102" i="1"/>
  <c r="AL102" i="1" s="1"/>
  <c r="AJ102" i="1"/>
  <c r="AI102" i="1"/>
  <c r="BL99" i="1"/>
  <c r="BK99" i="1"/>
  <c r="BJ99" i="1"/>
  <c r="BI99" i="1"/>
  <c r="BH99" i="1"/>
  <c r="BG99" i="1"/>
  <c r="BF99" i="1"/>
  <c r="AV99" i="1"/>
  <c r="AX99" i="1" s="1"/>
  <c r="AU99" i="1"/>
  <c r="AW99" i="1" s="1"/>
  <c r="AY99" i="1" s="1"/>
  <c r="AT99" i="1"/>
  <c r="AS99" i="1"/>
  <c r="AP99" i="1"/>
  <c r="AN99" i="1"/>
  <c r="AO99" i="1" s="1"/>
  <c r="AQ99" i="1" s="1"/>
  <c r="AM99" i="1"/>
  <c r="AK99" i="1"/>
  <c r="AL99" i="1" s="1"/>
  <c r="AJ99" i="1"/>
  <c r="AI99" i="1"/>
  <c r="BL96" i="1"/>
  <c r="BK96" i="1"/>
  <c r="BJ96" i="1"/>
  <c r="BI96" i="1"/>
  <c r="BH96" i="1"/>
  <c r="BG96" i="1"/>
  <c r="BF96" i="1"/>
  <c r="AV96" i="1"/>
  <c r="AY96" i="1" s="1"/>
  <c r="AS96" i="1"/>
  <c r="AQ96" i="1"/>
  <c r="AP96" i="1"/>
  <c r="AO96" i="1"/>
  <c r="AN96" i="1"/>
  <c r="AM96" i="1"/>
  <c r="AL96" i="1"/>
  <c r="AJ96" i="1"/>
  <c r="AI96" i="1"/>
  <c r="BL93" i="1"/>
  <c r="BK93" i="1"/>
  <c r="BJ93" i="1"/>
  <c r="BI93" i="1"/>
  <c r="BH93" i="1"/>
  <c r="BG93" i="1"/>
  <c r="BF93" i="1"/>
  <c r="AZ93" i="1"/>
  <c r="BB93" i="1" s="1"/>
  <c r="AY93" i="1"/>
  <c r="AX93" i="1"/>
  <c r="AW93" i="1"/>
  <c r="AV93" i="1"/>
  <c r="AU93" i="1"/>
  <c r="AT93" i="1"/>
  <c r="AS93" i="1"/>
  <c r="AQ93" i="1"/>
  <c r="AR93" i="1" s="1"/>
  <c r="AP93" i="1"/>
  <c r="AO93" i="1"/>
  <c r="AN93" i="1"/>
  <c r="AM93" i="1"/>
  <c r="AL93" i="1"/>
  <c r="BA93" i="1" s="1"/>
  <c r="AK93" i="1"/>
  <c r="AJ93" i="1"/>
  <c r="AI93" i="1"/>
  <c r="BL90" i="1"/>
  <c r="BK90" i="1"/>
  <c r="BJ90" i="1"/>
  <c r="BI90" i="1"/>
  <c r="BH90" i="1"/>
  <c r="BG90" i="1"/>
  <c r="BF90" i="1"/>
  <c r="AX90" i="1"/>
  <c r="AW90" i="1"/>
  <c r="AZ90" i="1" s="1"/>
  <c r="BB90" i="1" s="1"/>
  <c r="AV90" i="1"/>
  <c r="AU90" i="1"/>
  <c r="AT90" i="1"/>
  <c r="AS90" i="1"/>
  <c r="AP90" i="1"/>
  <c r="AO90" i="1"/>
  <c r="AQ90" i="1" s="1"/>
  <c r="AR90" i="1" s="1"/>
  <c r="AN90" i="1"/>
  <c r="AM90" i="1"/>
  <c r="AL90" i="1"/>
  <c r="BA90" i="1" s="1"/>
  <c r="AK90" i="1"/>
  <c r="AJ90" i="1"/>
  <c r="AI90" i="1"/>
  <c r="BL87" i="1"/>
  <c r="BK87" i="1"/>
  <c r="BJ87" i="1"/>
  <c r="BI87" i="1"/>
  <c r="BH87" i="1"/>
  <c r="BG87" i="1"/>
  <c r="BF87" i="1"/>
  <c r="BA87" i="1"/>
  <c r="AX87" i="1"/>
  <c r="AW87" i="1"/>
  <c r="AY87" i="1" s="1"/>
  <c r="AV87" i="1"/>
  <c r="AU87" i="1"/>
  <c r="AT87" i="1"/>
  <c r="AS87" i="1"/>
  <c r="AQ87" i="1"/>
  <c r="AP87" i="1"/>
  <c r="AO87" i="1"/>
  <c r="AN87" i="1"/>
  <c r="AM87" i="1"/>
  <c r="AL87" i="1"/>
  <c r="AZ87" i="1" s="1"/>
  <c r="BB87" i="1" s="1"/>
  <c r="AK87" i="1"/>
  <c r="AJ87" i="1"/>
  <c r="AI87" i="1"/>
  <c r="BL84" i="1"/>
  <c r="BK84" i="1"/>
  <c r="BJ84" i="1"/>
  <c r="BI84" i="1"/>
  <c r="BH84" i="1"/>
  <c r="BG84" i="1"/>
  <c r="BF84" i="1"/>
  <c r="BA84" i="1"/>
  <c r="AY84" i="1"/>
  <c r="AX84" i="1"/>
  <c r="AW84" i="1"/>
  <c r="AV84" i="1"/>
  <c r="AU84" i="1"/>
  <c r="AT84" i="1"/>
  <c r="AS84" i="1"/>
  <c r="AQ84" i="1"/>
  <c r="AP84" i="1"/>
  <c r="AO84" i="1"/>
  <c r="AN84" i="1"/>
  <c r="AM84" i="1"/>
  <c r="AL84" i="1"/>
  <c r="AZ84" i="1" s="1"/>
  <c r="BB84" i="1" s="1"/>
  <c r="AK84" i="1"/>
  <c r="AJ84" i="1"/>
  <c r="AI84" i="1"/>
  <c r="BL81" i="1"/>
  <c r="BK81" i="1"/>
  <c r="BJ81" i="1"/>
  <c r="BI81" i="1"/>
  <c r="BH81" i="1"/>
  <c r="BG81" i="1"/>
  <c r="BF81" i="1"/>
  <c r="AX81" i="1"/>
  <c r="AW81" i="1"/>
  <c r="AY81" i="1" s="1"/>
  <c r="AV81" i="1"/>
  <c r="AU81" i="1"/>
  <c r="AT81" i="1"/>
  <c r="AS81" i="1"/>
  <c r="AP81" i="1"/>
  <c r="AO81" i="1"/>
  <c r="AQ81" i="1" s="1"/>
  <c r="AN81" i="1"/>
  <c r="AM81" i="1"/>
  <c r="AK81" i="1"/>
  <c r="AL81" i="1" s="1"/>
  <c r="AJ81" i="1"/>
  <c r="AI81" i="1"/>
  <c r="BL78" i="1"/>
  <c r="BK78" i="1"/>
  <c r="BJ78" i="1"/>
  <c r="BI78" i="1"/>
  <c r="BH78" i="1"/>
  <c r="BG78" i="1"/>
  <c r="BF78" i="1"/>
  <c r="AV78" i="1"/>
  <c r="AX78" i="1" s="1"/>
  <c r="AU78" i="1"/>
  <c r="AW78" i="1" s="1"/>
  <c r="AY78" i="1" s="1"/>
  <c r="AT78" i="1"/>
  <c r="AS78" i="1"/>
  <c r="AP78" i="1"/>
  <c r="AN78" i="1"/>
  <c r="AM78" i="1"/>
  <c r="AO78" i="1" s="1"/>
  <c r="AQ78" i="1" s="1"/>
  <c r="AK78" i="1"/>
  <c r="AL78" i="1" s="1"/>
  <c r="AJ78" i="1"/>
  <c r="AI78" i="1"/>
  <c r="BL75" i="1"/>
  <c r="BK75" i="1"/>
  <c r="BJ75" i="1"/>
  <c r="BI75" i="1"/>
  <c r="BH75" i="1"/>
  <c r="BG75" i="1"/>
  <c r="BF75" i="1"/>
  <c r="AV75" i="1"/>
  <c r="AX75" i="1" s="1"/>
  <c r="AU75" i="1"/>
  <c r="AW75" i="1" s="1"/>
  <c r="AY75" i="1" s="1"/>
  <c r="AT75" i="1"/>
  <c r="AS75" i="1"/>
  <c r="AP75" i="1"/>
  <c r="AN75" i="1"/>
  <c r="AO75" i="1" s="1"/>
  <c r="AQ75" i="1" s="1"/>
  <c r="AM75" i="1"/>
  <c r="AK75" i="1"/>
  <c r="AL75" i="1" s="1"/>
  <c r="AJ75" i="1"/>
  <c r="AI75" i="1"/>
  <c r="BL72" i="1"/>
  <c r="BK72" i="1"/>
  <c r="BJ72" i="1"/>
  <c r="BI72" i="1"/>
  <c r="BH72" i="1"/>
  <c r="BG72" i="1"/>
  <c r="BF72" i="1"/>
  <c r="AV72" i="1"/>
  <c r="AX72" i="1" s="1"/>
  <c r="AU72" i="1"/>
  <c r="AW72" i="1" s="1"/>
  <c r="AT72" i="1"/>
  <c r="AS72" i="1"/>
  <c r="AP72" i="1"/>
  <c r="AN72" i="1"/>
  <c r="AM72" i="1"/>
  <c r="AO72" i="1" s="1"/>
  <c r="AQ72" i="1" s="1"/>
  <c r="AK72" i="1"/>
  <c r="AL72" i="1" s="1"/>
  <c r="AJ72" i="1"/>
  <c r="AI72" i="1"/>
  <c r="BL69" i="1"/>
  <c r="BK69" i="1"/>
  <c r="BJ69" i="1"/>
  <c r="BI69" i="1"/>
  <c r="BH69" i="1"/>
  <c r="BG69" i="1"/>
  <c r="BF69" i="1"/>
  <c r="AV69" i="1"/>
  <c r="AX69" i="1" s="1"/>
  <c r="AU69" i="1"/>
  <c r="AW69" i="1" s="1"/>
  <c r="AT69" i="1"/>
  <c r="AS69" i="1"/>
  <c r="AP69" i="1"/>
  <c r="AN69" i="1"/>
  <c r="AO69" i="1" s="1"/>
  <c r="AQ69" i="1" s="1"/>
  <c r="AM69" i="1"/>
  <c r="AK69" i="1"/>
  <c r="AL69" i="1" s="1"/>
  <c r="AJ69" i="1"/>
  <c r="AI69" i="1"/>
  <c r="BL66" i="1"/>
  <c r="BK66" i="1"/>
  <c r="BJ66" i="1"/>
  <c r="BI66" i="1"/>
  <c r="BH66" i="1"/>
  <c r="BG66" i="1"/>
  <c r="BF66" i="1"/>
  <c r="AX66" i="1"/>
  <c r="AW66" i="1"/>
  <c r="AY66" i="1" s="1"/>
  <c r="AV66" i="1"/>
  <c r="AU66" i="1"/>
  <c r="AT66" i="1"/>
  <c r="AS66" i="1"/>
  <c r="AP66" i="1"/>
  <c r="AO66" i="1"/>
  <c r="AQ66" i="1" s="1"/>
  <c r="AN66" i="1"/>
  <c r="AM66" i="1"/>
  <c r="AK66" i="1"/>
  <c r="AL66" i="1" s="1"/>
  <c r="AJ66" i="1"/>
  <c r="AI66" i="1"/>
  <c r="BL63" i="1"/>
  <c r="BK63" i="1"/>
  <c r="BJ63" i="1"/>
  <c r="BI63" i="1"/>
  <c r="BH63" i="1"/>
  <c r="BG63" i="1"/>
  <c r="BF63" i="1"/>
  <c r="AV63" i="1"/>
  <c r="AX63" i="1" s="1"/>
  <c r="AU63" i="1"/>
  <c r="AW63" i="1" s="1"/>
  <c r="AY63" i="1" s="1"/>
  <c r="AT63" i="1"/>
  <c r="AS63" i="1"/>
  <c r="AP63" i="1"/>
  <c r="AN63" i="1"/>
  <c r="AO63" i="1" s="1"/>
  <c r="AQ63" i="1" s="1"/>
  <c r="AM63" i="1"/>
  <c r="AK63" i="1"/>
  <c r="AL63" i="1" s="1"/>
  <c r="AJ63" i="1"/>
  <c r="AI63" i="1"/>
  <c r="BL60" i="1"/>
  <c r="BK60" i="1"/>
  <c r="BJ60" i="1"/>
  <c r="BI60" i="1"/>
  <c r="BH60" i="1"/>
  <c r="BG60" i="1"/>
  <c r="BF60" i="1"/>
  <c r="AS60" i="1"/>
  <c r="AP60" i="1"/>
  <c r="AN60" i="1"/>
  <c r="AM60" i="1"/>
  <c r="AO60" i="1" s="1"/>
  <c r="AQ60" i="1" s="1"/>
  <c r="AK60" i="1"/>
  <c r="AL60" i="1" s="1"/>
  <c r="AJ60" i="1"/>
  <c r="AI60" i="1"/>
  <c r="BL57" i="1"/>
  <c r="BK57" i="1"/>
  <c r="BJ57" i="1"/>
  <c r="BI57" i="1"/>
  <c r="BH57" i="1"/>
  <c r="BG57" i="1"/>
  <c r="BF57" i="1"/>
  <c r="AV57" i="1"/>
  <c r="AU57" i="1"/>
  <c r="AY57" i="1" s="1"/>
  <c r="AS57" i="1"/>
  <c r="AP57" i="1"/>
  <c r="AN57" i="1"/>
  <c r="AM57" i="1"/>
  <c r="AO57" i="1" s="1"/>
  <c r="AQ57" i="1" s="1"/>
  <c r="AK57" i="1"/>
  <c r="AL57" i="1" s="1"/>
  <c r="AJ57" i="1"/>
  <c r="AI57" i="1"/>
  <c r="BL54" i="1"/>
  <c r="BK54" i="1"/>
  <c r="BJ54" i="1"/>
  <c r="BI54" i="1"/>
  <c r="BH54" i="1"/>
  <c r="BG54" i="1"/>
  <c r="BF54" i="1"/>
  <c r="AY54" i="1"/>
  <c r="AX54" i="1"/>
  <c r="AW54" i="1"/>
  <c r="AV54" i="1"/>
  <c r="AU54" i="1"/>
  <c r="AT54" i="1"/>
  <c r="AS54" i="1"/>
  <c r="AQ54" i="1"/>
  <c r="AP54" i="1"/>
  <c r="AO54" i="1"/>
  <c r="AN54" i="1"/>
  <c r="AM54" i="1"/>
  <c r="AK54" i="1"/>
  <c r="AL54" i="1" s="1"/>
  <c r="AJ54" i="1"/>
  <c r="AI54" i="1"/>
  <c r="BL51" i="1"/>
  <c r="BK51" i="1"/>
  <c r="BJ51" i="1"/>
  <c r="BI51" i="1"/>
  <c r="BH51" i="1"/>
  <c r="BG51" i="1"/>
  <c r="BF51" i="1"/>
  <c r="AX51" i="1"/>
  <c r="AW51" i="1"/>
  <c r="AY51" i="1" s="1"/>
  <c r="AV51" i="1"/>
  <c r="AU51" i="1"/>
  <c r="AT51" i="1"/>
  <c r="AS51" i="1"/>
  <c r="AP51" i="1"/>
  <c r="AO51" i="1"/>
  <c r="AQ51" i="1" s="1"/>
  <c r="AN51" i="1"/>
  <c r="AM51" i="1"/>
  <c r="AL51" i="1"/>
  <c r="BA51" i="1" s="1"/>
  <c r="AK51" i="1"/>
  <c r="AJ51" i="1"/>
  <c r="AI51" i="1"/>
  <c r="AY48" i="1"/>
  <c r="AX48" i="1"/>
  <c r="AW48" i="1"/>
  <c r="BH48" i="1"/>
  <c r="BI48" i="1"/>
  <c r="BJ48" i="1"/>
  <c r="BK48" i="1"/>
  <c r="BL48" i="1"/>
  <c r="BG48" i="1"/>
  <c r="BF48" i="1"/>
  <c r="BE48" i="1"/>
  <c r="BD48" i="1"/>
  <c r="BC48" i="1"/>
  <c r="BA48" i="1"/>
  <c r="AZ48" i="1"/>
  <c r="AR48" i="1"/>
  <c r="AQ48" i="1"/>
  <c r="AL48" i="1"/>
  <c r="AV48" i="1"/>
  <c r="AU48" i="1"/>
  <c r="AT48" i="1"/>
  <c r="AS48" i="1"/>
  <c r="AP48" i="1"/>
  <c r="AO48" i="1"/>
  <c r="AN48" i="1"/>
  <c r="AM48" i="1"/>
  <c r="AK48" i="1"/>
  <c r="AJ48" i="1"/>
  <c r="AI48" i="1"/>
  <c r="BA228" i="1" l="1"/>
  <c r="AZ228" i="1"/>
  <c r="BB228" i="1" s="1"/>
  <c r="AR228" i="1"/>
  <c r="AZ231" i="1"/>
  <c r="AR231" i="1"/>
  <c r="BA231" i="1"/>
  <c r="BA237" i="1"/>
  <c r="AZ237" i="1"/>
  <c r="BB237" i="1" s="1"/>
  <c r="AR237" i="1"/>
  <c r="AY228" i="1"/>
  <c r="AR234" i="1"/>
  <c r="AZ234" i="1"/>
  <c r="BB234" i="1" s="1"/>
  <c r="AY219" i="1"/>
  <c r="BA216" i="1"/>
  <c r="AR216" i="1"/>
  <c r="AZ216" i="1"/>
  <c r="BB216" i="1" s="1"/>
  <c r="AY222" i="1"/>
  <c r="AZ219" i="1"/>
  <c r="AR219" i="1"/>
  <c r="BA219" i="1"/>
  <c r="BA222" i="1"/>
  <c r="AZ222" i="1"/>
  <c r="BB222" i="1" s="1"/>
  <c r="AR222" i="1"/>
  <c r="BA225" i="1"/>
  <c r="AZ225" i="1"/>
  <c r="AR225" i="1"/>
  <c r="BA204" i="1"/>
  <c r="AZ204" i="1"/>
  <c r="BB204" i="1" s="1"/>
  <c r="AR204" i="1"/>
  <c r="AZ207" i="1"/>
  <c r="BB207" i="1" s="1"/>
  <c r="AR207" i="1"/>
  <c r="BA207" i="1"/>
  <c r="AZ210" i="1"/>
  <c r="BB210" i="1" s="1"/>
  <c r="AY210" i="1"/>
  <c r="BD210" i="1"/>
  <c r="BC210" i="1"/>
  <c r="BE210" i="1" s="1"/>
  <c r="AW213" i="1"/>
  <c r="AY213" i="1" s="1"/>
  <c r="AR213" i="1"/>
  <c r="AY195" i="1"/>
  <c r="BA192" i="1"/>
  <c r="AR192" i="1"/>
  <c r="AZ192" i="1"/>
  <c r="BB192" i="1" s="1"/>
  <c r="AY198" i="1"/>
  <c r="AZ195" i="1"/>
  <c r="AR195" i="1"/>
  <c r="BA195" i="1"/>
  <c r="BA198" i="1"/>
  <c r="AZ198" i="1"/>
  <c r="BB198" i="1" s="1"/>
  <c r="AR198" i="1"/>
  <c r="BA201" i="1"/>
  <c r="AZ201" i="1"/>
  <c r="BB201" i="1" s="1"/>
  <c r="AR201" i="1"/>
  <c r="AZ183" i="1"/>
  <c r="AR183" i="1"/>
  <c r="BA183" i="1"/>
  <c r="AY183" i="1"/>
  <c r="AZ186" i="1"/>
  <c r="BB186" i="1" s="1"/>
  <c r="AR186" i="1"/>
  <c r="BA186" i="1"/>
  <c r="AZ180" i="1"/>
  <c r="BB180" i="1" s="1"/>
  <c r="AR180" i="1"/>
  <c r="BA180" i="1"/>
  <c r="BA189" i="1"/>
  <c r="AZ189" i="1"/>
  <c r="BB189" i="1" s="1"/>
  <c r="AR189" i="1"/>
  <c r="AZ168" i="1"/>
  <c r="AR168" i="1"/>
  <c r="BA168" i="1"/>
  <c r="AZ171" i="1"/>
  <c r="AR171" i="1"/>
  <c r="BA171" i="1"/>
  <c r="BA174" i="1"/>
  <c r="AZ174" i="1"/>
  <c r="BB174" i="1" s="1"/>
  <c r="AR174" i="1"/>
  <c r="BA177" i="1"/>
  <c r="AZ177" i="1"/>
  <c r="BB177" i="1" s="1"/>
  <c r="AR177" i="1"/>
  <c r="AZ156" i="1"/>
  <c r="AR156" i="1"/>
  <c r="BA156" i="1"/>
  <c r="AZ159" i="1"/>
  <c r="AR159" i="1"/>
  <c r="BA159" i="1"/>
  <c r="BA162" i="1"/>
  <c r="AZ162" i="1"/>
  <c r="BB162" i="1" s="1"/>
  <c r="AR162" i="1"/>
  <c r="BA165" i="1"/>
  <c r="AZ165" i="1"/>
  <c r="BB165" i="1" s="1"/>
  <c r="AR165" i="1"/>
  <c r="BA150" i="1"/>
  <c r="AZ150" i="1"/>
  <c r="AR150" i="1"/>
  <c r="AR153" i="1"/>
  <c r="AZ153" i="1"/>
  <c r="BA153" i="1"/>
  <c r="BA144" i="1"/>
  <c r="AZ144" i="1"/>
  <c r="BB144" i="1" s="1"/>
  <c r="AR144" i="1"/>
  <c r="AZ147" i="1"/>
  <c r="AR147" i="1"/>
  <c r="BA147" i="1"/>
  <c r="AY135" i="1"/>
  <c r="AZ132" i="1"/>
  <c r="BB132" i="1" s="1"/>
  <c r="AR132" i="1"/>
  <c r="BA132" i="1"/>
  <c r="AY138" i="1"/>
  <c r="AZ135" i="1"/>
  <c r="BB135" i="1" s="1"/>
  <c r="AR135" i="1"/>
  <c r="BA135" i="1"/>
  <c r="BA138" i="1"/>
  <c r="AZ138" i="1"/>
  <c r="BB138" i="1" s="1"/>
  <c r="AR138" i="1"/>
  <c r="AR141" i="1"/>
  <c r="AZ141" i="1"/>
  <c r="BB141" i="1" s="1"/>
  <c r="BA120" i="1"/>
  <c r="AZ120" i="1"/>
  <c r="AR120" i="1"/>
  <c r="AY123" i="1"/>
  <c r="BA129" i="1"/>
  <c r="AZ123" i="1"/>
  <c r="BB123" i="1" s="1"/>
  <c r="AR123" i="1"/>
  <c r="BA123" i="1"/>
  <c r="BD129" i="1"/>
  <c r="BC129" i="1"/>
  <c r="BA126" i="1"/>
  <c r="AZ126" i="1"/>
  <c r="AR126" i="1"/>
  <c r="AY120" i="1"/>
  <c r="AZ129" i="1"/>
  <c r="BB129" i="1" s="1"/>
  <c r="AY129" i="1"/>
  <c r="AY111" i="1"/>
  <c r="AZ111" i="1"/>
  <c r="AR111" i="1"/>
  <c r="BA111" i="1"/>
  <c r="BA114" i="1"/>
  <c r="AZ114" i="1"/>
  <c r="BB114" i="1" s="1"/>
  <c r="AR114" i="1"/>
  <c r="BA108" i="1"/>
  <c r="AZ108" i="1"/>
  <c r="AR108" i="1"/>
  <c r="AR117" i="1"/>
  <c r="AZ117" i="1"/>
  <c r="BB117" i="1" s="1"/>
  <c r="AZ99" i="1"/>
  <c r="AR99" i="1"/>
  <c r="BA99" i="1"/>
  <c r="BA102" i="1"/>
  <c r="AZ102" i="1"/>
  <c r="BB102" i="1" s="1"/>
  <c r="AR102" i="1"/>
  <c r="AZ96" i="1"/>
  <c r="AR96" i="1"/>
  <c r="BA96" i="1"/>
  <c r="AZ105" i="1"/>
  <c r="AR105" i="1"/>
  <c r="BA105" i="1"/>
  <c r="BD90" i="1"/>
  <c r="BC90" i="1"/>
  <c r="BE90" i="1" s="1"/>
  <c r="BD93" i="1"/>
  <c r="BC93" i="1"/>
  <c r="BE93" i="1" s="1"/>
  <c r="AR84" i="1"/>
  <c r="AY90" i="1"/>
  <c r="AR87" i="1"/>
  <c r="AY72" i="1"/>
  <c r="BA72" i="1"/>
  <c r="AZ72" i="1"/>
  <c r="BB72" i="1" s="1"/>
  <c r="AR72" i="1"/>
  <c r="AZ75" i="1"/>
  <c r="AR75" i="1"/>
  <c r="BA75" i="1"/>
  <c r="BA78" i="1"/>
  <c r="AZ78" i="1"/>
  <c r="AR78" i="1"/>
  <c r="BA81" i="1"/>
  <c r="AZ81" i="1"/>
  <c r="BB81" i="1" s="1"/>
  <c r="AR81" i="1"/>
  <c r="AR69" i="1"/>
  <c r="BA69" i="1"/>
  <c r="AZ69" i="1"/>
  <c r="BB69" i="1" s="1"/>
  <c r="AZ60" i="1"/>
  <c r="AR60" i="1"/>
  <c r="BA60" i="1"/>
  <c r="AZ63" i="1"/>
  <c r="BB63" i="1" s="1"/>
  <c r="AR63" i="1"/>
  <c r="BA63" i="1"/>
  <c r="BA66" i="1"/>
  <c r="AZ66" i="1"/>
  <c r="BB66" i="1" s="1"/>
  <c r="AR66" i="1"/>
  <c r="AY69" i="1"/>
  <c r="BA57" i="1"/>
  <c r="AZ57" i="1"/>
  <c r="AR57" i="1"/>
  <c r="AR54" i="1"/>
  <c r="BA54" i="1"/>
  <c r="AZ54" i="1"/>
  <c r="BB54" i="1" s="1"/>
  <c r="AR51" i="1"/>
  <c r="AZ51" i="1"/>
  <c r="BB51" i="1" s="1"/>
  <c r="BB48" i="1"/>
  <c r="BB96" i="1" l="1"/>
  <c r="BB57" i="1"/>
  <c r="BD231" i="1"/>
  <c r="BC231" i="1"/>
  <c r="BE231" i="1" s="1"/>
  <c r="BB231" i="1"/>
  <c r="BD234" i="1"/>
  <c r="BC234" i="1"/>
  <c r="BE234" i="1" s="1"/>
  <c r="BD228" i="1"/>
  <c r="BC228" i="1"/>
  <c r="BD237" i="1"/>
  <c r="BC237" i="1"/>
  <c r="BB219" i="1"/>
  <c r="BB225" i="1"/>
  <c r="BD219" i="1"/>
  <c r="BC219" i="1"/>
  <c r="BE219" i="1" s="1"/>
  <c r="BD216" i="1"/>
  <c r="BC216" i="1"/>
  <c r="BE216" i="1" s="1"/>
  <c r="BD225" i="1"/>
  <c r="BC225" i="1"/>
  <c r="BE225" i="1" s="1"/>
  <c r="BD222" i="1"/>
  <c r="BC222" i="1"/>
  <c r="BE222" i="1" s="1"/>
  <c r="AZ213" i="1"/>
  <c r="BB213" i="1" s="1"/>
  <c r="BC207" i="1"/>
  <c r="BD207" i="1"/>
  <c r="BD213" i="1"/>
  <c r="BC213" i="1"/>
  <c r="BD204" i="1"/>
  <c r="BC204" i="1"/>
  <c r="BB195" i="1"/>
  <c r="BD201" i="1"/>
  <c r="BC201" i="1"/>
  <c r="BE201" i="1" s="1"/>
  <c r="BD192" i="1"/>
  <c r="BC192" i="1"/>
  <c r="BD198" i="1"/>
  <c r="BC198" i="1"/>
  <c r="BE198" i="1" s="1"/>
  <c r="BC195" i="1"/>
  <c r="BE195" i="1" s="1"/>
  <c r="BD195" i="1"/>
  <c r="BC186" i="1"/>
  <c r="BD186" i="1"/>
  <c r="BD189" i="1"/>
  <c r="BC189" i="1"/>
  <c r="BE189" i="1" s="1"/>
  <c r="BD183" i="1"/>
  <c r="BC183" i="1"/>
  <c r="BE183" i="1" s="1"/>
  <c r="BD180" i="1"/>
  <c r="BC180" i="1"/>
  <c r="BE180" i="1" s="1"/>
  <c r="BB183" i="1"/>
  <c r="BD171" i="1"/>
  <c r="BC171" i="1"/>
  <c r="BE171" i="1" s="1"/>
  <c r="BD177" i="1"/>
  <c r="BC177" i="1"/>
  <c r="BE177" i="1" s="1"/>
  <c r="BD168" i="1"/>
  <c r="BC168" i="1"/>
  <c r="BE168" i="1" s="1"/>
  <c r="BB171" i="1"/>
  <c r="BD174" i="1"/>
  <c r="BC174" i="1"/>
  <c r="BB168" i="1"/>
  <c r="BD159" i="1"/>
  <c r="BC159" i="1"/>
  <c r="BE159" i="1" s="1"/>
  <c r="BB159" i="1"/>
  <c r="BD156" i="1"/>
  <c r="BC156" i="1"/>
  <c r="BE156" i="1" s="1"/>
  <c r="BD165" i="1"/>
  <c r="BC165" i="1"/>
  <c r="BD162" i="1"/>
  <c r="BC162" i="1"/>
  <c r="BB156" i="1"/>
  <c r="BB153" i="1"/>
  <c r="BD153" i="1"/>
  <c r="BC153" i="1"/>
  <c r="BE153" i="1" s="1"/>
  <c r="BC147" i="1"/>
  <c r="BE147" i="1" s="1"/>
  <c r="BD147" i="1"/>
  <c r="BB147" i="1"/>
  <c r="BB150" i="1"/>
  <c r="BD150" i="1"/>
  <c r="BC150" i="1"/>
  <c r="BD144" i="1"/>
  <c r="BC144" i="1"/>
  <c r="BE144" i="1" s="1"/>
  <c r="BD135" i="1"/>
  <c r="BC135" i="1"/>
  <c r="BD141" i="1"/>
  <c r="BC141" i="1"/>
  <c r="BD138" i="1"/>
  <c r="BC138" i="1"/>
  <c r="BE138" i="1" s="1"/>
  <c r="BD132" i="1"/>
  <c r="BC132" i="1"/>
  <c r="BE132" i="1" s="1"/>
  <c r="BD123" i="1"/>
  <c r="BC123" i="1"/>
  <c r="BE123" i="1" s="1"/>
  <c r="BD126" i="1"/>
  <c r="BC126" i="1"/>
  <c r="BE126" i="1" s="1"/>
  <c r="BB126" i="1"/>
  <c r="BD120" i="1"/>
  <c r="BC120" i="1"/>
  <c r="BE129" i="1"/>
  <c r="BB120" i="1"/>
  <c r="BD117" i="1"/>
  <c r="BC117" i="1"/>
  <c r="BD111" i="1"/>
  <c r="BC111" i="1"/>
  <c r="BD114" i="1"/>
  <c r="BC114" i="1"/>
  <c r="BE114" i="1" s="1"/>
  <c r="BD108" i="1"/>
  <c r="BC108" i="1"/>
  <c r="BE108" i="1" s="1"/>
  <c r="BB111" i="1"/>
  <c r="BB108" i="1"/>
  <c r="BD105" i="1"/>
  <c r="BC105" i="1"/>
  <c r="BE105" i="1" s="1"/>
  <c r="BD96" i="1"/>
  <c r="BC96" i="1"/>
  <c r="BC102" i="1"/>
  <c r="BD102" i="1"/>
  <c r="BB105" i="1"/>
  <c r="BD99" i="1"/>
  <c r="BC99" i="1"/>
  <c r="BB99" i="1"/>
  <c r="BC87" i="1"/>
  <c r="BD87" i="1"/>
  <c r="BD84" i="1"/>
  <c r="BC84" i="1"/>
  <c r="BE84" i="1" s="1"/>
  <c r="BD72" i="1"/>
  <c r="BC72" i="1"/>
  <c r="BE72" i="1" s="1"/>
  <c r="BC75" i="1"/>
  <c r="BD75" i="1"/>
  <c r="BD81" i="1"/>
  <c r="BC81" i="1"/>
  <c r="BE81" i="1" s="1"/>
  <c r="BD78" i="1"/>
  <c r="BC78" i="1"/>
  <c r="BE78" i="1" s="1"/>
  <c r="BB75" i="1"/>
  <c r="BB78" i="1"/>
  <c r="BB60" i="1"/>
  <c r="BD60" i="1"/>
  <c r="BC60" i="1"/>
  <c r="BC63" i="1"/>
  <c r="BD63" i="1"/>
  <c r="BD66" i="1"/>
  <c r="BC66" i="1"/>
  <c r="BE66" i="1" s="1"/>
  <c r="BD69" i="1"/>
  <c r="BC69" i="1"/>
  <c r="BD57" i="1"/>
  <c r="BC57" i="1"/>
  <c r="BD54" i="1"/>
  <c r="BC54" i="1"/>
  <c r="BD51" i="1"/>
  <c r="BC51" i="1"/>
  <c r="BE51" i="1" s="1"/>
  <c r="BE96" i="1" l="1"/>
  <c r="BE57" i="1"/>
  <c r="BE228" i="1"/>
  <c r="BE237" i="1"/>
  <c r="BE204" i="1"/>
  <c r="BE213" i="1"/>
  <c r="BE207" i="1"/>
  <c r="BE192" i="1"/>
  <c r="BE186" i="1"/>
  <c r="BE174" i="1"/>
  <c r="BE165" i="1"/>
  <c r="BE162" i="1"/>
  <c r="BE150" i="1"/>
  <c r="BE141" i="1"/>
  <c r="BE135" i="1"/>
  <c r="BE120" i="1"/>
  <c r="BE111" i="1"/>
  <c r="BE117" i="1"/>
  <c r="BE102" i="1"/>
  <c r="BE99" i="1"/>
  <c r="BE87" i="1"/>
  <c r="BE75" i="1"/>
  <c r="BE63" i="1"/>
  <c r="BE60" i="1"/>
  <c r="BE69" i="1"/>
  <c r="BE54" i="1"/>
  <c r="I49" i="1" l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71" i="1"/>
  <c r="K71" i="1" s="1"/>
  <c r="I70" i="1"/>
  <c r="K70" i="1" s="1"/>
  <c r="I69" i="1"/>
  <c r="K69" i="1" s="1"/>
  <c r="I68" i="1"/>
  <c r="K68" i="1" s="1"/>
  <c r="I67" i="1"/>
  <c r="K67" i="1" s="1"/>
  <c r="I66" i="1"/>
  <c r="K66" i="1" s="1"/>
  <c r="I65" i="1"/>
  <c r="K65" i="1" s="1"/>
  <c r="I64" i="1"/>
  <c r="K64" i="1" s="1"/>
  <c r="I63" i="1"/>
  <c r="K63" i="1" s="1"/>
  <c r="I62" i="1"/>
  <c r="K62" i="1" s="1"/>
  <c r="I61" i="1"/>
  <c r="K61" i="1" s="1"/>
  <c r="I60" i="1"/>
  <c r="K60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95" i="1"/>
  <c r="K95" i="1" s="1"/>
  <c r="I94" i="1"/>
  <c r="K94" i="1" s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K87" i="1" s="1"/>
  <c r="I86" i="1"/>
  <c r="K86" i="1" s="1"/>
  <c r="I85" i="1"/>
  <c r="K85" i="1" s="1"/>
  <c r="I84" i="1"/>
  <c r="K84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19" i="1"/>
  <c r="K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43" i="1"/>
  <c r="K143" i="1" s="1"/>
  <c r="I142" i="1"/>
  <c r="K142" i="1" s="1"/>
  <c r="I141" i="1"/>
  <c r="K141" i="1" s="1"/>
  <c r="I140" i="1"/>
  <c r="K140" i="1" s="1"/>
  <c r="I139" i="1"/>
  <c r="K139" i="1" s="1"/>
  <c r="I138" i="1"/>
  <c r="K138" i="1" s="1"/>
  <c r="I137" i="1"/>
  <c r="K137" i="1" s="1"/>
  <c r="I136" i="1"/>
  <c r="K136" i="1" s="1"/>
  <c r="I135" i="1"/>
  <c r="K135" i="1" s="1"/>
  <c r="I134" i="1"/>
  <c r="K134" i="1" s="1"/>
  <c r="I133" i="1"/>
  <c r="K133" i="1" s="1"/>
  <c r="I132" i="1"/>
  <c r="K132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67" i="1"/>
  <c r="K167" i="1" s="1"/>
  <c r="I166" i="1"/>
  <c r="K166" i="1" s="1"/>
  <c r="I165" i="1"/>
  <c r="K165" i="1" s="1"/>
  <c r="I164" i="1"/>
  <c r="K164" i="1" s="1"/>
  <c r="I163" i="1"/>
  <c r="K163" i="1" s="1"/>
  <c r="I162" i="1"/>
  <c r="K162" i="1" s="1"/>
  <c r="I161" i="1"/>
  <c r="K161" i="1" s="1"/>
  <c r="I160" i="1"/>
  <c r="K160" i="1" s="1"/>
  <c r="I159" i="1"/>
  <c r="K159" i="1" s="1"/>
  <c r="I158" i="1"/>
  <c r="K158" i="1" s="1"/>
  <c r="I157" i="1"/>
  <c r="K157" i="1" s="1"/>
  <c r="I156" i="1"/>
  <c r="K156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91" i="1"/>
  <c r="K191" i="1" s="1"/>
  <c r="I190" i="1"/>
  <c r="K190" i="1" s="1"/>
  <c r="I189" i="1"/>
  <c r="K189" i="1" s="1"/>
  <c r="I188" i="1"/>
  <c r="K188" i="1" s="1"/>
  <c r="I187" i="1"/>
  <c r="K187" i="1" s="1"/>
  <c r="I186" i="1"/>
  <c r="K186" i="1" s="1"/>
  <c r="I185" i="1"/>
  <c r="K185" i="1" s="1"/>
  <c r="I184" i="1"/>
  <c r="K184" i="1" s="1"/>
  <c r="I183" i="1"/>
  <c r="K183" i="1" s="1"/>
  <c r="I182" i="1"/>
  <c r="K182" i="1" s="1"/>
  <c r="I181" i="1"/>
  <c r="K181" i="1" s="1"/>
  <c r="I180" i="1"/>
  <c r="K180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15" i="1"/>
  <c r="K215" i="1" s="1"/>
  <c r="I214" i="1"/>
  <c r="K214" i="1" s="1"/>
  <c r="I213" i="1"/>
  <c r="K213" i="1" s="1"/>
  <c r="I212" i="1"/>
  <c r="K212" i="1" s="1"/>
  <c r="I211" i="1"/>
  <c r="K211" i="1" s="1"/>
  <c r="I210" i="1"/>
  <c r="K210" i="1" s="1"/>
  <c r="I209" i="1"/>
  <c r="K209" i="1" s="1"/>
  <c r="I208" i="1"/>
  <c r="K208" i="1" s="1"/>
  <c r="I207" i="1"/>
  <c r="K207" i="1" s="1"/>
  <c r="I206" i="1"/>
  <c r="K206" i="1" s="1"/>
  <c r="I205" i="1"/>
  <c r="K205" i="1" s="1"/>
  <c r="I204" i="1"/>
  <c r="K204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39" i="1"/>
  <c r="K239" i="1" s="1"/>
  <c r="I238" i="1"/>
  <c r="K238" i="1" s="1"/>
  <c r="I237" i="1"/>
  <c r="K237" i="1" s="1"/>
  <c r="I236" i="1"/>
  <c r="K236" i="1" s="1"/>
  <c r="I235" i="1"/>
  <c r="K235" i="1" s="1"/>
  <c r="I234" i="1"/>
  <c r="K234" i="1" s="1"/>
  <c r="I233" i="1"/>
  <c r="K233" i="1" s="1"/>
  <c r="I232" i="1"/>
  <c r="K232" i="1" s="1"/>
  <c r="I231" i="1"/>
  <c r="K231" i="1" s="1"/>
  <c r="I230" i="1"/>
  <c r="K230" i="1" s="1"/>
  <c r="I229" i="1"/>
  <c r="K229" i="1" s="1"/>
  <c r="I228" i="1"/>
  <c r="K228" i="1" s="1"/>
  <c r="I48" i="1"/>
  <c r="K48" i="1" s="1"/>
  <c r="A35" i="1" l="1"/>
  <c r="R56" i="1" l="1"/>
  <c r="Q63" i="1"/>
  <c r="R73" i="1"/>
  <c r="R77" i="1"/>
  <c r="Q81" i="1"/>
  <c r="R83" i="1"/>
  <c r="Q85" i="1"/>
  <c r="Q89" i="1"/>
  <c r="R91" i="1"/>
  <c r="Q96" i="1"/>
  <c r="Q100" i="1"/>
  <c r="R105" i="1"/>
  <c r="Q111" i="1"/>
  <c r="Q114" i="1"/>
  <c r="R122" i="1"/>
  <c r="R128" i="1"/>
  <c r="R131" i="1"/>
  <c r="R133" i="1"/>
  <c r="Q135" i="1"/>
  <c r="Q140" i="1"/>
  <c r="Q151" i="1"/>
  <c r="R153" i="1"/>
  <c r="R155" i="1"/>
  <c r="Q159" i="1"/>
  <c r="R161" i="1"/>
  <c r="R163" i="1"/>
  <c r="Q167" i="1"/>
  <c r="R169" i="1"/>
  <c r="R171" i="1"/>
  <c r="Q175" i="1"/>
  <c r="R177" i="1"/>
  <c r="Q181" i="1"/>
  <c r="S181" i="1" s="1"/>
  <c r="Q187" i="1"/>
  <c r="R190" i="1"/>
  <c r="R192" i="1"/>
  <c r="Q194" i="1"/>
  <c r="R204" i="1"/>
  <c r="Q213" i="1"/>
  <c r="Q50" i="1"/>
  <c r="Q52" i="1"/>
  <c r="Q59" i="1"/>
  <c r="R63" i="1"/>
  <c r="Q66" i="1"/>
  <c r="Q68" i="1"/>
  <c r="Q71" i="1"/>
  <c r="R81" i="1"/>
  <c r="R85" i="1"/>
  <c r="R89" i="1"/>
  <c r="Q93" i="1"/>
  <c r="R96" i="1"/>
  <c r="R100" i="1"/>
  <c r="Q103" i="1"/>
  <c r="Q108" i="1"/>
  <c r="R111" i="1"/>
  <c r="R114" i="1"/>
  <c r="Q118" i="1"/>
  <c r="Q129" i="1"/>
  <c r="R135" i="1"/>
  <c r="Q138" i="1"/>
  <c r="R140" i="1"/>
  <c r="Q142" i="1"/>
  <c r="Q146" i="1"/>
  <c r="Q149" i="1"/>
  <c r="R151" i="1"/>
  <c r="Q157" i="1"/>
  <c r="R159" i="1"/>
  <c r="Q165" i="1"/>
  <c r="R167" i="1"/>
  <c r="Q173" i="1"/>
  <c r="R175" i="1"/>
  <c r="R181" i="1"/>
  <c r="Q183" i="1"/>
  <c r="R187" i="1"/>
  <c r="R194" i="1"/>
  <c r="Q198" i="1"/>
  <c r="Q200" i="1"/>
  <c r="Q202" i="1"/>
  <c r="S202" i="1" s="1"/>
  <c r="R213" i="1"/>
  <c r="R50" i="1"/>
  <c r="R52" i="1"/>
  <c r="R59" i="1"/>
  <c r="Q62" i="1"/>
  <c r="R66" i="1"/>
  <c r="R68" i="1"/>
  <c r="R71" i="1"/>
  <c r="Q74" i="1"/>
  <c r="Q76" i="1"/>
  <c r="Q79" i="1"/>
  <c r="R93" i="1"/>
  <c r="Q97" i="1"/>
  <c r="R103" i="1"/>
  <c r="Q106" i="1"/>
  <c r="R108" i="1"/>
  <c r="R118" i="1"/>
  <c r="Q120" i="1"/>
  <c r="Q123" i="1"/>
  <c r="Q125" i="1"/>
  <c r="R129" i="1"/>
  <c r="Q132" i="1"/>
  <c r="R138" i="1"/>
  <c r="R142" i="1"/>
  <c r="Q144" i="1"/>
  <c r="R146" i="1"/>
  <c r="Q148" i="1"/>
  <c r="S148" i="1" s="1"/>
  <c r="R149" i="1"/>
  <c r="R157" i="1"/>
  <c r="R165" i="1"/>
  <c r="R173" i="1"/>
  <c r="Q180" i="1"/>
  <c r="R183" i="1"/>
  <c r="Q185" i="1"/>
  <c r="Q189" i="1"/>
  <c r="S189" i="1" s="1"/>
  <c r="Q195" i="1"/>
  <c r="R198" i="1"/>
  <c r="R200" i="1"/>
  <c r="R202" i="1"/>
  <c r="Q206" i="1"/>
  <c r="Q208" i="1"/>
  <c r="Q212" i="1"/>
  <c r="Q55" i="1"/>
  <c r="R62" i="1"/>
  <c r="Q70" i="1"/>
  <c r="R74" i="1"/>
  <c r="R76" i="1"/>
  <c r="R79" i="1"/>
  <c r="Q82" i="1"/>
  <c r="Q84" i="1"/>
  <c r="Q87" i="1"/>
  <c r="Q90" i="1"/>
  <c r="R97" i="1"/>
  <c r="Q102" i="1"/>
  <c r="R106" i="1"/>
  <c r="Q110" i="1"/>
  <c r="Q112" i="1"/>
  <c r="Q115" i="1"/>
  <c r="Q117" i="1"/>
  <c r="S117" i="1" s="1"/>
  <c r="R120" i="1"/>
  <c r="R123" i="1"/>
  <c r="R125" i="1"/>
  <c r="Q127" i="1"/>
  <c r="R132" i="1"/>
  <c r="Q134" i="1"/>
  <c r="R144" i="1"/>
  <c r="Q147" i="1"/>
  <c r="S147" i="1" s="1"/>
  <c r="R148" i="1"/>
  <c r="Q152" i="1"/>
  <c r="Q156" i="1"/>
  <c r="Q160" i="1"/>
  <c r="Q164" i="1"/>
  <c r="Q168" i="1"/>
  <c r="Q172" i="1"/>
  <c r="Q176" i="1"/>
  <c r="R180" i="1"/>
  <c r="R185" i="1"/>
  <c r="R189" i="1"/>
  <c r="Q191" i="1"/>
  <c r="R195" i="1"/>
  <c r="Q203" i="1"/>
  <c r="R206" i="1"/>
  <c r="R208" i="1"/>
  <c r="Q210" i="1"/>
  <c r="R212" i="1"/>
  <c r="R215" i="1"/>
  <c r="R57" i="1"/>
  <c r="Q54" i="1"/>
  <c r="R55" i="1"/>
  <c r="Q64" i="1"/>
  <c r="R70" i="1"/>
  <c r="Q78" i="1"/>
  <c r="R82" i="1"/>
  <c r="R84" i="1"/>
  <c r="R87" i="1"/>
  <c r="R90" i="1"/>
  <c r="Q92" i="1"/>
  <c r="R102" i="1"/>
  <c r="R110" i="1"/>
  <c r="R112" i="1"/>
  <c r="R115" i="1"/>
  <c r="R117" i="1"/>
  <c r="Q121" i="1"/>
  <c r="R127" i="1"/>
  <c r="Q130" i="1"/>
  <c r="R134" i="1"/>
  <c r="Q136" i="1"/>
  <c r="R147" i="1"/>
  <c r="R152" i="1"/>
  <c r="Q154" i="1"/>
  <c r="R156" i="1"/>
  <c r="S156" i="1" s="1"/>
  <c r="R160" i="1"/>
  <c r="Q162" i="1"/>
  <c r="R164" i="1"/>
  <c r="R168" i="1"/>
  <c r="Q170" i="1"/>
  <c r="R172" i="1"/>
  <c r="R176" i="1"/>
  <c r="Q178" i="1"/>
  <c r="Q188" i="1"/>
  <c r="R191" i="1"/>
  <c r="Q193" i="1"/>
  <c r="Q197" i="1"/>
  <c r="S197" i="1" s="1"/>
  <c r="R203" i="1"/>
  <c r="R210" i="1"/>
  <c r="R49" i="1"/>
  <c r="R72" i="1"/>
  <c r="R78" i="1"/>
  <c r="Q83" i="1"/>
  <c r="S83" i="1" s="1"/>
  <c r="Q88" i="1"/>
  <c r="R104" i="1"/>
  <c r="R116" i="1"/>
  <c r="Q133" i="1"/>
  <c r="S133" i="1" s="1"/>
  <c r="R139" i="1"/>
  <c r="Q145" i="1"/>
  <c r="Q186" i="1"/>
  <c r="S186" i="1" s="1"/>
  <c r="R196" i="1"/>
  <c r="Q201" i="1"/>
  <c r="R211" i="1"/>
  <c r="Q215" i="1"/>
  <c r="Q221" i="1"/>
  <c r="R223" i="1"/>
  <c r="R225" i="1"/>
  <c r="R229" i="1"/>
  <c r="Q231" i="1"/>
  <c r="R235" i="1"/>
  <c r="Q237" i="1"/>
  <c r="S237" i="1" s="1"/>
  <c r="Q239" i="1"/>
  <c r="Q128" i="1"/>
  <c r="Q166" i="1"/>
  <c r="Q177" i="1"/>
  <c r="Q192" i="1"/>
  <c r="R207" i="1"/>
  <c r="Q226" i="1"/>
  <c r="Q236" i="1"/>
  <c r="Q75" i="1"/>
  <c r="Q113" i="1"/>
  <c r="R124" i="1"/>
  <c r="R166" i="1"/>
  <c r="R178" i="1"/>
  <c r="Q218" i="1"/>
  <c r="R226" i="1"/>
  <c r="Q51" i="1"/>
  <c r="S51" i="1" s="1"/>
  <c r="Q73" i="1"/>
  <c r="S73" i="1" s="1"/>
  <c r="R88" i="1"/>
  <c r="Q94" i="1"/>
  <c r="Q101" i="1"/>
  <c r="Q105" i="1"/>
  <c r="S105" i="1" s="1"/>
  <c r="Q122" i="1"/>
  <c r="R145" i="1"/>
  <c r="Q155" i="1"/>
  <c r="S155" i="1" s="1"/>
  <c r="Q171" i="1"/>
  <c r="Q182" i="1"/>
  <c r="R186" i="1"/>
  <c r="R197" i="1"/>
  <c r="R201" i="1"/>
  <c r="Q207" i="1"/>
  <c r="Q216" i="1"/>
  <c r="R221" i="1"/>
  <c r="Q228" i="1"/>
  <c r="R231" i="1"/>
  <c r="Q233" i="1"/>
  <c r="R237" i="1"/>
  <c r="R239" i="1"/>
  <c r="Q141" i="1"/>
  <c r="S141" i="1" s="1"/>
  <c r="Q150" i="1"/>
  <c r="Q161" i="1"/>
  <c r="R182" i="1"/>
  <c r="R188" i="1"/>
  <c r="R216" i="1"/>
  <c r="Q220" i="1"/>
  <c r="R228" i="1"/>
  <c r="R233" i="1"/>
  <c r="R64" i="1"/>
  <c r="R69" i="1"/>
  <c r="Q95" i="1"/>
  <c r="Q107" i="1"/>
  <c r="R130" i="1"/>
  <c r="R141" i="1"/>
  <c r="R150" i="1"/>
  <c r="R162" i="1"/>
  <c r="R193" i="1"/>
  <c r="R220" i="1"/>
  <c r="Q224" i="1"/>
  <c r="Q232" i="1"/>
  <c r="R236" i="1"/>
  <c r="R51" i="1"/>
  <c r="Q69" i="1"/>
  <c r="R94" i="1"/>
  <c r="R101" i="1"/>
  <c r="Q124" i="1"/>
  <c r="S124" i="1" s="1"/>
  <c r="Q56" i="1"/>
  <c r="S56" i="1" s="1"/>
  <c r="Q65" i="1"/>
  <c r="R75" i="1"/>
  <c r="Q80" i="1"/>
  <c r="Q86" i="1"/>
  <c r="Q91" i="1"/>
  <c r="S91" i="1" s="1"/>
  <c r="R95" i="1"/>
  <c r="R107" i="1"/>
  <c r="R113" i="1"/>
  <c r="Q53" i="1"/>
  <c r="S53" i="1" s="1"/>
  <c r="Q60" i="1"/>
  <c r="R65" i="1"/>
  <c r="R80" i="1"/>
  <c r="R86" i="1"/>
  <c r="R92" i="1"/>
  <c r="Q119" i="1"/>
  <c r="Q131" i="1"/>
  <c r="Q137" i="1"/>
  <c r="Q163" i="1"/>
  <c r="S163" i="1" s="1"/>
  <c r="R179" i="1"/>
  <c r="R184" i="1"/>
  <c r="R199" i="1"/>
  <c r="Q205" i="1"/>
  <c r="R209" i="1"/>
  <c r="Q222" i="1"/>
  <c r="Q227" i="1"/>
  <c r="R230" i="1"/>
  <c r="Q234" i="1"/>
  <c r="R238" i="1"/>
  <c r="R143" i="1"/>
  <c r="R158" i="1"/>
  <c r="R174" i="1"/>
  <c r="Q190" i="1"/>
  <c r="Q57" i="1"/>
  <c r="S57" i="1" s="1"/>
  <c r="R53" i="1"/>
  <c r="R60" i="1"/>
  <c r="Q67" i="1"/>
  <c r="S67" i="1" s="1"/>
  <c r="Q99" i="1"/>
  <c r="Q109" i="1"/>
  <c r="R119" i="1"/>
  <c r="Q126" i="1"/>
  <c r="R137" i="1"/>
  <c r="S137" i="1" s="1"/>
  <c r="Q143" i="1"/>
  <c r="Q153" i="1"/>
  <c r="Q158" i="1"/>
  <c r="Q169" i="1"/>
  <c r="Q174" i="1"/>
  <c r="R205" i="1"/>
  <c r="Q214" i="1"/>
  <c r="Q217" i="1"/>
  <c r="Q219" i="1"/>
  <c r="R222" i="1"/>
  <c r="R227" i="1"/>
  <c r="R234" i="1"/>
  <c r="Q49" i="1"/>
  <c r="S49" i="1" s="1"/>
  <c r="R54" i="1"/>
  <c r="R67" i="1"/>
  <c r="Q72" i="1"/>
  <c r="S72" i="1" s="1"/>
  <c r="Q77" i="1"/>
  <c r="S77" i="1" s="1"/>
  <c r="R99" i="1"/>
  <c r="Q104" i="1"/>
  <c r="R109" i="1"/>
  <c r="Q116" i="1"/>
  <c r="S116" i="1" s="1"/>
  <c r="R121" i="1"/>
  <c r="R126" i="1"/>
  <c r="Q139" i="1"/>
  <c r="R154" i="1"/>
  <c r="R170" i="1"/>
  <c r="Q204" i="1"/>
  <c r="S204" i="1" s="1"/>
  <c r="R218" i="1"/>
  <c r="R219" i="1"/>
  <c r="Q235" i="1"/>
  <c r="Q230" i="1"/>
  <c r="R214" i="1"/>
  <c r="Q199" i="1"/>
  <c r="Q179" i="1"/>
  <c r="S179" i="1" s="1"/>
  <c r="Q223" i="1"/>
  <c r="S223" i="1" s="1"/>
  <c r="R224" i="1"/>
  <c r="Q225" i="1"/>
  <c r="R136" i="1"/>
  <c r="Q184" i="1"/>
  <c r="Q209" i="1"/>
  <c r="Q238" i="1"/>
  <c r="Q196" i="1"/>
  <c r="R232" i="1"/>
  <c r="R217" i="1"/>
  <c r="Q211" i="1"/>
  <c r="Q229" i="1"/>
  <c r="S229" i="1" s="1"/>
  <c r="R48" i="1"/>
  <c r="Q48" i="1"/>
  <c r="S48" i="1" s="1"/>
  <c r="S88" i="1" l="1"/>
  <c r="S172" i="1"/>
  <c r="S84" i="1"/>
  <c r="S212" i="1"/>
  <c r="S120" i="1"/>
  <c r="S149" i="1"/>
  <c r="S79" i="1"/>
  <c r="S55" i="1"/>
  <c r="S109" i="1"/>
  <c r="S164" i="1"/>
  <c r="S76" i="1"/>
  <c r="S196" i="1"/>
  <c r="S119" i="1"/>
  <c r="S65" i="1"/>
  <c r="S171" i="1"/>
  <c r="S87" i="1"/>
  <c r="S169" i="1"/>
  <c r="S99" i="1"/>
  <c r="S207" i="1"/>
  <c r="S122" i="1"/>
  <c r="S218" i="1"/>
  <c r="S231" i="1"/>
  <c r="S162" i="1"/>
  <c r="S130" i="1"/>
  <c r="S92" i="1"/>
  <c r="S203" i="1"/>
  <c r="S168" i="1"/>
  <c r="S134" i="1"/>
  <c r="S112" i="1"/>
  <c r="S82" i="1"/>
  <c r="S208" i="1"/>
  <c r="S144" i="1"/>
  <c r="S74" i="1"/>
  <c r="S146" i="1"/>
  <c r="S213" i="1"/>
  <c r="S175" i="1"/>
  <c r="S114" i="1"/>
  <c r="S211" i="1"/>
  <c r="S205" i="1"/>
  <c r="S193" i="1"/>
  <c r="S85" i="1"/>
  <c r="S104" i="1"/>
  <c r="S158" i="1"/>
  <c r="S86" i="1"/>
  <c r="S69" i="1"/>
  <c r="S201" i="1"/>
  <c r="S192" i="1"/>
  <c r="S188" i="1"/>
  <c r="S54" i="1"/>
  <c r="S110" i="1"/>
  <c r="S206" i="1"/>
  <c r="S173" i="1"/>
  <c r="S142" i="1"/>
  <c r="S108" i="1"/>
  <c r="S71" i="1"/>
  <c r="S151" i="1"/>
  <c r="S111" i="1"/>
  <c r="S81" i="1"/>
  <c r="S236" i="1"/>
  <c r="S52" i="1"/>
  <c r="S185" i="1"/>
  <c r="S153" i="1"/>
  <c r="S234" i="1"/>
  <c r="S80" i="1"/>
  <c r="S220" i="1"/>
  <c r="S101" i="1"/>
  <c r="S177" i="1"/>
  <c r="S145" i="1"/>
  <c r="S178" i="1"/>
  <c r="S121" i="1"/>
  <c r="S191" i="1"/>
  <c r="S160" i="1"/>
  <c r="S127" i="1"/>
  <c r="S106" i="1"/>
  <c r="S200" i="1"/>
  <c r="S103" i="1"/>
  <c r="S68" i="1"/>
  <c r="S194" i="1"/>
  <c r="S140" i="1"/>
  <c r="S174" i="1"/>
  <c r="S150" i="1"/>
  <c r="S226" i="1"/>
  <c r="S238" i="1"/>
  <c r="S199" i="1"/>
  <c r="S219" i="1"/>
  <c r="S143" i="1"/>
  <c r="S60" i="1"/>
  <c r="S233" i="1"/>
  <c r="S94" i="1"/>
  <c r="S166" i="1"/>
  <c r="S154" i="1"/>
  <c r="S102" i="1"/>
  <c r="S132" i="1"/>
  <c r="S198" i="1"/>
  <c r="S165" i="1"/>
  <c r="S138" i="1"/>
  <c r="S66" i="1"/>
  <c r="S167" i="1"/>
  <c r="S135" i="1"/>
  <c r="S100" i="1"/>
  <c r="S123" i="1"/>
  <c r="S118" i="1"/>
  <c r="S159" i="1"/>
  <c r="S115" i="1"/>
  <c r="S50" i="1"/>
  <c r="S209" i="1"/>
  <c r="S139" i="1"/>
  <c r="S217" i="1"/>
  <c r="S227" i="1"/>
  <c r="S232" i="1"/>
  <c r="S107" i="1"/>
  <c r="S182" i="1"/>
  <c r="S113" i="1"/>
  <c r="S128" i="1"/>
  <c r="S221" i="1"/>
  <c r="S152" i="1"/>
  <c r="S70" i="1"/>
  <c r="S97" i="1"/>
  <c r="S62" i="1"/>
  <c r="S96" i="1"/>
  <c r="S63" i="1"/>
  <c r="S235" i="1"/>
  <c r="S161" i="1"/>
  <c r="S136" i="1"/>
  <c r="S176" i="1"/>
  <c r="S183" i="1"/>
  <c r="S89" i="1"/>
  <c r="S225" i="1"/>
  <c r="S216" i="1"/>
  <c r="S64" i="1"/>
  <c r="S184" i="1"/>
  <c r="S230" i="1"/>
  <c r="S214" i="1"/>
  <c r="S126" i="1"/>
  <c r="S190" i="1"/>
  <c r="S222" i="1"/>
  <c r="S131" i="1"/>
  <c r="S224" i="1"/>
  <c r="S95" i="1"/>
  <c r="S228" i="1"/>
  <c r="S75" i="1"/>
  <c r="S239" i="1"/>
  <c r="S215" i="1"/>
  <c r="S170" i="1"/>
  <c r="S78" i="1"/>
  <c r="S210" i="1"/>
  <c r="S180" i="1"/>
  <c r="S90" i="1"/>
  <c r="S195" i="1"/>
  <c r="S125" i="1"/>
  <c r="S157" i="1"/>
  <c r="S129" i="1"/>
  <c r="S93" i="1"/>
  <c r="S59" i="1"/>
  <c r="S187" i="1"/>
  <c r="A37" i="1" l="1"/>
  <c r="F104" i="1" l="1"/>
  <c r="F168" i="1"/>
  <c r="F232" i="1"/>
  <c r="F105" i="1"/>
  <c r="F169" i="1"/>
  <c r="F233" i="1"/>
  <c r="F106" i="1"/>
  <c r="F170" i="1"/>
  <c r="F234" i="1"/>
  <c r="F101" i="1"/>
  <c r="F165" i="1"/>
  <c r="F229" i="1"/>
  <c r="F147" i="1"/>
  <c r="F231" i="1"/>
  <c r="F111" i="1"/>
  <c r="F148" i="1"/>
  <c r="F198" i="1"/>
  <c r="F206" i="1"/>
  <c r="F134" i="1"/>
  <c r="F87" i="1"/>
  <c r="F215" i="1"/>
  <c r="F207" i="1"/>
  <c r="F191" i="1"/>
  <c r="F190" i="1"/>
  <c r="F152" i="1"/>
  <c r="F217" i="1"/>
  <c r="F154" i="1"/>
  <c r="F118" i="1"/>
  <c r="F220" i="1"/>
  <c r="F183" i="1"/>
  <c r="F160" i="1"/>
  <c r="F97" i="1"/>
  <c r="F226" i="1"/>
  <c r="F221" i="1"/>
  <c r="F166" i="1"/>
  <c r="F79" i="1"/>
  <c r="F48" i="1"/>
  <c r="F112" i="1"/>
  <c r="F176" i="1"/>
  <c r="F49" i="1"/>
  <c r="F113" i="1"/>
  <c r="F177" i="1"/>
  <c r="F50" i="1"/>
  <c r="F114" i="1"/>
  <c r="F178" i="1"/>
  <c r="F109" i="1"/>
  <c r="F173" i="1"/>
  <c r="F237" i="1"/>
  <c r="F163" i="1"/>
  <c r="F91" i="1"/>
  <c r="F175" i="1"/>
  <c r="F164" i="1"/>
  <c r="F230" i="1"/>
  <c r="F63" i="1"/>
  <c r="F182" i="1"/>
  <c r="F103" i="1"/>
  <c r="F123" i="1"/>
  <c r="F107" i="1"/>
  <c r="F60" i="1"/>
  <c r="F127" i="1"/>
  <c r="F89" i="1"/>
  <c r="F85" i="1"/>
  <c r="F116" i="1"/>
  <c r="F62" i="1"/>
  <c r="F225" i="1"/>
  <c r="F131" i="1"/>
  <c r="F71" i="1"/>
  <c r="F56" i="1"/>
  <c r="F120" i="1"/>
  <c r="F184" i="1"/>
  <c r="F57" i="1"/>
  <c r="F121" i="1"/>
  <c r="F185" i="1"/>
  <c r="F58" i="1"/>
  <c r="L58" i="1" s="1"/>
  <c r="F122" i="1"/>
  <c r="F186" i="1"/>
  <c r="F53" i="1"/>
  <c r="F117" i="1"/>
  <c r="F181" i="1"/>
  <c r="F51" i="1"/>
  <c r="F179" i="1"/>
  <c r="F139" i="1"/>
  <c r="F52" i="1"/>
  <c r="F180" i="1"/>
  <c r="F59" i="1"/>
  <c r="F159" i="1"/>
  <c r="F75" i="1"/>
  <c r="F119" i="1"/>
  <c r="F187" i="1"/>
  <c r="F171" i="1"/>
  <c r="F76" i="1"/>
  <c r="F239" i="1"/>
  <c r="F88" i="1"/>
  <c r="F90" i="1"/>
  <c r="F218" i="1"/>
  <c r="F94" i="1"/>
  <c r="F86" i="1"/>
  <c r="F161" i="1"/>
  <c r="F93" i="1"/>
  <c r="F214" i="1"/>
  <c r="F126" i="1"/>
  <c r="F110" i="1"/>
  <c r="F64" i="1"/>
  <c r="F128" i="1"/>
  <c r="F192" i="1"/>
  <c r="F65" i="1"/>
  <c r="F129" i="1"/>
  <c r="F193" i="1"/>
  <c r="F66" i="1"/>
  <c r="F130" i="1"/>
  <c r="F194" i="1"/>
  <c r="F61" i="1"/>
  <c r="L61" i="1" s="1"/>
  <c r="F125" i="1"/>
  <c r="F189" i="1"/>
  <c r="F67" i="1"/>
  <c r="F195" i="1"/>
  <c r="F203" i="1"/>
  <c r="F68" i="1"/>
  <c r="F196" i="1"/>
  <c r="F155" i="1"/>
  <c r="F223" i="1"/>
  <c r="F219" i="1"/>
  <c r="F135" i="1"/>
  <c r="F156" i="1"/>
  <c r="F188" i="1"/>
  <c r="F92" i="1"/>
  <c r="F153" i="1"/>
  <c r="F213" i="1"/>
  <c r="F55" i="1"/>
  <c r="F96" i="1"/>
  <c r="F162" i="1"/>
  <c r="F132" i="1"/>
  <c r="F95" i="1"/>
  <c r="F72" i="1"/>
  <c r="F136" i="1"/>
  <c r="F200" i="1"/>
  <c r="F73" i="1"/>
  <c r="F137" i="1"/>
  <c r="F201" i="1"/>
  <c r="F74" i="1"/>
  <c r="F138" i="1"/>
  <c r="F202" i="1"/>
  <c r="F69" i="1"/>
  <c r="F133" i="1"/>
  <c r="F197" i="1"/>
  <c r="F83" i="1"/>
  <c r="F211" i="1"/>
  <c r="F108" i="1"/>
  <c r="F84" i="1"/>
  <c r="F212" i="1"/>
  <c r="F235" i="1"/>
  <c r="F54" i="1"/>
  <c r="F142" i="1"/>
  <c r="F151" i="1"/>
  <c r="F236" i="1"/>
  <c r="F78" i="1"/>
  <c r="F124" i="1"/>
  <c r="F115" i="1"/>
  <c r="F222" i="1"/>
  <c r="F224" i="1"/>
  <c r="F157" i="1"/>
  <c r="F102" i="1"/>
  <c r="F80" i="1"/>
  <c r="F144" i="1"/>
  <c r="F208" i="1"/>
  <c r="F81" i="1"/>
  <c r="F145" i="1"/>
  <c r="F209" i="1"/>
  <c r="F82" i="1"/>
  <c r="F146" i="1"/>
  <c r="F210" i="1"/>
  <c r="F77" i="1"/>
  <c r="F141" i="1"/>
  <c r="F205" i="1"/>
  <c r="F99" i="1"/>
  <c r="F227" i="1"/>
  <c r="F204" i="1"/>
  <c r="F100" i="1"/>
  <c r="F228" i="1"/>
  <c r="F140" i="1"/>
  <c r="F70" i="1"/>
  <c r="F143" i="1"/>
  <c r="F167" i="1"/>
  <c r="F158" i="1"/>
  <c r="F172" i="1"/>
  <c r="F216" i="1"/>
  <c r="F149" i="1"/>
  <c r="F150" i="1"/>
  <c r="F238" i="1"/>
  <c r="F98" i="1"/>
  <c r="L98" i="1" s="1"/>
  <c r="F174" i="1"/>
  <c r="F199" i="1"/>
  <c r="T99" i="1" l="1"/>
  <c r="L99" i="1"/>
  <c r="U99" i="1"/>
  <c r="T196" i="1"/>
  <c r="U196" i="1"/>
  <c r="L196" i="1"/>
  <c r="U57" i="1"/>
  <c r="T57" i="1"/>
  <c r="V57" i="1" s="1"/>
  <c r="L57" i="1"/>
  <c r="T160" i="1"/>
  <c r="L160" i="1"/>
  <c r="U160" i="1"/>
  <c r="T143" i="1"/>
  <c r="L143" i="1"/>
  <c r="U143" i="1"/>
  <c r="T205" i="1"/>
  <c r="U205" i="1"/>
  <c r="L205" i="1"/>
  <c r="T81" i="1"/>
  <c r="L81" i="1"/>
  <c r="U81" i="1"/>
  <c r="T115" i="1"/>
  <c r="L115" i="1"/>
  <c r="U115" i="1"/>
  <c r="T212" i="1"/>
  <c r="V212" i="1" s="1"/>
  <c r="U212" i="1"/>
  <c r="L212" i="1"/>
  <c r="T202" i="1"/>
  <c r="U202" i="1"/>
  <c r="L202" i="1"/>
  <c r="T72" i="1"/>
  <c r="L72" i="1"/>
  <c r="U72" i="1"/>
  <c r="U92" i="1"/>
  <c r="T92" i="1"/>
  <c r="V92" i="1" s="1"/>
  <c r="L92" i="1"/>
  <c r="U68" i="1"/>
  <c r="T68" i="1"/>
  <c r="V68" i="1" s="1"/>
  <c r="L68" i="1"/>
  <c r="U130" i="1"/>
  <c r="T130" i="1"/>
  <c r="L130" i="1"/>
  <c r="T110" i="1"/>
  <c r="U110" i="1"/>
  <c r="L110" i="1"/>
  <c r="T90" i="1"/>
  <c r="L90" i="1"/>
  <c r="U90" i="1"/>
  <c r="U159" i="1"/>
  <c r="T159" i="1"/>
  <c r="L159" i="1"/>
  <c r="T117" i="1"/>
  <c r="U117" i="1"/>
  <c r="L117" i="1"/>
  <c r="T184" i="1"/>
  <c r="L184" i="1"/>
  <c r="U184" i="1"/>
  <c r="T85" i="1"/>
  <c r="U85" i="1"/>
  <c r="L85" i="1"/>
  <c r="T63" i="1"/>
  <c r="U63" i="1"/>
  <c r="L63" i="1"/>
  <c r="T109" i="1"/>
  <c r="V109" i="1" s="1"/>
  <c r="U109" i="1"/>
  <c r="L109" i="1"/>
  <c r="T112" i="1"/>
  <c r="L112" i="1"/>
  <c r="U112" i="1"/>
  <c r="T183" i="1"/>
  <c r="U183" i="1"/>
  <c r="L183" i="1"/>
  <c r="T207" i="1"/>
  <c r="U207" i="1"/>
  <c r="L207" i="1"/>
  <c r="U231" i="1"/>
  <c r="T231" i="1"/>
  <c r="L231" i="1"/>
  <c r="T233" i="1"/>
  <c r="L233" i="1"/>
  <c r="U233" i="1"/>
  <c r="L235" i="1"/>
  <c r="T235" i="1"/>
  <c r="V235" i="1" s="1"/>
  <c r="U235" i="1"/>
  <c r="T75" i="1"/>
  <c r="L75" i="1"/>
  <c r="U75" i="1"/>
  <c r="T173" i="1"/>
  <c r="U173" i="1"/>
  <c r="L173" i="1"/>
  <c r="U238" i="1"/>
  <c r="T238" i="1"/>
  <c r="L238" i="1"/>
  <c r="T70" i="1"/>
  <c r="U70" i="1"/>
  <c r="L70" i="1"/>
  <c r="T141" i="1"/>
  <c r="L141" i="1"/>
  <c r="U141" i="1"/>
  <c r="V141" i="1" s="1"/>
  <c r="T208" i="1"/>
  <c r="L208" i="1"/>
  <c r="U208" i="1"/>
  <c r="U124" i="1"/>
  <c r="T124" i="1"/>
  <c r="V124" i="1" s="1"/>
  <c r="L124" i="1"/>
  <c r="U84" i="1"/>
  <c r="T84" i="1"/>
  <c r="L84" i="1"/>
  <c r="U138" i="1"/>
  <c r="T138" i="1"/>
  <c r="L138" i="1"/>
  <c r="T95" i="1"/>
  <c r="U95" i="1"/>
  <c r="L95" i="1"/>
  <c r="T188" i="1"/>
  <c r="V188" i="1" s="1"/>
  <c r="U188" i="1"/>
  <c r="L188" i="1"/>
  <c r="U203" i="1"/>
  <c r="T203" i="1"/>
  <c r="L203" i="1"/>
  <c r="T66" i="1"/>
  <c r="L66" i="1"/>
  <c r="U66" i="1"/>
  <c r="U126" i="1"/>
  <c r="L126" i="1"/>
  <c r="T126" i="1"/>
  <c r="V126" i="1" s="1"/>
  <c r="T88" i="1"/>
  <c r="L88" i="1"/>
  <c r="U88" i="1"/>
  <c r="T59" i="1"/>
  <c r="L59" i="1"/>
  <c r="U59" i="1"/>
  <c r="T53" i="1"/>
  <c r="U53" i="1"/>
  <c r="L53" i="1"/>
  <c r="T120" i="1"/>
  <c r="V120" i="1" s="1"/>
  <c r="L120" i="1"/>
  <c r="U120" i="1"/>
  <c r="T89" i="1"/>
  <c r="L89" i="1"/>
  <c r="U89" i="1"/>
  <c r="U230" i="1"/>
  <c r="T230" i="1"/>
  <c r="L230" i="1"/>
  <c r="U178" i="1"/>
  <c r="T178" i="1"/>
  <c r="L178" i="1"/>
  <c r="T48" i="1"/>
  <c r="U48" i="1"/>
  <c r="L48" i="1"/>
  <c r="U220" i="1"/>
  <c r="T220" i="1"/>
  <c r="V220" i="1" s="1"/>
  <c r="L220" i="1"/>
  <c r="T215" i="1"/>
  <c r="U215" i="1"/>
  <c r="L215" i="1"/>
  <c r="T147" i="1"/>
  <c r="U147" i="1"/>
  <c r="L147" i="1"/>
  <c r="L169" i="1"/>
  <c r="T169" i="1"/>
  <c r="U169" i="1"/>
  <c r="T174" i="1"/>
  <c r="V174" i="1" s="1"/>
  <c r="U174" i="1"/>
  <c r="L174" i="1"/>
  <c r="T69" i="1"/>
  <c r="U69" i="1"/>
  <c r="L69" i="1"/>
  <c r="U218" i="1"/>
  <c r="T218" i="1"/>
  <c r="L218" i="1"/>
  <c r="T191" i="1"/>
  <c r="U191" i="1"/>
  <c r="L191" i="1"/>
  <c r="U150" i="1"/>
  <c r="T150" i="1"/>
  <c r="V150" i="1" s="1"/>
  <c r="L150" i="1"/>
  <c r="U140" i="1"/>
  <c r="T140" i="1"/>
  <c r="L140" i="1"/>
  <c r="T77" i="1"/>
  <c r="U77" i="1"/>
  <c r="L77" i="1"/>
  <c r="L144" i="1"/>
  <c r="T144" i="1"/>
  <c r="U144" i="1"/>
  <c r="U78" i="1"/>
  <c r="T78" i="1"/>
  <c r="L78" i="1"/>
  <c r="U108" i="1"/>
  <c r="T108" i="1"/>
  <c r="L108" i="1"/>
  <c r="T74" i="1"/>
  <c r="L74" i="1"/>
  <c r="U74" i="1"/>
  <c r="U132" i="1"/>
  <c r="T132" i="1"/>
  <c r="L132" i="1"/>
  <c r="T156" i="1"/>
  <c r="U156" i="1"/>
  <c r="L156" i="1"/>
  <c r="U195" i="1"/>
  <c r="T195" i="1"/>
  <c r="L195" i="1"/>
  <c r="U193" i="1"/>
  <c r="L193" i="1"/>
  <c r="T193" i="1"/>
  <c r="U214" i="1"/>
  <c r="T214" i="1"/>
  <c r="L214" i="1"/>
  <c r="T239" i="1"/>
  <c r="V239" i="1" s="1"/>
  <c r="U239" i="1"/>
  <c r="L239" i="1"/>
  <c r="T180" i="1"/>
  <c r="U180" i="1"/>
  <c r="L180" i="1"/>
  <c r="T186" i="1"/>
  <c r="U186" i="1"/>
  <c r="L186" i="1"/>
  <c r="T56" i="1"/>
  <c r="L56" i="1"/>
  <c r="U56" i="1"/>
  <c r="T127" i="1"/>
  <c r="U127" i="1"/>
  <c r="V127" i="1" s="1"/>
  <c r="L127" i="1"/>
  <c r="T164" i="1"/>
  <c r="U164" i="1"/>
  <c r="L164" i="1"/>
  <c r="T114" i="1"/>
  <c r="U114" i="1"/>
  <c r="L114" i="1"/>
  <c r="T79" i="1"/>
  <c r="U79" i="1"/>
  <c r="L79" i="1"/>
  <c r="U118" i="1"/>
  <c r="L118" i="1"/>
  <c r="T118" i="1"/>
  <c r="T87" i="1"/>
  <c r="U87" i="1"/>
  <c r="L87" i="1"/>
  <c r="T229" i="1"/>
  <c r="U229" i="1"/>
  <c r="L229" i="1"/>
  <c r="T105" i="1"/>
  <c r="L105" i="1"/>
  <c r="U105" i="1"/>
  <c r="T136" i="1"/>
  <c r="L136" i="1"/>
  <c r="U136" i="1"/>
  <c r="T106" i="1"/>
  <c r="L106" i="1"/>
  <c r="U106" i="1"/>
  <c r="T149" i="1"/>
  <c r="U149" i="1"/>
  <c r="L149" i="1"/>
  <c r="T228" i="1"/>
  <c r="V228" i="1" s="1"/>
  <c r="U228" i="1"/>
  <c r="L228" i="1"/>
  <c r="T210" i="1"/>
  <c r="V210" i="1" s="1"/>
  <c r="U210" i="1"/>
  <c r="L210" i="1"/>
  <c r="T80" i="1"/>
  <c r="L80" i="1"/>
  <c r="U80" i="1"/>
  <c r="U236" i="1"/>
  <c r="L236" i="1"/>
  <c r="T236" i="1"/>
  <c r="V236" i="1" s="1"/>
  <c r="U211" i="1"/>
  <c r="T211" i="1"/>
  <c r="L211" i="1"/>
  <c r="U201" i="1"/>
  <c r="L201" i="1"/>
  <c r="T201" i="1"/>
  <c r="T162" i="1"/>
  <c r="U162" i="1"/>
  <c r="L162" i="1"/>
  <c r="T135" i="1"/>
  <c r="U135" i="1"/>
  <c r="L135" i="1"/>
  <c r="T67" i="1"/>
  <c r="V67" i="1" s="1"/>
  <c r="L67" i="1"/>
  <c r="U67" i="1"/>
  <c r="T129" i="1"/>
  <c r="L129" i="1"/>
  <c r="U129" i="1"/>
  <c r="T93" i="1"/>
  <c r="U93" i="1"/>
  <c r="L93" i="1"/>
  <c r="U76" i="1"/>
  <c r="T76" i="1"/>
  <c r="L76" i="1"/>
  <c r="U52" i="1"/>
  <c r="T52" i="1"/>
  <c r="L52" i="1"/>
  <c r="U122" i="1"/>
  <c r="T122" i="1"/>
  <c r="V122" i="1" s="1"/>
  <c r="L122" i="1"/>
  <c r="T71" i="1"/>
  <c r="U71" i="1"/>
  <c r="L71" i="1"/>
  <c r="U60" i="1"/>
  <c r="T60" i="1"/>
  <c r="V60" i="1" s="1"/>
  <c r="L60" i="1"/>
  <c r="U175" i="1"/>
  <c r="T175" i="1"/>
  <c r="L175" i="1"/>
  <c r="T50" i="1"/>
  <c r="L50" i="1"/>
  <c r="U50" i="1"/>
  <c r="T166" i="1"/>
  <c r="U166" i="1"/>
  <c r="L166" i="1"/>
  <c r="T154" i="1"/>
  <c r="U154" i="1"/>
  <c r="L154" i="1"/>
  <c r="U134" i="1"/>
  <c r="L134" i="1"/>
  <c r="T134" i="1"/>
  <c r="V134" i="1" s="1"/>
  <c r="T165" i="1"/>
  <c r="U165" i="1"/>
  <c r="L165" i="1"/>
  <c r="T232" i="1"/>
  <c r="L232" i="1"/>
  <c r="U232" i="1"/>
  <c r="U222" i="1"/>
  <c r="T222" i="1"/>
  <c r="V222" i="1" s="1"/>
  <c r="L222" i="1"/>
  <c r="T64" i="1"/>
  <c r="V64" i="1" s="1"/>
  <c r="L64" i="1"/>
  <c r="U64" i="1"/>
  <c r="U116" i="1"/>
  <c r="T116" i="1"/>
  <c r="L116" i="1"/>
  <c r="T176" i="1"/>
  <c r="L176" i="1"/>
  <c r="U176" i="1"/>
  <c r="T216" i="1"/>
  <c r="L216" i="1"/>
  <c r="U216" i="1"/>
  <c r="U100" i="1"/>
  <c r="T100" i="1"/>
  <c r="L100" i="1"/>
  <c r="T146" i="1"/>
  <c r="L146" i="1"/>
  <c r="U146" i="1"/>
  <c r="T102" i="1"/>
  <c r="U102" i="1"/>
  <c r="L102" i="1"/>
  <c r="U151" i="1"/>
  <c r="T151" i="1"/>
  <c r="V151" i="1" s="1"/>
  <c r="L151" i="1"/>
  <c r="T83" i="1"/>
  <c r="V83" i="1" s="1"/>
  <c r="L83" i="1"/>
  <c r="U83" i="1"/>
  <c r="U137" i="1"/>
  <c r="L137" i="1"/>
  <c r="T137" i="1"/>
  <c r="T96" i="1"/>
  <c r="L96" i="1"/>
  <c r="U96" i="1"/>
  <c r="U219" i="1"/>
  <c r="T219" i="1"/>
  <c r="L219" i="1"/>
  <c r="T189" i="1"/>
  <c r="U189" i="1"/>
  <c r="L189" i="1"/>
  <c r="T65" i="1"/>
  <c r="L65" i="1"/>
  <c r="U65" i="1"/>
  <c r="L161" i="1"/>
  <c r="U161" i="1"/>
  <c r="T161" i="1"/>
  <c r="U171" i="1"/>
  <c r="T171" i="1"/>
  <c r="V171" i="1" s="1"/>
  <c r="L171" i="1"/>
  <c r="T139" i="1"/>
  <c r="V139" i="1" s="1"/>
  <c r="L139" i="1"/>
  <c r="U139" i="1"/>
  <c r="T131" i="1"/>
  <c r="L131" i="1"/>
  <c r="U131" i="1"/>
  <c r="T107" i="1"/>
  <c r="L107" i="1"/>
  <c r="U107" i="1"/>
  <c r="T91" i="1"/>
  <c r="L91" i="1"/>
  <c r="U91" i="1"/>
  <c r="L177" i="1"/>
  <c r="U177" i="1"/>
  <c r="T177" i="1"/>
  <c r="V177" i="1" s="1"/>
  <c r="T221" i="1"/>
  <c r="U221" i="1"/>
  <c r="V221" i="1" s="1"/>
  <c r="L221" i="1"/>
  <c r="L217" i="1"/>
  <c r="U217" i="1"/>
  <c r="T217" i="1"/>
  <c r="U206" i="1"/>
  <c r="T206" i="1"/>
  <c r="V206" i="1" s="1"/>
  <c r="L206" i="1"/>
  <c r="U101" i="1"/>
  <c r="T101" i="1"/>
  <c r="L101" i="1"/>
  <c r="T168" i="1"/>
  <c r="L168" i="1"/>
  <c r="U168" i="1"/>
  <c r="L145" i="1"/>
  <c r="T145" i="1"/>
  <c r="U145" i="1"/>
  <c r="L153" i="1"/>
  <c r="T153" i="1"/>
  <c r="U153" i="1"/>
  <c r="T181" i="1"/>
  <c r="U181" i="1"/>
  <c r="L181" i="1"/>
  <c r="U182" i="1"/>
  <c r="T182" i="1"/>
  <c r="V182" i="1" s="1"/>
  <c r="L182" i="1"/>
  <c r="T172" i="1"/>
  <c r="U172" i="1"/>
  <c r="L172" i="1"/>
  <c r="T204" i="1"/>
  <c r="U204" i="1"/>
  <c r="L204" i="1"/>
  <c r="T82" i="1"/>
  <c r="V82" i="1" s="1"/>
  <c r="L82" i="1"/>
  <c r="U82" i="1"/>
  <c r="T157" i="1"/>
  <c r="U157" i="1"/>
  <c r="L157" i="1"/>
  <c r="U142" i="1"/>
  <c r="L142" i="1"/>
  <c r="T142" i="1"/>
  <c r="V142" i="1" s="1"/>
  <c r="T197" i="1"/>
  <c r="U197" i="1"/>
  <c r="L197" i="1"/>
  <c r="T73" i="1"/>
  <c r="L73" i="1"/>
  <c r="U73" i="1"/>
  <c r="T55" i="1"/>
  <c r="U55" i="1"/>
  <c r="V55" i="1" s="1"/>
  <c r="L55" i="1"/>
  <c r="T223" i="1"/>
  <c r="U223" i="1"/>
  <c r="L223" i="1"/>
  <c r="T125" i="1"/>
  <c r="L125" i="1"/>
  <c r="U125" i="1"/>
  <c r="T192" i="1"/>
  <c r="V192" i="1" s="1"/>
  <c r="L192" i="1"/>
  <c r="U192" i="1"/>
  <c r="T86" i="1"/>
  <c r="U86" i="1"/>
  <c r="L86" i="1"/>
  <c r="U187" i="1"/>
  <c r="T187" i="1"/>
  <c r="L187" i="1"/>
  <c r="U179" i="1"/>
  <c r="T179" i="1"/>
  <c r="L179" i="1"/>
  <c r="U185" i="1"/>
  <c r="L185" i="1"/>
  <c r="T185" i="1"/>
  <c r="L225" i="1"/>
  <c r="U225" i="1"/>
  <c r="T225" i="1"/>
  <c r="T123" i="1"/>
  <c r="L123" i="1"/>
  <c r="U123" i="1"/>
  <c r="U163" i="1"/>
  <c r="T163" i="1"/>
  <c r="L163" i="1"/>
  <c r="T113" i="1"/>
  <c r="V113" i="1" s="1"/>
  <c r="L113" i="1"/>
  <c r="U113" i="1"/>
  <c r="T226" i="1"/>
  <c r="U226" i="1"/>
  <c r="L226" i="1"/>
  <c r="T152" i="1"/>
  <c r="L152" i="1"/>
  <c r="U152" i="1"/>
  <c r="U198" i="1"/>
  <c r="T198" i="1"/>
  <c r="L198" i="1"/>
  <c r="T234" i="1"/>
  <c r="L234" i="1"/>
  <c r="U234" i="1"/>
  <c r="T104" i="1"/>
  <c r="L104" i="1"/>
  <c r="U104" i="1"/>
  <c r="U167" i="1"/>
  <c r="T167" i="1"/>
  <c r="L167" i="1"/>
  <c r="T194" i="1"/>
  <c r="U194" i="1"/>
  <c r="L194" i="1"/>
  <c r="T111" i="1"/>
  <c r="V111" i="1" s="1"/>
  <c r="U111" i="1"/>
  <c r="L111" i="1"/>
  <c r="U199" i="1"/>
  <c r="T199" i="1"/>
  <c r="L199" i="1"/>
  <c r="U158" i="1"/>
  <c r="T158" i="1"/>
  <c r="L158" i="1"/>
  <c r="U227" i="1"/>
  <c r="T227" i="1"/>
  <c r="L227" i="1"/>
  <c r="L209" i="1"/>
  <c r="U209" i="1"/>
  <c r="T209" i="1"/>
  <c r="T224" i="1"/>
  <c r="L224" i="1"/>
  <c r="U224" i="1"/>
  <c r="U54" i="1"/>
  <c r="T54" i="1"/>
  <c r="L54" i="1"/>
  <c r="T133" i="1"/>
  <c r="L133" i="1"/>
  <c r="U133" i="1"/>
  <c r="T200" i="1"/>
  <c r="V200" i="1" s="1"/>
  <c r="L200" i="1"/>
  <c r="U200" i="1"/>
  <c r="T213" i="1"/>
  <c r="L213" i="1"/>
  <c r="U213" i="1"/>
  <c r="U155" i="1"/>
  <c r="T155" i="1"/>
  <c r="L155" i="1"/>
  <c r="T128" i="1"/>
  <c r="L128" i="1"/>
  <c r="U128" i="1"/>
  <c r="T94" i="1"/>
  <c r="U94" i="1"/>
  <c r="L94" i="1"/>
  <c r="T119" i="1"/>
  <c r="U119" i="1"/>
  <c r="L119" i="1"/>
  <c r="T51" i="1"/>
  <c r="L51" i="1"/>
  <c r="U51" i="1"/>
  <c r="T121" i="1"/>
  <c r="L121" i="1"/>
  <c r="U121" i="1"/>
  <c r="T62" i="1"/>
  <c r="V62" i="1" s="1"/>
  <c r="U62" i="1"/>
  <c r="L62" i="1"/>
  <c r="T103" i="1"/>
  <c r="U103" i="1"/>
  <c r="L103" i="1"/>
  <c r="T237" i="1"/>
  <c r="U237" i="1"/>
  <c r="L237" i="1"/>
  <c r="T49" i="1"/>
  <c r="L49" i="1"/>
  <c r="U49" i="1"/>
  <c r="T97" i="1"/>
  <c r="L97" i="1"/>
  <c r="U97" i="1"/>
  <c r="U190" i="1"/>
  <c r="T190" i="1"/>
  <c r="V190" i="1" s="1"/>
  <c r="L190" i="1"/>
  <c r="T148" i="1"/>
  <c r="U148" i="1"/>
  <c r="L148" i="1"/>
  <c r="U170" i="1"/>
  <c r="T170" i="1"/>
  <c r="V170" i="1" s="1"/>
  <c r="L170" i="1"/>
  <c r="V181" i="1" l="1"/>
  <c r="V189" i="1"/>
  <c r="V100" i="1"/>
  <c r="V52" i="1"/>
  <c r="V211" i="1"/>
  <c r="V132" i="1"/>
  <c r="V231" i="1"/>
  <c r="V51" i="1"/>
  <c r="V227" i="1"/>
  <c r="V198" i="1"/>
  <c r="V123" i="1"/>
  <c r="V232" i="1"/>
  <c r="V106" i="1"/>
  <c r="V59" i="1"/>
  <c r="V237" i="1"/>
  <c r="V155" i="1"/>
  <c r="V224" i="1"/>
  <c r="V158" i="1"/>
  <c r="V104" i="1"/>
  <c r="V187" i="1"/>
  <c r="V65" i="1"/>
  <c r="V146" i="1"/>
  <c r="V201" i="1"/>
  <c r="V136" i="1"/>
  <c r="V87" i="1"/>
  <c r="V193" i="1"/>
  <c r="V108" i="1"/>
  <c r="V230" i="1"/>
  <c r="V88" i="1"/>
  <c r="V203" i="1"/>
  <c r="V184" i="1"/>
  <c r="V72" i="1"/>
  <c r="V194" i="1"/>
  <c r="V149" i="1"/>
  <c r="V118" i="1"/>
  <c r="V114" i="1"/>
  <c r="V77" i="1"/>
  <c r="V147" i="1"/>
  <c r="V53" i="1"/>
  <c r="V63" i="1"/>
  <c r="V199" i="1"/>
  <c r="V148" i="1"/>
  <c r="V179" i="1"/>
  <c r="V223" i="1"/>
  <c r="V197" i="1"/>
  <c r="V172" i="1"/>
  <c r="V153" i="1"/>
  <c r="V219" i="1"/>
  <c r="V76" i="1"/>
  <c r="V162" i="1"/>
  <c r="V229" i="1"/>
  <c r="V164" i="1"/>
  <c r="V218" i="1"/>
  <c r="V178" i="1"/>
  <c r="V85" i="1"/>
  <c r="V159" i="1"/>
  <c r="V91" i="1"/>
  <c r="V216" i="1"/>
  <c r="V74" i="1"/>
  <c r="V66" i="1"/>
  <c r="V99" i="1"/>
  <c r="W201" i="1"/>
  <c r="Y201" i="1" s="1"/>
  <c r="X201" i="1"/>
  <c r="X144" i="1"/>
  <c r="W144" i="1"/>
  <c r="X230" i="1"/>
  <c r="W230" i="1"/>
  <c r="X203" i="1"/>
  <c r="W203" i="1"/>
  <c r="X233" i="1"/>
  <c r="W233" i="1"/>
  <c r="W72" i="1"/>
  <c r="X72" i="1"/>
  <c r="X222" i="1"/>
  <c r="W222" i="1"/>
  <c r="W53" i="1"/>
  <c r="X53" i="1"/>
  <c r="W63" i="1"/>
  <c r="X63" i="1"/>
  <c r="X121" i="1"/>
  <c r="W121" i="1"/>
  <c r="X94" i="1"/>
  <c r="W94" i="1"/>
  <c r="W133" i="1"/>
  <c r="X133" i="1"/>
  <c r="V209" i="1"/>
  <c r="V152" i="1"/>
  <c r="V163" i="1"/>
  <c r="W125" i="1"/>
  <c r="X125" i="1"/>
  <c r="Y125" i="1" s="1"/>
  <c r="W181" i="1"/>
  <c r="X181" i="1"/>
  <c r="W145" i="1"/>
  <c r="X145" i="1"/>
  <c r="V107" i="1"/>
  <c r="W189" i="1"/>
  <c r="X189" i="1"/>
  <c r="V96" i="1"/>
  <c r="W100" i="1"/>
  <c r="X100" i="1"/>
  <c r="V176" i="1"/>
  <c r="V166" i="1"/>
  <c r="W52" i="1"/>
  <c r="X52" i="1"/>
  <c r="V93" i="1"/>
  <c r="V135" i="1"/>
  <c r="X211" i="1"/>
  <c r="W211" i="1"/>
  <c r="Y211" i="1" s="1"/>
  <c r="V80" i="1"/>
  <c r="V180" i="1"/>
  <c r="W193" i="1"/>
  <c r="X193" i="1"/>
  <c r="X132" i="1"/>
  <c r="W132" i="1"/>
  <c r="Y132" i="1" s="1"/>
  <c r="X191" i="1"/>
  <c r="W191" i="1"/>
  <c r="Y191" i="1" s="1"/>
  <c r="V69" i="1"/>
  <c r="X48" i="1"/>
  <c r="W48" i="1"/>
  <c r="V138" i="1"/>
  <c r="V70" i="1"/>
  <c r="W75" i="1"/>
  <c r="X75" i="1"/>
  <c r="W231" i="1"/>
  <c r="X231" i="1"/>
  <c r="V183" i="1"/>
  <c r="X117" i="1"/>
  <c r="W117" i="1"/>
  <c r="V90" i="1"/>
  <c r="W202" i="1"/>
  <c r="X202" i="1"/>
  <c r="V115" i="1"/>
  <c r="W143" i="1"/>
  <c r="X143" i="1"/>
  <c r="W196" i="1"/>
  <c r="X196" i="1"/>
  <c r="X155" i="1"/>
  <c r="W155" i="1"/>
  <c r="Y155" i="1" s="1"/>
  <c r="W69" i="1"/>
  <c r="X69" i="1"/>
  <c r="W170" i="1"/>
  <c r="X170" i="1"/>
  <c r="W225" i="1"/>
  <c r="X225" i="1"/>
  <c r="V145" i="1"/>
  <c r="W96" i="1"/>
  <c r="X96" i="1"/>
  <c r="W60" i="1"/>
  <c r="X60" i="1"/>
  <c r="W80" i="1"/>
  <c r="X80" i="1"/>
  <c r="W114" i="1"/>
  <c r="X114" i="1"/>
  <c r="W138" i="1"/>
  <c r="X138" i="1"/>
  <c r="X97" i="1"/>
  <c r="W97" i="1"/>
  <c r="W103" i="1"/>
  <c r="X103" i="1"/>
  <c r="V121" i="1"/>
  <c r="V133" i="1"/>
  <c r="X199" i="1"/>
  <c r="W199" i="1"/>
  <c r="X234" i="1"/>
  <c r="W234" i="1"/>
  <c r="W226" i="1"/>
  <c r="X226" i="1"/>
  <c r="W185" i="1"/>
  <c r="X185" i="1"/>
  <c r="X86" i="1"/>
  <c r="W86" i="1"/>
  <c r="V125" i="1"/>
  <c r="X73" i="1"/>
  <c r="W73" i="1"/>
  <c r="W157" i="1"/>
  <c r="X157" i="1"/>
  <c r="V204" i="1"/>
  <c r="W116" i="1"/>
  <c r="X116" i="1"/>
  <c r="X134" i="1"/>
  <c r="W134" i="1"/>
  <c r="W210" i="1"/>
  <c r="X210" i="1"/>
  <c r="X105" i="1"/>
  <c r="W105" i="1"/>
  <c r="X56" i="1"/>
  <c r="W56" i="1"/>
  <c r="W239" i="1"/>
  <c r="X239" i="1"/>
  <c r="X78" i="1"/>
  <c r="W78" i="1"/>
  <c r="W174" i="1"/>
  <c r="X174" i="1"/>
  <c r="X126" i="1"/>
  <c r="W126" i="1"/>
  <c r="W188" i="1"/>
  <c r="X188" i="1"/>
  <c r="X208" i="1"/>
  <c r="W208" i="1"/>
  <c r="X238" i="1"/>
  <c r="W238" i="1"/>
  <c r="V75" i="1"/>
  <c r="W110" i="1"/>
  <c r="X110" i="1"/>
  <c r="V143" i="1"/>
  <c r="X224" i="1"/>
  <c r="W224" i="1"/>
  <c r="W166" i="1"/>
  <c r="X166" i="1"/>
  <c r="X180" i="1"/>
  <c r="W180" i="1"/>
  <c r="W88" i="1"/>
  <c r="X88" i="1"/>
  <c r="X206" i="1"/>
  <c r="W206" i="1"/>
  <c r="W135" i="1"/>
  <c r="X135" i="1"/>
  <c r="X90" i="1"/>
  <c r="W90" i="1"/>
  <c r="X148" i="1"/>
  <c r="W148" i="1"/>
  <c r="V97" i="1"/>
  <c r="V94" i="1"/>
  <c r="W213" i="1"/>
  <c r="X213" i="1"/>
  <c r="W54" i="1"/>
  <c r="X54" i="1"/>
  <c r="W209" i="1"/>
  <c r="X209" i="1"/>
  <c r="X167" i="1"/>
  <c r="W167" i="1"/>
  <c r="V234" i="1"/>
  <c r="V185" i="1"/>
  <c r="W223" i="1"/>
  <c r="X223" i="1"/>
  <c r="V73" i="1"/>
  <c r="V157" i="1"/>
  <c r="X172" i="1"/>
  <c r="W172" i="1"/>
  <c r="X168" i="1"/>
  <c r="W168" i="1"/>
  <c r="V217" i="1"/>
  <c r="W177" i="1"/>
  <c r="X177" i="1"/>
  <c r="X131" i="1"/>
  <c r="W131" i="1"/>
  <c r="V161" i="1"/>
  <c r="X137" i="1"/>
  <c r="W137" i="1"/>
  <c r="X102" i="1"/>
  <c r="W102" i="1"/>
  <c r="V116" i="1"/>
  <c r="W50" i="1"/>
  <c r="X50" i="1"/>
  <c r="W71" i="1"/>
  <c r="X71" i="1"/>
  <c r="X129" i="1"/>
  <c r="W129" i="1"/>
  <c r="W162" i="1"/>
  <c r="X162" i="1"/>
  <c r="Y162" i="1" s="1"/>
  <c r="V105" i="1"/>
  <c r="X118" i="1"/>
  <c r="W118" i="1"/>
  <c r="X164" i="1"/>
  <c r="W164" i="1"/>
  <c r="V56" i="1"/>
  <c r="X195" i="1"/>
  <c r="W195" i="1"/>
  <c r="Y195" i="1" s="1"/>
  <c r="V78" i="1"/>
  <c r="W140" i="1"/>
  <c r="X140" i="1"/>
  <c r="V191" i="1"/>
  <c r="X215" i="1"/>
  <c r="W215" i="1"/>
  <c r="V48" i="1"/>
  <c r="X89" i="1"/>
  <c r="W89" i="1"/>
  <c r="X84" i="1"/>
  <c r="W84" i="1"/>
  <c r="V208" i="1"/>
  <c r="V238" i="1"/>
  <c r="W112" i="1"/>
  <c r="X112" i="1"/>
  <c r="W85" i="1"/>
  <c r="X85" i="1"/>
  <c r="V117" i="1"/>
  <c r="V110" i="1"/>
  <c r="X92" i="1"/>
  <c r="W92" i="1"/>
  <c r="V202" i="1"/>
  <c r="X81" i="1"/>
  <c r="W81" i="1"/>
  <c r="Y81" i="1" s="1"/>
  <c r="V196" i="1"/>
  <c r="W237" i="1"/>
  <c r="X237" i="1"/>
  <c r="W158" i="1"/>
  <c r="X158" i="1"/>
  <c r="X187" i="1"/>
  <c r="W187" i="1"/>
  <c r="X146" i="1"/>
  <c r="W146" i="1"/>
  <c r="W93" i="1"/>
  <c r="X93" i="1"/>
  <c r="X87" i="1"/>
  <c r="W87" i="1"/>
  <c r="X70" i="1"/>
  <c r="W70" i="1"/>
  <c r="X184" i="1"/>
  <c r="W184" i="1"/>
  <c r="X163" i="1"/>
  <c r="W163" i="1"/>
  <c r="W204" i="1"/>
  <c r="X204" i="1"/>
  <c r="X171" i="1"/>
  <c r="W171" i="1"/>
  <c r="V165" i="1"/>
  <c r="V156" i="1"/>
  <c r="V103" i="1"/>
  <c r="X51" i="1"/>
  <c r="W51" i="1"/>
  <c r="V213" i="1"/>
  <c r="V54" i="1"/>
  <c r="X227" i="1"/>
  <c r="W227" i="1"/>
  <c r="Y227" i="1" s="1"/>
  <c r="V167" i="1"/>
  <c r="X198" i="1"/>
  <c r="W198" i="1"/>
  <c r="V226" i="1"/>
  <c r="X123" i="1"/>
  <c r="W123" i="1"/>
  <c r="Y123" i="1" s="1"/>
  <c r="X179" i="1"/>
  <c r="W179" i="1"/>
  <c r="Y179" i="1" s="1"/>
  <c r="V86" i="1"/>
  <c r="W197" i="1"/>
  <c r="X197" i="1"/>
  <c r="V168" i="1"/>
  <c r="V131" i="1"/>
  <c r="X219" i="1"/>
  <c r="W219" i="1"/>
  <c r="V137" i="1"/>
  <c r="V102" i="1"/>
  <c r="X232" i="1"/>
  <c r="W232" i="1"/>
  <c r="W154" i="1"/>
  <c r="X154" i="1"/>
  <c r="V50" i="1"/>
  <c r="V71" i="1"/>
  <c r="W76" i="1"/>
  <c r="X76" i="1"/>
  <c r="V129" i="1"/>
  <c r="W106" i="1"/>
  <c r="Y106" i="1" s="1"/>
  <c r="X106" i="1"/>
  <c r="W229" i="1"/>
  <c r="X229" i="1"/>
  <c r="W186" i="1"/>
  <c r="X186" i="1"/>
  <c r="V195" i="1"/>
  <c r="V140" i="1"/>
  <c r="W218" i="1"/>
  <c r="X218" i="1"/>
  <c r="V215" i="1"/>
  <c r="W178" i="1"/>
  <c r="X178" i="1"/>
  <c r="V89" i="1"/>
  <c r="W59" i="1"/>
  <c r="X59" i="1"/>
  <c r="V84" i="1"/>
  <c r="W207" i="1"/>
  <c r="X207" i="1"/>
  <c r="V112" i="1"/>
  <c r="X159" i="1"/>
  <c r="W159" i="1"/>
  <c r="Y159" i="1" s="1"/>
  <c r="W212" i="1"/>
  <c r="X212" i="1"/>
  <c r="V81" i="1"/>
  <c r="X160" i="1"/>
  <c r="W160" i="1"/>
  <c r="X104" i="1"/>
  <c r="W104" i="1"/>
  <c r="X65" i="1"/>
  <c r="W65" i="1"/>
  <c r="W108" i="1"/>
  <c r="X108" i="1"/>
  <c r="W183" i="1"/>
  <c r="X183" i="1"/>
  <c r="V119" i="1"/>
  <c r="W194" i="1"/>
  <c r="X194" i="1"/>
  <c r="X151" i="1"/>
  <c r="W151" i="1"/>
  <c r="W149" i="1"/>
  <c r="X149" i="1"/>
  <c r="X147" i="1"/>
  <c r="W147" i="1"/>
  <c r="W68" i="1"/>
  <c r="X68" i="1"/>
  <c r="X49" i="1"/>
  <c r="W49" i="1"/>
  <c r="X62" i="1"/>
  <c r="W62" i="1"/>
  <c r="X128" i="1"/>
  <c r="W128" i="1"/>
  <c r="Y128" i="1" s="1"/>
  <c r="X111" i="1"/>
  <c r="W111" i="1"/>
  <c r="W101" i="1"/>
  <c r="X101" i="1"/>
  <c r="W217" i="1"/>
  <c r="Y217" i="1" s="1"/>
  <c r="X217" i="1"/>
  <c r="W91" i="1"/>
  <c r="X91" i="1"/>
  <c r="W161" i="1"/>
  <c r="X161" i="1"/>
  <c r="X216" i="1"/>
  <c r="W216" i="1"/>
  <c r="W175" i="1"/>
  <c r="Y175" i="1" s="1"/>
  <c r="X175" i="1"/>
  <c r="W236" i="1"/>
  <c r="X236" i="1"/>
  <c r="W228" i="1"/>
  <c r="X228" i="1"/>
  <c r="W79" i="1"/>
  <c r="X79" i="1"/>
  <c r="W214" i="1"/>
  <c r="Y214" i="1" s="1"/>
  <c r="X214" i="1"/>
  <c r="W74" i="1"/>
  <c r="X74" i="1"/>
  <c r="W66" i="1"/>
  <c r="X66" i="1"/>
  <c r="X95" i="1"/>
  <c r="W95" i="1"/>
  <c r="W141" i="1"/>
  <c r="X141" i="1"/>
  <c r="W173" i="1"/>
  <c r="X173" i="1"/>
  <c r="X235" i="1"/>
  <c r="W235" i="1"/>
  <c r="Y235" i="1" s="1"/>
  <c r="W109" i="1"/>
  <c r="X109" i="1"/>
  <c r="W130" i="1"/>
  <c r="Y130" i="1" s="1"/>
  <c r="X130" i="1"/>
  <c r="W205" i="1"/>
  <c r="X205" i="1"/>
  <c r="V160" i="1"/>
  <c r="X99" i="1"/>
  <c r="W99" i="1"/>
  <c r="W136" i="1"/>
  <c r="X136" i="1"/>
  <c r="W169" i="1"/>
  <c r="X169" i="1"/>
  <c r="X152" i="1"/>
  <c r="W152" i="1"/>
  <c r="X142" i="1"/>
  <c r="W142" i="1"/>
  <c r="X107" i="1"/>
  <c r="W107" i="1"/>
  <c r="X176" i="1"/>
  <c r="W176" i="1"/>
  <c r="W77" i="1"/>
  <c r="X77" i="1"/>
  <c r="X115" i="1"/>
  <c r="W115" i="1"/>
  <c r="X190" i="1"/>
  <c r="W190" i="1"/>
  <c r="V49" i="1"/>
  <c r="W119" i="1"/>
  <c r="X119" i="1"/>
  <c r="Y119" i="1" s="1"/>
  <c r="V128" i="1"/>
  <c r="X200" i="1"/>
  <c r="W200" i="1"/>
  <c r="X113" i="1"/>
  <c r="W113" i="1"/>
  <c r="V225" i="1"/>
  <c r="X192" i="1"/>
  <c r="W192" i="1"/>
  <c r="Y192" i="1" s="1"/>
  <c r="W55" i="1"/>
  <c r="X55" i="1"/>
  <c r="Y55" i="1" s="1"/>
  <c r="W82" i="1"/>
  <c r="X82" i="1"/>
  <c r="W182" i="1"/>
  <c r="Y182" i="1" s="1"/>
  <c r="X182" i="1"/>
  <c r="W153" i="1"/>
  <c r="X153" i="1"/>
  <c r="V101" i="1"/>
  <c r="W221" i="1"/>
  <c r="X221" i="1"/>
  <c r="X139" i="1"/>
  <c r="W139" i="1"/>
  <c r="W83" i="1"/>
  <c r="X83" i="1"/>
  <c r="X64" i="1"/>
  <c r="W64" i="1"/>
  <c r="W165" i="1"/>
  <c r="X165" i="1"/>
  <c r="V154" i="1"/>
  <c r="V175" i="1"/>
  <c r="W122" i="1"/>
  <c r="X122" i="1"/>
  <c r="X67" i="1"/>
  <c r="W67" i="1"/>
  <c r="V79" i="1"/>
  <c r="W127" i="1"/>
  <c r="X127" i="1"/>
  <c r="V186" i="1"/>
  <c r="V214" i="1"/>
  <c r="X156" i="1"/>
  <c r="W156" i="1"/>
  <c r="Y156" i="1" s="1"/>
  <c r="V144" i="1"/>
  <c r="X150" i="1"/>
  <c r="W150" i="1"/>
  <c r="V169" i="1"/>
  <c r="W220" i="1"/>
  <c r="Y220" i="1" s="1"/>
  <c r="X220" i="1"/>
  <c r="X120" i="1"/>
  <c r="W120" i="1"/>
  <c r="Y120" i="1" s="1"/>
  <c r="V95" i="1"/>
  <c r="W124" i="1"/>
  <c r="X124" i="1"/>
  <c r="V173" i="1"/>
  <c r="V233" i="1"/>
  <c r="V207" i="1"/>
  <c r="V130" i="1"/>
  <c r="V205" i="1"/>
  <c r="X57" i="1"/>
  <c r="W57" i="1"/>
  <c r="Y57" i="1" s="1"/>
  <c r="Y82" i="1" l="1"/>
  <c r="Y147" i="1"/>
  <c r="Y129" i="1"/>
  <c r="Y213" i="1"/>
  <c r="Y135" i="1"/>
  <c r="Y166" i="1"/>
  <c r="Y174" i="1"/>
  <c r="Y185" i="1"/>
  <c r="Y114" i="1"/>
  <c r="Y117" i="1"/>
  <c r="Y193" i="1"/>
  <c r="Y189" i="1"/>
  <c r="Y72" i="1"/>
  <c r="Y127" i="1"/>
  <c r="Y139" i="1"/>
  <c r="Y113" i="1"/>
  <c r="Y190" i="1"/>
  <c r="Y107" i="1"/>
  <c r="Y149" i="1"/>
  <c r="Y232" i="1"/>
  <c r="Y198" i="1"/>
  <c r="Y163" i="1"/>
  <c r="Y77" i="1"/>
  <c r="Y178" i="1"/>
  <c r="Y112" i="1"/>
  <c r="Y215" i="1"/>
  <c r="Y223" i="1"/>
  <c r="Y54" i="1"/>
  <c r="Y116" i="1"/>
  <c r="Y138" i="1"/>
  <c r="Y96" i="1"/>
  <c r="Y202" i="1"/>
  <c r="Y75" i="1"/>
  <c r="Y176" i="1"/>
  <c r="Y160" i="1"/>
  <c r="Y154" i="1"/>
  <c r="Y87" i="1"/>
  <c r="Y92" i="1"/>
  <c r="Y164" i="1"/>
  <c r="Y84" i="1"/>
  <c r="Y118" i="1"/>
  <c r="Y71" i="1"/>
  <c r="Y172" i="1"/>
  <c r="Y167" i="1"/>
  <c r="Y206" i="1"/>
  <c r="Y224" i="1"/>
  <c r="Y208" i="1"/>
  <c r="Y78" i="1"/>
  <c r="Y157" i="1"/>
  <c r="Y150" i="1"/>
  <c r="Y200" i="1"/>
  <c r="Y115" i="1"/>
  <c r="Y142" i="1"/>
  <c r="Y99" i="1"/>
  <c r="Y109" i="1"/>
  <c r="Y79" i="1"/>
  <c r="Y101" i="1"/>
  <c r="Y65" i="1"/>
  <c r="Y212" i="1"/>
  <c r="Y59" i="1"/>
  <c r="Y184" i="1"/>
  <c r="Y89" i="1"/>
  <c r="Y50" i="1"/>
  <c r="Y148" i="1"/>
  <c r="Y134" i="1"/>
  <c r="Y234" i="1"/>
  <c r="Y97" i="1"/>
  <c r="Y170" i="1"/>
  <c r="Y143" i="1"/>
  <c r="Y145" i="1"/>
  <c r="Y203" i="1"/>
  <c r="Y188" i="1"/>
  <c r="Y60" i="1"/>
  <c r="Y231" i="1"/>
  <c r="Y67" i="1"/>
  <c r="Y64" i="1"/>
  <c r="Y152" i="1"/>
  <c r="Y66" i="1"/>
  <c r="Y228" i="1"/>
  <c r="Y161" i="1"/>
  <c r="Y111" i="1"/>
  <c r="Y68" i="1"/>
  <c r="Y194" i="1"/>
  <c r="Y104" i="1"/>
  <c r="Y186" i="1"/>
  <c r="Y219" i="1"/>
  <c r="Y171" i="1"/>
  <c r="Y70" i="1"/>
  <c r="Y187" i="1"/>
  <c r="Y102" i="1"/>
  <c r="Y177" i="1"/>
  <c r="Y90" i="1"/>
  <c r="Y180" i="1"/>
  <c r="Y110" i="1"/>
  <c r="Y126" i="1"/>
  <c r="Y56" i="1"/>
  <c r="Y86" i="1"/>
  <c r="Y199" i="1"/>
  <c r="Y69" i="1"/>
  <c r="Y100" i="1"/>
  <c r="Y181" i="1"/>
  <c r="Y94" i="1"/>
  <c r="Y222" i="1"/>
  <c r="Y230" i="1"/>
  <c r="Y165" i="1"/>
  <c r="Y88" i="1"/>
  <c r="Y153" i="1"/>
  <c r="Y205" i="1"/>
  <c r="Y173" i="1"/>
  <c r="Y74" i="1"/>
  <c r="Y236" i="1"/>
  <c r="Y91" i="1"/>
  <c r="Y229" i="1"/>
  <c r="Y137" i="1"/>
  <c r="Y168" i="1"/>
  <c r="Y238" i="1"/>
  <c r="Y105" i="1"/>
  <c r="Y121" i="1"/>
  <c r="Y144" i="1"/>
  <c r="Y76" i="1"/>
  <c r="Y239" i="1"/>
  <c r="Y53" i="1"/>
  <c r="Y122" i="1"/>
  <c r="Y83" i="1"/>
  <c r="Y169" i="1"/>
  <c r="Y141" i="1"/>
  <c r="Y62" i="1"/>
  <c r="Y183" i="1"/>
  <c r="Y207" i="1"/>
  <c r="Y218" i="1"/>
  <c r="Y51" i="1"/>
  <c r="Y204" i="1"/>
  <c r="Y158" i="1"/>
  <c r="Y124" i="1"/>
  <c r="Y221" i="1"/>
  <c r="Y146" i="1"/>
  <c r="Y209" i="1"/>
  <c r="Y226" i="1"/>
  <c r="Y103" i="1"/>
  <c r="Y225" i="1"/>
  <c r="Y196" i="1"/>
  <c r="Y48" i="1"/>
  <c r="Y52" i="1"/>
  <c r="Y63" i="1"/>
  <c r="Y233" i="1"/>
  <c r="Y85" i="1"/>
  <c r="Y133" i="1"/>
  <c r="Y136" i="1"/>
  <c r="Y95" i="1"/>
  <c r="Y216" i="1"/>
  <c r="Y49" i="1"/>
  <c r="Y151" i="1"/>
  <c r="Y108" i="1"/>
  <c r="Y197" i="1"/>
  <c r="Y93" i="1"/>
  <c r="Y237" i="1"/>
  <c r="Y140" i="1"/>
  <c r="Y131" i="1"/>
  <c r="Y210" i="1"/>
  <c r="Y73" i="1"/>
  <c r="Y80" i="1"/>
</calcChain>
</file>

<file path=xl/sharedStrings.xml><?xml version="1.0" encoding="utf-8"?>
<sst xmlns="http://schemas.openxmlformats.org/spreadsheetml/2006/main" count="1182" uniqueCount="353">
  <si>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</si>
  <si>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</si>
  <si>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</si>
  <si>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</si>
  <si>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</si>
  <si>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</si>
  <si>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</si>
  <si>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</si>
  <si>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</si>
  <si>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(g)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</si>
  <si>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</si>
  <si>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</si>
  <si>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</si>
  <si>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</si>
  <si>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</si>
  <si>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</si>
  <si>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</si>
  <si>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</si>
  <si>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</si>
  <si>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</si>
  <si>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</si>
  <si>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</si>
  <si>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</si>
  <si>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</si>
  <si>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</si>
  <si>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</si>
  <si>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</si>
  <si>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</si>
  <si>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ID</t>
  </si>
  <si>
    <t>Column A - ID (ID)</t>
  </si>
  <si>
    <t>Column B - Harvest Area ID (HID)</t>
  </si>
  <si>
    <t>(kg)</t>
  </si>
  <si>
    <t>Machine</t>
  </si>
  <si>
    <t>(lbs)</t>
  </si>
  <si>
    <t>in bag</t>
  </si>
  <si>
    <t>kg per lb</t>
  </si>
  <si>
    <t>wt in bag</t>
  </si>
  <si>
    <t>Weight</t>
  </si>
  <si>
    <t>Moisture</t>
  </si>
  <si>
    <t>Bag</t>
  </si>
  <si>
    <t>weight</t>
  </si>
  <si>
    <t>Sample wt</t>
  </si>
  <si>
    <t>Wet</t>
  </si>
  <si>
    <t>Dry</t>
  </si>
  <si>
    <t>BWCAH</t>
  </si>
  <si>
    <t>DBWAH</t>
  </si>
  <si>
    <t>(%)</t>
  </si>
  <si>
    <t>DFWAH</t>
  </si>
  <si>
    <t>DSWAH</t>
  </si>
  <si>
    <t>DSCWAH</t>
  </si>
  <si>
    <t>Column K - Bulk water content at harvest (BWCAH, %)</t>
  </si>
  <si>
    <t>Column L - Dry bulk weight at harvest (fiber + seed + trash) (0% water content) (DBWAH, kg/ha)</t>
  </si>
  <si>
    <t>01-1A</t>
  </si>
  <si>
    <t>01-1B</t>
  </si>
  <si>
    <t>01-1C</t>
  </si>
  <si>
    <t>01-2A</t>
  </si>
  <si>
    <t>01-2B</t>
  </si>
  <si>
    <t>01-2C</t>
  </si>
  <si>
    <t>01-3A</t>
  </si>
  <si>
    <t>01-3B</t>
  </si>
  <si>
    <t>01-3C</t>
  </si>
  <si>
    <t>01-4A</t>
  </si>
  <si>
    <t>01-4B</t>
  </si>
  <si>
    <t>01-4C</t>
  </si>
  <si>
    <t>02-1A</t>
  </si>
  <si>
    <t>02-1B</t>
  </si>
  <si>
    <t>02-1C</t>
  </si>
  <si>
    <t>02-2A</t>
  </si>
  <si>
    <t>02-2B</t>
  </si>
  <si>
    <t>02-2C</t>
  </si>
  <si>
    <t>02-3A</t>
  </si>
  <si>
    <t>02-3B</t>
  </si>
  <si>
    <t>02-3C</t>
  </si>
  <si>
    <t>02-4A</t>
  </si>
  <si>
    <t>02-4B</t>
  </si>
  <si>
    <t>02-4C</t>
  </si>
  <si>
    <t>03-1A</t>
  </si>
  <si>
    <t>03-1B</t>
  </si>
  <si>
    <t>03-1C</t>
  </si>
  <si>
    <t>03-2A</t>
  </si>
  <si>
    <t>03-2B</t>
  </si>
  <si>
    <t>03-2C</t>
  </si>
  <si>
    <t>03-3A</t>
  </si>
  <si>
    <t>03-3B</t>
  </si>
  <si>
    <t>03-3C</t>
  </si>
  <si>
    <t>03-4A</t>
  </si>
  <si>
    <t>03-4B</t>
  </si>
  <si>
    <t>03-4C</t>
  </si>
  <si>
    <t>04-1A</t>
  </si>
  <si>
    <t>04-1B</t>
  </si>
  <si>
    <t>04-1C</t>
  </si>
  <si>
    <t>04-2A</t>
  </si>
  <si>
    <t>04-2B</t>
  </si>
  <si>
    <t>04-2C</t>
  </si>
  <si>
    <t>04-3A</t>
  </si>
  <si>
    <t>04-3B</t>
  </si>
  <si>
    <t>04-3C</t>
  </si>
  <si>
    <t>04-4A</t>
  </si>
  <si>
    <t>04-4B</t>
  </si>
  <si>
    <t>04-4C</t>
  </si>
  <si>
    <t>05-1A</t>
  </si>
  <si>
    <t>05-1B</t>
  </si>
  <si>
    <t>05-1C</t>
  </si>
  <si>
    <t>05-2A</t>
  </si>
  <si>
    <t>05-2B</t>
  </si>
  <si>
    <t>05-2C</t>
  </si>
  <si>
    <t>05-3A</t>
  </si>
  <si>
    <t>05-3B</t>
  </si>
  <si>
    <t>05-3C</t>
  </si>
  <si>
    <t>05-4A</t>
  </si>
  <si>
    <t>05-4B</t>
  </si>
  <si>
    <t>05-4C</t>
  </si>
  <si>
    <t>06-1A</t>
  </si>
  <si>
    <t>06-1B</t>
  </si>
  <si>
    <t>06-1C</t>
  </si>
  <si>
    <t>06-2A</t>
  </si>
  <si>
    <t>06-2B</t>
  </si>
  <si>
    <t>06-2C</t>
  </si>
  <si>
    <t>06-3A</t>
  </si>
  <si>
    <t>06-3B</t>
  </si>
  <si>
    <t>06-3C</t>
  </si>
  <si>
    <t>06-4A</t>
  </si>
  <si>
    <t>06-4B</t>
  </si>
  <si>
    <t>06-4C</t>
  </si>
  <si>
    <t>07-1A</t>
  </si>
  <si>
    <t>07-1B</t>
  </si>
  <si>
    <t>07-1C</t>
  </si>
  <si>
    <t>07-2A</t>
  </si>
  <si>
    <t>07-2B</t>
  </si>
  <si>
    <t>07-2C</t>
  </si>
  <si>
    <t>07-3A</t>
  </si>
  <si>
    <t>07-3B</t>
  </si>
  <si>
    <t>07-3C</t>
  </si>
  <si>
    <t>07-4A</t>
  </si>
  <si>
    <t>07-4B</t>
  </si>
  <si>
    <t>07-4C</t>
  </si>
  <si>
    <t>08-1A</t>
  </si>
  <si>
    <t>08-1B</t>
  </si>
  <si>
    <t>08-1C</t>
  </si>
  <si>
    <t>08-2A</t>
  </si>
  <si>
    <t>08-2B</t>
  </si>
  <si>
    <t>08-2C</t>
  </si>
  <si>
    <t>08-3A</t>
  </si>
  <si>
    <t>08-3B</t>
  </si>
  <si>
    <t>08-3C</t>
  </si>
  <si>
    <t>08-4A</t>
  </si>
  <si>
    <t>08-4B</t>
  </si>
  <si>
    <t>08-4C</t>
  </si>
  <si>
    <t>09-1A</t>
  </si>
  <si>
    <t>09-1B</t>
  </si>
  <si>
    <t>09-1C</t>
  </si>
  <si>
    <t>09-2A</t>
  </si>
  <si>
    <t>09-2B</t>
  </si>
  <si>
    <t>09-2C</t>
  </si>
  <si>
    <t>09-3A</t>
  </si>
  <si>
    <t>09-3B</t>
  </si>
  <si>
    <t>09-3C</t>
  </si>
  <si>
    <t>09-4A</t>
  </si>
  <si>
    <t>09-4B</t>
  </si>
  <si>
    <t>09-4C</t>
  </si>
  <si>
    <t>10-1A</t>
  </si>
  <si>
    <t>10-1B</t>
  </si>
  <si>
    <t>10-1C</t>
  </si>
  <si>
    <t>10-2A</t>
  </si>
  <si>
    <t>10-2B</t>
  </si>
  <si>
    <t>10-2C</t>
  </si>
  <si>
    <t>10-3A</t>
  </si>
  <si>
    <t>10-3B</t>
  </si>
  <si>
    <t>10-3C</t>
  </si>
  <si>
    <t>10-4A</t>
  </si>
  <si>
    <t>10-4B</t>
  </si>
  <si>
    <t>10-4C</t>
  </si>
  <si>
    <t>11-1A</t>
  </si>
  <si>
    <t>11-1B</t>
  </si>
  <si>
    <t>11-1C</t>
  </si>
  <si>
    <t>11-2A</t>
  </si>
  <si>
    <t>11-2B</t>
  </si>
  <si>
    <t>11-2C</t>
  </si>
  <si>
    <t>11-3A</t>
  </si>
  <si>
    <t>11-3B</t>
  </si>
  <si>
    <t>11-3C</t>
  </si>
  <si>
    <t>11-4A</t>
  </si>
  <si>
    <t>11-4B</t>
  </si>
  <si>
    <t>11-4C</t>
  </si>
  <si>
    <t>12-1A</t>
  </si>
  <si>
    <t>12-1B</t>
  </si>
  <si>
    <t>12-1C</t>
  </si>
  <si>
    <t>12-2A</t>
  </si>
  <si>
    <t>12-2B</t>
  </si>
  <si>
    <t>12-2C</t>
  </si>
  <si>
    <t>12-3A</t>
  </si>
  <si>
    <t>12-3B</t>
  </si>
  <si>
    <t>12-3C</t>
  </si>
  <si>
    <t>12-4A</t>
  </si>
  <si>
    <t>12-4B</t>
  </si>
  <si>
    <t>12-4C</t>
  </si>
  <si>
    <t>13-1A</t>
  </si>
  <si>
    <t>13-1B</t>
  </si>
  <si>
    <t>13-1C</t>
  </si>
  <si>
    <t>13-2A</t>
  </si>
  <si>
    <t>13-2B</t>
  </si>
  <si>
    <t>13-2C</t>
  </si>
  <si>
    <t>13-3A</t>
  </si>
  <si>
    <t>13-3B</t>
  </si>
  <si>
    <t>13-3C</t>
  </si>
  <si>
    <t>13-4A</t>
  </si>
  <si>
    <t>13-4B</t>
  </si>
  <si>
    <t>13-4C</t>
  </si>
  <si>
    <t>14-1A</t>
  </si>
  <si>
    <t>14-1B</t>
  </si>
  <si>
    <t>14-1C</t>
  </si>
  <si>
    <t>14-2A</t>
  </si>
  <si>
    <t>14-2B</t>
  </si>
  <si>
    <t>14-2C</t>
  </si>
  <si>
    <t>14-3A</t>
  </si>
  <si>
    <t>14-3B</t>
  </si>
  <si>
    <t>14-3C</t>
  </si>
  <si>
    <t>14-4A</t>
  </si>
  <si>
    <t>14-4B</t>
  </si>
  <si>
    <t>14-4C</t>
  </si>
  <si>
    <t>15-1A</t>
  </si>
  <si>
    <t>15-1B</t>
  </si>
  <si>
    <t>15-1C</t>
  </si>
  <si>
    <t>15-2A</t>
  </si>
  <si>
    <t>15-2B</t>
  </si>
  <si>
    <t>15-2C</t>
  </si>
  <si>
    <t>15-3A</t>
  </si>
  <si>
    <t>15-3B</t>
  </si>
  <si>
    <t>15-3C</t>
  </si>
  <si>
    <t>15-4A</t>
  </si>
  <si>
    <t>15-4B</t>
  </si>
  <si>
    <t>15-4C</t>
  </si>
  <si>
    <t>16-1A</t>
  </si>
  <si>
    <t>16-1B</t>
  </si>
  <si>
    <t>16-1C</t>
  </si>
  <si>
    <t>16-2A</t>
  </si>
  <si>
    <t>16-2B</t>
  </si>
  <si>
    <t>16-2C</t>
  </si>
  <si>
    <t>16-3A</t>
  </si>
  <si>
    <t>16-3B</t>
  </si>
  <si>
    <t>16-3C</t>
  </si>
  <si>
    <t>16-4A</t>
  </si>
  <si>
    <t>16-4B</t>
  </si>
  <si>
    <t>16-4C</t>
  </si>
  <si>
    <t>Weight of a single mesh harvest bag (lbs)</t>
  </si>
  <si>
    <t>Size of harvest area (2 40-inch rows by 10 m) (m2)</t>
  </si>
  <si>
    <t>p01-1</t>
  </si>
  <si>
    <t>p01-2</t>
  </si>
  <si>
    <t>p03-3</t>
  </si>
  <si>
    <t>p01-3</t>
  </si>
  <si>
    <t>p01-4</t>
  </si>
  <si>
    <t>p02-1</t>
  </si>
  <si>
    <t>p02-2</t>
  </si>
  <si>
    <t>p02-3</t>
  </si>
  <si>
    <t>p02-4</t>
  </si>
  <si>
    <t>p03-1</t>
  </si>
  <si>
    <t>p03-2</t>
  </si>
  <si>
    <t>p03-4</t>
  </si>
  <si>
    <t>p04-1</t>
  </si>
  <si>
    <t>p04-2</t>
  </si>
  <si>
    <t>p04-3</t>
  </si>
  <si>
    <t>p04-4</t>
  </si>
  <si>
    <t>p05-1</t>
  </si>
  <si>
    <t>p05-2</t>
  </si>
  <si>
    <t>p05-3</t>
  </si>
  <si>
    <t>p05-4</t>
  </si>
  <si>
    <t>p06-1</t>
  </si>
  <si>
    <t>p06-2</t>
  </si>
  <si>
    <t>p06-3</t>
  </si>
  <si>
    <t>p06-4</t>
  </si>
  <si>
    <t>p07-1</t>
  </si>
  <si>
    <t>p07-2</t>
  </si>
  <si>
    <t>p07-3</t>
  </si>
  <si>
    <t>p07-4</t>
  </si>
  <si>
    <t>p08-1</t>
  </si>
  <si>
    <t>p08-2</t>
  </si>
  <si>
    <t>p08-3</t>
  </si>
  <si>
    <t>p08-4</t>
  </si>
  <si>
    <t>p09-1</t>
  </si>
  <si>
    <t>p09-2</t>
  </si>
  <si>
    <t>p09-3</t>
  </si>
  <si>
    <t>p09-4</t>
  </si>
  <si>
    <t>p10-1</t>
  </si>
  <si>
    <t>p10-2</t>
  </si>
  <si>
    <t>p10-3</t>
  </si>
  <si>
    <t>p10-4</t>
  </si>
  <si>
    <t>p11-1</t>
  </si>
  <si>
    <t>p11-2</t>
  </si>
  <si>
    <t>p11-3</t>
  </si>
  <si>
    <t>p11-4</t>
  </si>
  <si>
    <t>p15-1</t>
  </si>
  <si>
    <t>p12-1</t>
  </si>
  <si>
    <t>p12-2</t>
  </si>
  <si>
    <t>p12-3</t>
  </si>
  <si>
    <t>p12-4</t>
  </si>
  <si>
    <t>p13-1</t>
  </si>
  <si>
    <t>p13-2</t>
  </si>
  <si>
    <t>p13-3</t>
  </si>
  <si>
    <t>p13-4</t>
  </si>
  <si>
    <t>p14-1</t>
  </si>
  <si>
    <t>p14-2</t>
  </si>
  <si>
    <t>p14-3</t>
  </si>
  <si>
    <t>p14-4</t>
  </si>
  <si>
    <t>p15-2</t>
  </si>
  <si>
    <t>p15-3</t>
  </si>
  <si>
    <t>p15-4</t>
  </si>
  <si>
    <t>p16-1</t>
  </si>
  <si>
    <t>p16-2</t>
  </si>
  <si>
    <t>p16-3</t>
  </si>
  <si>
    <t>p16-4</t>
  </si>
  <si>
    <t>Quality</t>
  </si>
  <si>
    <t>QLDAT</t>
  </si>
  <si>
    <t>FBMIC</t>
  </si>
  <si>
    <t>FBLTH</t>
  </si>
  <si>
    <t>FBUNI</t>
  </si>
  <si>
    <t>FBSTR</t>
  </si>
  <si>
    <t>(inches)</t>
  </si>
  <si>
    <t>(g/tex)</t>
  </si>
  <si>
    <t>FBELO</t>
  </si>
  <si>
    <t>FBSFI</t>
  </si>
  <si>
    <t>wt in bin</t>
  </si>
  <si>
    <t>Weight of bin holding seed at MAC gin (kg)</t>
  </si>
  <si>
    <t>Column Q - Fiber fraction after ginning (FFRAC, g/g)</t>
  </si>
  <si>
    <t>Column R - Seed fraction after ginning (SFRAC, g/g)</t>
  </si>
  <si>
    <t>Column S - Trash fraction after ginning (TFRAC, g/g)</t>
  </si>
  <si>
    <t>Column T - Wet fiber weight at harvest (WFWAH, kg/ha)</t>
  </si>
  <si>
    <t>Column U - Wet seed weight at harvest (WSWAH, kg/ha)</t>
  </si>
  <si>
    <t>Column V - Wet seed cotton weight at harvest (fiber + seed) (WSCWAH, kg/ha)</t>
  </si>
  <si>
    <t>Column W - Dry fiber weight at harvest (DFWAH, kg/ha)</t>
  </si>
  <si>
    <t>Column X - Dry seed weight at harvest (DSWAH, kg/ha)</t>
  </si>
  <si>
    <t>Column Y - Dry seed cotton weight at harvest (fiber + seed) (DSCWAH, kg/ha)</t>
  </si>
  <si>
    <t>Column Z - Quality measurement date (QLDAT, mm/dd/yyyy)</t>
  </si>
  <si>
    <t>Column AA - Micronaire (FBMIC)</t>
  </si>
  <si>
    <t>Column AB - Upper half mean fiber length (FBLTH, inches)</t>
  </si>
  <si>
    <t>Column AC - Fiber uniformity (FBUNI, %)</t>
  </si>
  <si>
    <t>Column AD - Fiber strength (FBSTR, g/tex)</t>
  </si>
  <si>
    <t>Column AE - Fiber elongation to failure (FBELO, %)</t>
  </si>
  <si>
    <t>Column AF - Short fiber index (FBSFI, %)</t>
  </si>
  <si>
    <t>Fiber Wt</t>
  </si>
  <si>
    <t>Seed Wt</t>
  </si>
  <si>
    <t>Original</t>
  </si>
  <si>
    <t>Spreadsheet</t>
  </si>
  <si>
    <t>Weight of yellow mesh bag holding fiber at MAC gin (kg)</t>
  </si>
  <si>
    <t>Column E - Weight of machine-picked cotton in bag (lbs).  Machine harvest 2 rows by 10 m into mesh bags. Weigh in field using IQ plus 300-DC scale.</t>
  </si>
  <si>
    <t>Column M - Ginning Date (GNDAT, mm/dd/yyyy).  Ginned using the MAC large gin with cleaners.</t>
  </si>
  <si>
    <t>Column G - Weight of Zip-lock plastic bag for subsampling harvest bags for moisture content (g).  Weigh in Room 189 on Sartorius scale.</t>
  </si>
  <si>
    <t>Column H - Weight of bulk subsample for moisture content in plastic bag (g). Weigh in Room 189 on Sartorius scale.</t>
  </si>
  <si>
    <t>Column I - Wet weight of bulk subsample prior to oven drying (g). Weigh in Room 189 on Sartorius scale.</t>
  </si>
  <si>
    <t>Column J - Dry weight of bulk subsample after oven drying (g). Weigh in Room 189 on Sartorius scale.</t>
  </si>
  <si>
    <t>Column O - Weight of fiber in bag after ginning (kg). Weigh on Ohaus Defender 3000 series scale at MAC gin.</t>
  </si>
  <si>
    <t>Column N - Weight of bulk cotton subsample in bag prior to ginning (kg).  Weigh on ALARC's Ohaus scale.</t>
  </si>
  <si>
    <t>Column P - Weight of fuzzy seed in bin after ginning (kg). Weigh on Ohaus Defender 3000 series scale at MAC gin.</t>
  </si>
  <si>
    <t>Plot-scale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</si>
</sst>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mm/dd/yyyy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</cellXfs>
  <cellStyles count="2">
    <cellStyle name="Normal" xfId="0" builtinId="0"/>
    <cellStyle name="Normal 2" xfId="1" xr:uid="{DBA18AE1-F80B-4EBD-A939-B01D5DD0C7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Compare!$M$7:$M$8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Compare!$M$7:$M$8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B-42BE-A2A8-AD23BC8C9D4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Compare!$B$6:$B$197</c:f>
              <c:numCache>
                <c:formatCode>General</c:formatCode>
                <c:ptCount val="192"/>
                <c:pt idx="0">
                  <c:v>1549.0023513806509</c:v>
                </c:pt>
                <c:pt idx="1">
                  <c:v>1877.3740755322929</c:v>
                </c:pt>
                <c:pt idx="2">
                  <c:v>1811.4905937384563</c:v>
                </c:pt>
                <c:pt idx="3">
                  <c:v>1904.3272263392653</c:v>
                </c:pt>
                <c:pt idx="4">
                  <c:v>1843.687995090308</c:v>
                </c:pt>
                <c:pt idx="5">
                  <c:v>1792.8517496328725</c:v>
                </c:pt>
                <c:pt idx="6">
                  <c:v>1308.6820226515013</c:v>
                </c:pt>
                <c:pt idx="7">
                  <c:v>1324.164102800094</c:v>
                </c:pt>
                <c:pt idx="8">
                  <c:v>1427.6577033698211</c:v>
                </c:pt>
                <c:pt idx="9">
                  <c:v>1921.5889187962798</c:v>
                </c:pt>
                <c:pt idx="10">
                  <c:v>1170.5390992071136</c:v>
                </c:pt>
                <c:pt idx="11">
                  <c:v>1223.8583736731291</c:v>
                </c:pt>
                <c:pt idx="12">
                  <c:v>2007.0545061040207</c:v>
                </c:pt>
                <c:pt idx="13">
                  <c:v>2184.7393846825794</c:v>
                </c:pt>
                <c:pt idx="14">
                  <c:v>1791.0364601200565</c:v>
                </c:pt>
                <c:pt idx="15">
                  <c:v>1103.1640114272127</c:v>
                </c:pt>
                <c:pt idx="16">
                  <c:v>1059.6197216481371</c:v>
                </c:pt>
                <c:pt idx="17">
                  <c:v>1304.2175344403295</c:v>
                </c:pt>
                <c:pt idx="18">
                  <c:v>1540.5550575878951</c:v>
                </c:pt>
                <c:pt idx="19">
                  <c:v>1620.1428807370462</c:v>
                </c:pt>
                <c:pt idx="20">
                  <c:v>1702.466166611212</c:v>
                </c:pt>
                <c:pt idx="21">
                  <c:v>2018.9876362711209</c:v>
                </c:pt>
                <c:pt idx="22">
                  <c:v>1212.793732487487</c:v>
                </c:pt>
                <c:pt idx="23">
                  <c:v>1072.0091305605622</c:v>
                </c:pt>
                <c:pt idx="24">
                  <c:v>1299.1968105786784</c:v>
                </c:pt>
                <c:pt idx="25">
                  <c:v>1095.328886184853</c:v>
                </c:pt>
                <c:pt idx="26">
                  <c:v>1164.3201300607871</c:v>
                </c:pt>
                <c:pt idx="27">
                  <c:v>1462.0588824922349</c:v>
                </c:pt>
                <c:pt idx="28">
                  <c:v>1687.2541541295718</c:v>
                </c:pt>
                <c:pt idx="29">
                  <c:v>1688.2623877170881</c:v>
                </c:pt>
                <c:pt idx="30">
                  <c:v>1181.6503257271659</c:v>
                </c:pt>
                <c:pt idx="31">
                  <c:v>1040.520484704917</c:v>
                </c:pt>
                <c:pt idx="32">
                  <c:v>996.18754570285284</c:v>
                </c:pt>
                <c:pt idx="33">
                  <c:v>1654.4476852300713</c:v>
                </c:pt>
                <c:pt idx="34">
                  <c:v>1364.9443941589795</c:v>
                </c:pt>
                <c:pt idx="35">
                  <c:v>1218.4252876715354</c:v>
                </c:pt>
                <c:pt idx="36">
                  <c:v>1431.0406138422179</c:v>
                </c:pt>
                <c:pt idx="37">
                  <c:v>1393.9247318907981</c:v>
                </c:pt>
                <c:pt idx="38">
                  <c:v>1397.6079581897156</c:v>
                </c:pt>
                <c:pt idx="39">
                  <c:v>1807.33002390109</c:v>
                </c:pt>
                <c:pt idx="40">
                  <c:v>1932.1339712291685</c:v>
                </c:pt>
                <c:pt idx="41">
                  <c:v>1938.9650557269833</c:v>
                </c:pt>
                <c:pt idx="42">
                  <c:v>1440.2249959064316</c:v>
                </c:pt>
                <c:pt idx="43">
                  <c:v>1488.6731911339662</c:v>
                </c:pt>
                <c:pt idx="44">
                  <c:v>1298.3783200972584</c:v>
                </c:pt>
                <c:pt idx="45">
                  <c:v>1335.2761667144061</c:v>
                </c:pt>
                <c:pt idx="46">
                  <c:v>1498.7068581841231</c:v>
                </c:pt>
                <c:pt idx="47">
                  <c:v>1026.4375847098599</c:v>
                </c:pt>
                <c:pt idx="48">
                  <c:v>1072.9136032995873</c:v>
                </c:pt>
                <c:pt idx="49">
                  <c:v>934.62106558974313</c:v>
                </c:pt>
                <c:pt idx="50">
                  <c:v>652.05454339779521</c:v>
                </c:pt>
                <c:pt idx="51">
                  <c:v>1148.783839534301</c:v>
                </c:pt>
                <c:pt idx="52">
                  <c:v>1380.7874117647057</c:v>
                </c:pt>
                <c:pt idx="53">
                  <c:v>1411.788743822992</c:v>
                </c:pt>
                <c:pt idx="54">
                  <c:v>1754.1216948259544</c:v>
                </c:pt>
                <c:pt idx="55">
                  <c:v>1910.4756896977951</c:v>
                </c:pt>
                <c:pt idx="56">
                  <c:v>1978.2897898506242</c:v>
                </c:pt>
                <c:pt idx="57">
                  <c:v>1385.9608029806643</c:v>
                </c:pt>
                <c:pt idx="58">
                  <c:v>1248.0642791651476</c:v>
                </c:pt>
                <c:pt idx="59">
                  <c:v>1226.5204370215129</c:v>
                </c:pt>
                <c:pt idx="60">
                  <c:v>1619.7553657491737</c:v>
                </c:pt>
                <c:pt idx="61">
                  <c:v>1743.3201191786516</c:v>
                </c:pt>
                <c:pt idx="62">
                  <c:v>1679.6718289472374</c:v>
                </c:pt>
                <c:pt idx="63">
                  <c:v>1561.3285422636277</c:v>
                </c:pt>
                <c:pt idx="64">
                  <c:v>1621.5497650610614</c:v>
                </c:pt>
                <c:pt idx="65">
                  <c:v>1507.4126959180958</c:v>
                </c:pt>
                <c:pt idx="66">
                  <c:v>1497.2671369399229</c:v>
                </c:pt>
                <c:pt idx="67">
                  <c:v>1544.4685312553777</c:v>
                </c:pt>
                <c:pt idx="68">
                  <c:v>1754.8260784451954</c:v>
                </c:pt>
                <c:pt idx="69">
                  <c:v>1574.0551591973995</c:v>
                </c:pt>
                <c:pt idx="70">
                  <c:v>2060.7482030923916</c:v>
                </c:pt>
                <c:pt idx="71">
                  <c:v>1535.4144532760452</c:v>
                </c:pt>
                <c:pt idx="72">
                  <c:v>1551.297019268254</c:v>
                </c:pt>
                <c:pt idx="73">
                  <c:v>1358.7211204429848</c:v>
                </c:pt>
                <c:pt idx="74">
                  <c:v>1330.9532073036198</c:v>
                </c:pt>
                <c:pt idx="75">
                  <c:v>1558.9006845570691</c:v>
                </c:pt>
                <c:pt idx="76">
                  <c:v>1696.4219671664862</c:v>
                </c:pt>
                <c:pt idx="77">
                  <c:v>1911.5372095857842</c:v>
                </c:pt>
                <c:pt idx="78">
                  <c:v>1923.0048299273456</c:v>
                </c:pt>
                <c:pt idx="79">
                  <c:v>1837.6926883877863</c:v>
                </c:pt>
                <c:pt idx="80">
                  <c:v>1761.2704078602612</c:v>
                </c:pt>
                <c:pt idx="81">
                  <c:v>1811.3194159648704</c:v>
                </c:pt>
                <c:pt idx="82">
                  <c:v>1845.0827866017864</c:v>
                </c:pt>
                <c:pt idx="83">
                  <c:v>1896.8387283190173</c:v>
                </c:pt>
                <c:pt idx="84">
                  <c:v>1396.6036154286855</c:v>
                </c:pt>
                <c:pt idx="85">
                  <c:v>1153.1993468993398</c:v>
                </c:pt>
                <c:pt idx="86">
                  <c:v>1286.3156401207461</c:v>
                </c:pt>
                <c:pt idx="87">
                  <c:v>1457.1333175220439</c:v>
                </c:pt>
                <c:pt idx="88">
                  <c:v>1385.9798523042616</c:v>
                </c:pt>
                <c:pt idx="89">
                  <c:v>1562.3739215128132</c:v>
                </c:pt>
                <c:pt idx="90">
                  <c:v>1228.2487239495861</c:v>
                </c:pt>
                <c:pt idx="91">
                  <c:v>1131.1622596590134</c:v>
                </c:pt>
                <c:pt idx="92">
                  <c:v>1255.0788262769972</c:v>
                </c:pt>
                <c:pt idx="93">
                  <c:v>1236.2398068396474</c:v>
                </c:pt>
                <c:pt idx="94">
                  <c:v>1222.3227419567022</c:v>
                </c:pt>
                <c:pt idx="95">
                  <c:v>1328.5910859768735</c:v>
                </c:pt>
                <c:pt idx="96">
                  <c:v>1064.6700568338879</c:v>
                </c:pt>
                <c:pt idx="97">
                  <c:v>1271.5116594168082</c:v>
                </c:pt>
                <c:pt idx="98">
                  <c:v>1380.4779970187406</c:v>
                </c:pt>
                <c:pt idx="99">
                  <c:v>1412.3477758087304</c:v>
                </c:pt>
                <c:pt idx="100">
                  <c:v>1681.4613880735205</c:v>
                </c:pt>
                <c:pt idx="101">
                  <c:v>1494.1224837435286</c:v>
                </c:pt>
                <c:pt idx="102">
                  <c:v>1032.1228044137354</c:v>
                </c:pt>
                <c:pt idx="103">
                  <c:v>1000.3518600178502</c:v>
                </c:pt>
                <c:pt idx="104">
                  <c:v>840.51383694487401</c:v>
                </c:pt>
                <c:pt idx="105">
                  <c:v>1096.5907563777625</c:v>
                </c:pt>
                <c:pt idx="106">
                  <c:v>996.84987523424797</c:v>
                </c:pt>
                <c:pt idx="107">
                  <c:v>763.3314614494908</c:v>
                </c:pt>
                <c:pt idx="108">
                  <c:v>1734.0876262381328</c:v>
                </c:pt>
                <c:pt idx="109">
                  <c:v>1386.2618564510392</c:v>
                </c:pt>
                <c:pt idx="110">
                  <c:v>1660.9615782989802</c:v>
                </c:pt>
                <c:pt idx="111">
                  <c:v>1407.1690356346589</c:v>
                </c:pt>
                <c:pt idx="112">
                  <c:v>1327.3254051339984</c:v>
                </c:pt>
                <c:pt idx="113">
                  <c:v>1473.8993619446596</c:v>
                </c:pt>
                <c:pt idx="114">
                  <c:v>1194.1135466304836</c:v>
                </c:pt>
                <c:pt idx="115">
                  <c:v>1222.291843404744</c:v>
                </c:pt>
                <c:pt idx="116">
                  <c:v>1352.8977783691582</c:v>
                </c:pt>
                <c:pt idx="117">
                  <c:v>1088.3385285282914</c:v>
                </c:pt>
                <c:pt idx="118">
                  <c:v>1269.9254222871855</c:v>
                </c:pt>
                <c:pt idx="119">
                  <c:v>931.84463534394195</c:v>
                </c:pt>
                <c:pt idx="120">
                  <c:v>1378.131302597523</c:v>
                </c:pt>
                <c:pt idx="121">
                  <c:v>1526.6028191956952</c:v>
                </c:pt>
                <c:pt idx="122">
                  <c:v>1534.2921715614257</c:v>
                </c:pt>
                <c:pt idx="123">
                  <c:v>1321.885692730154</c:v>
                </c:pt>
                <c:pt idx="124">
                  <c:v>1524.8469097652908</c:v>
                </c:pt>
                <c:pt idx="125">
                  <c:v>1436.2876645418121</c:v>
                </c:pt>
                <c:pt idx="126">
                  <c:v>1538.4498167827994</c:v>
                </c:pt>
                <c:pt idx="127">
                  <c:v>1714.6305959943527</c:v>
                </c:pt>
                <c:pt idx="128">
                  <c:v>1474.2518501306363</c:v>
                </c:pt>
                <c:pt idx="129">
                  <c:v>1281.392095626695</c:v>
                </c:pt>
                <c:pt idx="130">
                  <c:v>844.56275174400878</c:v>
                </c:pt>
                <c:pt idx="131">
                  <c:v>1371.9623342996026</c:v>
                </c:pt>
                <c:pt idx="132">
                  <c:v>1526.7863331049389</c:v>
                </c:pt>
                <c:pt idx="133">
                  <c:v>1306.5198711447276</c:v>
                </c:pt>
                <c:pt idx="134">
                  <c:v>1631.1278028593006</c:v>
                </c:pt>
                <c:pt idx="135">
                  <c:v>1451.7537694656266</c:v>
                </c:pt>
                <c:pt idx="136">
                  <c:v>1661.9834587786188</c:v>
                </c:pt>
                <c:pt idx="137">
                  <c:v>1792.3689479513121</c:v>
                </c:pt>
                <c:pt idx="138">
                  <c:v>1478.4625689732384</c:v>
                </c:pt>
                <c:pt idx="139">
                  <c:v>1752.3445612431863</c:v>
                </c:pt>
                <c:pt idx="140">
                  <c:v>1746.006661702728</c:v>
                </c:pt>
                <c:pt idx="141">
                  <c:v>1341.109602068236</c:v>
                </c:pt>
                <c:pt idx="142">
                  <c:v>1524.6521633588434</c:v>
                </c:pt>
                <c:pt idx="143">
                  <c:v>1173.1675770420038</c:v>
                </c:pt>
                <c:pt idx="144">
                  <c:v>1603.2523317471794</c:v>
                </c:pt>
                <c:pt idx="145">
                  <c:v>1294.1014241897367</c:v>
                </c:pt>
                <c:pt idx="146">
                  <c:v>1572.1822739821966</c:v>
                </c:pt>
                <c:pt idx="147">
                  <c:v>1671.3838004639706</c:v>
                </c:pt>
                <c:pt idx="148">
                  <c:v>1745.8867206880896</c:v>
                </c:pt>
                <c:pt idx="149">
                  <c:v>1822.2166240835884</c:v>
                </c:pt>
                <c:pt idx="150">
                  <c:v>1647.2711448778589</c:v>
                </c:pt>
                <c:pt idx="151">
                  <c:v>1750.5490368037656</c:v>
                </c:pt>
                <c:pt idx="152">
                  <c:v>1594.7493162330991</c:v>
                </c:pt>
                <c:pt idx="153">
                  <c:v>1409.4184172972468</c:v>
                </c:pt>
                <c:pt idx="154">
                  <c:v>1598.5638003084894</c:v>
                </c:pt>
                <c:pt idx="155">
                  <c:v>1294.0650459867468</c:v>
                </c:pt>
                <c:pt idx="156">
                  <c:v>1376.8342500060194</c:v>
                </c:pt>
                <c:pt idx="157">
                  <c:v>1477.4974001889066</c:v>
                </c:pt>
                <c:pt idx="158">
                  <c:v>1366.7529715289716</c:v>
                </c:pt>
                <c:pt idx="159">
                  <c:v>1196.8460863006076</c:v>
                </c:pt>
                <c:pt idx="160">
                  <c:v>935.37221277881963</c:v>
                </c:pt>
                <c:pt idx="161">
                  <c:v>1421.0929806197003</c:v>
                </c:pt>
                <c:pt idx="162">
                  <c:v>1744.4631779012502</c:v>
                </c:pt>
                <c:pt idx="163">
                  <c:v>1788.6101009517038</c:v>
                </c:pt>
                <c:pt idx="164">
                  <c:v>1818.3812199113811</c:v>
                </c:pt>
                <c:pt idx="165">
                  <c:v>1318.2355076212225</c:v>
                </c:pt>
                <c:pt idx="166">
                  <c:v>1509.7517552682878</c:v>
                </c:pt>
                <c:pt idx="167">
                  <c:v>1077.2024651046377</c:v>
                </c:pt>
                <c:pt idx="168">
                  <c:v>1385.9587919456058</c:v>
                </c:pt>
                <c:pt idx="169">
                  <c:v>1395.3983049057031</c:v>
                </c:pt>
                <c:pt idx="170">
                  <c:v>1311.4032274385304</c:v>
                </c:pt>
                <c:pt idx="171">
                  <c:v>1476.5181719945567</c:v>
                </c:pt>
                <c:pt idx="172">
                  <c:v>1642.4103509151767</c:v>
                </c:pt>
                <c:pt idx="173">
                  <c:v>1661.3885887637762</c:v>
                </c:pt>
                <c:pt idx="174">
                  <c:v>1045.1445159118862</c:v>
                </c:pt>
                <c:pt idx="175">
                  <c:v>1170.8666700261078</c:v>
                </c:pt>
                <c:pt idx="176">
                  <c:v>1159.9547912502856</c:v>
                </c:pt>
                <c:pt idx="177">
                  <c:v>1537.5034751423862</c:v>
                </c:pt>
                <c:pt idx="178">
                  <c:v>1644.7279303590676</c:v>
                </c:pt>
                <c:pt idx="179">
                  <c:v>1351.1765089200169</c:v>
                </c:pt>
                <c:pt idx="180">
                  <c:v>1724.4806334249929</c:v>
                </c:pt>
                <c:pt idx="181">
                  <c:v>1222.9206585636516</c:v>
                </c:pt>
                <c:pt idx="182">
                  <c:v>1561.5762874440047</c:v>
                </c:pt>
                <c:pt idx="183">
                  <c:v>1425.7464634921234</c:v>
                </c:pt>
                <c:pt idx="184">
                  <c:v>1399.6086665765542</c:v>
                </c:pt>
                <c:pt idx="185">
                  <c:v>1570.6247134821785</c:v>
                </c:pt>
                <c:pt idx="186">
                  <c:v>1131.9653004920185</c:v>
                </c:pt>
                <c:pt idx="187">
                  <c:v>1440.0338038636087</c:v>
                </c:pt>
                <c:pt idx="188">
                  <c:v>1625.8003376171168</c:v>
                </c:pt>
                <c:pt idx="189">
                  <c:v>1107.2123496106085</c:v>
                </c:pt>
                <c:pt idx="190">
                  <c:v>1173.1503703790106</c:v>
                </c:pt>
                <c:pt idx="191">
                  <c:v>1192.4310051978932</c:v>
                </c:pt>
              </c:numCache>
            </c:numRef>
          </c:xVal>
          <c:yVal>
            <c:numRef>
              <c:f>'Raw Scale'!$W$48:$W$239</c:f>
              <c:numCache>
                <c:formatCode>0.0</c:formatCode>
                <c:ptCount val="192"/>
                <c:pt idx="0">
                  <c:v>1511.0244811944449</c:v>
                </c:pt>
                <c:pt idx="1">
                  <c:v>1839.4985030282971</c:v>
                </c:pt>
                <c:pt idx="2">
                  <c:v>1773.4175019320605</c:v>
                </c:pt>
                <c:pt idx="3">
                  <c:v>1866.3459880148423</c:v>
                </c:pt>
                <c:pt idx="4">
                  <c:v>1805.0281474655878</c:v>
                </c:pt>
                <c:pt idx="5">
                  <c:v>1754.4756044397743</c:v>
                </c:pt>
                <c:pt idx="6">
                  <c:v>1270.9593852075061</c:v>
                </c:pt>
                <c:pt idx="7">
                  <c:v>1285.5117319173198</c:v>
                </c:pt>
                <c:pt idx="8">
                  <c:v>1389.4549993964208</c:v>
                </c:pt>
                <c:pt idx="9">
                  <c:v>1883.0622210636725</c:v>
                </c:pt>
                <c:pt idx="11">
                  <c:v>1186.0497791813129</c:v>
                </c:pt>
                <c:pt idx="12">
                  <c:v>1968.8024194379161</c:v>
                </c:pt>
                <c:pt idx="14">
                  <c:v>1752.8075116365956</c:v>
                </c:pt>
                <c:pt idx="15">
                  <c:v>1064.6950293358673</c:v>
                </c:pt>
                <c:pt idx="16">
                  <c:v>1021.2589761719486</c:v>
                </c:pt>
                <c:pt idx="17">
                  <c:v>1265.5810397014523</c:v>
                </c:pt>
                <c:pt idx="18">
                  <c:v>1502.2139883343459</c:v>
                </c:pt>
                <c:pt idx="19">
                  <c:v>1581.9910804794065</c:v>
                </c:pt>
                <c:pt idx="20">
                  <c:v>1664.1826512894988</c:v>
                </c:pt>
                <c:pt idx="21">
                  <c:v>1980.4993907608073</c:v>
                </c:pt>
                <c:pt idx="22">
                  <c:v>1174.2030011535462</c:v>
                </c:pt>
                <c:pt idx="23">
                  <c:v>1032.9974182479245</c:v>
                </c:pt>
                <c:pt idx="24">
                  <c:v>1260.979930352938</c:v>
                </c:pt>
                <c:pt idx="25">
                  <c:v>1056.7283036514571</c:v>
                </c:pt>
                <c:pt idx="26">
                  <c:v>1126.2247746919929</c:v>
                </c:pt>
                <c:pt idx="27">
                  <c:v>1424.0808776576957</c:v>
                </c:pt>
                <c:pt idx="28">
                  <c:v>1649.2637386137096</c:v>
                </c:pt>
                <c:pt idx="29">
                  <c:v>1649.8235046178684</c:v>
                </c:pt>
                <c:pt idx="30">
                  <c:v>1143.2059353118227</c:v>
                </c:pt>
                <c:pt idx="31">
                  <c:v>998.40821112360459</c:v>
                </c:pt>
                <c:pt idx="32">
                  <c:v>957.4258546562512</c:v>
                </c:pt>
                <c:pt idx="33">
                  <c:v>1616.0249359306902</c:v>
                </c:pt>
                <c:pt idx="34">
                  <c:v>1326.8182497163425</c:v>
                </c:pt>
                <c:pt idx="35">
                  <c:v>1180.220732711156</c:v>
                </c:pt>
                <c:pt idx="36">
                  <c:v>1392.7591018768892</c:v>
                </c:pt>
                <c:pt idx="37">
                  <c:v>1356.064119262167</c:v>
                </c:pt>
                <c:pt idx="38">
                  <c:v>1359.1351116304033</c:v>
                </c:pt>
                <c:pt idx="39">
                  <c:v>1768.8800402367237</c:v>
                </c:pt>
                <c:pt idx="40">
                  <c:v>1894.265617643729</c:v>
                </c:pt>
                <c:pt idx="41">
                  <c:v>1900.900526056497</c:v>
                </c:pt>
                <c:pt idx="42">
                  <c:v>1401.7987017336104</c:v>
                </c:pt>
                <c:pt idx="43">
                  <c:v>1450.7514228907878</c:v>
                </c:pt>
                <c:pt idx="44">
                  <c:v>1259.7296283321641</c:v>
                </c:pt>
                <c:pt idx="45">
                  <c:v>1297.0499307054395</c:v>
                </c:pt>
                <c:pt idx="46">
                  <c:v>1460.1307031102695</c:v>
                </c:pt>
                <c:pt idx="47">
                  <c:v>987.77035448090692</c:v>
                </c:pt>
                <c:pt idx="48">
                  <c:v>1034.7321160303625</c:v>
                </c:pt>
                <c:pt idx="49">
                  <c:v>896.03003720917684</c:v>
                </c:pt>
                <c:pt idx="51">
                  <c:v>1110.5994816403293</c:v>
                </c:pt>
                <c:pt idx="52">
                  <c:v>1342.0159991015269</c:v>
                </c:pt>
                <c:pt idx="53">
                  <c:v>1373.4138771097214</c:v>
                </c:pt>
                <c:pt idx="54">
                  <c:v>1716.1868270249033</c:v>
                </c:pt>
                <c:pt idx="55">
                  <c:v>1872.3246133386262</c:v>
                </c:pt>
                <c:pt idx="56">
                  <c:v>1940.7514906732765</c:v>
                </c:pt>
                <c:pt idx="57">
                  <c:v>1347.8984972472729</c:v>
                </c:pt>
                <c:pt idx="58">
                  <c:v>1209.6770509098581</c:v>
                </c:pt>
                <c:pt idx="59">
                  <c:v>1188.36255247237</c:v>
                </c:pt>
                <c:pt idx="60">
                  <c:v>1581.2548824554353</c:v>
                </c:pt>
                <c:pt idx="61">
                  <c:v>1705.0441683194529</c:v>
                </c:pt>
                <c:pt idx="62">
                  <c:v>1641.5420654643415</c:v>
                </c:pt>
                <c:pt idx="63">
                  <c:v>1523.8938536712765</c:v>
                </c:pt>
                <c:pt idx="64">
                  <c:v>1583.5435683996488</c:v>
                </c:pt>
                <c:pt idx="65">
                  <c:v>1469.0486348902607</c:v>
                </c:pt>
                <c:pt idx="66">
                  <c:v>1459.3759207553369</c:v>
                </c:pt>
                <c:pt idx="67">
                  <c:v>1505.9357326647157</c:v>
                </c:pt>
                <c:pt idx="68">
                  <c:v>1716.6731364498921</c:v>
                </c:pt>
                <c:pt idx="69">
                  <c:v>1536.2851840698368</c:v>
                </c:pt>
                <c:pt idx="70">
                  <c:v>2022.2871267553105</c:v>
                </c:pt>
                <c:pt idx="71">
                  <c:v>1497.7079325928773</c:v>
                </c:pt>
                <c:pt idx="72">
                  <c:v>1513.2628892583759</c:v>
                </c:pt>
                <c:pt idx="73">
                  <c:v>1320.3858881585661</c:v>
                </c:pt>
                <c:pt idx="74">
                  <c:v>1293.0714078389638</c:v>
                </c:pt>
                <c:pt idx="75">
                  <c:v>1520.7608667179777</c:v>
                </c:pt>
                <c:pt idx="76">
                  <c:v>1658.5151612488498</c:v>
                </c:pt>
                <c:pt idx="77">
                  <c:v>1873.5020145293888</c:v>
                </c:pt>
                <c:pt idx="78">
                  <c:v>1885.2563057179061</c:v>
                </c:pt>
                <c:pt idx="79">
                  <c:v>1799.6233209559146</c:v>
                </c:pt>
                <c:pt idx="80">
                  <c:v>1723.4530624340364</c:v>
                </c:pt>
                <c:pt idx="81">
                  <c:v>1773.5304670895978</c:v>
                </c:pt>
                <c:pt idx="82">
                  <c:v>1806.9177553140728</c:v>
                </c:pt>
                <c:pt idx="83">
                  <c:v>1859.512101971455</c:v>
                </c:pt>
                <c:pt idx="84">
                  <c:v>1358.092869924357</c:v>
                </c:pt>
                <c:pt idx="85">
                  <c:v>1114.5262261833093</c:v>
                </c:pt>
                <c:pt idx="86">
                  <c:v>1248.4384063085799</c:v>
                </c:pt>
                <c:pt idx="87">
                  <c:v>1419.0403672914072</c:v>
                </c:pt>
                <c:pt idx="88">
                  <c:v>1347.7639150047551</c:v>
                </c:pt>
                <c:pt idx="89">
                  <c:v>1524.9404704724298</c:v>
                </c:pt>
                <c:pt idx="90">
                  <c:v>1190.0813235478836</c:v>
                </c:pt>
                <c:pt idx="91">
                  <c:v>1093.1708213871561</c:v>
                </c:pt>
                <c:pt idx="92">
                  <c:v>1217.7129968862882</c:v>
                </c:pt>
                <c:pt idx="93">
                  <c:v>1198.4000841190489</c:v>
                </c:pt>
                <c:pt idx="94">
                  <c:v>1183.7927411704816</c:v>
                </c:pt>
                <c:pt idx="95">
                  <c:v>1290.5156436959519</c:v>
                </c:pt>
                <c:pt idx="96">
                  <c:v>1026.5891224843824</c:v>
                </c:pt>
                <c:pt idx="97">
                  <c:v>1233.0620886079582</c:v>
                </c:pt>
                <c:pt idx="98">
                  <c:v>1341.9743366239879</c:v>
                </c:pt>
                <c:pt idx="99">
                  <c:v>1374.4785736975643</c:v>
                </c:pt>
                <c:pt idx="100">
                  <c:v>1643.1569858170894</c:v>
                </c:pt>
                <c:pt idx="101">
                  <c:v>1456.5652336556084</c:v>
                </c:pt>
                <c:pt idx="102">
                  <c:v>994.5344617365331</c:v>
                </c:pt>
                <c:pt idx="103">
                  <c:v>961.69341519427132</c:v>
                </c:pt>
                <c:pt idx="104">
                  <c:v>802.49742549306507</c:v>
                </c:pt>
                <c:pt idx="105">
                  <c:v>1058.3677008557872</c:v>
                </c:pt>
                <c:pt idx="106">
                  <c:v>958.53825121923967</c:v>
                </c:pt>
                <c:pt idx="107">
                  <c:v>724.33329673805622</c:v>
                </c:pt>
                <c:pt idx="108">
                  <c:v>1696.2080506279065</c:v>
                </c:pt>
                <c:pt idx="109">
                  <c:v>1346.7547212189234</c:v>
                </c:pt>
                <c:pt idx="110">
                  <c:v>1622.6005152914713</c:v>
                </c:pt>
                <c:pt idx="111">
                  <c:v>1368.5361090759686</c:v>
                </c:pt>
                <c:pt idx="112">
                  <c:v>1289.1405043908592</c:v>
                </c:pt>
                <c:pt idx="113">
                  <c:v>1435.6312191627201</c:v>
                </c:pt>
                <c:pt idx="114">
                  <c:v>1156.3301450268666</c:v>
                </c:pt>
                <c:pt idx="115">
                  <c:v>1183.9070744401424</c:v>
                </c:pt>
                <c:pt idx="116">
                  <c:v>1314.8027557696109</c:v>
                </c:pt>
                <c:pt idx="117">
                  <c:v>1049.1910510501582</c:v>
                </c:pt>
                <c:pt idx="118">
                  <c:v>1230.6979783059148</c:v>
                </c:pt>
                <c:pt idx="119">
                  <c:v>892.42786662511185</c:v>
                </c:pt>
                <c:pt idx="120">
                  <c:v>1339.8769529764581</c:v>
                </c:pt>
                <c:pt idx="121">
                  <c:v>1487.5286790692071</c:v>
                </c:pt>
                <c:pt idx="122">
                  <c:v>1496.2826503244389</c:v>
                </c:pt>
                <c:pt idx="123">
                  <c:v>1284.0234007561944</c:v>
                </c:pt>
                <c:pt idx="124">
                  <c:v>1486.2047248741628</c:v>
                </c:pt>
                <c:pt idx="125">
                  <c:v>1398.5680239274725</c:v>
                </c:pt>
                <c:pt idx="126">
                  <c:v>1500.5535556099239</c:v>
                </c:pt>
                <c:pt idx="127">
                  <c:v>1676.4135945273067</c:v>
                </c:pt>
                <c:pt idx="128">
                  <c:v>1436.5020456357031</c:v>
                </c:pt>
                <c:pt idx="129">
                  <c:v>1243.4184871358466</c:v>
                </c:pt>
                <c:pt idx="130">
                  <c:v>805.51237900967328</c:v>
                </c:pt>
                <c:pt idx="131">
                  <c:v>1334.967650649256</c:v>
                </c:pt>
                <c:pt idx="132">
                  <c:v>1488.9325636764888</c:v>
                </c:pt>
                <c:pt idx="133">
                  <c:v>1268.051637571504</c:v>
                </c:pt>
                <c:pt idx="134">
                  <c:v>1592.948183855256</c:v>
                </c:pt>
                <c:pt idx="135">
                  <c:v>1413.7233928069941</c:v>
                </c:pt>
                <c:pt idx="136">
                  <c:v>1623.4642969878003</c:v>
                </c:pt>
                <c:pt idx="137">
                  <c:v>1754.4723578650712</c:v>
                </c:pt>
                <c:pt idx="138">
                  <c:v>1441.0065448088976</c:v>
                </c:pt>
                <c:pt idx="139">
                  <c:v>1714.3000810041112</c:v>
                </c:pt>
                <c:pt idx="140">
                  <c:v>1707.9238853955846</c:v>
                </c:pt>
                <c:pt idx="141">
                  <c:v>1303.1682289400298</c:v>
                </c:pt>
                <c:pt idx="142">
                  <c:v>1486.7049172773654</c:v>
                </c:pt>
                <c:pt idx="143">
                  <c:v>1136.2835121648541</c:v>
                </c:pt>
                <c:pt idx="144">
                  <c:v>1565.9254304956985</c:v>
                </c:pt>
                <c:pt idx="145">
                  <c:v>1255.5800423381572</c:v>
                </c:pt>
                <c:pt idx="146">
                  <c:v>1534.1210839558432</c:v>
                </c:pt>
                <c:pt idx="147">
                  <c:v>1633.1795318734719</c:v>
                </c:pt>
                <c:pt idx="148">
                  <c:v>1707.2790172437647</c:v>
                </c:pt>
                <c:pt idx="149">
                  <c:v>1784.1767160145223</c:v>
                </c:pt>
                <c:pt idx="150">
                  <c:v>1609.5600604075501</c:v>
                </c:pt>
                <c:pt idx="151">
                  <c:v>1712.1667039536885</c:v>
                </c:pt>
                <c:pt idx="152">
                  <c:v>1556.9787719318133</c:v>
                </c:pt>
                <c:pt idx="153">
                  <c:v>1371.7619010348494</c:v>
                </c:pt>
                <c:pt idx="154">
                  <c:v>1560.2055830750157</c:v>
                </c:pt>
                <c:pt idx="155">
                  <c:v>1256.6259053711563</c:v>
                </c:pt>
                <c:pt idx="156">
                  <c:v>1339.0952687194413</c:v>
                </c:pt>
                <c:pt idx="157">
                  <c:v>1439.5039042754538</c:v>
                </c:pt>
                <c:pt idx="158">
                  <c:v>1328.4374069018925</c:v>
                </c:pt>
                <c:pt idx="159">
                  <c:v>1158.9470850928083</c:v>
                </c:pt>
                <c:pt idx="160">
                  <c:v>897.44268000248553</c:v>
                </c:pt>
                <c:pt idx="161">
                  <c:v>1383.0952709897631</c:v>
                </c:pt>
                <c:pt idx="162">
                  <c:v>1706.4913446224691</c:v>
                </c:pt>
                <c:pt idx="163">
                  <c:v>1750.2777426466748</c:v>
                </c:pt>
                <c:pt idx="164">
                  <c:v>1780.4211872917595</c:v>
                </c:pt>
                <c:pt idx="165">
                  <c:v>1280.7401938448957</c:v>
                </c:pt>
                <c:pt idx="166">
                  <c:v>1471.5030370293423</c:v>
                </c:pt>
                <c:pt idx="167">
                  <c:v>1038.4861870015584</c:v>
                </c:pt>
                <c:pt idx="168">
                  <c:v>1347.7532705396993</c:v>
                </c:pt>
                <c:pt idx="169">
                  <c:v>1356.6408264616293</c:v>
                </c:pt>
                <c:pt idx="170">
                  <c:v>1273.5229907307516</c:v>
                </c:pt>
                <c:pt idx="171">
                  <c:v>1438.4611791875316</c:v>
                </c:pt>
                <c:pt idx="172">
                  <c:v>1604.0069360389923</c:v>
                </c:pt>
                <c:pt idx="173">
                  <c:v>1623.0768804083157</c:v>
                </c:pt>
                <c:pt idx="174">
                  <c:v>1006.825733432895</c:v>
                </c:pt>
                <c:pt idx="175">
                  <c:v>1132.1487120259815</c:v>
                </c:pt>
                <c:pt idx="176">
                  <c:v>1122.0624057380116</c:v>
                </c:pt>
                <c:pt idx="177">
                  <c:v>1499.3869057264167</c:v>
                </c:pt>
                <c:pt idx="178">
                  <c:v>1606.7101681584229</c:v>
                </c:pt>
                <c:pt idx="179">
                  <c:v>1313.5866651447063</c:v>
                </c:pt>
                <c:pt idx="180">
                  <c:v>1686.7736692075384</c:v>
                </c:pt>
                <c:pt idx="181">
                  <c:v>1184.1229201372898</c:v>
                </c:pt>
                <c:pt idx="182">
                  <c:v>1523.0991961124412</c:v>
                </c:pt>
                <c:pt idx="183">
                  <c:v>1387.7580092008341</c:v>
                </c:pt>
                <c:pt idx="184">
                  <c:v>1361.13134850143</c:v>
                </c:pt>
                <c:pt idx="185">
                  <c:v>1532.5897404666771</c:v>
                </c:pt>
                <c:pt idx="186">
                  <c:v>1093.5170217769669</c:v>
                </c:pt>
                <c:pt idx="187">
                  <c:v>1401.875093069408</c:v>
                </c:pt>
                <c:pt idx="188">
                  <c:v>1587.8661538561603</c:v>
                </c:pt>
                <c:pt idx="189">
                  <c:v>1067.9783212882564</c:v>
                </c:pt>
                <c:pt idx="190">
                  <c:v>1134.0474350949235</c:v>
                </c:pt>
                <c:pt idx="191">
                  <c:v>1154.1258747450788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B-42BE-A2A8-AD23BC8C9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79544"/>
        <c:axId val="618379904"/>
      </c:scatterChart>
      <c:valAx>
        <c:axId val="618379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904"/>
        <c:crosses val="autoZero"/>
        <c:crossBetween val="midCat"/>
      </c:valAx>
      <c:valAx>
        <c:axId val="6183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Compare!$M$22:$M$23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xVal>
          <c:yVal>
            <c:numRef>
              <c:f>Compare!$M$22:$M$23</c:f>
              <c:numCache>
                <c:formatCode>General</c:formatCode>
                <c:ptCount val="2"/>
                <c:pt idx="0">
                  <c:v>0</c:v>
                </c:pt>
                <c:pt idx="1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88-40FA-8025-88BAE93C5E7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Compare!$C$6:$C$197</c:f>
              <c:numCache>
                <c:formatCode>General</c:formatCode>
                <c:ptCount val="192"/>
                <c:pt idx="0">
                  <c:v>1841.8015763367493</c:v>
                </c:pt>
                <c:pt idx="1">
                  <c:v>2356.1044647930285</c:v>
                </c:pt>
                <c:pt idx="2">
                  <c:v>2157.6654977774815</c:v>
                </c:pt>
                <c:pt idx="3">
                  <c:v>2451.1142517238068</c:v>
                </c:pt>
                <c:pt idx="4">
                  <c:v>2229.8006642191681</c:v>
                </c:pt>
                <c:pt idx="5">
                  <c:v>2183.8460141804671</c:v>
                </c:pt>
                <c:pt idx="6">
                  <c:v>1562.8864443176203</c:v>
                </c:pt>
                <c:pt idx="7">
                  <c:v>1602.4304722290992</c:v>
                </c:pt>
                <c:pt idx="8">
                  <c:v>1657.6159911609329</c:v>
                </c:pt>
                <c:pt idx="9">
                  <c:v>2288.5254962548661</c:v>
                </c:pt>
                <c:pt idx="10">
                  <c:v>1444.2942111184552</c:v>
                </c:pt>
                <c:pt idx="11">
                  <c:v>1459.2157532256545</c:v>
                </c:pt>
                <c:pt idx="12">
                  <c:v>2463.6356259760264</c:v>
                </c:pt>
                <c:pt idx="13">
                  <c:v>2617.9204695765397</c:v>
                </c:pt>
                <c:pt idx="14">
                  <c:v>2172.1080473796428</c:v>
                </c:pt>
                <c:pt idx="15">
                  <c:v>1314.2040831785057</c:v>
                </c:pt>
                <c:pt idx="16">
                  <c:v>1260.0883176356226</c:v>
                </c:pt>
                <c:pt idx="17">
                  <c:v>1524.7837351177384</c:v>
                </c:pt>
                <c:pt idx="18">
                  <c:v>1827.6150062067582</c:v>
                </c:pt>
                <c:pt idx="19">
                  <c:v>1877.4596912070479</c:v>
                </c:pt>
                <c:pt idx="20">
                  <c:v>2073.3945492806947</c:v>
                </c:pt>
                <c:pt idx="21">
                  <c:v>2526.1267107847202</c:v>
                </c:pt>
                <c:pt idx="22">
                  <c:v>1424.5513683186355</c:v>
                </c:pt>
                <c:pt idx="23">
                  <c:v>1332.7681082644833</c:v>
                </c:pt>
                <c:pt idx="24">
                  <c:v>1621.6252161237521</c:v>
                </c:pt>
                <c:pt idx="25">
                  <c:v>1297.0999967978523</c:v>
                </c:pt>
                <c:pt idx="26">
                  <c:v>1410.4365803175392</c:v>
                </c:pt>
                <c:pt idx="27">
                  <c:v>1718.3938813707432</c:v>
                </c:pt>
                <c:pt idx="28">
                  <c:v>1981.1017877139357</c:v>
                </c:pt>
                <c:pt idx="29">
                  <c:v>2041.1759941890216</c:v>
                </c:pt>
                <c:pt idx="30">
                  <c:v>1364.1816768557524</c:v>
                </c:pt>
                <c:pt idx="31">
                  <c:v>1198.1751035996015</c:v>
                </c:pt>
                <c:pt idx="32">
                  <c:v>1121.9199543837956</c:v>
                </c:pt>
                <c:pt idx="33">
                  <c:v>2046.5422233481811</c:v>
                </c:pt>
                <c:pt idx="34">
                  <c:v>1630.3502485787817</c:v>
                </c:pt>
                <c:pt idx="35">
                  <c:v>1456.3989766698824</c:v>
                </c:pt>
                <c:pt idx="36">
                  <c:v>1772.215859526455</c:v>
                </c:pt>
                <c:pt idx="37">
                  <c:v>1667.0586320585899</c:v>
                </c:pt>
                <c:pt idx="38">
                  <c:v>1675.2150183780843</c:v>
                </c:pt>
                <c:pt idx="39">
                  <c:v>2285.4596598537591</c:v>
                </c:pt>
                <c:pt idx="40">
                  <c:v>2375.1110280475632</c:v>
                </c:pt>
                <c:pt idx="41">
                  <c:v>2421.3417281273551</c:v>
                </c:pt>
                <c:pt idx="42">
                  <c:v>1766.6759949785562</c:v>
                </c:pt>
                <c:pt idx="43">
                  <c:v>1846.7085155839072</c:v>
                </c:pt>
                <c:pt idx="44">
                  <c:v>1651.6135983590132</c:v>
                </c:pt>
                <c:pt idx="45">
                  <c:v>1602.331400057288</c:v>
                </c:pt>
                <c:pt idx="46">
                  <c:v>1825.3480965063045</c:v>
                </c:pt>
                <c:pt idx="47">
                  <c:v>1237.4808264259059</c:v>
                </c:pt>
                <c:pt idx="48">
                  <c:v>1262.8098162729659</c:v>
                </c:pt>
                <c:pt idx="49">
                  <c:v>1079.1500963510437</c:v>
                </c:pt>
                <c:pt idx="50">
                  <c:v>765.45533355393343</c:v>
                </c:pt>
                <c:pt idx="51">
                  <c:v>1386.1358724959332</c:v>
                </c:pt>
                <c:pt idx="52">
                  <c:v>1745.1618676470587</c:v>
                </c:pt>
                <c:pt idx="53">
                  <c:v>1809.7426179207484</c:v>
                </c:pt>
                <c:pt idx="54">
                  <c:v>2059.186337404381</c:v>
                </c:pt>
                <c:pt idx="55">
                  <c:v>2263.9136922918869</c:v>
                </c:pt>
                <c:pt idx="56">
                  <c:v>2362.6968106272857</c:v>
                </c:pt>
                <c:pt idx="57">
                  <c:v>1632.775740497769</c:v>
                </c:pt>
                <c:pt idx="58">
                  <c:v>1495.7716933505978</c:v>
                </c:pt>
                <c:pt idx="59">
                  <c:v>1464.2181961342089</c:v>
                </c:pt>
                <c:pt idx="60">
                  <c:v>2048.5141390357198</c:v>
                </c:pt>
                <c:pt idx="61">
                  <c:v>2124.3736971411977</c:v>
                </c:pt>
                <c:pt idx="62">
                  <c:v>2087.7276969965665</c:v>
                </c:pt>
                <c:pt idx="63">
                  <c:v>1942.3670555541564</c:v>
                </c:pt>
                <c:pt idx="64">
                  <c:v>1989.2267466737449</c:v>
                </c:pt>
                <c:pt idx="65">
                  <c:v>1860.4144031900555</c:v>
                </c:pt>
                <c:pt idx="66">
                  <c:v>1800.5111140416805</c:v>
                </c:pt>
                <c:pt idx="67">
                  <c:v>1851.4436430576891</c:v>
                </c:pt>
                <c:pt idx="68">
                  <c:v>2117.2358120371382</c:v>
                </c:pt>
                <c:pt idx="69">
                  <c:v>1932.2233990147718</c:v>
                </c:pt>
                <c:pt idx="70">
                  <c:v>2426.6754541087976</c:v>
                </c:pt>
                <c:pt idx="71">
                  <c:v>1883.9441144491352</c:v>
                </c:pt>
                <c:pt idx="72">
                  <c:v>1920.2030177527781</c:v>
                </c:pt>
                <c:pt idx="73">
                  <c:v>1653.269055643912</c:v>
                </c:pt>
                <c:pt idx="74">
                  <c:v>1612.140504621286</c:v>
                </c:pt>
                <c:pt idx="75">
                  <c:v>1946.2638849621592</c:v>
                </c:pt>
                <c:pt idx="76">
                  <c:v>2108.811837637897</c:v>
                </c:pt>
                <c:pt idx="77">
                  <c:v>2356.300817756734</c:v>
                </c:pt>
                <c:pt idx="78">
                  <c:v>2394.3295431448328</c:v>
                </c:pt>
                <c:pt idx="79">
                  <c:v>2282.9068963992613</c:v>
                </c:pt>
                <c:pt idx="80">
                  <c:v>2102.1614545428924</c:v>
                </c:pt>
                <c:pt idx="81">
                  <c:v>2105.3031955193783</c:v>
                </c:pt>
                <c:pt idx="82">
                  <c:v>2225.5122271382374</c:v>
                </c:pt>
                <c:pt idx="83">
                  <c:v>2261.2560209517351</c:v>
                </c:pt>
                <c:pt idx="84">
                  <c:v>1805.1339247037436</c:v>
                </c:pt>
                <c:pt idx="85">
                  <c:v>1467.7082596900689</c:v>
                </c:pt>
                <c:pt idx="86">
                  <c:v>1643.103919862267</c:v>
                </c:pt>
                <c:pt idx="87">
                  <c:v>1769.3761712767678</c:v>
                </c:pt>
                <c:pt idx="88">
                  <c:v>1680.2632456017418</c:v>
                </c:pt>
                <c:pt idx="89">
                  <c:v>1852.3954279014192</c:v>
                </c:pt>
                <c:pt idx="90">
                  <c:v>1437.7174985766474</c:v>
                </c:pt>
                <c:pt idx="91">
                  <c:v>1347.9683594269911</c:v>
                </c:pt>
                <c:pt idx="92">
                  <c:v>1515.3914717270416</c:v>
                </c:pt>
                <c:pt idx="93">
                  <c:v>1472.1634340991225</c:v>
                </c:pt>
                <c:pt idx="94">
                  <c:v>1470.6070489166577</c:v>
                </c:pt>
                <c:pt idx="95">
                  <c:v>1594.3093031722485</c:v>
                </c:pt>
                <c:pt idx="96">
                  <c:v>1366.1695419549892</c:v>
                </c:pt>
                <c:pt idx="97">
                  <c:v>1663.8368182703218</c:v>
                </c:pt>
                <c:pt idx="98">
                  <c:v>1770.8200513481786</c:v>
                </c:pt>
                <c:pt idx="99">
                  <c:v>1723.0642864866513</c:v>
                </c:pt>
                <c:pt idx="100">
                  <c:v>2032.9533166538608</c:v>
                </c:pt>
                <c:pt idx="101">
                  <c:v>1839.6383081092197</c:v>
                </c:pt>
                <c:pt idx="102">
                  <c:v>1219.7814961253237</c:v>
                </c:pt>
                <c:pt idx="103">
                  <c:v>1183.1084498288035</c:v>
                </c:pt>
                <c:pt idx="104">
                  <c:v>991.61744808103117</c:v>
                </c:pt>
                <c:pt idx="105">
                  <c:v>1296.837764064137</c:v>
                </c:pt>
                <c:pt idx="106">
                  <c:v>1196.2198502810979</c:v>
                </c:pt>
                <c:pt idx="107">
                  <c:v>966.24235626517827</c:v>
                </c:pt>
                <c:pt idx="108">
                  <c:v>2155.8927245122736</c:v>
                </c:pt>
                <c:pt idx="109">
                  <c:v>1718.1837094041052</c:v>
                </c:pt>
                <c:pt idx="110">
                  <c:v>2014.154557592442</c:v>
                </c:pt>
                <c:pt idx="111">
                  <c:v>1723.0641252669298</c:v>
                </c:pt>
                <c:pt idx="112">
                  <c:v>1573.8286946588837</c:v>
                </c:pt>
                <c:pt idx="113">
                  <c:v>1749.661178050435</c:v>
                </c:pt>
                <c:pt idx="114">
                  <c:v>1410.3703306659254</c:v>
                </c:pt>
                <c:pt idx="115">
                  <c:v>1432.3732539899343</c:v>
                </c:pt>
                <c:pt idx="116">
                  <c:v>1665.1049579928101</c:v>
                </c:pt>
                <c:pt idx="117">
                  <c:v>1292.4020026273463</c:v>
                </c:pt>
                <c:pt idx="118">
                  <c:v>1560.7480380781444</c:v>
                </c:pt>
                <c:pt idx="119">
                  <c:v>1078.9779988193011</c:v>
                </c:pt>
                <c:pt idx="120">
                  <c:v>1717.9445004982822</c:v>
                </c:pt>
                <c:pt idx="121">
                  <c:v>1920.2551184851513</c:v>
                </c:pt>
                <c:pt idx="122">
                  <c:v>2002.0641750862503</c:v>
                </c:pt>
                <c:pt idx="123">
                  <c:v>1684.9388055222389</c:v>
                </c:pt>
                <c:pt idx="124">
                  <c:v>1906.0586372066132</c:v>
                </c:pt>
                <c:pt idx="125">
                  <c:v>1828.0024821441241</c:v>
                </c:pt>
                <c:pt idx="126">
                  <c:v>1887.6684868500604</c:v>
                </c:pt>
                <c:pt idx="127">
                  <c:v>2057.5567151932237</c:v>
                </c:pt>
                <c:pt idx="128">
                  <c:v>1812.2968603516745</c:v>
                </c:pt>
                <c:pt idx="129">
                  <c:v>1601.7401195333691</c:v>
                </c:pt>
                <c:pt idx="130">
                  <c:v>1065.3007436771018</c:v>
                </c:pt>
                <c:pt idx="131">
                  <c:v>1801.8438657134782</c:v>
                </c:pt>
                <c:pt idx="132">
                  <c:v>2010.8893167723586</c:v>
                </c:pt>
                <c:pt idx="133">
                  <c:v>1637.8836065799846</c:v>
                </c:pt>
                <c:pt idx="134">
                  <c:v>2074.2665701100932</c:v>
                </c:pt>
                <c:pt idx="135">
                  <c:v>1845.1322102240547</c:v>
                </c:pt>
                <c:pt idx="136">
                  <c:v>2098.8476822289986</c:v>
                </c:pt>
                <c:pt idx="137">
                  <c:v>2242.8072175935272</c:v>
                </c:pt>
                <c:pt idx="138">
                  <c:v>1813.2088110049151</c:v>
                </c:pt>
                <c:pt idx="139">
                  <c:v>2159.6462700726843</c:v>
                </c:pt>
                <c:pt idx="140">
                  <c:v>2217.9003540548165</c:v>
                </c:pt>
                <c:pt idx="141">
                  <c:v>1605.5537489549308</c:v>
                </c:pt>
                <c:pt idx="142">
                  <c:v>1863.4637552163642</c:v>
                </c:pt>
                <c:pt idx="143">
                  <c:v>1420.6326128243013</c:v>
                </c:pt>
                <c:pt idx="144">
                  <c:v>2001.7485760542818</c:v>
                </c:pt>
                <c:pt idx="145">
                  <c:v>1589.0804252918097</c:v>
                </c:pt>
                <c:pt idx="146">
                  <c:v>1986.4099389834942</c:v>
                </c:pt>
                <c:pt idx="147">
                  <c:v>2124.6404243186066</c:v>
                </c:pt>
                <c:pt idx="148">
                  <c:v>2239.2894895782019</c:v>
                </c:pt>
                <c:pt idx="149">
                  <c:v>2348.217299076789</c:v>
                </c:pt>
                <c:pt idx="150">
                  <c:v>2059.0889310973243</c:v>
                </c:pt>
                <c:pt idx="151">
                  <c:v>2159.6447356220374</c:v>
                </c:pt>
                <c:pt idx="152">
                  <c:v>1960.6035711336337</c:v>
                </c:pt>
                <c:pt idx="153">
                  <c:v>1764.1064958223819</c:v>
                </c:pt>
                <c:pt idx="154">
                  <c:v>2005.2989684343183</c:v>
                </c:pt>
                <c:pt idx="155">
                  <c:v>1636.06795099753</c:v>
                </c:pt>
                <c:pt idx="156">
                  <c:v>1776.860417237498</c:v>
                </c:pt>
                <c:pt idx="157">
                  <c:v>1825.6974244372475</c:v>
                </c:pt>
                <c:pt idx="158">
                  <c:v>1660.984514010903</c:v>
                </c:pt>
                <c:pt idx="159">
                  <c:v>1441.8696945196302</c:v>
                </c:pt>
                <c:pt idx="160">
                  <c:v>1150.5078217179484</c:v>
                </c:pt>
                <c:pt idx="161">
                  <c:v>1851.1605931756617</c:v>
                </c:pt>
                <c:pt idx="162">
                  <c:v>2197.0806510864395</c:v>
                </c:pt>
                <c:pt idx="163">
                  <c:v>2180.7652567753394</c:v>
                </c:pt>
                <c:pt idx="164">
                  <c:v>2289.4644375050034</c:v>
                </c:pt>
                <c:pt idx="165">
                  <c:v>1652.4360588491384</c:v>
                </c:pt>
                <c:pt idx="166">
                  <c:v>1832.591753250186</c:v>
                </c:pt>
                <c:pt idx="167">
                  <c:v>1334.5871249084012</c:v>
                </c:pt>
                <c:pt idx="168">
                  <c:v>1772.5187271141085</c:v>
                </c:pt>
                <c:pt idx="169">
                  <c:v>1749.0266424502991</c:v>
                </c:pt>
                <c:pt idx="170">
                  <c:v>1683.4325118182553</c:v>
                </c:pt>
                <c:pt idx="171">
                  <c:v>1906.3905511828459</c:v>
                </c:pt>
                <c:pt idx="172">
                  <c:v>2060.1332147317539</c:v>
                </c:pt>
                <c:pt idx="173">
                  <c:v>2152.2533990803468</c:v>
                </c:pt>
                <c:pt idx="174">
                  <c:v>1273.1760466562982</c:v>
                </c:pt>
                <c:pt idx="175">
                  <c:v>1420.3956324906883</c:v>
                </c:pt>
                <c:pt idx="176">
                  <c:v>1405.1484869617282</c:v>
                </c:pt>
                <c:pt idx="177">
                  <c:v>1980.8326980362031</c:v>
                </c:pt>
                <c:pt idx="178">
                  <c:v>2032.2787645241353</c:v>
                </c:pt>
                <c:pt idx="179">
                  <c:v>1695.9594801616768</c:v>
                </c:pt>
                <c:pt idx="180">
                  <c:v>2246.4855819212075</c:v>
                </c:pt>
                <c:pt idx="181">
                  <c:v>1566.867093784678</c:v>
                </c:pt>
                <c:pt idx="182">
                  <c:v>2044.2453217448794</c:v>
                </c:pt>
                <c:pt idx="183">
                  <c:v>1838.462545029317</c:v>
                </c:pt>
                <c:pt idx="184">
                  <c:v>1825.1653557383445</c:v>
                </c:pt>
                <c:pt idx="185">
                  <c:v>2103.5152412707748</c:v>
                </c:pt>
                <c:pt idx="186">
                  <c:v>1388.7977636288631</c:v>
                </c:pt>
                <c:pt idx="187">
                  <c:v>1762.1466284120479</c:v>
                </c:pt>
                <c:pt idx="188">
                  <c:v>2067.4917588194553</c:v>
                </c:pt>
                <c:pt idx="189">
                  <c:v>1408.2964095924408</c:v>
                </c:pt>
                <c:pt idx="190">
                  <c:v>1473.7095561785918</c:v>
                </c:pt>
                <c:pt idx="191">
                  <c:v>1523.661839975086</c:v>
                </c:pt>
              </c:numCache>
            </c:numRef>
          </c:xVal>
          <c:yVal>
            <c:numRef>
              <c:f>'Raw Scale'!$X$48:$X$239</c:f>
              <c:numCache>
                <c:formatCode>0.0</c:formatCode>
                <c:ptCount val="192"/>
                <c:pt idx="0">
                  <c:v>1853.1432316535652</c:v>
                </c:pt>
                <c:pt idx="1">
                  <c:v>2367.7647397953979</c:v>
                </c:pt>
                <c:pt idx="2">
                  <c:v>2169.0993639222788</c:v>
                </c:pt>
                <c:pt idx="3">
                  <c:v>2463.1977506794874</c:v>
                </c:pt>
                <c:pt idx="4">
                  <c:v>2241.7285057233917</c:v>
                </c:pt>
                <c:pt idx="5">
                  <c:v>2195.4913301459469</c:v>
                </c:pt>
                <c:pt idx="6">
                  <c:v>1574.472074212284</c:v>
                </c:pt>
                <c:pt idx="7">
                  <c:v>1614.1387912044538</c:v>
                </c:pt>
                <c:pt idx="8">
                  <c:v>1669.2757978859777</c:v>
                </c:pt>
                <c:pt idx="9">
                  <c:v>2300.4419917118066</c:v>
                </c:pt>
                <c:pt idx="11">
                  <c:v>1470.7017261848282</c:v>
                </c:pt>
                <c:pt idx="12">
                  <c:v>2475.3389642447592</c:v>
                </c:pt>
                <c:pt idx="14">
                  <c:v>2183.8257522029717</c:v>
                </c:pt>
                <c:pt idx="15">
                  <c:v>1326.0292638092167</c:v>
                </c:pt>
                <c:pt idx="16">
                  <c:v>1271.7564608933701</c:v>
                </c:pt>
                <c:pt idx="17">
                  <c:v>1536.0869107826788</c:v>
                </c:pt>
                <c:pt idx="18">
                  <c:v>1839.249178024744</c:v>
                </c:pt>
                <c:pt idx="19">
                  <c:v>1888.8014718451097</c:v>
                </c:pt>
                <c:pt idx="20">
                  <c:v>2085.0104481673029</c:v>
                </c:pt>
                <c:pt idx="21">
                  <c:v>2538.1157240818111</c:v>
                </c:pt>
                <c:pt idx="22">
                  <c:v>1436.2152410803703</c:v>
                </c:pt>
                <c:pt idx="23">
                  <c:v>1344.8456954548456</c:v>
                </c:pt>
                <c:pt idx="24">
                  <c:v>1633.5421825026697</c:v>
                </c:pt>
                <c:pt idx="25">
                  <c:v>1308.7919357151075</c:v>
                </c:pt>
                <c:pt idx="26">
                  <c:v>1422.0973849924317</c:v>
                </c:pt>
                <c:pt idx="27">
                  <c:v>1729.9237507116975</c:v>
                </c:pt>
                <c:pt idx="28">
                  <c:v>1992.4631293078924</c:v>
                </c:pt>
                <c:pt idx="29">
                  <c:v>2052.6873836524637</c:v>
                </c:pt>
                <c:pt idx="30">
                  <c:v>1375.7223967311761</c:v>
                </c:pt>
                <c:pt idx="31">
                  <c:v>1210.8354900860736</c:v>
                </c:pt>
                <c:pt idx="32">
                  <c:v>1133.2795830625014</c:v>
                </c:pt>
                <c:pt idx="33">
                  <c:v>2058.5079541021887</c:v>
                </c:pt>
                <c:pt idx="34">
                  <c:v>1641.8182658360497</c:v>
                </c:pt>
                <c:pt idx="35">
                  <c:v>1468.0794480065604</c:v>
                </c:pt>
                <c:pt idx="36">
                  <c:v>1783.8763839108103</c:v>
                </c:pt>
                <c:pt idx="37">
                  <c:v>1678.4849588070176</c:v>
                </c:pt>
                <c:pt idx="38">
                  <c:v>1686.8698193994364</c:v>
                </c:pt>
                <c:pt idx="39">
                  <c:v>2297.6213566118317</c:v>
                </c:pt>
                <c:pt idx="40">
                  <c:v>2386.7746782310983</c:v>
                </c:pt>
                <c:pt idx="41">
                  <c:v>2433.152673352316</c:v>
                </c:pt>
                <c:pt idx="42">
                  <c:v>1778.8342146136849</c:v>
                </c:pt>
                <c:pt idx="43">
                  <c:v>1858.4789469712055</c:v>
                </c:pt>
                <c:pt idx="44">
                  <c:v>1663.6124099348424</c:v>
                </c:pt>
                <c:pt idx="45">
                  <c:v>1614.106580433436</c:v>
                </c:pt>
                <c:pt idx="46">
                  <c:v>1837.2505535824587</c:v>
                </c:pt>
                <c:pt idx="47">
                  <c:v>1249.2389777258529</c:v>
                </c:pt>
                <c:pt idx="48">
                  <c:v>1274.253439185539</c:v>
                </c:pt>
                <c:pt idx="49">
                  <c:v>1090.8191757329109</c:v>
                </c:pt>
                <c:pt idx="51">
                  <c:v>1397.8234855128278</c:v>
                </c:pt>
                <c:pt idx="52">
                  <c:v>1757.1720276005606</c:v>
                </c:pt>
                <c:pt idx="53">
                  <c:v>1821.6809064441445</c:v>
                </c:pt>
                <c:pt idx="54">
                  <c:v>2070.9293555160848</c:v>
                </c:pt>
                <c:pt idx="55">
                  <c:v>2275.5945300577146</c:v>
                </c:pt>
                <c:pt idx="56">
                  <c:v>2374.1231827653673</c:v>
                </c:pt>
                <c:pt idx="57">
                  <c:v>1644.2449753654676</c:v>
                </c:pt>
                <c:pt idx="58">
                  <c:v>1507.2960078797441</c:v>
                </c:pt>
                <c:pt idx="59">
                  <c:v>1475.869621618911</c:v>
                </c:pt>
                <c:pt idx="60">
                  <c:v>2060.4230286540528</c:v>
                </c:pt>
                <c:pt idx="61">
                  <c:v>2136.0946603103262</c:v>
                </c:pt>
                <c:pt idx="62">
                  <c:v>2099.6468279195064</c:v>
                </c:pt>
                <c:pt idx="63">
                  <c:v>1953.9497878361772</c:v>
                </c:pt>
                <c:pt idx="64">
                  <c:v>2000.7646283372812</c:v>
                </c:pt>
                <c:pt idx="65">
                  <c:v>1872.3168876052348</c:v>
                </c:pt>
                <c:pt idx="66">
                  <c:v>1812.2968950556474</c:v>
                </c:pt>
                <c:pt idx="67">
                  <c:v>1863.1127974633985</c:v>
                </c:pt>
                <c:pt idx="68">
                  <c:v>2129.0583033065705</c:v>
                </c:pt>
                <c:pt idx="69">
                  <c:v>1944.0645847797318</c:v>
                </c:pt>
                <c:pt idx="70">
                  <c:v>2438.3557700590341</c:v>
                </c:pt>
                <c:pt idx="71">
                  <c:v>1895.8328260669332</c:v>
                </c:pt>
                <c:pt idx="72">
                  <c:v>1932.0274623864805</c:v>
                </c:pt>
                <c:pt idx="73">
                  <c:v>1664.8343807216706</c:v>
                </c:pt>
                <c:pt idx="74">
                  <c:v>1623.4181178708161</c:v>
                </c:pt>
                <c:pt idx="75">
                  <c:v>1957.9796158993965</c:v>
                </c:pt>
                <c:pt idx="76">
                  <c:v>2120.2608595510869</c:v>
                </c:pt>
                <c:pt idx="77">
                  <c:v>2368.0304650650646</c:v>
                </c:pt>
                <c:pt idx="78">
                  <c:v>2406.3070434791362</c:v>
                </c:pt>
                <c:pt idx="79">
                  <c:v>2294.7577796316159</c:v>
                </c:pt>
                <c:pt idx="80">
                  <c:v>2113.8485075157796</c:v>
                </c:pt>
                <c:pt idx="81">
                  <c:v>2116.7944284617784</c:v>
                </c:pt>
                <c:pt idx="82">
                  <c:v>2237.1362684840906</c:v>
                </c:pt>
                <c:pt idx="83">
                  <c:v>2272.737013520667</c:v>
                </c:pt>
                <c:pt idx="84">
                  <c:v>1817.166516095971</c:v>
                </c:pt>
                <c:pt idx="85">
                  <c:v>1479.6296451054277</c:v>
                </c:pt>
                <c:pt idx="86">
                  <c:v>1655.1266750303141</c:v>
                </c:pt>
                <c:pt idx="87">
                  <c:v>1780.9432797549873</c:v>
                </c:pt>
                <c:pt idx="88">
                  <c:v>1691.87385075065</c:v>
                </c:pt>
                <c:pt idx="89">
                  <c:v>1863.8161305774142</c:v>
                </c:pt>
                <c:pt idx="90">
                  <c:v>1449.2119343204067</c:v>
                </c:pt>
                <c:pt idx="91">
                  <c:v>1359.3341518118552</c:v>
                </c:pt>
                <c:pt idx="92">
                  <c:v>1526.8247576343465</c:v>
                </c:pt>
                <c:pt idx="93">
                  <c:v>1483.7334374807276</c:v>
                </c:pt>
                <c:pt idx="94">
                  <c:v>1482.1470092703591</c:v>
                </c:pt>
                <c:pt idx="95">
                  <c:v>1605.9750232660733</c:v>
                </c:pt>
                <c:pt idx="96">
                  <c:v>1378.2909514836615</c:v>
                </c:pt>
                <c:pt idx="97">
                  <c:v>1675.82183471043</c:v>
                </c:pt>
                <c:pt idx="98">
                  <c:v>1782.9087615147271</c:v>
                </c:pt>
                <c:pt idx="99">
                  <c:v>1734.6867516320981</c:v>
                </c:pt>
                <c:pt idx="100">
                  <c:v>2044.3929939817272</c:v>
                </c:pt>
                <c:pt idx="101">
                  <c:v>1851.2474260009994</c:v>
                </c:pt>
                <c:pt idx="102">
                  <c:v>1231.3283811976128</c:v>
                </c:pt>
                <c:pt idx="103">
                  <c:v>1194.8312128171249</c:v>
                </c:pt>
                <c:pt idx="104">
                  <c:v>1003.1217818663312</c:v>
                </c:pt>
                <c:pt idx="105">
                  <c:v>1308.5273392398826</c:v>
                </c:pt>
                <c:pt idx="106">
                  <c:v>1207.7581965362424</c:v>
                </c:pt>
                <c:pt idx="107">
                  <c:v>978.82877937575165</c:v>
                </c:pt>
                <c:pt idx="108">
                  <c:v>2167.3769535801034</c:v>
                </c:pt>
                <c:pt idx="109">
                  <c:v>1730.1374520768652</c:v>
                </c:pt>
                <c:pt idx="110">
                  <c:v>2025.8503474940858</c:v>
                </c:pt>
                <c:pt idx="111">
                  <c:v>1734.7640819272845</c:v>
                </c:pt>
                <c:pt idx="112">
                  <c:v>1585.1653609546863</c:v>
                </c:pt>
                <c:pt idx="113">
                  <c:v>1761.0409621729368</c:v>
                </c:pt>
                <c:pt idx="114">
                  <c:v>1421.7173914264749</c:v>
                </c:pt>
                <c:pt idx="115">
                  <c:v>1443.7891151709052</c:v>
                </c:pt>
                <c:pt idx="116">
                  <c:v>1676.8498914163158</c:v>
                </c:pt>
                <c:pt idx="117">
                  <c:v>1304.1346709315053</c:v>
                </c:pt>
                <c:pt idx="118">
                  <c:v>1572.5585278353362</c:v>
                </c:pt>
                <c:pt idx="119">
                  <c:v>1090.7451703195811</c:v>
                </c:pt>
                <c:pt idx="120">
                  <c:v>1729.4865634164212</c:v>
                </c:pt>
                <c:pt idx="121">
                  <c:v>1931.8554273626066</c:v>
                </c:pt>
                <c:pt idx="122">
                  <c:v>2013.8646991788053</c:v>
                </c:pt>
                <c:pt idx="123">
                  <c:v>1696.4104783713224</c:v>
                </c:pt>
                <c:pt idx="124">
                  <c:v>1917.6835159666621</c:v>
                </c:pt>
                <c:pt idx="125">
                  <c:v>1839.7270650321109</c:v>
                </c:pt>
                <c:pt idx="126">
                  <c:v>1899.4348805188908</c:v>
                </c:pt>
                <c:pt idx="127">
                  <c:v>2069.1733509594187</c:v>
                </c:pt>
                <c:pt idx="128">
                  <c:v>1823.9795711032284</c:v>
                </c:pt>
                <c:pt idx="129">
                  <c:v>1613.5965100236176</c:v>
                </c:pt>
                <c:pt idx="130">
                  <c:v>1077.2514948201654</c:v>
                </c:pt>
                <c:pt idx="131">
                  <c:v>1813.7146701924373</c:v>
                </c:pt>
                <c:pt idx="132">
                  <c:v>2022.7008412208911</c:v>
                </c:pt>
                <c:pt idx="133">
                  <c:v>1649.4205511268433</c:v>
                </c:pt>
                <c:pt idx="134">
                  <c:v>2086.0035740961684</c:v>
                </c:pt>
                <c:pt idx="135">
                  <c:v>1856.6900558865188</c:v>
                </c:pt>
                <c:pt idx="136">
                  <c:v>2110.5035860841404</c:v>
                </c:pt>
                <c:pt idx="137">
                  <c:v>2254.4026533857636</c:v>
                </c:pt>
                <c:pt idx="138">
                  <c:v>1824.651144400877</c:v>
                </c:pt>
                <c:pt idx="139">
                  <c:v>2171.4467692718745</c:v>
                </c:pt>
                <c:pt idx="140">
                  <c:v>2229.7895170442362</c:v>
                </c:pt>
                <c:pt idx="141">
                  <c:v>1617.0700651080663</c:v>
                </c:pt>
                <c:pt idx="142">
                  <c:v>1874.9526982224099</c:v>
                </c:pt>
                <c:pt idx="143">
                  <c:v>1431.9019868744099</c:v>
                </c:pt>
                <c:pt idx="144">
                  <c:v>2013.3326963516122</c:v>
                </c:pt>
                <c:pt idx="145">
                  <c:v>1600.6249394692538</c:v>
                </c:pt>
                <c:pt idx="146">
                  <c:v>1998.1453624363146</c:v>
                </c:pt>
                <c:pt idx="147">
                  <c:v>2136.4267132065766</c:v>
                </c:pt>
                <c:pt idx="148">
                  <c:v>2250.9376987124497</c:v>
                </c:pt>
                <c:pt idx="149">
                  <c:v>2360.0221111303204</c:v>
                </c:pt>
                <c:pt idx="150">
                  <c:v>2070.779025085737</c:v>
                </c:pt>
                <c:pt idx="151">
                  <c:v>2171.295205572555</c:v>
                </c:pt>
                <c:pt idx="152">
                  <c:v>1972.1731111136307</c:v>
                </c:pt>
                <c:pt idx="153">
                  <c:v>1775.7739677779903</c:v>
                </c:pt>
                <c:pt idx="154">
                  <c:v>2016.8511195847764</c:v>
                </c:pt>
                <c:pt idx="155">
                  <c:v>1647.5761870421827</c:v>
                </c:pt>
                <c:pt idx="156">
                  <c:v>1788.5817924854075</c:v>
                </c:pt>
                <c:pt idx="157">
                  <c:v>1837.2615620357765</c:v>
                </c:pt>
                <c:pt idx="158">
                  <c:v>1672.4931381858355</c:v>
                </c:pt>
                <c:pt idx="159">
                  <c:v>1453.4336395016364</c:v>
                </c:pt>
                <c:pt idx="160">
                  <c:v>1161.9521014769023</c:v>
                </c:pt>
                <c:pt idx="161">
                  <c:v>1862.9446507209052</c:v>
                </c:pt>
                <c:pt idx="162">
                  <c:v>2208.9582405390856</c:v>
                </c:pt>
                <c:pt idx="163">
                  <c:v>2192.6556336452854</c:v>
                </c:pt>
                <c:pt idx="164">
                  <c:v>2301.2890878292428</c:v>
                </c:pt>
                <c:pt idx="165">
                  <c:v>1664.0274051415433</c:v>
                </c:pt>
                <c:pt idx="166">
                  <c:v>1844.1564035497604</c:v>
                </c:pt>
                <c:pt idx="167">
                  <c:v>1346.1857979649833</c:v>
                </c:pt>
                <c:pt idx="168">
                  <c:v>1784.3494004328418</c:v>
                </c:pt>
                <c:pt idx="169">
                  <c:v>1760.7466045565827</c:v>
                </c:pt>
                <c:pt idx="170">
                  <c:v>1694.9092744284271</c:v>
                </c:pt>
                <c:pt idx="171">
                  <c:v>1917.948238916709</c:v>
                </c:pt>
                <c:pt idx="172">
                  <c:v>2071.8422923836979</c:v>
                </c:pt>
                <c:pt idx="173">
                  <c:v>2164.1025072110879</c:v>
                </c:pt>
                <c:pt idx="174">
                  <c:v>1284.9014121905523</c:v>
                </c:pt>
                <c:pt idx="175">
                  <c:v>1432.1197382892758</c:v>
                </c:pt>
                <c:pt idx="176">
                  <c:v>1416.8415123302009</c:v>
                </c:pt>
                <c:pt idx="177">
                  <c:v>1992.8560139401743</c:v>
                </c:pt>
                <c:pt idx="178">
                  <c:v>2044.0395630417809</c:v>
                </c:pt>
                <c:pt idx="179">
                  <c:v>1707.6626646881186</c:v>
                </c:pt>
                <c:pt idx="180">
                  <c:v>2258.4025237723154</c:v>
                </c:pt>
                <c:pt idx="181">
                  <c:v>1578.8305601830532</c:v>
                </c:pt>
                <c:pt idx="182">
                  <c:v>2056.1839147517953</c:v>
                </c:pt>
                <c:pt idx="183">
                  <c:v>1850.3440122677785</c:v>
                </c:pt>
                <c:pt idx="184">
                  <c:v>1837.0514004250067</c:v>
                </c:pt>
                <c:pt idx="185">
                  <c:v>2115.5379853067629</c:v>
                </c:pt>
                <c:pt idx="186">
                  <c:v>1400.4691682406769</c:v>
                </c:pt>
                <c:pt idx="187">
                  <c:v>1773.8011381694548</c:v>
                </c:pt>
                <c:pt idx="188">
                  <c:v>2079.3485348116383</c:v>
                </c:pt>
                <c:pt idx="189">
                  <c:v>1420.7051063008917</c:v>
                </c:pt>
                <c:pt idx="190">
                  <c:v>1485.9931908140372</c:v>
                </c:pt>
                <c:pt idx="191">
                  <c:v>1535.6550895368405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88-40FA-8025-88BAE93C5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379544"/>
        <c:axId val="618379904"/>
      </c:scatterChart>
      <c:valAx>
        <c:axId val="618379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904"/>
        <c:crosses val="autoZero"/>
        <c:crossBetween val="midCat"/>
      </c:valAx>
      <c:valAx>
        <c:axId val="61837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379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4</xdr:row>
      <xdr:rowOff>141922</xdr:rowOff>
    </xdr:from>
    <xdr:to>
      <xdr:col>11</xdr:col>
      <xdr:colOff>236220</xdr:colOff>
      <xdr:row>19</xdr:row>
      <xdr:rowOff>160972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66DF9-EF45-E832-F7C7-4FACF3A35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581025</xdr:colOff>
      <xdr:row>21</xdr:row>
      <xdr:rowOff>38100</xdr:rowOff>
    </xdr:from>
    <xdr:to>
      <xdr:col>11</xdr:col>
      <xdr:colOff>276225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D005F6-D084-4257-9AF2-751DA209A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BL239"/>
  <sheetViews>
    <sheetView tabSelected="1" zoomScaleNormal="100" workbookViewId="0"/>
  </sheetViews>
  <sheetFormatPr defaultRowHeight="14.4" x14ac:dyDescent="0.3"/>
  <cols>
    <col min="1" max="2" width="8.88671875" customWidth="1"/>
    <col min="3" max="6" width="10.5546875" bestFit="1" customWidth="1"/>
    <col min="7" max="12" width="10.5546875" customWidth="1"/>
    <col min="13" max="13" width="10.5546875" bestFit="1" customWidth="1"/>
    <col min="26" max="26" width="10.5546875" bestFit="1" customWidth="1"/>
    <col min="27" max="27" width="8.88671875" style="3"/>
    <col min="36" max="36" width="10.5546875" bestFit="1" customWidth="1"/>
    <col min="38" max="38" width="10.5546875" bestFit="1" customWidth="1"/>
    <col min="39" max="39" width="8.88671875" customWidth="1"/>
    <col min="43" max="43" width="10.5546875" bestFit="1" customWidth="1"/>
    <col min="45" max="45" width="10.5546875" bestFit="1" customWidth="1"/>
    <col min="46" max="46" width="8.88671875" customWidth="1"/>
    <col min="56" max="56" width="10.5546875" bestFit="1" customWidth="1"/>
    <col min="58" max="58" width="10.5546875" bestFit="1" customWidth="1"/>
  </cols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22</v>
      </c>
    </row>
    <row r="4" spans="1:1" x14ac:dyDescent="0.3">
      <c r="A4" t="s">
        <v>26</v>
      </c>
    </row>
    <row r="5" spans="1:1" x14ac:dyDescent="0.3">
      <c r="A5" t="s">
        <v>343</v>
      </c>
    </row>
    <row r="6" spans="1:1" x14ac:dyDescent="0.3">
      <c r="A6" t="s">
        <v>23</v>
      </c>
    </row>
    <row r="7" spans="1:1" x14ac:dyDescent="0.3">
      <c r="A7" t="s">
        <v>345</v>
      </c>
    </row>
    <row r="8" spans="1:1" x14ac:dyDescent="0.3">
      <c r="A8" t="s">
        <v>346</v>
      </c>
    </row>
    <row r="9" spans="1:1" x14ac:dyDescent="0.3">
      <c r="A9" t="s">
        <v>347</v>
      </c>
    </row>
    <row r="10" spans="1:1" x14ac:dyDescent="0.3">
      <c r="A10" t="s">
        <v>348</v>
      </c>
    </row>
    <row r="11" spans="1:1" x14ac:dyDescent="0.3">
      <c r="A11" t="s">
        <v>50</v>
      </c>
    </row>
    <row r="12" spans="1:1" x14ac:dyDescent="0.3">
      <c r="A12" t="s">
        <v>51</v>
      </c>
    </row>
    <row r="13" spans="1:1" x14ac:dyDescent="0.3">
      <c r="A13" t="s">
        <v>344</v>
      </c>
    </row>
    <row r="14" spans="1:1" x14ac:dyDescent="0.3">
      <c r="A14" t="s">
        <v>350</v>
      </c>
    </row>
    <row r="15" spans="1:1" x14ac:dyDescent="0.3">
      <c r="A15" t="s">
        <v>349</v>
      </c>
    </row>
    <row r="16" spans="1:1" x14ac:dyDescent="0.3">
      <c r="A16" t="s">
        <v>351</v>
      </c>
    </row>
    <row r="17" spans="1:1" x14ac:dyDescent="0.3">
      <c r="A17" t="s">
        <v>322</v>
      </c>
    </row>
    <row r="18" spans="1:1" x14ac:dyDescent="0.3">
      <c r="A18" t="s">
        <v>323</v>
      </c>
    </row>
    <row r="19" spans="1:1" x14ac:dyDescent="0.3">
      <c r="A19" t="s">
        <v>324</v>
      </c>
    </row>
    <row r="20" spans="1:1" x14ac:dyDescent="0.3">
      <c r="A20" t="s">
        <v>325</v>
      </c>
    </row>
    <row r="21" spans="1:1" x14ac:dyDescent="0.3">
      <c r="A21" t="s">
        <v>326</v>
      </c>
    </row>
    <row r="22" spans="1:1" x14ac:dyDescent="0.3">
      <c r="A22" t="s">
        <v>327</v>
      </c>
    </row>
    <row r="23" spans="1:1" x14ac:dyDescent="0.3">
      <c r="A23" t="s">
        <v>328</v>
      </c>
    </row>
    <row r="24" spans="1:1" x14ac:dyDescent="0.3">
      <c r="A24" t="s">
        <v>329</v>
      </c>
    </row>
    <row r="25" spans="1:1" x14ac:dyDescent="0.3">
      <c r="A25" t="s">
        <v>330</v>
      </c>
    </row>
    <row r="26" spans="1:1" x14ac:dyDescent="0.3">
      <c r="A26" t="s">
        <v>331</v>
      </c>
    </row>
    <row r="27" spans="1:1" x14ac:dyDescent="0.3">
      <c r="A27" t="s">
        <v>332</v>
      </c>
    </row>
    <row r="28" spans="1:1" x14ac:dyDescent="0.3">
      <c r="A28" t="s">
        <v>333</v>
      </c>
    </row>
    <row r="29" spans="1:1" x14ac:dyDescent="0.3">
      <c r="A29" t="s">
        <v>334</v>
      </c>
    </row>
    <row r="30" spans="1:1" x14ac:dyDescent="0.3">
      <c r="A30" t="s">
        <v>335</v>
      </c>
    </row>
    <row r="31" spans="1:1" x14ac:dyDescent="0.3">
      <c r="A31" t="s">
        <v>336</v>
      </c>
    </row>
    <row r="32" spans="1:1" x14ac:dyDescent="0.3">
      <c r="A32" t="s">
        <v>337</v>
      </c>
    </row>
    <row r="34" spans="1:64" x14ac:dyDescent="0.3">
      <c r="A34" t="s">
        <v>5</v>
      </c>
    </row>
    <row r="35" spans="1:64" x14ac:dyDescent="0.3">
      <c r="A35">
        <f>9.3/20</f>
        <v>0.46500000000000002</v>
      </c>
      <c r="B35" t="s">
        <v>244</v>
      </c>
    </row>
    <row r="36" spans="1:64" x14ac:dyDescent="0.3">
      <c r="A36">
        <v>0.453592</v>
      </c>
      <c r="B36" t="s">
        <v>35</v>
      </c>
    </row>
    <row r="37" spans="1:64" x14ac:dyDescent="0.3">
      <c r="A37">
        <f>2*1.016*10</f>
        <v>20.32</v>
      </c>
      <c r="B37" t="s">
        <v>245</v>
      </c>
    </row>
    <row r="38" spans="1:64" x14ac:dyDescent="0.3">
      <c r="A38">
        <v>10000</v>
      </c>
      <c r="B38" t="s">
        <v>6</v>
      </c>
    </row>
    <row r="39" spans="1:64" x14ac:dyDescent="0.3">
      <c r="A39">
        <v>0.26</v>
      </c>
      <c r="B39" t="s">
        <v>342</v>
      </c>
    </row>
    <row r="40" spans="1:64" x14ac:dyDescent="0.3">
      <c r="A40">
        <v>1.68</v>
      </c>
      <c r="B40" t="s">
        <v>321</v>
      </c>
      <c r="AH40" t="s">
        <v>352</v>
      </c>
    </row>
    <row r="42" spans="1:64" x14ac:dyDescent="0.3">
      <c r="B42" s="1"/>
      <c r="C42" s="1" t="s">
        <v>0</v>
      </c>
      <c r="D42" s="1" t="s">
        <v>0</v>
      </c>
      <c r="E42" t="s">
        <v>0</v>
      </c>
      <c r="F42" s="1" t="s">
        <v>0</v>
      </c>
      <c r="G42" t="s">
        <v>38</v>
      </c>
      <c r="H42" t="s">
        <v>38</v>
      </c>
      <c r="I42" t="s">
        <v>38</v>
      </c>
      <c r="J42" t="s">
        <v>38</v>
      </c>
      <c r="K42" s="1" t="s">
        <v>38</v>
      </c>
      <c r="L42" s="1" t="s">
        <v>38</v>
      </c>
      <c r="M42" s="1" t="s">
        <v>7</v>
      </c>
      <c r="N42" t="s">
        <v>7</v>
      </c>
      <c r="O42" t="s">
        <v>7</v>
      </c>
      <c r="P42" t="s">
        <v>7</v>
      </c>
      <c r="Q42" s="1" t="s">
        <v>7</v>
      </c>
      <c r="R42" s="1" t="s">
        <v>7</v>
      </c>
      <c r="S42" s="1" t="s">
        <v>7</v>
      </c>
      <c r="T42" s="1" t="s">
        <v>16</v>
      </c>
      <c r="U42" s="1" t="s">
        <v>16</v>
      </c>
      <c r="V42" s="1" t="s">
        <v>16</v>
      </c>
      <c r="W42" s="1" t="s">
        <v>16</v>
      </c>
      <c r="X42" s="1" t="s">
        <v>16</v>
      </c>
      <c r="Y42" s="1" t="s">
        <v>16</v>
      </c>
      <c r="Z42" s="1" t="s">
        <v>310</v>
      </c>
      <c r="AA42" s="4" t="s">
        <v>310</v>
      </c>
      <c r="AB42" s="1" t="s">
        <v>310</v>
      </c>
      <c r="AC42" s="1" t="s">
        <v>310</v>
      </c>
      <c r="AD42" s="1" t="s">
        <v>310</v>
      </c>
      <c r="AE42" s="1" t="s">
        <v>310</v>
      </c>
      <c r="AF42" s="1" t="s">
        <v>310</v>
      </c>
      <c r="AI42" t="s">
        <v>0</v>
      </c>
      <c r="AJ42" t="s">
        <v>0</v>
      </c>
      <c r="AK42" t="s">
        <v>0</v>
      </c>
      <c r="AL42" t="s">
        <v>0</v>
      </c>
      <c r="AM42" t="s">
        <v>38</v>
      </c>
      <c r="AN42" t="s">
        <v>38</v>
      </c>
      <c r="AO42" t="s">
        <v>38</v>
      </c>
      <c r="AP42" t="s">
        <v>38</v>
      </c>
      <c r="AQ42" t="s">
        <v>38</v>
      </c>
      <c r="AR42" t="s">
        <v>38</v>
      </c>
      <c r="AS42" t="s">
        <v>7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310</v>
      </c>
      <c r="BG42" t="s">
        <v>310</v>
      </c>
      <c r="BH42" t="s">
        <v>310</v>
      </c>
      <c r="BI42" t="s">
        <v>310</v>
      </c>
      <c r="BJ42" t="s">
        <v>310</v>
      </c>
      <c r="BK42" t="s">
        <v>310</v>
      </c>
      <c r="BL42" t="s">
        <v>310</v>
      </c>
    </row>
    <row r="43" spans="1:64" x14ac:dyDescent="0.3">
      <c r="B43" s="1"/>
      <c r="C43" s="1"/>
      <c r="D43" s="1"/>
      <c r="F43" s="1"/>
      <c r="H43" t="s">
        <v>41</v>
      </c>
      <c r="I43" t="s">
        <v>42</v>
      </c>
      <c r="J43" t="s">
        <v>43</v>
      </c>
      <c r="K43" s="1"/>
      <c r="L43" s="1"/>
      <c r="M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4"/>
      <c r="AB43" s="1"/>
      <c r="AC43" s="1"/>
      <c r="AD43" s="1"/>
      <c r="AE43" s="1"/>
      <c r="AF43" s="1"/>
      <c r="AN43" t="s">
        <v>41</v>
      </c>
      <c r="AO43" t="s">
        <v>42</v>
      </c>
      <c r="AP43" t="s">
        <v>43</v>
      </c>
    </row>
    <row r="44" spans="1:64" x14ac:dyDescent="0.3">
      <c r="B44" s="1"/>
      <c r="C44" s="1"/>
      <c r="D44" s="1"/>
      <c r="E44" t="s">
        <v>1</v>
      </c>
      <c r="F44" s="1"/>
      <c r="G44" t="s">
        <v>39</v>
      </c>
      <c r="H44" t="s">
        <v>40</v>
      </c>
      <c r="I44" t="s">
        <v>8</v>
      </c>
      <c r="J44" t="s">
        <v>8</v>
      </c>
      <c r="K44" s="1"/>
      <c r="L44" s="1"/>
      <c r="M44" s="1" t="s">
        <v>24</v>
      </c>
      <c r="N44" t="s">
        <v>8</v>
      </c>
      <c r="O44" t="s">
        <v>10</v>
      </c>
      <c r="P44" t="s">
        <v>11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4"/>
      <c r="AB44" s="1"/>
      <c r="AC44" s="1"/>
      <c r="AD44" s="1"/>
      <c r="AE44" s="1"/>
      <c r="AF44" s="1"/>
      <c r="AK44" t="s">
        <v>1</v>
      </c>
      <c r="AM44" t="s">
        <v>39</v>
      </c>
      <c r="AN44" t="s">
        <v>40</v>
      </c>
      <c r="AO44" t="s">
        <v>8</v>
      </c>
      <c r="AP44" t="s">
        <v>8</v>
      </c>
      <c r="AS44" t="s">
        <v>24</v>
      </c>
      <c r="AT44" t="s">
        <v>8</v>
      </c>
      <c r="AU44" t="s">
        <v>10</v>
      </c>
      <c r="AV44" t="s">
        <v>11</v>
      </c>
    </row>
    <row r="45" spans="1:64" x14ac:dyDescent="0.3">
      <c r="A45" t="s">
        <v>28</v>
      </c>
      <c r="B45" s="1" t="s">
        <v>27</v>
      </c>
      <c r="C45" s="1" t="s">
        <v>21</v>
      </c>
      <c r="D45" s="1" t="s">
        <v>2</v>
      </c>
      <c r="E45" t="s">
        <v>34</v>
      </c>
      <c r="F45" s="1" t="s">
        <v>3</v>
      </c>
      <c r="G45" t="s">
        <v>40</v>
      </c>
      <c r="H45" t="s">
        <v>34</v>
      </c>
      <c r="I45" t="s">
        <v>37</v>
      </c>
      <c r="J45" t="s">
        <v>37</v>
      </c>
      <c r="K45" s="1" t="s">
        <v>44</v>
      </c>
      <c r="L45" s="1" t="s">
        <v>45</v>
      </c>
      <c r="M45" s="1" t="s">
        <v>25</v>
      </c>
      <c r="N45" t="s">
        <v>36</v>
      </c>
      <c r="O45" t="s">
        <v>36</v>
      </c>
      <c r="P45" t="s">
        <v>320</v>
      </c>
      <c r="Q45" s="1" t="s">
        <v>12</v>
      </c>
      <c r="R45" s="1" t="s">
        <v>13</v>
      </c>
      <c r="S45" s="1" t="s">
        <v>14</v>
      </c>
      <c r="T45" s="1" t="s">
        <v>17</v>
      </c>
      <c r="U45" s="1" t="s">
        <v>18</v>
      </c>
      <c r="V45" s="1" t="s">
        <v>19</v>
      </c>
      <c r="W45" s="1" t="s">
        <v>47</v>
      </c>
      <c r="X45" s="1" t="s">
        <v>48</v>
      </c>
      <c r="Y45" s="1" t="s">
        <v>49</v>
      </c>
      <c r="Z45" s="1" t="s">
        <v>311</v>
      </c>
      <c r="AA45" s="4" t="s">
        <v>312</v>
      </c>
      <c r="AB45" s="1" t="s">
        <v>313</v>
      </c>
      <c r="AC45" s="1" t="s">
        <v>314</v>
      </c>
      <c r="AD45" s="1" t="s">
        <v>315</v>
      </c>
      <c r="AE45" s="1" t="s">
        <v>318</v>
      </c>
      <c r="AF45" s="1" t="s">
        <v>319</v>
      </c>
      <c r="AH45" t="s">
        <v>20</v>
      </c>
      <c r="AI45" t="s">
        <v>21</v>
      </c>
      <c r="AJ45" t="s">
        <v>2</v>
      </c>
      <c r="AK45" t="s">
        <v>34</v>
      </c>
      <c r="AL45" t="s">
        <v>3</v>
      </c>
      <c r="AM45" t="s">
        <v>40</v>
      </c>
      <c r="AN45" t="s">
        <v>34</v>
      </c>
      <c r="AO45" t="s">
        <v>37</v>
      </c>
      <c r="AP45" t="s">
        <v>37</v>
      </c>
      <c r="AQ45" t="s">
        <v>44</v>
      </c>
      <c r="AR45" t="s">
        <v>45</v>
      </c>
      <c r="AS45" t="s">
        <v>25</v>
      </c>
      <c r="AT45" t="s">
        <v>36</v>
      </c>
      <c r="AU45" t="s">
        <v>36</v>
      </c>
      <c r="AV45" t="s">
        <v>320</v>
      </c>
      <c r="AW45" t="s">
        <v>12</v>
      </c>
      <c r="AX45" t="s">
        <v>13</v>
      </c>
      <c r="AY45" t="s">
        <v>14</v>
      </c>
      <c r="AZ45" t="s">
        <v>17</v>
      </c>
      <c r="BA45" t="s">
        <v>18</v>
      </c>
      <c r="BB45" t="s">
        <v>19</v>
      </c>
      <c r="BC45" t="s">
        <v>47</v>
      </c>
      <c r="BD45" t="s">
        <v>48</v>
      </c>
      <c r="BE45" t="s">
        <v>49</v>
      </c>
      <c r="BF45" t="s">
        <v>311</v>
      </c>
      <c r="BG45" t="s">
        <v>312</v>
      </c>
      <c r="BH45" t="s">
        <v>313</v>
      </c>
      <c r="BI45" t="s">
        <v>314</v>
      </c>
      <c r="BJ45" t="s">
        <v>315</v>
      </c>
      <c r="BK45" t="s">
        <v>318</v>
      </c>
      <c r="BL45" t="s">
        <v>319</v>
      </c>
    </row>
    <row r="46" spans="1:64" x14ac:dyDescent="0.3">
      <c r="B46" s="1"/>
      <c r="C46" s="1"/>
      <c r="D46" s="1"/>
      <c r="E46" t="s">
        <v>33</v>
      </c>
      <c r="F46" s="1" t="s">
        <v>4</v>
      </c>
      <c r="G46" t="s">
        <v>9</v>
      </c>
      <c r="H46" t="s">
        <v>9</v>
      </c>
      <c r="I46" t="s">
        <v>9</v>
      </c>
      <c r="J46" t="s">
        <v>9</v>
      </c>
      <c r="K46" s="1" t="s">
        <v>46</v>
      </c>
      <c r="L46" s="1" t="s">
        <v>4</v>
      </c>
      <c r="M46" s="1"/>
      <c r="N46" t="s">
        <v>31</v>
      </c>
      <c r="O46" t="s">
        <v>31</v>
      </c>
      <c r="P46" t="s">
        <v>31</v>
      </c>
      <c r="Q46" s="5" t="s">
        <v>15</v>
      </c>
      <c r="R46" s="5" t="s">
        <v>15</v>
      </c>
      <c r="S46" s="5" t="s">
        <v>15</v>
      </c>
      <c r="T46" s="5" t="s">
        <v>4</v>
      </c>
      <c r="U46" s="5" t="s">
        <v>4</v>
      </c>
      <c r="V46" s="5" t="s">
        <v>4</v>
      </c>
      <c r="W46" s="5" t="s">
        <v>4</v>
      </c>
      <c r="X46" s="5" t="s">
        <v>4</v>
      </c>
      <c r="Y46" s="5" t="s">
        <v>4</v>
      </c>
      <c r="Z46" s="5"/>
      <c r="AA46" s="4"/>
      <c r="AB46" s="1" t="s">
        <v>316</v>
      </c>
      <c r="AC46" s="1" t="s">
        <v>46</v>
      </c>
      <c r="AD46" s="1" t="s">
        <v>317</v>
      </c>
      <c r="AE46" s="5" t="s">
        <v>46</v>
      </c>
      <c r="AF46" s="5" t="s">
        <v>46</v>
      </c>
      <c r="AK46" t="s">
        <v>33</v>
      </c>
      <c r="AL46" t="s">
        <v>4</v>
      </c>
      <c r="AM46" t="s">
        <v>9</v>
      </c>
      <c r="AN46" t="s">
        <v>9</v>
      </c>
      <c r="AO46" t="s">
        <v>9</v>
      </c>
      <c r="AP46" t="s">
        <v>9</v>
      </c>
      <c r="AQ46" t="s">
        <v>46</v>
      </c>
      <c r="AR46" t="s">
        <v>4</v>
      </c>
      <c r="AT46" t="s">
        <v>31</v>
      </c>
      <c r="AU46" t="s">
        <v>31</v>
      </c>
      <c r="AV46" t="s">
        <v>31</v>
      </c>
      <c r="AW46" s="7" t="s">
        <v>15</v>
      </c>
      <c r="AX46" s="7" t="s">
        <v>15</v>
      </c>
      <c r="AY46" s="7" t="s">
        <v>15</v>
      </c>
      <c r="AZ46" s="7" t="s">
        <v>4</v>
      </c>
      <c r="BA46" s="7" t="s">
        <v>4</v>
      </c>
      <c r="BB46" s="7" t="s">
        <v>4</v>
      </c>
      <c r="BC46" s="7" t="s">
        <v>4</v>
      </c>
      <c r="BD46" s="7" t="s">
        <v>4</v>
      </c>
      <c r="BE46" s="7" t="s">
        <v>4</v>
      </c>
      <c r="BF46" s="7"/>
      <c r="BG46" s="7"/>
      <c r="BH46" t="s">
        <v>316</v>
      </c>
      <c r="BI46" t="s">
        <v>46</v>
      </c>
      <c r="BJ46" t="s">
        <v>317</v>
      </c>
      <c r="BK46" s="7" t="s">
        <v>46</v>
      </c>
      <c r="BL46" s="7" t="s">
        <v>46</v>
      </c>
    </row>
    <row r="47" spans="1:64" x14ac:dyDescent="0.3">
      <c r="A47" t="s">
        <v>28</v>
      </c>
      <c r="B47" s="1" t="s">
        <v>27</v>
      </c>
      <c r="C47" s="1" t="s">
        <v>21</v>
      </c>
      <c r="D47" s="1" t="s">
        <v>2</v>
      </c>
      <c r="F47" s="1" t="s">
        <v>3</v>
      </c>
      <c r="K47" s="1" t="s">
        <v>44</v>
      </c>
      <c r="L47" s="1" t="s">
        <v>45</v>
      </c>
      <c r="M47" s="1" t="s">
        <v>25</v>
      </c>
      <c r="Q47" s="1" t="s">
        <v>12</v>
      </c>
      <c r="R47" s="1" t="s">
        <v>13</v>
      </c>
      <c r="S47" s="1" t="s">
        <v>14</v>
      </c>
      <c r="T47" s="1" t="s">
        <v>17</v>
      </c>
      <c r="U47" s="1" t="s">
        <v>18</v>
      </c>
      <c r="V47" s="1" t="s">
        <v>19</v>
      </c>
      <c r="W47" s="1" t="s">
        <v>47</v>
      </c>
      <c r="X47" s="1" t="s">
        <v>48</v>
      </c>
      <c r="Y47" s="1" t="s">
        <v>49</v>
      </c>
      <c r="Z47" s="1" t="s">
        <v>311</v>
      </c>
      <c r="AA47" s="4" t="s">
        <v>312</v>
      </c>
      <c r="AB47" s="1" t="s">
        <v>313</v>
      </c>
      <c r="AC47" s="1" t="s">
        <v>314</v>
      </c>
      <c r="AD47" s="1" t="s">
        <v>315</v>
      </c>
      <c r="AE47" s="1" t="s">
        <v>318</v>
      </c>
      <c r="AF47" s="1" t="s">
        <v>319</v>
      </c>
      <c r="AH47" t="s">
        <v>20</v>
      </c>
      <c r="AI47" t="s">
        <v>21</v>
      </c>
      <c r="AJ47" t="s">
        <v>2</v>
      </c>
      <c r="AL47" t="s">
        <v>3</v>
      </c>
      <c r="AQ47" t="s">
        <v>44</v>
      </c>
      <c r="AR47" t="s">
        <v>45</v>
      </c>
      <c r="AS47" t="s">
        <v>25</v>
      </c>
      <c r="AW47" t="s">
        <v>12</v>
      </c>
      <c r="AX47" t="s">
        <v>13</v>
      </c>
      <c r="AY47" t="s">
        <v>14</v>
      </c>
      <c r="AZ47" t="s">
        <v>17</v>
      </c>
      <c r="BA47" t="s">
        <v>18</v>
      </c>
      <c r="BB47" t="s">
        <v>19</v>
      </c>
      <c r="BC47" t="s">
        <v>47</v>
      </c>
      <c r="BD47" t="s">
        <v>48</v>
      </c>
      <c r="BE47" t="s">
        <v>49</v>
      </c>
      <c r="BF47" t="s">
        <v>311</v>
      </c>
      <c r="BG47" t="s">
        <v>312</v>
      </c>
      <c r="BH47" t="s">
        <v>313</v>
      </c>
      <c r="BI47" t="s">
        <v>314</v>
      </c>
      <c r="BJ47" t="s">
        <v>315</v>
      </c>
      <c r="BK47" t="s">
        <v>318</v>
      </c>
      <c r="BL47" t="s">
        <v>319</v>
      </c>
    </row>
    <row r="48" spans="1:64" x14ac:dyDescent="0.3">
      <c r="A48">
        <v>1</v>
      </c>
      <c r="B48" s="1" t="s">
        <v>52</v>
      </c>
      <c r="C48" s="1" t="s">
        <v>32</v>
      </c>
      <c r="D48" s="2">
        <v>43403</v>
      </c>
      <c r="E48" s="3">
        <v>19.8</v>
      </c>
      <c r="F48" s="4">
        <f>(E48-$A$35)*$A$36/$A$37*$A$38</f>
        <v>4316.0439566929135</v>
      </c>
      <c r="G48" s="7">
        <v>9.73</v>
      </c>
      <c r="H48" s="7">
        <v>178.08</v>
      </c>
      <c r="I48" s="7">
        <f>H48-G48</f>
        <v>168.35000000000002</v>
      </c>
      <c r="J48" s="7">
        <v>153.26</v>
      </c>
      <c r="K48" s="5">
        <f>(I48-J48)/I48*100</f>
        <v>8.9634689634689817</v>
      </c>
      <c r="L48" s="4">
        <f>F48*(1-K48/100)</f>
        <v>3929.1766961850658</v>
      </c>
      <c r="M48" s="2">
        <v>43440</v>
      </c>
      <c r="N48" s="7">
        <v>8.48</v>
      </c>
      <c r="O48" s="7">
        <v>3.44</v>
      </c>
      <c r="P48" s="7">
        <v>5.58</v>
      </c>
      <c r="Q48" s="6">
        <f>(O48-$A$39)/(N48-$A$35*$A$36)</f>
        <v>0.38456516416315301</v>
      </c>
      <c r="R48" s="6">
        <f>(P48-$A$40)/(N48-$A$35*$A$36)</f>
        <v>0.47163652208688589</v>
      </c>
      <c r="S48" s="6">
        <f>1-Q48-R48</f>
        <v>0.1437983137499611</v>
      </c>
      <c r="T48" s="4">
        <f>F48*Q48</f>
        <v>1659.8001527409947</v>
      </c>
      <c r="U48" s="4">
        <f>F48*R48</f>
        <v>2035.6039609087677</v>
      </c>
      <c r="V48" s="4">
        <f>T48+U48</f>
        <v>3695.4041136497626</v>
      </c>
      <c r="W48" s="4">
        <f>L48*Q48</f>
        <v>1511.0244811944449</v>
      </c>
      <c r="X48" s="4">
        <f>L48*R48</f>
        <v>1853.1432316535652</v>
      </c>
      <c r="Y48" s="4">
        <f>W48+X48</f>
        <v>3364.1677128480101</v>
      </c>
      <c r="Z48" s="10"/>
      <c r="AA48" s="4"/>
      <c r="AB48" s="5"/>
      <c r="AC48" s="4"/>
      <c r="AD48" s="4"/>
      <c r="AE48" s="4"/>
      <c r="AF48" s="4"/>
      <c r="AG48" s="3"/>
      <c r="AH48" t="s">
        <v>246</v>
      </c>
      <c r="AI48" t="str">
        <f>C48</f>
        <v>Machine</v>
      </c>
      <c r="AJ48" s="8">
        <f>D48</f>
        <v>43403</v>
      </c>
      <c r="AK48" s="3">
        <f>SUM(E48:E50)</f>
        <v>66.8</v>
      </c>
      <c r="AL48" s="3">
        <f>(AK48-3*$A$35)*$A$36/(3*$A$37)*$A$38</f>
        <v>4866.6641666666665</v>
      </c>
      <c r="AM48" s="7">
        <f>SUM(G48:G50)</f>
        <v>28.490000000000002</v>
      </c>
      <c r="AN48" s="7">
        <f>SUM(H48:H50)</f>
        <v>525.58000000000004</v>
      </c>
      <c r="AO48" s="7">
        <f>AN48-AM48</f>
        <v>497.09000000000003</v>
      </c>
      <c r="AP48" s="7">
        <f>SUM(J48:J50)</f>
        <v>454.80999999999995</v>
      </c>
      <c r="AQ48" s="7">
        <f>(AO48-AP48)/AO48*100</f>
        <v>8.5055020217666986</v>
      </c>
      <c r="AR48" s="3">
        <f>AL48*(1-AQ48/100)</f>
        <v>4452.7299475782374</v>
      </c>
      <c r="AS48" s="11">
        <f>M48</f>
        <v>43440</v>
      </c>
      <c r="AT48" s="7">
        <f>SUM(N48:N50)</f>
        <v>28.8</v>
      </c>
      <c r="AU48" s="7">
        <f>SUM(O48:O50)</f>
        <v>11.58</v>
      </c>
      <c r="AV48" s="7">
        <f>SUM(P48:P50)</f>
        <v>18.510000000000002</v>
      </c>
      <c r="AW48" s="9">
        <f>(AU48-3*$A$39)/(AT48-3*$A$35*$A$36)</f>
        <v>0.38342415948727293</v>
      </c>
      <c r="AX48" s="9">
        <f>(AV48-3*$A$40)/(AT48-3*$A$35*$A$36)</f>
        <v>0.47821513224940437</v>
      </c>
      <c r="AY48" s="9">
        <f>1-AW48-AX48</f>
        <v>0.1383607082633227</v>
      </c>
      <c r="AZ48" s="3">
        <f>AL48*AW48</f>
        <v>1865.9966176109961</v>
      </c>
      <c r="BA48" s="3">
        <f>AL48*AX48</f>
        <v>2327.312448075937</v>
      </c>
      <c r="BB48" s="3">
        <f>AZ48+BA48</f>
        <v>4193.3090656869335</v>
      </c>
      <c r="BC48" s="3">
        <f>AR48*AW48</f>
        <v>1707.2842375739945</v>
      </c>
      <c r="BD48" s="3">
        <f>AR48*AX48</f>
        <v>2129.36284075201</v>
      </c>
      <c r="BE48" s="3">
        <f>BC48+BD48</f>
        <v>3836.6470783260047</v>
      </c>
      <c r="BF48" s="11">
        <f>Z49</f>
        <v>43451</v>
      </c>
      <c r="BG48" s="3">
        <f>AVERAGE(AA48:AA50)</f>
        <v>47.9</v>
      </c>
      <c r="BH48" s="7">
        <f t="shared" ref="BH48:BL48" si="0">AVERAGE(AB48:AB50)</f>
        <v>1.08</v>
      </c>
      <c r="BI48" s="3">
        <f t="shared" si="0"/>
        <v>79.099999999999994</v>
      </c>
      <c r="BJ48" s="3">
        <f t="shared" si="0"/>
        <v>29.6</v>
      </c>
      <c r="BK48" s="3">
        <f t="shared" si="0"/>
        <v>6.3</v>
      </c>
      <c r="BL48" s="3">
        <f t="shared" si="0"/>
        <v>10.9</v>
      </c>
    </row>
    <row r="49" spans="1:64" x14ac:dyDescent="0.3">
      <c r="A49">
        <v>2</v>
      </c>
      <c r="B49" s="1" t="s">
        <v>53</v>
      </c>
      <c r="C49" s="1" t="s">
        <v>32</v>
      </c>
      <c r="D49" s="2">
        <v>43403</v>
      </c>
      <c r="E49" s="3">
        <v>24.2</v>
      </c>
      <c r="F49" s="4">
        <f t="shared" ref="F49:F112" si="1">(E49-$A$35)*$A$36/$A$37*$A$38</f>
        <v>5298.2313582677161</v>
      </c>
      <c r="G49" s="7">
        <v>9.0500000000000007</v>
      </c>
      <c r="H49" s="7">
        <v>184.46</v>
      </c>
      <c r="I49" s="7">
        <f t="shared" ref="I49:I107" si="2">H49-G49</f>
        <v>175.41</v>
      </c>
      <c r="J49" s="7">
        <v>160.66999999999999</v>
      </c>
      <c r="K49" s="5">
        <f t="shared" ref="K49:K112" si="3">(I49-J49)/I49*100</f>
        <v>8.4031697166638217</v>
      </c>
      <c r="L49" s="4">
        <f t="shared" ref="L49:L112" si="4">F49*(1-K49/100)</f>
        <v>4853.011985250977</v>
      </c>
      <c r="M49" s="2">
        <v>43440</v>
      </c>
      <c r="N49" s="7">
        <v>10.5</v>
      </c>
      <c r="O49" s="7">
        <v>4.16</v>
      </c>
      <c r="P49" s="7">
        <v>6.7</v>
      </c>
      <c r="Q49" s="6">
        <f t="shared" ref="Q49:Q112" si="5">(O49-$A$39)/(N49-$A$35*$A$36)</f>
        <v>0.37904264580817149</v>
      </c>
      <c r="R49" s="6">
        <f t="shared" ref="R49:R112" si="6">(P49-$A$40)/(N49-$A$35*$A$36)</f>
        <v>0.48789591845051816</v>
      </c>
      <c r="S49" s="6">
        <f t="shared" ref="S49:S112" si="7">1-Q49-R49</f>
        <v>0.13306143574131035</v>
      </c>
      <c r="T49" s="4">
        <f t="shared" ref="T49:T112" si="8">F49*Q49</f>
        <v>2008.2556321416173</v>
      </c>
      <c r="U49" s="4">
        <f t="shared" ref="U49:U112" si="9">F49*R49</f>
        <v>2584.9854547053637</v>
      </c>
      <c r="V49" s="4">
        <f t="shared" ref="V49:V112" si="10">T49+U49</f>
        <v>4593.2410868469815</v>
      </c>
      <c r="W49" s="4">
        <f t="shared" ref="W49:W112" si="11">L49*Q49</f>
        <v>1839.4985030282971</v>
      </c>
      <c r="X49" s="4">
        <f t="shared" ref="X49:X112" si="12">L49*R49</f>
        <v>2367.7647397953979</v>
      </c>
      <c r="Y49" s="4">
        <f t="shared" ref="Y49:Y112" si="13">W49+X49</f>
        <v>4207.2632428236948</v>
      </c>
      <c r="Z49" s="10">
        <v>43451</v>
      </c>
      <c r="AA49" s="4">
        <v>47.9</v>
      </c>
      <c r="AB49" s="5">
        <v>1.08</v>
      </c>
      <c r="AC49" s="4">
        <v>79.099999999999994</v>
      </c>
      <c r="AD49" s="4">
        <v>29.6</v>
      </c>
      <c r="AE49" s="4">
        <v>6.3</v>
      </c>
      <c r="AF49" s="4">
        <v>10.9</v>
      </c>
      <c r="AG49" s="3"/>
      <c r="AK49" s="3"/>
      <c r="AL49" s="3"/>
      <c r="AM49" s="7"/>
      <c r="AN49" s="7"/>
      <c r="AO49" s="7"/>
      <c r="AP49" s="7"/>
      <c r="AQ49" s="7"/>
      <c r="AR49" s="3"/>
      <c r="AS49" s="3"/>
      <c r="AT49" s="7"/>
      <c r="AU49" s="7"/>
      <c r="AV49" s="7"/>
      <c r="AW49" s="9"/>
      <c r="AX49" s="9"/>
      <c r="AY49" s="9"/>
      <c r="AZ49" s="3"/>
      <c r="BA49" s="3"/>
      <c r="BB49" s="3"/>
      <c r="BC49" s="3"/>
      <c r="BD49" s="3"/>
      <c r="BE49" s="3"/>
      <c r="BG49" s="3"/>
      <c r="BH49" s="7"/>
      <c r="BI49" s="3"/>
      <c r="BJ49" s="3"/>
      <c r="BK49" s="3"/>
      <c r="BL49" s="3"/>
    </row>
    <row r="50" spans="1:64" x14ac:dyDescent="0.3">
      <c r="A50">
        <v>3</v>
      </c>
      <c r="B50" s="1" t="s">
        <v>54</v>
      </c>
      <c r="C50" s="1" t="s">
        <v>32</v>
      </c>
      <c r="D50" s="2">
        <v>43403</v>
      </c>
      <c r="E50" s="3">
        <v>22.8</v>
      </c>
      <c r="F50" s="4">
        <f t="shared" si="1"/>
        <v>4985.7171850393697</v>
      </c>
      <c r="G50" s="7">
        <v>9.7100000000000009</v>
      </c>
      <c r="H50" s="7">
        <v>163.04</v>
      </c>
      <c r="I50" s="7">
        <f t="shared" si="2"/>
        <v>153.32999999999998</v>
      </c>
      <c r="J50" s="7">
        <v>140.88</v>
      </c>
      <c r="K50" s="5">
        <f t="shared" si="3"/>
        <v>8.119741733515939</v>
      </c>
      <c r="L50" s="4">
        <f t="shared" si="4"/>
        <v>4580.8898260506521</v>
      </c>
      <c r="M50" s="2">
        <v>43440</v>
      </c>
      <c r="N50" s="7">
        <v>9.82</v>
      </c>
      <c r="O50" s="7">
        <v>3.98</v>
      </c>
      <c r="P50" s="7">
        <v>6.23</v>
      </c>
      <c r="Q50" s="6">
        <f t="shared" si="5"/>
        <v>0.38713384719426591</v>
      </c>
      <c r="R50" s="6">
        <f t="shared" si="6"/>
        <v>0.47351048514352428</v>
      </c>
      <c r="S50" s="6">
        <f t="shared" si="7"/>
        <v>0.1393556676622098</v>
      </c>
      <c r="T50" s="4">
        <f t="shared" si="8"/>
        <v>1930.1398748668569</v>
      </c>
      <c r="U50" s="4">
        <f t="shared" si="9"/>
        <v>2360.7893630763983</v>
      </c>
      <c r="V50" s="4">
        <f t="shared" si="10"/>
        <v>4290.9292379432554</v>
      </c>
      <c r="W50" s="4">
        <f t="shared" si="11"/>
        <v>1773.4175019320605</v>
      </c>
      <c r="X50" s="4">
        <f t="shared" si="12"/>
        <v>2169.0993639222788</v>
      </c>
      <c r="Y50" s="4">
        <f t="shared" si="13"/>
        <v>3942.5168658543394</v>
      </c>
      <c r="Z50" s="10"/>
      <c r="AA50" s="4"/>
      <c r="AB50" s="5"/>
      <c r="AC50" s="4"/>
      <c r="AD50" s="4"/>
      <c r="AE50" s="4"/>
      <c r="AF50" s="4"/>
      <c r="AG50" s="3"/>
      <c r="AK50" s="3"/>
      <c r="AL50" s="3"/>
      <c r="AM50" s="7"/>
      <c r="AN50" s="7"/>
      <c r="AO50" s="7"/>
      <c r="AP50" s="7"/>
      <c r="AQ50" s="7"/>
      <c r="AR50" s="3"/>
      <c r="AS50" s="3"/>
      <c r="AT50" s="7"/>
      <c r="AU50" s="7"/>
      <c r="AV50" s="7"/>
      <c r="AW50" s="9"/>
      <c r="AX50" s="9"/>
      <c r="AY50" s="9"/>
      <c r="AZ50" s="3"/>
      <c r="BA50" s="3"/>
      <c r="BB50" s="3"/>
      <c r="BC50" s="3"/>
      <c r="BD50" s="3"/>
      <c r="BE50" s="3"/>
      <c r="BG50" s="3"/>
      <c r="BH50" s="7"/>
      <c r="BI50" s="3"/>
      <c r="BJ50" s="3"/>
      <c r="BK50" s="3"/>
      <c r="BL50" s="3"/>
    </row>
    <row r="51" spans="1:64" x14ac:dyDescent="0.3">
      <c r="A51">
        <v>4</v>
      </c>
      <c r="B51" s="1" t="s">
        <v>55</v>
      </c>
      <c r="C51" s="1" t="s">
        <v>32</v>
      </c>
      <c r="D51" s="2">
        <v>43403</v>
      </c>
      <c r="E51" s="3">
        <v>24.3</v>
      </c>
      <c r="F51" s="4">
        <f t="shared" si="1"/>
        <v>5320.5537992125983</v>
      </c>
      <c r="G51" s="7">
        <v>9.6999999999999993</v>
      </c>
      <c r="H51" s="7">
        <v>167.17</v>
      </c>
      <c r="I51" s="7">
        <f t="shared" si="2"/>
        <v>157.47</v>
      </c>
      <c r="J51" s="7">
        <v>144.81</v>
      </c>
      <c r="K51" s="5">
        <f t="shared" si="3"/>
        <v>8.0396265955420052</v>
      </c>
      <c r="L51" s="4">
        <f t="shared" si="4"/>
        <v>4892.8011409409819</v>
      </c>
      <c r="M51" s="2">
        <v>43440</v>
      </c>
      <c r="N51" s="7">
        <v>10.54</v>
      </c>
      <c r="O51" s="7">
        <v>4.2</v>
      </c>
      <c r="P51" s="7">
        <v>6.88</v>
      </c>
      <c r="Q51" s="6">
        <f t="shared" si="5"/>
        <v>0.38144734156432675</v>
      </c>
      <c r="R51" s="6">
        <f t="shared" si="6"/>
        <v>0.50343303962804542</v>
      </c>
      <c r="S51" s="6">
        <f t="shared" si="7"/>
        <v>0.11511961880762789</v>
      </c>
      <c r="T51" s="4">
        <f t="shared" si="8"/>
        <v>2029.5111023596244</v>
      </c>
      <c r="U51" s="4">
        <f t="shared" si="9"/>
        <v>2678.5425716421437</v>
      </c>
      <c r="V51" s="4">
        <f t="shared" si="10"/>
        <v>4708.0536740017678</v>
      </c>
      <c r="W51" s="4">
        <f t="shared" si="11"/>
        <v>1866.3459880148423</v>
      </c>
      <c r="X51" s="4">
        <f t="shared" si="12"/>
        <v>2463.1977506794874</v>
      </c>
      <c r="Y51" s="4">
        <f t="shared" si="13"/>
        <v>4329.5437386943295</v>
      </c>
      <c r="Z51" s="10"/>
      <c r="AA51" s="4"/>
      <c r="AB51" s="5"/>
      <c r="AC51" s="4"/>
      <c r="AD51" s="4"/>
      <c r="AE51" s="4"/>
      <c r="AF51" s="4"/>
      <c r="AG51" s="3"/>
      <c r="AH51" t="s">
        <v>247</v>
      </c>
      <c r="AI51" t="str">
        <f>C51</f>
        <v>Machine</v>
      </c>
      <c r="AJ51" s="8">
        <f>D51</f>
        <v>43403</v>
      </c>
      <c r="AK51" s="3">
        <f>SUM(E51:E53)</f>
        <v>69.8</v>
      </c>
      <c r="AL51" s="3">
        <f>(AK51-3*$A$35)*$A$36/(3*$A$37)*$A$38</f>
        <v>5089.8885761154852</v>
      </c>
      <c r="AM51" s="7">
        <f>SUM(G51:G53)</f>
        <v>28.41</v>
      </c>
      <c r="AN51" s="7">
        <f>SUM(H51:H53)</f>
        <v>574.32999999999993</v>
      </c>
      <c r="AO51" s="7">
        <f>AN51-AM51</f>
        <v>545.91999999999996</v>
      </c>
      <c r="AP51" s="7">
        <f>SUM(J51:J53)</f>
        <v>503.96000000000004</v>
      </c>
      <c r="AQ51" s="7">
        <f>(AO51-AP51)/AO51*100</f>
        <v>7.6861078546307011</v>
      </c>
      <c r="AR51" s="3">
        <f>AL51*(1-AQ51/100)</f>
        <v>4698.6742504747226</v>
      </c>
      <c r="AS51" s="11">
        <f>M51</f>
        <v>43440</v>
      </c>
      <c r="AT51" s="7">
        <f>SUM(N51:N53)</f>
        <v>30.03</v>
      </c>
      <c r="AU51" s="7">
        <f>SUM(O51:O53)</f>
        <v>12.1</v>
      </c>
      <c r="AV51" s="7">
        <f>SUM(P51:P53)</f>
        <v>19.439999999999998</v>
      </c>
      <c r="AW51" s="9">
        <f>(AU51-3*$A$39)/(AT51-3*$A$35*$A$36)</f>
        <v>0.38507017405235816</v>
      </c>
      <c r="AX51" s="9">
        <f>(AV51-3*$A$40)/(AT51-3*$A$35*$A$36)</f>
        <v>0.48984191752243439</v>
      </c>
      <c r="AY51" s="9">
        <f>1-AW51-AX51</f>
        <v>0.12508790842520751</v>
      </c>
      <c r="AZ51" s="3">
        <f>AL51*AW51</f>
        <v>1959.9642799118994</v>
      </c>
      <c r="BA51" s="3">
        <f>AL51*AX51</f>
        <v>2493.2407800999426</v>
      </c>
      <c r="BB51" s="3">
        <f>AZ51+BA51</f>
        <v>4453.2050600118419</v>
      </c>
      <c r="BC51" s="3">
        <f>AR51*AW51</f>
        <v>1809.3193114456349</v>
      </c>
      <c r="BD51" s="3">
        <f>AR51*AX51</f>
        <v>2301.6076046658254</v>
      </c>
      <c r="BE51" s="3">
        <f>BC51+BD51</f>
        <v>4110.9269161114607</v>
      </c>
      <c r="BF51" s="11">
        <f>Z52</f>
        <v>43451</v>
      </c>
      <c r="BG51" s="3">
        <f>AVERAGE(AA51:AA53)</f>
        <v>51.900000000000006</v>
      </c>
      <c r="BH51" s="7">
        <f t="shared" ref="BH51" si="14">AVERAGE(AB51:AB53)</f>
        <v>1.05</v>
      </c>
      <c r="BI51" s="3">
        <f t="shared" ref="BI51" si="15">AVERAGE(AC51:AC53)</f>
        <v>76.8</v>
      </c>
      <c r="BJ51" s="3">
        <f t="shared" ref="BJ51" si="16">AVERAGE(AD51:AD53)</f>
        <v>26.5</v>
      </c>
      <c r="BK51" s="3">
        <f t="shared" ref="BK51" si="17">AVERAGE(AE51:AE53)</f>
        <v>6.4</v>
      </c>
      <c r="BL51" s="3">
        <f t="shared" ref="BL51" si="18">AVERAGE(AF51:AF53)</f>
        <v>11.5</v>
      </c>
    </row>
    <row r="52" spans="1:64" x14ac:dyDescent="0.3">
      <c r="A52">
        <v>5</v>
      </c>
      <c r="B52" s="1" t="s">
        <v>56</v>
      </c>
      <c r="C52" s="1" t="s">
        <v>32</v>
      </c>
      <c r="D52" s="2">
        <v>43403</v>
      </c>
      <c r="E52" s="3">
        <v>22.8</v>
      </c>
      <c r="F52" s="4">
        <f t="shared" si="1"/>
        <v>4985.7171850393697</v>
      </c>
      <c r="G52" s="7">
        <v>9</v>
      </c>
      <c r="H52" s="7">
        <v>225.23</v>
      </c>
      <c r="I52" s="7">
        <f t="shared" si="2"/>
        <v>216.23</v>
      </c>
      <c r="J52" s="7">
        <v>200.32</v>
      </c>
      <c r="K52" s="5">
        <f t="shared" si="3"/>
        <v>7.3579059334967392</v>
      </c>
      <c r="L52" s="4">
        <f t="shared" si="4"/>
        <v>4618.8728044539912</v>
      </c>
      <c r="M52" s="2">
        <v>43440</v>
      </c>
      <c r="N52" s="7">
        <v>9.73</v>
      </c>
      <c r="O52" s="7">
        <v>3.98</v>
      </c>
      <c r="P52" s="7">
        <v>6.3</v>
      </c>
      <c r="Q52" s="6">
        <f t="shared" si="5"/>
        <v>0.39079407982938918</v>
      </c>
      <c r="R52" s="6">
        <f t="shared" si="6"/>
        <v>0.4853410346268221</v>
      </c>
      <c r="S52" s="6">
        <f t="shared" si="7"/>
        <v>0.12386488554378872</v>
      </c>
      <c r="T52" s="4">
        <f t="shared" si="8"/>
        <v>1948.388759617033</v>
      </c>
      <c r="U52" s="4">
        <f t="shared" si="9"/>
        <v>2419.7731369437347</v>
      </c>
      <c r="V52" s="4">
        <f t="shared" si="10"/>
        <v>4368.1618965607677</v>
      </c>
      <c r="W52" s="4">
        <f t="shared" si="11"/>
        <v>1805.0281474655878</v>
      </c>
      <c r="X52" s="4">
        <f t="shared" si="12"/>
        <v>2241.7285057233917</v>
      </c>
      <c r="Y52" s="4">
        <f t="shared" si="13"/>
        <v>4046.7566531889797</v>
      </c>
      <c r="Z52" s="10">
        <v>43451</v>
      </c>
      <c r="AA52" s="4">
        <v>51.900000000000006</v>
      </c>
      <c r="AB52" s="5">
        <v>1.05</v>
      </c>
      <c r="AC52" s="4">
        <v>76.8</v>
      </c>
      <c r="AD52" s="4">
        <v>26.5</v>
      </c>
      <c r="AE52" s="4">
        <v>6.4</v>
      </c>
      <c r="AF52" s="4">
        <v>11.5</v>
      </c>
      <c r="AG52" s="3"/>
      <c r="AK52" s="3"/>
      <c r="AL52" s="3"/>
      <c r="AM52" s="7"/>
      <c r="AN52" s="7"/>
      <c r="AO52" s="7"/>
      <c r="AP52" s="7"/>
      <c r="AQ52" s="7"/>
      <c r="AR52" s="3"/>
      <c r="AS52" s="3"/>
      <c r="AT52" s="7"/>
      <c r="AU52" s="7"/>
      <c r="AV52" s="7"/>
      <c r="AW52" s="9"/>
      <c r="AX52" s="9"/>
      <c r="AY52" s="9"/>
      <c r="AZ52" s="3"/>
      <c r="BA52" s="3"/>
      <c r="BB52" s="3"/>
      <c r="BC52" s="3"/>
      <c r="BD52" s="3"/>
      <c r="BE52" s="3"/>
      <c r="BG52" s="3"/>
      <c r="BH52" s="7"/>
      <c r="BI52" s="3"/>
      <c r="BJ52" s="3"/>
      <c r="BK52" s="3"/>
      <c r="BL52" s="3"/>
    </row>
    <row r="53" spans="1:64" x14ac:dyDescent="0.3">
      <c r="A53">
        <v>6</v>
      </c>
      <c r="B53" s="1" t="s">
        <v>57</v>
      </c>
      <c r="C53" s="1" t="s">
        <v>32</v>
      </c>
      <c r="D53" s="2">
        <v>43403</v>
      </c>
      <c r="E53" s="3">
        <v>22.7</v>
      </c>
      <c r="F53" s="4">
        <f t="shared" si="1"/>
        <v>4963.3947440944885</v>
      </c>
      <c r="G53" s="7">
        <v>9.7100000000000009</v>
      </c>
      <c r="H53" s="7">
        <v>181.93</v>
      </c>
      <c r="I53" s="7">
        <f t="shared" si="2"/>
        <v>172.22</v>
      </c>
      <c r="J53" s="7">
        <v>158.83000000000001</v>
      </c>
      <c r="K53" s="5">
        <f t="shared" si="3"/>
        <v>7.7749390314713658</v>
      </c>
      <c r="L53" s="4">
        <f t="shared" si="4"/>
        <v>4577.4938288498879</v>
      </c>
      <c r="M53" s="2">
        <v>43440</v>
      </c>
      <c r="N53" s="7">
        <v>9.76</v>
      </c>
      <c r="O53" s="7">
        <v>3.92</v>
      </c>
      <c r="P53" s="7">
        <v>6.26</v>
      </c>
      <c r="Q53" s="6">
        <f t="shared" si="5"/>
        <v>0.38328300813473576</v>
      </c>
      <c r="R53" s="6">
        <f t="shared" si="6"/>
        <v>0.47962737083527041</v>
      </c>
      <c r="S53" s="6">
        <f t="shared" si="7"/>
        <v>0.13708962102999378</v>
      </c>
      <c r="T53" s="4">
        <f t="shared" si="8"/>
        <v>1902.3848680766725</v>
      </c>
      <c r="U53" s="4">
        <f t="shared" si="9"/>
        <v>2380.5799715276394</v>
      </c>
      <c r="V53" s="4">
        <f t="shared" si="10"/>
        <v>4282.9648396043121</v>
      </c>
      <c r="W53" s="4">
        <f t="shared" si="11"/>
        <v>1754.4756044397743</v>
      </c>
      <c r="X53" s="4">
        <f t="shared" si="12"/>
        <v>2195.4913301459469</v>
      </c>
      <c r="Y53" s="4">
        <f t="shared" si="13"/>
        <v>3949.966934585721</v>
      </c>
      <c r="Z53" s="10"/>
      <c r="AA53" s="4"/>
      <c r="AB53" s="5"/>
      <c r="AC53" s="4"/>
      <c r="AD53" s="4"/>
      <c r="AE53" s="4"/>
      <c r="AF53" s="4"/>
      <c r="AG53" s="3"/>
      <c r="AK53" s="3"/>
      <c r="AL53" s="3"/>
      <c r="AM53" s="7"/>
      <c r="AN53" s="7"/>
      <c r="AO53" s="7"/>
      <c r="AP53" s="7"/>
      <c r="AQ53" s="7"/>
      <c r="AR53" s="3"/>
      <c r="AS53" s="3"/>
      <c r="AT53" s="7"/>
      <c r="AU53" s="7"/>
      <c r="AV53" s="7"/>
      <c r="AW53" s="9"/>
      <c r="AX53" s="9"/>
      <c r="AY53" s="9"/>
      <c r="AZ53" s="3"/>
      <c r="BA53" s="3"/>
      <c r="BB53" s="3"/>
      <c r="BC53" s="3"/>
      <c r="BD53" s="3"/>
      <c r="BE53" s="3"/>
      <c r="BG53" s="3"/>
      <c r="BH53" s="7"/>
      <c r="BI53" s="3"/>
      <c r="BJ53" s="3"/>
      <c r="BK53" s="3"/>
      <c r="BL53" s="3"/>
    </row>
    <row r="54" spans="1:64" x14ac:dyDescent="0.3">
      <c r="A54">
        <v>7</v>
      </c>
      <c r="B54" s="1" t="s">
        <v>58</v>
      </c>
      <c r="C54" s="1" t="s">
        <v>32</v>
      </c>
      <c r="D54" s="2">
        <v>43403</v>
      </c>
      <c r="E54" s="3">
        <v>16.3</v>
      </c>
      <c r="F54" s="4">
        <f t="shared" si="1"/>
        <v>3534.7585236220475</v>
      </c>
      <c r="G54" s="7">
        <v>9.7100000000000009</v>
      </c>
      <c r="H54" s="7">
        <v>159.81</v>
      </c>
      <c r="I54" s="7">
        <f t="shared" si="2"/>
        <v>150.1</v>
      </c>
      <c r="J54" s="7">
        <v>138.33000000000001</v>
      </c>
      <c r="K54" s="5">
        <f t="shared" si="3"/>
        <v>7.8414390406395613</v>
      </c>
      <c r="L54" s="4">
        <f t="shared" si="4"/>
        <v>3257.5825887584137</v>
      </c>
      <c r="M54" s="2">
        <v>43440</v>
      </c>
      <c r="N54" s="7">
        <v>7.08</v>
      </c>
      <c r="O54" s="7">
        <v>2.94</v>
      </c>
      <c r="P54" s="7">
        <v>5</v>
      </c>
      <c r="Q54" s="6">
        <f t="shared" si="5"/>
        <v>0.39015415590489022</v>
      </c>
      <c r="R54" s="6">
        <f t="shared" si="6"/>
        <v>0.48332529761352083</v>
      </c>
      <c r="S54" s="6">
        <f t="shared" si="7"/>
        <v>0.12652054648158895</v>
      </c>
      <c r="T54" s="4">
        <f t="shared" si="8"/>
        <v>1379.1007281113759</v>
      </c>
      <c r="U54" s="4">
        <f t="shared" si="9"/>
        <v>1708.4382154215557</v>
      </c>
      <c r="V54" s="4">
        <f t="shared" si="10"/>
        <v>3087.5389435329316</v>
      </c>
      <c r="W54" s="4">
        <f t="shared" si="11"/>
        <v>1270.9593852075061</v>
      </c>
      <c r="X54" s="4">
        <f t="shared" si="12"/>
        <v>1574.472074212284</v>
      </c>
      <c r="Y54" s="4">
        <f t="shared" si="13"/>
        <v>2845.4314594197904</v>
      </c>
      <c r="Z54" s="10"/>
      <c r="AA54" s="4"/>
      <c r="AB54" s="5"/>
      <c r="AC54" s="4"/>
      <c r="AD54" s="4"/>
      <c r="AE54" s="4"/>
      <c r="AF54" s="4"/>
      <c r="AG54" s="3"/>
      <c r="AH54" t="s">
        <v>249</v>
      </c>
      <c r="AI54" t="str">
        <f>C54</f>
        <v>Machine</v>
      </c>
      <c r="AJ54" s="8">
        <f>D54</f>
        <v>43403</v>
      </c>
      <c r="AK54" s="3">
        <f>SUM(E54:E56)</f>
        <v>50.5</v>
      </c>
      <c r="AL54" s="3">
        <f>(AK54-3*$A$35)*$A$36/(3*$A$37)*$A$38</f>
        <v>3653.8115419947503</v>
      </c>
      <c r="AM54" s="7">
        <f>SUM(G54:G56)</f>
        <v>28.490000000000002</v>
      </c>
      <c r="AN54" s="7">
        <f>SUM(H54:H56)</f>
        <v>507.38</v>
      </c>
      <c r="AO54" s="7">
        <f>AN54-AM54</f>
        <v>478.89</v>
      </c>
      <c r="AP54" s="7">
        <f>SUM(J54:J56)</f>
        <v>442.04999999999995</v>
      </c>
      <c r="AQ54" s="7">
        <f>(AO54-AP54)/AO54*100</f>
        <v>7.6927895758942624</v>
      </c>
      <c r="AR54" s="3">
        <f>AL54*(1-AQ54/100)</f>
        <v>3372.7315085693567</v>
      </c>
      <c r="AS54" s="11">
        <f>M54</f>
        <v>43440</v>
      </c>
      <c r="AT54" s="7">
        <f>SUM(N54:N56)</f>
        <v>21.71</v>
      </c>
      <c r="AU54" s="7">
        <f>SUM(O54:O56)</f>
        <v>9</v>
      </c>
      <c r="AV54" s="7">
        <f>SUM(P54:P56)</f>
        <v>15.16</v>
      </c>
      <c r="AW54" s="9">
        <f>(AU54-3*$A$39)/(AT54-3*$A$35*$A$36)</f>
        <v>0.38999415139719845</v>
      </c>
      <c r="AX54" s="9">
        <f>(AV54-3*$A$40)/(AT54-3*$A$35*$A$36)</f>
        <v>0.48013878493183071</v>
      </c>
      <c r="AY54" s="9">
        <f>1-AW54-AX54</f>
        <v>0.12986706367097078</v>
      </c>
      <c r="AZ54" s="3">
        <f>AL54*AW54</f>
        <v>1424.9651316855318</v>
      </c>
      <c r="BA54" s="3">
        <f>AL54*AX54</f>
        <v>1754.3366341432582</v>
      </c>
      <c r="BB54" s="3">
        <f>AZ54+BA54</f>
        <v>3179.3017658287899</v>
      </c>
      <c r="BC54" s="3">
        <f>AR54*AW54</f>
        <v>1315.3455625750992</v>
      </c>
      <c r="BD54" s="3">
        <f>AR54*AX54</f>
        <v>1619.3792084257914</v>
      </c>
      <c r="BE54" s="3">
        <f>BC54+BD54</f>
        <v>2934.7247710008905</v>
      </c>
      <c r="BF54" s="11">
        <f>Z55</f>
        <v>43451</v>
      </c>
      <c r="BG54" s="3">
        <f>AVERAGE(AA54:AA56)</f>
        <v>51.900000000000006</v>
      </c>
      <c r="BH54" s="7">
        <f t="shared" ref="BH54" si="19">AVERAGE(AB54:AB56)</f>
        <v>0.98</v>
      </c>
      <c r="BI54" s="3">
        <f t="shared" ref="BI54" si="20">AVERAGE(AC54:AC56)</f>
        <v>76</v>
      </c>
      <c r="BJ54" s="3">
        <f t="shared" ref="BJ54" si="21">AVERAGE(AD54:AD56)</f>
        <v>24.3</v>
      </c>
      <c r="BK54" s="3">
        <f t="shared" ref="BK54" si="22">AVERAGE(AE54:AE56)</f>
        <v>6.6</v>
      </c>
      <c r="BL54" s="3">
        <f t="shared" ref="BL54" si="23">AVERAGE(AF54:AF56)</f>
        <v>15.6</v>
      </c>
    </row>
    <row r="55" spans="1:64" x14ac:dyDescent="0.3">
      <c r="A55">
        <v>8</v>
      </c>
      <c r="B55" s="1" t="s">
        <v>59</v>
      </c>
      <c r="C55" s="1" t="s">
        <v>32</v>
      </c>
      <c r="D55" s="2">
        <v>43403</v>
      </c>
      <c r="E55" s="3">
        <v>16.8</v>
      </c>
      <c r="F55" s="4">
        <f t="shared" si="1"/>
        <v>3646.3707283464569</v>
      </c>
      <c r="G55" s="7">
        <v>9.0299999999999994</v>
      </c>
      <c r="H55" s="7">
        <v>186.51</v>
      </c>
      <c r="I55" s="7">
        <f t="shared" si="2"/>
        <v>177.48</v>
      </c>
      <c r="J55" s="7">
        <v>163.93</v>
      </c>
      <c r="K55" s="5">
        <f t="shared" si="3"/>
        <v>7.63466306062654</v>
      </c>
      <c r="L55" s="4">
        <f t="shared" si="4"/>
        <v>3367.9826092958906</v>
      </c>
      <c r="M55" s="2">
        <v>43440</v>
      </c>
      <c r="N55" s="7">
        <v>7.18</v>
      </c>
      <c r="O55" s="7">
        <v>2.92</v>
      </c>
      <c r="P55" s="7">
        <v>5.0199999999999996</v>
      </c>
      <c r="Q55" s="6">
        <f t="shared" si="5"/>
        <v>0.38168597675332666</v>
      </c>
      <c r="R55" s="6">
        <f t="shared" si="6"/>
        <v>0.47925983547222212</v>
      </c>
      <c r="S55" s="6">
        <f t="shared" si="7"/>
        <v>0.13905418777445117</v>
      </c>
      <c r="T55" s="4">
        <f t="shared" si="8"/>
        <v>1391.7685730536566</v>
      </c>
      <c r="U55" s="4">
        <f t="shared" si="9"/>
        <v>1747.5590353380496</v>
      </c>
      <c r="V55" s="4">
        <f t="shared" si="10"/>
        <v>3139.3276083917062</v>
      </c>
      <c r="W55" s="4">
        <f t="shared" si="11"/>
        <v>1285.5117319173198</v>
      </c>
      <c r="X55" s="4">
        <f t="shared" si="12"/>
        <v>1614.1387912044538</v>
      </c>
      <c r="Y55" s="4">
        <f t="shared" si="13"/>
        <v>2899.6505231217734</v>
      </c>
      <c r="Z55" s="10">
        <v>43451</v>
      </c>
      <c r="AA55" s="4">
        <v>51.900000000000006</v>
      </c>
      <c r="AB55" s="5">
        <v>0.98</v>
      </c>
      <c r="AC55" s="4">
        <v>76</v>
      </c>
      <c r="AD55" s="4">
        <v>24.3</v>
      </c>
      <c r="AE55" s="4">
        <v>6.6</v>
      </c>
      <c r="AF55" s="4">
        <v>15.6</v>
      </c>
      <c r="AG55" s="3"/>
      <c r="AK55" s="3"/>
      <c r="AL55" s="3"/>
      <c r="AM55" s="7"/>
      <c r="AN55" s="7"/>
      <c r="AO55" s="7"/>
      <c r="AP55" s="7"/>
      <c r="AQ55" s="7"/>
      <c r="AR55" s="3"/>
      <c r="AS55" s="3"/>
      <c r="AT55" s="7"/>
      <c r="AU55" s="7"/>
      <c r="AV55" s="7"/>
      <c r="AW55" s="9"/>
      <c r="AX55" s="9"/>
      <c r="AY55" s="9"/>
      <c r="AZ55" s="3"/>
      <c r="BA55" s="3"/>
      <c r="BB55" s="3"/>
      <c r="BC55" s="3"/>
      <c r="BD55" s="3"/>
      <c r="BE55" s="3"/>
      <c r="BG55" s="3"/>
      <c r="BH55" s="7"/>
      <c r="BI55" s="3"/>
      <c r="BJ55" s="3"/>
      <c r="BK55" s="3"/>
      <c r="BL55" s="3"/>
    </row>
    <row r="56" spans="1:64" x14ac:dyDescent="0.3">
      <c r="A56">
        <v>9</v>
      </c>
      <c r="B56" s="1" t="s">
        <v>60</v>
      </c>
      <c r="C56" s="1" t="s">
        <v>32</v>
      </c>
      <c r="D56" s="2">
        <v>43403</v>
      </c>
      <c r="E56" s="3">
        <v>17.399999999999999</v>
      </c>
      <c r="F56" s="4">
        <f t="shared" si="1"/>
        <v>3780.305374015747</v>
      </c>
      <c r="G56" s="7">
        <v>9.75</v>
      </c>
      <c r="H56" s="7">
        <v>161.06</v>
      </c>
      <c r="I56" s="7">
        <f t="shared" si="2"/>
        <v>151.31</v>
      </c>
      <c r="J56" s="7">
        <v>139.79</v>
      </c>
      <c r="K56" s="5">
        <f t="shared" si="3"/>
        <v>7.6135086907673051</v>
      </c>
      <c r="L56" s="4">
        <f t="shared" si="4"/>
        <v>3492.4914958275149</v>
      </c>
      <c r="M56" s="2">
        <v>43440</v>
      </c>
      <c r="N56" s="7">
        <v>7.45</v>
      </c>
      <c r="O56" s="7">
        <v>3.14</v>
      </c>
      <c r="P56" s="7">
        <v>5.14</v>
      </c>
      <c r="Q56" s="6">
        <f t="shared" si="5"/>
        <v>0.39784062496827977</v>
      </c>
      <c r="R56" s="6">
        <f t="shared" si="6"/>
        <v>0.47796130638550277</v>
      </c>
      <c r="S56" s="6">
        <f t="shared" si="7"/>
        <v>0.12419806864621746</v>
      </c>
      <c r="T56" s="4">
        <f t="shared" si="8"/>
        <v>1503.9590525693714</v>
      </c>
      <c r="U56" s="4">
        <f t="shared" si="9"/>
        <v>1806.839695100703</v>
      </c>
      <c r="V56" s="4">
        <f t="shared" si="10"/>
        <v>3310.7987476700746</v>
      </c>
      <c r="W56" s="4">
        <f t="shared" si="11"/>
        <v>1389.4549993964208</v>
      </c>
      <c r="X56" s="4">
        <f t="shared" si="12"/>
        <v>1669.2757978859777</v>
      </c>
      <c r="Y56" s="4">
        <f t="shared" si="13"/>
        <v>3058.7307972823983</v>
      </c>
      <c r="Z56" s="10"/>
      <c r="AA56" s="4"/>
      <c r="AB56" s="5"/>
      <c r="AC56" s="4"/>
      <c r="AD56" s="4"/>
      <c r="AE56" s="4"/>
      <c r="AF56" s="4"/>
      <c r="AG56" s="3"/>
      <c r="AK56" s="3"/>
      <c r="AL56" s="3"/>
      <c r="AM56" s="7"/>
      <c r="AN56" s="7"/>
      <c r="AO56" s="7"/>
      <c r="AP56" s="7"/>
      <c r="AQ56" s="7"/>
      <c r="AR56" s="3"/>
      <c r="AS56" s="3"/>
      <c r="AT56" s="7"/>
      <c r="AU56" s="7"/>
      <c r="AV56" s="7"/>
      <c r="AW56" s="9"/>
      <c r="AX56" s="9"/>
      <c r="AY56" s="9"/>
      <c r="AZ56" s="3"/>
      <c r="BA56" s="3"/>
      <c r="BB56" s="3"/>
      <c r="BC56" s="3"/>
      <c r="BD56" s="3"/>
      <c r="BE56" s="3"/>
      <c r="BG56" s="3"/>
      <c r="BH56" s="7"/>
      <c r="BI56" s="3"/>
      <c r="BJ56" s="3"/>
      <c r="BK56" s="3"/>
      <c r="BL56" s="3"/>
    </row>
    <row r="57" spans="1:64" x14ac:dyDescent="0.3">
      <c r="A57">
        <v>10</v>
      </c>
      <c r="B57" s="1" t="s">
        <v>61</v>
      </c>
      <c r="C57" s="1" t="s">
        <v>32</v>
      </c>
      <c r="D57" s="2">
        <v>43403</v>
      </c>
      <c r="E57" s="3">
        <v>23.2</v>
      </c>
      <c r="F57" s="4">
        <f t="shared" si="1"/>
        <v>5075.0069488188974</v>
      </c>
      <c r="G57" s="7">
        <v>9.7200000000000006</v>
      </c>
      <c r="H57" s="7">
        <v>216.44</v>
      </c>
      <c r="I57" s="7">
        <f t="shared" si="2"/>
        <v>206.72</v>
      </c>
      <c r="J57" s="7">
        <v>193.32</v>
      </c>
      <c r="K57" s="5">
        <f t="shared" si="3"/>
        <v>6.4821981424148634</v>
      </c>
      <c r="L57" s="4">
        <f t="shared" si="4"/>
        <v>4746.0349426551338</v>
      </c>
      <c r="M57" s="2">
        <v>43440</v>
      </c>
      <c r="N57" s="7">
        <v>9.99</v>
      </c>
      <c r="O57" s="7">
        <v>4.1399999999999997</v>
      </c>
      <c r="P57" s="7">
        <v>6.42</v>
      </c>
      <c r="Q57" s="6">
        <f>(O57-$A$39)/(N57-$A$35*$A$36)</f>
        <v>0.39676535124922774</v>
      </c>
      <c r="R57" s="6">
        <f>(P57-$A$40)/(N57-$A$35*$A$36)</f>
        <v>0.48470818683539685</v>
      </c>
      <c r="S57" s="6">
        <f>1-Q57-R57</f>
        <v>0.11852646191537541</v>
      </c>
      <c r="T57" s="4">
        <f>F57*Q57</f>
        <v>2013.5869146404013</v>
      </c>
      <c r="U57" s="4">
        <f>F57*R57</f>
        <v>2459.8974163390476</v>
      </c>
      <c r="V57" s="4">
        <f>T57+U57</f>
        <v>4473.4843309794487</v>
      </c>
      <c r="W57" s="4">
        <f>L57*Q57</f>
        <v>1883.0622210636725</v>
      </c>
      <c r="X57" s="4">
        <f>L57*R57</f>
        <v>2300.4419917118066</v>
      </c>
      <c r="Y57" s="4">
        <f>W57+X57</f>
        <v>4183.5042127754787</v>
      </c>
      <c r="Z57" s="10"/>
      <c r="AA57" s="4"/>
      <c r="AB57" s="5"/>
      <c r="AC57" s="4"/>
      <c r="AD57" s="4"/>
      <c r="AE57" s="4"/>
      <c r="AF57" s="4"/>
      <c r="AG57" s="3"/>
      <c r="AH57" t="s">
        <v>250</v>
      </c>
      <c r="AI57" t="str">
        <f>C57</f>
        <v>Machine</v>
      </c>
      <c r="AJ57" s="8">
        <f>D57</f>
        <v>43403</v>
      </c>
      <c r="AK57" s="3">
        <f>SUM(E57:E59)</f>
        <v>57.599999999999994</v>
      </c>
      <c r="AL57" s="3">
        <f>(AK57-3*$A$35)*$A$36/(3*$A$37)*$A$38</f>
        <v>4182.1093110236216</v>
      </c>
      <c r="AM57" s="7">
        <f>SUM(G57:G59)</f>
        <v>28.410000000000004</v>
      </c>
      <c r="AN57" s="7">
        <f>SUM(H57:H59)</f>
        <v>508.15</v>
      </c>
      <c r="AO57" s="7">
        <f>AN57-AM57</f>
        <v>479.73999999999995</v>
      </c>
      <c r="AP57" s="7">
        <f>SUM(J57:J59)</f>
        <v>446.38</v>
      </c>
      <c r="AQ57" s="7">
        <f>(AO57-AP57)/AO57*100</f>
        <v>6.9537666235877689</v>
      </c>
      <c r="AR57" s="3">
        <f>AL57*(1-AQ57/100)</f>
        <v>3891.2951895917049</v>
      </c>
      <c r="AS57" s="11">
        <f>M57</f>
        <v>43440</v>
      </c>
      <c r="AT57" s="7">
        <f>SUM(N57:N59)</f>
        <v>16.670000000000002</v>
      </c>
      <c r="AU57" s="7">
        <f>SUM(O57:O59)</f>
        <v>6.8999999999999995</v>
      </c>
      <c r="AV57" s="7">
        <f>SUM(P57:P59)</f>
        <v>11.2</v>
      </c>
      <c r="AW57" s="9">
        <f>(AU57-2*$A$39)/(AT57-2*$A$35*$A$36)</f>
        <v>0.39265985932496478</v>
      </c>
      <c r="AX57" s="9">
        <f>(AV57-2*$A$40)/(AT57-2*$A$35*$A$36)</f>
        <v>0.48251619076923574</v>
      </c>
      <c r="AY57" s="9">
        <f>1-AW57-AX57</f>
        <v>0.12482394990579943</v>
      </c>
      <c r="AZ57" s="3">
        <f>AL57*AW57</f>
        <v>1642.1464537481606</v>
      </c>
      <c r="BA57" s="3">
        <f>AL57*AX57</f>
        <v>2017.9354541356709</v>
      </c>
      <c r="BB57" s="3">
        <f>AZ57+BA57</f>
        <v>3660.0819078838313</v>
      </c>
      <c r="BC57" s="3">
        <f>AR57*AW57</f>
        <v>1527.955421736991</v>
      </c>
      <c r="BD57" s="3">
        <f>AR57*AX57</f>
        <v>1877.6129320404405</v>
      </c>
      <c r="BE57" s="3">
        <f>BC57+BD57</f>
        <v>3405.5683537774312</v>
      </c>
      <c r="BF57" s="11">
        <f>Z58</f>
        <v>43451</v>
      </c>
      <c r="BG57" s="3">
        <f>AVERAGE(AA57:AA59)</f>
        <v>51.8</v>
      </c>
      <c r="BH57" s="7">
        <f t="shared" ref="BH57" si="24">AVERAGE(AB57:AB59)</f>
        <v>1.01</v>
      </c>
      <c r="BI57" s="3">
        <f t="shared" ref="BI57" si="25">AVERAGE(AC57:AC59)</f>
        <v>77</v>
      </c>
      <c r="BJ57" s="3">
        <f t="shared" ref="BJ57" si="26">AVERAGE(AD57:AD59)</f>
        <v>26.2</v>
      </c>
      <c r="BK57" s="3">
        <f t="shared" ref="BK57" si="27">AVERAGE(AE57:AE59)</f>
        <v>6.5</v>
      </c>
      <c r="BL57" s="3">
        <f t="shared" ref="BL57" si="28">AVERAGE(AF57:AF59)</f>
        <v>13.9</v>
      </c>
    </row>
    <row r="58" spans="1:64" x14ac:dyDescent="0.3">
      <c r="A58">
        <v>11</v>
      </c>
      <c r="B58" s="1" t="s">
        <v>62</v>
      </c>
      <c r="C58" s="1" t="s">
        <v>32</v>
      </c>
      <c r="D58" s="2">
        <v>43403</v>
      </c>
      <c r="E58" s="3">
        <v>19.100000000000001</v>
      </c>
      <c r="F58" s="4">
        <f t="shared" si="1"/>
        <v>4159.7868700787412</v>
      </c>
      <c r="G58" s="7">
        <v>8.98</v>
      </c>
      <c r="H58" s="7">
        <v>141.33000000000001</v>
      </c>
      <c r="I58" s="7">
        <f t="shared" si="2"/>
        <v>132.35000000000002</v>
      </c>
      <c r="J58" s="7">
        <v>122.69</v>
      </c>
      <c r="K58" s="5">
        <f t="shared" si="3"/>
        <v>7.298828862863636</v>
      </c>
      <c r="L58" s="4">
        <f t="shared" si="4"/>
        <v>3856.1711453718221</v>
      </c>
      <c r="M58" s="2">
        <v>43440</v>
      </c>
      <c r="N58" s="7"/>
      <c r="O58" s="7"/>
      <c r="P58" s="7"/>
      <c r="Q58" s="6"/>
      <c r="R58" s="6"/>
      <c r="S58" s="6"/>
      <c r="T58" s="4"/>
      <c r="U58" s="4"/>
      <c r="V58" s="4"/>
      <c r="W58" s="4"/>
      <c r="X58" s="4"/>
      <c r="Y58" s="4"/>
      <c r="Z58" s="10">
        <v>43451</v>
      </c>
      <c r="AA58" s="4">
        <v>51.8</v>
      </c>
      <c r="AB58" s="5">
        <v>1.01</v>
      </c>
      <c r="AC58" s="4">
        <v>77</v>
      </c>
      <c r="AD58" s="4">
        <v>26.2</v>
      </c>
      <c r="AE58" s="4">
        <v>6.5</v>
      </c>
      <c r="AF58" s="4">
        <v>13.9</v>
      </c>
      <c r="AG58" s="3"/>
      <c r="AK58" s="3"/>
      <c r="AL58" s="3"/>
      <c r="AM58" s="7"/>
      <c r="AN58" s="7"/>
      <c r="AO58" s="7"/>
      <c r="AP58" s="7"/>
      <c r="AQ58" s="7"/>
      <c r="AR58" s="3"/>
      <c r="AS58" s="3"/>
      <c r="AT58" s="7"/>
      <c r="AU58" s="7"/>
      <c r="AV58" s="7"/>
      <c r="AW58" s="9"/>
      <c r="AX58" s="9"/>
      <c r="AY58" s="9"/>
      <c r="AZ58" s="3"/>
      <c r="BA58" s="3"/>
      <c r="BB58" s="3"/>
      <c r="BC58" s="3"/>
      <c r="BD58" s="3"/>
      <c r="BE58" s="3"/>
      <c r="BG58" s="3"/>
      <c r="BH58" s="7"/>
      <c r="BI58" s="3"/>
      <c r="BJ58" s="3"/>
      <c r="BK58" s="3"/>
      <c r="BL58" s="3"/>
    </row>
    <row r="59" spans="1:64" x14ac:dyDescent="0.3">
      <c r="A59">
        <v>12</v>
      </c>
      <c r="B59" s="1" t="s">
        <v>63</v>
      </c>
      <c r="C59" s="1" t="s">
        <v>32</v>
      </c>
      <c r="D59" s="2">
        <v>43403</v>
      </c>
      <c r="E59" s="3">
        <v>15.3</v>
      </c>
      <c r="F59" s="4">
        <f t="shared" si="1"/>
        <v>3311.5341141732283</v>
      </c>
      <c r="G59" s="7">
        <v>9.7100000000000009</v>
      </c>
      <c r="H59" s="7">
        <v>150.38</v>
      </c>
      <c r="I59" s="7">
        <f t="shared" si="2"/>
        <v>140.66999999999999</v>
      </c>
      <c r="J59" s="7">
        <v>130.37</v>
      </c>
      <c r="K59" s="5">
        <f t="shared" si="3"/>
        <v>7.3221013720053909</v>
      </c>
      <c r="L59" s="4">
        <f t="shared" si="4"/>
        <v>3069.0602293649235</v>
      </c>
      <c r="M59" s="2">
        <v>43440</v>
      </c>
      <c r="N59" s="7">
        <v>6.68</v>
      </c>
      <c r="O59" s="7">
        <v>2.76</v>
      </c>
      <c r="P59" s="7">
        <v>4.78</v>
      </c>
      <c r="Q59" s="6">
        <f t="shared" si="5"/>
        <v>0.3864537319382424</v>
      </c>
      <c r="R59" s="6">
        <f t="shared" si="6"/>
        <v>0.47920262760342064</v>
      </c>
      <c r="S59" s="6">
        <f t="shared" si="7"/>
        <v>0.13434364045833697</v>
      </c>
      <c r="T59" s="4">
        <f t="shared" si="8"/>
        <v>1279.7547168630458</v>
      </c>
      <c r="U59" s="4">
        <f t="shared" si="9"/>
        <v>1586.8958489101769</v>
      </c>
      <c r="V59" s="4">
        <f t="shared" si="10"/>
        <v>2866.6505657732228</v>
      </c>
      <c r="W59" s="4">
        <f t="shared" si="11"/>
        <v>1186.0497791813129</v>
      </c>
      <c r="X59" s="4">
        <f t="shared" si="12"/>
        <v>1470.7017261848282</v>
      </c>
      <c r="Y59" s="4">
        <f t="shared" si="13"/>
        <v>2656.7515053661409</v>
      </c>
      <c r="Z59" s="10"/>
      <c r="AA59" s="4"/>
      <c r="AB59" s="5"/>
      <c r="AC59" s="4"/>
      <c r="AD59" s="4"/>
      <c r="AE59" s="4"/>
      <c r="AF59" s="4"/>
      <c r="AG59" s="3"/>
      <c r="AK59" s="3"/>
      <c r="AL59" s="3"/>
      <c r="AM59" s="7"/>
      <c r="AN59" s="7"/>
      <c r="AO59" s="7"/>
      <c r="AP59" s="7"/>
      <c r="AQ59" s="7"/>
      <c r="AR59" s="3"/>
      <c r="AS59" s="3"/>
      <c r="AT59" s="7"/>
      <c r="AU59" s="7"/>
      <c r="AV59" s="7"/>
      <c r="AW59" s="9"/>
      <c r="AX59" s="9"/>
      <c r="AY59" s="9"/>
      <c r="AZ59" s="3"/>
      <c r="BA59" s="3"/>
      <c r="BB59" s="3"/>
      <c r="BC59" s="3"/>
      <c r="BD59" s="3"/>
      <c r="BE59" s="3"/>
      <c r="BG59" s="3"/>
      <c r="BH59" s="7"/>
      <c r="BI59" s="3"/>
      <c r="BJ59" s="3"/>
      <c r="BK59" s="3"/>
      <c r="BL59" s="3"/>
    </row>
    <row r="60" spans="1:64" x14ac:dyDescent="0.3">
      <c r="A60">
        <v>13</v>
      </c>
      <c r="B60" s="1" t="s">
        <v>64</v>
      </c>
      <c r="C60" s="1" t="s">
        <v>32</v>
      </c>
      <c r="D60" s="2">
        <v>43403</v>
      </c>
      <c r="E60" s="3">
        <v>25.2</v>
      </c>
      <c r="F60" s="4">
        <f t="shared" si="1"/>
        <v>5521.455767716534</v>
      </c>
      <c r="G60" s="7">
        <v>9.6999999999999993</v>
      </c>
      <c r="H60" s="7">
        <v>142.9</v>
      </c>
      <c r="I60" s="7">
        <f t="shared" ref="I60:I71" si="29">H60-G60</f>
        <v>133.20000000000002</v>
      </c>
      <c r="J60" s="7">
        <v>123.57</v>
      </c>
      <c r="K60" s="5">
        <f t="shared" si="3"/>
        <v>7.2297297297297458</v>
      </c>
      <c r="L60" s="4">
        <f t="shared" si="4"/>
        <v>5122.2694385640534</v>
      </c>
      <c r="M60" s="2">
        <v>43440</v>
      </c>
      <c r="N60" s="7">
        <v>10.93</v>
      </c>
      <c r="O60" s="7">
        <v>4.38</v>
      </c>
      <c r="P60" s="7">
        <v>6.86</v>
      </c>
      <c r="Q60" s="6">
        <f t="shared" si="5"/>
        <v>0.38436135448389036</v>
      </c>
      <c r="R60" s="6">
        <f t="shared" si="6"/>
        <v>0.48325044083168744</v>
      </c>
      <c r="S60" s="6">
        <f t="shared" si="7"/>
        <v>0.13238820468442214</v>
      </c>
      <c r="T60" s="4">
        <f t="shared" si="8"/>
        <v>2122.2342176024158</v>
      </c>
      <c r="U60" s="4">
        <f t="shared" si="9"/>
        <v>2668.2459337816781</v>
      </c>
      <c r="V60" s="4">
        <f t="shared" si="10"/>
        <v>4790.4801513840939</v>
      </c>
      <c r="W60" s="4">
        <f t="shared" si="11"/>
        <v>1968.8024194379161</v>
      </c>
      <c r="X60" s="4">
        <f t="shared" si="12"/>
        <v>2475.3389642447592</v>
      </c>
      <c r="Y60" s="4">
        <f t="shared" si="13"/>
        <v>4444.141383682675</v>
      </c>
      <c r="Z60" s="10"/>
      <c r="AA60" s="4"/>
      <c r="AB60" s="5"/>
      <c r="AC60" s="4"/>
      <c r="AD60" s="4"/>
      <c r="AE60" s="4"/>
      <c r="AF60" s="4"/>
      <c r="AG60" s="3"/>
      <c r="AH60" t="s">
        <v>251</v>
      </c>
      <c r="AI60" t="str">
        <f>C60</f>
        <v>Machine</v>
      </c>
      <c r="AJ60" s="8">
        <f>D60</f>
        <v>43403</v>
      </c>
      <c r="AK60" s="3">
        <f>SUM(E60:E62)</f>
        <v>71.3</v>
      </c>
      <c r="AL60" s="3">
        <f>(AK60-3*$A$35)*$A$36/(3*$A$37)*$A$38</f>
        <v>5201.500780839895</v>
      </c>
      <c r="AM60" s="7">
        <f>SUM(G60:G62)</f>
        <v>28.43</v>
      </c>
      <c r="AN60" s="7">
        <f>SUM(H60:H62)</f>
        <v>547.03</v>
      </c>
      <c r="AO60" s="7">
        <f>AN60-AM60</f>
        <v>518.6</v>
      </c>
      <c r="AP60" s="7">
        <f>SUM(J60:J62)</f>
        <v>478.85999999999996</v>
      </c>
      <c r="AQ60" s="7">
        <f>(AO60-AP60)/AO60*100</f>
        <v>7.6629386810644169</v>
      </c>
      <c r="AR60" s="3">
        <f>AL60*(1-AQ60/100)</f>
        <v>4802.9129655090474</v>
      </c>
      <c r="AS60" s="11">
        <f>M60</f>
        <v>43440</v>
      </c>
      <c r="AT60" s="7">
        <f>SUM(N60:N62)</f>
        <v>20.58</v>
      </c>
      <c r="AU60" s="7">
        <f>SUM(O60:O62)</f>
        <v>8.3000000000000007</v>
      </c>
      <c r="AV60" s="7">
        <f>SUM(P60:P62)</f>
        <v>13.100000000000001</v>
      </c>
      <c r="AW60" s="9">
        <f>(AU60-2*$A$39)/(AT60-2*$A$35*$A$36)</f>
        <v>0.38594793454019838</v>
      </c>
      <c r="AX60" s="9">
        <f>(AV60-2*$A$40)/(AT60-2*$A$35*$A$36)</f>
        <v>0.48317903373027404</v>
      </c>
      <c r="AY60" s="9">
        <f>1-AW60-AX60</f>
        <v>0.13087303172952758</v>
      </c>
      <c r="AZ60" s="3">
        <f>AL60*AW60</f>
        <v>2007.5084828743866</v>
      </c>
      <c r="BA60" s="3">
        <f>AL60*AX60</f>
        <v>2513.2561212334863</v>
      </c>
      <c r="BB60" s="3">
        <f>AZ60+BA60</f>
        <v>4520.7646041078733</v>
      </c>
      <c r="BC60" s="3">
        <f>AR60*AW60</f>
        <v>1853.6743388145558</v>
      </c>
      <c r="BD60" s="3">
        <f>AR60*AX60</f>
        <v>2320.6668457652663</v>
      </c>
      <c r="BE60" s="3">
        <f>BC60+BD60</f>
        <v>4174.3411845798219</v>
      </c>
      <c r="BF60" s="11">
        <f>Z61</f>
        <v>43451</v>
      </c>
      <c r="BG60" s="3">
        <f>AVERAGE(AA60:AA62)</f>
        <v>46.8</v>
      </c>
      <c r="BH60" s="7">
        <f t="shared" ref="BH60" si="30">AVERAGE(AB60:AB62)</f>
        <v>1.1100000000000001</v>
      </c>
      <c r="BI60" s="3">
        <f t="shared" ref="BI60" si="31">AVERAGE(AC60:AC62)</f>
        <v>79.5</v>
      </c>
      <c r="BJ60" s="3">
        <f t="shared" ref="BJ60" si="32">AVERAGE(AD60:AD62)</f>
        <v>29.9</v>
      </c>
      <c r="BK60" s="3">
        <f t="shared" ref="BK60" si="33">AVERAGE(AE60:AE62)</f>
        <v>6.2</v>
      </c>
      <c r="BL60" s="3">
        <f t="shared" ref="BL60" si="34">AVERAGE(AF60:AF62)</f>
        <v>10.4</v>
      </c>
    </row>
    <row r="61" spans="1:64" x14ac:dyDescent="0.3">
      <c r="A61">
        <v>14</v>
      </c>
      <c r="B61" s="1" t="s">
        <v>65</v>
      </c>
      <c r="C61" s="1" t="s">
        <v>32</v>
      </c>
      <c r="D61" s="2">
        <v>43403</v>
      </c>
      <c r="E61" s="3">
        <v>23.7</v>
      </c>
      <c r="F61" s="4">
        <f t="shared" si="1"/>
        <v>5186.6191535433072</v>
      </c>
      <c r="G61" s="7">
        <v>9.01</v>
      </c>
      <c r="H61" s="7">
        <v>201.27</v>
      </c>
      <c r="I61" s="7">
        <f t="shared" si="29"/>
        <v>192.26000000000002</v>
      </c>
      <c r="J61" s="7">
        <v>176.98</v>
      </c>
      <c r="K61" s="5">
        <f t="shared" si="3"/>
        <v>7.9475709976074214</v>
      </c>
      <c r="L61" s="4">
        <f t="shared" si="4"/>
        <v>4774.4089139399475</v>
      </c>
      <c r="M61" s="2">
        <v>43440</v>
      </c>
      <c r="N61" s="7"/>
      <c r="O61" s="7"/>
      <c r="P61" s="7"/>
      <c r="Q61" s="6"/>
      <c r="R61" s="6"/>
      <c r="S61" s="6"/>
      <c r="T61" s="4"/>
      <c r="U61" s="4"/>
      <c r="V61" s="4"/>
      <c r="W61" s="4"/>
      <c r="X61" s="4"/>
      <c r="Y61" s="4"/>
      <c r="Z61" s="10">
        <v>43451</v>
      </c>
      <c r="AA61" s="4">
        <v>46.8</v>
      </c>
      <c r="AB61" s="5">
        <v>1.1100000000000001</v>
      </c>
      <c r="AC61" s="4">
        <v>79.5</v>
      </c>
      <c r="AD61" s="4">
        <v>29.9</v>
      </c>
      <c r="AE61" s="4">
        <v>6.2</v>
      </c>
      <c r="AF61" s="4">
        <v>10.4</v>
      </c>
      <c r="AG61" s="3"/>
      <c r="AK61" s="3"/>
      <c r="AL61" s="3"/>
      <c r="AM61" s="7"/>
      <c r="AN61" s="7"/>
      <c r="AO61" s="7"/>
      <c r="AP61" s="7"/>
      <c r="AQ61" s="7"/>
      <c r="AR61" s="3"/>
      <c r="AS61" s="3"/>
      <c r="AT61" s="7"/>
      <c r="AU61" s="7"/>
      <c r="AV61" s="7"/>
      <c r="AW61" s="9"/>
      <c r="AX61" s="9"/>
      <c r="AY61" s="9"/>
      <c r="AZ61" s="3"/>
      <c r="BA61" s="3"/>
      <c r="BB61" s="3"/>
      <c r="BC61" s="3"/>
      <c r="BD61" s="3"/>
      <c r="BE61" s="3"/>
      <c r="BG61" s="3"/>
      <c r="BH61" s="7"/>
      <c r="BI61" s="3"/>
      <c r="BJ61" s="3"/>
      <c r="BK61" s="3"/>
      <c r="BL61" s="3"/>
    </row>
    <row r="62" spans="1:64" x14ac:dyDescent="0.3">
      <c r="A62">
        <v>15</v>
      </c>
      <c r="B62" s="1" t="s">
        <v>66</v>
      </c>
      <c r="C62" s="1" t="s">
        <v>32</v>
      </c>
      <c r="D62" s="2">
        <v>43403</v>
      </c>
      <c r="E62" s="3">
        <v>22.4</v>
      </c>
      <c r="F62" s="4">
        <f t="shared" si="1"/>
        <v>4896.427421259842</v>
      </c>
      <c r="G62" s="7">
        <v>9.7200000000000006</v>
      </c>
      <c r="H62" s="7">
        <v>202.86</v>
      </c>
      <c r="I62" s="7">
        <f t="shared" si="29"/>
        <v>193.14000000000001</v>
      </c>
      <c r="J62" s="7">
        <v>178.31</v>
      </c>
      <c r="K62" s="5">
        <f t="shared" si="3"/>
        <v>7.678368023195616</v>
      </c>
      <c r="L62" s="4">
        <f t="shared" si="4"/>
        <v>4520.4617038668448</v>
      </c>
      <c r="M62" s="2">
        <v>43440</v>
      </c>
      <c r="N62" s="7">
        <v>9.65</v>
      </c>
      <c r="O62" s="7">
        <v>3.92</v>
      </c>
      <c r="P62" s="7">
        <v>6.24</v>
      </c>
      <c r="Q62" s="6">
        <f t="shared" si="5"/>
        <v>0.38774966507010283</v>
      </c>
      <c r="R62" s="6">
        <f t="shared" si="6"/>
        <v>0.48309794336602979</v>
      </c>
      <c r="S62" s="6">
        <f t="shared" si="7"/>
        <v>0.12915239156386732</v>
      </c>
      <c r="T62" s="4">
        <f t="shared" si="8"/>
        <v>1898.588092633571</v>
      </c>
      <c r="U62" s="4">
        <f t="shared" si="9"/>
        <v>2365.4540170516625</v>
      </c>
      <c r="V62" s="4">
        <f t="shared" si="10"/>
        <v>4264.0421096852333</v>
      </c>
      <c r="W62" s="4">
        <f t="shared" si="11"/>
        <v>1752.8075116365956</v>
      </c>
      <c r="X62" s="4">
        <f t="shared" si="12"/>
        <v>2183.8257522029717</v>
      </c>
      <c r="Y62" s="4">
        <f t="shared" si="13"/>
        <v>3936.633263839567</v>
      </c>
      <c r="Z62" s="10"/>
      <c r="AA62" s="4"/>
      <c r="AB62" s="5"/>
      <c r="AC62" s="4"/>
      <c r="AD62" s="4"/>
      <c r="AE62" s="4"/>
      <c r="AF62" s="4"/>
      <c r="AG62" s="3"/>
      <c r="AK62" s="3"/>
      <c r="AL62" s="3"/>
      <c r="AM62" s="7"/>
      <c r="AN62" s="7"/>
      <c r="AO62" s="7"/>
      <c r="AP62" s="7"/>
      <c r="AQ62" s="7"/>
      <c r="AR62" s="3"/>
      <c r="AS62" s="3"/>
      <c r="AT62" s="7"/>
      <c r="AU62" s="7"/>
      <c r="AV62" s="7"/>
      <c r="AW62" s="9"/>
      <c r="AX62" s="9"/>
      <c r="AY62" s="9"/>
      <c r="AZ62" s="3"/>
      <c r="BA62" s="3"/>
      <c r="BB62" s="3"/>
      <c r="BC62" s="3"/>
      <c r="BD62" s="3"/>
      <c r="BE62" s="3"/>
      <c r="BG62" s="3"/>
      <c r="BH62" s="7"/>
      <c r="BI62" s="3"/>
      <c r="BJ62" s="3"/>
      <c r="BK62" s="3"/>
      <c r="BL62" s="3"/>
    </row>
    <row r="63" spans="1:64" x14ac:dyDescent="0.3">
      <c r="A63">
        <v>16</v>
      </c>
      <c r="B63" s="1" t="s">
        <v>67</v>
      </c>
      <c r="C63" s="1" t="s">
        <v>32</v>
      </c>
      <c r="D63" s="2">
        <v>43403</v>
      </c>
      <c r="E63" s="3">
        <v>13.7</v>
      </c>
      <c r="F63" s="4">
        <f t="shared" si="1"/>
        <v>2954.3750590551181</v>
      </c>
      <c r="G63" s="7">
        <v>9.7100000000000009</v>
      </c>
      <c r="H63" s="7">
        <v>170.82</v>
      </c>
      <c r="I63" s="7">
        <f t="shared" si="29"/>
        <v>161.10999999999999</v>
      </c>
      <c r="J63" s="7">
        <v>149.35</v>
      </c>
      <c r="K63" s="5">
        <f t="shared" si="3"/>
        <v>7.2993606852461008</v>
      </c>
      <c r="L63" s="4">
        <f t="shared" si="4"/>
        <v>2738.7245674997325</v>
      </c>
      <c r="M63" s="2">
        <v>43440</v>
      </c>
      <c r="N63" s="7">
        <v>5.87</v>
      </c>
      <c r="O63" s="7">
        <v>2.46</v>
      </c>
      <c r="P63" s="7">
        <v>4.42</v>
      </c>
      <c r="Q63" s="6">
        <f t="shared" si="5"/>
        <v>0.38875578872389521</v>
      </c>
      <c r="R63" s="6">
        <f t="shared" si="6"/>
        <v>0.48417766413794222</v>
      </c>
      <c r="S63" s="6">
        <f t="shared" si="7"/>
        <v>0.12706654713816251</v>
      </c>
      <c r="T63" s="4">
        <f t="shared" si="8"/>
        <v>1148.5304062691769</v>
      </c>
      <c r="U63" s="4">
        <f t="shared" si="9"/>
        <v>1430.4424150807022</v>
      </c>
      <c r="V63" s="4">
        <f t="shared" si="10"/>
        <v>2578.9728213498793</v>
      </c>
      <c r="W63" s="4">
        <f t="shared" si="11"/>
        <v>1064.6950293358673</v>
      </c>
      <c r="X63" s="4">
        <f t="shared" si="12"/>
        <v>1326.0292638092167</v>
      </c>
      <c r="Y63" s="4">
        <f t="shared" si="13"/>
        <v>2390.7242931450837</v>
      </c>
      <c r="Z63" s="10"/>
      <c r="AA63" s="4"/>
      <c r="AB63" s="5"/>
      <c r="AC63" s="4"/>
      <c r="AD63" s="4"/>
      <c r="AE63" s="4"/>
      <c r="AF63" s="4"/>
      <c r="AG63" s="3"/>
      <c r="AH63" t="s">
        <v>252</v>
      </c>
      <c r="AI63" t="str">
        <f>C63</f>
        <v>Machine</v>
      </c>
      <c r="AJ63" s="8">
        <f>D63</f>
        <v>43403</v>
      </c>
      <c r="AK63" s="3">
        <f>SUM(E63:E65)</f>
        <v>43.7</v>
      </c>
      <c r="AL63" s="3">
        <f>(AK63-3*$A$35)*$A$36/(3*$A$37)*$A$38</f>
        <v>3147.8362139107608</v>
      </c>
      <c r="AM63" s="7">
        <f>SUM(G63:G65)</f>
        <v>28.46</v>
      </c>
      <c r="AN63" s="7">
        <f>SUM(H63:H65)</f>
        <v>451.78999999999996</v>
      </c>
      <c r="AO63" s="7">
        <f>AN63-AM63</f>
        <v>423.33</v>
      </c>
      <c r="AP63" s="7">
        <f>SUM(J63:J65)</f>
        <v>390.43</v>
      </c>
      <c r="AQ63" s="7">
        <f>(AO63-AP63)/AO63*100</f>
        <v>7.7717147379113172</v>
      </c>
      <c r="AR63" s="3">
        <f>AL63*(1-AQ63/100)</f>
        <v>2903.1953629489485</v>
      </c>
      <c r="AS63" s="11">
        <f>M63</f>
        <v>43440</v>
      </c>
      <c r="AT63" s="7">
        <f>SUM(N63:N65)</f>
        <v>18.66</v>
      </c>
      <c r="AU63" s="7">
        <f>SUM(O63:O65)</f>
        <v>7.72</v>
      </c>
      <c r="AV63" s="7">
        <f>SUM(P63:P65)</f>
        <v>13.600000000000001</v>
      </c>
      <c r="AW63" s="9">
        <f>(AU63-3*$A$39)/(AT63-3*$A$35*$A$36)</f>
        <v>0.38497298107626587</v>
      </c>
      <c r="AX63" s="9">
        <f>(AV63-3*$A$40)/(AT63-3*$A$35*$A$36)</f>
        <v>0.47483699106813215</v>
      </c>
      <c r="AY63" s="9">
        <f>1-AW63-AX63</f>
        <v>0.14019002785560197</v>
      </c>
      <c r="AZ63" s="3">
        <f>AL63*AW63</f>
        <v>1211.8318912090517</v>
      </c>
      <c r="BA63" s="3">
        <f>AL63*AX63</f>
        <v>1494.7090761886868</v>
      </c>
      <c r="BB63" s="3">
        <f>AZ63+BA63</f>
        <v>2706.5409673977383</v>
      </c>
      <c r="BC63" s="3">
        <f>AR63*AW63</f>
        <v>1117.6517735212483</v>
      </c>
      <c r="BD63" s="3">
        <f>AR63*AX63</f>
        <v>1378.5445506256326</v>
      </c>
      <c r="BE63" s="3">
        <f>BC63+BD63</f>
        <v>2496.1963241468811</v>
      </c>
      <c r="BF63" s="11">
        <f>Z64</f>
        <v>43451</v>
      </c>
      <c r="BG63" s="3">
        <f>AVERAGE(AA63:AA65)</f>
        <v>49</v>
      </c>
      <c r="BH63" s="7">
        <f t="shared" ref="BH63" si="35">AVERAGE(AB63:AB65)</f>
        <v>1.01</v>
      </c>
      <c r="BI63" s="3">
        <f t="shared" ref="BI63" si="36">AVERAGE(AC63:AC65)</f>
        <v>76.400000000000006</v>
      </c>
      <c r="BJ63" s="3">
        <f t="shared" ref="BJ63" si="37">AVERAGE(AD63:AD65)</f>
        <v>26.7</v>
      </c>
      <c r="BK63" s="3">
        <f t="shared" ref="BK63" si="38">AVERAGE(AE63:AE65)</f>
        <v>6.2</v>
      </c>
      <c r="BL63" s="3">
        <f t="shared" ref="BL63" si="39">AVERAGE(AF63:AF65)</f>
        <v>14.3</v>
      </c>
    </row>
    <row r="64" spans="1:64" x14ac:dyDescent="0.3">
      <c r="A64">
        <v>17</v>
      </c>
      <c r="B64" s="1" t="s">
        <v>68</v>
      </c>
      <c r="C64" s="1" t="s">
        <v>32</v>
      </c>
      <c r="D64" s="2">
        <v>43403</v>
      </c>
      <c r="E64" s="3">
        <v>13.4</v>
      </c>
      <c r="F64" s="4">
        <f t="shared" si="1"/>
        <v>2887.4077362204725</v>
      </c>
      <c r="G64" s="7">
        <v>9</v>
      </c>
      <c r="H64" s="7">
        <v>137.88999999999999</v>
      </c>
      <c r="I64" s="7">
        <f t="shared" si="29"/>
        <v>128.88999999999999</v>
      </c>
      <c r="J64" s="7">
        <v>118.25</v>
      </c>
      <c r="K64" s="5">
        <f t="shared" si="3"/>
        <v>8.2551012491271525</v>
      </c>
      <c r="L64" s="4">
        <f t="shared" si="4"/>
        <v>2649.0493041203422</v>
      </c>
      <c r="M64" s="2">
        <v>43440</v>
      </c>
      <c r="N64" s="7">
        <v>5.71</v>
      </c>
      <c r="O64" s="7">
        <v>2.38</v>
      </c>
      <c r="P64" s="7">
        <v>4.32</v>
      </c>
      <c r="Q64" s="6">
        <f t="shared" si="5"/>
        <v>0.38551905190419755</v>
      </c>
      <c r="R64" s="6">
        <f t="shared" si="6"/>
        <v>0.48008032878635926</v>
      </c>
      <c r="S64" s="6">
        <f t="shared" si="7"/>
        <v>0.13440061930944319</v>
      </c>
      <c r="T64" s="4">
        <f t="shared" si="8"/>
        <v>1113.150692928562</v>
      </c>
      <c r="U64" s="4">
        <f t="shared" si="9"/>
        <v>1386.1876553450018</v>
      </c>
      <c r="V64" s="4">
        <f t="shared" si="10"/>
        <v>2499.3383482735635</v>
      </c>
      <c r="W64" s="4">
        <f t="shared" si="11"/>
        <v>1021.2589761719486</v>
      </c>
      <c r="X64" s="4">
        <f t="shared" si="12"/>
        <v>1271.7564608933701</v>
      </c>
      <c r="Y64" s="4">
        <f t="shared" si="13"/>
        <v>2293.0154370653186</v>
      </c>
      <c r="Z64" s="10">
        <v>43451</v>
      </c>
      <c r="AA64" s="4">
        <v>49</v>
      </c>
      <c r="AB64" s="5">
        <v>1.01</v>
      </c>
      <c r="AC64" s="4">
        <v>76.400000000000006</v>
      </c>
      <c r="AD64" s="4">
        <v>26.7</v>
      </c>
      <c r="AE64" s="4">
        <v>6.2</v>
      </c>
      <c r="AF64" s="4">
        <v>14.3</v>
      </c>
      <c r="AG64" s="3"/>
      <c r="AK64" s="3"/>
      <c r="AL64" s="3"/>
      <c r="AM64" s="7"/>
      <c r="AN64" s="7"/>
      <c r="AO64" s="7"/>
      <c r="AP64" s="7"/>
      <c r="AQ64" s="7"/>
      <c r="AR64" s="3"/>
      <c r="AS64" s="3"/>
      <c r="AT64" s="7"/>
      <c r="AU64" s="7"/>
      <c r="AV64" s="7"/>
      <c r="AW64" s="9"/>
      <c r="AX64" s="9"/>
      <c r="AY64" s="9"/>
      <c r="AZ64" s="3"/>
      <c r="BA64" s="3"/>
      <c r="BB64" s="3"/>
      <c r="BC64" s="3"/>
      <c r="BD64" s="3"/>
      <c r="BE64" s="3"/>
      <c r="BG64" s="3"/>
      <c r="BH64" s="7"/>
      <c r="BI64" s="3"/>
      <c r="BJ64" s="3"/>
      <c r="BK64" s="3"/>
      <c r="BL64" s="3"/>
    </row>
    <row r="65" spans="1:64" x14ac:dyDescent="0.3">
      <c r="A65">
        <v>18</v>
      </c>
      <c r="B65" s="1" t="s">
        <v>69</v>
      </c>
      <c r="C65" s="1" t="s">
        <v>32</v>
      </c>
      <c r="D65" s="2">
        <v>43403</v>
      </c>
      <c r="E65" s="3">
        <v>16.600000000000001</v>
      </c>
      <c r="F65" s="4">
        <f t="shared" si="1"/>
        <v>3601.725846456693</v>
      </c>
      <c r="G65" s="7">
        <v>9.75</v>
      </c>
      <c r="H65" s="7">
        <v>143.08000000000001</v>
      </c>
      <c r="I65" s="7">
        <f t="shared" si="29"/>
        <v>133.33000000000001</v>
      </c>
      <c r="J65" s="7">
        <v>122.83</v>
      </c>
      <c r="K65" s="5">
        <f t="shared" si="3"/>
        <v>7.875196879922008</v>
      </c>
      <c r="L65" s="4">
        <f t="shared" si="4"/>
        <v>3318.0828449731912</v>
      </c>
      <c r="M65" s="2">
        <v>43440</v>
      </c>
      <c r="N65" s="7">
        <v>7.08</v>
      </c>
      <c r="O65" s="7">
        <v>2.88</v>
      </c>
      <c r="P65" s="7">
        <v>4.8600000000000003</v>
      </c>
      <c r="Q65" s="6">
        <f t="shared" si="5"/>
        <v>0.38141936136970617</v>
      </c>
      <c r="R65" s="6">
        <f t="shared" si="6"/>
        <v>0.46294411036475791</v>
      </c>
      <c r="S65" s="6">
        <f t="shared" si="7"/>
        <v>0.15563652826553598</v>
      </c>
      <c r="T65" s="4">
        <f t="shared" si="8"/>
        <v>1373.7679721842762</v>
      </c>
      <c r="U65" s="4">
        <f t="shared" si="9"/>
        <v>1667.3977677656485</v>
      </c>
      <c r="V65" s="4">
        <f t="shared" si="10"/>
        <v>3041.1657399499245</v>
      </c>
      <c r="W65" s="4">
        <f t="shared" si="11"/>
        <v>1265.5810397014523</v>
      </c>
      <c r="X65" s="4">
        <f t="shared" si="12"/>
        <v>1536.0869107826788</v>
      </c>
      <c r="Y65" s="4">
        <f t="shared" si="13"/>
        <v>2801.6679504841313</v>
      </c>
      <c r="Z65" s="10"/>
      <c r="AA65" s="4"/>
      <c r="AB65" s="5"/>
      <c r="AC65" s="4"/>
      <c r="AD65" s="4"/>
      <c r="AE65" s="4"/>
      <c r="AF65" s="4"/>
      <c r="AG65" s="3"/>
      <c r="AK65" s="3"/>
      <c r="AL65" s="3"/>
      <c r="AM65" s="7"/>
      <c r="AN65" s="7"/>
      <c r="AO65" s="7"/>
      <c r="AP65" s="7"/>
      <c r="AQ65" s="7"/>
      <c r="AR65" s="3"/>
      <c r="AS65" s="3"/>
      <c r="AT65" s="7"/>
      <c r="AU65" s="7"/>
      <c r="AV65" s="7"/>
      <c r="AW65" s="9"/>
      <c r="AX65" s="9"/>
      <c r="AY65" s="9"/>
      <c r="AZ65" s="3"/>
      <c r="BA65" s="3"/>
      <c r="BB65" s="3"/>
      <c r="BC65" s="3"/>
      <c r="BD65" s="3"/>
      <c r="BE65" s="3"/>
      <c r="BG65" s="3"/>
      <c r="BH65" s="7"/>
      <c r="BI65" s="3"/>
      <c r="BJ65" s="3"/>
      <c r="BK65" s="3"/>
      <c r="BL65" s="3"/>
    </row>
    <row r="66" spans="1:64" x14ac:dyDescent="0.3">
      <c r="A66">
        <v>19</v>
      </c>
      <c r="B66" s="1" t="s">
        <v>70</v>
      </c>
      <c r="C66" s="1" t="s">
        <v>32</v>
      </c>
      <c r="D66" s="2">
        <v>43403</v>
      </c>
      <c r="E66" s="3">
        <v>19.2</v>
      </c>
      <c r="F66" s="4">
        <f t="shared" si="1"/>
        <v>4182.1093110236216</v>
      </c>
      <c r="G66" s="7">
        <v>9.7200000000000006</v>
      </c>
      <c r="H66" s="7">
        <v>194.09</v>
      </c>
      <c r="I66" s="7">
        <f t="shared" si="29"/>
        <v>184.37</v>
      </c>
      <c r="J66" s="7">
        <v>169.79</v>
      </c>
      <c r="K66" s="5">
        <f t="shared" si="3"/>
        <v>7.9080110647068462</v>
      </c>
      <c r="L66" s="4">
        <f t="shared" si="4"/>
        <v>3851.3876439697383</v>
      </c>
      <c r="M66" s="2">
        <v>43440</v>
      </c>
      <c r="N66" s="7">
        <v>8.2100000000000009</v>
      </c>
      <c r="O66" s="7">
        <v>3.38</v>
      </c>
      <c r="P66" s="7">
        <v>5.5</v>
      </c>
      <c r="Q66" s="6">
        <f t="shared" si="5"/>
        <v>0.3900448688114837</v>
      </c>
      <c r="R66" s="6">
        <f t="shared" si="6"/>
        <v>0.4775549355320089</v>
      </c>
      <c r="S66" s="6">
        <f t="shared" si="7"/>
        <v>0.1324001956565074</v>
      </c>
      <c r="T66" s="4">
        <f t="shared" si="8"/>
        <v>1631.2102775734929</v>
      </c>
      <c r="U66" s="4">
        <f t="shared" si="9"/>
        <v>1997.1869424136996</v>
      </c>
      <c r="V66" s="4">
        <f t="shared" si="10"/>
        <v>3628.3972199871923</v>
      </c>
      <c r="W66" s="4">
        <f t="shared" si="11"/>
        <v>1502.2139883343459</v>
      </c>
      <c r="X66" s="4">
        <f t="shared" si="12"/>
        <v>1839.249178024744</v>
      </c>
      <c r="Y66" s="4">
        <f t="shared" si="13"/>
        <v>3341.4631663590899</v>
      </c>
      <c r="Z66" s="10"/>
      <c r="AA66" s="4"/>
      <c r="AB66" s="5"/>
      <c r="AC66" s="4"/>
      <c r="AD66" s="4"/>
      <c r="AE66" s="4"/>
      <c r="AF66" s="4"/>
      <c r="AG66" s="3"/>
      <c r="AH66" t="s">
        <v>253</v>
      </c>
      <c r="AI66" t="str">
        <f>C66</f>
        <v>Machine</v>
      </c>
      <c r="AJ66" s="8">
        <f>D66</f>
        <v>43403</v>
      </c>
      <c r="AK66" s="3">
        <f>SUM(E66:E68)</f>
        <v>60.7</v>
      </c>
      <c r="AL66" s="3">
        <f>(AK66-3*$A$35)*$A$36/(3*$A$37)*$A$38</f>
        <v>4412.7745341207346</v>
      </c>
      <c r="AM66" s="7">
        <f>SUM(G66:G68)</f>
        <v>28.41</v>
      </c>
      <c r="AN66" s="7">
        <f>SUM(H66:H68)</f>
        <v>510.03999999999996</v>
      </c>
      <c r="AO66" s="7">
        <f>AN66-AM66</f>
        <v>481.62999999999994</v>
      </c>
      <c r="AP66" s="7">
        <f>SUM(J66:J68)</f>
        <v>445.09000000000003</v>
      </c>
      <c r="AQ66" s="7">
        <f>(AO66-AP66)/AO66*100</f>
        <v>7.5867367066004849</v>
      </c>
      <c r="AR66" s="3">
        <f>AL66*(1-AQ66/100)</f>
        <v>4077.9889487610785</v>
      </c>
      <c r="AS66" s="11">
        <f>M66</f>
        <v>43440</v>
      </c>
      <c r="AT66" s="7">
        <f>SUM(N66:N68)</f>
        <v>26.150000000000002</v>
      </c>
      <c r="AU66" s="7">
        <f>SUM(O66:O68)</f>
        <v>10.68</v>
      </c>
      <c r="AV66" s="7">
        <f>SUM(P66:P68)</f>
        <v>17.16</v>
      </c>
      <c r="AW66" s="9">
        <f>(AU66-3*$A$39)/(AT66-3*$A$35*$A$36)</f>
        <v>0.38797300671613877</v>
      </c>
      <c r="AX66" s="9">
        <f>(AV66-3*$A$40)/(AT66-3*$A$35*$A$36)</f>
        <v>0.4749730142827881</v>
      </c>
      <c r="AY66" s="9">
        <f>1-AW66-AX66</f>
        <v>0.13705397900107313</v>
      </c>
      <c r="AZ66" s="3">
        <f>AL66*AW66</f>
        <v>1712.03740396323</v>
      </c>
      <c r="BA66" s="3">
        <f>AL66*AX66</f>
        <v>2095.9488218216511</v>
      </c>
      <c r="BB66" s="3">
        <f>AZ66+BA66</f>
        <v>3807.9862257848808</v>
      </c>
      <c r="BC66" s="3">
        <f>AR66*AW66</f>
        <v>1582.1496338060215</v>
      </c>
      <c r="BD66" s="3">
        <f>AR66*AX66</f>
        <v>1936.9347032049477</v>
      </c>
      <c r="BE66" s="3">
        <f>BC66+BD66</f>
        <v>3519.0843370109692</v>
      </c>
      <c r="BF66" s="11">
        <f>Z67</f>
        <v>43451</v>
      </c>
      <c r="BG66" s="3">
        <f>AVERAGE(AA66:AA68)</f>
        <v>49.900000000000006</v>
      </c>
      <c r="BH66" s="7">
        <f t="shared" ref="BH66" si="40">AVERAGE(AB66:AB68)</f>
        <v>1</v>
      </c>
      <c r="BI66" s="3">
        <f t="shared" ref="BI66" si="41">AVERAGE(AC66:AC68)</f>
        <v>76.5</v>
      </c>
      <c r="BJ66" s="3">
        <f t="shared" ref="BJ66" si="42">AVERAGE(AD66:AD68)</f>
        <v>26.1</v>
      </c>
      <c r="BK66" s="3">
        <f t="shared" ref="BK66" si="43">AVERAGE(AE66:AE68)</f>
        <v>6.3</v>
      </c>
      <c r="BL66" s="3">
        <f t="shared" ref="BL66" si="44">AVERAGE(AF66:AF68)</f>
        <v>14.7</v>
      </c>
    </row>
    <row r="67" spans="1:64" x14ac:dyDescent="0.3">
      <c r="A67">
        <v>20</v>
      </c>
      <c r="B67" s="1" t="s">
        <v>71</v>
      </c>
      <c r="C67" s="1" t="s">
        <v>32</v>
      </c>
      <c r="D67" s="2">
        <v>43403</v>
      </c>
      <c r="E67" s="3">
        <v>20</v>
      </c>
      <c r="F67" s="4">
        <f t="shared" si="1"/>
        <v>4360.6888385826769</v>
      </c>
      <c r="G67" s="7">
        <v>8.99</v>
      </c>
      <c r="H67" s="7">
        <v>146.82</v>
      </c>
      <c r="I67" s="7">
        <f t="shared" si="29"/>
        <v>137.82999999999998</v>
      </c>
      <c r="J67" s="7">
        <v>127.72</v>
      </c>
      <c r="K67" s="5">
        <f t="shared" si="3"/>
        <v>7.3351229775810687</v>
      </c>
      <c r="L67" s="4">
        <f t="shared" si="4"/>
        <v>4040.8269496029861</v>
      </c>
      <c r="M67" s="2">
        <v>43440</v>
      </c>
      <c r="N67" s="7">
        <v>8.64</v>
      </c>
      <c r="O67" s="7">
        <v>3.56</v>
      </c>
      <c r="P67" s="7">
        <v>5.62</v>
      </c>
      <c r="Q67" s="6">
        <f t="shared" si="5"/>
        <v>0.39150181391332239</v>
      </c>
      <c r="R67" s="6">
        <f t="shared" si="6"/>
        <v>0.46742943842984558</v>
      </c>
      <c r="S67" s="6">
        <f t="shared" si="7"/>
        <v>0.14106874765683203</v>
      </c>
      <c r="T67" s="4">
        <f t="shared" si="8"/>
        <v>1707.2175902166971</v>
      </c>
      <c r="U67" s="4">
        <f t="shared" si="9"/>
        <v>2038.3143349859963</v>
      </c>
      <c r="V67" s="4">
        <f t="shared" si="10"/>
        <v>3745.5319252026934</v>
      </c>
      <c r="W67" s="4">
        <f t="shared" si="11"/>
        <v>1581.9910804794065</v>
      </c>
      <c r="X67" s="4">
        <f t="shared" si="12"/>
        <v>1888.8014718451097</v>
      </c>
      <c r="Y67" s="4">
        <f t="shared" si="13"/>
        <v>3470.7925523245162</v>
      </c>
      <c r="Z67" s="10">
        <v>43451</v>
      </c>
      <c r="AA67" s="4">
        <v>49.900000000000006</v>
      </c>
      <c r="AB67" s="5">
        <v>1</v>
      </c>
      <c r="AC67" s="4">
        <v>76.5</v>
      </c>
      <c r="AD67" s="4">
        <v>26.1</v>
      </c>
      <c r="AE67" s="4">
        <v>6.3</v>
      </c>
      <c r="AF67" s="4">
        <v>14.7</v>
      </c>
      <c r="AG67" s="3"/>
      <c r="AK67" s="3"/>
      <c r="AL67" s="3"/>
      <c r="AM67" s="7"/>
      <c r="AN67" s="7"/>
      <c r="AO67" s="7"/>
      <c r="AP67" s="7"/>
      <c r="AQ67" s="7"/>
      <c r="AR67" s="3"/>
      <c r="AS67" s="3"/>
      <c r="AT67" s="7"/>
      <c r="AU67" s="7"/>
      <c r="AV67" s="7"/>
      <c r="AW67" s="9"/>
      <c r="AX67" s="9"/>
      <c r="AY67" s="9"/>
      <c r="AZ67" s="3"/>
      <c r="BA67" s="3"/>
      <c r="BB67" s="3"/>
      <c r="BC67" s="3"/>
      <c r="BD67" s="3"/>
      <c r="BE67" s="3"/>
      <c r="BG67" s="3"/>
      <c r="BH67" s="7"/>
      <c r="BI67" s="3"/>
      <c r="BJ67" s="3"/>
      <c r="BK67" s="3"/>
      <c r="BL67" s="3"/>
    </row>
    <row r="68" spans="1:64" x14ac:dyDescent="0.3">
      <c r="A68">
        <v>21</v>
      </c>
      <c r="B68" s="1" t="s">
        <v>72</v>
      </c>
      <c r="C68" s="1" t="s">
        <v>32</v>
      </c>
      <c r="D68" s="2">
        <v>43403</v>
      </c>
      <c r="E68" s="3">
        <v>21.5</v>
      </c>
      <c r="F68" s="4">
        <f t="shared" si="1"/>
        <v>4695.5254527559064</v>
      </c>
      <c r="G68" s="7">
        <v>9.6999999999999993</v>
      </c>
      <c r="H68" s="7">
        <v>169.13</v>
      </c>
      <c r="I68" s="7">
        <f t="shared" si="29"/>
        <v>159.43</v>
      </c>
      <c r="J68" s="7">
        <v>147.58000000000001</v>
      </c>
      <c r="K68" s="5">
        <f t="shared" si="3"/>
        <v>7.432729097409517</v>
      </c>
      <c r="L68" s="4">
        <f t="shared" si="4"/>
        <v>4346.5197661526481</v>
      </c>
      <c r="M68" s="2">
        <v>43440</v>
      </c>
      <c r="N68" s="7">
        <v>9.3000000000000007</v>
      </c>
      <c r="O68" s="7">
        <v>3.74</v>
      </c>
      <c r="P68" s="7">
        <v>6.04</v>
      </c>
      <c r="Q68" s="6">
        <f t="shared" si="5"/>
        <v>0.38287704665439992</v>
      </c>
      <c r="R68" s="6">
        <f t="shared" si="6"/>
        <v>0.47969652971643206</v>
      </c>
      <c r="S68" s="6">
        <f t="shared" si="7"/>
        <v>0.13742642362916802</v>
      </c>
      <c r="T68" s="4">
        <f t="shared" si="8"/>
        <v>1797.8089178417454</v>
      </c>
      <c r="U68" s="4">
        <f t="shared" si="9"/>
        <v>2252.4272648821866</v>
      </c>
      <c r="V68" s="4">
        <f t="shared" si="10"/>
        <v>4050.236182723932</v>
      </c>
      <c r="W68" s="4">
        <f t="shared" si="11"/>
        <v>1664.1826512894988</v>
      </c>
      <c r="X68" s="4">
        <f t="shared" si="12"/>
        <v>2085.0104481673029</v>
      </c>
      <c r="Y68" s="4">
        <f t="shared" si="13"/>
        <v>3749.193099456802</v>
      </c>
      <c r="Z68" s="10"/>
      <c r="AA68" s="4"/>
      <c r="AB68" s="5"/>
      <c r="AC68" s="4"/>
      <c r="AD68" s="4"/>
      <c r="AE68" s="4"/>
      <c r="AF68" s="4"/>
      <c r="AG68" s="3"/>
      <c r="AK68" s="3"/>
      <c r="AL68" s="3"/>
      <c r="AM68" s="7"/>
      <c r="AN68" s="7"/>
      <c r="AO68" s="7"/>
      <c r="AP68" s="7"/>
      <c r="AQ68" s="7"/>
      <c r="AR68" s="3"/>
      <c r="AS68" s="3"/>
      <c r="AT68" s="7"/>
      <c r="AU68" s="7"/>
      <c r="AV68" s="7"/>
      <c r="AW68" s="9"/>
      <c r="AX68" s="9"/>
      <c r="AY68" s="9"/>
      <c r="AZ68" s="3"/>
      <c r="BA68" s="3"/>
      <c r="BB68" s="3"/>
      <c r="BC68" s="3"/>
      <c r="BD68" s="3"/>
      <c r="BE68" s="3"/>
      <c r="BG68" s="3"/>
      <c r="BH68" s="7"/>
      <c r="BI68" s="3"/>
      <c r="BJ68" s="3"/>
      <c r="BK68" s="3"/>
      <c r="BL68" s="3"/>
    </row>
    <row r="69" spans="1:64" x14ac:dyDescent="0.3">
      <c r="A69">
        <v>22</v>
      </c>
      <c r="B69" s="1" t="s">
        <v>73</v>
      </c>
      <c r="C69" s="1" t="s">
        <v>32</v>
      </c>
      <c r="D69" s="2">
        <v>43403</v>
      </c>
      <c r="E69" s="3">
        <v>25.2</v>
      </c>
      <c r="F69" s="4">
        <f t="shared" si="1"/>
        <v>5521.455767716534</v>
      </c>
      <c r="G69" s="7">
        <v>9.7200000000000006</v>
      </c>
      <c r="H69" s="7">
        <v>177.36</v>
      </c>
      <c r="I69" s="7">
        <f t="shared" si="29"/>
        <v>167.64000000000001</v>
      </c>
      <c r="J69" s="7">
        <v>156.59</v>
      </c>
      <c r="K69" s="5">
        <f t="shared" si="3"/>
        <v>6.5915056072536444</v>
      </c>
      <c r="L69" s="4">
        <f t="shared" si="4"/>
        <v>5157.5087011854685</v>
      </c>
      <c r="M69" s="2">
        <v>43440</v>
      </c>
      <c r="N69" s="7">
        <v>10.94</v>
      </c>
      <c r="O69" s="7">
        <v>4.38</v>
      </c>
      <c r="P69" s="7">
        <v>6.96</v>
      </c>
      <c r="Q69" s="6">
        <f t="shared" si="5"/>
        <v>0.38400311187174219</v>
      </c>
      <c r="R69" s="6">
        <f t="shared" si="6"/>
        <v>0.49212049288417448</v>
      </c>
      <c r="S69" s="6">
        <f t="shared" si="7"/>
        <v>0.12387639524408334</v>
      </c>
      <c r="T69" s="4">
        <f t="shared" si="8"/>
        <v>2120.2561968653285</v>
      </c>
      <c r="U69" s="4">
        <f t="shared" si="9"/>
        <v>2717.2215338468286</v>
      </c>
      <c r="V69" s="4">
        <f t="shared" si="10"/>
        <v>4837.4777307121567</v>
      </c>
      <c r="W69" s="4">
        <f t="shared" si="11"/>
        <v>1980.4993907608073</v>
      </c>
      <c r="X69" s="4">
        <f t="shared" si="12"/>
        <v>2538.1157240818111</v>
      </c>
      <c r="Y69" s="4">
        <f t="shared" si="13"/>
        <v>4518.6151148426179</v>
      </c>
      <c r="Z69" s="10"/>
      <c r="AA69" s="4"/>
      <c r="AB69" s="5"/>
      <c r="AC69" s="4"/>
      <c r="AD69" s="4"/>
      <c r="AE69" s="4"/>
      <c r="AF69" s="4"/>
      <c r="AG69" s="3"/>
      <c r="AH69" t="s">
        <v>254</v>
      </c>
      <c r="AI69" t="str">
        <f>C69</f>
        <v>Machine</v>
      </c>
      <c r="AJ69" s="8">
        <f>D69</f>
        <v>43403</v>
      </c>
      <c r="AK69" s="3">
        <f>SUM(E69:E71)</f>
        <v>53.900000000000006</v>
      </c>
      <c r="AL69" s="3">
        <f>(AK69-3*$A$35)*$A$36/(3*$A$37)*$A$38</f>
        <v>3906.7992060367451</v>
      </c>
      <c r="AM69" s="7">
        <f>SUM(G69:G71)</f>
        <v>28.46</v>
      </c>
      <c r="AN69" s="7">
        <f>SUM(H69:H71)</f>
        <v>526.37</v>
      </c>
      <c r="AO69" s="7">
        <f>AN69-AM69</f>
        <v>497.91</v>
      </c>
      <c r="AP69" s="7">
        <f>SUM(J69:J71)</f>
        <v>463.14</v>
      </c>
      <c r="AQ69" s="7">
        <f>(AO69-AP69)/AO69*100</f>
        <v>6.9831897330842994</v>
      </c>
      <c r="AR69" s="3">
        <f>AL69*(1-AQ69/100)</f>
        <v>3633.9800049885685</v>
      </c>
      <c r="AS69" s="11">
        <f>M69</f>
        <v>43440</v>
      </c>
      <c r="AT69" s="7">
        <f>SUM(N69:N71)</f>
        <v>23.199999999999996</v>
      </c>
      <c r="AU69" s="7">
        <f>SUM(O69:O71)</f>
        <v>9.4400000000000013</v>
      </c>
      <c r="AV69" s="7">
        <f>SUM(P69:P71)</f>
        <v>16.04</v>
      </c>
      <c r="AW69" s="9">
        <f>(AU69-3*$A$39)/(AT69-3*$A$35*$A$36)</f>
        <v>0.38374211123484203</v>
      </c>
      <c r="AX69" s="9">
        <f>(AV69-3*$A$40)/(AT69-3*$A$35*$A$36)</f>
        <v>0.48743224290799786</v>
      </c>
      <c r="AY69" s="9">
        <f>1-AW69-AX69</f>
        <v>0.12882564585716011</v>
      </c>
      <c r="AZ69" s="3">
        <f>AL69*AW69</f>
        <v>1499.2033754951451</v>
      </c>
      <c r="BA69" s="3">
        <f>AL69*AX69</f>
        <v>1904.299899589676</v>
      </c>
      <c r="BB69" s="3">
        <f>AZ69+BA69</f>
        <v>3403.5032750848213</v>
      </c>
      <c r="BC69" s="3">
        <f>AR69*AW69</f>
        <v>1394.5111592995149</v>
      </c>
      <c r="BD69" s="3">
        <f>AR69*AX69</f>
        <v>1771.3190245143951</v>
      </c>
      <c r="BE69" s="3">
        <f>BC69+BD69</f>
        <v>3165.83018381391</v>
      </c>
      <c r="BF69" s="11">
        <f>Z70</f>
        <v>43451</v>
      </c>
      <c r="BG69" s="3">
        <f>AVERAGE(AA69:AA71)</f>
        <v>49.1</v>
      </c>
      <c r="BH69" s="7">
        <f t="shared" ref="BH69" si="45">AVERAGE(AB69:AB71)</f>
        <v>0.99</v>
      </c>
      <c r="BI69" s="3">
        <f t="shared" ref="BI69" si="46">AVERAGE(AC69:AC71)</f>
        <v>76.900000000000006</v>
      </c>
      <c r="BJ69" s="3">
        <f t="shared" ref="BJ69" si="47">AVERAGE(AD69:AD71)</f>
        <v>26.9</v>
      </c>
      <c r="BK69" s="3">
        <f t="shared" ref="BK69" si="48">AVERAGE(AE69:AE71)</f>
        <v>6.2</v>
      </c>
      <c r="BL69" s="3">
        <f t="shared" ref="BL69" si="49">AVERAGE(AF69:AF71)</f>
        <v>14.9</v>
      </c>
    </row>
    <row r="70" spans="1:64" x14ac:dyDescent="0.3">
      <c r="A70">
        <v>23</v>
      </c>
      <c r="B70" s="1" t="s">
        <v>74</v>
      </c>
      <c r="C70" s="1" t="s">
        <v>32</v>
      </c>
      <c r="D70" s="2">
        <v>43403</v>
      </c>
      <c r="E70" s="3">
        <v>15</v>
      </c>
      <c r="F70" s="4">
        <f t="shared" si="1"/>
        <v>3244.5667913385823</v>
      </c>
      <c r="G70" s="7">
        <v>8.98</v>
      </c>
      <c r="H70" s="7">
        <v>152.9</v>
      </c>
      <c r="I70" s="7">
        <f t="shared" si="29"/>
        <v>143.92000000000002</v>
      </c>
      <c r="J70" s="7">
        <v>133.85</v>
      </c>
      <c r="K70" s="5">
        <f t="shared" si="3"/>
        <v>6.9969427459699975</v>
      </c>
      <c r="L70" s="4">
        <f t="shared" si="4"/>
        <v>3017.5463105938657</v>
      </c>
      <c r="M70" s="2">
        <v>43440</v>
      </c>
      <c r="N70" s="7">
        <v>6.43</v>
      </c>
      <c r="O70" s="7">
        <v>2.68</v>
      </c>
      <c r="P70" s="7">
        <v>4.6399999999999997</v>
      </c>
      <c r="Q70" s="6">
        <f t="shared" si="5"/>
        <v>0.389125097113243</v>
      </c>
      <c r="R70" s="6">
        <f t="shared" si="6"/>
        <v>0.47595466423768562</v>
      </c>
      <c r="S70" s="6">
        <f t="shared" si="7"/>
        <v>0.13492023864907143</v>
      </c>
      <c r="T70" s="4">
        <f t="shared" si="8"/>
        <v>1262.5423677700292</v>
      </c>
      <c r="U70" s="4">
        <f t="shared" si="9"/>
        <v>1544.2666977683</v>
      </c>
      <c r="V70" s="4">
        <f t="shared" si="10"/>
        <v>2806.8090655383294</v>
      </c>
      <c r="W70" s="4">
        <f t="shared" si="11"/>
        <v>1174.2030011535462</v>
      </c>
      <c r="X70" s="4">
        <f t="shared" si="12"/>
        <v>1436.2152410803703</v>
      </c>
      <c r="Y70" s="4">
        <f t="shared" si="13"/>
        <v>2610.4182422339163</v>
      </c>
      <c r="Z70" s="10">
        <v>43451</v>
      </c>
      <c r="AA70" s="4">
        <v>49.1</v>
      </c>
      <c r="AB70" s="5">
        <v>0.99</v>
      </c>
      <c r="AC70" s="4">
        <v>76.900000000000006</v>
      </c>
      <c r="AD70" s="4">
        <v>26.9</v>
      </c>
      <c r="AE70" s="4">
        <v>6.2</v>
      </c>
      <c r="AF70" s="4">
        <v>14.9</v>
      </c>
      <c r="AG70" s="3"/>
      <c r="AK70" s="3"/>
      <c r="AL70" s="3"/>
      <c r="AM70" s="7"/>
      <c r="AN70" s="7"/>
      <c r="AO70" s="7"/>
      <c r="AP70" s="7"/>
      <c r="AQ70" s="7"/>
      <c r="AR70" s="3"/>
      <c r="AS70" s="3"/>
      <c r="AT70" s="7"/>
      <c r="AU70" s="7"/>
      <c r="AV70" s="7"/>
      <c r="AW70" s="9"/>
      <c r="AX70" s="9"/>
      <c r="AY70" s="9"/>
      <c r="AZ70" s="3"/>
      <c r="BA70" s="3"/>
      <c r="BB70" s="3"/>
      <c r="BC70" s="3"/>
      <c r="BD70" s="3"/>
      <c r="BE70" s="3"/>
      <c r="BG70" s="3"/>
      <c r="BH70" s="7"/>
      <c r="BI70" s="3"/>
      <c r="BJ70" s="3"/>
      <c r="BK70" s="3"/>
      <c r="BL70" s="3"/>
    </row>
    <row r="71" spans="1:64" x14ac:dyDescent="0.3">
      <c r="A71">
        <v>24</v>
      </c>
      <c r="B71" s="1" t="s">
        <v>75</v>
      </c>
      <c r="C71" s="1" t="s">
        <v>32</v>
      </c>
      <c r="D71" s="2">
        <v>43403</v>
      </c>
      <c r="E71" s="3">
        <v>13.7</v>
      </c>
      <c r="F71" s="4">
        <f t="shared" si="1"/>
        <v>2954.3750590551181</v>
      </c>
      <c r="G71" s="7">
        <v>9.76</v>
      </c>
      <c r="H71" s="7">
        <v>196.11</v>
      </c>
      <c r="I71" s="7">
        <f t="shared" si="29"/>
        <v>186.35000000000002</v>
      </c>
      <c r="J71" s="7">
        <v>172.7</v>
      </c>
      <c r="K71" s="5">
        <f t="shared" si="3"/>
        <v>7.324926214113245</v>
      </c>
      <c r="L71" s="4">
        <f t="shared" si="4"/>
        <v>2737.9692658911658</v>
      </c>
      <c r="M71" s="2">
        <v>43440</v>
      </c>
      <c r="N71" s="7">
        <v>5.83</v>
      </c>
      <c r="O71" s="7">
        <v>2.38</v>
      </c>
      <c r="P71" s="7">
        <v>4.4400000000000004</v>
      </c>
      <c r="Q71" s="6">
        <f t="shared" si="5"/>
        <v>0.37728598020317816</v>
      </c>
      <c r="R71" s="6">
        <f t="shared" si="6"/>
        <v>0.49118363460413772</v>
      </c>
      <c r="S71" s="6">
        <f t="shared" si="7"/>
        <v>0.13153038519268412</v>
      </c>
      <c r="T71" s="4">
        <f t="shared" si="8"/>
        <v>1114.6442900434326</v>
      </c>
      <c r="U71" s="4">
        <f t="shared" si="9"/>
        <v>1451.140679490507</v>
      </c>
      <c r="V71" s="4">
        <f t="shared" si="10"/>
        <v>2565.7849695339396</v>
      </c>
      <c r="W71" s="4">
        <f t="shared" si="11"/>
        <v>1032.9974182479245</v>
      </c>
      <c r="X71" s="4">
        <f t="shared" si="12"/>
        <v>1344.8456954548456</v>
      </c>
      <c r="Y71" s="4">
        <f t="shared" si="13"/>
        <v>2377.8431137027701</v>
      </c>
      <c r="Z71" s="10"/>
      <c r="AA71" s="4"/>
      <c r="AB71" s="5"/>
      <c r="AC71" s="4"/>
      <c r="AD71" s="4"/>
      <c r="AE71" s="4"/>
      <c r="AF71" s="4"/>
      <c r="AK71" s="3"/>
      <c r="AL71" s="3"/>
      <c r="AM71" s="7"/>
      <c r="AN71" s="7"/>
      <c r="AO71" s="7"/>
      <c r="AP71" s="7"/>
      <c r="AQ71" s="7"/>
      <c r="AR71" s="3"/>
      <c r="AS71" s="3"/>
      <c r="AT71" s="7"/>
      <c r="AU71" s="7"/>
      <c r="AV71" s="7"/>
      <c r="AW71" s="9"/>
      <c r="AX71" s="9"/>
      <c r="AY71" s="9"/>
      <c r="AZ71" s="3"/>
      <c r="BA71" s="3"/>
      <c r="BB71" s="3"/>
      <c r="BC71" s="3"/>
      <c r="BD71" s="3"/>
      <c r="BE71" s="3"/>
      <c r="BG71" s="3"/>
      <c r="BH71" s="7"/>
      <c r="BI71" s="3"/>
      <c r="BJ71" s="3"/>
      <c r="BK71" s="3"/>
      <c r="BL71" s="3"/>
    </row>
    <row r="72" spans="1:64" x14ac:dyDescent="0.3">
      <c r="A72">
        <v>25</v>
      </c>
      <c r="B72" s="1" t="s">
        <v>76</v>
      </c>
      <c r="C72" s="1" t="s">
        <v>32</v>
      </c>
      <c r="D72" s="2">
        <v>43403</v>
      </c>
      <c r="E72" s="3">
        <v>16.600000000000001</v>
      </c>
      <c r="F72" s="4">
        <f t="shared" si="1"/>
        <v>3601.725846456693</v>
      </c>
      <c r="G72" s="7">
        <v>9.7200000000000006</v>
      </c>
      <c r="H72" s="7">
        <v>216.26</v>
      </c>
      <c r="I72" s="7">
        <f t="shared" si="2"/>
        <v>206.54</v>
      </c>
      <c r="J72" s="7">
        <v>189.79</v>
      </c>
      <c r="K72" s="5">
        <f t="shared" si="3"/>
        <v>8.1098092379200146</v>
      </c>
      <c r="L72" s="4">
        <f t="shared" si="4"/>
        <v>3309.6327510361953</v>
      </c>
      <c r="M72" s="2">
        <v>43440</v>
      </c>
      <c r="N72" s="7">
        <v>7.14</v>
      </c>
      <c r="O72" s="7">
        <v>2.9</v>
      </c>
      <c r="P72" s="7">
        <v>5.0999999999999996</v>
      </c>
      <c r="Q72" s="6">
        <f t="shared" si="5"/>
        <v>0.38100297682821288</v>
      </c>
      <c r="R72" s="6">
        <f t="shared" si="6"/>
        <v>0.49357203816382128</v>
      </c>
      <c r="S72" s="6">
        <f t="shared" si="7"/>
        <v>0.12542498500796589</v>
      </c>
      <c r="T72" s="4">
        <f t="shared" si="8"/>
        <v>1372.2682692191149</v>
      </c>
      <c r="U72" s="4">
        <f t="shared" si="9"/>
        <v>1777.7111669429444</v>
      </c>
      <c r="V72" s="4">
        <f t="shared" si="10"/>
        <v>3149.9794361620593</v>
      </c>
      <c r="W72" s="4">
        <f t="shared" si="11"/>
        <v>1260.979930352938</v>
      </c>
      <c r="X72" s="4">
        <f t="shared" si="12"/>
        <v>1633.5421825026697</v>
      </c>
      <c r="Y72" s="4">
        <f t="shared" si="13"/>
        <v>2894.5221128556077</v>
      </c>
      <c r="Z72" s="10"/>
      <c r="AA72" s="4"/>
      <c r="AB72" s="5"/>
      <c r="AC72" s="4"/>
      <c r="AD72" s="4"/>
      <c r="AE72" s="4"/>
      <c r="AF72" s="4"/>
      <c r="AH72" t="s">
        <v>255</v>
      </c>
      <c r="AI72" t="str">
        <f>C72</f>
        <v>Machine</v>
      </c>
      <c r="AJ72" s="8">
        <f>D72</f>
        <v>43403</v>
      </c>
      <c r="AK72" s="3">
        <f>SUM(E72:E74)</f>
        <v>45</v>
      </c>
      <c r="AL72" s="3">
        <f>(AK72-3*$A$35)*$A$36/(3*$A$37)*$A$38</f>
        <v>3244.5667913385823</v>
      </c>
      <c r="AM72" s="7">
        <f>SUM(G72:G74)</f>
        <v>28.419999999999998</v>
      </c>
      <c r="AN72" s="7">
        <f>SUM(H72:H74)</f>
        <v>487.37</v>
      </c>
      <c r="AO72" s="7">
        <f>AN72-AM72</f>
        <v>458.95</v>
      </c>
      <c r="AP72" s="7">
        <f>SUM(J72:J74)</f>
        <v>423.5</v>
      </c>
      <c r="AQ72" s="7">
        <f>(AO72-AP72)/AO72*100</f>
        <v>7.7241529578385428</v>
      </c>
      <c r="AR72" s="3">
        <f>AL72*(1-AQ72/100)</f>
        <v>2993.9514895563561</v>
      </c>
      <c r="AS72" s="11">
        <f>M72</f>
        <v>43440</v>
      </c>
      <c r="AT72" s="7">
        <f>SUM(N72:N74)</f>
        <v>19.37</v>
      </c>
      <c r="AU72" s="7">
        <f>SUM(O72:O74)</f>
        <v>7.96</v>
      </c>
      <c r="AV72" s="7">
        <f>SUM(P72:P74)</f>
        <v>14.14</v>
      </c>
      <c r="AW72" s="9">
        <f>(AU72-3*$A$39)/(AT72-3*$A$35*$A$36)</f>
        <v>0.38319412687690746</v>
      </c>
      <c r="AX72" s="9">
        <f>(AV72-3*$A$40)/(AT72-3*$A$35*$A$36)</f>
        <v>0.48566386554037028</v>
      </c>
      <c r="AY72" s="9">
        <f>1-AW72-AX72</f>
        <v>0.13114200758272226</v>
      </c>
      <c r="AZ72" s="3">
        <f>AL72*AW72</f>
        <v>1243.2989387007972</v>
      </c>
      <c r="BA72" s="3">
        <f>AL72*AX72</f>
        <v>1575.7688498854118</v>
      </c>
      <c r="BB72" s="3">
        <f>AZ72+BA72</f>
        <v>2819.0677885862087</v>
      </c>
      <c r="BC72" s="3">
        <f>AR72*AW72</f>
        <v>1147.2646269523643</v>
      </c>
      <c r="BD72" s="3">
        <f>AR72*AX72</f>
        <v>1454.0540536582894</v>
      </c>
      <c r="BE72" s="3">
        <f>BC72+BD72</f>
        <v>2601.3186806106537</v>
      </c>
      <c r="BF72" s="11">
        <f>Z73</f>
        <v>43451</v>
      </c>
      <c r="BG72" s="3">
        <f>AVERAGE(AA72:AA74)</f>
        <v>52.199999999999996</v>
      </c>
      <c r="BH72" s="7">
        <f t="shared" ref="BH72" si="50">AVERAGE(AB72:AB74)</f>
        <v>0.96</v>
      </c>
      <c r="BI72" s="3">
        <f t="shared" ref="BI72" si="51">AVERAGE(AC72:AC74)</f>
        <v>76.400000000000006</v>
      </c>
      <c r="BJ72" s="3">
        <f t="shared" ref="BJ72" si="52">AVERAGE(AD72:AD74)</f>
        <v>24.2</v>
      </c>
      <c r="BK72" s="3">
        <f t="shared" ref="BK72" si="53">AVERAGE(AE72:AE74)</f>
        <v>6.7</v>
      </c>
      <c r="BL72" s="3">
        <f t="shared" ref="BL72" si="54">AVERAGE(AF72:AF74)</f>
        <v>14.7</v>
      </c>
    </row>
    <row r="73" spans="1:64" x14ac:dyDescent="0.3">
      <c r="A73">
        <v>26</v>
      </c>
      <c r="B73" s="1" t="s">
        <v>77</v>
      </c>
      <c r="C73" s="1" t="s">
        <v>32</v>
      </c>
      <c r="D73" s="2">
        <v>43403</v>
      </c>
      <c r="E73" s="3">
        <v>13.7</v>
      </c>
      <c r="F73" s="4">
        <f t="shared" si="1"/>
        <v>2954.3750590551181</v>
      </c>
      <c r="G73" s="7">
        <v>9</v>
      </c>
      <c r="H73" s="7">
        <v>134.12</v>
      </c>
      <c r="I73" s="7">
        <f t="shared" si="2"/>
        <v>125.12</v>
      </c>
      <c r="J73" s="7">
        <v>115.97</v>
      </c>
      <c r="K73" s="5">
        <f t="shared" si="3"/>
        <v>7.3129795396419475</v>
      </c>
      <c r="L73" s="4">
        <f t="shared" si="4"/>
        <v>2738.3222154621326</v>
      </c>
      <c r="M73" s="2">
        <v>43440</v>
      </c>
      <c r="N73" s="7">
        <v>5.86</v>
      </c>
      <c r="O73" s="7">
        <v>2.44</v>
      </c>
      <c r="P73" s="7">
        <v>4.38</v>
      </c>
      <c r="Q73" s="6">
        <f t="shared" si="5"/>
        <v>0.38590356448359692</v>
      </c>
      <c r="R73" s="6">
        <f t="shared" si="6"/>
        <v>0.47795395601179441</v>
      </c>
      <c r="S73" s="6">
        <f t="shared" si="7"/>
        <v>0.13614247950460873</v>
      </c>
      <c r="T73" s="4">
        <f t="shared" si="8"/>
        <v>1140.1038661108073</v>
      </c>
      <c r="U73" s="4">
        <f t="shared" si="9"/>
        <v>1412.0552470179725</v>
      </c>
      <c r="V73" s="4">
        <f t="shared" si="10"/>
        <v>2552.1591131287796</v>
      </c>
      <c r="W73" s="4">
        <f t="shared" si="11"/>
        <v>1056.7283036514571</v>
      </c>
      <c r="X73" s="4">
        <f t="shared" si="12"/>
        <v>1308.7919357151075</v>
      </c>
      <c r="Y73" s="4">
        <f t="shared" si="13"/>
        <v>2365.5202393665645</v>
      </c>
      <c r="Z73" s="10">
        <v>43451</v>
      </c>
      <c r="AA73" s="4">
        <v>52.199999999999996</v>
      </c>
      <c r="AB73" s="5">
        <v>0.96</v>
      </c>
      <c r="AC73" s="4">
        <v>76.400000000000006</v>
      </c>
      <c r="AD73" s="4">
        <v>24.2</v>
      </c>
      <c r="AE73" s="4">
        <v>6.7</v>
      </c>
      <c r="AF73" s="4">
        <v>14.7</v>
      </c>
      <c r="AK73" s="3"/>
      <c r="AL73" s="3"/>
      <c r="AM73" s="7"/>
      <c r="AN73" s="7"/>
      <c r="AO73" s="7"/>
      <c r="AP73" s="7"/>
      <c r="AQ73" s="7"/>
      <c r="AR73" s="3"/>
      <c r="AS73" s="3"/>
      <c r="AT73" s="7"/>
      <c r="AU73" s="7"/>
      <c r="AV73" s="7"/>
      <c r="AW73" s="9"/>
      <c r="AX73" s="9"/>
      <c r="AY73" s="9"/>
      <c r="AZ73" s="3"/>
      <c r="BA73" s="3"/>
      <c r="BB73" s="3"/>
      <c r="BC73" s="3"/>
      <c r="BD73" s="3"/>
      <c r="BE73" s="3"/>
      <c r="BG73" s="3"/>
      <c r="BH73" s="7"/>
      <c r="BI73" s="3"/>
      <c r="BJ73" s="3"/>
      <c r="BK73" s="3"/>
      <c r="BL73" s="3"/>
    </row>
    <row r="74" spans="1:64" x14ac:dyDescent="0.3">
      <c r="A74">
        <v>27</v>
      </c>
      <c r="B74" s="1" t="s">
        <v>78</v>
      </c>
      <c r="C74" s="1" t="s">
        <v>32</v>
      </c>
      <c r="D74" s="2">
        <v>43403</v>
      </c>
      <c r="E74" s="3">
        <v>14.7</v>
      </c>
      <c r="F74" s="4">
        <f t="shared" si="1"/>
        <v>3177.5994685039368</v>
      </c>
      <c r="G74" s="7">
        <v>9.6999999999999993</v>
      </c>
      <c r="H74" s="7">
        <v>136.99</v>
      </c>
      <c r="I74" s="7">
        <f t="shared" si="2"/>
        <v>127.29</v>
      </c>
      <c r="J74" s="7">
        <v>117.74</v>
      </c>
      <c r="K74" s="5">
        <f t="shared" si="3"/>
        <v>7.5025532249194837</v>
      </c>
      <c r="L74" s="4">
        <f t="shared" si="4"/>
        <v>2939.1983771046703</v>
      </c>
      <c r="M74" s="2">
        <v>43440</v>
      </c>
      <c r="N74" s="7">
        <v>6.37</v>
      </c>
      <c r="O74" s="7">
        <v>2.62</v>
      </c>
      <c r="P74" s="7">
        <v>4.66</v>
      </c>
      <c r="Q74" s="6">
        <f t="shared" si="5"/>
        <v>0.38317412783869603</v>
      </c>
      <c r="R74" s="6">
        <f t="shared" si="6"/>
        <v>0.4838385173556416</v>
      </c>
      <c r="S74" s="6">
        <f t="shared" si="7"/>
        <v>0.13298735480566243</v>
      </c>
      <c r="T74" s="4">
        <f t="shared" si="8"/>
        <v>1217.5739049647</v>
      </c>
      <c r="U74" s="4">
        <f t="shared" si="9"/>
        <v>1537.4450155910195</v>
      </c>
      <c r="V74" s="4">
        <f t="shared" si="10"/>
        <v>2755.0189205557194</v>
      </c>
      <c r="W74" s="4">
        <f t="shared" si="11"/>
        <v>1126.2247746919929</v>
      </c>
      <c r="X74" s="4">
        <f t="shared" si="12"/>
        <v>1422.0973849924317</v>
      </c>
      <c r="Y74" s="4">
        <f t="shared" si="13"/>
        <v>2548.3221596844246</v>
      </c>
      <c r="Z74" s="10"/>
      <c r="AA74" s="4"/>
      <c r="AB74" s="5"/>
      <c r="AC74" s="4"/>
      <c r="AD74" s="4"/>
      <c r="AE74" s="4"/>
      <c r="AF74" s="4"/>
      <c r="AK74" s="3"/>
      <c r="AL74" s="3"/>
      <c r="AM74" s="7"/>
      <c r="AN74" s="7"/>
      <c r="AO74" s="7"/>
      <c r="AP74" s="7"/>
      <c r="AQ74" s="7"/>
      <c r="AR74" s="3"/>
      <c r="AS74" s="3"/>
      <c r="AT74" s="7"/>
      <c r="AU74" s="7"/>
      <c r="AV74" s="7"/>
      <c r="AW74" s="9"/>
      <c r="AX74" s="9"/>
      <c r="AY74" s="9"/>
      <c r="AZ74" s="3"/>
      <c r="BA74" s="3"/>
      <c r="BB74" s="3"/>
      <c r="BC74" s="3"/>
      <c r="BD74" s="3"/>
      <c r="BE74" s="3"/>
      <c r="BG74" s="3"/>
      <c r="BH74" s="7"/>
      <c r="BI74" s="3"/>
      <c r="BJ74" s="3"/>
      <c r="BK74" s="3"/>
      <c r="BL74" s="3"/>
    </row>
    <row r="75" spans="1:64" x14ac:dyDescent="0.3">
      <c r="A75">
        <v>28</v>
      </c>
      <c r="B75" s="1" t="s">
        <v>79</v>
      </c>
      <c r="C75" s="1" t="s">
        <v>32</v>
      </c>
      <c r="D75" s="2">
        <v>43403</v>
      </c>
      <c r="E75" s="3">
        <v>18.2</v>
      </c>
      <c r="F75" s="4">
        <f t="shared" si="1"/>
        <v>3958.8849015748028</v>
      </c>
      <c r="G75" s="7">
        <v>9.7200000000000006</v>
      </c>
      <c r="H75" s="7">
        <v>168.09</v>
      </c>
      <c r="I75" s="7">
        <f t="shared" si="2"/>
        <v>158.37</v>
      </c>
      <c r="J75" s="7">
        <v>145.08000000000001</v>
      </c>
      <c r="K75" s="5">
        <f t="shared" si="3"/>
        <v>8.3917408600113603</v>
      </c>
      <c r="L75" s="4">
        <f t="shared" si="4"/>
        <v>3626.6655396885299</v>
      </c>
      <c r="M75" s="2">
        <v>43440</v>
      </c>
      <c r="N75" s="7">
        <v>7.8</v>
      </c>
      <c r="O75" s="7">
        <v>3.24</v>
      </c>
      <c r="P75" s="7">
        <v>5.3</v>
      </c>
      <c r="Q75" s="6">
        <f t="shared" si="5"/>
        <v>0.39266948166937959</v>
      </c>
      <c r="R75" s="6">
        <f t="shared" si="6"/>
        <v>0.47700118243058859</v>
      </c>
      <c r="S75" s="6">
        <f t="shared" si="7"/>
        <v>0.13032933590003176</v>
      </c>
      <c r="T75" s="4">
        <f t="shared" si="8"/>
        <v>1554.5332822901107</v>
      </c>
      <c r="U75" s="4">
        <f t="shared" si="9"/>
        <v>1888.3927791577853</v>
      </c>
      <c r="V75" s="4">
        <f t="shared" si="10"/>
        <v>3442.9260614478962</v>
      </c>
      <c r="W75" s="4">
        <f t="shared" si="11"/>
        <v>1424.0808776576957</v>
      </c>
      <c r="X75" s="4">
        <f t="shared" si="12"/>
        <v>1729.9237507116975</v>
      </c>
      <c r="Y75" s="4">
        <f t="shared" si="13"/>
        <v>3154.0046283693932</v>
      </c>
      <c r="Z75" s="10"/>
      <c r="AA75" s="4"/>
      <c r="AB75" s="5"/>
      <c r="AC75" s="4"/>
      <c r="AD75" s="4"/>
      <c r="AE75" s="4"/>
      <c r="AF75" s="4"/>
      <c r="AH75" t="s">
        <v>256</v>
      </c>
      <c r="AI75" t="str">
        <f>C75</f>
        <v>Machine</v>
      </c>
      <c r="AJ75" s="8">
        <f>D75</f>
        <v>43403</v>
      </c>
      <c r="AK75" s="3">
        <f>SUM(E75:E77)</f>
        <v>60.8</v>
      </c>
      <c r="AL75" s="3">
        <f>(AK75-3*$A$35)*$A$36/(3*$A$37)*$A$38</f>
        <v>4420.215347769029</v>
      </c>
      <c r="AM75" s="7">
        <f>SUM(G75:G77)</f>
        <v>28.43</v>
      </c>
      <c r="AN75" s="7">
        <f>SUM(H75:H77)</f>
        <v>524.76</v>
      </c>
      <c r="AO75" s="7">
        <f>AN75-AM75</f>
        <v>496.33</v>
      </c>
      <c r="AP75" s="7">
        <f>SUM(J75:J77)</f>
        <v>456.19</v>
      </c>
      <c r="AQ75" s="7">
        <f>(AO75-AP75)/AO75*100</f>
        <v>8.0873612314387575</v>
      </c>
      <c r="AR75" s="3">
        <f>AL75*(1-AQ75/100)</f>
        <v>4062.7365653874504</v>
      </c>
      <c r="AS75" s="11">
        <f>M75</f>
        <v>43440</v>
      </c>
      <c r="AT75" s="7">
        <f>SUM(N75:N77)</f>
        <v>26.130000000000003</v>
      </c>
      <c r="AU75" s="7">
        <f>SUM(O75:O77)</f>
        <v>10.66</v>
      </c>
      <c r="AV75" s="7">
        <f>SUM(P75:P77)</f>
        <v>17.12</v>
      </c>
      <c r="AW75" s="9">
        <f>(AU75-3*$A$39)/(AT75-3*$A$35*$A$36)</f>
        <v>0.3874929335682632</v>
      </c>
      <c r="AX75" s="9">
        <f>(AV75-3*$A$40)/(AT75-3*$A$35*$A$36)</f>
        <v>0.47377678517253241</v>
      </c>
      <c r="AY75" s="9">
        <f>1-AW75-AX75</f>
        <v>0.13873028125920439</v>
      </c>
      <c r="AZ75" s="3">
        <f>AL75*AW75</f>
        <v>1712.8022121104818</v>
      </c>
      <c r="BA75" s="3">
        <f>AL75*AX75</f>
        <v>2094.195417236298</v>
      </c>
      <c r="BB75" s="3">
        <f>AZ75+BA75</f>
        <v>3806.9976293467798</v>
      </c>
      <c r="BC75" s="3">
        <f>AR75*AW75</f>
        <v>1574.281710037033</v>
      </c>
      <c r="BD75" s="3">
        <f>AR75*AX75</f>
        <v>1924.8302689521622</v>
      </c>
      <c r="BE75" s="3">
        <f>BC75+BD75</f>
        <v>3499.1119789891954</v>
      </c>
      <c r="BF75" s="11">
        <f>Z76</f>
        <v>43451</v>
      </c>
      <c r="BG75" s="3">
        <f>AVERAGE(AA75:AA77)</f>
        <v>52.199999999999996</v>
      </c>
      <c r="BH75" s="7">
        <f t="shared" ref="BH75" si="55">AVERAGE(AB75:AB77)</f>
        <v>1</v>
      </c>
      <c r="BI75" s="3">
        <f t="shared" ref="BI75" si="56">AVERAGE(AC75:AC77)</f>
        <v>76.2</v>
      </c>
      <c r="BJ75" s="3">
        <f t="shared" ref="BJ75" si="57">AVERAGE(AD75:AD77)</f>
        <v>25.2</v>
      </c>
      <c r="BK75" s="3">
        <f t="shared" ref="BK75" si="58">AVERAGE(AE75:AE77)</f>
        <v>6.7</v>
      </c>
      <c r="BL75" s="3">
        <f t="shared" ref="BL75" si="59">AVERAGE(AF75:AF77)</f>
        <v>15.1</v>
      </c>
    </row>
    <row r="76" spans="1:64" x14ac:dyDescent="0.3">
      <c r="A76">
        <v>29</v>
      </c>
      <c r="B76" s="1" t="s">
        <v>80</v>
      </c>
      <c r="C76" s="1" t="s">
        <v>32</v>
      </c>
      <c r="D76" s="2">
        <v>43403</v>
      </c>
      <c r="E76" s="3">
        <v>21.1</v>
      </c>
      <c r="F76" s="4">
        <f t="shared" si="1"/>
        <v>4606.2356889763787</v>
      </c>
      <c r="G76" s="7">
        <v>9</v>
      </c>
      <c r="H76" s="7">
        <v>175.69</v>
      </c>
      <c r="I76" s="7">
        <f t="shared" si="2"/>
        <v>166.69</v>
      </c>
      <c r="J76" s="7">
        <v>153.16</v>
      </c>
      <c r="K76" s="5">
        <f t="shared" si="3"/>
        <v>8.1168636390905284</v>
      </c>
      <c r="L76" s="4">
        <f t="shared" si="4"/>
        <v>4232.3538192070437</v>
      </c>
      <c r="M76" s="2">
        <v>43440</v>
      </c>
      <c r="N76" s="7">
        <v>9.09</v>
      </c>
      <c r="O76" s="7">
        <v>3.72</v>
      </c>
      <c r="P76" s="7">
        <v>5.86</v>
      </c>
      <c r="Q76" s="6">
        <f t="shared" si="5"/>
        <v>0.38968002418160513</v>
      </c>
      <c r="R76" s="6">
        <f t="shared" si="6"/>
        <v>0.47076950898240166</v>
      </c>
      <c r="S76" s="6">
        <f t="shared" si="7"/>
        <v>0.13955046683599315</v>
      </c>
      <c r="T76" s="4">
        <f t="shared" si="8"/>
        <v>1794.9580346664879</v>
      </c>
      <c r="U76" s="4">
        <f t="shared" si="9"/>
        <v>2168.4753135566243</v>
      </c>
      <c r="V76" s="4">
        <f t="shared" si="10"/>
        <v>3963.4333482231123</v>
      </c>
      <c r="W76" s="4">
        <f t="shared" si="11"/>
        <v>1649.2637386137096</v>
      </c>
      <c r="X76" s="4">
        <f t="shared" si="12"/>
        <v>1992.4631293078924</v>
      </c>
      <c r="Y76" s="4">
        <f t="shared" si="13"/>
        <v>3641.7268679216022</v>
      </c>
      <c r="Z76" s="10">
        <v>43451</v>
      </c>
      <c r="AA76" s="4">
        <v>52.199999999999996</v>
      </c>
      <c r="AB76" s="5">
        <v>1</v>
      </c>
      <c r="AC76" s="4">
        <v>76.2</v>
      </c>
      <c r="AD76" s="4">
        <v>25.2</v>
      </c>
      <c r="AE76" s="4">
        <v>6.7</v>
      </c>
      <c r="AF76" s="4">
        <v>15.1</v>
      </c>
      <c r="AK76" s="3"/>
      <c r="AL76" s="3"/>
      <c r="AM76" s="7"/>
      <c r="AN76" s="7"/>
      <c r="AO76" s="7"/>
      <c r="AP76" s="7"/>
      <c r="AQ76" s="7"/>
      <c r="AR76" s="3"/>
      <c r="AS76" s="3"/>
      <c r="AT76" s="7"/>
      <c r="AU76" s="7"/>
      <c r="AV76" s="7"/>
      <c r="AW76" s="9"/>
      <c r="AX76" s="9"/>
      <c r="AY76" s="9"/>
      <c r="AZ76" s="3"/>
      <c r="BA76" s="3"/>
      <c r="BB76" s="3"/>
      <c r="BC76" s="3"/>
      <c r="BD76" s="3"/>
      <c r="BE76" s="3"/>
      <c r="BG76" s="3"/>
      <c r="BH76" s="7"/>
      <c r="BI76" s="3"/>
      <c r="BJ76" s="3"/>
      <c r="BK76" s="3"/>
      <c r="BL76" s="3"/>
    </row>
    <row r="77" spans="1:64" x14ac:dyDescent="0.3">
      <c r="A77">
        <v>30</v>
      </c>
      <c r="B77" s="1" t="s">
        <v>81</v>
      </c>
      <c r="C77" s="1" t="s">
        <v>32</v>
      </c>
      <c r="D77" s="2">
        <v>43403</v>
      </c>
      <c r="E77" s="3">
        <v>21.5</v>
      </c>
      <c r="F77" s="4">
        <f t="shared" si="1"/>
        <v>4695.5254527559064</v>
      </c>
      <c r="G77" s="7">
        <v>9.7100000000000009</v>
      </c>
      <c r="H77" s="7">
        <v>180.98</v>
      </c>
      <c r="I77" s="7">
        <f t="shared" si="2"/>
        <v>171.26999999999998</v>
      </c>
      <c r="J77" s="7">
        <v>157.94999999999999</v>
      </c>
      <c r="K77" s="5">
        <f t="shared" si="3"/>
        <v>7.7771939043615319</v>
      </c>
      <c r="L77" s="4">
        <f t="shared" si="4"/>
        <v>4330.34533346643</v>
      </c>
      <c r="M77" s="2">
        <v>43440</v>
      </c>
      <c r="N77" s="7">
        <v>9.24</v>
      </c>
      <c r="O77" s="7">
        <v>3.7</v>
      </c>
      <c r="P77" s="7">
        <v>5.96</v>
      </c>
      <c r="Q77" s="6">
        <f t="shared" si="5"/>
        <v>0.38099120914617424</v>
      </c>
      <c r="R77" s="6">
        <f t="shared" si="6"/>
        <v>0.47402394626326327</v>
      </c>
      <c r="S77" s="6">
        <f t="shared" si="7"/>
        <v>0.14498484459056249</v>
      </c>
      <c r="T77" s="4">
        <f t="shared" si="8"/>
        <v>1788.95391982211</v>
      </c>
      <c r="U77" s="4">
        <f t="shared" si="9"/>
        <v>2225.7915048949508</v>
      </c>
      <c r="V77" s="4">
        <f t="shared" si="10"/>
        <v>4014.7454247170608</v>
      </c>
      <c r="W77" s="4">
        <f t="shared" si="11"/>
        <v>1649.8235046178684</v>
      </c>
      <c r="X77" s="4">
        <f t="shared" si="12"/>
        <v>2052.6873836524637</v>
      </c>
      <c r="Y77" s="4">
        <f t="shared" si="13"/>
        <v>3702.5108882703321</v>
      </c>
      <c r="Z77" s="10"/>
      <c r="AA77" s="4"/>
      <c r="AB77" s="5"/>
      <c r="AC77" s="4"/>
      <c r="AD77" s="4"/>
      <c r="AE77" s="4"/>
      <c r="AF77" s="4"/>
      <c r="AK77" s="3"/>
      <c r="AL77" s="3"/>
      <c r="AM77" s="7"/>
      <c r="AN77" s="7"/>
      <c r="AO77" s="7"/>
      <c r="AP77" s="7"/>
      <c r="AQ77" s="7"/>
      <c r="AR77" s="3"/>
      <c r="AS77" s="3"/>
      <c r="AT77" s="7"/>
      <c r="AU77" s="7"/>
      <c r="AV77" s="7"/>
      <c r="AW77" s="9"/>
      <c r="AX77" s="9"/>
      <c r="AY77" s="9"/>
      <c r="AZ77" s="3"/>
      <c r="BA77" s="3"/>
      <c r="BB77" s="3"/>
      <c r="BC77" s="3"/>
      <c r="BD77" s="3"/>
      <c r="BE77" s="3"/>
      <c r="BG77" s="3"/>
      <c r="BH77" s="7"/>
      <c r="BI77" s="3"/>
      <c r="BJ77" s="3"/>
      <c r="BK77" s="3"/>
      <c r="BL77" s="3"/>
    </row>
    <row r="78" spans="1:64" x14ac:dyDescent="0.3">
      <c r="A78">
        <v>31</v>
      </c>
      <c r="B78" s="1" t="s">
        <v>82</v>
      </c>
      <c r="C78" s="1" t="s">
        <v>32</v>
      </c>
      <c r="D78" s="2">
        <v>43403</v>
      </c>
      <c r="E78" s="3">
        <v>14.6</v>
      </c>
      <c r="F78" s="4">
        <f t="shared" si="1"/>
        <v>3155.2770275590547</v>
      </c>
      <c r="G78" s="7">
        <v>9.6999999999999993</v>
      </c>
      <c r="H78" s="7">
        <v>131.26</v>
      </c>
      <c r="I78" s="7">
        <f t="shared" si="2"/>
        <v>121.55999999999999</v>
      </c>
      <c r="J78" s="7">
        <v>112.33</v>
      </c>
      <c r="K78" s="5">
        <f t="shared" si="3"/>
        <v>7.5929582099374713</v>
      </c>
      <c r="L78" s="4">
        <f t="shared" si="4"/>
        <v>2915.6981614487386</v>
      </c>
      <c r="M78" s="2">
        <v>43440</v>
      </c>
      <c r="N78" s="7">
        <v>6.23</v>
      </c>
      <c r="O78" s="7">
        <v>2.62</v>
      </c>
      <c r="P78" s="7">
        <v>4.5199999999999996</v>
      </c>
      <c r="Q78" s="6">
        <f t="shared" si="5"/>
        <v>0.39208651650820803</v>
      </c>
      <c r="R78" s="6">
        <f t="shared" si="6"/>
        <v>0.47183292664547055</v>
      </c>
      <c r="S78" s="6">
        <f t="shared" si="7"/>
        <v>0.13608055684632142</v>
      </c>
      <c r="T78" s="4">
        <f t="shared" si="8"/>
        <v>1237.1415783540028</v>
      </c>
      <c r="U78" s="4">
        <f t="shared" si="9"/>
        <v>1488.7635942904099</v>
      </c>
      <c r="V78" s="4">
        <f t="shared" si="10"/>
        <v>2725.9051726444127</v>
      </c>
      <c r="W78" s="4">
        <f t="shared" si="11"/>
        <v>1143.2059353118227</v>
      </c>
      <c r="X78" s="4">
        <f t="shared" si="12"/>
        <v>1375.7223967311761</v>
      </c>
      <c r="Y78" s="4">
        <f t="shared" si="13"/>
        <v>2518.9283320429986</v>
      </c>
      <c r="Z78" s="10"/>
      <c r="AA78" s="4"/>
      <c r="AB78" s="5"/>
      <c r="AC78" s="4"/>
      <c r="AD78" s="4"/>
      <c r="AE78" s="4"/>
      <c r="AF78" s="4"/>
      <c r="AH78" t="s">
        <v>248</v>
      </c>
      <c r="AI78" t="str">
        <f>C78</f>
        <v>Machine</v>
      </c>
      <c r="AJ78" s="8">
        <f>D78</f>
        <v>43403</v>
      </c>
      <c r="AK78" s="3">
        <f>SUM(E78:E80)</f>
        <v>39.9</v>
      </c>
      <c r="AL78" s="3">
        <f>(AK78-3*$A$35)*$A$36/(3*$A$37)*$A$38</f>
        <v>2865.0852952755899</v>
      </c>
      <c r="AM78" s="7">
        <f>SUM(G78:G80)</f>
        <v>28.449999999999996</v>
      </c>
      <c r="AN78" s="7">
        <f>SUM(H78:H80)</f>
        <v>413.46000000000004</v>
      </c>
      <c r="AO78" s="7">
        <f>AN78-AM78</f>
        <v>385.01000000000005</v>
      </c>
      <c r="AP78" s="7">
        <f>SUM(J78:J80)</f>
        <v>355.24</v>
      </c>
      <c r="AQ78" s="7">
        <f>(AO78-AP78)/AO78*100</f>
        <v>7.7322666943715843</v>
      </c>
      <c r="AR78" s="3">
        <f>AL78*(1-AQ78/100)</f>
        <v>2643.5492592236578</v>
      </c>
      <c r="AS78" s="11">
        <f>M78</f>
        <v>43440</v>
      </c>
      <c r="AT78" s="7">
        <f>SUM(N78:N80)</f>
        <v>16.5</v>
      </c>
      <c r="AU78" s="7">
        <f>SUM(O78:O80)</f>
        <v>6.98</v>
      </c>
      <c r="AV78" s="7">
        <f>SUM(P78:P80)</f>
        <v>12.48</v>
      </c>
      <c r="AW78" s="9">
        <f>(AU78-3*$A$39)/(AT78-3*$A$35*$A$36)</f>
        <v>0.3907422039512512</v>
      </c>
      <c r="AX78" s="9">
        <f>(AV78-3*$A$40)/(AT78-3*$A$35*$A$36)</f>
        <v>0.46889064474150149</v>
      </c>
      <c r="AY78" s="9">
        <f>1-AW78-AX78</f>
        <v>0.14036715130724736</v>
      </c>
      <c r="AZ78" s="3">
        <f>AL78*AW78</f>
        <v>1119.5097427843052</v>
      </c>
      <c r="BA78" s="3">
        <f>AL78*AX78</f>
        <v>1343.4116913411665</v>
      </c>
      <c r="BB78" s="3">
        <f>AZ78+BA78</f>
        <v>2462.9214341254719</v>
      </c>
      <c r="BC78" s="3">
        <f>AR78*AW78</f>
        <v>1032.9462638027496</v>
      </c>
      <c r="BD78" s="3">
        <f>AR78*AX78</f>
        <v>1239.5355165632996</v>
      </c>
      <c r="BE78" s="3">
        <f>BC78+BD78</f>
        <v>2272.481780366049</v>
      </c>
      <c r="BF78" s="11">
        <f>Z79</f>
        <v>43451</v>
      </c>
      <c r="BG78" s="3">
        <f>AVERAGE(AA78:AA80)</f>
        <v>49.800000000000004</v>
      </c>
      <c r="BH78" s="7">
        <f t="shared" ref="BH78" si="60">AVERAGE(AB78:AB80)</f>
        <v>1</v>
      </c>
      <c r="BI78" s="3">
        <f t="shared" ref="BI78" si="61">AVERAGE(AC78:AC80)</f>
        <v>78.599999999999994</v>
      </c>
      <c r="BJ78" s="3">
        <f t="shared" ref="BJ78" si="62">AVERAGE(AD78:AD80)</f>
        <v>26.6</v>
      </c>
      <c r="BK78" s="3">
        <f t="shared" ref="BK78" si="63">AVERAGE(AE78:AE80)</f>
        <v>6.1</v>
      </c>
      <c r="BL78" s="3">
        <f t="shared" ref="BL78" si="64">AVERAGE(AF78:AF80)</f>
        <v>12.8</v>
      </c>
    </row>
    <row r="79" spans="1:64" x14ac:dyDescent="0.3">
      <c r="A79">
        <v>32</v>
      </c>
      <c r="B79" s="1" t="s">
        <v>83</v>
      </c>
      <c r="C79" s="1" t="s">
        <v>32</v>
      </c>
      <c r="D79" s="2">
        <v>43403</v>
      </c>
      <c r="E79" s="3">
        <v>12.9</v>
      </c>
      <c r="F79" s="4">
        <f t="shared" si="1"/>
        <v>2775.7955314960632</v>
      </c>
      <c r="G79" s="7">
        <v>9.0299999999999994</v>
      </c>
      <c r="H79" s="7">
        <v>157.86000000000001</v>
      </c>
      <c r="I79" s="7">
        <f t="shared" si="2"/>
        <v>148.83000000000001</v>
      </c>
      <c r="J79" s="7">
        <v>137.22</v>
      </c>
      <c r="K79" s="5">
        <f t="shared" si="3"/>
        <v>7.8008466035073667</v>
      </c>
      <c r="L79" s="4">
        <f t="shared" si="4"/>
        <v>2559.2599800570433</v>
      </c>
      <c r="M79" s="2">
        <v>43440</v>
      </c>
      <c r="N79" s="7">
        <v>5.03</v>
      </c>
      <c r="O79" s="7">
        <v>2.14</v>
      </c>
      <c r="P79" s="7">
        <v>3.96</v>
      </c>
      <c r="Q79" s="6">
        <f t="shared" si="5"/>
        <v>0.39011597840925527</v>
      </c>
      <c r="R79" s="6">
        <f t="shared" si="6"/>
        <v>0.47311937807079896</v>
      </c>
      <c r="S79" s="6">
        <f t="shared" si="7"/>
        <v>0.13676464351994577</v>
      </c>
      <c r="T79" s="4">
        <f t="shared" si="8"/>
        <v>1082.8821896336253</v>
      </c>
      <c r="U79" s="4">
        <f t="shared" si="9"/>
        <v>1313.2826555131203</v>
      </c>
      <c r="V79" s="4">
        <f t="shared" si="10"/>
        <v>2396.1648451467454</v>
      </c>
      <c r="W79" s="4">
        <f t="shared" si="11"/>
        <v>998.40821112360459</v>
      </c>
      <c r="X79" s="4">
        <f t="shared" si="12"/>
        <v>1210.8354900860736</v>
      </c>
      <c r="Y79" s="4">
        <f t="shared" si="13"/>
        <v>2209.243701209678</v>
      </c>
      <c r="Z79" s="10">
        <v>43451</v>
      </c>
      <c r="AA79" s="4">
        <v>49.800000000000004</v>
      </c>
      <c r="AB79" s="5">
        <v>1</v>
      </c>
      <c r="AC79" s="4">
        <v>78.599999999999994</v>
      </c>
      <c r="AD79" s="4">
        <v>26.6</v>
      </c>
      <c r="AE79" s="4">
        <v>6.1</v>
      </c>
      <c r="AF79" s="4">
        <v>12.8</v>
      </c>
      <c r="AK79" s="3"/>
      <c r="AL79" s="3"/>
      <c r="AM79" s="7"/>
      <c r="AN79" s="7"/>
      <c r="AO79" s="7"/>
      <c r="AP79" s="7"/>
      <c r="AQ79" s="7"/>
      <c r="AR79" s="3"/>
      <c r="AS79" s="3"/>
      <c r="AT79" s="7"/>
      <c r="AU79" s="7"/>
      <c r="AV79" s="7"/>
      <c r="AW79" s="9"/>
      <c r="AX79" s="9"/>
      <c r="AY79" s="9"/>
      <c r="AZ79" s="3"/>
      <c r="BA79" s="3"/>
      <c r="BB79" s="3"/>
      <c r="BC79" s="3"/>
      <c r="BD79" s="3"/>
      <c r="BE79" s="3"/>
      <c r="BG79" s="3"/>
      <c r="BH79" s="7"/>
      <c r="BI79" s="3"/>
      <c r="BJ79" s="3"/>
      <c r="BK79" s="3"/>
      <c r="BL79" s="3"/>
    </row>
    <row r="80" spans="1:64" x14ac:dyDescent="0.3">
      <c r="A80">
        <v>33</v>
      </c>
      <c r="B80" s="1" t="s">
        <v>84</v>
      </c>
      <c r="C80" s="1" t="s">
        <v>32</v>
      </c>
      <c r="D80" s="2">
        <v>43403</v>
      </c>
      <c r="E80" s="3">
        <v>12.4</v>
      </c>
      <c r="F80" s="4">
        <f t="shared" si="1"/>
        <v>2664.1833267716538</v>
      </c>
      <c r="G80" s="7">
        <v>9.7200000000000006</v>
      </c>
      <c r="H80" s="7">
        <v>124.34</v>
      </c>
      <c r="I80" s="7">
        <f t="shared" si="2"/>
        <v>114.62</v>
      </c>
      <c r="J80" s="7">
        <v>105.69</v>
      </c>
      <c r="K80" s="5">
        <f t="shared" si="3"/>
        <v>7.7909614377944569</v>
      </c>
      <c r="L80" s="4">
        <f t="shared" si="4"/>
        <v>2456.6178311507247</v>
      </c>
      <c r="M80" s="2">
        <v>43440</v>
      </c>
      <c r="N80" s="7">
        <v>5.24</v>
      </c>
      <c r="O80" s="7">
        <v>2.2200000000000002</v>
      </c>
      <c r="P80" s="7">
        <v>4</v>
      </c>
      <c r="Q80" s="6">
        <f t="shared" si="5"/>
        <v>0.38973333276172445</v>
      </c>
      <c r="R80" s="6">
        <f t="shared" si="6"/>
        <v>0.46131700612612281</v>
      </c>
      <c r="S80" s="6">
        <f t="shared" si="7"/>
        <v>0.14894966111215269</v>
      </c>
      <c r="T80" s="4">
        <f t="shared" si="8"/>
        <v>1038.321047030935</v>
      </c>
      <c r="U80" s="4">
        <f t="shared" si="9"/>
        <v>1229.0330760774332</v>
      </c>
      <c r="V80" s="4">
        <f t="shared" si="10"/>
        <v>2267.3541231083682</v>
      </c>
      <c r="W80" s="4">
        <f t="shared" si="11"/>
        <v>957.4258546562512</v>
      </c>
      <c r="X80" s="4">
        <f t="shared" si="12"/>
        <v>1133.2795830625014</v>
      </c>
      <c r="Y80" s="4">
        <f t="shared" si="13"/>
        <v>2090.7054377187524</v>
      </c>
      <c r="Z80" s="10"/>
      <c r="AA80" s="4"/>
      <c r="AB80" s="5"/>
      <c r="AC80" s="4"/>
      <c r="AD80" s="4"/>
      <c r="AE80" s="4"/>
      <c r="AF80" s="4"/>
      <c r="AK80" s="3"/>
      <c r="AL80" s="3"/>
      <c r="AM80" s="7"/>
      <c r="AN80" s="7"/>
      <c r="AO80" s="7"/>
      <c r="AP80" s="7"/>
      <c r="AQ80" s="7"/>
      <c r="AR80" s="3"/>
      <c r="AS80" s="3"/>
      <c r="AT80" s="7"/>
      <c r="AU80" s="7"/>
      <c r="AV80" s="7"/>
      <c r="AW80" s="9"/>
      <c r="AX80" s="9"/>
      <c r="AY80" s="9"/>
      <c r="AZ80" s="3"/>
      <c r="BA80" s="3"/>
      <c r="BB80" s="3"/>
      <c r="BC80" s="3"/>
      <c r="BD80" s="3"/>
      <c r="BE80" s="3"/>
      <c r="BG80" s="3"/>
      <c r="BH80" s="7"/>
      <c r="BI80" s="3"/>
      <c r="BJ80" s="3"/>
      <c r="BK80" s="3"/>
      <c r="BL80" s="3"/>
    </row>
    <row r="81" spans="1:64" x14ac:dyDescent="0.3">
      <c r="A81">
        <v>34</v>
      </c>
      <c r="B81" s="1" t="s">
        <v>85</v>
      </c>
      <c r="C81" s="1" t="s">
        <v>32</v>
      </c>
      <c r="D81" s="2">
        <v>43403</v>
      </c>
      <c r="E81" s="3">
        <v>20.8</v>
      </c>
      <c r="F81" s="4">
        <f t="shared" si="1"/>
        <v>4539.2683661417323</v>
      </c>
      <c r="G81" s="7">
        <v>9.7100000000000009</v>
      </c>
      <c r="H81" s="7">
        <v>225.31</v>
      </c>
      <c r="I81" s="7">
        <f t="shared" si="2"/>
        <v>215.6</v>
      </c>
      <c r="J81" s="7">
        <v>198.95</v>
      </c>
      <c r="K81" s="5">
        <f t="shared" si="3"/>
        <v>7.7226345083487971</v>
      </c>
      <c r="L81" s="4">
        <f t="shared" si="4"/>
        <v>4188.71726087151</v>
      </c>
      <c r="M81" s="2">
        <v>43440</v>
      </c>
      <c r="N81" s="7">
        <v>8.92</v>
      </c>
      <c r="O81" s="7">
        <v>3.62</v>
      </c>
      <c r="P81" s="7">
        <v>5.96</v>
      </c>
      <c r="Q81" s="6">
        <f t="shared" si="5"/>
        <v>0.38580425349465053</v>
      </c>
      <c r="R81" s="6">
        <f t="shared" si="6"/>
        <v>0.49144113242770959</v>
      </c>
      <c r="S81" s="6">
        <f t="shared" si="7"/>
        <v>0.12275461407763988</v>
      </c>
      <c r="T81" s="4">
        <f t="shared" si="8"/>
        <v>1751.269043411193</v>
      </c>
      <c r="U81" s="4">
        <f t="shared" si="9"/>
        <v>2230.783186249972</v>
      </c>
      <c r="V81" s="4">
        <f t="shared" si="10"/>
        <v>3982.0522296611653</v>
      </c>
      <c r="W81" s="4">
        <f t="shared" si="11"/>
        <v>1616.0249359306902</v>
      </c>
      <c r="X81" s="4">
        <f t="shared" si="12"/>
        <v>2058.5079541021887</v>
      </c>
      <c r="Y81" s="4">
        <f t="shared" si="13"/>
        <v>3674.5328900328786</v>
      </c>
      <c r="Z81" s="10"/>
      <c r="AA81" s="4"/>
      <c r="AB81" s="5"/>
      <c r="AC81" s="4"/>
      <c r="AD81" s="4"/>
      <c r="AE81" s="4"/>
      <c r="AF81" s="4"/>
      <c r="AH81" t="s">
        <v>257</v>
      </c>
      <c r="AI81" t="str">
        <f>C81</f>
        <v>Machine</v>
      </c>
      <c r="AJ81" s="8">
        <f>D81</f>
        <v>43403</v>
      </c>
      <c r="AK81" s="3">
        <f>SUM(E81:E83)</f>
        <v>53</v>
      </c>
      <c r="AL81" s="3">
        <f>(AK81-3*$A$35)*$A$36/(3*$A$37)*$A$38</f>
        <v>3839.8318832020996</v>
      </c>
      <c r="AM81" s="7">
        <f>SUM(G81:G83)</f>
        <v>28.44</v>
      </c>
      <c r="AN81" s="7">
        <f>SUM(H81:H83)</f>
        <v>553.11</v>
      </c>
      <c r="AO81" s="7">
        <f>AN81-AM81</f>
        <v>524.66999999999996</v>
      </c>
      <c r="AP81" s="7">
        <f>SUM(J81:J83)</f>
        <v>486.29999999999995</v>
      </c>
      <c r="AQ81" s="7">
        <f>(AO81-AP81)/AO81*100</f>
        <v>7.3131682772028155</v>
      </c>
      <c r="AR81" s="3">
        <f>AL81*(1-AQ81/100)</f>
        <v>3559.0185160218439</v>
      </c>
      <c r="AS81" s="11">
        <f>M81</f>
        <v>43440</v>
      </c>
      <c r="AT81" s="7">
        <f>SUM(N81:N83)</f>
        <v>22.93</v>
      </c>
      <c r="AU81" s="7">
        <f>SUM(O81:O83)</f>
        <v>9.3800000000000008</v>
      </c>
      <c r="AV81" s="7">
        <f>SUM(P81:P83)</f>
        <v>15.82</v>
      </c>
      <c r="AW81" s="9">
        <f>(AU81-3*$A$39)/(AT81-3*$A$35*$A$36)</f>
        <v>0.38569797535418288</v>
      </c>
      <c r="AX81" s="9">
        <f>(AV81-3*$A$40)/(AT81-3*$A$35*$A$36)</f>
        <v>0.48346792724628967</v>
      </c>
      <c r="AY81" s="9">
        <f>1-AW81-AX81</f>
        <v>0.13083409739952739</v>
      </c>
      <c r="AZ81" s="3">
        <f>AL81*AW81</f>
        <v>1481.0153830514889</v>
      </c>
      <c r="BA81" s="3">
        <f>AL81*AX81</f>
        <v>1856.4355615459363</v>
      </c>
      <c r="BB81" s="3">
        <f>AZ81+BA81</f>
        <v>3337.4509445974254</v>
      </c>
      <c r="BC81" s="3">
        <f>AR81*AW81</f>
        <v>1372.7062358776736</v>
      </c>
      <c r="BD81" s="3">
        <f>AR81*AX81</f>
        <v>1720.6713049722466</v>
      </c>
      <c r="BE81" s="3">
        <f>BC81+BD81</f>
        <v>3093.3775408499205</v>
      </c>
      <c r="BF81" s="11">
        <f>Z82</f>
        <v>43451</v>
      </c>
      <c r="BG81" s="3">
        <f>AVERAGE(AA81:AA83)</f>
        <v>51.8</v>
      </c>
      <c r="BH81" s="7">
        <f t="shared" ref="BH81" si="65">AVERAGE(AB81:AB83)</f>
        <v>0.97</v>
      </c>
      <c r="BI81" s="3">
        <f t="shared" ref="BI81" si="66">AVERAGE(AC81:AC83)</f>
        <v>77.7</v>
      </c>
      <c r="BJ81" s="3">
        <f t="shared" ref="BJ81" si="67">AVERAGE(AD81:AD83)</f>
        <v>24.9</v>
      </c>
      <c r="BK81" s="3">
        <f t="shared" ref="BK81" si="68">AVERAGE(AE81:AE83)</f>
        <v>6.4</v>
      </c>
      <c r="BL81" s="3">
        <f t="shared" ref="BL81" si="69">AVERAGE(AF81:AF83)</f>
        <v>14.3</v>
      </c>
    </row>
    <row r="82" spans="1:64" x14ac:dyDescent="0.3">
      <c r="A82">
        <v>35</v>
      </c>
      <c r="B82" s="1" t="s">
        <v>86</v>
      </c>
      <c r="C82" s="1" t="s">
        <v>32</v>
      </c>
      <c r="D82" s="2">
        <v>43403</v>
      </c>
      <c r="E82" s="3">
        <v>17</v>
      </c>
      <c r="F82" s="4">
        <f t="shared" si="1"/>
        <v>3691.0156102362203</v>
      </c>
      <c r="G82" s="7">
        <v>9.02</v>
      </c>
      <c r="H82" s="7">
        <v>121.94</v>
      </c>
      <c r="I82" s="7">
        <f t="shared" si="2"/>
        <v>112.92</v>
      </c>
      <c r="J82" s="7">
        <v>105.7</v>
      </c>
      <c r="K82" s="5">
        <f t="shared" si="3"/>
        <v>6.3939071909316318</v>
      </c>
      <c r="L82" s="4">
        <f t="shared" si="4"/>
        <v>3455.0154977149173</v>
      </c>
      <c r="M82" s="2">
        <v>43440</v>
      </c>
      <c r="N82" s="7">
        <v>7.45</v>
      </c>
      <c r="O82" s="7">
        <v>3.04</v>
      </c>
      <c r="P82" s="7">
        <v>5.12</v>
      </c>
      <c r="Q82" s="6">
        <f t="shared" si="5"/>
        <v>0.38402671437910346</v>
      </c>
      <c r="R82" s="6">
        <f t="shared" si="6"/>
        <v>0.47519852426766757</v>
      </c>
      <c r="S82" s="6">
        <f t="shared" si="7"/>
        <v>0.14077476135322903</v>
      </c>
      <c r="T82" s="4">
        <f t="shared" si="8"/>
        <v>1417.4485975209973</v>
      </c>
      <c r="U82" s="4">
        <f t="shared" si="9"/>
        <v>1753.9651710331764</v>
      </c>
      <c r="V82" s="4">
        <f t="shared" si="10"/>
        <v>3171.4137685541737</v>
      </c>
      <c r="W82" s="4">
        <f t="shared" si="11"/>
        <v>1326.8182497163425</v>
      </c>
      <c r="X82" s="4">
        <f t="shared" si="12"/>
        <v>1641.8182658360497</v>
      </c>
      <c r="Y82" s="4">
        <f t="shared" si="13"/>
        <v>2968.6365155523922</v>
      </c>
      <c r="Z82" s="10">
        <v>43451</v>
      </c>
      <c r="AA82" s="4">
        <v>51.8</v>
      </c>
      <c r="AB82" s="5">
        <v>0.97</v>
      </c>
      <c r="AC82" s="4">
        <v>77.7</v>
      </c>
      <c r="AD82" s="4">
        <v>24.9</v>
      </c>
      <c r="AE82" s="4">
        <v>6.4</v>
      </c>
      <c r="AF82" s="4">
        <v>14.3</v>
      </c>
      <c r="AK82" s="3"/>
      <c r="AL82" s="3"/>
      <c r="AM82" s="7"/>
      <c r="AN82" s="7"/>
      <c r="AO82" s="7"/>
      <c r="AP82" s="7"/>
      <c r="AQ82" s="7"/>
      <c r="AR82" s="3"/>
      <c r="AS82" s="3"/>
      <c r="AT82" s="7"/>
      <c r="AU82" s="7"/>
      <c r="AV82" s="7"/>
      <c r="AW82" s="9"/>
      <c r="AX82" s="9"/>
      <c r="AY82" s="9"/>
      <c r="AZ82" s="3"/>
      <c r="BA82" s="3"/>
      <c r="BB82" s="3"/>
      <c r="BC82" s="3"/>
      <c r="BD82" s="3"/>
      <c r="BE82" s="3"/>
      <c r="BG82" s="3"/>
      <c r="BH82" s="7"/>
      <c r="BI82" s="3"/>
      <c r="BJ82" s="3"/>
      <c r="BK82" s="3"/>
      <c r="BL82" s="3"/>
    </row>
    <row r="83" spans="1:64" x14ac:dyDescent="0.3">
      <c r="A83">
        <v>36</v>
      </c>
      <c r="B83" s="1" t="s">
        <v>87</v>
      </c>
      <c r="C83" s="1" t="s">
        <v>32</v>
      </c>
      <c r="D83" s="2">
        <v>43403</v>
      </c>
      <c r="E83" s="3">
        <v>15.2</v>
      </c>
      <c r="F83" s="4">
        <f t="shared" si="1"/>
        <v>3289.2116732283462</v>
      </c>
      <c r="G83" s="7">
        <v>9.7100000000000009</v>
      </c>
      <c r="H83" s="7">
        <v>205.86</v>
      </c>
      <c r="I83" s="7">
        <f t="shared" si="2"/>
        <v>196.15</v>
      </c>
      <c r="J83" s="7">
        <v>181.65</v>
      </c>
      <c r="K83" s="5">
        <f t="shared" si="3"/>
        <v>7.3923018098394078</v>
      </c>
      <c r="L83" s="4">
        <f t="shared" si="4"/>
        <v>3046.0632191788382</v>
      </c>
      <c r="M83" s="2">
        <v>43440</v>
      </c>
      <c r="N83" s="7">
        <v>6.56</v>
      </c>
      <c r="O83" s="7">
        <v>2.72</v>
      </c>
      <c r="P83" s="7">
        <v>4.74</v>
      </c>
      <c r="Q83" s="6">
        <f t="shared" si="5"/>
        <v>0.38745772749566293</v>
      </c>
      <c r="R83" s="6">
        <f t="shared" si="6"/>
        <v>0.48195961225070277</v>
      </c>
      <c r="S83" s="6">
        <f t="shared" si="7"/>
        <v>0.13058266025363424</v>
      </c>
      <c r="T83" s="4">
        <f t="shared" si="8"/>
        <v>1274.430480161262</v>
      </c>
      <c r="U83" s="4">
        <f t="shared" si="9"/>
        <v>1585.267182639619</v>
      </c>
      <c r="V83" s="4">
        <f t="shared" si="10"/>
        <v>2859.6976628008811</v>
      </c>
      <c r="W83" s="4">
        <f t="shared" si="11"/>
        <v>1180.220732711156</v>
      </c>
      <c r="X83" s="4">
        <f t="shared" si="12"/>
        <v>1468.0794480065604</v>
      </c>
      <c r="Y83" s="4">
        <f t="shared" si="13"/>
        <v>2648.3001807177161</v>
      </c>
      <c r="Z83" s="10"/>
      <c r="AA83" s="4"/>
      <c r="AB83" s="5"/>
      <c r="AC83" s="4"/>
      <c r="AD83" s="4"/>
      <c r="AE83" s="4"/>
      <c r="AF83" s="4"/>
      <c r="AK83" s="3"/>
      <c r="AL83" s="3"/>
      <c r="AM83" s="7"/>
      <c r="AN83" s="7"/>
      <c r="AO83" s="7"/>
      <c r="AP83" s="7"/>
      <c r="AQ83" s="7"/>
      <c r="AR83" s="3"/>
      <c r="AS83" s="3"/>
      <c r="AT83" s="7"/>
      <c r="AU83" s="7"/>
      <c r="AV83" s="7"/>
      <c r="AW83" s="9"/>
      <c r="AX83" s="9"/>
      <c r="AY83" s="9"/>
      <c r="AZ83" s="3"/>
      <c r="BA83" s="3"/>
      <c r="BB83" s="3"/>
      <c r="BC83" s="3"/>
      <c r="BD83" s="3"/>
      <c r="BE83" s="3"/>
      <c r="BG83" s="3"/>
      <c r="BH83" s="7"/>
      <c r="BI83" s="3"/>
      <c r="BJ83" s="3"/>
      <c r="BK83" s="3"/>
      <c r="BL83" s="3"/>
    </row>
    <row r="84" spans="1:64" x14ac:dyDescent="0.3">
      <c r="A84">
        <v>37</v>
      </c>
      <c r="B84" s="1" t="s">
        <v>88</v>
      </c>
      <c r="C84" s="1" t="s">
        <v>32</v>
      </c>
      <c r="D84" s="2">
        <v>43403</v>
      </c>
      <c r="E84" s="3">
        <v>18.399999999999999</v>
      </c>
      <c r="F84" s="4">
        <f t="shared" si="1"/>
        <v>4003.5297834645667</v>
      </c>
      <c r="G84" s="7">
        <v>9.7100000000000009</v>
      </c>
      <c r="H84" s="7">
        <v>150.63999999999999</v>
      </c>
      <c r="I84" s="7">
        <f t="shared" ref="I84:I95" si="70">H84-G84</f>
        <v>140.92999999999998</v>
      </c>
      <c r="J84" s="7">
        <v>129.94</v>
      </c>
      <c r="K84" s="5">
        <f t="shared" si="3"/>
        <v>7.7981976867948504</v>
      </c>
      <c r="L84" s="4">
        <f t="shared" si="4"/>
        <v>3691.3266165002901</v>
      </c>
      <c r="M84" s="2">
        <v>43440</v>
      </c>
      <c r="N84" s="7">
        <v>7.95</v>
      </c>
      <c r="O84" s="7">
        <v>3.18</v>
      </c>
      <c r="P84" s="7">
        <v>5.42</v>
      </c>
      <c r="Q84" s="6">
        <f t="shared" si="5"/>
        <v>0.37730584328442607</v>
      </c>
      <c r="R84" s="6">
        <f t="shared" si="6"/>
        <v>0.48326159379580602</v>
      </c>
      <c r="S84" s="6">
        <f t="shared" si="7"/>
        <v>0.13943256291976791</v>
      </c>
      <c r="T84" s="4">
        <f t="shared" si="8"/>
        <v>1510.555181064414</v>
      </c>
      <c r="U84" s="4">
        <f t="shared" si="9"/>
        <v>1934.7521839660646</v>
      </c>
      <c r="V84" s="4">
        <f t="shared" si="10"/>
        <v>3445.3073650304786</v>
      </c>
      <c r="W84" s="4">
        <f t="shared" si="11"/>
        <v>1392.7591018768892</v>
      </c>
      <c r="X84" s="4">
        <f t="shared" si="12"/>
        <v>1783.8763839108103</v>
      </c>
      <c r="Y84" s="4">
        <f t="shared" si="13"/>
        <v>3176.6354857876995</v>
      </c>
      <c r="Z84" s="10"/>
      <c r="AA84" s="4"/>
      <c r="AB84" s="5"/>
      <c r="AC84" s="4"/>
      <c r="AD84" s="4"/>
      <c r="AE84" s="4"/>
      <c r="AF84" s="4"/>
      <c r="AH84" t="s">
        <v>258</v>
      </c>
      <c r="AI84" t="str">
        <f>C84</f>
        <v>Machine</v>
      </c>
      <c r="AJ84" s="8">
        <f>D84</f>
        <v>43403</v>
      </c>
      <c r="AK84" s="3">
        <f>SUM(E84:E86)</f>
        <v>53.4</v>
      </c>
      <c r="AL84" s="3">
        <f>(AK84-3*$A$35)*$A$36/(3*$A$37)*$A$38</f>
        <v>3869.5951377952751</v>
      </c>
      <c r="AM84" s="7">
        <f>SUM(G84:G86)</f>
        <v>28.34</v>
      </c>
      <c r="AN84" s="7">
        <f>SUM(H84:H86)</f>
        <v>439.83</v>
      </c>
      <c r="AO84" s="7">
        <f>AN84-AM84</f>
        <v>411.49</v>
      </c>
      <c r="AP84" s="7">
        <f>SUM(J84:J86)</f>
        <v>380.74</v>
      </c>
      <c r="AQ84" s="7">
        <f>(AO84-AP84)/AO84*100</f>
        <v>7.4728425964178964</v>
      </c>
      <c r="AR84" s="3">
        <f>AL84*(1-AQ84/100)</f>
        <v>3580.4263840291942</v>
      </c>
      <c r="AS84" s="11">
        <f>M84</f>
        <v>43440</v>
      </c>
      <c r="AT84" s="7">
        <f>SUM(N84:N86)</f>
        <v>23.12</v>
      </c>
      <c r="AU84" s="7">
        <f>SUM(O84:O86)</f>
        <v>9.3800000000000008</v>
      </c>
      <c r="AV84" s="7">
        <f>SUM(P84:P86)</f>
        <v>15.82</v>
      </c>
      <c r="AW84" s="9">
        <f>(AU84-3*$A$39)/(AT84-3*$A$35*$A$36)</f>
        <v>0.3824391219753453</v>
      </c>
      <c r="AX84" s="9">
        <f>(AV84-3*$A$40)/(AT84-3*$A$35*$A$36)</f>
        <v>0.47938299242956067</v>
      </c>
      <c r="AY84" s="9">
        <f>1-AW84-AX84</f>
        <v>0.13817788559509397</v>
      </c>
      <c r="AZ84" s="3">
        <f>AL84*AW84</f>
        <v>1479.8845668984902</v>
      </c>
      <c r="BA84" s="3">
        <f>AL84*AX84</f>
        <v>1855.0180966471771</v>
      </c>
      <c r="BB84" s="3">
        <f>AZ84+BA84</f>
        <v>3334.9026635456676</v>
      </c>
      <c r="BC84" s="3">
        <f>AR84*AW84</f>
        <v>1369.2951226054854</v>
      </c>
      <c r="BD84" s="3">
        <f>AR84*AX84</f>
        <v>1716.3955141496665</v>
      </c>
      <c r="BE84" s="3">
        <f>BC84+BD84</f>
        <v>3085.6906367551519</v>
      </c>
      <c r="BF84" s="11">
        <f>Z85</f>
        <v>43451</v>
      </c>
      <c r="BG84" s="3">
        <f>AVERAGE(AA84:AA86)</f>
        <v>50</v>
      </c>
      <c r="BH84" s="7">
        <f t="shared" ref="BH84" si="71">AVERAGE(AB84:AB86)</f>
        <v>1.04</v>
      </c>
      <c r="BI84" s="3">
        <f t="shared" ref="BI84" si="72">AVERAGE(AC84:AC86)</f>
        <v>78.400000000000006</v>
      </c>
      <c r="BJ84" s="3">
        <f t="shared" ref="BJ84" si="73">AVERAGE(AD84:AD86)</f>
        <v>27.1</v>
      </c>
      <c r="BK84" s="3">
        <f t="shared" ref="BK84" si="74">AVERAGE(AE84:AE86)</f>
        <v>6.5</v>
      </c>
      <c r="BL84" s="3">
        <f t="shared" ref="BL84" si="75">AVERAGE(AF84:AF86)</f>
        <v>12.5</v>
      </c>
    </row>
    <row r="85" spans="1:64" x14ac:dyDescent="0.3">
      <c r="A85">
        <v>38</v>
      </c>
      <c r="B85" s="1" t="s">
        <v>89</v>
      </c>
      <c r="C85" s="1" t="s">
        <v>32</v>
      </c>
      <c r="D85" s="2">
        <v>43403</v>
      </c>
      <c r="E85" s="3">
        <v>17.5</v>
      </c>
      <c r="F85" s="4">
        <f t="shared" si="1"/>
        <v>3802.6278149606296</v>
      </c>
      <c r="G85" s="7">
        <v>8.9499999999999993</v>
      </c>
      <c r="H85" s="7">
        <v>149.44</v>
      </c>
      <c r="I85" s="7">
        <f t="shared" si="70"/>
        <v>140.49</v>
      </c>
      <c r="J85" s="7">
        <v>130.13999999999999</v>
      </c>
      <c r="K85" s="5">
        <f t="shared" si="3"/>
        <v>7.3670723894939298</v>
      </c>
      <c r="L85" s="4">
        <f t="shared" si="4"/>
        <v>3522.4854711294488</v>
      </c>
      <c r="M85" s="2">
        <v>43440</v>
      </c>
      <c r="N85" s="7">
        <v>7.64</v>
      </c>
      <c r="O85" s="7">
        <v>3.12</v>
      </c>
      <c r="P85" s="7">
        <v>5.22</v>
      </c>
      <c r="Q85" s="6">
        <f t="shared" si="5"/>
        <v>0.38497365862160926</v>
      </c>
      <c r="R85" s="6">
        <f t="shared" si="6"/>
        <v>0.47650585717499883</v>
      </c>
      <c r="S85" s="6">
        <f t="shared" si="7"/>
        <v>0.13852048420339191</v>
      </c>
      <c r="T85" s="4">
        <f t="shared" si="8"/>
        <v>1463.9115423016895</v>
      </c>
      <c r="U85" s="4">
        <f t="shared" si="9"/>
        <v>1811.9744264853077</v>
      </c>
      <c r="V85" s="4">
        <f t="shared" si="10"/>
        <v>3275.8859687869972</v>
      </c>
      <c r="W85" s="4">
        <f t="shared" si="11"/>
        <v>1356.064119262167</v>
      </c>
      <c r="X85" s="4">
        <f t="shared" si="12"/>
        <v>1678.4849588070176</v>
      </c>
      <c r="Y85" s="4">
        <f t="shared" si="13"/>
        <v>3034.5490780691844</v>
      </c>
      <c r="Z85" s="10">
        <v>43451</v>
      </c>
      <c r="AA85" s="4">
        <v>50</v>
      </c>
      <c r="AB85" s="5">
        <v>1.04</v>
      </c>
      <c r="AC85" s="4">
        <v>78.400000000000006</v>
      </c>
      <c r="AD85" s="4">
        <v>27.1</v>
      </c>
      <c r="AE85" s="4">
        <v>6.5</v>
      </c>
      <c r="AF85" s="4">
        <v>12.5</v>
      </c>
      <c r="AK85" s="3"/>
      <c r="AL85" s="3"/>
      <c r="AM85" s="7"/>
      <c r="AN85" s="7"/>
      <c r="AO85" s="7"/>
      <c r="AP85" s="7"/>
      <c r="AQ85" s="7"/>
      <c r="AR85" s="3"/>
      <c r="AS85" s="3"/>
      <c r="AT85" s="7"/>
      <c r="AU85" s="7"/>
      <c r="AV85" s="7"/>
      <c r="AW85" s="9"/>
      <c r="AX85" s="9"/>
      <c r="AY85" s="9"/>
      <c r="AZ85" s="3"/>
      <c r="BA85" s="3"/>
      <c r="BB85" s="3"/>
      <c r="BC85" s="3"/>
      <c r="BD85" s="3"/>
      <c r="BE85" s="3"/>
      <c r="BG85" s="3"/>
      <c r="BH85" s="7"/>
      <c r="BI85" s="3"/>
      <c r="BJ85" s="3"/>
      <c r="BK85" s="3"/>
      <c r="BL85" s="3"/>
    </row>
    <row r="86" spans="1:64" x14ac:dyDescent="0.3">
      <c r="A86">
        <v>39</v>
      </c>
      <c r="B86" s="1" t="s">
        <v>90</v>
      </c>
      <c r="C86" s="1" t="s">
        <v>32</v>
      </c>
      <c r="D86" s="2">
        <v>43403</v>
      </c>
      <c r="E86" s="3">
        <v>17.5</v>
      </c>
      <c r="F86" s="4">
        <f t="shared" si="1"/>
        <v>3802.6278149606296</v>
      </c>
      <c r="G86" s="7">
        <v>9.68</v>
      </c>
      <c r="H86" s="7">
        <v>139.75</v>
      </c>
      <c r="I86" s="7">
        <f t="shared" si="70"/>
        <v>130.07</v>
      </c>
      <c r="J86" s="7">
        <v>120.66</v>
      </c>
      <c r="K86" s="5">
        <f t="shared" si="3"/>
        <v>7.2345660029215013</v>
      </c>
      <c r="L86" s="4">
        <f t="shared" si="4"/>
        <v>3527.524195841851</v>
      </c>
      <c r="M86" s="2">
        <v>43440</v>
      </c>
      <c r="N86" s="7">
        <v>7.53</v>
      </c>
      <c r="O86" s="7">
        <v>3.08</v>
      </c>
      <c r="P86" s="7">
        <v>5.18</v>
      </c>
      <c r="Q86" s="6">
        <f t="shared" si="5"/>
        <v>0.38529434134924279</v>
      </c>
      <c r="R86" s="6">
        <f t="shared" si="6"/>
        <v>0.47820219671005304</v>
      </c>
      <c r="S86" s="6">
        <f t="shared" si="7"/>
        <v>0.13650346194070417</v>
      </c>
      <c r="T86" s="4">
        <f t="shared" si="8"/>
        <v>1465.130979361566</v>
      </c>
      <c r="U86" s="4">
        <f t="shared" si="9"/>
        <v>1818.4249743849223</v>
      </c>
      <c r="V86" s="4">
        <f t="shared" si="10"/>
        <v>3283.5559537464883</v>
      </c>
      <c r="W86" s="4">
        <f t="shared" si="11"/>
        <v>1359.1351116304033</v>
      </c>
      <c r="X86" s="4">
        <f t="shared" si="12"/>
        <v>1686.8698193994364</v>
      </c>
      <c r="Y86" s="4">
        <f t="shared" si="13"/>
        <v>3046.00493102984</v>
      </c>
      <c r="Z86" s="10"/>
      <c r="AA86" s="4"/>
      <c r="AB86" s="5"/>
      <c r="AC86" s="4"/>
      <c r="AD86" s="4"/>
      <c r="AE86" s="4"/>
      <c r="AF86" s="4"/>
      <c r="AK86" s="3"/>
      <c r="AL86" s="3"/>
      <c r="AM86" s="7"/>
      <c r="AN86" s="7"/>
      <c r="AO86" s="7"/>
      <c r="AP86" s="7"/>
      <c r="AQ86" s="7"/>
      <c r="AR86" s="3"/>
      <c r="AS86" s="3"/>
      <c r="AT86" s="7"/>
      <c r="AU86" s="7"/>
      <c r="AV86" s="7"/>
      <c r="AW86" s="9"/>
      <c r="AX86" s="9"/>
      <c r="AY86" s="9"/>
      <c r="AZ86" s="3"/>
      <c r="BA86" s="3"/>
      <c r="BB86" s="3"/>
      <c r="BC86" s="3"/>
      <c r="BD86" s="3"/>
      <c r="BE86" s="3"/>
      <c r="BG86" s="3"/>
      <c r="BH86" s="7"/>
      <c r="BI86" s="3"/>
      <c r="BJ86" s="3"/>
      <c r="BK86" s="3"/>
      <c r="BL86" s="3"/>
    </row>
    <row r="87" spans="1:64" x14ac:dyDescent="0.3">
      <c r="A87">
        <v>40</v>
      </c>
      <c r="B87" s="1" t="s">
        <v>91</v>
      </c>
      <c r="C87" s="1" t="s">
        <v>32</v>
      </c>
      <c r="D87" s="2">
        <v>43403</v>
      </c>
      <c r="E87" s="3">
        <v>22.5</v>
      </c>
      <c r="F87" s="4">
        <f t="shared" si="1"/>
        <v>4918.7498622047242</v>
      </c>
      <c r="G87" s="7">
        <v>9.73</v>
      </c>
      <c r="H87" s="7">
        <v>171.56</v>
      </c>
      <c r="I87" s="7">
        <f t="shared" si="70"/>
        <v>161.83000000000001</v>
      </c>
      <c r="J87" s="7">
        <v>151.33000000000001</v>
      </c>
      <c r="K87" s="5">
        <f t="shared" si="3"/>
        <v>6.4882901810541922</v>
      </c>
      <c r="L87" s="4">
        <f t="shared" si="4"/>
        <v>4599.6070978646785</v>
      </c>
      <c r="M87" s="2">
        <v>43440</v>
      </c>
      <c r="N87" s="7">
        <v>9.7799999999999994</v>
      </c>
      <c r="O87" s="7">
        <v>3.94</v>
      </c>
      <c r="P87" s="7">
        <v>6.46</v>
      </c>
      <c r="Q87" s="6">
        <f t="shared" si="5"/>
        <v>0.38457198682424604</v>
      </c>
      <c r="R87" s="6">
        <f t="shared" si="6"/>
        <v>0.49952556984236313</v>
      </c>
      <c r="S87" s="6">
        <f t="shared" si="7"/>
        <v>0.11590244333339078</v>
      </c>
      <c r="T87" s="4">
        <f t="shared" si="8"/>
        <v>1891.6134071995573</v>
      </c>
      <c r="U87" s="4">
        <f t="shared" si="9"/>
        <v>2457.0413278298602</v>
      </c>
      <c r="V87" s="4">
        <f t="shared" si="10"/>
        <v>4348.6547350294177</v>
      </c>
      <c r="W87" s="4">
        <f t="shared" si="11"/>
        <v>1768.8800402367237</v>
      </c>
      <c r="X87" s="4">
        <f t="shared" si="12"/>
        <v>2297.6213566118317</v>
      </c>
      <c r="Y87" s="4">
        <f t="shared" si="13"/>
        <v>4066.5013968485555</v>
      </c>
      <c r="Z87" s="10"/>
      <c r="AA87" s="4"/>
      <c r="AB87" s="5"/>
      <c r="AC87" s="4"/>
      <c r="AD87" s="4"/>
      <c r="AE87" s="4"/>
      <c r="AF87" s="4"/>
      <c r="AH87" t="s">
        <v>259</v>
      </c>
      <c r="AI87" t="str">
        <f>C87</f>
        <v>Machine</v>
      </c>
      <c r="AJ87" s="8">
        <f>D87</f>
        <v>43403</v>
      </c>
      <c r="AK87" s="3">
        <f>SUM(E87:E89)</f>
        <v>70.900000000000006</v>
      </c>
      <c r="AL87" s="3">
        <f>(AK87-3*$A$35)*$A$36/(3*$A$37)*$A$38</f>
        <v>5171.7375262467194</v>
      </c>
      <c r="AM87" s="7">
        <f>SUM(G87:G89)</f>
        <v>28.419999999999998</v>
      </c>
      <c r="AN87" s="7">
        <f>SUM(H87:H89)</f>
        <v>458.58</v>
      </c>
      <c r="AO87" s="7">
        <f>AN87-AM87</f>
        <v>430.15999999999997</v>
      </c>
      <c r="AP87" s="7">
        <f>SUM(J87:J89)</f>
        <v>401.21000000000004</v>
      </c>
      <c r="AQ87" s="7">
        <f>(AO87-AP87)/AO87*100</f>
        <v>6.7300539334201073</v>
      </c>
      <c r="AR87" s="3">
        <f>AL87*(1-AQ87/100)</f>
        <v>4823.6768014353884</v>
      </c>
      <c r="AS87" s="11">
        <f>M87</f>
        <v>43440</v>
      </c>
      <c r="AT87" s="7">
        <f>SUM(N87:N89)</f>
        <v>31.009999999999998</v>
      </c>
      <c r="AU87" s="7">
        <f>SUM(O87:O89)</f>
        <v>12.459999999999999</v>
      </c>
      <c r="AV87" s="7">
        <f>SUM(P87:P89)</f>
        <v>19.98</v>
      </c>
      <c r="AW87" s="9">
        <f>(AU87-3*$A$39)/(AT87-3*$A$35*$A$36)</f>
        <v>0.38449840482475234</v>
      </c>
      <c r="AX87" s="9">
        <f>(AV87-3*$A$40)/(AT87-3*$A$35*$A$36)</f>
        <v>0.49181559658234597</v>
      </c>
      <c r="AY87" s="9">
        <f>1-AW87-AX87</f>
        <v>0.12368599859290164</v>
      </c>
      <c r="AZ87" s="3">
        <f>AL87*AW87</f>
        <v>1988.5248290141744</v>
      </c>
      <c r="BA87" s="3">
        <f>AL87*AX87</f>
        <v>2543.5411768383365</v>
      </c>
      <c r="BB87" s="3">
        <f>AZ87+BA87</f>
        <v>4532.0660058525109</v>
      </c>
      <c r="BC87" s="3">
        <f>AR87*AW87</f>
        <v>1854.6960355420704</v>
      </c>
      <c r="BD87" s="3">
        <f>AR87*AX87</f>
        <v>2372.3594838183681</v>
      </c>
      <c r="BE87" s="3">
        <f>BC87+BD87</f>
        <v>4227.0555193604387</v>
      </c>
      <c r="BF87" s="11">
        <f>Z88</f>
        <v>43451</v>
      </c>
      <c r="BG87" s="3">
        <f>AVERAGE(AA87:AA89)</f>
        <v>48.4</v>
      </c>
      <c r="BH87" s="7">
        <f t="shared" ref="BH87" si="76">AVERAGE(AB87:AB89)</f>
        <v>1.0900000000000001</v>
      </c>
      <c r="BI87" s="3">
        <f t="shared" ref="BI87" si="77">AVERAGE(AC87:AC89)</f>
        <v>78.7</v>
      </c>
      <c r="BJ87" s="3">
        <f t="shared" ref="BJ87" si="78">AVERAGE(AD87:AD89)</f>
        <v>29.3</v>
      </c>
      <c r="BK87" s="3">
        <f t="shared" ref="BK87" si="79">AVERAGE(AE87:AE89)</f>
        <v>6.3</v>
      </c>
      <c r="BL87" s="3">
        <f t="shared" ref="BL87" si="80">AVERAGE(AF87:AF89)</f>
        <v>11.5</v>
      </c>
    </row>
    <row r="88" spans="1:64" x14ac:dyDescent="0.3">
      <c r="A88">
        <v>41</v>
      </c>
      <c r="B88" s="1" t="s">
        <v>92</v>
      </c>
      <c r="C88" s="1" t="s">
        <v>32</v>
      </c>
      <c r="D88" s="2">
        <v>43403</v>
      </c>
      <c r="E88" s="3">
        <v>24.2</v>
      </c>
      <c r="F88" s="4">
        <f t="shared" si="1"/>
        <v>5298.2313582677161</v>
      </c>
      <c r="G88" s="7">
        <v>8.99</v>
      </c>
      <c r="H88" s="7">
        <v>152.44999999999999</v>
      </c>
      <c r="I88" s="7">
        <f t="shared" si="70"/>
        <v>143.45999999999998</v>
      </c>
      <c r="J88" s="7">
        <v>132.96</v>
      </c>
      <c r="K88" s="5">
        <f t="shared" si="3"/>
        <v>7.3191133416980154</v>
      </c>
      <c r="L88" s="4">
        <f t="shared" si="4"/>
        <v>4910.4478000507161</v>
      </c>
      <c r="M88" s="2">
        <v>43440</v>
      </c>
      <c r="N88" s="7">
        <v>10.58</v>
      </c>
      <c r="O88" s="7">
        <v>4.26</v>
      </c>
      <c r="P88" s="7">
        <v>6.72</v>
      </c>
      <c r="Q88" s="6">
        <f t="shared" si="5"/>
        <v>0.38576229598126766</v>
      </c>
      <c r="R88" s="6">
        <f t="shared" si="6"/>
        <v>0.48606049293639725</v>
      </c>
      <c r="S88" s="6">
        <f t="shared" si="7"/>
        <v>0.1281772110823351</v>
      </c>
      <c r="T88" s="4">
        <f t="shared" si="8"/>
        <v>2043.8578934053044</v>
      </c>
      <c r="U88" s="4">
        <f t="shared" si="9"/>
        <v>2575.2609456906835</v>
      </c>
      <c r="V88" s="4">
        <f t="shared" si="10"/>
        <v>4619.1188390959878</v>
      </c>
      <c r="W88" s="4">
        <f t="shared" si="11"/>
        <v>1894.265617643729</v>
      </c>
      <c r="X88" s="4">
        <f t="shared" si="12"/>
        <v>2386.7746782310983</v>
      </c>
      <c r="Y88" s="4">
        <f t="shared" si="13"/>
        <v>4281.0402958748273</v>
      </c>
      <c r="Z88" s="10">
        <v>43451</v>
      </c>
      <c r="AA88" s="4">
        <v>48.4</v>
      </c>
      <c r="AB88" s="5">
        <v>1.0900000000000001</v>
      </c>
      <c r="AC88" s="4">
        <v>78.7</v>
      </c>
      <c r="AD88" s="4">
        <v>29.3</v>
      </c>
      <c r="AE88" s="4">
        <v>6.3</v>
      </c>
      <c r="AF88" s="4">
        <v>11.5</v>
      </c>
      <c r="AK88" s="3"/>
      <c r="AL88" s="3"/>
      <c r="AM88" s="7"/>
      <c r="AN88" s="7"/>
      <c r="AO88" s="7"/>
      <c r="AP88" s="7"/>
      <c r="AQ88" s="7"/>
      <c r="AR88" s="3"/>
      <c r="AS88" s="3"/>
      <c r="AT88" s="7"/>
      <c r="AU88" s="7"/>
      <c r="AV88" s="7"/>
      <c r="AW88" s="9"/>
      <c r="AX88" s="9"/>
      <c r="AY88" s="9"/>
      <c r="AZ88" s="3"/>
      <c r="BA88" s="3"/>
      <c r="BB88" s="3"/>
      <c r="BC88" s="3"/>
      <c r="BD88" s="3"/>
      <c r="BE88" s="3"/>
      <c r="BG88" s="3"/>
      <c r="BH88" s="7"/>
      <c r="BI88" s="3"/>
      <c r="BJ88" s="3"/>
      <c r="BK88" s="3"/>
      <c r="BL88" s="3"/>
    </row>
    <row r="89" spans="1:64" x14ac:dyDescent="0.3">
      <c r="A89">
        <v>42</v>
      </c>
      <c r="B89" s="1" t="s">
        <v>93</v>
      </c>
      <c r="C89" s="1" t="s">
        <v>32</v>
      </c>
      <c r="D89" s="2">
        <v>43403</v>
      </c>
      <c r="E89" s="3">
        <v>24.2</v>
      </c>
      <c r="F89" s="4">
        <f t="shared" si="1"/>
        <v>5298.2313582677161</v>
      </c>
      <c r="G89" s="7">
        <v>9.6999999999999993</v>
      </c>
      <c r="H89" s="7">
        <v>134.57</v>
      </c>
      <c r="I89" s="7">
        <f t="shared" si="70"/>
        <v>124.86999999999999</v>
      </c>
      <c r="J89" s="7">
        <v>116.92</v>
      </c>
      <c r="K89" s="5">
        <f t="shared" si="3"/>
        <v>6.3666212861375744</v>
      </c>
      <c r="L89" s="4">
        <f t="shared" si="4"/>
        <v>4960.9130328234278</v>
      </c>
      <c r="M89" s="2">
        <v>43440</v>
      </c>
      <c r="N89" s="7">
        <v>10.65</v>
      </c>
      <c r="O89" s="7">
        <v>4.26</v>
      </c>
      <c r="P89" s="7">
        <v>6.8</v>
      </c>
      <c r="Q89" s="6">
        <f t="shared" si="5"/>
        <v>0.38317553915566799</v>
      </c>
      <c r="R89" s="6">
        <f t="shared" si="6"/>
        <v>0.49046469011925503</v>
      </c>
      <c r="S89" s="6">
        <f t="shared" si="7"/>
        <v>0.12635977072507704</v>
      </c>
      <c r="T89" s="4">
        <f t="shared" si="8"/>
        <v>2030.1526572756993</v>
      </c>
      <c r="U89" s="4">
        <f t="shared" si="9"/>
        <v>2598.5954013128949</v>
      </c>
      <c r="V89" s="4">
        <f t="shared" si="10"/>
        <v>4628.7480585885942</v>
      </c>
      <c r="W89" s="4">
        <f t="shared" si="11"/>
        <v>1900.900526056497</v>
      </c>
      <c r="X89" s="4">
        <f t="shared" si="12"/>
        <v>2433.152673352316</v>
      </c>
      <c r="Y89" s="4">
        <f t="shared" si="13"/>
        <v>4334.0531994088133</v>
      </c>
      <c r="Z89" s="10"/>
      <c r="AA89" s="4"/>
      <c r="AB89" s="5"/>
      <c r="AC89" s="4"/>
      <c r="AD89" s="4"/>
      <c r="AE89" s="4"/>
      <c r="AF89" s="4"/>
      <c r="AK89" s="3"/>
      <c r="AL89" s="3"/>
      <c r="AM89" s="7"/>
      <c r="AN89" s="7"/>
      <c r="AO89" s="7"/>
      <c r="AP89" s="7"/>
      <c r="AQ89" s="7"/>
      <c r="AR89" s="3"/>
      <c r="AS89" s="3"/>
      <c r="AT89" s="7"/>
      <c r="AU89" s="7"/>
      <c r="AV89" s="7"/>
      <c r="AW89" s="9"/>
      <c r="AX89" s="9"/>
      <c r="AY89" s="9"/>
      <c r="AZ89" s="3"/>
      <c r="BA89" s="3"/>
      <c r="BB89" s="3"/>
      <c r="BC89" s="3"/>
      <c r="BD89" s="3"/>
      <c r="BE89" s="3"/>
      <c r="BG89" s="3"/>
      <c r="BH89" s="7"/>
      <c r="BI89" s="3"/>
      <c r="BJ89" s="3"/>
      <c r="BK89" s="3"/>
      <c r="BL89" s="3"/>
    </row>
    <row r="90" spans="1:64" x14ac:dyDescent="0.3">
      <c r="A90">
        <v>43</v>
      </c>
      <c r="B90" s="1" t="s">
        <v>94</v>
      </c>
      <c r="C90" s="1" t="s">
        <v>32</v>
      </c>
      <c r="D90" s="2">
        <v>43403</v>
      </c>
      <c r="E90" s="3">
        <v>17.600000000000001</v>
      </c>
      <c r="F90" s="4">
        <f t="shared" si="1"/>
        <v>3824.9502559055122</v>
      </c>
      <c r="G90" s="7">
        <v>9.68</v>
      </c>
      <c r="H90" s="7">
        <v>174.14</v>
      </c>
      <c r="I90" s="7">
        <f t="shared" si="70"/>
        <v>164.45999999999998</v>
      </c>
      <c r="J90" s="7">
        <v>153.78</v>
      </c>
      <c r="K90" s="5">
        <f t="shared" si="3"/>
        <v>6.493980299160877</v>
      </c>
      <c r="L90" s="4">
        <f t="shared" si="4"/>
        <v>3576.558739834305</v>
      </c>
      <c r="M90" s="2">
        <v>43440</v>
      </c>
      <c r="N90" s="7">
        <v>7.61</v>
      </c>
      <c r="O90" s="7">
        <v>3.16</v>
      </c>
      <c r="P90" s="7">
        <v>5.36</v>
      </c>
      <c r="Q90" s="6">
        <f t="shared" si="5"/>
        <v>0.39194063447663463</v>
      </c>
      <c r="R90" s="6">
        <f t="shared" si="6"/>
        <v>0.49735914995655706</v>
      </c>
      <c r="S90" s="6">
        <f t="shared" si="7"/>
        <v>0.11070021556680831</v>
      </c>
      <c r="T90" s="4">
        <f t="shared" si="8"/>
        <v>1499.1534301411725</v>
      </c>
      <c r="U90" s="4">
        <f t="shared" si="9"/>
        <v>1902.3740079032809</v>
      </c>
      <c r="V90" s="4">
        <f t="shared" si="10"/>
        <v>3401.5274380444534</v>
      </c>
      <c r="W90" s="4">
        <f t="shared" si="11"/>
        <v>1401.7987017336104</v>
      </c>
      <c r="X90" s="4">
        <f t="shared" si="12"/>
        <v>1778.8342146136849</v>
      </c>
      <c r="Y90" s="4">
        <f t="shared" si="13"/>
        <v>3180.6329163472956</v>
      </c>
      <c r="Z90" s="10"/>
      <c r="AA90" s="4"/>
      <c r="AB90" s="5"/>
      <c r="AC90" s="4"/>
      <c r="AD90" s="4"/>
      <c r="AE90" s="4"/>
      <c r="AF90" s="4"/>
      <c r="AH90" t="s">
        <v>260</v>
      </c>
      <c r="AI90" t="str">
        <f>C90</f>
        <v>Machine</v>
      </c>
      <c r="AJ90" s="8">
        <f>D90</f>
        <v>43403</v>
      </c>
      <c r="AK90" s="3">
        <f>SUM(E90:E92)</f>
        <v>52.9</v>
      </c>
      <c r="AL90" s="3">
        <f>(AK90-3*$A$35)*$A$36/(3*$A$37)*$A$38</f>
        <v>3832.3910695538057</v>
      </c>
      <c r="AM90" s="7">
        <f>SUM(G90:G92)</f>
        <v>28.4</v>
      </c>
      <c r="AN90" s="7">
        <f>SUM(H90:H92)</f>
        <v>447.45</v>
      </c>
      <c r="AO90" s="7">
        <f>AN90-AM90</f>
        <v>419.05</v>
      </c>
      <c r="AP90" s="7">
        <f>SUM(J90:J92)</f>
        <v>391.4</v>
      </c>
      <c r="AQ90" s="7">
        <f>(AO90-AP90)/AO90*100</f>
        <v>6.5982579644433921</v>
      </c>
      <c r="AR90" s="3">
        <f>AL90*(1-AQ90/100)</f>
        <v>3579.5200205783544</v>
      </c>
      <c r="AS90" s="11">
        <f>M90</f>
        <v>43440</v>
      </c>
      <c r="AT90" s="7">
        <f>SUM(N90:N92)</f>
        <v>23.029999999999998</v>
      </c>
      <c r="AU90" s="7">
        <f>SUM(O90:O92)</f>
        <v>9.36</v>
      </c>
      <c r="AV90" s="7">
        <f>SUM(P90:P92)</f>
        <v>16.100000000000001</v>
      </c>
      <c r="AW90" s="9">
        <f>(AU90-3*$A$39)/(AT90-3*$A$35*$A$36)</f>
        <v>0.3830829299409062</v>
      </c>
      <c r="AX90" s="9">
        <f>(AV90-3*$A$40)/(AT90-3*$A$35*$A$36)</f>
        <v>0.49381086307067873</v>
      </c>
      <c r="AY90" s="9">
        <f>1-AW90-AX90</f>
        <v>0.12310620698841507</v>
      </c>
      <c r="AZ90" s="3">
        <f>AL90*AW90</f>
        <v>1468.1235996040352</v>
      </c>
      <c r="BA90" s="3">
        <f>AL90*AX90</f>
        <v>1892.4763416807264</v>
      </c>
      <c r="BB90" s="3">
        <f>AZ90+BA90</f>
        <v>3360.5999412847614</v>
      </c>
      <c r="BC90" s="3">
        <f>AR90*AW90</f>
        <v>1371.2530172652889</v>
      </c>
      <c r="BD90" s="3">
        <f>AR90*AX90</f>
        <v>1767.6058707405709</v>
      </c>
      <c r="BE90" s="3">
        <f>BC90+BD90</f>
        <v>3138.8588880058596</v>
      </c>
      <c r="BF90" s="11">
        <f>Z91</f>
        <v>43451</v>
      </c>
      <c r="BG90" s="3">
        <f>AVERAGE(AA90:AA92)</f>
        <v>44.5</v>
      </c>
      <c r="BH90" s="7">
        <f t="shared" ref="BH90" si="81">AVERAGE(AB90:AB92)</f>
        <v>1.06</v>
      </c>
      <c r="BI90" s="3">
        <f t="shared" ref="BI90" si="82">AVERAGE(AC90:AC92)</f>
        <v>78.400000000000006</v>
      </c>
      <c r="BJ90" s="3">
        <f t="shared" ref="BJ90" si="83">AVERAGE(AD90:AD92)</f>
        <v>29.1</v>
      </c>
      <c r="BK90" s="3">
        <f t="shared" ref="BK90" si="84">AVERAGE(AE90:AE92)</f>
        <v>6.3</v>
      </c>
      <c r="BL90" s="3">
        <f t="shared" ref="BL90" si="85">AVERAGE(AF90:AF92)</f>
        <v>12.4</v>
      </c>
    </row>
    <row r="91" spans="1:64" x14ac:dyDescent="0.3">
      <c r="A91">
        <v>44</v>
      </c>
      <c r="B91" s="1" t="s">
        <v>95</v>
      </c>
      <c r="C91" s="1" t="s">
        <v>32</v>
      </c>
      <c r="D91" s="2">
        <v>43403</v>
      </c>
      <c r="E91" s="3">
        <v>18.7</v>
      </c>
      <c r="F91" s="4">
        <f t="shared" si="1"/>
        <v>4070.4971062992122</v>
      </c>
      <c r="G91" s="7">
        <v>9.02</v>
      </c>
      <c r="H91" s="7">
        <v>124</v>
      </c>
      <c r="I91" s="7">
        <f t="shared" si="70"/>
        <v>114.98</v>
      </c>
      <c r="J91" s="7">
        <v>106.99</v>
      </c>
      <c r="K91" s="5">
        <f t="shared" si="3"/>
        <v>6.9490346147156101</v>
      </c>
      <c r="L91" s="4">
        <f t="shared" si="4"/>
        <v>3787.6368533914829</v>
      </c>
      <c r="M91" s="2">
        <v>43440</v>
      </c>
      <c r="N91" s="7">
        <v>8.1999999999999993</v>
      </c>
      <c r="O91" s="7">
        <v>3.32</v>
      </c>
      <c r="P91" s="7">
        <v>5.6</v>
      </c>
      <c r="Q91" s="6">
        <f t="shared" si="5"/>
        <v>0.38302283958182853</v>
      </c>
      <c r="R91" s="6">
        <f t="shared" si="6"/>
        <v>0.4906697814250876</v>
      </c>
      <c r="S91" s="6">
        <f t="shared" si="7"/>
        <v>0.12630737899308392</v>
      </c>
      <c r="T91" s="4">
        <f t="shared" si="8"/>
        <v>1559.0933601643403</v>
      </c>
      <c r="U91" s="4">
        <f t="shared" si="9"/>
        <v>1997.269925439286</v>
      </c>
      <c r="V91" s="4">
        <f t="shared" si="10"/>
        <v>3556.3632856036265</v>
      </c>
      <c r="W91" s="4">
        <f t="shared" si="11"/>
        <v>1450.7514228907878</v>
      </c>
      <c r="X91" s="4">
        <f t="shared" si="12"/>
        <v>1858.4789469712055</v>
      </c>
      <c r="Y91" s="4">
        <f t="shared" si="13"/>
        <v>3309.2303698619935</v>
      </c>
      <c r="Z91" s="10">
        <v>43451</v>
      </c>
      <c r="AA91" s="4">
        <v>44.5</v>
      </c>
      <c r="AB91" s="5">
        <v>1.06</v>
      </c>
      <c r="AC91" s="4">
        <v>78.400000000000006</v>
      </c>
      <c r="AD91" s="4">
        <v>29.1</v>
      </c>
      <c r="AE91" s="4">
        <v>6.3</v>
      </c>
      <c r="AF91" s="4">
        <v>12.4</v>
      </c>
      <c r="AK91" s="3"/>
      <c r="AL91" s="3"/>
      <c r="AM91" s="7"/>
      <c r="AN91" s="7"/>
      <c r="AO91" s="7"/>
      <c r="AP91" s="7"/>
      <c r="AQ91" s="7"/>
      <c r="AR91" s="3"/>
      <c r="AS91" s="3"/>
      <c r="AT91" s="7"/>
      <c r="AU91" s="7"/>
      <c r="AV91" s="7"/>
      <c r="AW91" s="9"/>
      <c r="AX91" s="9"/>
      <c r="AY91" s="9"/>
      <c r="AZ91" s="3"/>
      <c r="BA91" s="3"/>
      <c r="BB91" s="3"/>
      <c r="BC91" s="3"/>
      <c r="BD91" s="3"/>
      <c r="BE91" s="3"/>
      <c r="BG91" s="3"/>
      <c r="BH91" s="7"/>
      <c r="BI91" s="3"/>
      <c r="BJ91" s="3"/>
      <c r="BK91" s="3"/>
      <c r="BL91" s="3"/>
    </row>
    <row r="92" spans="1:64" x14ac:dyDescent="0.3">
      <c r="A92">
        <v>45</v>
      </c>
      <c r="B92" s="1" t="s">
        <v>96</v>
      </c>
      <c r="C92" s="1" t="s">
        <v>32</v>
      </c>
      <c r="D92" s="2">
        <v>43403</v>
      </c>
      <c r="E92" s="3">
        <v>16.600000000000001</v>
      </c>
      <c r="F92" s="4">
        <f t="shared" si="1"/>
        <v>3601.725846456693</v>
      </c>
      <c r="G92" s="7">
        <v>9.6999999999999993</v>
      </c>
      <c r="H92" s="7">
        <v>149.31</v>
      </c>
      <c r="I92" s="7">
        <f t="shared" si="70"/>
        <v>139.61000000000001</v>
      </c>
      <c r="J92" s="7">
        <v>130.63</v>
      </c>
      <c r="K92" s="5">
        <f t="shared" si="3"/>
        <v>6.4322039968483766</v>
      </c>
      <c r="L92" s="4">
        <f t="shared" si="4"/>
        <v>3370.0554926053846</v>
      </c>
      <c r="M92" s="2">
        <v>43440</v>
      </c>
      <c r="N92" s="7">
        <v>7.22</v>
      </c>
      <c r="O92" s="7">
        <v>2.88</v>
      </c>
      <c r="P92" s="7">
        <v>5.14</v>
      </c>
      <c r="Q92" s="6">
        <f t="shared" si="5"/>
        <v>0.37380085612722924</v>
      </c>
      <c r="R92" s="6">
        <f t="shared" si="6"/>
        <v>0.49364540541992863</v>
      </c>
      <c r="S92" s="6">
        <f t="shared" si="7"/>
        <v>0.13255373845284213</v>
      </c>
      <c r="T92" s="4">
        <f t="shared" si="8"/>
        <v>1346.3282049410814</v>
      </c>
      <c r="U92" s="4">
        <f t="shared" si="9"/>
        <v>1777.9754156855499</v>
      </c>
      <c r="V92" s="4">
        <f t="shared" si="10"/>
        <v>3124.3036206266315</v>
      </c>
      <c r="W92" s="4">
        <f t="shared" si="11"/>
        <v>1259.7296283321641</v>
      </c>
      <c r="X92" s="4">
        <f t="shared" si="12"/>
        <v>1663.6124099348424</v>
      </c>
      <c r="Y92" s="4">
        <f t="shared" si="13"/>
        <v>2923.3420382670065</v>
      </c>
      <c r="Z92" s="10"/>
      <c r="AA92" s="4"/>
      <c r="AB92" s="5"/>
      <c r="AC92" s="4"/>
      <c r="AD92" s="4"/>
      <c r="AE92" s="4"/>
      <c r="AF92" s="4"/>
      <c r="AK92" s="3"/>
      <c r="AL92" s="3"/>
      <c r="AM92" s="7"/>
      <c r="AN92" s="7"/>
      <c r="AO92" s="7"/>
      <c r="AP92" s="7"/>
      <c r="AQ92" s="7"/>
      <c r="AR92" s="3"/>
      <c r="AS92" s="3"/>
      <c r="AT92" s="7"/>
      <c r="AU92" s="7"/>
      <c r="AV92" s="7"/>
      <c r="AW92" s="9"/>
      <c r="AX92" s="9"/>
      <c r="AY92" s="9"/>
      <c r="AZ92" s="3"/>
      <c r="BA92" s="3"/>
      <c r="BB92" s="3"/>
      <c r="BC92" s="3"/>
      <c r="BD92" s="3"/>
      <c r="BE92" s="3"/>
      <c r="BG92" s="3"/>
      <c r="BH92" s="7"/>
      <c r="BI92" s="3"/>
      <c r="BJ92" s="3"/>
      <c r="BK92" s="3"/>
      <c r="BL92" s="3"/>
    </row>
    <row r="93" spans="1:64" x14ac:dyDescent="0.3">
      <c r="A93">
        <v>46</v>
      </c>
      <c r="B93" s="1" t="s">
        <v>97</v>
      </c>
      <c r="C93" s="1" t="s">
        <v>32</v>
      </c>
      <c r="D93" s="2">
        <v>43403</v>
      </c>
      <c r="E93" s="3">
        <v>16.600000000000001</v>
      </c>
      <c r="F93" s="4">
        <f t="shared" si="1"/>
        <v>3601.725846456693</v>
      </c>
      <c r="G93" s="7">
        <v>9.66</v>
      </c>
      <c r="H93" s="7">
        <v>225.31</v>
      </c>
      <c r="I93" s="7">
        <f t="shared" si="70"/>
        <v>215.65</v>
      </c>
      <c r="J93" s="7">
        <v>199.3</v>
      </c>
      <c r="K93" s="5">
        <f t="shared" si="3"/>
        <v>7.581729654532805</v>
      </c>
      <c r="L93" s="4">
        <f t="shared" si="4"/>
        <v>3328.6527298809133</v>
      </c>
      <c r="M93" s="2">
        <v>43440</v>
      </c>
      <c r="N93" s="7">
        <v>7.14</v>
      </c>
      <c r="O93" s="7">
        <v>2.96</v>
      </c>
      <c r="P93" s="7">
        <v>5.04</v>
      </c>
      <c r="Q93" s="6">
        <f t="shared" si="5"/>
        <v>0.38966213539249051</v>
      </c>
      <c r="R93" s="6">
        <f t="shared" si="6"/>
        <v>0.48491287959954377</v>
      </c>
      <c r="S93" s="6">
        <f t="shared" si="7"/>
        <v>0.12542498500796573</v>
      </c>
      <c r="T93" s="4">
        <f t="shared" si="8"/>
        <v>1403.4561844286404</v>
      </c>
      <c r="U93" s="4">
        <f t="shared" si="9"/>
        <v>1746.5232517334193</v>
      </c>
      <c r="V93" s="4">
        <f t="shared" si="10"/>
        <v>3149.9794361620598</v>
      </c>
      <c r="W93" s="4">
        <f t="shared" si="11"/>
        <v>1297.0499307054395</v>
      </c>
      <c r="X93" s="4">
        <f t="shared" si="12"/>
        <v>1614.106580433436</v>
      </c>
      <c r="Y93" s="4">
        <f t="shared" si="13"/>
        <v>2911.1565111388754</v>
      </c>
      <c r="Z93" s="10"/>
      <c r="AA93" s="4"/>
      <c r="AB93" s="5"/>
      <c r="AC93" s="4"/>
      <c r="AD93" s="4"/>
      <c r="AE93" s="4"/>
      <c r="AF93" s="4"/>
      <c r="AH93" t="s">
        <v>261</v>
      </c>
      <c r="AI93" t="str">
        <f>C93</f>
        <v>Machine</v>
      </c>
      <c r="AJ93" s="8">
        <f>D93</f>
        <v>43403</v>
      </c>
      <c r="AK93" s="3">
        <f>SUM(E93:E95)</f>
        <v>48.3</v>
      </c>
      <c r="AL93" s="3">
        <f>(AK93-3*$A$35)*$A$36/(3*$A$37)*$A$38</f>
        <v>3490.1136417322832</v>
      </c>
      <c r="AM93" s="7">
        <f>SUM(G93:G95)</f>
        <v>28.41</v>
      </c>
      <c r="AN93" s="7">
        <f>SUM(H93:H95)</f>
        <v>642.17999999999995</v>
      </c>
      <c r="AO93" s="7">
        <f>AN93-AM93</f>
        <v>613.77</v>
      </c>
      <c r="AP93" s="7">
        <f>SUM(J93:J95)</f>
        <v>568.55000000000007</v>
      </c>
      <c r="AQ93" s="7">
        <f>(AO93-AP93)/AO93*100</f>
        <v>7.3675806898349405</v>
      </c>
      <c r="AR93" s="3">
        <f>AL93*(1-AQ93/100)</f>
        <v>3232.9767030107205</v>
      </c>
      <c r="AS93" s="11">
        <f>M93</f>
        <v>43440</v>
      </c>
      <c r="AT93" s="7">
        <f>SUM(N93:N95)</f>
        <v>20.73</v>
      </c>
      <c r="AU93" s="7">
        <f>SUM(O93:O95)</f>
        <v>8.5399999999999991</v>
      </c>
      <c r="AV93" s="7">
        <f>SUM(P93:P95)</f>
        <v>14.78</v>
      </c>
      <c r="AW93" s="9">
        <f>(AU93-3*$A$39)/(AT93-3*$A$35*$A$36)</f>
        <v>0.38612268770950919</v>
      </c>
      <c r="AX93" s="9">
        <f>(AV93-3*$A$40)/(AT93-3*$A$35*$A$36)</f>
        <v>0.48464368276940972</v>
      </c>
      <c r="AY93" s="9">
        <f>1-AW93-AX93</f>
        <v>0.12923362952108108</v>
      </c>
      <c r="AZ93" s="3">
        <f>AL93*AW93</f>
        <v>1347.6120597572922</v>
      </c>
      <c r="BA93" s="3">
        <f>AL93*AX93</f>
        <v>1691.4615286128899</v>
      </c>
      <c r="BB93" s="3">
        <f>AZ93+BA93</f>
        <v>3039.0735883701818</v>
      </c>
      <c r="BC93" s="3">
        <f>AR93*AW93</f>
        <v>1248.3256538687272</v>
      </c>
      <c r="BD93" s="3">
        <f>AR93*AX93</f>
        <v>1566.8417356548198</v>
      </c>
      <c r="BE93" s="3">
        <f>BC93+BD93</f>
        <v>2815.1673895235472</v>
      </c>
      <c r="BF93" s="11">
        <f>Z94</f>
        <v>43451</v>
      </c>
      <c r="BG93" s="3">
        <f>AVERAGE(AA93:AA95)</f>
        <v>53.6</v>
      </c>
      <c r="BH93" s="7">
        <f t="shared" ref="BH93" si="86">AVERAGE(AB93:AB95)</f>
        <v>0.99</v>
      </c>
      <c r="BI93" s="3">
        <f t="shared" ref="BI93" si="87">AVERAGE(AC93:AC95)</f>
        <v>76</v>
      </c>
      <c r="BJ93" s="3">
        <f t="shared" ref="BJ93" si="88">AVERAGE(AD93:AD95)</f>
        <v>25.6</v>
      </c>
      <c r="BK93" s="3">
        <f t="shared" ref="BK93" si="89">AVERAGE(AE93:AE95)</f>
        <v>6.5</v>
      </c>
      <c r="BL93" s="3">
        <f t="shared" ref="BL93" si="90">AVERAGE(AF93:AF95)</f>
        <v>15</v>
      </c>
    </row>
    <row r="94" spans="1:64" x14ac:dyDescent="0.3">
      <c r="A94">
        <v>47</v>
      </c>
      <c r="B94" s="1" t="s">
        <v>98</v>
      </c>
      <c r="C94" s="1" t="s">
        <v>32</v>
      </c>
      <c r="D94" s="2">
        <v>43403</v>
      </c>
      <c r="E94" s="3">
        <v>18.7</v>
      </c>
      <c r="F94" s="4">
        <f t="shared" si="1"/>
        <v>4070.4971062992122</v>
      </c>
      <c r="G94" s="7">
        <v>9.0500000000000007</v>
      </c>
      <c r="H94" s="7">
        <v>267.02</v>
      </c>
      <c r="I94" s="7">
        <f t="shared" si="70"/>
        <v>257.96999999999997</v>
      </c>
      <c r="J94" s="7">
        <v>239.28</v>
      </c>
      <c r="K94" s="5">
        <f t="shared" si="3"/>
        <v>7.2450284916850682</v>
      </c>
      <c r="L94" s="4">
        <f t="shared" si="4"/>
        <v>3775.5884311946179</v>
      </c>
      <c r="M94" s="2">
        <v>43440</v>
      </c>
      <c r="N94" s="7">
        <v>8.02</v>
      </c>
      <c r="O94" s="7">
        <v>3.28</v>
      </c>
      <c r="P94" s="7">
        <v>5.48</v>
      </c>
      <c r="Q94" s="6">
        <f t="shared" si="5"/>
        <v>0.38672930848245968</v>
      </c>
      <c r="R94" s="6">
        <f t="shared" si="6"/>
        <v>0.48661303716336002</v>
      </c>
      <c r="S94" s="6">
        <f t="shared" si="7"/>
        <v>0.1266576543541803</v>
      </c>
      <c r="T94" s="4">
        <f t="shared" si="8"/>
        <v>1574.1805310989475</v>
      </c>
      <c r="U94" s="4">
        <f t="shared" si="9"/>
        <v>1980.756959660928</v>
      </c>
      <c r="V94" s="4">
        <f t="shared" si="10"/>
        <v>3554.9374907598758</v>
      </c>
      <c r="W94" s="4">
        <f t="shared" si="11"/>
        <v>1460.1307031102695</v>
      </c>
      <c r="X94" s="4">
        <f t="shared" si="12"/>
        <v>1837.2505535824587</v>
      </c>
      <c r="Y94" s="4">
        <f t="shared" si="13"/>
        <v>3297.3812566927281</v>
      </c>
      <c r="Z94" s="10">
        <v>43451</v>
      </c>
      <c r="AA94" s="4">
        <v>53.6</v>
      </c>
      <c r="AB94" s="5">
        <v>0.99</v>
      </c>
      <c r="AC94" s="4">
        <v>76</v>
      </c>
      <c r="AD94" s="4">
        <v>25.6</v>
      </c>
      <c r="AE94" s="4">
        <v>6.5</v>
      </c>
      <c r="AF94" s="4">
        <v>15</v>
      </c>
      <c r="AK94" s="3"/>
      <c r="AL94" s="3"/>
      <c r="AM94" s="7"/>
      <c r="AN94" s="7"/>
      <c r="AO94" s="7"/>
      <c r="AP94" s="7"/>
      <c r="AQ94" s="7"/>
      <c r="AR94" s="3"/>
      <c r="AS94" s="3"/>
      <c r="AT94" s="7"/>
      <c r="AU94" s="7"/>
      <c r="AV94" s="7"/>
      <c r="AW94" s="9"/>
      <c r="AX94" s="9"/>
      <c r="AY94" s="9"/>
      <c r="AZ94" s="3"/>
      <c r="BA94" s="3"/>
      <c r="BB94" s="3"/>
      <c r="BC94" s="3"/>
      <c r="BD94" s="3"/>
      <c r="BE94" s="3"/>
      <c r="BG94" s="3"/>
      <c r="BH94" s="7"/>
      <c r="BI94" s="3"/>
      <c r="BJ94" s="3"/>
      <c r="BK94" s="3"/>
      <c r="BL94" s="3"/>
    </row>
    <row r="95" spans="1:64" x14ac:dyDescent="0.3">
      <c r="A95">
        <v>48</v>
      </c>
      <c r="B95" s="1" t="s">
        <v>99</v>
      </c>
      <c r="C95" s="1" t="s">
        <v>32</v>
      </c>
      <c r="D95" s="2">
        <v>43403</v>
      </c>
      <c r="E95" s="3">
        <v>13</v>
      </c>
      <c r="F95" s="4">
        <f t="shared" si="1"/>
        <v>2798.1179724409444</v>
      </c>
      <c r="G95" s="7">
        <v>9.6999999999999993</v>
      </c>
      <c r="H95" s="7">
        <v>149.85</v>
      </c>
      <c r="I95" s="7">
        <f t="shared" si="70"/>
        <v>140.15</v>
      </c>
      <c r="J95" s="7">
        <v>129.97</v>
      </c>
      <c r="K95" s="5">
        <f t="shared" si="3"/>
        <v>7.2636460934712845</v>
      </c>
      <c r="L95" s="4">
        <f t="shared" si="4"/>
        <v>2594.8725856450196</v>
      </c>
      <c r="M95" s="2">
        <v>43440</v>
      </c>
      <c r="N95" s="7">
        <v>5.57</v>
      </c>
      <c r="O95" s="7">
        <v>2.2999999999999998</v>
      </c>
      <c r="P95" s="7">
        <v>4.26</v>
      </c>
      <c r="Q95" s="6">
        <f t="shared" si="5"/>
        <v>0.38066237238209993</v>
      </c>
      <c r="R95" s="6">
        <f t="shared" si="6"/>
        <v>0.48142594154206758</v>
      </c>
      <c r="S95" s="6">
        <f t="shared" si="7"/>
        <v>0.13791168607583254</v>
      </c>
      <c r="T95" s="4">
        <f t="shared" si="8"/>
        <v>1065.1382255943613</v>
      </c>
      <c r="U95" s="4">
        <f t="shared" si="9"/>
        <v>1347.0865794281628</v>
      </c>
      <c r="V95" s="4">
        <f t="shared" si="10"/>
        <v>2412.2248050225244</v>
      </c>
      <c r="W95" s="4">
        <f t="shared" si="11"/>
        <v>987.77035448090692</v>
      </c>
      <c r="X95" s="4">
        <f t="shared" si="12"/>
        <v>1249.2389777258529</v>
      </c>
      <c r="Y95" s="4">
        <f t="shared" si="13"/>
        <v>2237.0093322067596</v>
      </c>
      <c r="Z95" s="10"/>
      <c r="AA95" s="4"/>
      <c r="AB95" s="5"/>
      <c r="AC95" s="4"/>
      <c r="AD95" s="4"/>
      <c r="AE95" s="4"/>
      <c r="AF95" s="4"/>
      <c r="AK95" s="3"/>
      <c r="AL95" s="3"/>
      <c r="AM95" s="7"/>
      <c r="AN95" s="7"/>
      <c r="AO95" s="7"/>
      <c r="AP95" s="7"/>
      <c r="AQ95" s="7"/>
      <c r="AR95" s="3"/>
      <c r="AS95" s="3"/>
      <c r="AT95" s="7"/>
      <c r="AU95" s="7"/>
      <c r="AV95" s="7"/>
      <c r="AW95" s="9"/>
      <c r="AX95" s="9"/>
      <c r="AY95" s="9"/>
      <c r="AZ95" s="3"/>
      <c r="BA95" s="3"/>
      <c r="BB95" s="3"/>
      <c r="BC95" s="3"/>
      <c r="BD95" s="3"/>
      <c r="BE95" s="3"/>
      <c r="BG95" s="3"/>
      <c r="BH95" s="7"/>
      <c r="BI95" s="3"/>
      <c r="BJ95" s="3"/>
      <c r="BK95" s="3"/>
      <c r="BL95" s="3"/>
    </row>
    <row r="96" spans="1:64" x14ac:dyDescent="0.3">
      <c r="A96">
        <v>49</v>
      </c>
      <c r="B96" s="1" t="s">
        <v>100</v>
      </c>
      <c r="C96" s="1" t="s">
        <v>32</v>
      </c>
      <c r="D96" s="2">
        <v>43403</v>
      </c>
      <c r="E96" s="3">
        <v>13.5</v>
      </c>
      <c r="F96" s="4">
        <f t="shared" si="1"/>
        <v>2909.7301771653542</v>
      </c>
      <c r="G96" s="7">
        <v>9.6999999999999993</v>
      </c>
      <c r="H96" s="7">
        <v>137.72999999999999</v>
      </c>
      <c r="I96" s="7">
        <f t="shared" si="2"/>
        <v>128.03</v>
      </c>
      <c r="J96" s="7">
        <v>118.44</v>
      </c>
      <c r="K96" s="5">
        <f t="shared" si="3"/>
        <v>7.4904319300164044</v>
      </c>
      <c r="L96" s="4">
        <f t="shared" si="4"/>
        <v>2691.7788188976374</v>
      </c>
      <c r="M96" s="2">
        <v>43440</v>
      </c>
      <c r="N96" s="7">
        <v>5.83</v>
      </c>
      <c r="O96" s="7">
        <v>2.42</v>
      </c>
      <c r="P96" s="7">
        <v>4.34</v>
      </c>
      <c r="Q96" s="6">
        <f t="shared" si="5"/>
        <v>0.38440458360323815</v>
      </c>
      <c r="R96" s="6">
        <f t="shared" si="6"/>
        <v>0.4733871261039877</v>
      </c>
      <c r="S96" s="6">
        <f t="shared" si="7"/>
        <v>0.14220829029277415</v>
      </c>
      <c r="T96" s="4">
        <f t="shared" si="8"/>
        <v>1118.5136171510244</v>
      </c>
      <c r="U96" s="4">
        <f t="shared" si="9"/>
        <v>1377.4288063063541</v>
      </c>
      <c r="V96" s="4">
        <f t="shared" si="10"/>
        <v>2495.9424234573785</v>
      </c>
      <c r="W96" s="4">
        <f t="shared" si="11"/>
        <v>1034.7321160303625</v>
      </c>
      <c r="X96" s="4">
        <f t="shared" si="12"/>
        <v>1274.253439185539</v>
      </c>
      <c r="Y96" s="4">
        <f t="shared" si="13"/>
        <v>2308.9855552159015</v>
      </c>
      <c r="Z96" s="10"/>
      <c r="AA96" s="4"/>
      <c r="AB96" s="5"/>
      <c r="AC96" s="4"/>
      <c r="AD96" s="4"/>
      <c r="AE96" s="4"/>
      <c r="AF96" s="4"/>
      <c r="AH96" t="s">
        <v>262</v>
      </c>
      <c r="AI96" t="str">
        <f>C96</f>
        <v>Machine</v>
      </c>
      <c r="AJ96" s="8">
        <f>D96</f>
        <v>43403</v>
      </c>
      <c r="AK96" s="3">
        <f>SUM(E96:E98)</f>
        <v>36.200000000000003</v>
      </c>
      <c r="AL96" s="3">
        <f>(AK96-3*$A$35)*$A$36/(3*$A$37)*$A$38</f>
        <v>2589.7751902887139</v>
      </c>
      <c r="AM96" s="7">
        <f>SUM(G96:G98)</f>
        <v>29.15</v>
      </c>
      <c r="AN96" s="7">
        <f>SUM(H96:H98)</f>
        <v>444.43</v>
      </c>
      <c r="AO96" s="7">
        <f>AN96-AM96</f>
        <v>415.28000000000003</v>
      </c>
      <c r="AP96" s="7">
        <f>SUM(J96:J98)</f>
        <v>381.56</v>
      </c>
      <c r="AQ96" s="7">
        <f>(AO96-AP96)/AO96*100</f>
        <v>8.1198227701791623</v>
      </c>
      <c r="AR96" s="3">
        <f>AL96*(1-AQ96/100)</f>
        <v>2379.4900346912</v>
      </c>
      <c r="AS96" s="11">
        <f>M96</f>
        <v>43440</v>
      </c>
      <c r="AT96" s="7">
        <f>SUM(N96:N98)</f>
        <v>10.75</v>
      </c>
      <c r="AU96" s="7">
        <f>SUM(O96:O98)</f>
        <v>4.5199999999999996</v>
      </c>
      <c r="AV96" s="7">
        <f>SUM(P96:P98)</f>
        <v>8.26</v>
      </c>
      <c r="AW96" s="9">
        <f>(AU96-2*$A$39)/(AT96-2*$A$35*$A$36)</f>
        <v>0.3872906903923628</v>
      </c>
      <c r="AX96" s="9">
        <f>(AV96-2*$A$40)/(AT96-2*$A$35*$A$36)</f>
        <v>0.47443109573064457</v>
      </c>
      <c r="AY96" s="9">
        <f>1-AW96-AX96</f>
        <v>0.13827821387699268</v>
      </c>
      <c r="AZ96" s="3">
        <f>AL96*AW96</f>
        <v>1002.9958214079288</v>
      </c>
      <c r="BA96" s="3">
        <f>AL96*AX96</f>
        <v>1228.6698812247132</v>
      </c>
      <c r="BB96" s="3">
        <f>AZ96+BA96</f>
        <v>2231.665702632642</v>
      </c>
      <c r="BC96" s="3">
        <f>AR96*AW96</f>
        <v>921.55433831730215</v>
      </c>
      <c r="BD96" s="3">
        <f>AR96*AX96</f>
        <v>1128.9040644386955</v>
      </c>
      <c r="BE96" s="3">
        <f>BC96+BD96</f>
        <v>2050.4584027559977</v>
      </c>
      <c r="BF96" s="11">
        <f>Z97</f>
        <v>43451</v>
      </c>
      <c r="BG96" s="3">
        <f>AVERAGE(AA96:AA98)</f>
        <v>51.900000000000006</v>
      </c>
      <c r="BH96" s="7">
        <f t="shared" ref="BH96" si="91">AVERAGE(AB96:AB98)</f>
        <v>0.95</v>
      </c>
      <c r="BI96" s="3">
        <f t="shared" ref="BI96" si="92">AVERAGE(AC96:AC98)</f>
        <v>76.099999999999994</v>
      </c>
      <c r="BJ96" s="3">
        <f t="shared" ref="BJ96" si="93">AVERAGE(AD96:AD98)</f>
        <v>23.6</v>
      </c>
      <c r="BK96" s="3">
        <f t="shared" ref="BK96" si="94">AVERAGE(AE96:AE98)</f>
        <v>6.5</v>
      </c>
      <c r="BL96" s="3">
        <f t="shared" ref="BL96" si="95">AVERAGE(AF96:AF98)</f>
        <v>15.1</v>
      </c>
    </row>
    <row r="97" spans="1:64" x14ac:dyDescent="0.3">
      <c r="A97">
        <v>50</v>
      </c>
      <c r="B97" s="1" t="s">
        <v>101</v>
      </c>
      <c r="C97" s="1" t="s">
        <v>32</v>
      </c>
      <c r="D97" s="2">
        <v>43403</v>
      </c>
      <c r="E97" s="3">
        <v>11.6</v>
      </c>
      <c r="F97" s="4">
        <f t="shared" si="1"/>
        <v>2485.6037992125985</v>
      </c>
      <c r="G97" s="7">
        <v>9.76</v>
      </c>
      <c r="H97" s="7">
        <v>156.77000000000001</v>
      </c>
      <c r="I97" s="7">
        <f t="shared" si="2"/>
        <v>147.01000000000002</v>
      </c>
      <c r="J97" s="7">
        <v>135.63</v>
      </c>
      <c r="K97" s="5">
        <f t="shared" si="3"/>
        <v>7.740970002040692</v>
      </c>
      <c r="L97" s="4">
        <f t="shared" si="4"/>
        <v>2293.1939547459674</v>
      </c>
      <c r="M97" s="2">
        <v>43440</v>
      </c>
      <c r="N97" s="7">
        <v>4.92</v>
      </c>
      <c r="O97" s="7">
        <v>2.1</v>
      </c>
      <c r="P97" s="7">
        <v>3.92</v>
      </c>
      <c r="Q97" s="6">
        <f t="shared" si="5"/>
        <v>0.39073451914294627</v>
      </c>
      <c r="R97" s="6">
        <f t="shared" si="6"/>
        <v>0.47567680591315198</v>
      </c>
      <c r="S97" s="6">
        <f t="shared" si="7"/>
        <v>0.1335886749439017</v>
      </c>
      <c r="T97" s="4">
        <f t="shared" si="8"/>
        <v>971.21120526521497</v>
      </c>
      <c r="U97" s="4">
        <f t="shared" si="9"/>
        <v>1182.3440759750445</v>
      </c>
      <c r="V97" s="4">
        <f t="shared" si="10"/>
        <v>2153.5552812402593</v>
      </c>
      <c r="W97" s="4">
        <f t="shared" si="11"/>
        <v>896.03003720917684</v>
      </c>
      <c r="X97" s="4">
        <f t="shared" si="12"/>
        <v>1090.8191757329109</v>
      </c>
      <c r="Y97" s="4">
        <f t="shared" si="13"/>
        <v>1986.8492129420879</v>
      </c>
      <c r="Z97" s="10">
        <v>43451</v>
      </c>
      <c r="AA97" s="4">
        <v>51.900000000000006</v>
      </c>
      <c r="AB97" s="5">
        <v>0.95</v>
      </c>
      <c r="AC97" s="4">
        <v>76.099999999999994</v>
      </c>
      <c r="AD97" s="4">
        <v>23.6</v>
      </c>
      <c r="AE97" s="4">
        <v>6.5</v>
      </c>
      <c r="AF97" s="4">
        <v>15.1</v>
      </c>
      <c r="AK97" s="3"/>
      <c r="AL97" s="3"/>
      <c r="AM97" s="7"/>
      <c r="AN97" s="7"/>
      <c r="AO97" s="7"/>
      <c r="AP97" s="7"/>
      <c r="AQ97" s="7"/>
      <c r="AR97" s="3"/>
      <c r="AS97" s="3"/>
      <c r="AT97" s="7"/>
      <c r="AU97" s="7"/>
      <c r="AV97" s="7"/>
      <c r="AW97" s="9"/>
      <c r="AX97" s="9"/>
      <c r="AY97" s="9"/>
      <c r="AZ97" s="3"/>
      <c r="BA97" s="3"/>
      <c r="BB97" s="3"/>
      <c r="BC97" s="3"/>
      <c r="BD97" s="3"/>
      <c r="BE97" s="3"/>
      <c r="BG97" s="3"/>
      <c r="BH97" s="7"/>
      <c r="BI97" s="3"/>
      <c r="BJ97" s="3"/>
      <c r="BK97" s="3"/>
      <c r="BL97" s="3"/>
    </row>
    <row r="98" spans="1:64" x14ac:dyDescent="0.3">
      <c r="A98">
        <v>51</v>
      </c>
      <c r="B98" s="1" t="s">
        <v>102</v>
      </c>
      <c r="C98" s="1" t="s">
        <v>32</v>
      </c>
      <c r="D98" s="2">
        <v>43403</v>
      </c>
      <c r="E98" s="3">
        <v>11.1</v>
      </c>
      <c r="F98" s="4">
        <f t="shared" si="1"/>
        <v>2373.9915944881886</v>
      </c>
      <c r="G98" s="7">
        <v>9.69</v>
      </c>
      <c r="H98" s="7">
        <v>149.93</v>
      </c>
      <c r="I98" s="7">
        <f t="shared" si="2"/>
        <v>140.24</v>
      </c>
      <c r="J98" s="7">
        <v>127.49</v>
      </c>
      <c r="K98" s="5">
        <f t="shared" si="3"/>
        <v>9.0915573302909394</v>
      </c>
      <c r="L98" s="4">
        <f t="shared" si="4"/>
        <v>2158.158787659007</v>
      </c>
      <c r="M98" s="2">
        <v>43440</v>
      </c>
      <c r="N98" s="7"/>
      <c r="O98" s="7"/>
      <c r="P98" s="7"/>
      <c r="Q98" s="6"/>
      <c r="R98" s="6"/>
      <c r="S98" s="6"/>
      <c r="T98" s="4"/>
      <c r="U98" s="4"/>
      <c r="V98" s="4"/>
      <c r="W98" s="4"/>
      <c r="X98" s="4"/>
      <c r="Y98" s="4"/>
      <c r="Z98" s="10"/>
      <c r="AA98" s="4"/>
      <c r="AB98" s="5"/>
      <c r="AC98" s="4"/>
      <c r="AD98" s="4"/>
      <c r="AE98" s="4"/>
      <c r="AF98" s="4"/>
      <c r="AK98" s="3"/>
      <c r="AL98" s="3"/>
      <c r="AM98" s="7"/>
      <c r="AN98" s="7"/>
      <c r="AO98" s="7"/>
      <c r="AP98" s="7"/>
      <c r="AQ98" s="7"/>
      <c r="AR98" s="3"/>
      <c r="AS98" s="3"/>
      <c r="AT98" s="7"/>
      <c r="AU98" s="7"/>
      <c r="AV98" s="7"/>
      <c r="AW98" s="9"/>
      <c r="AX98" s="9"/>
      <c r="AY98" s="9"/>
      <c r="AZ98" s="3"/>
      <c r="BA98" s="3"/>
      <c r="BB98" s="3"/>
      <c r="BC98" s="3"/>
      <c r="BD98" s="3"/>
      <c r="BE98" s="3"/>
      <c r="BG98" s="3"/>
      <c r="BH98" s="7"/>
      <c r="BI98" s="3"/>
      <c r="BJ98" s="3"/>
      <c r="BK98" s="3"/>
      <c r="BL98" s="3"/>
    </row>
    <row r="99" spans="1:64" x14ac:dyDescent="0.3">
      <c r="A99">
        <v>52</v>
      </c>
      <c r="B99" s="1" t="s">
        <v>103</v>
      </c>
      <c r="C99" s="1" t="s">
        <v>32</v>
      </c>
      <c r="D99" s="2">
        <v>43403</v>
      </c>
      <c r="E99" s="3">
        <v>14.4</v>
      </c>
      <c r="F99" s="4">
        <f t="shared" si="1"/>
        <v>3110.6321456692913</v>
      </c>
      <c r="G99" s="7">
        <v>9.7100000000000009</v>
      </c>
      <c r="H99" s="7">
        <v>135.72999999999999</v>
      </c>
      <c r="I99" s="7">
        <f t="shared" si="2"/>
        <v>126.01999999999998</v>
      </c>
      <c r="J99" s="7">
        <v>117.12</v>
      </c>
      <c r="K99" s="5">
        <f t="shared" si="3"/>
        <v>7.0623710522139174</v>
      </c>
      <c r="L99" s="4">
        <f t="shared" si="4"/>
        <v>2890.9477614726825</v>
      </c>
      <c r="M99" s="2">
        <v>43440</v>
      </c>
      <c r="N99" s="7">
        <v>6.25</v>
      </c>
      <c r="O99" s="7">
        <v>2.58</v>
      </c>
      <c r="P99" s="7">
        <v>4.5999999999999996</v>
      </c>
      <c r="Q99" s="6">
        <f t="shared" si="5"/>
        <v>0.3841644931953308</v>
      </c>
      <c r="R99" s="6">
        <f t="shared" si="6"/>
        <v>0.48351737936653699</v>
      </c>
      <c r="S99" s="6">
        <f t="shared" si="7"/>
        <v>0.13231812743813226</v>
      </c>
      <c r="T99" s="4">
        <f t="shared" si="8"/>
        <v>1194.9944217581476</v>
      </c>
      <c r="U99" s="4">
        <f t="shared" si="9"/>
        <v>1504.0447032473237</v>
      </c>
      <c r="V99" s="4">
        <f t="shared" si="10"/>
        <v>2699.0391250054713</v>
      </c>
      <c r="W99" s="4">
        <f t="shared" si="11"/>
        <v>1110.5994816403293</v>
      </c>
      <c r="X99" s="4">
        <f t="shared" si="12"/>
        <v>1397.8234855128278</v>
      </c>
      <c r="Y99" s="4">
        <f t="shared" si="13"/>
        <v>2508.4229671531571</v>
      </c>
      <c r="Z99" s="10"/>
      <c r="AA99" s="4"/>
      <c r="AB99" s="5"/>
      <c r="AC99" s="4"/>
      <c r="AD99" s="4"/>
      <c r="AE99" s="4"/>
      <c r="AF99" s="4"/>
      <c r="AH99" t="s">
        <v>263</v>
      </c>
      <c r="AI99" t="str">
        <f>C99</f>
        <v>Machine</v>
      </c>
      <c r="AJ99" s="8">
        <f>D99</f>
        <v>43403</v>
      </c>
      <c r="AK99" s="3">
        <f>SUM(E99:E101)</f>
        <v>50.2</v>
      </c>
      <c r="AL99" s="3">
        <f>(AK99-3*$A$35)*$A$36/(3*$A$37)*$A$38</f>
        <v>3631.4891010498691</v>
      </c>
      <c r="AM99" s="7">
        <f>SUM(G99:G101)</f>
        <v>29.130000000000003</v>
      </c>
      <c r="AN99" s="7">
        <f>SUM(H99:H101)</f>
        <v>443.25</v>
      </c>
      <c r="AO99" s="7">
        <f>AN99-AM99</f>
        <v>414.12</v>
      </c>
      <c r="AP99" s="7">
        <f>SUM(J99:J101)</f>
        <v>385.59000000000003</v>
      </c>
      <c r="AQ99" s="7">
        <f>(AO99-AP99)/AO99*100</f>
        <v>6.8893074471167717</v>
      </c>
      <c r="AR99" s="3">
        <f>AL99*(1-AQ99/100)</f>
        <v>3381.3046519700065</v>
      </c>
      <c r="AS99" s="11">
        <f>M99</f>
        <v>43440</v>
      </c>
      <c r="AT99" s="7">
        <f>SUM(N99:N101)</f>
        <v>21.79</v>
      </c>
      <c r="AU99" s="7">
        <f>SUM(O99:O101)</f>
        <v>8.76</v>
      </c>
      <c r="AV99" s="7">
        <f>SUM(P99:P101)</f>
        <v>15.42</v>
      </c>
      <c r="AW99" s="9">
        <f>(AU99-3*$A$39)/(AT99-3*$A$35*$A$36)</f>
        <v>0.37717586588929969</v>
      </c>
      <c r="AX99" s="9">
        <f>(AV99-3*$A$40)/(AT99-3*$A$35*$A$36)</f>
        <v>0.4906122165326981</v>
      </c>
      <c r="AY99" s="9">
        <f>1-AW99-AX99</f>
        <v>0.13221191757800227</v>
      </c>
      <c r="AZ99" s="3">
        <f>AL99*AW99</f>
        <v>1369.710046156039</v>
      </c>
      <c r="BA99" s="3">
        <f>AL99*AX99</f>
        <v>1781.6529171804116</v>
      </c>
      <c r="BB99" s="3">
        <f>AZ99+BA99</f>
        <v>3151.3629633364508</v>
      </c>
      <c r="BC99" s="3">
        <f>AR99*AW99</f>
        <v>1275.3465099423042</v>
      </c>
      <c r="BD99" s="3">
        <f>AR99*AX99</f>
        <v>1658.9093700753283</v>
      </c>
      <c r="BE99" s="3">
        <f>BC99+BD99</f>
        <v>2934.2558800176325</v>
      </c>
      <c r="BF99" s="11">
        <f>Z100</f>
        <v>43451</v>
      </c>
      <c r="BG99" s="3">
        <f>AVERAGE(AA99:AA101)</f>
        <v>45.300000000000004</v>
      </c>
      <c r="BH99" s="7">
        <f t="shared" ref="BH99" si="96">AVERAGE(AB99:AB101)</f>
        <v>1.05</v>
      </c>
      <c r="BI99" s="3">
        <f t="shared" ref="BI99" si="97">AVERAGE(AC99:AC101)</f>
        <v>77.099999999999994</v>
      </c>
      <c r="BJ99" s="3">
        <f t="shared" ref="BJ99" si="98">AVERAGE(AD99:AD101)</f>
        <v>27.6</v>
      </c>
      <c r="BK99" s="3">
        <f t="shared" ref="BK99" si="99">AVERAGE(AE99:AE101)</f>
        <v>6.4</v>
      </c>
      <c r="BL99" s="3">
        <f t="shared" ref="BL99" si="100">AVERAGE(AF99:AF101)</f>
        <v>12.8</v>
      </c>
    </row>
    <row r="100" spans="1:64" x14ac:dyDescent="0.3">
      <c r="A100">
        <v>53</v>
      </c>
      <c r="B100" s="1" t="s">
        <v>104</v>
      </c>
      <c r="C100" s="1" t="s">
        <v>32</v>
      </c>
      <c r="D100" s="2">
        <v>43403</v>
      </c>
      <c r="E100" s="3">
        <v>17.600000000000001</v>
      </c>
      <c r="F100" s="4">
        <f t="shared" si="1"/>
        <v>3824.9502559055122</v>
      </c>
      <c r="G100" s="7">
        <v>9.6999999999999993</v>
      </c>
      <c r="H100" s="7">
        <v>156.58000000000001</v>
      </c>
      <c r="I100" s="7">
        <f t="shared" si="2"/>
        <v>146.88000000000002</v>
      </c>
      <c r="J100" s="7">
        <v>137.16</v>
      </c>
      <c r="K100" s="5">
        <f t="shared" si="3"/>
        <v>6.6176470588235476</v>
      </c>
      <c r="L100" s="4">
        <f t="shared" si="4"/>
        <v>3571.8285477941172</v>
      </c>
      <c r="M100" s="2">
        <v>43440</v>
      </c>
      <c r="N100" s="7">
        <v>7.61</v>
      </c>
      <c r="O100" s="7">
        <v>3.04</v>
      </c>
      <c r="P100" s="7">
        <v>5.32</v>
      </c>
      <c r="Q100" s="6">
        <f t="shared" si="5"/>
        <v>0.37572240132587731</v>
      </c>
      <c r="R100" s="6">
        <f t="shared" si="6"/>
        <v>0.49195307223963797</v>
      </c>
      <c r="S100" s="6">
        <f t="shared" si="7"/>
        <v>0.13232452643448472</v>
      </c>
      <c r="T100" s="4">
        <f t="shared" si="8"/>
        <v>1437.1194951008479</v>
      </c>
      <c r="U100" s="4">
        <f t="shared" si="9"/>
        <v>1881.6960295565061</v>
      </c>
      <c r="V100" s="4">
        <f t="shared" si="10"/>
        <v>3318.8155246573542</v>
      </c>
      <c r="W100" s="4">
        <f t="shared" si="11"/>
        <v>1342.0159991015269</v>
      </c>
      <c r="X100" s="4">
        <f t="shared" si="12"/>
        <v>1757.1720276005606</v>
      </c>
      <c r="Y100" s="4">
        <f t="shared" si="13"/>
        <v>3099.1880267020874</v>
      </c>
      <c r="Z100" s="10">
        <v>43451</v>
      </c>
      <c r="AA100" s="4">
        <v>45.300000000000004</v>
      </c>
      <c r="AB100" s="5">
        <v>1.05</v>
      </c>
      <c r="AC100" s="4">
        <v>77.099999999999994</v>
      </c>
      <c r="AD100" s="4">
        <v>27.6</v>
      </c>
      <c r="AE100" s="4">
        <v>6.4</v>
      </c>
      <c r="AF100" s="4">
        <v>12.8</v>
      </c>
      <c r="AK100" s="3"/>
      <c r="AL100" s="3"/>
      <c r="AM100" s="7"/>
      <c r="AN100" s="7"/>
      <c r="AO100" s="7"/>
      <c r="AP100" s="7"/>
      <c r="AQ100" s="7"/>
      <c r="AR100" s="3"/>
      <c r="AS100" s="3"/>
      <c r="AT100" s="7"/>
      <c r="AU100" s="7"/>
      <c r="AV100" s="7"/>
      <c r="AW100" s="9"/>
      <c r="AX100" s="9"/>
      <c r="AY100" s="9"/>
      <c r="AZ100" s="3"/>
      <c r="BA100" s="3"/>
      <c r="BB100" s="3"/>
      <c r="BC100" s="3"/>
      <c r="BD100" s="3"/>
      <c r="BE100" s="3"/>
      <c r="BG100" s="3"/>
      <c r="BH100" s="7"/>
      <c r="BI100" s="3"/>
      <c r="BJ100" s="3"/>
      <c r="BK100" s="3"/>
      <c r="BL100" s="3"/>
    </row>
    <row r="101" spans="1:64" x14ac:dyDescent="0.3">
      <c r="A101">
        <v>54</v>
      </c>
      <c r="B101" s="1" t="s">
        <v>105</v>
      </c>
      <c r="C101" s="1" t="s">
        <v>32</v>
      </c>
      <c r="D101" s="2">
        <v>43403</v>
      </c>
      <c r="E101" s="3">
        <v>18.2</v>
      </c>
      <c r="F101" s="4">
        <f t="shared" si="1"/>
        <v>3958.8849015748028</v>
      </c>
      <c r="G101" s="7">
        <v>9.7200000000000006</v>
      </c>
      <c r="H101" s="7">
        <v>150.94</v>
      </c>
      <c r="I101" s="7">
        <f t="shared" si="2"/>
        <v>141.22</v>
      </c>
      <c r="J101" s="7">
        <v>131.31</v>
      </c>
      <c r="K101" s="5">
        <f t="shared" si="3"/>
        <v>7.0174196289477377</v>
      </c>
      <c r="L101" s="4">
        <f t="shared" si="4"/>
        <v>3681.0733354042441</v>
      </c>
      <c r="M101" s="2">
        <v>43440</v>
      </c>
      <c r="N101" s="7">
        <v>7.93</v>
      </c>
      <c r="O101" s="7">
        <v>3.14</v>
      </c>
      <c r="P101" s="7">
        <v>5.5</v>
      </c>
      <c r="Q101" s="6">
        <f t="shared" si="5"/>
        <v>0.37310147122045784</v>
      </c>
      <c r="R101" s="6">
        <f t="shared" si="6"/>
        <v>0.4948776458549129</v>
      </c>
      <c r="S101" s="6">
        <f t="shared" si="7"/>
        <v>0.13202088292462921</v>
      </c>
      <c r="T101" s="4">
        <f t="shared" si="8"/>
        <v>1477.0657811700164</v>
      </c>
      <c r="U101" s="4">
        <f t="shared" si="9"/>
        <v>1959.163640301897</v>
      </c>
      <c r="V101" s="4">
        <f t="shared" si="10"/>
        <v>3436.2294214719132</v>
      </c>
      <c r="W101" s="4">
        <f t="shared" si="11"/>
        <v>1373.4138771097214</v>
      </c>
      <c r="X101" s="4">
        <f t="shared" si="12"/>
        <v>1821.6809064441445</v>
      </c>
      <c r="Y101" s="4">
        <f t="shared" si="13"/>
        <v>3195.0947835538659</v>
      </c>
      <c r="Z101" s="10"/>
      <c r="AA101" s="4"/>
      <c r="AB101" s="5"/>
      <c r="AC101" s="4"/>
      <c r="AD101" s="4"/>
      <c r="AE101" s="4"/>
      <c r="AF101" s="4"/>
      <c r="AK101" s="3"/>
      <c r="AL101" s="3"/>
      <c r="AM101" s="7"/>
      <c r="AN101" s="7"/>
      <c r="AO101" s="7"/>
      <c r="AP101" s="7"/>
      <c r="AQ101" s="7"/>
      <c r="AR101" s="3"/>
      <c r="AS101" s="3"/>
      <c r="AT101" s="7"/>
      <c r="AU101" s="7"/>
      <c r="AV101" s="7"/>
      <c r="AW101" s="9"/>
      <c r="AX101" s="9"/>
      <c r="AY101" s="9"/>
      <c r="AZ101" s="3"/>
      <c r="BA101" s="3"/>
      <c r="BB101" s="3"/>
      <c r="BC101" s="3"/>
      <c r="BD101" s="3"/>
      <c r="BE101" s="3"/>
      <c r="BG101" s="3"/>
      <c r="BH101" s="7"/>
      <c r="BI101" s="3"/>
      <c r="BJ101" s="3"/>
      <c r="BK101" s="3"/>
      <c r="BL101" s="3"/>
    </row>
    <row r="102" spans="1:64" x14ac:dyDescent="0.3">
      <c r="A102">
        <v>55</v>
      </c>
      <c r="B102" s="1" t="s">
        <v>106</v>
      </c>
      <c r="C102" s="1" t="s">
        <v>32</v>
      </c>
      <c r="D102" s="2">
        <v>43403</v>
      </c>
      <c r="E102" s="3">
        <v>20.9</v>
      </c>
      <c r="F102" s="4">
        <f t="shared" si="1"/>
        <v>4561.5908070866135</v>
      </c>
      <c r="G102" s="7">
        <v>9.7100000000000009</v>
      </c>
      <c r="H102" s="7">
        <v>145.51</v>
      </c>
      <c r="I102" s="7">
        <f t="shared" si="2"/>
        <v>135.79999999999998</v>
      </c>
      <c r="J102" s="7">
        <v>127.43</v>
      </c>
      <c r="K102" s="5">
        <f t="shared" si="3"/>
        <v>6.1634756995581563</v>
      </c>
      <c r="L102" s="4">
        <f t="shared" si="4"/>
        <v>4280.4382661785512</v>
      </c>
      <c r="M102" s="2">
        <v>43440</v>
      </c>
      <c r="N102" s="7">
        <v>9.14</v>
      </c>
      <c r="O102" s="7">
        <v>3.84</v>
      </c>
      <c r="P102" s="7">
        <v>6</v>
      </c>
      <c r="Q102" s="6">
        <f t="shared" si="5"/>
        <v>0.40093717519189087</v>
      </c>
      <c r="R102" s="6">
        <f t="shared" si="6"/>
        <v>0.48381245721479571</v>
      </c>
      <c r="S102" s="6">
        <f t="shared" si="7"/>
        <v>0.11525036759331342</v>
      </c>
      <c r="T102" s="4">
        <f t="shared" si="8"/>
        <v>1828.9113325746043</v>
      </c>
      <c r="U102" s="4">
        <f t="shared" si="9"/>
        <v>2206.9544571849974</v>
      </c>
      <c r="V102" s="4">
        <f t="shared" si="10"/>
        <v>4035.8657897596017</v>
      </c>
      <c r="W102" s="4">
        <f t="shared" si="11"/>
        <v>1716.1868270249033</v>
      </c>
      <c r="X102" s="4">
        <f t="shared" si="12"/>
        <v>2070.9293555160848</v>
      </c>
      <c r="Y102" s="4">
        <f t="shared" si="13"/>
        <v>3787.1161825409881</v>
      </c>
      <c r="Z102" s="10"/>
      <c r="AA102" s="4"/>
      <c r="AB102" s="5"/>
      <c r="AC102" s="4"/>
      <c r="AD102" s="4"/>
      <c r="AE102" s="4"/>
      <c r="AF102" s="4"/>
      <c r="AH102" t="s">
        <v>264</v>
      </c>
      <c r="AI102" t="str">
        <f>C102</f>
        <v>Machine</v>
      </c>
      <c r="AJ102" s="8">
        <f>D102</f>
        <v>43403</v>
      </c>
      <c r="AK102" s="3">
        <f>SUM(E102:E104)</f>
        <v>68.7</v>
      </c>
      <c r="AL102" s="3">
        <f>(AK102-3*$A$35)*$A$36/(3*$A$37)*$A$38</f>
        <v>5008.0396259842519</v>
      </c>
      <c r="AM102" s="7">
        <f>SUM(G102:G104)</f>
        <v>29.089999999999996</v>
      </c>
      <c r="AN102" s="7">
        <f>SUM(H102:H104)</f>
        <v>489.74</v>
      </c>
      <c r="AO102" s="7">
        <f>AN102-AM102</f>
        <v>460.65000000000003</v>
      </c>
      <c r="AP102" s="7">
        <f>SUM(J102:J104)</f>
        <v>428.35</v>
      </c>
      <c r="AQ102" s="7">
        <f>(AO102-AP102)/AO102*100</f>
        <v>7.0118311082166525</v>
      </c>
      <c r="AR102" s="3">
        <f>AL102*(1-AQ102/100)</f>
        <v>4656.8843455776714</v>
      </c>
      <c r="AS102" s="11">
        <f>M102</f>
        <v>43440</v>
      </c>
      <c r="AT102" s="7">
        <f>SUM(N102:N104)</f>
        <v>29.96</v>
      </c>
      <c r="AU102" s="7">
        <f>SUM(O102:O104)</f>
        <v>12.379999999999999</v>
      </c>
      <c r="AV102" s="7">
        <f>SUM(P102:P104)</f>
        <v>19.14</v>
      </c>
      <c r="AW102" s="9">
        <f>(AU102-3*$A$39)/(AT102-3*$A$35*$A$36)</f>
        <v>0.39553672054550121</v>
      </c>
      <c r="AX102" s="9">
        <f>(AV102-3*$A$40)/(AT102-3*$A$35*$A$36)</f>
        <v>0.48078170342168686</v>
      </c>
      <c r="AY102" s="9">
        <f>1-AW102-AX102</f>
        <v>0.12368157603281199</v>
      </c>
      <c r="AZ102" s="3">
        <f>AL102*AW102</f>
        <v>1980.8635700237294</v>
      </c>
      <c r="BA102" s="3">
        <f>AL102*AX102</f>
        <v>2407.7738221840164</v>
      </c>
      <c r="BB102" s="3">
        <f>AZ102+BA102</f>
        <v>4388.6373922077455</v>
      </c>
      <c r="BC102" s="3">
        <f>AR102*AW102</f>
        <v>1841.9687620094746</v>
      </c>
      <c r="BD102" s="3">
        <f>AR102*AX102</f>
        <v>2238.9447883046205</v>
      </c>
      <c r="BE102" s="3">
        <f>BC102+BD102</f>
        <v>4080.9135503140951</v>
      </c>
      <c r="BF102" s="11">
        <f>Z103</f>
        <v>43451</v>
      </c>
      <c r="BG102" s="3">
        <f>AVERAGE(AA102:AA104)</f>
        <v>51.6</v>
      </c>
      <c r="BH102" s="7">
        <f t="shared" ref="BH102" si="101">AVERAGE(AB102:AB104)</f>
        <v>1.07</v>
      </c>
      <c r="BI102" s="3">
        <f t="shared" ref="BI102" si="102">AVERAGE(AC102:AC104)</f>
        <v>78.2</v>
      </c>
      <c r="BJ102" s="3">
        <f t="shared" ref="BJ102" si="103">AVERAGE(AD102:AD104)</f>
        <v>27.3</v>
      </c>
      <c r="BK102" s="3">
        <f t="shared" ref="BK102" si="104">AVERAGE(AE102:AE104)</f>
        <v>6.3</v>
      </c>
      <c r="BL102" s="3">
        <f t="shared" ref="BL102" si="105">AVERAGE(AF102:AF104)</f>
        <v>12.1</v>
      </c>
    </row>
    <row r="103" spans="1:64" x14ac:dyDescent="0.3">
      <c r="A103">
        <v>56</v>
      </c>
      <c r="B103" s="1" t="s">
        <v>107</v>
      </c>
      <c r="C103" s="1" t="s">
        <v>32</v>
      </c>
      <c r="D103" s="2">
        <v>43403</v>
      </c>
      <c r="E103" s="3">
        <v>23.1</v>
      </c>
      <c r="F103" s="4">
        <f t="shared" si="1"/>
        <v>5052.6845078740171</v>
      </c>
      <c r="G103" s="7">
        <v>9.69</v>
      </c>
      <c r="H103" s="7">
        <v>157.72</v>
      </c>
      <c r="I103" s="7">
        <f t="shared" si="2"/>
        <v>148.03</v>
      </c>
      <c r="J103" s="7">
        <v>138.81</v>
      </c>
      <c r="K103" s="5">
        <f t="shared" si="3"/>
        <v>6.2284672025940679</v>
      </c>
      <c r="L103" s="4">
        <f t="shared" si="4"/>
        <v>4737.9797104505324</v>
      </c>
      <c r="M103" s="2">
        <v>43440</v>
      </c>
      <c r="N103" s="7">
        <v>10.08</v>
      </c>
      <c r="O103" s="7">
        <v>4.16</v>
      </c>
      <c r="P103" s="7">
        <v>6.42</v>
      </c>
      <c r="Q103" s="6">
        <f t="shared" si="5"/>
        <v>0.39517362415226293</v>
      </c>
      <c r="R103" s="6">
        <f t="shared" si="6"/>
        <v>0.4802879432004426</v>
      </c>
      <c r="S103" s="6">
        <f t="shared" si="7"/>
        <v>0.12453843264729442</v>
      </c>
      <c r="T103" s="4">
        <f t="shared" si="8"/>
        <v>1996.6876486745684</v>
      </c>
      <c r="U103" s="4">
        <f t="shared" si="9"/>
        <v>2426.7434499275523</v>
      </c>
      <c r="V103" s="4">
        <f t="shared" si="10"/>
        <v>4423.431098602121</v>
      </c>
      <c r="W103" s="4">
        <f t="shared" si="11"/>
        <v>1872.3246133386262</v>
      </c>
      <c r="X103" s="4">
        <f t="shared" si="12"/>
        <v>2275.5945300577146</v>
      </c>
      <c r="Y103" s="4">
        <f t="shared" si="13"/>
        <v>4147.9191433963406</v>
      </c>
      <c r="Z103" s="10">
        <v>43451</v>
      </c>
      <c r="AA103" s="4">
        <v>51.6</v>
      </c>
      <c r="AB103" s="5">
        <v>1.07</v>
      </c>
      <c r="AC103" s="4">
        <v>78.2</v>
      </c>
      <c r="AD103" s="4">
        <v>27.3</v>
      </c>
      <c r="AE103" s="4">
        <v>6.3</v>
      </c>
      <c r="AF103" s="4">
        <v>12.1</v>
      </c>
      <c r="AK103" s="3"/>
      <c r="AL103" s="3"/>
      <c r="AM103" s="7"/>
      <c r="AN103" s="7"/>
      <c r="AO103" s="7"/>
      <c r="AP103" s="7"/>
      <c r="AQ103" s="7"/>
      <c r="AR103" s="3"/>
      <c r="AS103" s="3"/>
      <c r="AT103" s="7"/>
      <c r="AU103" s="7"/>
      <c r="AV103" s="7"/>
      <c r="AW103" s="9"/>
      <c r="AX103" s="9"/>
      <c r="AY103" s="9"/>
      <c r="AZ103" s="3"/>
      <c r="BA103" s="3"/>
      <c r="BB103" s="3"/>
      <c r="BC103" s="3"/>
      <c r="BD103" s="3"/>
      <c r="BE103" s="3"/>
      <c r="BG103" s="3"/>
      <c r="BH103" s="7"/>
      <c r="BI103" s="3"/>
      <c r="BJ103" s="3"/>
      <c r="BK103" s="3"/>
      <c r="BL103" s="3"/>
    </row>
    <row r="104" spans="1:64" x14ac:dyDescent="0.3">
      <c r="A104">
        <v>57</v>
      </c>
      <c r="B104" s="1" t="s">
        <v>108</v>
      </c>
      <c r="C104" s="1" t="s">
        <v>32</v>
      </c>
      <c r="D104" s="2">
        <v>43403</v>
      </c>
      <c r="E104" s="3">
        <v>24.7</v>
      </c>
      <c r="F104" s="4">
        <f t="shared" si="1"/>
        <v>5409.843562992126</v>
      </c>
      <c r="G104" s="7">
        <v>9.69</v>
      </c>
      <c r="H104" s="7">
        <v>186.51</v>
      </c>
      <c r="I104" s="7">
        <f t="shared" si="2"/>
        <v>176.82</v>
      </c>
      <c r="J104" s="7">
        <v>162.11000000000001</v>
      </c>
      <c r="K104" s="5">
        <f t="shared" si="3"/>
        <v>8.3191946612374057</v>
      </c>
      <c r="L104" s="4">
        <f t="shared" si="4"/>
        <v>4959.7881461183897</v>
      </c>
      <c r="M104" s="2">
        <v>43440</v>
      </c>
      <c r="N104" s="7">
        <v>10.74</v>
      </c>
      <c r="O104" s="7">
        <v>4.38</v>
      </c>
      <c r="P104" s="7">
        <v>6.72</v>
      </c>
      <c r="Q104" s="6">
        <f t="shared" si="5"/>
        <v>0.39129725574914725</v>
      </c>
      <c r="R104" s="6">
        <f t="shared" si="6"/>
        <v>0.47867431285818013</v>
      </c>
      <c r="S104" s="6">
        <f t="shared" si="7"/>
        <v>0.13002843139267267</v>
      </c>
      <c r="T104" s="4">
        <f t="shared" si="8"/>
        <v>2116.8569402310081</v>
      </c>
      <c r="U104" s="4">
        <f t="shared" si="9"/>
        <v>2589.5531501855048</v>
      </c>
      <c r="V104" s="4">
        <f t="shared" si="10"/>
        <v>4706.4100904165134</v>
      </c>
      <c r="W104" s="4">
        <f t="shared" si="11"/>
        <v>1940.7514906732765</v>
      </c>
      <c r="X104" s="4">
        <f t="shared" si="12"/>
        <v>2374.1231827653673</v>
      </c>
      <c r="Y104" s="4">
        <f t="shared" si="13"/>
        <v>4314.8746734386441</v>
      </c>
      <c r="Z104" s="10"/>
      <c r="AA104" s="4"/>
      <c r="AB104" s="5"/>
      <c r="AC104" s="4"/>
      <c r="AD104" s="4"/>
      <c r="AE104" s="4"/>
      <c r="AF104" s="4"/>
      <c r="AK104" s="3"/>
      <c r="AL104" s="3"/>
      <c r="AM104" s="7"/>
      <c r="AN104" s="7"/>
      <c r="AO104" s="7"/>
      <c r="AP104" s="7"/>
      <c r="AQ104" s="7"/>
      <c r="AR104" s="3"/>
      <c r="AS104" s="3"/>
      <c r="AT104" s="7"/>
      <c r="AU104" s="7"/>
      <c r="AV104" s="7"/>
      <c r="AW104" s="9"/>
      <c r="AX104" s="9"/>
      <c r="AY104" s="9"/>
      <c r="AZ104" s="3"/>
      <c r="BA104" s="3"/>
      <c r="BB104" s="3"/>
      <c r="BC104" s="3"/>
      <c r="BD104" s="3"/>
      <c r="BE104" s="3"/>
      <c r="BG104" s="3"/>
      <c r="BH104" s="7"/>
      <c r="BI104" s="3"/>
      <c r="BJ104" s="3"/>
      <c r="BK104" s="3"/>
      <c r="BL104" s="3"/>
    </row>
    <row r="105" spans="1:64" x14ac:dyDescent="0.3">
      <c r="A105">
        <v>58</v>
      </c>
      <c r="B105" s="1" t="s">
        <v>109</v>
      </c>
      <c r="C105" s="1" t="s">
        <v>32</v>
      </c>
      <c r="D105" s="2">
        <v>43403</v>
      </c>
      <c r="E105" s="3">
        <v>17.3</v>
      </c>
      <c r="F105" s="4">
        <f t="shared" si="1"/>
        <v>3757.9829330708662</v>
      </c>
      <c r="G105" s="7">
        <v>9.7100000000000009</v>
      </c>
      <c r="H105" s="7">
        <v>180.76</v>
      </c>
      <c r="I105" s="7">
        <f t="shared" si="2"/>
        <v>171.04999999999998</v>
      </c>
      <c r="J105" s="7">
        <v>157.71</v>
      </c>
      <c r="K105" s="5">
        <f t="shared" si="3"/>
        <v>7.7988892136801962</v>
      </c>
      <c r="L105" s="4">
        <f t="shared" si="4"/>
        <v>3464.9020074516598</v>
      </c>
      <c r="M105" s="2">
        <v>43440</v>
      </c>
      <c r="N105" s="7">
        <v>7.46</v>
      </c>
      <c r="O105" s="7">
        <v>3.08</v>
      </c>
      <c r="P105" s="7">
        <v>5.12</v>
      </c>
      <c r="Q105" s="6">
        <f t="shared" si="5"/>
        <v>0.38901489691439073</v>
      </c>
      <c r="R105" s="6">
        <f t="shared" si="6"/>
        <v>0.47454299481755463</v>
      </c>
      <c r="S105" s="6">
        <f t="shared" si="7"/>
        <v>0.13644210826805464</v>
      </c>
      <c r="T105" s="4">
        <f t="shared" si="8"/>
        <v>1461.9113433146028</v>
      </c>
      <c r="U105" s="4">
        <f t="shared" si="9"/>
        <v>1783.3244755327069</v>
      </c>
      <c r="V105" s="4">
        <f t="shared" si="10"/>
        <v>3245.2358188473099</v>
      </c>
      <c r="W105" s="4">
        <f t="shared" si="11"/>
        <v>1347.8984972472729</v>
      </c>
      <c r="X105" s="4">
        <f t="shared" si="12"/>
        <v>1644.2449753654676</v>
      </c>
      <c r="Y105" s="4">
        <f t="shared" si="13"/>
        <v>2992.1434726127404</v>
      </c>
      <c r="Z105" s="10"/>
      <c r="AA105" s="4"/>
      <c r="AB105" s="5"/>
      <c r="AC105" s="4"/>
      <c r="AD105" s="4"/>
      <c r="AE105" s="4"/>
      <c r="AF105" s="4"/>
      <c r="AH105" t="s">
        <v>265</v>
      </c>
      <c r="AI105" t="str">
        <f>C105</f>
        <v>Machine</v>
      </c>
      <c r="AJ105" s="8">
        <f>D105</f>
        <v>43403</v>
      </c>
      <c r="AK105" s="3">
        <f>SUM(E105:E107)</f>
        <v>48.6</v>
      </c>
      <c r="AL105" s="3">
        <f>(AK105-3*$A$35)*$A$36/(3*$A$37)*$A$38</f>
        <v>3512.4360826771654</v>
      </c>
      <c r="AM105" s="7">
        <f>SUM(G105:G107)</f>
        <v>29.119999999999997</v>
      </c>
      <c r="AN105" s="7">
        <f>SUM(H105:H107)</f>
        <v>532.79999999999995</v>
      </c>
      <c r="AO105" s="7">
        <f>AN105-AM105</f>
        <v>503.67999999999995</v>
      </c>
      <c r="AP105" s="7">
        <f>SUM(J105:J107)</f>
        <v>463.83000000000004</v>
      </c>
      <c r="AQ105" s="7">
        <f>(AO105-AP105)/AO105*100</f>
        <v>7.9117693773824476</v>
      </c>
      <c r="AR105" s="3">
        <f>AL105*(1-AQ105/100)</f>
        <v>3234.5402402877817</v>
      </c>
      <c r="AS105" s="11">
        <f>M105</f>
        <v>43440</v>
      </c>
      <c r="AT105" s="7">
        <f>SUM(N105:N107)</f>
        <v>20.89</v>
      </c>
      <c r="AU105" s="7">
        <f>SUM(O105:O107)</f>
        <v>8.6</v>
      </c>
      <c r="AV105" s="7">
        <f>SUM(P105:P107)</f>
        <v>14.700000000000001</v>
      </c>
      <c r="AW105" s="9">
        <f>(AU105-3*$A$39)/(AT105-3*$A$35*$A$36)</f>
        <v>0.38603483615089029</v>
      </c>
      <c r="AX105" s="9">
        <f>(AV105-3*$A$40)/(AT105-3*$A$35*$A$36)</f>
        <v>0.47686656230404101</v>
      </c>
      <c r="AY105" s="9">
        <f>1-AW105-AX105</f>
        <v>0.1370986015450687</v>
      </c>
      <c r="AZ105" s="3">
        <f>AL105*AW105</f>
        <v>1355.9226876667544</v>
      </c>
      <c r="BA105" s="3">
        <f>AL105*AX105</f>
        <v>1674.9633200589321</v>
      </c>
      <c r="BB105" s="3">
        <f>AZ105+BA105</f>
        <v>3030.8860077256868</v>
      </c>
      <c r="BC105" s="3">
        <f>AR105*AW105</f>
        <v>1248.6452116829551</v>
      </c>
      <c r="BD105" s="3">
        <f>AR105*AX105</f>
        <v>1542.4440850201213</v>
      </c>
      <c r="BE105" s="3">
        <f>BC105+BD105</f>
        <v>2791.0892967030763</v>
      </c>
      <c r="BF105" s="11">
        <f>Z106</f>
        <v>43451</v>
      </c>
      <c r="BG105" s="3">
        <f>AVERAGE(AA105:AA107)</f>
        <v>50.199999999999996</v>
      </c>
      <c r="BH105" s="7">
        <f t="shared" ref="BH105" si="106">AVERAGE(AB105:AB107)</f>
        <v>0.99</v>
      </c>
      <c r="BI105" s="3">
        <f t="shared" ref="BI105" si="107">AVERAGE(AC105:AC107)</f>
        <v>76.2</v>
      </c>
      <c r="BJ105" s="3">
        <f t="shared" ref="BJ105" si="108">AVERAGE(AD105:AD107)</f>
        <v>25.1</v>
      </c>
      <c r="BK105" s="3">
        <f t="shared" ref="BK105" si="109">AVERAGE(AE105:AE107)</f>
        <v>6.5</v>
      </c>
      <c r="BL105" s="3">
        <f t="shared" ref="BL105" si="110">AVERAGE(AF105:AF107)</f>
        <v>14.9</v>
      </c>
    </row>
    <row r="106" spans="1:64" x14ac:dyDescent="0.3">
      <c r="A106">
        <v>59</v>
      </c>
      <c r="B106" s="1" t="s">
        <v>110</v>
      </c>
      <c r="C106" s="1" t="s">
        <v>32</v>
      </c>
      <c r="D106" s="2">
        <v>43403</v>
      </c>
      <c r="E106" s="3">
        <v>15.9</v>
      </c>
      <c r="F106" s="4">
        <f t="shared" si="1"/>
        <v>3445.4687598425198</v>
      </c>
      <c r="G106" s="7">
        <v>9.69</v>
      </c>
      <c r="H106" s="7">
        <v>186.44</v>
      </c>
      <c r="I106" s="7">
        <f t="shared" si="2"/>
        <v>176.75</v>
      </c>
      <c r="J106" s="7">
        <v>162.75</v>
      </c>
      <c r="K106" s="5">
        <f t="shared" si="3"/>
        <v>7.9207920792079207</v>
      </c>
      <c r="L106" s="4">
        <f t="shared" si="4"/>
        <v>3172.5603432213302</v>
      </c>
      <c r="M106" s="2">
        <v>43440</v>
      </c>
      <c r="N106" s="7">
        <v>6.82</v>
      </c>
      <c r="O106" s="7">
        <v>2.78</v>
      </c>
      <c r="P106" s="7">
        <v>4.82</v>
      </c>
      <c r="Q106" s="6">
        <f t="shared" si="5"/>
        <v>0.38129363039367292</v>
      </c>
      <c r="R106" s="6">
        <f t="shared" si="6"/>
        <v>0.47510396803021165</v>
      </c>
      <c r="S106" s="6">
        <f t="shared" si="7"/>
        <v>0.14360240157611542</v>
      </c>
      <c r="T106" s="4">
        <f t="shared" si="8"/>
        <v>1313.7352918483405</v>
      </c>
      <c r="U106" s="4">
        <f t="shared" si="9"/>
        <v>1636.9558795253135</v>
      </c>
      <c r="V106" s="4">
        <f t="shared" si="10"/>
        <v>2950.691171373654</v>
      </c>
      <c r="W106" s="4">
        <f t="shared" si="11"/>
        <v>1209.6770509098581</v>
      </c>
      <c r="X106" s="4">
        <f t="shared" si="12"/>
        <v>1507.2960078797441</v>
      </c>
      <c r="Y106" s="4">
        <f t="shared" si="13"/>
        <v>2716.973058789602</v>
      </c>
      <c r="Z106" s="10">
        <v>43451</v>
      </c>
      <c r="AA106" s="4">
        <v>50.199999999999996</v>
      </c>
      <c r="AB106" s="5">
        <v>0.99</v>
      </c>
      <c r="AC106" s="4">
        <v>76.2</v>
      </c>
      <c r="AD106" s="4">
        <v>25.1</v>
      </c>
      <c r="AE106" s="4">
        <v>6.5</v>
      </c>
      <c r="AF106" s="4">
        <v>14.9</v>
      </c>
      <c r="AK106" s="3"/>
      <c r="AL106" s="3"/>
      <c r="AM106" s="7"/>
      <c r="AN106" s="7"/>
      <c r="AO106" s="7"/>
      <c r="AP106" s="7"/>
      <c r="AQ106" s="7"/>
      <c r="AR106" s="3"/>
      <c r="AS106" s="3"/>
      <c r="AT106" s="7"/>
      <c r="AU106" s="7"/>
      <c r="AV106" s="7"/>
      <c r="AW106" s="9"/>
      <c r="AX106" s="9"/>
      <c r="AY106" s="9"/>
      <c r="AZ106" s="3"/>
      <c r="BA106" s="3"/>
      <c r="BB106" s="3"/>
      <c r="BC106" s="3"/>
      <c r="BD106" s="3"/>
      <c r="BE106" s="3"/>
      <c r="BG106" s="3"/>
      <c r="BH106" s="7"/>
      <c r="BI106" s="3"/>
      <c r="BJ106" s="3"/>
      <c r="BK106" s="3"/>
      <c r="BL106" s="3"/>
    </row>
    <row r="107" spans="1:64" x14ac:dyDescent="0.3">
      <c r="A107">
        <v>60</v>
      </c>
      <c r="B107" s="1" t="s">
        <v>111</v>
      </c>
      <c r="C107" s="1" t="s">
        <v>32</v>
      </c>
      <c r="D107" s="2">
        <v>43403</v>
      </c>
      <c r="E107" s="3">
        <v>15.4</v>
      </c>
      <c r="F107" s="4">
        <f t="shared" si="1"/>
        <v>3333.85655511811</v>
      </c>
      <c r="G107" s="7">
        <v>9.7200000000000006</v>
      </c>
      <c r="H107" s="7">
        <v>165.6</v>
      </c>
      <c r="I107" s="7">
        <f t="shared" si="2"/>
        <v>155.88</v>
      </c>
      <c r="J107" s="7">
        <v>143.37</v>
      </c>
      <c r="K107" s="5">
        <f t="shared" si="3"/>
        <v>8.0254041570438748</v>
      </c>
      <c r="L107" s="4">
        <f t="shared" si="4"/>
        <v>3066.3010925537815</v>
      </c>
      <c r="M107" s="2">
        <v>43440</v>
      </c>
      <c r="N107" s="7">
        <v>6.61</v>
      </c>
      <c r="O107" s="7">
        <v>2.74</v>
      </c>
      <c r="P107" s="7">
        <v>4.76</v>
      </c>
      <c r="Q107" s="6">
        <f t="shared" si="5"/>
        <v>0.38755572809147631</v>
      </c>
      <c r="R107" s="6">
        <f t="shared" si="6"/>
        <v>0.48131921069425276</v>
      </c>
      <c r="S107" s="6">
        <f t="shared" si="7"/>
        <v>0.13112506121427092</v>
      </c>
      <c r="T107" s="4">
        <f t="shared" si="8"/>
        <v>1292.0552045713403</v>
      </c>
      <c r="U107" s="4">
        <f t="shared" si="9"/>
        <v>1604.6492056773093</v>
      </c>
      <c r="V107" s="4">
        <f t="shared" si="10"/>
        <v>2896.7044102486498</v>
      </c>
      <c r="W107" s="4">
        <f t="shared" si="11"/>
        <v>1188.36255247237</v>
      </c>
      <c r="X107" s="4">
        <f t="shared" si="12"/>
        <v>1475.869621618911</v>
      </c>
      <c r="Y107" s="4">
        <f t="shared" si="13"/>
        <v>2664.2321740912812</v>
      </c>
      <c r="Z107" s="10"/>
      <c r="AA107" s="4"/>
      <c r="AB107" s="5"/>
      <c r="AC107" s="4"/>
      <c r="AD107" s="4"/>
      <c r="AE107" s="4"/>
      <c r="AF107" s="4"/>
      <c r="AK107" s="3"/>
      <c r="AL107" s="3"/>
      <c r="AM107" s="7"/>
      <c r="AN107" s="7"/>
      <c r="AO107" s="7"/>
      <c r="AP107" s="7"/>
      <c r="AQ107" s="7"/>
      <c r="AR107" s="3"/>
      <c r="AS107" s="3"/>
      <c r="AT107" s="7"/>
      <c r="AU107" s="7"/>
      <c r="AV107" s="7"/>
      <c r="AW107" s="9"/>
      <c r="AX107" s="9"/>
      <c r="AY107" s="9"/>
      <c r="AZ107" s="3"/>
      <c r="BA107" s="3"/>
      <c r="BB107" s="3"/>
      <c r="BC107" s="3"/>
      <c r="BD107" s="3"/>
      <c r="BE107" s="3"/>
      <c r="BG107" s="3"/>
      <c r="BH107" s="7"/>
      <c r="BI107" s="3"/>
      <c r="BJ107" s="3"/>
      <c r="BK107" s="3"/>
      <c r="BL107" s="3"/>
    </row>
    <row r="108" spans="1:64" x14ac:dyDescent="0.3">
      <c r="A108">
        <v>61</v>
      </c>
      <c r="B108" s="1" t="s">
        <v>112</v>
      </c>
      <c r="C108" s="1" t="s">
        <v>32</v>
      </c>
      <c r="D108" s="2">
        <v>43403</v>
      </c>
      <c r="E108" s="3">
        <v>20.7</v>
      </c>
      <c r="F108" s="4">
        <f t="shared" si="1"/>
        <v>4516.945925196851</v>
      </c>
      <c r="G108" s="7">
        <v>9.66</v>
      </c>
      <c r="H108" s="7">
        <v>231.36</v>
      </c>
      <c r="I108" s="7">
        <f t="shared" ref="I108:I119" si="111">H108-G108</f>
        <v>221.70000000000002</v>
      </c>
      <c r="J108" s="7">
        <v>206</v>
      </c>
      <c r="K108" s="5">
        <f t="shared" si="3"/>
        <v>7.0816418583671696</v>
      </c>
      <c r="L108" s="4">
        <f t="shared" si="4"/>
        <v>4197.0719918383002</v>
      </c>
      <c r="M108" s="2">
        <v>43440</v>
      </c>
      <c r="N108" s="7">
        <v>8.9700000000000006</v>
      </c>
      <c r="O108" s="7">
        <v>3.56</v>
      </c>
      <c r="P108" s="7">
        <v>5.98</v>
      </c>
      <c r="Q108" s="6">
        <f t="shared" si="5"/>
        <v>0.37675190836144135</v>
      </c>
      <c r="R108" s="6">
        <f t="shared" si="6"/>
        <v>0.49091915331945402</v>
      </c>
      <c r="S108" s="6">
        <f t="shared" si="7"/>
        <v>0.13232893831910464</v>
      </c>
      <c r="T108" s="4">
        <f t="shared" si="8"/>
        <v>1701.7679972833498</v>
      </c>
      <c r="U108" s="4">
        <f t="shared" si="9"/>
        <v>2217.455269187396</v>
      </c>
      <c r="V108" s="4">
        <f t="shared" si="10"/>
        <v>3919.2232664707458</v>
      </c>
      <c r="W108" s="4">
        <f t="shared" si="11"/>
        <v>1581.2548824554353</v>
      </c>
      <c r="X108" s="4">
        <f t="shared" si="12"/>
        <v>2060.4230286540528</v>
      </c>
      <c r="Y108" s="4">
        <f t="shared" si="13"/>
        <v>3641.6779111094884</v>
      </c>
      <c r="Z108" s="10"/>
      <c r="AA108" s="4"/>
      <c r="AB108" s="5"/>
      <c r="AC108" s="4"/>
      <c r="AD108" s="4"/>
      <c r="AE108" s="4"/>
      <c r="AF108" s="4"/>
      <c r="AH108" t="s">
        <v>266</v>
      </c>
      <c r="AI108" t="str">
        <f>C108</f>
        <v>Machine</v>
      </c>
      <c r="AJ108" s="8">
        <f>D108</f>
        <v>43403</v>
      </c>
      <c r="AK108" s="3">
        <f>SUM(E108:E110)</f>
        <v>63.4</v>
      </c>
      <c r="AL108" s="3">
        <f>(AK108-3*$A$35)*$A$36/(3*$A$37)*$A$38</f>
        <v>4613.6765026246712</v>
      </c>
      <c r="AM108" s="7">
        <f>SUM(G108:G110)</f>
        <v>29.05</v>
      </c>
      <c r="AN108" s="7">
        <f>SUM(H108:H110)</f>
        <v>631.68000000000006</v>
      </c>
      <c r="AO108" s="7">
        <f>AN108-AM108</f>
        <v>602.63000000000011</v>
      </c>
      <c r="AP108" s="7">
        <f>SUM(J108:J110)</f>
        <v>560.6</v>
      </c>
      <c r="AQ108" s="7">
        <f>(AO108-AP108)/AO108*100</f>
        <v>6.9744287539618144</v>
      </c>
      <c r="AR108" s="3">
        <f>AL108*(1-AQ108/100)</f>
        <v>4291.898922010836</v>
      </c>
      <c r="AS108" s="11">
        <f>M108</f>
        <v>43440</v>
      </c>
      <c r="AT108" s="7">
        <f>SUM(N108:N110)</f>
        <v>27.54</v>
      </c>
      <c r="AU108" s="7">
        <f>SUM(O108:O110)</f>
        <v>11.08</v>
      </c>
      <c r="AV108" s="7">
        <f>SUM(P108:P110)</f>
        <v>18.200000000000003</v>
      </c>
      <c r="AW108" s="9">
        <f>(AU108-3*$A$39)/(AT108-3*$A$35*$A$36)</f>
        <v>0.38279661241915391</v>
      </c>
      <c r="AX108" s="9">
        <f>(AV108-3*$A$40)/(AT108-3*$A$35*$A$36)</f>
        <v>0.48908771062486084</v>
      </c>
      <c r="AY108" s="9">
        <f>1-AW108-AX108</f>
        <v>0.12811567695598519</v>
      </c>
      <c r="AZ108" s="3">
        <f>AL108*AW108</f>
        <v>1766.0997360025738</v>
      </c>
      <c r="BA108" s="3">
        <f>AL108*AX108</f>
        <v>2256.4924782324151</v>
      </c>
      <c r="BB108" s="3">
        <f>AZ108+BA108</f>
        <v>4022.5922142349891</v>
      </c>
      <c r="BC108" s="3">
        <f>AR108*AW108</f>
        <v>1642.9243681911664</v>
      </c>
      <c r="BD108" s="3">
        <f>AR108*AX108</f>
        <v>2099.115017999588</v>
      </c>
      <c r="BE108" s="3">
        <f>BC108+BD108</f>
        <v>3742.0393861907542</v>
      </c>
      <c r="BF108" s="11">
        <f>Z109</f>
        <v>43451</v>
      </c>
      <c r="BG108" s="3">
        <f>AVERAGE(AA108:AA110)</f>
        <v>50.4</v>
      </c>
      <c r="BH108" s="7">
        <f t="shared" ref="BH108" si="112">AVERAGE(AB108:AB110)</f>
        <v>1.02</v>
      </c>
      <c r="BI108" s="3">
        <f t="shared" ref="BI108" si="113">AVERAGE(AC108:AC110)</f>
        <v>78.400000000000006</v>
      </c>
      <c r="BJ108" s="3">
        <f t="shared" ref="BJ108" si="114">AVERAGE(AD108:AD110)</f>
        <v>26.5</v>
      </c>
      <c r="BK108" s="3">
        <f t="shared" ref="BK108" si="115">AVERAGE(AE108:AE110)</f>
        <v>6.4</v>
      </c>
      <c r="BL108" s="3">
        <f t="shared" ref="BL108" si="116">AVERAGE(AF108:AF110)</f>
        <v>13.2</v>
      </c>
    </row>
    <row r="109" spans="1:64" x14ac:dyDescent="0.3">
      <c r="A109">
        <v>62</v>
      </c>
      <c r="B109" s="1" t="s">
        <v>113</v>
      </c>
      <c r="C109" s="1" t="s">
        <v>32</v>
      </c>
      <c r="D109" s="2">
        <v>43403</v>
      </c>
      <c r="E109" s="3">
        <v>21.8</v>
      </c>
      <c r="F109" s="4">
        <f t="shared" si="1"/>
        <v>4762.4927755905519</v>
      </c>
      <c r="G109" s="7">
        <v>9.69</v>
      </c>
      <c r="H109" s="7">
        <v>177.08</v>
      </c>
      <c r="I109" s="7">
        <f t="shared" si="111"/>
        <v>167.39000000000001</v>
      </c>
      <c r="J109" s="7">
        <v>155.36000000000001</v>
      </c>
      <c r="K109" s="5">
        <f t="shared" si="3"/>
        <v>7.1868092478642689</v>
      </c>
      <c r="L109" s="4">
        <f t="shared" si="4"/>
        <v>4420.2215043655424</v>
      </c>
      <c r="M109" s="2">
        <v>43440</v>
      </c>
      <c r="N109" s="7">
        <v>9.44</v>
      </c>
      <c r="O109" s="7">
        <v>3.82</v>
      </c>
      <c r="P109" s="7">
        <v>6.14</v>
      </c>
      <c r="Q109" s="6">
        <f t="shared" si="5"/>
        <v>0.38573726828746036</v>
      </c>
      <c r="R109" s="6">
        <f t="shared" si="6"/>
        <v>0.48325511701181839</v>
      </c>
      <c r="S109" s="6">
        <f t="shared" si="7"/>
        <v>0.13100761470072125</v>
      </c>
      <c r="T109" s="4">
        <f t="shared" si="8"/>
        <v>1837.0709534950645</v>
      </c>
      <c r="U109" s="4">
        <f t="shared" si="9"/>
        <v>2301.4990035359519</v>
      </c>
      <c r="V109" s="4">
        <f t="shared" si="10"/>
        <v>4138.5699570310162</v>
      </c>
      <c r="W109" s="4">
        <f t="shared" si="11"/>
        <v>1705.0441683194529</v>
      </c>
      <c r="X109" s="4">
        <f t="shared" si="12"/>
        <v>2136.0946603103262</v>
      </c>
      <c r="Y109" s="4">
        <f t="shared" si="13"/>
        <v>3841.1388286297788</v>
      </c>
      <c r="Z109" s="10">
        <v>43451</v>
      </c>
      <c r="AA109" s="4">
        <v>50.4</v>
      </c>
      <c r="AB109" s="5">
        <v>1.02</v>
      </c>
      <c r="AC109" s="4">
        <v>78.400000000000006</v>
      </c>
      <c r="AD109" s="4">
        <v>26.5</v>
      </c>
      <c r="AE109" s="4">
        <v>6.4</v>
      </c>
      <c r="AF109" s="4">
        <v>13.2</v>
      </c>
      <c r="AK109" s="3"/>
      <c r="AL109" s="3"/>
      <c r="AM109" s="7"/>
      <c r="AN109" s="7"/>
      <c r="AO109" s="7"/>
      <c r="AP109" s="7"/>
      <c r="AQ109" s="7"/>
      <c r="AR109" s="3"/>
      <c r="AS109" s="3"/>
      <c r="AT109" s="7"/>
      <c r="AU109" s="7"/>
      <c r="AV109" s="7"/>
      <c r="AW109" s="9"/>
      <c r="AX109" s="9"/>
      <c r="AY109" s="9"/>
      <c r="AZ109" s="3"/>
      <c r="BA109" s="3"/>
      <c r="BB109" s="3"/>
      <c r="BC109" s="3"/>
      <c r="BD109" s="3"/>
      <c r="BE109" s="3"/>
      <c r="BG109" s="3"/>
      <c r="BH109" s="7"/>
      <c r="BI109" s="3"/>
      <c r="BJ109" s="3"/>
      <c r="BK109" s="3"/>
      <c r="BL109" s="3"/>
    </row>
    <row r="110" spans="1:64" x14ac:dyDescent="0.3">
      <c r="A110">
        <v>63</v>
      </c>
      <c r="B110" s="1" t="s">
        <v>114</v>
      </c>
      <c r="C110" s="1" t="s">
        <v>32</v>
      </c>
      <c r="D110" s="2">
        <v>43403</v>
      </c>
      <c r="E110" s="3">
        <v>20.9</v>
      </c>
      <c r="F110" s="4">
        <f t="shared" si="1"/>
        <v>4561.5908070866135</v>
      </c>
      <c r="G110" s="7">
        <v>9.6999999999999993</v>
      </c>
      <c r="H110" s="7">
        <v>223.24</v>
      </c>
      <c r="I110" s="7">
        <f t="shared" si="111"/>
        <v>213.54000000000002</v>
      </c>
      <c r="J110" s="7">
        <v>199.24</v>
      </c>
      <c r="K110" s="5">
        <f t="shared" si="3"/>
        <v>6.6966376322937196</v>
      </c>
      <c r="L110" s="4">
        <f t="shared" si="4"/>
        <v>4256.1176004680001</v>
      </c>
      <c r="M110" s="2">
        <v>43440</v>
      </c>
      <c r="N110" s="7">
        <v>9.1300000000000008</v>
      </c>
      <c r="O110" s="7">
        <v>3.7</v>
      </c>
      <c r="P110" s="7">
        <v>6.08</v>
      </c>
      <c r="Q110" s="6">
        <f t="shared" si="5"/>
        <v>0.38569001600985803</v>
      </c>
      <c r="R110" s="6">
        <f t="shared" si="6"/>
        <v>0.49332443908237655</v>
      </c>
      <c r="S110" s="6">
        <f t="shared" si="7"/>
        <v>0.12098554490776547</v>
      </c>
      <c r="T110" s="4">
        <f t="shared" si="8"/>
        <v>1759.3600314156572</v>
      </c>
      <c r="U110" s="4">
        <f t="shared" si="9"/>
        <v>2250.3442262293288</v>
      </c>
      <c r="V110" s="4">
        <f t="shared" si="10"/>
        <v>4009.7042576449858</v>
      </c>
      <c r="W110" s="4">
        <f t="shared" si="11"/>
        <v>1641.5420654643415</v>
      </c>
      <c r="X110" s="4">
        <f t="shared" si="12"/>
        <v>2099.6468279195064</v>
      </c>
      <c r="Y110" s="4">
        <f t="shared" si="13"/>
        <v>3741.1888933838482</v>
      </c>
      <c r="Z110" s="10"/>
      <c r="AA110" s="4"/>
      <c r="AB110" s="5"/>
      <c r="AC110" s="4"/>
      <c r="AD110" s="4"/>
      <c r="AE110" s="4"/>
      <c r="AF110" s="4"/>
      <c r="AK110" s="3"/>
      <c r="AL110" s="3"/>
      <c r="AM110" s="7"/>
      <c r="AN110" s="7"/>
      <c r="AO110" s="7"/>
      <c r="AP110" s="7"/>
      <c r="AQ110" s="7"/>
      <c r="AR110" s="3"/>
      <c r="AS110" s="3"/>
      <c r="AT110" s="7"/>
      <c r="AU110" s="7"/>
      <c r="AV110" s="7"/>
      <c r="AW110" s="9"/>
      <c r="AX110" s="9"/>
      <c r="AY110" s="9"/>
      <c r="AZ110" s="3"/>
      <c r="BA110" s="3"/>
      <c r="BB110" s="3"/>
      <c r="BC110" s="3"/>
      <c r="BD110" s="3"/>
      <c r="BE110" s="3"/>
      <c r="BG110" s="3"/>
      <c r="BH110" s="7"/>
      <c r="BI110" s="3"/>
      <c r="BJ110" s="3"/>
      <c r="BK110" s="3"/>
      <c r="BL110" s="3"/>
    </row>
    <row r="111" spans="1:64" x14ac:dyDescent="0.3">
      <c r="A111">
        <v>64</v>
      </c>
      <c r="B111" s="1" t="s">
        <v>115</v>
      </c>
      <c r="C111" s="1" t="s">
        <v>32</v>
      </c>
      <c r="D111" s="2">
        <v>43403</v>
      </c>
      <c r="E111" s="3">
        <v>19.8</v>
      </c>
      <c r="F111" s="4">
        <f t="shared" si="1"/>
        <v>4316.0439566929135</v>
      </c>
      <c r="G111" s="7">
        <v>9.65</v>
      </c>
      <c r="H111" s="7">
        <v>141.22</v>
      </c>
      <c r="I111" s="7">
        <f t="shared" si="111"/>
        <v>131.57</v>
      </c>
      <c r="J111" s="7">
        <v>121.68</v>
      </c>
      <c r="K111" s="5">
        <f t="shared" si="3"/>
        <v>7.5169111499581875</v>
      </c>
      <c r="L111" s="4">
        <f t="shared" si="4"/>
        <v>3991.6107672751677</v>
      </c>
      <c r="M111" s="2">
        <v>43440</v>
      </c>
      <c r="N111" s="7">
        <v>8.75</v>
      </c>
      <c r="O111" s="7">
        <v>3.52</v>
      </c>
      <c r="P111" s="7">
        <v>5.86</v>
      </c>
      <c r="Q111" s="6">
        <f t="shared" si="5"/>
        <v>0.38177416149008614</v>
      </c>
      <c r="R111" s="6">
        <f t="shared" si="6"/>
        <v>0.48951410890446639</v>
      </c>
      <c r="S111" s="6">
        <f t="shared" si="7"/>
        <v>0.12871172960544747</v>
      </c>
      <c r="T111" s="4">
        <f t="shared" si="8"/>
        <v>1647.7540625207907</v>
      </c>
      <c r="U111" s="4">
        <f t="shared" si="9"/>
        <v>2112.764411453039</v>
      </c>
      <c r="V111" s="4">
        <f t="shared" si="10"/>
        <v>3760.5184739738297</v>
      </c>
      <c r="W111" s="4">
        <f t="shared" si="11"/>
        <v>1523.8938536712765</v>
      </c>
      <c r="X111" s="4">
        <f t="shared" si="12"/>
        <v>1953.9497878361772</v>
      </c>
      <c r="Y111" s="4">
        <f t="shared" si="13"/>
        <v>3477.8436415074539</v>
      </c>
      <c r="Z111" s="10"/>
      <c r="AA111" s="4"/>
      <c r="AB111" s="5"/>
      <c r="AC111" s="4"/>
      <c r="AD111" s="4"/>
      <c r="AE111" s="4"/>
      <c r="AF111" s="4"/>
      <c r="AH111" t="s">
        <v>267</v>
      </c>
      <c r="AI111" t="str">
        <f>C111</f>
        <v>Machine</v>
      </c>
      <c r="AJ111" s="8">
        <f>D111</f>
        <v>43403</v>
      </c>
      <c r="AK111" s="3">
        <f>SUM(E111:E113)</f>
        <v>59.2</v>
      </c>
      <c r="AL111" s="3">
        <f>(AK111-3*$A$35)*$A$36/(3*$A$37)*$A$38</f>
        <v>4301.1623293963248</v>
      </c>
      <c r="AM111" s="7">
        <f>SUM(G111:G113)</f>
        <v>28.970000000000002</v>
      </c>
      <c r="AN111" s="7">
        <f>SUM(H111:H113)</f>
        <v>519.62</v>
      </c>
      <c r="AO111" s="7">
        <f>AN111-AM111</f>
        <v>490.65</v>
      </c>
      <c r="AP111" s="7">
        <f>SUM(J111:J113)</f>
        <v>455.75</v>
      </c>
      <c r="AQ111" s="7">
        <f>(AO111-AP111)/AO111*100</f>
        <v>7.1130133496382308</v>
      </c>
      <c r="AR111" s="3">
        <f>AL111*(1-AQ111/100)</f>
        <v>3995.2200787167535</v>
      </c>
      <c r="AS111" s="11">
        <f>M111</f>
        <v>43440</v>
      </c>
      <c r="AT111" s="7">
        <f>SUM(N111:N113)</f>
        <v>25.910000000000004</v>
      </c>
      <c r="AU111" s="7">
        <f>SUM(O111:O113)</f>
        <v>10.44</v>
      </c>
      <c r="AV111" s="7">
        <f>SUM(P111:P113)</f>
        <v>17.340000000000003</v>
      </c>
      <c r="AW111" s="9">
        <f>(AU111-3*$A$39)/(AT111-3*$A$35*$A$36)</f>
        <v>0.38216198924471462</v>
      </c>
      <c r="AX111" s="9">
        <f>(AV111-3*$A$40)/(AT111-3*$A$35*$A$36)</f>
        <v>0.48660377512525788</v>
      </c>
      <c r="AY111" s="9">
        <f>1-AW111-AX111</f>
        <v>0.13123423563002756</v>
      </c>
      <c r="AZ111" s="3">
        <f>AL111*AW111</f>
        <v>1643.74075186653</v>
      </c>
      <c r="BA111" s="3">
        <f>AL111*AX111</f>
        <v>2092.9618269107996</v>
      </c>
      <c r="BB111" s="3">
        <f>AZ111+BA111</f>
        <v>3736.7025787773296</v>
      </c>
      <c r="BC111" s="3">
        <f>AR111*AW111</f>
        <v>1526.8212527528199</v>
      </c>
      <c r="BD111" s="3">
        <f>AR111*AX111</f>
        <v>1944.0891727598023</v>
      </c>
      <c r="BE111" s="3">
        <f>BC111+BD111</f>
        <v>3470.9104255126222</v>
      </c>
      <c r="BF111" s="11">
        <f>Z112</f>
        <v>43451</v>
      </c>
      <c r="BG111" s="3">
        <f>AVERAGE(AA111:AA113)</f>
        <v>46.2</v>
      </c>
      <c r="BH111" s="7">
        <f t="shared" ref="BH111" si="117">AVERAGE(AB111:AB113)</f>
        <v>1.06</v>
      </c>
      <c r="BI111" s="3">
        <f t="shared" ref="BI111" si="118">AVERAGE(AC111:AC113)</f>
        <v>76.5</v>
      </c>
      <c r="BJ111" s="3">
        <f t="shared" ref="BJ111" si="119">AVERAGE(AD111:AD113)</f>
        <v>27.6</v>
      </c>
      <c r="BK111" s="3">
        <f t="shared" ref="BK111" si="120">AVERAGE(AE111:AE113)</f>
        <v>6.2</v>
      </c>
      <c r="BL111" s="3">
        <f t="shared" ref="BL111" si="121">AVERAGE(AF111:AF113)</f>
        <v>13.6</v>
      </c>
    </row>
    <row r="112" spans="1:64" x14ac:dyDescent="0.3">
      <c r="A112">
        <v>65</v>
      </c>
      <c r="B112" s="1" t="s">
        <v>116</v>
      </c>
      <c r="C112" s="1" t="s">
        <v>32</v>
      </c>
      <c r="D112" s="2">
        <v>43403</v>
      </c>
      <c r="E112" s="3">
        <v>20.6</v>
      </c>
      <c r="F112" s="4">
        <f t="shared" si="1"/>
        <v>4494.623484251968</v>
      </c>
      <c r="G112" s="7">
        <v>9.66</v>
      </c>
      <c r="H112" s="7">
        <v>164.11</v>
      </c>
      <c r="I112" s="7">
        <f t="shared" si="111"/>
        <v>154.45000000000002</v>
      </c>
      <c r="J112" s="7">
        <v>143.03</v>
      </c>
      <c r="K112" s="5">
        <f t="shared" si="3"/>
        <v>7.3939786338621012</v>
      </c>
      <c r="L112" s="4">
        <f t="shared" si="4"/>
        <v>4162.2919841538296</v>
      </c>
      <c r="M112" s="2">
        <v>43440</v>
      </c>
      <c r="N112" s="7">
        <v>8.99</v>
      </c>
      <c r="O112" s="7">
        <v>3.6</v>
      </c>
      <c r="P112" s="7">
        <v>5.9</v>
      </c>
      <c r="Q112" s="6">
        <f t="shared" si="5"/>
        <v>0.3804498998216182</v>
      </c>
      <c r="R112" s="6">
        <f t="shared" si="6"/>
        <v>0.48068819678060748</v>
      </c>
      <c r="S112" s="6">
        <f t="shared" si="7"/>
        <v>0.13886190339777438</v>
      </c>
      <c r="T112" s="4">
        <f t="shared" si="8"/>
        <v>1709.9790543195538</v>
      </c>
      <c r="U112" s="4">
        <f t="shared" si="9"/>
        <v>2160.5124578528498</v>
      </c>
      <c r="V112" s="4">
        <f t="shared" si="10"/>
        <v>3870.4915121724034</v>
      </c>
      <c r="W112" s="4">
        <f t="shared" si="11"/>
        <v>1583.5435683996488</v>
      </c>
      <c r="X112" s="4">
        <f t="shared" si="12"/>
        <v>2000.7646283372812</v>
      </c>
      <c r="Y112" s="4">
        <f t="shared" si="13"/>
        <v>3584.3081967369299</v>
      </c>
      <c r="Z112" s="10">
        <v>43451</v>
      </c>
      <c r="AA112" s="4">
        <v>46.2</v>
      </c>
      <c r="AB112" s="5">
        <v>1.06</v>
      </c>
      <c r="AC112" s="4">
        <v>76.5</v>
      </c>
      <c r="AD112" s="4">
        <v>27.6</v>
      </c>
      <c r="AE112" s="4">
        <v>6.2</v>
      </c>
      <c r="AF112" s="4">
        <v>13.6</v>
      </c>
      <c r="AK112" s="3"/>
      <c r="AL112" s="3"/>
      <c r="AM112" s="7"/>
      <c r="AN112" s="7"/>
      <c r="AO112" s="7"/>
      <c r="AP112" s="7"/>
      <c r="AQ112" s="7"/>
      <c r="AR112" s="3"/>
      <c r="AS112" s="3"/>
      <c r="AT112" s="7"/>
      <c r="AU112" s="7"/>
      <c r="AV112" s="7"/>
      <c r="AW112" s="9"/>
      <c r="AX112" s="9"/>
      <c r="AY112" s="9"/>
      <c r="AZ112" s="3"/>
      <c r="BA112" s="3"/>
      <c r="BB112" s="3"/>
      <c r="BC112" s="3"/>
      <c r="BD112" s="3"/>
      <c r="BE112" s="3"/>
      <c r="BG112" s="3"/>
      <c r="BH112" s="7"/>
      <c r="BI112" s="3"/>
      <c r="BJ112" s="3"/>
      <c r="BK112" s="3"/>
      <c r="BL112" s="3"/>
    </row>
    <row r="113" spans="1:64" x14ac:dyDescent="0.3">
      <c r="A113">
        <v>66</v>
      </c>
      <c r="B113" s="1" t="s">
        <v>117</v>
      </c>
      <c r="C113" s="1" t="s">
        <v>32</v>
      </c>
      <c r="D113" s="2">
        <v>43403</v>
      </c>
      <c r="E113" s="3">
        <v>18.8</v>
      </c>
      <c r="F113" s="4">
        <f t="shared" ref="F113:F176" si="122">(E113-$A$35)*$A$36/$A$37*$A$38</f>
        <v>4092.8195472440943</v>
      </c>
      <c r="G113" s="7">
        <v>9.66</v>
      </c>
      <c r="H113" s="7">
        <v>214.29</v>
      </c>
      <c r="I113" s="7">
        <f t="shared" si="111"/>
        <v>204.63</v>
      </c>
      <c r="J113" s="7">
        <v>191.04</v>
      </c>
      <c r="K113" s="5">
        <f t="shared" ref="K113:K176" si="123">(I113-J113)/I113*100</f>
        <v>6.6412549479548471</v>
      </c>
      <c r="L113" s="4">
        <f t="shared" ref="L113:L176" si="124">F113*(1-K113/100)</f>
        <v>3821.0049665518827</v>
      </c>
      <c r="M113" s="2">
        <v>43440</v>
      </c>
      <c r="N113" s="7">
        <v>8.17</v>
      </c>
      <c r="O113" s="7">
        <v>3.32</v>
      </c>
      <c r="P113" s="7">
        <v>5.58</v>
      </c>
      <c r="Q113" s="6">
        <f t="shared" ref="Q113:Q176" si="125">(O113-$A$39)/(N113-$A$35*$A$36)</f>
        <v>0.38446655991027057</v>
      </c>
      <c r="R113" s="6">
        <f t="shared" ref="R113:R176" si="126">(P113-$A$40)/(N113-$A$35*$A$36)</f>
        <v>0.4900063998856391</v>
      </c>
      <c r="S113" s="6">
        <f t="shared" ref="S113:S176" si="127">1-Q113-R113</f>
        <v>0.12552704020409033</v>
      </c>
      <c r="T113" s="4">
        <f t="shared" ref="T113:T176" si="128">F113*Q113</f>
        <v>1573.552251662448</v>
      </c>
      <c r="U113" s="4">
        <f t="shared" ref="U113:U176" si="129">F113*R113</f>
        <v>2005.5077717266502</v>
      </c>
      <c r="V113" s="4">
        <f t="shared" ref="V113:V176" si="130">T113+U113</f>
        <v>3579.0600233890982</v>
      </c>
      <c r="W113" s="4">
        <f t="shared" ref="W113:W176" si="131">L113*Q113</f>
        <v>1469.0486348902607</v>
      </c>
      <c r="X113" s="4">
        <f t="shared" ref="X113:X176" si="132">L113*R113</f>
        <v>1872.3168876052348</v>
      </c>
      <c r="Y113" s="4">
        <f t="shared" ref="Y113:Y176" si="133">W113+X113</f>
        <v>3341.3655224954955</v>
      </c>
      <c r="Z113" s="10"/>
      <c r="AA113" s="4"/>
      <c r="AB113" s="5"/>
      <c r="AC113" s="4"/>
      <c r="AD113" s="4"/>
      <c r="AE113" s="4"/>
      <c r="AF113" s="4"/>
      <c r="AK113" s="3"/>
      <c r="AL113" s="3"/>
      <c r="AM113" s="7"/>
      <c r="AN113" s="7"/>
      <c r="AO113" s="7"/>
      <c r="AP113" s="7"/>
      <c r="AQ113" s="7"/>
      <c r="AR113" s="3"/>
      <c r="AS113" s="3"/>
      <c r="AT113" s="7"/>
      <c r="AU113" s="7"/>
      <c r="AV113" s="7"/>
      <c r="AW113" s="9"/>
      <c r="AX113" s="9"/>
      <c r="AY113" s="9"/>
      <c r="AZ113" s="3"/>
      <c r="BA113" s="3"/>
      <c r="BB113" s="3"/>
      <c r="BC113" s="3"/>
      <c r="BD113" s="3"/>
      <c r="BE113" s="3"/>
      <c r="BG113" s="3"/>
      <c r="BH113" s="7"/>
      <c r="BI113" s="3"/>
      <c r="BJ113" s="3"/>
      <c r="BK113" s="3"/>
      <c r="BL113" s="3"/>
    </row>
    <row r="114" spans="1:64" x14ac:dyDescent="0.3">
      <c r="A114">
        <v>67</v>
      </c>
      <c r="B114" s="1" t="s">
        <v>118</v>
      </c>
      <c r="C114" s="1" t="s">
        <v>32</v>
      </c>
      <c r="D114" s="2">
        <v>43403</v>
      </c>
      <c r="E114" s="3">
        <v>18.5</v>
      </c>
      <c r="F114" s="4">
        <f t="shared" si="122"/>
        <v>4025.8522244094484</v>
      </c>
      <c r="G114" s="7">
        <v>9.65</v>
      </c>
      <c r="H114" s="7">
        <v>193.83</v>
      </c>
      <c r="I114" s="7">
        <f t="shared" si="111"/>
        <v>184.18</v>
      </c>
      <c r="J114" s="7">
        <v>169.73</v>
      </c>
      <c r="K114" s="5">
        <f t="shared" si="123"/>
        <v>7.8455858399391998</v>
      </c>
      <c r="L114" s="4">
        <f t="shared" si="124"/>
        <v>3710.0005323543037</v>
      </c>
      <c r="M114" s="2">
        <v>43440</v>
      </c>
      <c r="N114" s="7">
        <v>7.99</v>
      </c>
      <c r="O114" s="7">
        <v>3.32</v>
      </c>
      <c r="P114" s="7">
        <v>5.48</v>
      </c>
      <c r="Q114" s="6">
        <f t="shared" si="125"/>
        <v>0.39336272543045742</v>
      </c>
      <c r="R114" s="6">
        <f t="shared" si="126"/>
        <v>0.4884896590312871</v>
      </c>
      <c r="S114" s="6">
        <f t="shared" si="127"/>
        <v>0.11814761553825542</v>
      </c>
      <c r="T114" s="4">
        <f t="shared" si="128"/>
        <v>1583.6202031739701</v>
      </c>
      <c r="U114" s="4">
        <f t="shared" si="129"/>
        <v>1966.5871804121202</v>
      </c>
      <c r="V114" s="4">
        <f t="shared" si="130"/>
        <v>3550.2073835860901</v>
      </c>
      <c r="W114" s="4">
        <f t="shared" si="131"/>
        <v>1459.3759207553369</v>
      </c>
      <c r="X114" s="4">
        <f t="shared" si="132"/>
        <v>1812.2968950556474</v>
      </c>
      <c r="Y114" s="4">
        <f t="shared" si="133"/>
        <v>3271.6728158109845</v>
      </c>
      <c r="Z114" s="10"/>
      <c r="AA114" s="4"/>
      <c r="AB114" s="5"/>
      <c r="AC114" s="4"/>
      <c r="AD114" s="4"/>
      <c r="AE114" s="4"/>
      <c r="AF114" s="4"/>
      <c r="AH114" t="s">
        <v>268</v>
      </c>
      <c r="AI114" t="str">
        <f>C114</f>
        <v>Machine</v>
      </c>
      <c r="AJ114" s="8">
        <f>D114</f>
        <v>43403</v>
      </c>
      <c r="AK114" s="3">
        <f>SUM(E114:E116)</f>
        <v>59</v>
      </c>
      <c r="AL114" s="3">
        <f>(AK114-3*$A$35)*$A$36/(3*$A$37)*$A$38</f>
        <v>4286.280702099737</v>
      </c>
      <c r="AM114" s="7">
        <f>SUM(G114:G116)</f>
        <v>29</v>
      </c>
      <c r="AN114" s="7">
        <f>SUM(H114:H116)</f>
        <v>535.31999999999994</v>
      </c>
      <c r="AO114" s="7">
        <f>AN114-AM114</f>
        <v>506.31999999999994</v>
      </c>
      <c r="AP114" s="7">
        <f>SUM(J114:J116)</f>
        <v>471.11999999999995</v>
      </c>
      <c r="AQ114" s="7">
        <f>(AO114-AP114)/AO114*100</f>
        <v>6.9521251382524865</v>
      </c>
      <c r="AR114" s="3">
        <f>AL114*(1-AQ114/100)</f>
        <v>3988.2931039129962</v>
      </c>
      <c r="AS114" s="11">
        <f>M114</f>
        <v>43440</v>
      </c>
      <c r="AT114" s="7">
        <f>SUM(N114:N116)</f>
        <v>25.61</v>
      </c>
      <c r="AU114" s="7">
        <f>SUM(O114:O116)</f>
        <v>10.54</v>
      </c>
      <c r="AV114" s="7">
        <f>SUM(P114:P116)</f>
        <v>17.14</v>
      </c>
      <c r="AW114" s="9">
        <f>(AU114-3*$A$39)/(AT114-3*$A$35*$A$36)</f>
        <v>0.39075575717072164</v>
      </c>
      <c r="AX114" s="9">
        <f>(AV114-3*$A$40)/(AT114-3*$A$35*$A$36)</f>
        <v>0.48444105141042343</v>
      </c>
      <c r="AY114" s="9">
        <f>1-AW114-AX114</f>
        <v>0.12480319141885493</v>
      </c>
      <c r="AZ114" s="3">
        <f>AL114*AW114</f>
        <v>1674.888861195235</v>
      </c>
      <c r="BA114" s="3">
        <f>AL114*AX114</f>
        <v>2076.4503299654048</v>
      </c>
      <c r="BB114" s="3">
        <f>AZ114+BA114</f>
        <v>3751.3391911606395</v>
      </c>
      <c r="BC114" s="3">
        <f>AR114*AW114</f>
        <v>1558.4484916382905</v>
      </c>
      <c r="BD114" s="3">
        <f>AR114*AX114</f>
        <v>1932.0929045925529</v>
      </c>
      <c r="BE114" s="3">
        <f>BC114+BD114</f>
        <v>3490.5413962308435</v>
      </c>
      <c r="BF114" s="11">
        <f>Z115</f>
        <v>43451</v>
      </c>
      <c r="BG114" s="3">
        <f>AVERAGE(AA114:AA116)</f>
        <v>48.9</v>
      </c>
      <c r="BH114" s="7">
        <f t="shared" ref="BH114" si="134">AVERAGE(AB114:AB116)</f>
        <v>1.08</v>
      </c>
      <c r="BI114" s="3">
        <f t="shared" ref="BI114" si="135">AVERAGE(AC114:AC116)</f>
        <v>78.7</v>
      </c>
      <c r="BJ114" s="3">
        <f t="shared" ref="BJ114" si="136">AVERAGE(AD114:AD116)</f>
        <v>28.1</v>
      </c>
      <c r="BK114" s="3">
        <f t="shared" ref="BK114" si="137">AVERAGE(AE114:AE116)</f>
        <v>6.4</v>
      </c>
      <c r="BL114" s="3">
        <f t="shared" ref="BL114" si="138">AVERAGE(AF114:AF116)</f>
        <v>11.4</v>
      </c>
    </row>
    <row r="115" spans="1:64" x14ac:dyDescent="0.3">
      <c r="A115">
        <v>68</v>
      </c>
      <c r="B115" s="1" t="s">
        <v>119</v>
      </c>
      <c r="C115" s="1" t="s">
        <v>32</v>
      </c>
      <c r="D115" s="2">
        <v>43403</v>
      </c>
      <c r="E115" s="3">
        <v>19.2</v>
      </c>
      <c r="F115" s="4">
        <f t="shared" si="122"/>
        <v>4182.1093110236216</v>
      </c>
      <c r="G115" s="7">
        <v>9.69</v>
      </c>
      <c r="H115" s="7">
        <v>201.06</v>
      </c>
      <c r="I115" s="7">
        <f t="shared" si="111"/>
        <v>191.37</v>
      </c>
      <c r="J115" s="7">
        <v>178.44</v>
      </c>
      <c r="K115" s="5">
        <f t="shared" si="123"/>
        <v>6.7565449129957713</v>
      </c>
      <c r="L115" s="4">
        <f t="shared" si="124"/>
        <v>3899.5432171137322</v>
      </c>
      <c r="M115" s="2">
        <v>43440</v>
      </c>
      <c r="N115" s="7">
        <v>8.2899999999999991</v>
      </c>
      <c r="O115" s="7">
        <v>3.38</v>
      </c>
      <c r="P115" s="7">
        <v>5.54</v>
      </c>
      <c r="Q115" s="6">
        <f t="shared" si="125"/>
        <v>0.3861825985299227</v>
      </c>
      <c r="R115" s="6">
        <f t="shared" si="126"/>
        <v>0.47777718920689161</v>
      </c>
      <c r="S115" s="6">
        <f t="shared" si="127"/>
        <v>0.13604021226318563</v>
      </c>
      <c r="T115" s="4">
        <f t="shared" si="128"/>
        <v>1615.057841067287</v>
      </c>
      <c r="U115" s="4">
        <f t="shared" si="129"/>
        <v>1998.116431576836</v>
      </c>
      <c r="V115" s="4">
        <f t="shared" si="130"/>
        <v>3613.174272644123</v>
      </c>
      <c r="W115" s="4">
        <f t="shared" si="131"/>
        <v>1505.9357326647157</v>
      </c>
      <c r="X115" s="4">
        <f t="shared" si="132"/>
        <v>1863.1127974633985</v>
      </c>
      <c r="Y115" s="4">
        <f t="shared" si="133"/>
        <v>3369.0485301281142</v>
      </c>
      <c r="Z115" s="10">
        <v>43451</v>
      </c>
      <c r="AA115" s="4">
        <v>48.9</v>
      </c>
      <c r="AB115" s="5">
        <v>1.08</v>
      </c>
      <c r="AC115" s="4">
        <v>78.7</v>
      </c>
      <c r="AD115" s="4">
        <v>28.1</v>
      </c>
      <c r="AE115" s="4">
        <v>6.4</v>
      </c>
      <c r="AF115" s="4">
        <v>11.4</v>
      </c>
      <c r="AK115" s="3"/>
      <c r="AL115" s="3"/>
      <c r="AM115" s="7"/>
      <c r="AN115" s="7"/>
      <c r="AO115" s="7"/>
      <c r="AP115" s="7"/>
      <c r="AQ115" s="7"/>
      <c r="AR115" s="3"/>
      <c r="AS115" s="3"/>
      <c r="AT115" s="7"/>
      <c r="AU115" s="7"/>
      <c r="AV115" s="7"/>
      <c r="AW115" s="9"/>
      <c r="AX115" s="9"/>
      <c r="AY115" s="9"/>
      <c r="AZ115" s="3"/>
      <c r="BA115" s="3"/>
      <c r="BB115" s="3"/>
      <c r="BC115" s="3"/>
      <c r="BD115" s="3"/>
      <c r="BE115" s="3"/>
      <c r="BG115" s="3"/>
      <c r="BH115" s="7"/>
      <c r="BI115" s="3"/>
      <c r="BJ115" s="3"/>
      <c r="BK115" s="3"/>
      <c r="BL115" s="3"/>
    </row>
    <row r="116" spans="1:64" x14ac:dyDescent="0.3">
      <c r="A116">
        <v>69</v>
      </c>
      <c r="B116" s="1" t="s">
        <v>120</v>
      </c>
      <c r="C116" s="1" t="s">
        <v>32</v>
      </c>
      <c r="D116" s="2">
        <v>43403</v>
      </c>
      <c r="E116" s="3">
        <v>21.3</v>
      </c>
      <c r="F116" s="4">
        <f t="shared" si="122"/>
        <v>4650.8805708661421</v>
      </c>
      <c r="G116" s="7">
        <v>9.66</v>
      </c>
      <c r="H116" s="7">
        <v>140.43</v>
      </c>
      <c r="I116" s="7">
        <f t="shared" si="111"/>
        <v>130.77000000000001</v>
      </c>
      <c r="J116" s="7">
        <v>122.95</v>
      </c>
      <c r="K116" s="5">
        <f t="shared" si="123"/>
        <v>5.9799648237363359</v>
      </c>
      <c r="L116" s="4">
        <f t="shared" si="124"/>
        <v>4372.7595487343588</v>
      </c>
      <c r="M116" s="2">
        <v>43440</v>
      </c>
      <c r="N116" s="7">
        <v>9.33</v>
      </c>
      <c r="O116" s="7">
        <v>3.84</v>
      </c>
      <c r="P116" s="7">
        <v>6.12</v>
      </c>
      <c r="Q116" s="6">
        <f t="shared" si="125"/>
        <v>0.39258347442103508</v>
      </c>
      <c r="R116" s="6">
        <f t="shared" si="126"/>
        <v>0.4868912364327922</v>
      </c>
      <c r="S116" s="6">
        <f t="shared" si="127"/>
        <v>0.12052528914617278</v>
      </c>
      <c r="T116" s="4">
        <f t="shared" si="128"/>
        <v>1825.8588536279171</v>
      </c>
      <c r="U116" s="4">
        <f t="shared" si="129"/>
        <v>2264.4729916502665</v>
      </c>
      <c r="V116" s="4">
        <f t="shared" si="130"/>
        <v>4090.3318452781837</v>
      </c>
      <c r="W116" s="4">
        <f t="shared" si="131"/>
        <v>1716.6731364498921</v>
      </c>
      <c r="X116" s="4">
        <f t="shared" si="132"/>
        <v>2129.0583033065705</v>
      </c>
      <c r="Y116" s="4">
        <f t="shared" si="133"/>
        <v>3845.7314397564624</v>
      </c>
      <c r="Z116" s="10"/>
      <c r="AA116" s="4"/>
      <c r="AB116" s="5"/>
      <c r="AC116" s="4"/>
      <c r="AD116" s="4"/>
      <c r="AE116" s="4"/>
      <c r="AF116" s="4"/>
      <c r="AK116" s="3"/>
      <c r="AL116" s="3"/>
      <c r="AM116" s="7"/>
      <c r="AN116" s="7"/>
      <c r="AO116" s="7"/>
      <c r="AP116" s="7"/>
      <c r="AQ116" s="7"/>
      <c r="AR116" s="3"/>
      <c r="AS116" s="3"/>
      <c r="AT116" s="7"/>
      <c r="AU116" s="7"/>
      <c r="AV116" s="7"/>
      <c r="AW116" s="9"/>
      <c r="AX116" s="9"/>
      <c r="AY116" s="9"/>
      <c r="AZ116" s="3"/>
      <c r="BA116" s="3"/>
      <c r="BB116" s="3"/>
      <c r="BC116" s="3"/>
      <c r="BD116" s="3"/>
      <c r="BE116" s="3"/>
      <c r="BG116" s="3"/>
      <c r="BH116" s="7"/>
      <c r="BI116" s="3"/>
      <c r="BJ116" s="3"/>
      <c r="BK116" s="3"/>
      <c r="BL116" s="3"/>
    </row>
    <row r="117" spans="1:64" x14ac:dyDescent="0.3">
      <c r="A117">
        <v>70</v>
      </c>
      <c r="B117" s="1" t="s">
        <v>121</v>
      </c>
      <c r="C117" s="1" t="s">
        <v>32</v>
      </c>
      <c r="D117" s="2">
        <v>43403</v>
      </c>
      <c r="E117" s="3">
        <v>19.5</v>
      </c>
      <c r="F117" s="4">
        <f t="shared" si="122"/>
        <v>4249.0766338582671</v>
      </c>
      <c r="G117" s="7">
        <v>9.68</v>
      </c>
      <c r="H117" s="7">
        <v>200.68</v>
      </c>
      <c r="I117" s="7">
        <f t="shared" si="111"/>
        <v>191</v>
      </c>
      <c r="J117" s="7">
        <v>177.1</v>
      </c>
      <c r="K117" s="5">
        <f t="shared" si="123"/>
        <v>7.2774869109947664</v>
      </c>
      <c r="L117" s="4">
        <f t="shared" si="124"/>
        <v>3939.8506379910946</v>
      </c>
      <c r="M117" s="2">
        <v>43440</v>
      </c>
      <c r="N117" s="7">
        <v>8.52</v>
      </c>
      <c r="O117" s="7">
        <v>3.5</v>
      </c>
      <c r="P117" s="7">
        <v>5.78</v>
      </c>
      <c r="Q117" s="6">
        <f t="shared" si="125"/>
        <v>0.38993487957532802</v>
      </c>
      <c r="R117" s="6">
        <f t="shared" si="126"/>
        <v>0.4934361130428534</v>
      </c>
      <c r="S117" s="6">
        <f t="shared" si="127"/>
        <v>0.11662900738181858</v>
      </c>
      <c r="T117" s="4">
        <f t="shared" si="128"/>
        <v>1656.8631855298636</v>
      </c>
      <c r="U117" s="4">
        <f t="shared" si="129"/>
        <v>2096.6478582322347</v>
      </c>
      <c r="V117" s="4">
        <f t="shared" si="130"/>
        <v>3753.5110437620983</v>
      </c>
      <c r="W117" s="4">
        <f t="shared" si="131"/>
        <v>1536.2851840698368</v>
      </c>
      <c r="X117" s="4">
        <f t="shared" si="132"/>
        <v>1944.0645847797318</v>
      </c>
      <c r="Y117" s="4">
        <f t="shared" si="133"/>
        <v>3480.3497688495686</v>
      </c>
      <c r="Z117" s="10"/>
      <c r="AA117" s="4"/>
      <c r="AB117" s="5"/>
      <c r="AC117" s="4"/>
      <c r="AD117" s="4"/>
      <c r="AE117" s="4"/>
      <c r="AF117" s="4"/>
      <c r="AH117" t="s">
        <v>269</v>
      </c>
      <c r="AI117" t="str">
        <f>C117</f>
        <v>Machine</v>
      </c>
      <c r="AJ117" s="8">
        <f>D117</f>
        <v>43403</v>
      </c>
      <c r="AK117" s="3">
        <f>SUM(E117:E119)</f>
        <v>63.2</v>
      </c>
      <c r="AL117" s="3">
        <f>(AK117-3*$A$35)*$A$36/(3*$A$37)*$A$38</f>
        <v>4598.7948753280834</v>
      </c>
      <c r="AM117" s="7">
        <f>SUM(G117:G119)</f>
        <v>29.04</v>
      </c>
      <c r="AN117" s="7">
        <f>SUM(H117:H119)</f>
        <v>504.68</v>
      </c>
      <c r="AO117" s="7">
        <f>AN117-AM117</f>
        <v>475.64</v>
      </c>
      <c r="AP117" s="7">
        <f>SUM(J117:J119)</f>
        <v>443.77</v>
      </c>
      <c r="AQ117" s="7">
        <f>(AO117-AP117)/AO117*100</f>
        <v>6.7004457152468264</v>
      </c>
      <c r="AR117" s="3">
        <f>AL117*(1-AQ117/100)</f>
        <v>4290.6551211511724</v>
      </c>
      <c r="AS117" s="11">
        <f>M117</f>
        <v>43440</v>
      </c>
      <c r="AT117" s="7">
        <f>SUM(N117:N119)</f>
        <v>27.589999999999996</v>
      </c>
      <c r="AU117" s="7">
        <f>SUM(O117:O119)</f>
        <v>11.36</v>
      </c>
      <c r="AV117" s="7">
        <f>SUM(P117:P119)</f>
        <v>18.18</v>
      </c>
      <c r="AW117" s="9">
        <f>(AU117-3*$A$39)/(AT117-3*$A$35*$A$36)</f>
        <v>0.39247342567999094</v>
      </c>
      <c r="AX117" s="9">
        <f>(AV117-3*$A$40)/(AT117-3*$A$35*$A$36)</f>
        <v>0.48743864021125533</v>
      </c>
      <c r="AY117" s="9">
        <f>1-AW117-AX117</f>
        <v>0.12008793410875379</v>
      </c>
      <c r="AZ117" s="3">
        <f>AL117*AW117</f>
        <v>1804.9047787195998</v>
      </c>
      <c r="BA117" s="3">
        <f>AL117*AX117</f>
        <v>2241.6303206404104</v>
      </c>
      <c r="BB117" s="3">
        <f>AZ117+BA117</f>
        <v>4046.5350993600105</v>
      </c>
      <c r="BC117" s="3">
        <f>AR117*AW117</f>
        <v>1683.9681138095971</v>
      </c>
      <c r="BD117" s="3">
        <f>AR117*AX117</f>
        <v>2091.4310978693866</v>
      </c>
      <c r="BE117" s="3">
        <f>BC117+BD117</f>
        <v>3775.3992116789836</v>
      </c>
      <c r="BF117" s="11">
        <f>Z118</f>
        <v>43451</v>
      </c>
      <c r="BG117" s="3">
        <f>AVERAGE(AA117:AA119)</f>
        <v>51.900000000000006</v>
      </c>
      <c r="BH117" s="7">
        <f t="shared" ref="BH117" si="139">AVERAGE(AB117:AB119)</f>
        <v>1.02</v>
      </c>
      <c r="BI117" s="3">
        <f t="shared" ref="BI117" si="140">AVERAGE(AC117:AC119)</f>
        <v>78.3</v>
      </c>
      <c r="BJ117" s="3">
        <f t="shared" ref="BJ117" si="141">AVERAGE(AD117:AD119)</f>
        <v>25.8</v>
      </c>
      <c r="BK117" s="3">
        <f t="shared" ref="BK117" si="142">AVERAGE(AE117:AE119)</f>
        <v>6.4</v>
      </c>
      <c r="BL117" s="3">
        <f t="shared" ref="BL117" si="143">AVERAGE(AF117:AF119)</f>
        <v>12.9</v>
      </c>
    </row>
    <row r="118" spans="1:64" x14ac:dyDescent="0.3">
      <c r="A118">
        <v>71</v>
      </c>
      <c r="B118" s="1" t="s">
        <v>122</v>
      </c>
      <c r="C118" s="1" t="s">
        <v>32</v>
      </c>
      <c r="D118" s="2">
        <v>43403</v>
      </c>
      <c r="E118" s="3">
        <v>24.9</v>
      </c>
      <c r="F118" s="4">
        <f t="shared" si="122"/>
        <v>5454.4884448818884</v>
      </c>
      <c r="G118" s="7">
        <v>9.6999999999999993</v>
      </c>
      <c r="H118" s="7">
        <v>187.45</v>
      </c>
      <c r="I118" s="7">
        <f t="shared" si="111"/>
        <v>177.75</v>
      </c>
      <c r="J118" s="7">
        <v>166.79</v>
      </c>
      <c r="K118" s="5">
        <f t="shared" si="123"/>
        <v>6.1659634317862215</v>
      </c>
      <c r="L118" s="4">
        <f t="shared" si="124"/>
        <v>5118.1666819794664</v>
      </c>
      <c r="M118" s="2">
        <v>43440</v>
      </c>
      <c r="N118" s="7">
        <v>10.79</v>
      </c>
      <c r="O118" s="7">
        <v>4.4400000000000004</v>
      </c>
      <c r="P118" s="7">
        <v>6.72</v>
      </c>
      <c r="Q118" s="6">
        <f t="shared" si="125"/>
        <v>0.39511943483114248</v>
      </c>
      <c r="R118" s="6">
        <f t="shared" si="126"/>
        <v>0.47641195013132959</v>
      </c>
      <c r="S118" s="6">
        <f t="shared" si="127"/>
        <v>0.12846861503752799</v>
      </c>
      <c r="T118" s="4">
        <f t="shared" si="128"/>
        <v>2155.1743916347291</v>
      </c>
      <c r="U118" s="4">
        <f t="shared" si="129"/>
        <v>2598.5834769949838</v>
      </c>
      <c r="V118" s="4">
        <f t="shared" si="130"/>
        <v>4753.7578686297129</v>
      </c>
      <c r="W118" s="4">
        <f t="shared" si="131"/>
        <v>2022.2871267553105</v>
      </c>
      <c r="X118" s="4">
        <f t="shared" si="132"/>
        <v>2438.3557700590341</v>
      </c>
      <c r="Y118" s="4">
        <f t="shared" si="133"/>
        <v>4460.6428968143446</v>
      </c>
      <c r="Z118" s="10">
        <v>43451</v>
      </c>
      <c r="AA118" s="4">
        <v>51.900000000000006</v>
      </c>
      <c r="AB118" s="5">
        <v>1.02</v>
      </c>
      <c r="AC118" s="4">
        <v>78.3</v>
      </c>
      <c r="AD118" s="4">
        <v>25.8</v>
      </c>
      <c r="AE118" s="4">
        <v>6.4</v>
      </c>
      <c r="AF118" s="4">
        <v>12.9</v>
      </c>
      <c r="AK118" s="3"/>
      <c r="AL118" s="3"/>
      <c r="AM118" s="7"/>
      <c r="AN118" s="7"/>
      <c r="AO118" s="7"/>
      <c r="AP118" s="7"/>
      <c r="AQ118" s="7"/>
      <c r="AR118" s="3"/>
      <c r="AS118" s="3"/>
      <c r="AT118" s="7"/>
      <c r="AU118" s="7"/>
      <c r="AV118" s="7"/>
      <c r="AW118" s="9"/>
      <c r="AX118" s="9"/>
      <c r="AY118" s="9"/>
      <c r="AZ118" s="3"/>
      <c r="BA118" s="3"/>
      <c r="BB118" s="3"/>
      <c r="BC118" s="3"/>
      <c r="BD118" s="3"/>
      <c r="BE118" s="3"/>
      <c r="BG118" s="3"/>
      <c r="BH118" s="7"/>
      <c r="BI118" s="3"/>
      <c r="BJ118" s="3"/>
      <c r="BK118" s="3"/>
      <c r="BL118" s="3"/>
    </row>
    <row r="119" spans="1:64" x14ac:dyDescent="0.3">
      <c r="A119">
        <v>72</v>
      </c>
      <c r="B119" s="1" t="s">
        <v>123</v>
      </c>
      <c r="C119" s="1" t="s">
        <v>32</v>
      </c>
      <c r="D119" s="2">
        <v>43403</v>
      </c>
      <c r="E119" s="3">
        <v>18.8</v>
      </c>
      <c r="F119" s="4">
        <f t="shared" si="122"/>
        <v>4092.8195472440943</v>
      </c>
      <c r="G119" s="7">
        <v>9.66</v>
      </c>
      <c r="H119" s="7">
        <v>116.55</v>
      </c>
      <c r="I119" s="7">
        <f t="shared" si="111"/>
        <v>106.89</v>
      </c>
      <c r="J119" s="7">
        <v>99.88</v>
      </c>
      <c r="K119" s="5">
        <f t="shared" si="123"/>
        <v>6.5581438862381933</v>
      </c>
      <c r="L119" s="4">
        <f t="shared" si="124"/>
        <v>3824.4065523317445</v>
      </c>
      <c r="M119" s="2">
        <v>43440</v>
      </c>
      <c r="N119" s="7">
        <v>8.2799999999999994</v>
      </c>
      <c r="O119" s="7">
        <v>3.42</v>
      </c>
      <c r="P119" s="7">
        <v>5.68</v>
      </c>
      <c r="Q119" s="6">
        <f t="shared" si="125"/>
        <v>0.39161838891833384</v>
      </c>
      <c r="R119" s="6">
        <f t="shared" si="126"/>
        <v>0.49571947964346053</v>
      </c>
      <c r="S119" s="6">
        <f t="shared" si="127"/>
        <v>0.11266213143820569</v>
      </c>
      <c r="T119" s="4">
        <f t="shared" si="128"/>
        <v>1602.8233972251967</v>
      </c>
      <c r="U119" s="4">
        <f t="shared" si="129"/>
        <v>2028.8903762344262</v>
      </c>
      <c r="V119" s="4">
        <f t="shared" si="130"/>
        <v>3631.7137734596226</v>
      </c>
      <c r="W119" s="4">
        <f t="shared" si="131"/>
        <v>1497.7079325928773</v>
      </c>
      <c r="X119" s="4">
        <f t="shared" si="132"/>
        <v>1895.8328260669332</v>
      </c>
      <c r="Y119" s="4">
        <f t="shared" si="133"/>
        <v>3393.5407586598103</v>
      </c>
      <c r="Z119" s="10"/>
      <c r="AA119" s="4"/>
      <c r="AB119" s="5"/>
      <c r="AC119" s="4"/>
      <c r="AD119" s="4"/>
      <c r="AE119" s="4"/>
      <c r="AF119" s="4"/>
      <c r="AK119" s="3"/>
      <c r="AL119" s="3"/>
      <c r="AM119" s="7"/>
      <c r="AN119" s="7"/>
      <c r="AO119" s="7"/>
      <c r="AP119" s="7"/>
      <c r="AQ119" s="7"/>
      <c r="AR119" s="3"/>
      <c r="AS119" s="3"/>
      <c r="AT119" s="7"/>
      <c r="AU119" s="7"/>
      <c r="AV119" s="7"/>
      <c r="AW119" s="9"/>
      <c r="AX119" s="9"/>
      <c r="AY119" s="9"/>
      <c r="AZ119" s="3"/>
      <c r="BA119" s="3"/>
      <c r="BB119" s="3"/>
      <c r="BC119" s="3"/>
      <c r="BD119" s="3"/>
      <c r="BE119" s="3"/>
      <c r="BG119" s="3"/>
      <c r="BH119" s="7"/>
      <c r="BI119" s="3"/>
      <c r="BJ119" s="3"/>
      <c r="BK119" s="3"/>
      <c r="BL119" s="3"/>
    </row>
    <row r="120" spans="1:64" x14ac:dyDescent="0.3">
      <c r="A120">
        <v>73</v>
      </c>
      <c r="B120" s="1" t="s">
        <v>124</v>
      </c>
      <c r="C120" s="1" t="s">
        <v>32</v>
      </c>
      <c r="D120" s="2">
        <v>43403</v>
      </c>
      <c r="E120" s="3">
        <v>19.5</v>
      </c>
      <c r="F120" s="4">
        <f t="shared" si="122"/>
        <v>4249.0766338582671</v>
      </c>
      <c r="G120" s="7">
        <v>9.75</v>
      </c>
      <c r="H120" s="7">
        <v>160.72999999999999</v>
      </c>
      <c r="I120" s="7">
        <f t="shared" ref="I120:I176" si="144">H120-G120</f>
        <v>150.97999999999999</v>
      </c>
      <c r="J120" s="7">
        <v>139.82</v>
      </c>
      <c r="K120" s="5">
        <f t="shared" si="123"/>
        <v>7.3917075109285983</v>
      </c>
      <c r="L120" s="4">
        <f t="shared" si="124"/>
        <v>3934.9973171682532</v>
      </c>
      <c r="M120" s="2">
        <v>43440</v>
      </c>
      <c r="N120" s="7">
        <v>8.48</v>
      </c>
      <c r="O120" s="7">
        <v>3.44</v>
      </c>
      <c r="P120" s="7">
        <v>5.74</v>
      </c>
      <c r="Q120" s="6">
        <f t="shared" si="125"/>
        <v>0.38456516416315301</v>
      </c>
      <c r="R120" s="6">
        <f t="shared" si="126"/>
        <v>0.4909857127366043</v>
      </c>
      <c r="S120" s="6">
        <f t="shared" si="127"/>
        <v>0.1244491231002427</v>
      </c>
      <c r="T120" s="4">
        <f t="shared" si="128"/>
        <v>1634.0468532415221</v>
      </c>
      <c r="U120" s="4">
        <f t="shared" si="129"/>
        <v>2086.2359195473528</v>
      </c>
      <c r="V120" s="4">
        <f t="shared" si="130"/>
        <v>3720.2827727888748</v>
      </c>
      <c r="W120" s="4">
        <f t="shared" si="131"/>
        <v>1513.2628892583759</v>
      </c>
      <c r="X120" s="4">
        <f t="shared" si="132"/>
        <v>1932.0274623864805</v>
      </c>
      <c r="Y120" s="4">
        <f t="shared" si="133"/>
        <v>3445.2903516448564</v>
      </c>
      <c r="Z120" s="10"/>
      <c r="AA120" s="4"/>
      <c r="AB120" s="5"/>
      <c r="AC120" s="4"/>
      <c r="AD120" s="4"/>
      <c r="AE120" s="4"/>
      <c r="AF120" s="4"/>
      <c r="AH120" t="s">
        <v>270</v>
      </c>
      <c r="AI120" t="str">
        <f>C120</f>
        <v>Machine</v>
      </c>
      <c r="AJ120" s="8">
        <f>D120</f>
        <v>43403</v>
      </c>
      <c r="AK120" s="3">
        <f>SUM(E120:E122)</f>
        <v>54</v>
      </c>
      <c r="AL120" s="3">
        <f>(AK120-3*$A$35)*$A$36/(3*$A$37)*$A$38</f>
        <v>3914.240019685039</v>
      </c>
      <c r="AM120" s="7">
        <f>SUM(G120:G122)</f>
        <v>29.18</v>
      </c>
      <c r="AN120" s="7">
        <f>SUM(H120:H122)</f>
        <v>468.36</v>
      </c>
      <c r="AO120" s="7">
        <f>AN120-AM120</f>
        <v>439.18</v>
      </c>
      <c r="AP120" s="7">
        <f>SUM(J120:J122)</f>
        <v>405.87</v>
      </c>
      <c r="AQ120" s="7">
        <f>(AO120-AP120)/AO120*100</f>
        <v>7.5845894621795171</v>
      </c>
      <c r="AR120" s="3">
        <f>AL120*(1-AQ120/100)</f>
        <v>3617.3609836275941</v>
      </c>
      <c r="AS120" s="11">
        <f>M120</f>
        <v>43440</v>
      </c>
      <c r="AT120" s="7">
        <f>SUM(N120:N122)</f>
        <v>23.46</v>
      </c>
      <c r="AU120" s="7">
        <f>SUM(O120:O122)</f>
        <v>9.4600000000000009</v>
      </c>
      <c r="AV120" s="7">
        <f>SUM(P120:P122)</f>
        <v>16.02</v>
      </c>
      <c r="AW120" s="9">
        <f>(AU120-3*$A$39)/(AT120-3*$A$35*$A$36)</f>
        <v>0.38024747273029408</v>
      </c>
      <c r="AX120" s="9">
        <f>(AV120-3*$A$40)/(AT120-3*$A$35*$A$36)</f>
        <v>0.48100429154131663</v>
      </c>
      <c r="AY120" s="9">
        <f>1-AW120-AX120</f>
        <v>0.13874823572838935</v>
      </c>
      <c r="AZ120" s="3">
        <f>AL120*AW120</f>
        <v>1488.3798751450126</v>
      </c>
      <c r="BA120" s="3">
        <f>AL120*AX120</f>
        <v>1882.7662475912714</v>
      </c>
      <c r="BB120" s="3">
        <f>AZ120+BA120</f>
        <v>3371.1461227362843</v>
      </c>
      <c r="BC120" s="3">
        <f>AR120*AW120</f>
        <v>1375.4923719775634</v>
      </c>
      <c r="BD120" s="3">
        <f>AR120*AX120</f>
        <v>1739.9661571789911</v>
      </c>
      <c r="BE120" s="3">
        <f>BC120+BD120</f>
        <v>3115.4585291565545</v>
      </c>
      <c r="BF120" s="11">
        <f>Z121</f>
        <v>43451</v>
      </c>
      <c r="BG120" s="3">
        <f>AVERAGE(AA120:AA122)</f>
        <v>52.300000000000004</v>
      </c>
      <c r="BH120" s="7">
        <f t="shared" ref="BH120" si="145">AVERAGE(AB120:AB122)</f>
        <v>1.01</v>
      </c>
      <c r="BI120" s="3">
        <f t="shared" ref="BI120" si="146">AVERAGE(AC120:AC122)</f>
        <v>79.207920792079207</v>
      </c>
      <c r="BJ120" s="3">
        <f t="shared" ref="BJ120" si="147">AVERAGE(AD120:AD122)</f>
        <v>26.167708333333334</v>
      </c>
      <c r="BK120" s="3">
        <f t="shared" ref="BK120" si="148">AVERAGE(AE120:AE122)</f>
        <v>6.3427083333333343</v>
      </c>
      <c r="BL120" s="3">
        <f t="shared" ref="BL120" si="149">AVERAGE(AF120:AF122)</f>
        <v>14.069694244604314</v>
      </c>
    </row>
    <row r="121" spans="1:64" x14ac:dyDescent="0.3">
      <c r="A121">
        <v>74</v>
      </c>
      <c r="B121" s="1" t="s">
        <v>125</v>
      </c>
      <c r="C121" s="1" t="s">
        <v>32</v>
      </c>
      <c r="D121" s="2">
        <v>43403</v>
      </c>
      <c r="E121" s="3">
        <v>17.3</v>
      </c>
      <c r="F121" s="4">
        <f t="shared" si="122"/>
        <v>3757.9829330708662</v>
      </c>
      <c r="G121" s="7">
        <v>9.74</v>
      </c>
      <c r="H121" s="7">
        <v>155.47</v>
      </c>
      <c r="I121" s="7">
        <f t="shared" si="144"/>
        <v>145.72999999999999</v>
      </c>
      <c r="J121" s="7">
        <v>135.04</v>
      </c>
      <c r="K121" s="5">
        <f t="shared" si="123"/>
        <v>7.3354834282577359</v>
      </c>
      <c r="L121" s="4">
        <f t="shared" si="124"/>
        <v>3482.3167177786986</v>
      </c>
      <c r="M121" s="2">
        <v>43440</v>
      </c>
      <c r="N121" s="7">
        <v>7.49</v>
      </c>
      <c r="O121" s="7">
        <v>3.02</v>
      </c>
      <c r="P121" s="7">
        <v>5.16</v>
      </c>
      <c r="Q121" s="6">
        <f t="shared" si="125"/>
        <v>0.37916881064190344</v>
      </c>
      <c r="R121" s="6">
        <f t="shared" si="126"/>
        <v>0.4780824134180523</v>
      </c>
      <c r="S121" s="6">
        <f t="shared" si="127"/>
        <v>0.14274877594004426</v>
      </c>
      <c r="T121" s="4">
        <f t="shared" si="128"/>
        <v>1424.9099191450521</v>
      </c>
      <c r="U121" s="4">
        <f t="shared" si="129"/>
        <v>1796.6255502263707</v>
      </c>
      <c r="V121" s="4">
        <f t="shared" si="130"/>
        <v>3221.5354693714226</v>
      </c>
      <c r="W121" s="4">
        <f t="shared" si="131"/>
        <v>1320.3858881585661</v>
      </c>
      <c r="X121" s="4">
        <f t="shared" si="132"/>
        <v>1664.8343807216706</v>
      </c>
      <c r="Y121" s="4">
        <f t="shared" si="133"/>
        <v>2985.2202688802367</v>
      </c>
      <c r="Z121" s="10">
        <v>43451</v>
      </c>
      <c r="AA121" s="4">
        <v>52.300000000000004</v>
      </c>
      <c r="AB121" s="5">
        <v>1.01</v>
      </c>
      <c r="AC121" s="4">
        <v>79.207920792079207</v>
      </c>
      <c r="AD121" s="4">
        <v>26.167708333333334</v>
      </c>
      <c r="AE121" s="4">
        <v>6.3427083333333343</v>
      </c>
      <c r="AF121" s="4">
        <v>14.069694244604314</v>
      </c>
      <c r="AK121" s="3"/>
      <c r="AL121" s="3"/>
      <c r="AM121" s="7"/>
      <c r="AN121" s="7"/>
      <c r="AO121" s="7"/>
      <c r="AP121" s="7"/>
      <c r="AQ121" s="7"/>
      <c r="AR121" s="3"/>
      <c r="AS121" s="3"/>
      <c r="AT121" s="7"/>
      <c r="AU121" s="7"/>
      <c r="AV121" s="7"/>
      <c r="AW121" s="9"/>
      <c r="AX121" s="9"/>
      <c r="AY121" s="9"/>
      <c r="AZ121" s="3"/>
      <c r="BA121" s="3"/>
      <c r="BB121" s="3"/>
      <c r="BC121" s="3"/>
      <c r="BD121" s="3"/>
      <c r="BE121" s="3"/>
      <c r="BG121" s="3"/>
      <c r="BH121" s="7"/>
      <c r="BI121" s="3"/>
      <c r="BJ121" s="3"/>
      <c r="BK121" s="3"/>
      <c r="BL121" s="3"/>
    </row>
    <row r="122" spans="1:64" x14ac:dyDescent="0.3">
      <c r="A122">
        <v>75</v>
      </c>
      <c r="B122" s="1" t="s">
        <v>126</v>
      </c>
      <c r="C122" s="1" t="s">
        <v>32</v>
      </c>
      <c r="D122" s="2">
        <v>43403</v>
      </c>
      <c r="E122" s="3">
        <v>17.2</v>
      </c>
      <c r="F122" s="4">
        <f t="shared" si="122"/>
        <v>3735.6604921259841</v>
      </c>
      <c r="G122" s="7">
        <v>9.69</v>
      </c>
      <c r="H122" s="7">
        <v>152.16</v>
      </c>
      <c r="I122" s="7">
        <f t="shared" si="144"/>
        <v>142.47</v>
      </c>
      <c r="J122" s="7">
        <v>131.01</v>
      </c>
      <c r="K122" s="5">
        <f t="shared" si="123"/>
        <v>8.0437986944619979</v>
      </c>
      <c r="L122" s="4">
        <f t="shared" si="124"/>
        <v>3435.1714822308213</v>
      </c>
      <c r="M122" s="2">
        <v>43440</v>
      </c>
      <c r="N122" s="7">
        <v>7.49</v>
      </c>
      <c r="O122" s="7">
        <v>3</v>
      </c>
      <c r="P122" s="7">
        <v>5.12</v>
      </c>
      <c r="Q122" s="6">
        <f t="shared" si="125"/>
        <v>0.37642121056478828</v>
      </c>
      <c r="R122" s="6">
        <f t="shared" si="126"/>
        <v>0.4725872132638218</v>
      </c>
      <c r="S122" s="6">
        <f t="shared" si="127"/>
        <v>0.15099157617138992</v>
      </c>
      <c r="T122" s="4">
        <f t="shared" si="128"/>
        <v>1406.1818447051157</v>
      </c>
      <c r="U122" s="4">
        <f t="shared" si="129"/>
        <v>1765.4253816735759</v>
      </c>
      <c r="V122" s="4">
        <f t="shared" si="130"/>
        <v>3171.6072263786918</v>
      </c>
      <c r="W122" s="4">
        <f t="shared" si="131"/>
        <v>1293.0714078389638</v>
      </c>
      <c r="X122" s="4">
        <f t="shared" si="132"/>
        <v>1623.4181178708161</v>
      </c>
      <c r="Y122" s="4">
        <f t="shared" si="133"/>
        <v>2916.4895257097796</v>
      </c>
      <c r="Z122" s="10"/>
      <c r="AA122" s="4"/>
      <c r="AB122" s="5"/>
      <c r="AC122" s="4"/>
      <c r="AD122" s="4"/>
      <c r="AE122" s="4"/>
      <c r="AF122" s="4"/>
      <c r="AK122" s="3"/>
      <c r="AL122" s="3"/>
      <c r="AM122" s="7"/>
      <c r="AN122" s="7"/>
      <c r="AO122" s="7"/>
      <c r="AP122" s="7"/>
      <c r="AQ122" s="7"/>
      <c r="AR122" s="3"/>
      <c r="AS122" s="3"/>
      <c r="AT122" s="7"/>
      <c r="AU122" s="7"/>
      <c r="AV122" s="7"/>
      <c r="AW122" s="9"/>
      <c r="AX122" s="9"/>
      <c r="AY122" s="9"/>
      <c r="AZ122" s="3"/>
      <c r="BA122" s="3"/>
      <c r="BB122" s="3"/>
      <c r="BC122" s="3"/>
      <c r="BD122" s="3"/>
      <c r="BE122" s="3"/>
      <c r="BG122" s="3"/>
      <c r="BH122" s="7"/>
      <c r="BI122" s="3"/>
      <c r="BJ122" s="3"/>
      <c r="BK122" s="3"/>
      <c r="BL122" s="3"/>
    </row>
    <row r="123" spans="1:64" x14ac:dyDescent="0.3">
      <c r="A123">
        <v>76</v>
      </c>
      <c r="B123" s="1" t="s">
        <v>127</v>
      </c>
      <c r="C123" s="1" t="s">
        <v>32</v>
      </c>
      <c r="D123" s="2">
        <v>43403</v>
      </c>
      <c r="E123" s="3">
        <v>19.899999999999999</v>
      </c>
      <c r="F123" s="4">
        <f t="shared" si="122"/>
        <v>4338.3663976377948</v>
      </c>
      <c r="G123" s="7">
        <v>9.6999999999999993</v>
      </c>
      <c r="H123" s="7">
        <v>149</v>
      </c>
      <c r="I123" s="7">
        <f t="shared" si="144"/>
        <v>139.30000000000001</v>
      </c>
      <c r="J123" s="7">
        <v>129.08000000000001</v>
      </c>
      <c r="K123" s="5">
        <f t="shared" si="123"/>
        <v>7.3366834170854256</v>
      </c>
      <c r="L123" s="4">
        <f t="shared" si="124"/>
        <v>4020.0741895698966</v>
      </c>
      <c r="M123" s="2">
        <v>43440</v>
      </c>
      <c r="N123" s="7">
        <v>8.67</v>
      </c>
      <c r="O123" s="7">
        <v>3.46</v>
      </c>
      <c r="P123" s="7">
        <v>5.8</v>
      </c>
      <c r="Q123" s="6">
        <f t="shared" si="125"/>
        <v>0.3782917416458631</v>
      </c>
      <c r="R123" s="6">
        <f t="shared" si="126"/>
        <v>0.48705061736904876</v>
      </c>
      <c r="S123" s="6">
        <f t="shared" si="127"/>
        <v>0.13465764098508815</v>
      </c>
      <c r="T123" s="4">
        <f t="shared" si="128"/>
        <v>1641.1681804602904</v>
      </c>
      <c r="U123" s="4">
        <f t="shared" si="129"/>
        <v>2113.0040323426242</v>
      </c>
      <c r="V123" s="4">
        <f t="shared" si="130"/>
        <v>3754.1722128029146</v>
      </c>
      <c r="W123" s="4">
        <f t="shared" si="131"/>
        <v>1520.7608667179777</v>
      </c>
      <c r="X123" s="4">
        <f t="shared" si="132"/>
        <v>1957.9796158993965</v>
      </c>
      <c r="Y123" s="4">
        <f t="shared" si="133"/>
        <v>3478.7404826173743</v>
      </c>
      <c r="Z123" s="10"/>
      <c r="AA123" s="4"/>
      <c r="AB123" s="5"/>
      <c r="AC123" s="4"/>
      <c r="AD123" s="4"/>
      <c r="AE123" s="4"/>
      <c r="AF123" s="4"/>
      <c r="AH123" t="s">
        <v>271</v>
      </c>
      <c r="AI123" t="str">
        <f>C123</f>
        <v>Machine</v>
      </c>
      <c r="AJ123" s="8">
        <f>D123</f>
        <v>43403</v>
      </c>
      <c r="AK123" s="3">
        <f>SUM(E123:E125)</f>
        <v>65.599999999999994</v>
      </c>
      <c r="AL123" s="3">
        <f>(AK123-3*$A$35)*$A$36/(3*$A$37)*$A$38</f>
        <v>4777.3744028871388</v>
      </c>
      <c r="AM123" s="7">
        <f>SUM(G123:G125)</f>
        <v>29.150000000000002</v>
      </c>
      <c r="AN123" s="7">
        <f>SUM(H123:H125)</f>
        <v>469.69</v>
      </c>
      <c r="AO123" s="7">
        <f>AN123-AM123</f>
        <v>440.54</v>
      </c>
      <c r="AP123" s="7">
        <f>SUM(J123:J125)</f>
        <v>408.62</v>
      </c>
      <c r="AQ123" s="7">
        <f>(AO123-AP123)/AO123*100</f>
        <v>7.2456530621509998</v>
      </c>
      <c r="AR123" s="3">
        <f>AL123*(1-AQ123/100)</f>
        <v>4431.2224281739291</v>
      </c>
      <c r="AS123" s="11">
        <f>M123</f>
        <v>43440</v>
      </c>
      <c r="AT123" s="7">
        <f>SUM(N123:N125)</f>
        <v>28.699999999999996</v>
      </c>
      <c r="AU123" s="7">
        <f>SUM(O123:O125)</f>
        <v>11.440000000000001</v>
      </c>
      <c r="AV123" s="7">
        <f>SUM(P123:P125)</f>
        <v>18.64</v>
      </c>
      <c r="AW123" s="9">
        <f>(AU123-3*$A$39)/(AT123-3*$A$35*$A$36)</f>
        <v>0.37980222918369871</v>
      </c>
      <c r="AX123" s="9">
        <f>(AV123-3*$A$40)/(AT123-3*$A$35*$A$36)</f>
        <v>0.48455068638820847</v>
      </c>
      <c r="AY123" s="9">
        <f>1-AW123-AX123</f>
        <v>0.13564708442809287</v>
      </c>
      <c r="AZ123" s="3">
        <f>AL123*AW123</f>
        <v>1814.4574478616769</v>
      </c>
      <c r="BA123" s="3">
        <f>AL123*AX123</f>
        <v>2314.8800460524208</v>
      </c>
      <c r="BB123" s="3">
        <f>AZ123+BA123</f>
        <v>4129.3374939140976</v>
      </c>
      <c r="BC123" s="3">
        <f>AR123*AW123</f>
        <v>1682.9881562292605</v>
      </c>
      <c r="BD123" s="3">
        <f>AR123*AX123</f>
        <v>2147.1518691105011</v>
      </c>
      <c r="BE123" s="3">
        <f>BC123+BD123</f>
        <v>3830.1400253397615</v>
      </c>
      <c r="BF123" s="11">
        <f>Z124</f>
        <v>43451</v>
      </c>
      <c r="BG123" s="3">
        <f>AVERAGE(AA123:AA125)</f>
        <v>43.996772280062984</v>
      </c>
      <c r="BH123" s="7">
        <f t="shared" ref="BH123" si="150">AVERAGE(AB123:AB125)</f>
        <v>1.05</v>
      </c>
      <c r="BI123" s="3">
        <f t="shared" ref="BI123" si="151">AVERAGE(AC123:AC125)</f>
        <v>77.142857142857153</v>
      </c>
      <c r="BJ123" s="3">
        <f t="shared" ref="BJ123" si="152">AVERAGE(AD123:AD125)</f>
        <v>26.603935185185183</v>
      </c>
      <c r="BK123" s="3">
        <f t="shared" ref="BK123" si="153">AVERAGE(AE123:AE125)</f>
        <v>6.3206018518518521</v>
      </c>
      <c r="BL123" s="3">
        <f t="shared" ref="BL123" si="154">AVERAGE(AF123:AF125)</f>
        <v>12.872931654676254</v>
      </c>
    </row>
    <row r="124" spans="1:64" x14ac:dyDescent="0.3">
      <c r="A124">
        <v>77</v>
      </c>
      <c r="B124" s="1" t="s">
        <v>128</v>
      </c>
      <c r="C124" s="1" t="s">
        <v>32</v>
      </c>
      <c r="D124" s="2">
        <v>43403</v>
      </c>
      <c r="E124" s="3">
        <v>21.9</v>
      </c>
      <c r="F124" s="4">
        <f t="shared" si="122"/>
        <v>4784.8152165354322</v>
      </c>
      <c r="G124" s="7">
        <v>9.7200000000000006</v>
      </c>
      <c r="H124" s="7">
        <v>181.39</v>
      </c>
      <c r="I124" s="7">
        <f t="shared" si="144"/>
        <v>171.67</v>
      </c>
      <c r="J124" s="7">
        <v>158.55000000000001</v>
      </c>
      <c r="K124" s="5">
        <f t="shared" si="123"/>
        <v>7.6425700471835363</v>
      </c>
      <c r="L124" s="4">
        <f t="shared" si="124"/>
        <v>4419.1323619834147</v>
      </c>
      <c r="M124" s="2">
        <v>43440</v>
      </c>
      <c r="N124" s="7">
        <v>9.59</v>
      </c>
      <c r="O124" s="7">
        <v>3.78</v>
      </c>
      <c r="P124" s="7">
        <v>6.18</v>
      </c>
      <c r="Q124" s="6">
        <f t="shared" si="125"/>
        <v>0.37530334585960845</v>
      </c>
      <c r="R124" s="6">
        <f t="shared" si="126"/>
        <v>0.47979120919552221</v>
      </c>
      <c r="S124" s="6">
        <f t="shared" si="127"/>
        <v>0.14490544494486934</v>
      </c>
      <c r="T124" s="4">
        <f t="shared" si="128"/>
        <v>1795.7571600857145</v>
      </c>
      <c r="U124" s="4">
        <f t="shared" si="129"/>
        <v>2295.7122785186693</v>
      </c>
      <c r="V124" s="4">
        <f t="shared" si="130"/>
        <v>4091.4694386043839</v>
      </c>
      <c r="W124" s="4">
        <f t="shared" si="131"/>
        <v>1658.5151612488498</v>
      </c>
      <c r="X124" s="4">
        <f t="shared" si="132"/>
        <v>2120.2608595510869</v>
      </c>
      <c r="Y124" s="4">
        <f t="shared" si="133"/>
        <v>3778.7760207999368</v>
      </c>
      <c r="Z124" s="10">
        <v>43451</v>
      </c>
      <c r="AA124" s="4">
        <v>43.996772280062984</v>
      </c>
      <c r="AB124" s="5">
        <v>1.05</v>
      </c>
      <c r="AC124" s="4">
        <v>77.142857142857153</v>
      </c>
      <c r="AD124" s="4">
        <v>26.603935185185183</v>
      </c>
      <c r="AE124" s="4">
        <v>6.3206018518518521</v>
      </c>
      <c r="AF124" s="4">
        <v>12.872931654676254</v>
      </c>
      <c r="AK124" s="3"/>
      <c r="AL124" s="3"/>
      <c r="AM124" s="7"/>
      <c r="AN124" s="7"/>
      <c r="AO124" s="7"/>
      <c r="AP124" s="7"/>
      <c r="AQ124" s="7"/>
      <c r="AR124" s="3"/>
      <c r="AS124" s="3"/>
      <c r="AT124" s="7"/>
      <c r="AU124" s="7"/>
      <c r="AV124" s="7"/>
      <c r="AW124" s="9"/>
      <c r="AX124" s="9"/>
      <c r="AY124" s="9"/>
      <c r="AZ124" s="3"/>
      <c r="BA124" s="3"/>
      <c r="BB124" s="3"/>
      <c r="BC124" s="3"/>
      <c r="BD124" s="3"/>
      <c r="BE124" s="3"/>
      <c r="BG124" s="3"/>
      <c r="BH124" s="7"/>
      <c r="BI124" s="3"/>
      <c r="BJ124" s="3"/>
      <c r="BK124" s="3"/>
      <c r="BL124" s="3"/>
    </row>
    <row r="125" spans="1:64" x14ac:dyDescent="0.3">
      <c r="A125">
        <v>78</v>
      </c>
      <c r="B125" s="1" t="s">
        <v>129</v>
      </c>
      <c r="C125" s="1" t="s">
        <v>32</v>
      </c>
      <c r="D125" s="2">
        <v>43403</v>
      </c>
      <c r="E125" s="3">
        <v>23.8</v>
      </c>
      <c r="F125" s="4">
        <f t="shared" si="122"/>
        <v>5208.9415944881894</v>
      </c>
      <c r="G125" s="7">
        <v>9.73</v>
      </c>
      <c r="H125" s="7">
        <v>139.30000000000001</v>
      </c>
      <c r="I125" s="7">
        <f t="shared" si="144"/>
        <v>129.57000000000002</v>
      </c>
      <c r="J125" s="7">
        <v>120.99</v>
      </c>
      <c r="K125" s="5">
        <f t="shared" si="123"/>
        <v>6.6219032183375974</v>
      </c>
      <c r="L125" s="4">
        <f t="shared" si="124"/>
        <v>4864.01052340145</v>
      </c>
      <c r="M125" s="2">
        <v>43440</v>
      </c>
      <c r="N125" s="7">
        <v>10.44</v>
      </c>
      <c r="O125" s="7">
        <v>4.2</v>
      </c>
      <c r="P125" s="7">
        <v>6.66</v>
      </c>
      <c r="Q125" s="6">
        <f t="shared" si="125"/>
        <v>0.38517639004186005</v>
      </c>
      <c r="R125" s="6">
        <f t="shared" si="126"/>
        <v>0.48684731533209719</v>
      </c>
      <c r="S125" s="6">
        <f t="shared" si="127"/>
        <v>0.12797629462604271</v>
      </c>
      <c r="T125" s="4">
        <f t="shared" si="128"/>
        <v>2006.3613193038511</v>
      </c>
      <c r="U125" s="4">
        <f t="shared" si="129"/>
        <v>2535.9592309982686</v>
      </c>
      <c r="V125" s="4">
        <f t="shared" si="130"/>
        <v>4542.32055030212</v>
      </c>
      <c r="W125" s="4">
        <f t="shared" si="131"/>
        <v>1873.5020145293888</v>
      </c>
      <c r="X125" s="4">
        <f t="shared" si="132"/>
        <v>2368.0304650650646</v>
      </c>
      <c r="Y125" s="4">
        <f t="shared" si="133"/>
        <v>4241.5324795944534</v>
      </c>
      <c r="Z125" s="10"/>
      <c r="AA125" s="4"/>
      <c r="AB125" s="5"/>
      <c r="AC125" s="4"/>
      <c r="AD125" s="4"/>
      <c r="AE125" s="4"/>
      <c r="AF125" s="4"/>
      <c r="AK125" s="3"/>
      <c r="AL125" s="3"/>
      <c r="AM125" s="7"/>
      <c r="AN125" s="7"/>
      <c r="AO125" s="7"/>
      <c r="AP125" s="7"/>
      <c r="AQ125" s="7"/>
      <c r="AR125" s="3"/>
      <c r="AS125" s="3"/>
      <c r="AT125" s="7"/>
      <c r="AU125" s="7"/>
      <c r="AV125" s="7"/>
      <c r="AW125" s="9"/>
      <c r="AX125" s="9"/>
      <c r="AY125" s="9"/>
      <c r="AZ125" s="3"/>
      <c r="BA125" s="3"/>
      <c r="BB125" s="3"/>
      <c r="BC125" s="3"/>
      <c r="BD125" s="3"/>
      <c r="BE125" s="3"/>
      <c r="BG125" s="3"/>
      <c r="BH125" s="7"/>
      <c r="BI125" s="3"/>
      <c r="BJ125" s="3"/>
      <c r="BK125" s="3"/>
      <c r="BL125" s="3"/>
    </row>
    <row r="126" spans="1:64" x14ac:dyDescent="0.3">
      <c r="A126">
        <v>79</v>
      </c>
      <c r="B126" s="1" t="s">
        <v>130</v>
      </c>
      <c r="C126" s="1" t="s">
        <v>32</v>
      </c>
      <c r="D126" s="2">
        <v>43403</v>
      </c>
      <c r="E126" s="3">
        <v>23.6</v>
      </c>
      <c r="F126" s="4">
        <f t="shared" si="122"/>
        <v>5164.2967125984251</v>
      </c>
      <c r="G126" s="7">
        <v>9.75</v>
      </c>
      <c r="H126" s="7">
        <v>158.66</v>
      </c>
      <c r="I126" s="7">
        <f t="shared" si="144"/>
        <v>148.91</v>
      </c>
      <c r="J126" s="7">
        <v>139.03</v>
      </c>
      <c r="K126" s="5">
        <f t="shared" si="123"/>
        <v>6.6348801289369392</v>
      </c>
      <c r="L126" s="4">
        <f t="shared" si="124"/>
        <v>4821.6518162148886</v>
      </c>
      <c r="M126" s="2">
        <v>43440</v>
      </c>
      <c r="N126" s="7">
        <v>10.39</v>
      </c>
      <c r="O126" s="7">
        <v>4.24</v>
      </c>
      <c r="P126" s="7">
        <v>6.76</v>
      </c>
      <c r="Q126" s="6">
        <f t="shared" si="125"/>
        <v>0.39099801843383147</v>
      </c>
      <c r="R126" s="6">
        <f t="shared" si="126"/>
        <v>0.49906279739795573</v>
      </c>
      <c r="S126" s="6">
        <f t="shared" si="127"/>
        <v>0.10993918416821274</v>
      </c>
      <c r="T126" s="4">
        <f t="shared" si="128"/>
        <v>2019.2297812303343</v>
      </c>
      <c r="U126" s="4">
        <f t="shared" si="129"/>
        <v>2577.3083639824367</v>
      </c>
      <c r="V126" s="4">
        <f t="shared" si="130"/>
        <v>4596.5381452127713</v>
      </c>
      <c r="W126" s="4">
        <f t="shared" si="131"/>
        <v>1885.2563057179061</v>
      </c>
      <c r="X126" s="4">
        <f t="shared" si="132"/>
        <v>2406.3070434791362</v>
      </c>
      <c r="Y126" s="4">
        <f t="shared" si="133"/>
        <v>4291.563349197042</v>
      </c>
      <c r="Z126" s="10"/>
      <c r="AA126" s="4"/>
      <c r="AB126" s="5"/>
      <c r="AC126" s="4"/>
      <c r="AD126" s="4"/>
      <c r="AE126" s="4"/>
      <c r="AF126" s="4"/>
      <c r="AH126" t="s">
        <v>272</v>
      </c>
      <c r="AI126" t="str">
        <f>C126</f>
        <v>Machine</v>
      </c>
      <c r="AJ126" s="8">
        <f>D126</f>
        <v>43403</v>
      </c>
      <c r="AK126" s="3">
        <f>SUM(E126:E128)</f>
        <v>67.800000000000011</v>
      </c>
      <c r="AL126" s="3">
        <f>(AK126-3*$A$35)*$A$36/(3*$A$37)*$A$38</f>
        <v>4941.0723031496073</v>
      </c>
      <c r="AM126" s="7">
        <f>SUM(G126:G128)</f>
        <v>29.200000000000003</v>
      </c>
      <c r="AN126" s="7">
        <f>SUM(H126:H128)</f>
        <v>430.33000000000004</v>
      </c>
      <c r="AO126" s="7">
        <f>AN126-AM126</f>
        <v>401.13000000000005</v>
      </c>
      <c r="AP126" s="7">
        <f>SUM(J126:J128)</f>
        <v>374.85</v>
      </c>
      <c r="AQ126" s="7">
        <f>(AO126-AP126)/AO126*100</f>
        <v>6.5514920350011288</v>
      </c>
      <c r="AR126" s="3">
        <f>AL126*(1-AQ126/100)</f>
        <v>4617.3583447651135</v>
      </c>
      <c r="AS126" s="11">
        <f>M126</f>
        <v>43440</v>
      </c>
      <c r="AT126" s="7">
        <f>SUM(N126:N128)</f>
        <v>29.78</v>
      </c>
      <c r="AU126" s="7">
        <f>SUM(O126:O128)</f>
        <v>12.16</v>
      </c>
      <c r="AV126" s="7">
        <f>SUM(P126:P128)</f>
        <v>19.38</v>
      </c>
      <c r="AW126" s="9">
        <f>(AU126-3*$A$39)/(AT126-3*$A$35*$A$36)</f>
        <v>0.39043148949823214</v>
      </c>
      <c r="AX126" s="9">
        <f>(AV126-3*$A$40)/(AT126-3*$A$35*$A$36)</f>
        <v>0.49198484704786011</v>
      </c>
      <c r="AY126" s="9">
        <f>1-AW126-AX126</f>
        <v>0.11758366345390775</v>
      </c>
      <c r="AZ126" s="3">
        <f>AL126*AW126</f>
        <v>1929.1502190371616</v>
      </c>
      <c r="BA126" s="3">
        <f>AL126*AX126</f>
        <v>2430.9327013174775</v>
      </c>
      <c r="BB126" s="3">
        <f>AZ126+BA126</f>
        <v>4360.0829203546391</v>
      </c>
      <c r="BC126" s="3">
        <f>AR126*AW126</f>
        <v>1802.762096093735</v>
      </c>
      <c r="BD126" s="3">
        <f>AR126*AX126</f>
        <v>2271.6703390144248</v>
      </c>
      <c r="BE126" s="3">
        <f>BC126+BD126</f>
        <v>4074.4324351081596</v>
      </c>
      <c r="BF126" s="11">
        <f>Z127</f>
        <v>43451</v>
      </c>
      <c r="BG126" s="3">
        <f>AVERAGE(AA126:AA128)</f>
        <v>50.099999999999994</v>
      </c>
      <c r="BH126" s="7">
        <f t="shared" ref="BH126" si="155">AVERAGE(AB126:AB128)</f>
        <v>1.04</v>
      </c>
      <c r="BI126" s="3">
        <f t="shared" ref="BI126" si="156">AVERAGE(AC126:AC128)</f>
        <v>77.400000000000006</v>
      </c>
      <c r="BJ126" s="3">
        <f t="shared" ref="BJ126" si="157">AVERAGE(AD126:AD128)</f>
        <v>27.5</v>
      </c>
      <c r="BK126" s="3">
        <f t="shared" ref="BK126" si="158">AVERAGE(AE126:AE128)</f>
        <v>6.5</v>
      </c>
      <c r="BL126" s="3">
        <f t="shared" ref="BL126" si="159">AVERAGE(AF126:AF128)</f>
        <v>13.7</v>
      </c>
    </row>
    <row r="127" spans="1:64" x14ac:dyDescent="0.3">
      <c r="A127">
        <v>80</v>
      </c>
      <c r="B127" s="1" t="s">
        <v>131</v>
      </c>
      <c r="C127" s="1" t="s">
        <v>32</v>
      </c>
      <c r="D127" s="2">
        <v>43403</v>
      </c>
      <c r="E127" s="3">
        <v>22.8</v>
      </c>
      <c r="F127" s="4">
        <f t="shared" si="122"/>
        <v>4985.7171850393697</v>
      </c>
      <c r="G127" s="7">
        <v>9.74</v>
      </c>
      <c r="H127" s="7">
        <v>142.08000000000001</v>
      </c>
      <c r="I127" s="7">
        <f t="shared" si="144"/>
        <v>132.34</v>
      </c>
      <c r="J127" s="7">
        <v>123.96</v>
      </c>
      <c r="K127" s="5">
        <f t="shared" si="123"/>
        <v>6.3321747015263785</v>
      </c>
      <c r="L127" s="4">
        <f t="shared" si="124"/>
        <v>4670.0128627586537</v>
      </c>
      <c r="M127" s="2">
        <v>43440</v>
      </c>
      <c r="N127" s="7">
        <v>10.02</v>
      </c>
      <c r="O127" s="7">
        <v>4.04</v>
      </c>
      <c r="P127" s="7">
        <v>6.5</v>
      </c>
      <c r="Q127" s="6">
        <f t="shared" si="125"/>
        <v>0.38535725143438843</v>
      </c>
      <c r="R127" s="6">
        <f t="shared" si="126"/>
        <v>0.4913814687602519</v>
      </c>
      <c r="S127" s="6">
        <f t="shared" si="127"/>
        <v>0.12326127980535972</v>
      </c>
      <c r="T127" s="4">
        <f t="shared" si="128"/>
        <v>1921.2822708559677</v>
      </c>
      <c r="U127" s="4">
        <f t="shared" si="129"/>
        <v>2449.889033207874</v>
      </c>
      <c r="V127" s="4">
        <f t="shared" si="130"/>
        <v>4371.1713040638415</v>
      </c>
      <c r="W127" s="4">
        <f t="shared" si="131"/>
        <v>1799.6233209559146</v>
      </c>
      <c r="X127" s="4">
        <f t="shared" si="132"/>
        <v>2294.7577796316159</v>
      </c>
      <c r="Y127" s="4">
        <f t="shared" si="133"/>
        <v>4094.3811005875305</v>
      </c>
      <c r="Z127" s="10">
        <v>43451</v>
      </c>
      <c r="AA127" s="4">
        <v>50.099999999999994</v>
      </c>
      <c r="AB127" s="5">
        <v>1.04</v>
      </c>
      <c r="AC127" s="4">
        <v>77.400000000000006</v>
      </c>
      <c r="AD127" s="4">
        <v>27.5</v>
      </c>
      <c r="AE127" s="4">
        <v>6.5</v>
      </c>
      <c r="AF127" s="4">
        <v>13.7</v>
      </c>
      <c r="AK127" s="3"/>
      <c r="AL127" s="3"/>
      <c r="AM127" s="7"/>
      <c r="AN127" s="7"/>
      <c r="AO127" s="7"/>
      <c r="AP127" s="7"/>
      <c r="AQ127" s="7"/>
      <c r="AR127" s="3"/>
      <c r="AS127" s="3"/>
      <c r="AT127" s="7"/>
      <c r="AU127" s="7"/>
      <c r="AV127" s="7"/>
      <c r="AW127" s="9"/>
      <c r="AX127" s="9"/>
      <c r="AY127" s="9"/>
      <c r="AZ127" s="3"/>
      <c r="BA127" s="3"/>
      <c r="BB127" s="3"/>
      <c r="BC127" s="3"/>
      <c r="BD127" s="3"/>
      <c r="BE127" s="3"/>
      <c r="BG127" s="3"/>
      <c r="BH127" s="7"/>
      <c r="BI127" s="3"/>
      <c r="BJ127" s="3"/>
      <c r="BK127" s="3"/>
      <c r="BL127" s="3"/>
    </row>
    <row r="128" spans="1:64" x14ac:dyDescent="0.3">
      <c r="A128">
        <v>81</v>
      </c>
      <c r="B128" s="1" t="s">
        <v>132</v>
      </c>
      <c r="C128" s="1" t="s">
        <v>32</v>
      </c>
      <c r="D128" s="2">
        <v>43403</v>
      </c>
      <c r="E128" s="3">
        <v>21.4</v>
      </c>
      <c r="F128" s="4">
        <f t="shared" si="122"/>
        <v>4673.2030118110233</v>
      </c>
      <c r="G128" s="7">
        <v>9.7100000000000009</v>
      </c>
      <c r="H128" s="7">
        <v>129.59</v>
      </c>
      <c r="I128" s="7">
        <f t="shared" si="144"/>
        <v>119.88</v>
      </c>
      <c r="J128" s="7">
        <v>111.86</v>
      </c>
      <c r="K128" s="5">
        <f t="shared" si="123"/>
        <v>6.6900233566900198</v>
      </c>
      <c r="L128" s="4">
        <f t="shared" si="124"/>
        <v>4360.5646388153245</v>
      </c>
      <c r="M128" s="2">
        <v>43440</v>
      </c>
      <c r="N128" s="7">
        <v>9.3699999999999992</v>
      </c>
      <c r="O128" s="7">
        <v>3.88</v>
      </c>
      <c r="P128" s="7">
        <v>6.12</v>
      </c>
      <c r="Q128" s="6">
        <f t="shared" si="125"/>
        <v>0.39523621484539284</v>
      </c>
      <c r="R128" s="6">
        <f t="shared" si="126"/>
        <v>0.48476486019711168</v>
      </c>
      <c r="S128" s="6">
        <f t="shared" si="127"/>
        <v>0.11999892495749548</v>
      </c>
      <c r="T128" s="4">
        <f t="shared" si="128"/>
        <v>1847.0190695922786</v>
      </c>
      <c r="U128" s="4">
        <f t="shared" si="129"/>
        <v>2265.4046046932922</v>
      </c>
      <c r="V128" s="4">
        <f t="shared" si="130"/>
        <v>4112.423674285571</v>
      </c>
      <c r="W128" s="4">
        <f t="shared" si="131"/>
        <v>1723.4530624340364</v>
      </c>
      <c r="X128" s="4">
        <f t="shared" si="132"/>
        <v>2113.8485075157796</v>
      </c>
      <c r="Y128" s="4">
        <f t="shared" si="133"/>
        <v>3837.301569949816</v>
      </c>
      <c r="Z128" s="10"/>
      <c r="AA128" s="4"/>
      <c r="AB128" s="5"/>
      <c r="AC128" s="4"/>
      <c r="AD128" s="4"/>
      <c r="AE128" s="4"/>
      <c r="AF128" s="4"/>
      <c r="AK128" s="3"/>
      <c r="AL128" s="3"/>
      <c r="AM128" s="7"/>
      <c r="AN128" s="7"/>
      <c r="AO128" s="7"/>
      <c r="AP128" s="7"/>
      <c r="AQ128" s="7"/>
      <c r="AR128" s="3"/>
      <c r="AS128" s="3"/>
      <c r="AT128" s="7"/>
      <c r="AU128" s="7"/>
      <c r="AV128" s="7"/>
      <c r="AW128" s="9"/>
      <c r="AX128" s="9"/>
      <c r="AY128" s="9"/>
      <c r="AZ128" s="3"/>
      <c r="BA128" s="3"/>
      <c r="BB128" s="3"/>
      <c r="BC128" s="3"/>
      <c r="BD128" s="3"/>
      <c r="BE128" s="3"/>
      <c r="BG128" s="3"/>
      <c r="BH128" s="7"/>
      <c r="BI128" s="3"/>
      <c r="BJ128" s="3"/>
      <c r="BK128" s="3"/>
      <c r="BL128" s="3"/>
    </row>
    <row r="129" spans="1:64" x14ac:dyDescent="0.3">
      <c r="A129">
        <v>82</v>
      </c>
      <c r="B129" s="1" t="s">
        <v>133</v>
      </c>
      <c r="C129" s="1" t="s">
        <v>32</v>
      </c>
      <c r="D129" s="2">
        <v>43403</v>
      </c>
      <c r="E129" s="3">
        <v>21.8</v>
      </c>
      <c r="F129" s="4">
        <f t="shared" si="122"/>
        <v>4762.4927755905519</v>
      </c>
      <c r="G129" s="7">
        <v>9.6</v>
      </c>
      <c r="H129" s="7">
        <v>193.26</v>
      </c>
      <c r="I129" s="7">
        <f t="shared" si="144"/>
        <v>183.66</v>
      </c>
      <c r="J129" s="7">
        <v>171.52</v>
      </c>
      <c r="K129" s="5">
        <f t="shared" si="123"/>
        <v>6.6100402918436165</v>
      </c>
      <c r="L129" s="4">
        <f t="shared" si="124"/>
        <v>4447.6900842278746</v>
      </c>
      <c r="M129" s="2">
        <v>43440</v>
      </c>
      <c r="N129" s="7">
        <v>9.5399999999999991</v>
      </c>
      <c r="O129" s="7">
        <v>3.98</v>
      </c>
      <c r="P129" s="7">
        <v>6.12</v>
      </c>
      <c r="Q129" s="6">
        <f t="shared" si="125"/>
        <v>0.39875315804461792</v>
      </c>
      <c r="R129" s="6">
        <f t="shared" si="126"/>
        <v>0.47593118863389888</v>
      </c>
      <c r="S129" s="6">
        <f t="shared" si="127"/>
        <v>0.12531565332148314</v>
      </c>
      <c r="T129" s="4">
        <f t="shared" si="128"/>
        <v>1899.0590344314103</v>
      </c>
      <c r="U129" s="4">
        <f t="shared" si="129"/>
        <v>2266.6188475471677</v>
      </c>
      <c r="V129" s="4">
        <f t="shared" si="130"/>
        <v>4165.6778819785777</v>
      </c>
      <c r="W129" s="4">
        <f t="shared" si="131"/>
        <v>1773.5304670895978</v>
      </c>
      <c r="X129" s="4">
        <f t="shared" si="132"/>
        <v>2116.7944284617784</v>
      </c>
      <c r="Y129" s="4">
        <f t="shared" si="133"/>
        <v>3890.3248955513764</v>
      </c>
      <c r="Z129" s="10"/>
      <c r="AA129" s="4"/>
      <c r="AB129" s="5"/>
      <c r="AC129" s="4"/>
      <c r="AD129" s="4"/>
      <c r="AE129" s="4"/>
      <c r="AF129" s="4"/>
      <c r="AH129" t="s">
        <v>273</v>
      </c>
      <c r="AI129" t="str">
        <f>C129</f>
        <v>Machine</v>
      </c>
      <c r="AJ129" s="8">
        <f>D129</f>
        <v>43403</v>
      </c>
      <c r="AK129" s="3">
        <f>SUM(E129:E131)</f>
        <v>67.8</v>
      </c>
      <c r="AL129" s="3">
        <f>(AK129-3*$A$35)*$A$36/(3*$A$37)*$A$38</f>
        <v>4941.0723031496063</v>
      </c>
      <c r="AM129" s="7">
        <f>SUM(G129:G131)</f>
        <v>29</v>
      </c>
      <c r="AN129" s="7">
        <f>SUM(H129:H131)</f>
        <v>464.93</v>
      </c>
      <c r="AO129" s="7">
        <f>AN129-AM129</f>
        <v>435.93</v>
      </c>
      <c r="AP129" s="7">
        <f>SUM(J129:J131)</f>
        <v>406.59000000000003</v>
      </c>
      <c r="AQ129" s="7">
        <f>(AO129-AP129)/AO129*100</f>
        <v>6.7304383731332944</v>
      </c>
      <c r="AR129" s="3">
        <f>AL129*(1-AQ129/100)</f>
        <v>4608.516476814164</v>
      </c>
      <c r="AS129" s="11">
        <f>M129</f>
        <v>43440</v>
      </c>
      <c r="AT129" s="7">
        <f>SUM(N129:N131)</f>
        <v>29.740000000000002</v>
      </c>
      <c r="AU129" s="7">
        <f>SUM(O129:O131)</f>
        <v>12.239999999999998</v>
      </c>
      <c r="AV129" s="7">
        <f>SUM(P129:P131)</f>
        <v>19</v>
      </c>
      <c r="AW129" s="9">
        <f>(AU129-3*$A$39)/(AT129-3*$A$35*$A$36)</f>
        <v>0.39371648877467769</v>
      </c>
      <c r="AX129" s="9">
        <f>(AV129-3*$A$40)/(AT129-3*$A$35*$A$36)</f>
        <v>0.4796057751565882</v>
      </c>
      <c r="AY129" s="9">
        <f>1-AW129-AX129</f>
        <v>0.12667773606873411</v>
      </c>
      <c r="AZ129" s="3">
        <f>AL129*AW129</f>
        <v>1945.3816379778727</v>
      </c>
      <c r="BA129" s="3">
        <f>AL129*AX129</f>
        <v>2369.7668120568155</v>
      </c>
      <c r="BB129" s="3">
        <f>AZ129+BA129</f>
        <v>4315.1484500346887</v>
      </c>
      <c r="BC129" s="3">
        <f>AR129*AW129</f>
        <v>1814.448925711521</v>
      </c>
      <c r="BD129" s="3">
        <f>AR129*AX129</f>
        <v>2210.2711171843657</v>
      </c>
      <c r="BE129" s="3">
        <f>BC129+BD129</f>
        <v>4024.7200428958868</v>
      </c>
      <c r="BF129" s="11">
        <f>Z130</f>
        <v>43451</v>
      </c>
      <c r="BG129" s="3">
        <f>AVERAGE(AA129:AA131)</f>
        <v>51.8</v>
      </c>
      <c r="BH129" s="7">
        <f t="shared" ref="BH129" si="160">AVERAGE(AB129:AB131)</f>
        <v>1.04</v>
      </c>
      <c r="BI129" s="3">
        <f t="shared" ref="BI129" si="161">AVERAGE(AC129:AC131)</f>
        <v>78.900000000000006</v>
      </c>
      <c r="BJ129" s="3">
        <f t="shared" ref="BJ129" si="162">AVERAGE(AD129:AD131)</f>
        <v>26.6</v>
      </c>
      <c r="BK129" s="3">
        <f t="shared" ref="BK129" si="163">AVERAGE(AE129:AE131)</f>
        <v>6.4</v>
      </c>
      <c r="BL129" s="3">
        <f t="shared" ref="BL129" si="164">AVERAGE(AF129:AF131)</f>
        <v>11.9</v>
      </c>
    </row>
    <row r="130" spans="1:64" x14ac:dyDescent="0.3">
      <c r="A130">
        <v>83</v>
      </c>
      <c r="B130" s="1" t="s">
        <v>134</v>
      </c>
      <c r="C130" s="1" t="s">
        <v>32</v>
      </c>
      <c r="D130" s="2">
        <v>43403</v>
      </c>
      <c r="E130" s="3">
        <v>22.8</v>
      </c>
      <c r="F130" s="4">
        <f t="shared" si="122"/>
        <v>4985.7171850393697</v>
      </c>
      <c r="G130" s="7">
        <v>9.7200000000000006</v>
      </c>
      <c r="H130" s="7">
        <v>153.72</v>
      </c>
      <c r="I130" s="7">
        <f t="shared" si="144"/>
        <v>144</v>
      </c>
      <c r="J130" s="7">
        <v>134.6</v>
      </c>
      <c r="K130" s="5">
        <f t="shared" si="123"/>
        <v>6.5277777777777821</v>
      </c>
      <c r="L130" s="4">
        <f t="shared" si="124"/>
        <v>4660.2606465715216</v>
      </c>
      <c r="M130" s="2">
        <v>43440</v>
      </c>
      <c r="N130" s="7">
        <v>9.9600000000000009</v>
      </c>
      <c r="O130" s="7">
        <v>4.04</v>
      </c>
      <c r="P130" s="7">
        <v>6.36</v>
      </c>
      <c r="Q130" s="6">
        <f t="shared" si="125"/>
        <v>0.38772890452884712</v>
      </c>
      <c r="R130" s="6">
        <f t="shared" si="126"/>
        <v>0.48004531036904885</v>
      </c>
      <c r="S130" s="6">
        <f t="shared" si="127"/>
        <v>0.13222578510210403</v>
      </c>
      <c r="T130" s="4">
        <f t="shared" si="128"/>
        <v>1933.1066624459622</v>
      </c>
      <c r="U130" s="4">
        <f t="shared" si="129"/>
        <v>2393.3701535045248</v>
      </c>
      <c r="V130" s="4">
        <f t="shared" si="130"/>
        <v>4326.4768159504874</v>
      </c>
      <c r="W130" s="4">
        <f t="shared" si="131"/>
        <v>1806.9177553140728</v>
      </c>
      <c r="X130" s="4">
        <f t="shared" si="132"/>
        <v>2237.1362684840906</v>
      </c>
      <c r="Y130" s="4">
        <f t="shared" si="133"/>
        <v>4044.0540237981631</v>
      </c>
      <c r="Z130" s="10">
        <v>43451</v>
      </c>
      <c r="AA130" s="4">
        <v>51.8</v>
      </c>
      <c r="AB130" s="5">
        <v>1.04</v>
      </c>
      <c r="AC130" s="4">
        <v>78.900000000000006</v>
      </c>
      <c r="AD130" s="4">
        <v>26.6</v>
      </c>
      <c r="AE130" s="4">
        <v>6.4</v>
      </c>
      <c r="AF130" s="4">
        <v>11.9</v>
      </c>
      <c r="AK130" s="3"/>
      <c r="AL130" s="3"/>
      <c r="AM130" s="7"/>
      <c r="AN130" s="7"/>
      <c r="AO130" s="7"/>
      <c r="AP130" s="7"/>
      <c r="AQ130" s="7"/>
      <c r="AR130" s="3"/>
      <c r="AS130" s="3"/>
      <c r="AT130" s="7"/>
      <c r="AU130" s="7"/>
      <c r="AV130" s="7"/>
      <c r="AW130" s="9"/>
      <c r="AX130" s="9"/>
      <c r="AY130" s="9"/>
      <c r="AZ130" s="3"/>
      <c r="BA130" s="3"/>
      <c r="BB130" s="3"/>
      <c r="BC130" s="3"/>
      <c r="BD130" s="3"/>
      <c r="BE130" s="3"/>
      <c r="BG130" s="3"/>
      <c r="BH130" s="7"/>
      <c r="BI130" s="3"/>
      <c r="BJ130" s="3"/>
      <c r="BK130" s="3"/>
      <c r="BL130" s="3"/>
    </row>
    <row r="131" spans="1:64" x14ac:dyDescent="0.3">
      <c r="A131">
        <v>84</v>
      </c>
      <c r="B131" s="1" t="s">
        <v>135</v>
      </c>
      <c r="C131" s="1" t="s">
        <v>32</v>
      </c>
      <c r="D131" s="2">
        <v>43403</v>
      </c>
      <c r="E131" s="3">
        <v>23.2</v>
      </c>
      <c r="F131" s="4">
        <f t="shared" si="122"/>
        <v>5075.0069488188974</v>
      </c>
      <c r="G131" s="7">
        <v>9.68</v>
      </c>
      <c r="H131" s="7">
        <v>117.95</v>
      </c>
      <c r="I131" s="7">
        <f t="shared" si="144"/>
        <v>108.27000000000001</v>
      </c>
      <c r="J131" s="7">
        <v>100.47</v>
      </c>
      <c r="K131" s="5">
        <f t="shared" si="123"/>
        <v>7.2042116929897579</v>
      </c>
      <c r="L131" s="4">
        <f t="shared" si="124"/>
        <v>4709.3927047920433</v>
      </c>
      <c r="M131" s="2">
        <v>43440</v>
      </c>
      <c r="N131" s="7">
        <v>10.24</v>
      </c>
      <c r="O131" s="7">
        <v>4.22</v>
      </c>
      <c r="P131" s="7">
        <v>6.52</v>
      </c>
      <c r="Q131" s="6">
        <f t="shared" si="125"/>
        <v>0.3948517820735799</v>
      </c>
      <c r="R131" s="6">
        <f t="shared" si="126"/>
        <v>0.48259662253437541</v>
      </c>
      <c r="S131" s="6">
        <f t="shared" si="127"/>
        <v>0.12255159539204463</v>
      </c>
      <c r="T131" s="4">
        <f t="shared" si="128"/>
        <v>2003.875537776943</v>
      </c>
      <c r="U131" s="4">
        <f t="shared" si="129"/>
        <v>2449.1812128384859</v>
      </c>
      <c r="V131" s="4">
        <f t="shared" si="130"/>
        <v>4453.0567506154293</v>
      </c>
      <c r="W131" s="4">
        <f t="shared" si="131"/>
        <v>1859.512101971455</v>
      </c>
      <c r="X131" s="4">
        <f t="shared" si="132"/>
        <v>2272.737013520667</v>
      </c>
      <c r="Y131" s="4">
        <f t="shared" si="133"/>
        <v>4132.2491154921217</v>
      </c>
      <c r="Z131" s="10"/>
      <c r="AA131" s="4"/>
      <c r="AB131" s="5"/>
      <c r="AC131" s="4"/>
      <c r="AD131" s="4"/>
      <c r="AE131" s="4"/>
      <c r="AF131" s="4"/>
      <c r="AK131" s="3"/>
      <c r="AL131" s="3"/>
      <c r="AM131" s="7"/>
      <c r="AN131" s="7"/>
      <c r="AO131" s="7"/>
      <c r="AP131" s="7"/>
      <c r="AQ131" s="7"/>
      <c r="AR131" s="3"/>
      <c r="AS131" s="3"/>
      <c r="AT131" s="7"/>
      <c r="AU131" s="7"/>
      <c r="AV131" s="7"/>
      <c r="AW131" s="9"/>
      <c r="AX131" s="9"/>
      <c r="AY131" s="9"/>
      <c r="AZ131" s="3"/>
      <c r="BA131" s="3"/>
      <c r="BB131" s="3"/>
      <c r="BC131" s="3"/>
      <c r="BD131" s="3"/>
      <c r="BE131" s="3"/>
      <c r="BG131" s="3"/>
      <c r="BH131" s="7"/>
      <c r="BI131" s="3"/>
      <c r="BJ131" s="3"/>
      <c r="BK131" s="3"/>
      <c r="BL131" s="3"/>
    </row>
    <row r="132" spans="1:64" x14ac:dyDescent="0.3">
      <c r="A132">
        <v>85</v>
      </c>
      <c r="B132" s="1" t="s">
        <v>136</v>
      </c>
      <c r="C132" s="1" t="s">
        <v>32</v>
      </c>
      <c r="D132" s="2">
        <v>43403</v>
      </c>
      <c r="E132" s="3">
        <v>18</v>
      </c>
      <c r="F132" s="4">
        <f t="shared" si="122"/>
        <v>3914.240019685039</v>
      </c>
      <c r="G132" s="7">
        <v>9.6999999999999993</v>
      </c>
      <c r="H132" s="7">
        <v>193.56</v>
      </c>
      <c r="I132" s="7">
        <f t="shared" ref="I132:I143" si="165">H132-G132</f>
        <v>183.86</v>
      </c>
      <c r="J132" s="7">
        <v>171.59</v>
      </c>
      <c r="K132" s="5">
        <f t="shared" si="123"/>
        <v>6.6735559664962514</v>
      </c>
      <c r="L132" s="4">
        <f t="shared" si="124"/>
        <v>3653.0210213083642</v>
      </c>
      <c r="M132" s="2">
        <v>43440</v>
      </c>
      <c r="N132" s="7">
        <v>7.85</v>
      </c>
      <c r="O132" s="7">
        <v>3.1</v>
      </c>
      <c r="P132" s="7">
        <v>5.48</v>
      </c>
      <c r="Q132" s="6">
        <f t="shared" si="125"/>
        <v>0.37177253073620231</v>
      </c>
      <c r="R132" s="6">
        <f t="shared" si="126"/>
        <v>0.49744211859069337</v>
      </c>
      <c r="S132" s="6">
        <f t="shared" si="127"/>
        <v>0.13078535067310432</v>
      </c>
      <c r="T132" s="4">
        <f t="shared" si="128"/>
        <v>1455.2069180272292</v>
      </c>
      <c r="U132" s="4">
        <f t="shared" si="129"/>
        <v>1947.1078480646031</v>
      </c>
      <c r="V132" s="4">
        <f t="shared" si="130"/>
        <v>3402.3147660918321</v>
      </c>
      <c r="W132" s="4">
        <f t="shared" si="131"/>
        <v>1358.092869924357</v>
      </c>
      <c r="X132" s="4">
        <f t="shared" si="132"/>
        <v>1817.166516095971</v>
      </c>
      <c r="Y132" s="4">
        <f t="shared" si="133"/>
        <v>3175.2593860203278</v>
      </c>
      <c r="Z132" s="10"/>
      <c r="AA132" s="4"/>
      <c r="AB132" s="5"/>
      <c r="AC132" s="4"/>
      <c r="AD132" s="4"/>
      <c r="AE132" s="4"/>
      <c r="AF132" s="4"/>
      <c r="AH132" t="s">
        <v>274</v>
      </c>
      <c r="AI132" t="str">
        <f>C132</f>
        <v>Machine</v>
      </c>
      <c r="AJ132" s="8">
        <f>D132</f>
        <v>43403</v>
      </c>
      <c r="AK132" s="3">
        <f>SUM(E132:E134)</f>
        <v>49.099999999999994</v>
      </c>
      <c r="AL132" s="3">
        <f>(AK132-3*$A$35)*$A$36/(3*$A$37)*$A$38</f>
        <v>3549.6401509186348</v>
      </c>
      <c r="AM132" s="7">
        <f>SUM(G132:G134)</f>
        <v>29.08</v>
      </c>
      <c r="AN132" s="7">
        <f>SUM(H132:H134)</f>
        <v>496.05000000000007</v>
      </c>
      <c r="AO132" s="7">
        <f>AN132-AM132</f>
        <v>466.97000000000008</v>
      </c>
      <c r="AP132" s="7">
        <f>SUM(J132:J134)</f>
        <v>436.50000000000006</v>
      </c>
      <c r="AQ132" s="7">
        <f>(AO132-AP132)/AO132*100</f>
        <v>6.525044435402708</v>
      </c>
      <c r="AR132" s="3">
        <f>AL132*(1-AQ132/100)</f>
        <v>3318.0245537742985</v>
      </c>
      <c r="AS132" s="11">
        <f>M132</f>
        <v>43440</v>
      </c>
      <c r="AT132" s="7">
        <f>SUM(N132:N134)</f>
        <v>21.5</v>
      </c>
      <c r="AU132" s="7">
        <f>SUM(O132:O134)</f>
        <v>8.58</v>
      </c>
      <c r="AV132" s="7">
        <f>SUM(P132:P134)</f>
        <v>15.42</v>
      </c>
      <c r="AW132" s="9">
        <f>(AU132-3*$A$39)/(AT132-3*$A$35*$A$36)</f>
        <v>0.37379166166608502</v>
      </c>
      <c r="AX132" s="9">
        <f>(AV132-3*$A$40)/(AT132-3*$A$35*$A$36)</f>
        <v>0.49743044206332848</v>
      </c>
      <c r="AY132" s="9">
        <f>1-AW132-AX132</f>
        <v>0.1287778962705865</v>
      </c>
      <c r="AZ132" s="3">
        <f>AL132*AW132</f>
        <v>1326.8258903285293</v>
      </c>
      <c r="BA132" s="3">
        <f>AL132*AX132</f>
        <v>1765.6990694371966</v>
      </c>
      <c r="BB132" s="3">
        <f>AZ132+BA132</f>
        <v>3092.5249597657257</v>
      </c>
      <c r="BC132" s="3">
        <f>AR132*AW132</f>
        <v>1240.2499114041652</v>
      </c>
      <c r="BD132" s="3">
        <f>AR132*AX132</f>
        <v>1650.4864205609276</v>
      </c>
      <c r="BE132" s="3">
        <f>BC132+BD132</f>
        <v>2890.7363319650931</v>
      </c>
      <c r="BF132" s="11">
        <f>Z133</f>
        <v>43451</v>
      </c>
      <c r="BG132" s="3">
        <f>AVERAGE(AA132:AA134)</f>
        <v>43.3</v>
      </c>
      <c r="BH132" s="7">
        <f t="shared" ref="BH132" si="166">AVERAGE(AB132:AB134)</f>
        <v>1.02</v>
      </c>
      <c r="BI132" s="3">
        <f t="shared" ref="BI132" si="167">AVERAGE(AC132:AC134)</f>
        <v>76.8</v>
      </c>
      <c r="BJ132" s="3">
        <f t="shared" ref="BJ132" si="168">AVERAGE(AD132:AD134)</f>
        <v>26.3</v>
      </c>
      <c r="BK132" s="3">
        <f t="shared" ref="BK132" si="169">AVERAGE(AE132:AE134)</f>
        <v>6.4</v>
      </c>
      <c r="BL132" s="3">
        <f t="shared" ref="BL132" si="170">AVERAGE(AF132:AF134)</f>
        <v>13.5</v>
      </c>
    </row>
    <row r="133" spans="1:64" x14ac:dyDescent="0.3">
      <c r="A133">
        <v>86</v>
      </c>
      <c r="B133" s="1" t="s">
        <v>137</v>
      </c>
      <c r="C133" s="1" t="s">
        <v>32</v>
      </c>
      <c r="D133" s="2">
        <v>43403</v>
      </c>
      <c r="E133" s="3">
        <v>14.9</v>
      </c>
      <c r="F133" s="4">
        <f t="shared" si="122"/>
        <v>3222.2443503937011</v>
      </c>
      <c r="G133" s="7">
        <v>9.68</v>
      </c>
      <c r="H133" s="7">
        <v>160.4</v>
      </c>
      <c r="I133" s="7">
        <f t="shared" si="165"/>
        <v>150.72</v>
      </c>
      <c r="J133" s="7">
        <v>140.87</v>
      </c>
      <c r="K133" s="5">
        <f t="shared" si="123"/>
        <v>6.5352972399150708</v>
      </c>
      <c r="L133" s="4">
        <f t="shared" si="124"/>
        <v>3011.6611042991021</v>
      </c>
      <c r="M133" s="2">
        <v>43440</v>
      </c>
      <c r="N133" s="7">
        <v>6.48</v>
      </c>
      <c r="O133" s="7">
        <v>2.58</v>
      </c>
      <c r="P133" s="7">
        <v>4.76</v>
      </c>
      <c r="Q133" s="6">
        <f t="shared" si="125"/>
        <v>0.37007026607088672</v>
      </c>
      <c r="R133" s="6">
        <f t="shared" si="126"/>
        <v>0.49130018081824611</v>
      </c>
      <c r="S133" s="6">
        <f t="shared" si="127"/>
        <v>0.13862955311086711</v>
      </c>
      <c r="T133" s="4">
        <f t="shared" si="128"/>
        <v>1192.4568240956085</v>
      </c>
      <c r="U133" s="4">
        <f t="shared" si="129"/>
        <v>1583.0892319889974</v>
      </c>
      <c r="V133" s="4">
        <f t="shared" si="130"/>
        <v>2775.5460560846059</v>
      </c>
      <c r="W133" s="4">
        <f t="shared" si="131"/>
        <v>1114.5262261833093</v>
      </c>
      <c r="X133" s="4">
        <f t="shared" si="132"/>
        <v>1479.6296451054277</v>
      </c>
      <c r="Y133" s="4">
        <f t="shared" si="133"/>
        <v>2594.1558712887372</v>
      </c>
      <c r="Z133" s="10">
        <v>43451</v>
      </c>
      <c r="AA133" s="4">
        <v>43.3</v>
      </c>
      <c r="AB133" s="5">
        <v>1.02</v>
      </c>
      <c r="AC133" s="4">
        <v>76.8</v>
      </c>
      <c r="AD133" s="4">
        <v>26.3</v>
      </c>
      <c r="AE133" s="4">
        <v>6.4</v>
      </c>
      <c r="AF133" s="4">
        <v>13.5</v>
      </c>
      <c r="AK133" s="3"/>
      <c r="AL133" s="3"/>
      <c r="AM133" s="7"/>
      <c r="AN133" s="7"/>
      <c r="AO133" s="7"/>
      <c r="AP133" s="7"/>
      <c r="AQ133" s="7"/>
      <c r="AR133" s="3"/>
      <c r="AS133" s="3"/>
      <c r="AT133" s="7"/>
      <c r="AU133" s="7"/>
      <c r="AV133" s="7"/>
      <c r="AW133" s="9"/>
      <c r="AX133" s="9"/>
      <c r="AY133" s="9"/>
      <c r="AZ133" s="3"/>
      <c r="BA133" s="3"/>
      <c r="BB133" s="3"/>
      <c r="BC133" s="3"/>
      <c r="BD133" s="3"/>
      <c r="BE133" s="3"/>
      <c r="BG133" s="3"/>
      <c r="BH133" s="7"/>
      <c r="BI133" s="3"/>
      <c r="BJ133" s="3"/>
      <c r="BK133" s="3"/>
      <c r="BL133" s="3"/>
    </row>
    <row r="134" spans="1:64" x14ac:dyDescent="0.3">
      <c r="A134">
        <v>87</v>
      </c>
      <c r="B134" s="1" t="s">
        <v>138</v>
      </c>
      <c r="C134" s="1" t="s">
        <v>32</v>
      </c>
      <c r="D134" s="2">
        <v>43403</v>
      </c>
      <c r="E134" s="3">
        <v>16.2</v>
      </c>
      <c r="F134" s="4">
        <f t="shared" si="122"/>
        <v>3512.4360826771649</v>
      </c>
      <c r="G134" s="7">
        <v>9.6999999999999993</v>
      </c>
      <c r="H134" s="7">
        <v>142.09</v>
      </c>
      <c r="I134" s="7">
        <f t="shared" si="165"/>
        <v>132.39000000000001</v>
      </c>
      <c r="J134" s="7">
        <v>124.04</v>
      </c>
      <c r="K134" s="5">
        <f t="shared" si="123"/>
        <v>6.3071228944784412</v>
      </c>
      <c r="L134" s="4">
        <f t="shared" si="124"/>
        <v>3290.9024223527117</v>
      </c>
      <c r="M134" s="2">
        <v>43440</v>
      </c>
      <c r="N134" s="7">
        <v>7.17</v>
      </c>
      <c r="O134" s="7">
        <v>2.9</v>
      </c>
      <c r="P134" s="7">
        <v>5.18</v>
      </c>
      <c r="Q134" s="6">
        <f t="shared" si="125"/>
        <v>0.37936050544338351</v>
      </c>
      <c r="R134" s="6">
        <f t="shared" si="126"/>
        <v>0.50294006403478875</v>
      </c>
      <c r="S134" s="6">
        <f t="shared" si="127"/>
        <v>0.11769943052182774</v>
      </c>
      <c r="T134" s="4">
        <f t="shared" si="128"/>
        <v>1332.4795276619873</v>
      </c>
      <c r="U134" s="4">
        <f t="shared" si="129"/>
        <v>1766.5448283397559</v>
      </c>
      <c r="V134" s="4">
        <f t="shared" si="130"/>
        <v>3099.0243560017434</v>
      </c>
      <c r="W134" s="4">
        <f t="shared" si="131"/>
        <v>1248.4384063085799</v>
      </c>
      <c r="X134" s="4">
        <f t="shared" si="132"/>
        <v>1655.1266750303141</v>
      </c>
      <c r="Y134" s="4">
        <f t="shared" si="133"/>
        <v>2903.5650813388938</v>
      </c>
      <c r="Z134" s="10"/>
      <c r="AA134" s="4"/>
      <c r="AB134" s="5"/>
      <c r="AC134" s="4"/>
      <c r="AD134" s="4"/>
      <c r="AE134" s="4"/>
      <c r="AF134" s="4"/>
      <c r="AK134" s="3"/>
      <c r="AL134" s="3"/>
      <c r="AM134" s="7"/>
      <c r="AN134" s="7"/>
      <c r="AO134" s="7"/>
      <c r="AP134" s="7"/>
      <c r="AQ134" s="7"/>
      <c r="AR134" s="3"/>
      <c r="AS134" s="3"/>
      <c r="AT134" s="7"/>
      <c r="AU134" s="7"/>
      <c r="AV134" s="7"/>
      <c r="AW134" s="9"/>
      <c r="AX134" s="9"/>
      <c r="AY134" s="9"/>
      <c r="AZ134" s="3"/>
      <c r="BA134" s="3"/>
      <c r="BB134" s="3"/>
      <c r="BC134" s="3"/>
      <c r="BD134" s="3"/>
      <c r="BE134" s="3"/>
      <c r="BG134" s="3"/>
      <c r="BH134" s="7"/>
      <c r="BI134" s="3"/>
      <c r="BJ134" s="3"/>
      <c r="BK134" s="3"/>
      <c r="BL134" s="3"/>
    </row>
    <row r="135" spans="1:64" x14ac:dyDescent="0.3">
      <c r="A135">
        <v>88</v>
      </c>
      <c r="B135" s="1" t="s">
        <v>139</v>
      </c>
      <c r="C135" s="1" t="s">
        <v>32</v>
      </c>
      <c r="D135" s="2">
        <v>43403</v>
      </c>
      <c r="E135" s="3">
        <v>18.2</v>
      </c>
      <c r="F135" s="4">
        <f t="shared" si="122"/>
        <v>3958.8849015748028</v>
      </c>
      <c r="G135" s="7">
        <v>9.74</v>
      </c>
      <c r="H135" s="7">
        <v>130.97</v>
      </c>
      <c r="I135" s="7">
        <f t="shared" si="165"/>
        <v>121.23</v>
      </c>
      <c r="J135" s="7">
        <v>113.58</v>
      </c>
      <c r="K135" s="5">
        <f t="shared" si="123"/>
        <v>6.3103192279138867</v>
      </c>
      <c r="L135" s="4">
        <f t="shared" si="124"/>
        <v>3709.0666264197484</v>
      </c>
      <c r="M135" s="2">
        <v>43440</v>
      </c>
      <c r="N135" s="7">
        <v>8</v>
      </c>
      <c r="O135" s="7">
        <v>3.24</v>
      </c>
      <c r="P135" s="7">
        <v>5.42</v>
      </c>
      <c r="Q135" s="6">
        <f t="shared" si="125"/>
        <v>0.38258691746962892</v>
      </c>
      <c r="R135" s="6">
        <f t="shared" si="126"/>
        <v>0.48015941991154765</v>
      </c>
      <c r="S135" s="6">
        <f t="shared" si="127"/>
        <v>0.13725366261882344</v>
      </c>
      <c r="T135" s="4">
        <f t="shared" si="128"/>
        <v>1514.6175711105591</v>
      </c>
      <c r="U135" s="4">
        <f t="shared" si="129"/>
        <v>1900.8958778367416</v>
      </c>
      <c r="V135" s="4">
        <f t="shared" si="130"/>
        <v>3415.5134489473007</v>
      </c>
      <c r="W135" s="4">
        <f t="shared" si="131"/>
        <v>1419.0403672914072</v>
      </c>
      <c r="X135" s="4">
        <f t="shared" si="132"/>
        <v>1780.9432797549873</v>
      </c>
      <c r="Y135" s="4">
        <f t="shared" si="133"/>
        <v>3199.9836470463943</v>
      </c>
      <c r="Z135" s="10"/>
      <c r="AA135" s="4"/>
      <c r="AB135" s="5"/>
      <c r="AC135" s="4"/>
      <c r="AD135" s="4"/>
      <c r="AE135" s="4"/>
      <c r="AF135" s="4"/>
      <c r="AH135" t="s">
        <v>275</v>
      </c>
      <c r="AI135" t="str">
        <f>C135</f>
        <v>Machine</v>
      </c>
      <c r="AJ135" s="8">
        <f>D135</f>
        <v>43403</v>
      </c>
      <c r="AK135" s="3">
        <f>SUM(E135:E137)</f>
        <v>54.8</v>
      </c>
      <c r="AL135" s="3">
        <f>(AK135-3*$A$35)*$A$36/(3*$A$37)*$A$38</f>
        <v>3973.7665288713902</v>
      </c>
      <c r="AM135" s="7">
        <f>SUM(G135:G137)</f>
        <v>29.169999999999998</v>
      </c>
      <c r="AN135" s="7">
        <f>SUM(H135:H137)</f>
        <v>438.85999999999996</v>
      </c>
      <c r="AO135" s="7">
        <f>AN135-AM135</f>
        <v>409.68999999999994</v>
      </c>
      <c r="AP135" s="7">
        <f>SUM(J135:J137)</f>
        <v>381.98</v>
      </c>
      <c r="AQ135" s="7">
        <f>(AO135-AP135)/AO135*100</f>
        <v>6.7636505650613703</v>
      </c>
      <c r="AR135" s="3">
        <f>AL135*(1-AQ135/100)</f>
        <v>3704.9948465871607</v>
      </c>
      <c r="AS135" s="11">
        <f>M135</f>
        <v>43440</v>
      </c>
      <c r="AT135" s="7">
        <f>SUM(N135:N137)</f>
        <v>24.05</v>
      </c>
      <c r="AU135" s="7">
        <f>SUM(O135:O137)</f>
        <v>9.82</v>
      </c>
      <c r="AV135" s="7">
        <f>SUM(P135:P137)</f>
        <v>16.28</v>
      </c>
      <c r="AW135" s="9">
        <f>(AU135-3*$A$39)/(AT135-3*$A$35*$A$36)</f>
        <v>0.38604038410478447</v>
      </c>
      <c r="AX135" s="9">
        <f>(AV135-3*$A$40)/(AT135-3*$A$35*$A$36)</f>
        <v>0.47998826519223203</v>
      </c>
      <c r="AY135" s="9">
        <f>1-AW135-AX135</f>
        <v>0.13397135070298349</v>
      </c>
      <c r="AZ135" s="3">
        <f>AL135*AW135</f>
        <v>1534.0343571482476</v>
      </c>
      <c r="BA135" s="3">
        <f>AL135*AX135</f>
        <v>1907.3613024719361</v>
      </c>
      <c r="BB135" s="3">
        <f>AZ135+BA135</f>
        <v>3441.3956596201838</v>
      </c>
      <c r="BC135" s="3">
        <f>AR135*AW135</f>
        <v>1430.2776336827546</v>
      </c>
      <c r="BD135" s="3">
        <f>AR135*AX135</f>
        <v>1778.3540489595312</v>
      </c>
      <c r="BE135" s="3">
        <f>BC135+BD135</f>
        <v>3208.6316826422858</v>
      </c>
      <c r="BF135" s="11">
        <f>Z136</f>
        <v>43451</v>
      </c>
      <c r="BG135" s="3">
        <f>AVERAGE(AA135:AA137)</f>
        <v>46.478367321892442</v>
      </c>
      <c r="BH135" s="7">
        <f t="shared" ref="BH135" si="171">AVERAGE(AB135:AB137)</f>
        <v>0.99</v>
      </c>
      <c r="BI135" s="3">
        <f t="shared" ref="BI135" si="172">AVERAGE(AC135:AC137)</f>
        <v>78.787878787878796</v>
      </c>
      <c r="BJ135" s="3">
        <f t="shared" ref="BJ135" si="173">AVERAGE(AD135:AD137)</f>
        <v>25.295254629629628</v>
      </c>
      <c r="BK135" s="3">
        <f t="shared" ref="BK135" si="174">AVERAGE(AE135:AE137)</f>
        <v>6.3869212962962969</v>
      </c>
      <c r="BL135" s="3">
        <f t="shared" ref="BL135" si="175">AVERAGE(AF135:AF137)</f>
        <v>14.668075539568342</v>
      </c>
    </row>
    <row r="136" spans="1:64" x14ac:dyDescent="0.3">
      <c r="A136">
        <v>89</v>
      </c>
      <c r="B136" s="1" t="s">
        <v>140</v>
      </c>
      <c r="C136" s="1" t="s">
        <v>32</v>
      </c>
      <c r="D136" s="2">
        <v>43403</v>
      </c>
      <c r="E136" s="3">
        <v>17.399999999999999</v>
      </c>
      <c r="F136" s="4">
        <f t="shared" si="122"/>
        <v>3780.305374015747</v>
      </c>
      <c r="G136" s="7">
        <v>9.6999999999999993</v>
      </c>
      <c r="H136" s="7">
        <v>139.32</v>
      </c>
      <c r="I136" s="7">
        <f t="shared" si="165"/>
        <v>129.62</v>
      </c>
      <c r="J136" s="7">
        <v>120.76</v>
      </c>
      <c r="K136" s="5">
        <f t="shared" si="123"/>
        <v>6.8353649128220955</v>
      </c>
      <c r="L136" s="4">
        <f t="shared" si="124"/>
        <v>3521.9077068827464</v>
      </c>
      <c r="M136" s="2">
        <v>43440</v>
      </c>
      <c r="N136" s="7">
        <v>7.58</v>
      </c>
      <c r="O136" s="7">
        <v>3.08</v>
      </c>
      <c r="P136" s="7">
        <v>5.22</v>
      </c>
      <c r="Q136" s="6">
        <f t="shared" si="125"/>
        <v>0.38268007772346369</v>
      </c>
      <c r="R136" s="6">
        <f t="shared" si="126"/>
        <v>0.4803856294826459</v>
      </c>
      <c r="S136" s="6">
        <f t="shared" si="127"/>
        <v>0.13693429279389041</v>
      </c>
      <c r="T136" s="4">
        <f t="shared" si="128"/>
        <v>1446.6475543467736</v>
      </c>
      <c r="U136" s="4">
        <f t="shared" si="129"/>
        <v>1816.0043767331838</v>
      </c>
      <c r="V136" s="4">
        <f t="shared" si="130"/>
        <v>3262.6519310799576</v>
      </c>
      <c r="W136" s="4">
        <f t="shared" si="131"/>
        <v>1347.7639150047551</v>
      </c>
      <c r="X136" s="4">
        <f t="shared" si="132"/>
        <v>1691.87385075065</v>
      </c>
      <c r="Y136" s="4">
        <f t="shared" si="133"/>
        <v>3039.6377657554049</v>
      </c>
      <c r="Z136" s="10">
        <v>43451</v>
      </c>
      <c r="AA136" s="4">
        <v>46.478367321892442</v>
      </c>
      <c r="AB136" s="5">
        <v>0.99</v>
      </c>
      <c r="AC136" s="4">
        <v>78.787878787878796</v>
      </c>
      <c r="AD136" s="4">
        <v>25.295254629629628</v>
      </c>
      <c r="AE136" s="4">
        <v>6.3869212962962969</v>
      </c>
      <c r="AF136" s="4">
        <v>14.668075539568342</v>
      </c>
      <c r="AK136" s="3"/>
      <c r="AL136" s="3"/>
      <c r="AM136" s="7"/>
      <c r="AN136" s="7"/>
      <c r="AO136" s="7"/>
      <c r="AP136" s="7"/>
      <c r="AQ136" s="7"/>
      <c r="AR136" s="3"/>
      <c r="AS136" s="3"/>
      <c r="AT136" s="7"/>
      <c r="AU136" s="7"/>
      <c r="AV136" s="7"/>
      <c r="AW136" s="9"/>
      <c r="AX136" s="9"/>
      <c r="AY136" s="9"/>
      <c r="AZ136" s="3"/>
      <c r="BA136" s="3"/>
      <c r="BB136" s="3"/>
      <c r="BC136" s="3"/>
      <c r="BD136" s="3"/>
      <c r="BE136" s="3"/>
      <c r="BG136" s="3"/>
      <c r="BH136" s="7"/>
      <c r="BI136" s="3"/>
      <c r="BJ136" s="3"/>
      <c r="BK136" s="3"/>
      <c r="BL136" s="3"/>
    </row>
    <row r="137" spans="1:64" x14ac:dyDescent="0.3">
      <c r="A137">
        <v>90</v>
      </c>
      <c r="B137" s="1" t="s">
        <v>141</v>
      </c>
      <c r="C137" s="1" t="s">
        <v>32</v>
      </c>
      <c r="D137" s="2">
        <v>43403</v>
      </c>
      <c r="E137" s="3">
        <v>19.2</v>
      </c>
      <c r="F137" s="4">
        <f t="shared" si="122"/>
        <v>4182.1093110236216</v>
      </c>
      <c r="G137" s="7">
        <v>9.73</v>
      </c>
      <c r="H137" s="7">
        <v>168.57</v>
      </c>
      <c r="I137" s="7">
        <f t="shared" si="165"/>
        <v>158.84</v>
      </c>
      <c r="J137" s="7">
        <v>147.63999999999999</v>
      </c>
      <c r="K137" s="5">
        <f t="shared" si="123"/>
        <v>7.0511206245278375</v>
      </c>
      <c r="L137" s="4">
        <f t="shared" si="124"/>
        <v>3887.223738853736</v>
      </c>
      <c r="M137" s="2">
        <v>43440</v>
      </c>
      <c r="N137" s="7">
        <v>8.4700000000000006</v>
      </c>
      <c r="O137" s="7">
        <v>3.5</v>
      </c>
      <c r="P137" s="7">
        <v>5.64</v>
      </c>
      <c r="Q137" s="6">
        <f t="shared" si="125"/>
        <v>0.39229552321115019</v>
      </c>
      <c r="R137" s="6">
        <f t="shared" si="126"/>
        <v>0.47947230614696135</v>
      </c>
      <c r="S137" s="6">
        <f t="shared" si="127"/>
        <v>0.12823217064188841</v>
      </c>
      <c r="T137" s="4">
        <f t="shared" si="128"/>
        <v>1640.6227602942345</v>
      </c>
      <c r="U137" s="4">
        <f t="shared" si="129"/>
        <v>2005.2055959151755</v>
      </c>
      <c r="V137" s="4">
        <f t="shared" si="130"/>
        <v>3645.8283562094102</v>
      </c>
      <c r="W137" s="4">
        <f t="shared" si="131"/>
        <v>1524.9404704724298</v>
      </c>
      <c r="X137" s="4">
        <f t="shared" si="132"/>
        <v>1863.8161305774142</v>
      </c>
      <c r="Y137" s="4">
        <f t="shared" si="133"/>
        <v>3388.756601049844</v>
      </c>
      <c r="Z137" s="10"/>
      <c r="AA137" s="4"/>
      <c r="AB137" s="5"/>
      <c r="AC137" s="4"/>
      <c r="AD137" s="4"/>
      <c r="AE137" s="4"/>
      <c r="AF137" s="4"/>
      <c r="AK137" s="3"/>
      <c r="AL137" s="3"/>
      <c r="AM137" s="7"/>
      <c r="AN137" s="7"/>
      <c r="AO137" s="7"/>
      <c r="AP137" s="7"/>
      <c r="AQ137" s="7"/>
      <c r="AR137" s="3"/>
      <c r="AS137" s="3"/>
      <c r="AT137" s="7"/>
      <c r="AU137" s="7"/>
      <c r="AV137" s="7"/>
      <c r="AW137" s="9"/>
      <c r="AX137" s="9"/>
      <c r="AY137" s="9"/>
      <c r="AZ137" s="3"/>
      <c r="BA137" s="3"/>
      <c r="BB137" s="3"/>
      <c r="BC137" s="3"/>
      <c r="BD137" s="3"/>
      <c r="BE137" s="3"/>
      <c r="BG137" s="3"/>
      <c r="BH137" s="7"/>
      <c r="BI137" s="3"/>
      <c r="BJ137" s="3"/>
      <c r="BK137" s="3"/>
      <c r="BL137" s="3"/>
    </row>
    <row r="138" spans="1:64" x14ac:dyDescent="0.3">
      <c r="A138">
        <v>91</v>
      </c>
      <c r="B138" s="1" t="s">
        <v>142</v>
      </c>
      <c r="C138" s="1" t="s">
        <v>32</v>
      </c>
      <c r="D138" s="2">
        <v>43403</v>
      </c>
      <c r="E138" s="3">
        <v>15.2</v>
      </c>
      <c r="F138" s="4">
        <f t="shared" si="122"/>
        <v>3289.2116732283462</v>
      </c>
      <c r="G138" s="7">
        <v>9.68</v>
      </c>
      <c r="H138" s="7">
        <v>169.57</v>
      </c>
      <c r="I138" s="7">
        <f t="shared" si="165"/>
        <v>159.88999999999999</v>
      </c>
      <c r="J138" s="7">
        <v>148.57</v>
      </c>
      <c r="K138" s="5">
        <f t="shared" si="123"/>
        <v>7.079867408843576</v>
      </c>
      <c r="L138" s="4">
        <f t="shared" si="124"/>
        <v>3056.3398479675739</v>
      </c>
      <c r="M138" s="2">
        <v>43440</v>
      </c>
      <c r="N138" s="7">
        <v>6.58</v>
      </c>
      <c r="O138" s="7">
        <v>2.74</v>
      </c>
      <c r="P138" s="7">
        <v>4.7</v>
      </c>
      <c r="Q138" s="6">
        <f t="shared" si="125"/>
        <v>0.38938121503054451</v>
      </c>
      <c r="R138" s="6">
        <f t="shared" si="126"/>
        <v>0.47416583443235666</v>
      </c>
      <c r="S138" s="6">
        <f t="shared" si="127"/>
        <v>0.13645295053709888</v>
      </c>
      <c r="T138" s="4">
        <f t="shared" si="128"/>
        <v>1280.7572378143038</v>
      </c>
      <c r="U138" s="4">
        <f t="shared" si="129"/>
        <v>1559.6317976609669</v>
      </c>
      <c r="V138" s="4">
        <f t="shared" si="130"/>
        <v>2840.3890354752707</v>
      </c>
      <c r="W138" s="4">
        <f t="shared" si="131"/>
        <v>1190.0813235478836</v>
      </c>
      <c r="X138" s="4">
        <f t="shared" si="132"/>
        <v>1449.2119343204067</v>
      </c>
      <c r="Y138" s="4">
        <f t="shared" si="133"/>
        <v>2639.2932578682903</v>
      </c>
      <c r="Z138" s="10"/>
      <c r="AA138" s="4"/>
      <c r="AB138" s="5"/>
      <c r="AC138" s="4"/>
      <c r="AD138" s="4"/>
      <c r="AE138" s="4"/>
      <c r="AF138" s="4"/>
      <c r="AH138" t="s">
        <v>276</v>
      </c>
      <c r="AI138" t="str">
        <f>C138</f>
        <v>Machine</v>
      </c>
      <c r="AJ138" s="8">
        <f>D138</f>
        <v>43403</v>
      </c>
      <c r="AK138" s="3">
        <f>SUM(E138:E140)</f>
        <v>45.3</v>
      </c>
      <c r="AL138" s="3">
        <f>(AK138-3*$A$35)*$A$36/(3*$A$37)*$A$38</f>
        <v>3266.8892322834636</v>
      </c>
      <c r="AM138" s="7">
        <f>SUM(G138:G140)</f>
        <v>29.07</v>
      </c>
      <c r="AN138" s="7">
        <f>SUM(H138:H140)</f>
        <v>448.62</v>
      </c>
      <c r="AO138" s="7">
        <f>AN138-AM138</f>
        <v>419.55</v>
      </c>
      <c r="AP138" s="7">
        <f>SUM(J138:J140)</f>
        <v>389.19000000000005</v>
      </c>
      <c r="AQ138" s="7">
        <f>(AO138-AP138)/AO138*100</f>
        <v>7.2363246335359204</v>
      </c>
      <c r="AR138" s="3">
        <f>AL138*(1-AQ138/100)</f>
        <v>3030.4865220174029</v>
      </c>
      <c r="AS138" s="11">
        <f>M138</f>
        <v>43440</v>
      </c>
      <c r="AT138" s="7">
        <f>SUM(N138:N140)</f>
        <v>19.79</v>
      </c>
      <c r="AU138" s="7">
        <f>SUM(O138:O140)</f>
        <v>8.16</v>
      </c>
      <c r="AV138" s="7">
        <f>SUM(P138:P140)</f>
        <v>14.18</v>
      </c>
      <c r="AW138" s="9">
        <f>(AU138-3*$A$39)/(AT138-3*$A$35*$A$36)</f>
        <v>0.38523296276476615</v>
      </c>
      <c r="AX138" s="9">
        <f>(AV138-3*$A$40)/(AT138-3*$A$35*$A$36)</f>
        <v>0.47710423843766436</v>
      </c>
      <c r="AY138" s="9">
        <f>1-AW138-AX138</f>
        <v>0.13766279879756949</v>
      </c>
      <c r="AZ138" s="3">
        <f>AL138*AW138</f>
        <v>1258.5134179768711</v>
      </c>
      <c r="BA138" s="3">
        <f>AL138*AX138</f>
        <v>1558.6466992288078</v>
      </c>
      <c r="BB138" s="3">
        <f>AZ138+BA138</f>
        <v>2817.1601172056789</v>
      </c>
      <c r="BC138" s="3">
        <f>AR138*AW138</f>
        <v>1167.4433014954559</v>
      </c>
      <c r="BD138" s="3">
        <f>AR138*AX138</f>
        <v>1445.8579641827191</v>
      </c>
      <c r="BE138" s="3">
        <f>BC138+BD138</f>
        <v>2613.3012656781748</v>
      </c>
      <c r="BF138" s="11">
        <f>Z139</f>
        <v>43451</v>
      </c>
      <c r="BG138" s="3">
        <f>AVERAGE(AA138:AA140)</f>
        <v>50.7</v>
      </c>
      <c r="BH138" s="7">
        <f t="shared" ref="BH138" si="176">AVERAGE(AB138:AB140)</f>
        <v>0.98</v>
      </c>
      <c r="BI138" s="3">
        <f t="shared" ref="BI138" si="177">AVERAGE(AC138:AC140)</f>
        <v>77</v>
      </c>
      <c r="BJ138" s="3">
        <f t="shared" ref="BJ138" si="178">AVERAGE(AD138:AD140)</f>
        <v>25.6</v>
      </c>
      <c r="BK138" s="3">
        <f t="shared" ref="BK138" si="179">AVERAGE(AE138:AE140)</f>
        <v>6.4</v>
      </c>
      <c r="BL138" s="3">
        <f t="shared" ref="BL138" si="180">AVERAGE(AF138:AF140)</f>
        <v>13.1</v>
      </c>
    </row>
    <row r="139" spans="1:64" x14ac:dyDescent="0.3">
      <c r="A139">
        <v>92</v>
      </c>
      <c r="B139" s="1" t="s">
        <v>143</v>
      </c>
      <c r="C139" s="1" t="s">
        <v>32</v>
      </c>
      <c r="D139" s="2">
        <v>43403</v>
      </c>
      <c r="E139" s="3">
        <v>14.3</v>
      </c>
      <c r="F139" s="4">
        <f t="shared" si="122"/>
        <v>3088.3097047244096</v>
      </c>
      <c r="G139" s="7">
        <v>9.6999999999999993</v>
      </c>
      <c r="H139" s="7">
        <v>150.94999999999999</v>
      </c>
      <c r="I139" s="7">
        <f t="shared" si="165"/>
        <v>141.25</v>
      </c>
      <c r="J139" s="7">
        <v>131.28</v>
      </c>
      <c r="K139" s="5">
        <f t="shared" si="123"/>
        <v>7.0584070796460177</v>
      </c>
      <c r="L139" s="4">
        <f t="shared" si="124"/>
        <v>2870.3242338847467</v>
      </c>
      <c r="M139" s="2">
        <v>43440</v>
      </c>
      <c r="N139" s="7">
        <v>6.25</v>
      </c>
      <c r="O139" s="7">
        <v>2.56</v>
      </c>
      <c r="P139" s="7">
        <v>4.54</v>
      </c>
      <c r="Q139" s="6">
        <f t="shared" si="125"/>
        <v>0.38085273032295719</v>
      </c>
      <c r="R139" s="6">
        <f t="shared" si="126"/>
        <v>0.47358209074941643</v>
      </c>
      <c r="S139" s="6">
        <f t="shared" si="127"/>
        <v>0.14556517892762638</v>
      </c>
      <c r="T139" s="4">
        <f t="shared" si="128"/>
        <v>1176.1911831271771</v>
      </c>
      <c r="U139" s="4">
        <f t="shared" si="129"/>
        <v>1462.5681668450989</v>
      </c>
      <c r="V139" s="4">
        <f t="shared" si="130"/>
        <v>2638.7593499722761</v>
      </c>
      <c r="W139" s="4">
        <f t="shared" si="131"/>
        <v>1093.1708213871561</v>
      </c>
      <c r="X139" s="4">
        <f t="shared" si="132"/>
        <v>1359.3341518118552</v>
      </c>
      <c r="Y139" s="4">
        <f t="shared" si="133"/>
        <v>2452.5049731990111</v>
      </c>
      <c r="Z139" s="10">
        <v>43451</v>
      </c>
      <c r="AA139" s="4">
        <v>50.7</v>
      </c>
      <c r="AB139" s="5">
        <v>0.98</v>
      </c>
      <c r="AC139" s="4">
        <v>77</v>
      </c>
      <c r="AD139" s="4">
        <v>25.6</v>
      </c>
      <c r="AE139" s="4">
        <v>6.4</v>
      </c>
      <c r="AF139" s="4">
        <v>13.1</v>
      </c>
      <c r="AK139" s="3"/>
      <c r="AL139" s="3"/>
      <c r="AM139" s="7"/>
      <c r="AN139" s="7"/>
      <c r="AO139" s="7"/>
      <c r="AP139" s="7"/>
      <c r="AQ139" s="7"/>
      <c r="AR139" s="3"/>
      <c r="AS139" s="3"/>
      <c r="AT139" s="7"/>
      <c r="AU139" s="7"/>
      <c r="AV139" s="7"/>
      <c r="AW139" s="9"/>
      <c r="AX139" s="9"/>
      <c r="AY139" s="9"/>
      <c r="AZ139" s="3"/>
      <c r="BA139" s="3"/>
      <c r="BB139" s="3"/>
      <c r="BC139" s="3"/>
      <c r="BD139" s="3"/>
      <c r="BE139" s="3"/>
      <c r="BG139" s="3"/>
      <c r="BH139" s="7"/>
      <c r="BI139" s="3"/>
      <c r="BJ139" s="3"/>
      <c r="BK139" s="3"/>
      <c r="BL139" s="3"/>
    </row>
    <row r="140" spans="1:64" x14ac:dyDescent="0.3">
      <c r="A140">
        <v>93</v>
      </c>
      <c r="B140" s="1" t="s">
        <v>144</v>
      </c>
      <c r="C140" s="1" t="s">
        <v>32</v>
      </c>
      <c r="D140" s="2">
        <v>43403</v>
      </c>
      <c r="E140" s="3">
        <v>15.8</v>
      </c>
      <c r="F140" s="4">
        <f t="shared" si="122"/>
        <v>3423.1463188976381</v>
      </c>
      <c r="G140" s="7">
        <v>9.69</v>
      </c>
      <c r="H140" s="7">
        <v>128.1</v>
      </c>
      <c r="I140" s="7">
        <f t="shared" si="165"/>
        <v>118.41</v>
      </c>
      <c r="J140" s="7">
        <v>109.34</v>
      </c>
      <c r="K140" s="5">
        <f t="shared" si="123"/>
        <v>7.6598260282070711</v>
      </c>
      <c r="L140" s="4">
        <f t="shared" si="124"/>
        <v>3160.9392661791044</v>
      </c>
      <c r="M140" s="2">
        <v>43440</v>
      </c>
      <c r="N140" s="7">
        <v>6.96</v>
      </c>
      <c r="O140" s="7">
        <v>2.86</v>
      </c>
      <c r="P140" s="7">
        <v>4.9400000000000004</v>
      </c>
      <c r="Q140" s="6">
        <f t="shared" si="125"/>
        <v>0.38523770763816073</v>
      </c>
      <c r="R140" s="6">
        <f t="shared" si="126"/>
        <v>0.48302881803861708</v>
      </c>
      <c r="S140" s="6">
        <f t="shared" si="127"/>
        <v>0.13173347432322213</v>
      </c>
      <c r="T140" s="4">
        <f t="shared" si="128"/>
        <v>1318.7250408021343</v>
      </c>
      <c r="U140" s="4">
        <f t="shared" si="129"/>
        <v>1653.4783203903692</v>
      </c>
      <c r="V140" s="4">
        <f t="shared" si="130"/>
        <v>2972.2033611925035</v>
      </c>
      <c r="W140" s="4">
        <f t="shared" si="131"/>
        <v>1217.7129968862882</v>
      </c>
      <c r="X140" s="4">
        <f t="shared" si="132"/>
        <v>1526.8247576343465</v>
      </c>
      <c r="Y140" s="4">
        <f t="shared" si="133"/>
        <v>2744.5377545206347</v>
      </c>
      <c r="Z140" s="10"/>
      <c r="AA140" s="4"/>
      <c r="AB140" s="5"/>
      <c r="AC140" s="4"/>
      <c r="AD140" s="4"/>
      <c r="AE140" s="4"/>
      <c r="AF140" s="4"/>
      <c r="AK140" s="3"/>
      <c r="AL140" s="3"/>
      <c r="AM140" s="7"/>
      <c r="AN140" s="7"/>
      <c r="AO140" s="7"/>
      <c r="AP140" s="7"/>
      <c r="AQ140" s="7"/>
      <c r="AR140" s="3"/>
      <c r="AS140" s="3"/>
      <c r="AT140" s="7"/>
      <c r="AU140" s="7"/>
      <c r="AV140" s="7"/>
      <c r="AW140" s="9"/>
      <c r="AX140" s="9"/>
      <c r="AY140" s="9"/>
      <c r="AZ140" s="3"/>
      <c r="BA140" s="3"/>
      <c r="BB140" s="3"/>
      <c r="BC140" s="3"/>
      <c r="BD140" s="3"/>
      <c r="BE140" s="3"/>
      <c r="BG140" s="3"/>
      <c r="BH140" s="7"/>
      <c r="BI140" s="3"/>
      <c r="BJ140" s="3"/>
      <c r="BK140" s="3"/>
      <c r="BL140" s="3"/>
    </row>
    <row r="141" spans="1:64" x14ac:dyDescent="0.3">
      <c r="A141">
        <v>94</v>
      </c>
      <c r="B141" s="1" t="s">
        <v>145</v>
      </c>
      <c r="C141" s="1" t="s">
        <v>32</v>
      </c>
      <c r="D141" s="2">
        <v>43403</v>
      </c>
      <c r="E141" s="3">
        <v>15.4</v>
      </c>
      <c r="F141" s="4">
        <f t="shared" si="122"/>
        <v>3333.85655511811</v>
      </c>
      <c r="G141" s="7">
        <v>9.68</v>
      </c>
      <c r="H141" s="7">
        <v>170.11</v>
      </c>
      <c r="I141" s="7">
        <f t="shared" si="165"/>
        <v>160.43</v>
      </c>
      <c r="J141" s="7">
        <v>148.27000000000001</v>
      </c>
      <c r="K141" s="5">
        <f t="shared" si="123"/>
        <v>7.5796297450601484</v>
      </c>
      <c r="L141" s="4">
        <f t="shared" si="124"/>
        <v>3081.1625720087404</v>
      </c>
      <c r="M141" s="2">
        <v>43440</v>
      </c>
      <c r="N141" s="7">
        <v>6.69</v>
      </c>
      <c r="O141" s="7">
        <v>2.78</v>
      </c>
      <c r="P141" s="7">
        <v>4.8</v>
      </c>
      <c r="Q141" s="6">
        <f t="shared" si="125"/>
        <v>0.38894412615747215</v>
      </c>
      <c r="R141" s="6">
        <f t="shared" si="126"/>
        <v>0.48154987048067993</v>
      </c>
      <c r="S141" s="6">
        <f t="shared" si="127"/>
        <v>0.12950600336184787</v>
      </c>
      <c r="T141" s="4">
        <f t="shared" si="128"/>
        <v>1296.6839245647736</v>
      </c>
      <c r="U141" s="4">
        <f t="shared" si="129"/>
        <v>1605.4181923182916</v>
      </c>
      <c r="V141" s="4">
        <f t="shared" si="130"/>
        <v>2902.1021168830653</v>
      </c>
      <c r="W141" s="4">
        <f t="shared" si="131"/>
        <v>1198.4000841190489</v>
      </c>
      <c r="X141" s="4">
        <f t="shared" si="132"/>
        <v>1483.7334374807276</v>
      </c>
      <c r="Y141" s="4">
        <f t="shared" si="133"/>
        <v>2682.1335215997765</v>
      </c>
      <c r="Z141" s="10"/>
      <c r="AA141" s="4"/>
      <c r="AB141" s="5"/>
      <c r="AC141" s="4"/>
      <c r="AD141" s="4"/>
      <c r="AE141" s="4"/>
      <c r="AF141" s="4"/>
      <c r="AH141" t="s">
        <v>277</v>
      </c>
      <c r="AI141" t="str">
        <f>C141</f>
        <v>Machine</v>
      </c>
      <c r="AJ141" s="8">
        <f>D141</f>
        <v>43403</v>
      </c>
      <c r="AK141" s="3">
        <f>SUM(E141:E143)</f>
        <v>47.2</v>
      </c>
      <c r="AL141" s="3">
        <f>(AK141-3*$A$35)*$A$36/(3*$A$37)*$A$38</f>
        <v>3408.2646916010499</v>
      </c>
      <c r="AM141" s="7">
        <f>SUM(G141:G143)</f>
        <v>29.049999999999997</v>
      </c>
      <c r="AN141" s="7">
        <f>SUM(H141:H143)</f>
        <v>489.77</v>
      </c>
      <c r="AO141" s="7">
        <f>AN141-AM141</f>
        <v>460.71999999999997</v>
      </c>
      <c r="AP141" s="7">
        <f>SUM(J141:J143)</f>
        <v>429.27</v>
      </c>
      <c r="AQ141" s="7">
        <f>(AO141-AP141)/AO141*100</f>
        <v>6.8262719222087149</v>
      </c>
      <c r="AR141" s="3">
        <f>AL141*(1-AQ141/100)</f>
        <v>3175.6072759237341</v>
      </c>
      <c r="AS141" s="11">
        <f>M141</f>
        <v>43440</v>
      </c>
      <c r="AT141" s="7">
        <f>SUM(N141:N143)</f>
        <v>20.560000000000002</v>
      </c>
      <c r="AU141" s="7">
        <f>SUM(O141:O143)</f>
        <v>8.4600000000000009</v>
      </c>
      <c r="AV141" s="7">
        <f>SUM(P141:P143)</f>
        <v>14.599999999999998</v>
      </c>
      <c r="AW141" s="9">
        <f>(AU141-3*$A$39)/(AT141-3*$A$35*$A$36)</f>
        <v>0.38540210905964756</v>
      </c>
      <c r="AX141" s="9">
        <f>(AV141-3*$A$40)/(AT141-3*$A$35*$A$36)</f>
        <v>0.47974533367320699</v>
      </c>
      <c r="AY141" s="9">
        <f>1-AW141-AX141</f>
        <v>0.13485255726714546</v>
      </c>
      <c r="AZ141" s="3">
        <f>AL141*AW141</f>
        <v>1313.5524003765738</v>
      </c>
      <c r="BA141" s="3">
        <f>AL141*AX141</f>
        <v>1635.0990817187555</v>
      </c>
      <c r="BB141" s="3">
        <f>AZ141+BA141</f>
        <v>2948.6514820953294</v>
      </c>
      <c r="BC141" s="3">
        <f>AR141*AW141</f>
        <v>1223.8857416861692</v>
      </c>
      <c r="BD141" s="3">
        <f>AR141*AX141</f>
        <v>1523.4827722030957</v>
      </c>
      <c r="BE141" s="3">
        <f>BC141+BD141</f>
        <v>2747.3685138892652</v>
      </c>
      <c r="BF141" s="11">
        <f>Z142</f>
        <v>43451</v>
      </c>
      <c r="BG141" s="3">
        <f>AVERAGE(AA141:AA143)</f>
        <v>53</v>
      </c>
      <c r="BH141" s="7">
        <f t="shared" ref="BH141" si="181">AVERAGE(AB141:AB143)</f>
        <v>0.97</v>
      </c>
      <c r="BI141" s="3">
        <f t="shared" ref="BI141" si="182">AVERAGE(AC141:AC143)</f>
        <v>76.099999999999994</v>
      </c>
      <c r="BJ141" s="3">
        <f t="shared" ref="BJ141" si="183">AVERAGE(AD141:AD143)</f>
        <v>24.7</v>
      </c>
      <c r="BK141" s="3">
        <f t="shared" ref="BK141" si="184">AVERAGE(AE141:AE143)</f>
        <v>6.5</v>
      </c>
      <c r="BL141" s="3">
        <f t="shared" ref="BL141" si="185">AVERAGE(AF141:AF143)</f>
        <v>14.9</v>
      </c>
    </row>
    <row r="142" spans="1:64" x14ac:dyDescent="0.3">
      <c r="A142">
        <v>95</v>
      </c>
      <c r="B142" s="1" t="s">
        <v>146</v>
      </c>
      <c r="C142" s="1" t="s">
        <v>32</v>
      </c>
      <c r="D142" s="2">
        <v>43403</v>
      </c>
      <c r="E142" s="3">
        <v>15.4</v>
      </c>
      <c r="F142" s="4">
        <f t="shared" si="122"/>
        <v>3333.85655511811</v>
      </c>
      <c r="G142" s="7">
        <v>9.69</v>
      </c>
      <c r="H142" s="7">
        <v>138.18</v>
      </c>
      <c r="I142" s="7">
        <f t="shared" si="165"/>
        <v>128.49</v>
      </c>
      <c r="J142" s="7">
        <v>120.35</v>
      </c>
      <c r="K142" s="5">
        <f t="shared" si="123"/>
        <v>6.3351233559031943</v>
      </c>
      <c r="L142" s="4">
        <f t="shared" si="124"/>
        <v>3122.6526298425129</v>
      </c>
      <c r="M142" s="2">
        <v>43440</v>
      </c>
      <c r="N142" s="7">
        <v>6.7</v>
      </c>
      <c r="O142" s="7">
        <v>2.72</v>
      </c>
      <c r="P142" s="7">
        <v>4.76</v>
      </c>
      <c r="Q142" s="6">
        <f t="shared" si="125"/>
        <v>0.37909844017142075</v>
      </c>
      <c r="R142" s="6">
        <f t="shared" si="126"/>
        <v>0.47464357549917724</v>
      </c>
      <c r="S142" s="6">
        <f t="shared" si="127"/>
        <v>0.14625798432940196</v>
      </c>
      <c r="T142" s="4">
        <f t="shared" si="128"/>
        <v>1263.8598198005418</v>
      </c>
      <c r="U142" s="4">
        <f t="shared" si="129"/>
        <v>1582.3935955226295</v>
      </c>
      <c r="V142" s="4">
        <f t="shared" si="130"/>
        <v>2846.2534153231713</v>
      </c>
      <c r="W142" s="4">
        <f t="shared" si="131"/>
        <v>1183.7927411704816</v>
      </c>
      <c r="X142" s="4">
        <f t="shared" si="132"/>
        <v>1482.1470092703591</v>
      </c>
      <c r="Y142" s="4">
        <f t="shared" si="133"/>
        <v>2665.9397504408407</v>
      </c>
      <c r="Z142" s="10">
        <v>43451</v>
      </c>
      <c r="AA142" s="4">
        <v>53</v>
      </c>
      <c r="AB142" s="5">
        <v>0.97</v>
      </c>
      <c r="AC142" s="4">
        <v>76.099999999999994</v>
      </c>
      <c r="AD142" s="4">
        <v>24.7</v>
      </c>
      <c r="AE142" s="4">
        <v>6.5</v>
      </c>
      <c r="AF142" s="4">
        <v>14.9</v>
      </c>
      <c r="AK142" s="3"/>
      <c r="AL142" s="3"/>
      <c r="AM142" s="7"/>
      <c r="AN142" s="7"/>
      <c r="AO142" s="7"/>
      <c r="AP142" s="7"/>
      <c r="AQ142" s="7"/>
      <c r="AR142" s="3"/>
      <c r="AS142" s="3"/>
      <c r="AT142" s="7"/>
      <c r="AU142" s="7"/>
      <c r="AV142" s="7"/>
      <c r="AW142" s="9"/>
      <c r="AX142" s="9"/>
      <c r="AY142" s="9"/>
      <c r="AZ142" s="3"/>
      <c r="BA142" s="3"/>
      <c r="BB142" s="3"/>
      <c r="BC142" s="3"/>
      <c r="BD142" s="3"/>
      <c r="BE142" s="3"/>
      <c r="BG142" s="3"/>
      <c r="BH142" s="7"/>
      <c r="BI142" s="3"/>
      <c r="BJ142" s="3"/>
      <c r="BK142" s="3"/>
      <c r="BL142" s="3"/>
    </row>
    <row r="143" spans="1:64" x14ac:dyDescent="0.3">
      <c r="A143">
        <v>96</v>
      </c>
      <c r="B143" s="1" t="s">
        <v>147</v>
      </c>
      <c r="C143" s="1" t="s">
        <v>32</v>
      </c>
      <c r="D143" s="2">
        <v>43403</v>
      </c>
      <c r="E143" s="3">
        <v>16.399999999999999</v>
      </c>
      <c r="F143" s="4">
        <f t="shared" si="122"/>
        <v>3557.0809645669287</v>
      </c>
      <c r="G143" s="7">
        <v>9.68</v>
      </c>
      <c r="H143" s="7">
        <v>181.48</v>
      </c>
      <c r="I143" s="7">
        <f t="shared" si="165"/>
        <v>171.79999999999998</v>
      </c>
      <c r="J143" s="7">
        <v>160.65</v>
      </c>
      <c r="K143" s="5">
        <f t="shared" si="123"/>
        <v>6.4901047729918382</v>
      </c>
      <c r="L143" s="4">
        <f t="shared" si="124"/>
        <v>3326.2226831063867</v>
      </c>
      <c r="M143" s="2">
        <v>43440</v>
      </c>
      <c r="N143" s="7">
        <v>7.17</v>
      </c>
      <c r="O143" s="7">
        <v>2.96</v>
      </c>
      <c r="P143" s="7">
        <v>5.04</v>
      </c>
      <c r="Q143" s="6">
        <f t="shared" si="125"/>
        <v>0.38798233511255137</v>
      </c>
      <c r="R143" s="6">
        <f t="shared" si="126"/>
        <v>0.48282246147339725</v>
      </c>
      <c r="S143" s="6">
        <f t="shared" si="127"/>
        <v>0.12919520341405144</v>
      </c>
      <c r="T143" s="4">
        <f t="shared" si="128"/>
        <v>1380.0845788170836</v>
      </c>
      <c r="U143" s="4">
        <f t="shared" si="129"/>
        <v>1717.4385869723706</v>
      </c>
      <c r="V143" s="4">
        <f t="shared" si="130"/>
        <v>3097.5231657894542</v>
      </c>
      <c r="W143" s="4">
        <f t="shared" si="131"/>
        <v>1290.5156436959519</v>
      </c>
      <c r="X143" s="4">
        <f t="shared" si="132"/>
        <v>1605.9750232660733</v>
      </c>
      <c r="Y143" s="4">
        <f t="shared" si="133"/>
        <v>2896.490666962025</v>
      </c>
      <c r="Z143" s="10"/>
      <c r="AA143" s="4"/>
      <c r="AB143" s="5"/>
      <c r="AC143" s="4"/>
      <c r="AD143" s="4"/>
      <c r="AE143" s="4"/>
      <c r="AF143" s="4"/>
      <c r="AK143" s="3"/>
      <c r="AL143" s="3"/>
      <c r="AM143" s="7"/>
      <c r="AN143" s="7"/>
      <c r="AO143" s="7"/>
      <c r="AP143" s="7"/>
      <c r="AQ143" s="7"/>
      <c r="AR143" s="3"/>
      <c r="AS143" s="3"/>
      <c r="AT143" s="7"/>
      <c r="AU143" s="7"/>
      <c r="AV143" s="7"/>
      <c r="AW143" s="9"/>
      <c r="AX143" s="9"/>
      <c r="AY143" s="9"/>
      <c r="AZ143" s="3"/>
      <c r="BA143" s="3"/>
      <c r="BB143" s="3"/>
      <c r="BC143" s="3"/>
      <c r="BD143" s="3"/>
      <c r="BE143" s="3"/>
      <c r="BG143" s="3"/>
      <c r="BH143" s="7"/>
      <c r="BI143" s="3"/>
      <c r="BJ143" s="3"/>
      <c r="BK143" s="3"/>
      <c r="BL143" s="3"/>
    </row>
    <row r="144" spans="1:64" x14ac:dyDescent="0.3">
      <c r="A144">
        <v>97</v>
      </c>
      <c r="B144" s="1" t="s">
        <v>148</v>
      </c>
      <c r="C144" s="1" t="s">
        <v>32</v>
      </c>
      <c r="D144" s="2">
        <v>43403</v>
      </c>
      <c r="E144" s="3">
        <v>13.5</v>
      </c>
      <c r="F144" s="4">
        <f t="shared" si="122"/>
        <v>2909.7301771653542</v>
      </c>
      <c r="G144" s="7">
        <v>9.74</v>
      </c>
      <c r="H144" s="7">
        <v>121.59</v>
      </c>
      <c r="I144" s="7">
        <f t="shared" si="144"/>
        <v>111.85000000000001</v>
      </c>
      <c r="J144" s="7">
        <v>104.85</v>
      </c>
      <c r="K144" s="5">
        <f t="shared" si="123"/>
        <v>6.2583817612874499</v>
      </c>
      <c r="L144" s="4">
        <f t="shared" si="124"/>
        <v>2727.6281544549606</v>
      </c>
      <c r="M144" s="2">
        <v>43440</v>
      </c>
      <c r="N144" s="7">
        <v>5.95</v>
      </c>
      <c r="O144" s="7">
        <v>2.42</v>
      </c>
      <c r="P144" s="7">
        <v>4.58</v>
      </c>
      <c r="Q144" s="6">
        <f t="shared" si="125"/>
        <v>0.37636696219302562</v>
      </c>
      <c r="R144" s="6">
        <f t="shared" si="126"/>
        <v>0.50530749553693255</v>
      </c>
      <c r="S144" s="6">
        <f t="shared" si="127"/>
        <v>0.11832554227004177</v>
      </c>
      <c r="T144" s="4">
        <f t="shared" si="128"/>
        <v>1095.1263075810987</v>
      </c>
      <c r="U144" s="4">
        <f t="shared" si="129"/>
        <v>1470.3084685116603</v>
      </c>
      <c r="V144" s="4">
        <f t="shared" si="130"/>
        <v>2565.434776092759</v>
      </c>
      <c r="W144" s="4">
        <f t="shared" si="131"/>
        <v>1026.5891224843824</v>
      </c>
      <c r="X144" s="4">
        <f t="shared" si="132"/>
        <v>1378.2909514836615</v>
      </c>
      <c r="Y144" s="4">
        <f t="shared" si="133"/>
        <v>2404.8800739680437</v>
      </c>
      <c r="Z144" s="10"/>
      <c r="AA144" s="4"/>
      <c r="AB144" s="5"/>
      <c r="AC144" s="4"/>
      <c r="AD144" s="4"/>
      <c r="AE144" s="4"/>
      <c r="AF144" s="4"/>
      <c r="AH144" t="s">
        <v>278</v>
      </c>
      <c r="AI144" t="str">
        <f>C144</f>
        <v>Machine</v>
      </c>
      <c r="AJ144" s="8">
        <f>D144</f>
        <v>43403</v>
      </c>
      <c r="AK144" s="3">
        <f>SUM(E144:E146)</f>
        <v>47.5</v>
      </c>
      <c r="AL144" s="3">
        <f>(AK144-3*$A$35)*$A$36/(3*$A$37)*$A$38</f>
        <v>3430.587132545932</v>
      </c>
      <c r="AM144" s="7">
        <f>SUM(G144:G146)</f>
        <v>29.17</v>
      </c>
      <c r="AN144" s="7">
        <f>SUM(H144:H146)</f>
        <v>439.43000000000006</v>
      </c>
      <c r="AO144" s="7">
        <f>AN144-AM144</f>
        <v>410.26000000000005</v>
      </c>
      <c r="AP144" s="7">
        <f>SUM(J144:J146)</f>
        <v>385.40999999999997</v>
      </c>
      <c r="AQ144" s="7">
        <f>(AO144-AP144)/AO144*100</f>
        <v>6.0571345000731425</v>
      </c>
      <c r="AR144" s="3">
        <f>AL144*(1-AQ144/100)</f>
        <v>3222.7918557854223</v>
      </c>
      <c r="AS144" s="11">
        <f>M144</f>
        <v>43440</v>
      </c>
      <c r="AT144" s="7">
        <f>SUM(N144:N146)</f>
        <v>20.9</v>
      </c>
      <c r="AU144" s="7">
        <f>SUM(O144:O146)</f>
        <v>8.33</v>
      </c>
      <c r="AV144" s="7">
        <f>SUM(P144:P146)</f>
        <v>15.180000000000001</v>
      </c>
      <c r="AW144" s="9">
        <f>(AU144-3*$A$39)/(AT144-3*$A$35*$A$36)</f>
        <v>0.37252237171508268</v>
      </c>
      <c r="AX144" s="9">
        <f>(AV144-3*$A$40)/(AT144-3*$A$35*$A$36)</f>
        <v>0.50031481446237602</v>
      </c>
      <c r="AY144" s="9">
        <f>1-AW144-AX144</f>
        <v>0.12716281382254124</v>
      </c>
      <c r="AZ144" s="3">
        <f>AL144*AW144</f>
        <v>1277.9704549912553</v>
      </c>
      <c r="BA144" s="3">
        <f>AL144*AX144</f>
        <v>1716.3735647167325</v>
      </c>
      <c r="BB144" s="3">
        <f>AZ144+BA144</f>
        <v>2994.3440197079881</v>
      </c>
      <c r="BC144" s="3">
        <f>AR144*AW144</f>
        <v>1200.5620656612382</v>
      </c>
      <c r="BD144" s="3">
        <f>AR144*AX144</f>
        <v>1612.41050937814</v>
      </c>
      <c r="BE144" s="3">
        <f>BC144+BD144</f>
        <v>2812.9725750393782</v>
      </c>
      <c r="BF144" s="11">
        <f>Z145</f>
        <v>43451</v>
      </c>
      <c r="BG144" s="3">
        <f>AVERAGE(AA144:AA146)</f>
        <v>44.699999999999996</v>
      </c>
      <c r="BH144" s="7">
        <f t="shared" ref="BH144" si="186">AVERAGE(AB144:AB146)</f>
        <v>1.08</v>
      </c>
      <c r="BI144" s="3">
        <f t="shared" ref="BI144" si="187">AVERAGE(AC144:AC146)</f>
        <v>79.3</v>
      </c>
      <c r="BJ144" s="3">
        <f t="shared" ref="BJ144" si="188">AVERAGE(AD144:AD146)</f>
        <v>29</v>
      </c>
      <c r="BK144" s="3">
        <f t="shared" ref="BK144" si="189">AVERAGE(AE144:AE146)</f>
        <v>6.3</v>
      </c>
      <c r="BL144" s="3">
        <f t="shared" ref="BL144" si="190">AVERAGE(AF144:AF146)</f>
        <v>11.6</v>
      </c>
    </row>
    <row r="145" spans="1:64" x14ac:dyDescent="0.3">
      <c r="A145">
        <v>98</v>
      </c>
      <c r="B145" s="1" t="s">
        <v>149</v>
      </c>
      <c r="C145" s="1" t="s">
        <v>32</v>
      </c>
      <c r="D145" s="2">
        <v>43403</v>
      </c>
      <c r="E145" s="3">
        <v>16.5</v>
      </c>
      <c r="F145" s="4">
        <f t="shared" si="122"/>
        <v>3579.4034055118113</v>
      </c>
      <c r="G145" s="7">
        <v>9.69</v>
      </c>
      <c r="H145" s="7">
        <v>158.11000000000001</v>
      </c>
      <c r="I145" s="7">
        <f t="shared" si="144"/>
        <v>148.42000000000002</v>
      </c>
      <c r="J145" s="7">
        <v>139.55000000000001</v>
      </c>
      <c r="K145" s="5">
        <f t="shared" si="123"/>
        <v>5.9762835197412771</v>
      </c>
      <c r="L145" s="4">
        <f t="shared" si="124"/>
        <v>3365.4881096831509</v>
      </c>
      <c r="M145" s="2">
        <v>43440</v>
      </c>
      <c r="N145" s="7">
        <v>7.28</v>
      </c>
      <c r="O145" s="7">
        <v>2.85</v>
      </c>
      <c r="P145" s="7">
        <v>5.2</v>
      </c>
      <c r="Q145" s="6">
        <f t="shared" si="125"/>
        <v>0.36638432477601196</v>
      </c>
      <c r="R145" s="6">
        <f t="shared" si="126"/>
        <v>0.49794317498515922</v>
      </c>
      <c r="S145" s="6">
        <f t="shared" si="127"/>
        <v>0.13567250023882887</v>
      </c>
      <c r="T145" s="4">
        <f t="shared" si="128"/>
        <v>1311.4372998294027</v>
      </c>
      <c r="U145" s="4">
        <f t="shared" si="129"/>
        <v>1782.3394962932427</v>
      </c>
      <c r="V145" s="4">
        <f t="shared" si="130"/>
        <v>3093.7767961226455</v>
      </c>
      <c r="W145" s="4">
        <f t="shared" si="131"/>
        <v>1233.0620886079582</v>
      </c>
      <c r="X145" s="4">
        <f t="shared" si="132"/>
        <v>1675.82183471043</v>
      </c>
      <c r="Y145" s="4">
        <f t="shared" si="133"/>
        <v>2908.883923318388</v>
      </c>
      <c r="Z145" s="10">
        <v>43451</v>
      </c>
      <c r="AA145" s="4">
        <v>44.699999999999996</v>
      </c>
      <c r="AB145" s="5">
        <v>1.08</v>
      </c>
      <c r="AC145" s="4">
        <v>79.3</v>
      </c>
      <c r="AD145" s="4">
        <v>29</v>
      </c>
      <c r="AE145" s="4">
        <v>6.3</v>
      </c>
      <c r="AF145" s="4">
        <v>11.6</v>
      </c>
      <c r="AK145" s="3"/>
      <c r="AL145" s="3"/>
      <c r="AM145" s="7"/>
      <c r="AN145" s="7"/>
      <c r="AO145" s="7"/>
      <c r="AP145" s="7"/>
      <c r="AQ145" s="7"/>
      <c r="AR145" s="3"/>
      <c r="AS145" s="3"/>
      <c r="AT145" s="7"/>
      <c r="AU145" s="7"/>
      <c r="AV145" s="7"/>
      <c r="AW145" s="9"/>
      <c r="AX145" s="9"/>
      <c r="AY145" s="9"/>
      <c r="AZ145" s="3"/>
      <c r="BA145" s="3"/>
      <c r="BB145" s="3"/>
      <c r="BC145" s="3"/>
      <c r="BD145" s="3"/>
      <c r="BE145" s="3"/>
      <c r="BG145" s="3"/>
      <c r="BH145" s="7"/>
      <c r="BI145" s="3"/>
      <c r="BJ145" s="3"/>
      <c r="BK145" s="3"/>
      <c r="BL145" s="3"/>
    </row>
    <row r="146" spans="1:64" x14ac:dyDescent="0.3">
      <c r="A146">
        <v>99</v>
      </c>
      <c r="B146" s="1" t="s">
        <v>150</v>
      </c>
      <c r="C146" s="1" t="s">
        <v>32</v>
      </c>
      <c r="D146" s="2">
        <v>43403</v>
      </c>
      <c r="E146" s="3">
        <v>17.5</v>
      </c>
      <c r="F146" s="4">
        <f t="shared" si="122"/>
        <v>3802.6278149606296</v>
      </c>
      <c r="G146" s="7">
        <v>9.74</v>
      </c>
      <c r="H146" s="7">
        <v>159.72999999999999</v>
      </c>
      <c r="I146" s="7">
        <f t="shared" si="144"/>
        <v>149.98999999999998</v>
      </c>
      <c r="J146" s="7">
        <v>141.01</v>
      </c>
      <c r="K146" s="5">
        <f t="shared" si="123"/>
        <v>5.9870658043869529</v>
      </c>
      <c r="L146" s="4">
        <f t="shared" si="124"/>
        <v>3574.961985383015</v>
      </c>
      <c r="M146" s="2">
        <v>43440</v>
      </c>
      <c r="N146" s="7">
        <v>7.67</v>
      </c>
      <c r="O146" s="7">
        <v>3.06</v>
      </c>
      <c r="P146" s="7">
        <v>5.4</v>
      </c>
      <c r="Q146" s="6">
        <f t="shared" si="125"/>
        <v>0.3753814284210385</v>
      </c>
      <c r="R146" s="6">
        <f t="shared" si="126"/>
        <v>0.49872104061652267</v>
      </c>
      <c r="S146" s="6">
        <f t="shared" si="127"/>
        <v>0.12589753096243883</v>
      </c>
      <c r="T146" s="4">
        <f t="shared" si="128"/>
        <v>1427.4358609334936</v>
      </c>
      <c r="U146" s="4">
        <f t="shared" si="129"/>
        <v>1896.4505009544989</v>
      </c>
      <c r="V146" s="4">
        <f t="shared" si="130"/>
        <v>3323.8863618879923</v>
      </c>
      <c r="W146" s="4">
        <f t="shared" si="131"/>
        <v>1341.9743366239879</v>
      </c>
      <c r="X146" s="4">
        <f t="shared" si="132"/>
        <v>1782.9087615147271</v>
      </c>
      <c r="Y146" s="4">
        <f t="shared" si="133"/>
        <v>3124.883098138715</v>
      </c>
      <c r="Z146" s="10"/>
      <c r="AA146" s="4"/>
      <c r="AB146" s="5"/>
      <c r="AC146" s="4"/>
      <c r="AD146" s="4"/>
      <c r="AE146" s="4"/>
      <c r="AF146" s="4"/>
      <c r="AK146" s="3"/>
      <c r="AL146" s="3"/>
      <c r="AM146" s="7"/>
      <c r="AN146" s="7"/>
      <c r="AO146" s="7"/>
      <c r="AP146" s="7"/>
      <c r="AQ146" s="7"/>
      <c r="AR146" s="3"/>
      <c r="AS146" s="3"/>
      <c r="AT146" s="7"/>
      <c r="AU146" s="7"/>
      <c r="AV146" s="7"/>
      <c r="AW146" s="9"/>
      <c r="AX146" s="9"/>
      <c r="AY146" s="9"/>
      <c r="AZ146" s="3"/>
      <c r="BA146" s="3"/>
      <c r="BB146" s="3"/>
      <c r="BC146" s="3"/>
      <c r="BD146" s="3"/>
      <c r="BE146" s="3"/>
      <c r="BG146" s="3"/>
      <c r="BH146" s="7"/>
      <c r="BI146" s="3"/>
      <c r="BJ146" s="3"/>
      <c r="BK146" s="3"/>
      <c r="BL146" s="3"/>
    </row>
    <row r="147" spans="1:64" x14ac:dyDescent="0.3">
      <c r="A147">
        <v>100</v>
      </c>
      <c r="B147" s="1" t="s">
        <v>151</v>
      </c>
      <c r="C147" s="1" t="s">
        <v>32</v>
      </c>
      <c r="D147" s="2">
        <v>43403</v>
      </c>
      <c r="E147" s="3">
        <v>17.600000000000001</v>
      </c>
      <c r="F147" s="4">
        <f t="shared" si="122"/>
        <v>3824.9502559055122</v>
      </c>
      <c r="G147" s="7">
        <v>9.7200000000000006</v>
      </c>
      <c r="H147" s="7">
        <v>153.58000000000001</v>
      </c>
      <c r="I147" s="7">
        <f t="shared" si="144"/>
        <v>143.86000000000001</v>
      </c>
      <c r="J147" s="7">
        <v>134.57</v>
      </c>
      <c r="K147" s="5">
        <f t="shared" si="123"/>
        <v>6.457667176421535</v>
      </c>
      <c r="L147" s="4">
        <f t="shared" si="124"/>
        <v>3577.9476987154503</v>
      </c>
      <c r="M147" s="2">
        <v>43440</v>
      </c>
      <c r="N147" s="7">
        <v>7.76</v>
      </c>
      <c r="O147" s="7">
        <v>3.16</v>
      </c>
      <c r="P147" s="7">
        <v>5.34</v>
      </c>
      <c r="Q147" s="6">
        <f t="shared" si="125"/>
        <v>0.3841527851821388</v>
      </c>
      <c r="R147" s="6">
        <f t="shared" si="126"/>
        <v>0.48482730819538888</v>
      </c>
      <c r="S147" s="6">
        <f t="shared" si="127"/>
        <v>0.13101990662247232</v>
      </c>
      <c r="T147" s="4">
        <f t="shared" si="128"/>
        <v>1469.365293989237</v>
      </c>
      <c r="U147" s="4">
        <f t="shared" si="129"/>
        <v>1854.4403365519333</v>
      </c>
      <c r="V147" s="4">
        <f t="shared" si="130"/>
        <v>3323.8056305411701</v>
      </c>
      <c r="W147" s="4">
        <f t="shared" si="131"/>
        <v>1374.4785736975643</v>
      </c>
      <c r="X147" s="4">
        <f t="shared" si="132"/>
        <v>1734.6867516320981</v>
      </c>
      <c r="Y147" s="4">
        <f t="shared" si="133"/>
        <v>3109.1653253296627</v>
      </c>
      <c r="Z147" s="10"/>
      <c r="AA147" s="4"/>
      <c r="AB147" s="5"/>
      <c r="AC147" s="4"/>
      <c r="AD147" s="4"/>
      <c r="AE147" s="4"/>
      <c r="AF147" s="4"/>
      <c r="AH147" t="s">
        <v>279</v>
      </c>
      <c r="AI147" t="str">
        <f>C147</f>
        <v>Machine</v>
      </c>
      <c r="AJ147" s="8">
        <f>D147</f>
        <v>43403</v>
      </c>
      <c r="AK147" s="3">
        <f>SUM(E147:E149)</f>
        <v>57.5</v>
      </c>
      <c r="AL147" s="3">
        <f>(AK147-3*$A$35)*$A$36/(3*$A$37)*$A$38</f>
        <v>4174.6684973753281</v>
      </c>
      <c r="AM147" s="7">
        <f>SUM(G147:G149)</f>
        <v>29.05</v>
      </c>
      <c r="AN147" s="7">
        <f>SUM(H147:H149)</f>
        <v>510.67</v>
      </c>
      <c r="AO147" s="7">
        <f>AN147-AM147</f>
        <v>481.62</v>
      </c>
      <c r="AP147" s="7">
        <f>SUM(J147:J149)</f>
        <v>449.15999999999997</v>
      </c>
      <c r="AQ147" s="7">
        <f>(AO147-AP147)/AO147*100</f>
        <v>6.7397533325028114</v>
      </c>
      <c r="AR147" s="3">
        <f>AL147*(1-AQ147/100)</f>
        <v>3893.3061382025294</v>
      </c>
      <c r="AS147" s="11">
        <f>M147</f>
        <v>43440</v>
      </c>
      <c r="AT147" s="7">
        <f>SUM(N147:N149)</f>
        <v>25.299999999999997</v>
      </c>
      <c r="AU147" s="7">
        <f>SUM(O147:O149)</f>
        <v>10.220000000000001</v>
      </c>
      <c r="AV147" s="7">
        <f>SUM(P147:P149)</f>
        <v>16.920000000000002</v>
      </c>
      <c r="AW147" s="9">
        <f>(AU147-3*$A$39)/(AT147-3*$A$35*$A$36)</f>
        <v>0.38269382068941687</v>
      </c>
      <c r="AX147" s="9">
        <f>(AV147-3*$A$40)/(AT147-3*$A$35*$A$36)</f>
        <v>0.48161044383371532</v>
      </c>
      <c r="AY147" s="9">
        <f>1-AW147-AX147</f>
        <v>0.13569573547686786</v>
      </c>
      <c r="AZ147" s="3">
        <f>AL147*AW147</f>
        <v>1597.6198373723112</v>
      </c>
      <c r="BA147" s="3">
        <f>AL147*AX147</f>
        <v>2010.5639478795613</v>
      </c>
      <c r="BB147" s="3">
        <f>AZ147+BA147</f>
        <v>3608.1837852518725</v>
      </c>
      <c r="BC147" s="3">
        <f>AR147*AW147</f>
        <v>1489.9442011422848</v>
      </c>
      <c r="BD147" s="3">
        <f>AR147*AX147</f>
        <v>1875.0568972002484</v>
      </c>
      <c r="BE147" s="3">
        <f>BC147+BD147</f>
        <v>3365.0010983425332</v>
      </c>
      <c r="BF147" s="11">
        <f>Z148</f>
        <v>43451</v>
      </c>
      <c r="BG147" s="3">
        <f>AVERAGE(AA147:AA149)</f>
        <v>49.1</v>
      </c>
      <c r="BH147" s="7">
        <f t="shared" ref="BH147" si="191">AVERAGE(AB147:AB149)</f>
        <v>1.02</v>
      </c>
      <c r="BI147" s="3">
        <f t="shared" ref="BI147" si="192">AVERAGE(AC147:AC149)</f>
        <v>77.7</v>
      </c>
      <c r="BJ147" s="3">
        <f t="shared" ref="BJ147" si="193">AVERAGE(AD147:AD149)</f>
        <v>27.8</v>
      </c>
      <c r="BK147" s="3">
        <f t="shared" ref="BK147" si="194">AVERAGE(AE147:AE149)</f>
        <v>6.4</v>
      </c>
      <c r="BL147" s="3">
        <f t="shared" ref="BL147" si="195">AVERAGE(AF147:AF149)</f>
        <v>13.9</v>
      </c>
    </row>
    <row r="148" spans="1:64" x14ac:dyDescent="0.3">
      <c r="A148">
        <v>101</v>
      </c>
      <c r="B148" s="1" t="s">
        <v>152</v>
      </c>
      <c r="C148" s="1" t="s">
        <v>32</v>
      </c>
      <c r="D148" s="2">
        <v>43403</v>
      </c>
      <c r="E148" s="3">
        <v>21.1</v>
      </c>
      <c r="F148" s="4">
        <f t="shared" si="122"/>
        <v>4606.2356889763787</v>
      </c>
      <c r="G148" s="7">
        <v>9.65</v>
      </c>
      <c r="H148" s="7">
        <v>151.65</v>
      </c>
      <c r="I148" s="7">
        <f t="shared" si="144"/>
        <v>142</v>
      </c>
      <c r="J148" s="7">
        <v>133.25</v>
      </c>
      <c r="K148" s="5">
        <f t="shared" si="123"/>
        <v>6.1619718309859159</v>
      </c>
      <c r="L148" s="4">
        <f t="shared" si="124"/>
        <v>4322.4007433528341</v>
      </c>
      <c r="M148" s="2">
        <v>43440</v>
      </c>
      <c r="N148" s="7">
        <v>9.26</v>
      </c>
      <c r="O148" s="7">
        <v>3.7</v>
      </c>
      <c r="P148" s="7">
        <v>5.96</v>
      </c>
      <c r="Q148" s="6">
        <f t="shared" si="125"/>
        <v>0.38014915399596022</v>
      </c>
      <c r="R148" s="6">
        <f t="shared" si="126"/>
        <v>0.47297627299497369</v>
      </c>
      <c r="S148" s="6">
        <f t="shared" si="127"/>
        <v>0.14687457300906603</v>
      </c>
      <c r="T148" s="4">
        <f t="shared" si="128"/>
        <v>1751.0566002703692</v>
      </c>
      <c r="U148" s="4">
        <f t="shared" si="129"/>
        <v>2178.6401887084826</v>
      </c>
      <c r="V148" s="4">
        <f t="shared" si="130"/>
        <v>3929.6967889788521</v>
      </c>
      <c r="W148" s="4">
        <f t="shared" si="131"/>
        <v>1643.1569858170894</v>
      </c>
      <c r="X148" s="4">
        <f t="shared" si="132"/>
        <v>2044.3929939817272</v>
      </c>
      <c r="Y148" s="4">
        <f t="shared" si="133"/>
        <v>3687.5499797988168</v>
      </c>
      <c r="Z148" s="10">
        <v>43451</v>
      </c>
      <c r="AA148" s="4">
        <v>49.1</v>
      </c>
      <c r="AB148" s="5">
        <v>1.02</v>
      </c>
      <c r="AC148" s="4">
        <v>77.7</v>
      </c>
      <c r="AD148" s="4">
        <v>27.8</v>
      </c>
      <c r="AE148" s="4">
        <v>6.4</v>
      </c>
      <c r="AF148" s="4">
        <v>13.9</v>
      </c>
      <c r="AK148" s="3"/>
      <c r="AL148" s="3"/>
      <c r="AM148" s="7"/>
      <c r="AN148" s="7"/>
      <c r="AO148" s="7"/>
      <c r="AP148" s="7"/>
      <c r="AQ148" s="7"/>
      <c r="AR148" s="3"/>
      <c r="AS148" s="3"/>
      <c r="AT148" s="7"/>
      <c r="AU148" s="7"/>
      <c r="AV148" s="7"/>
      <c r="AW148" s="9"/>
      <c r="AX148" s="9"/>
      <c r="AY148" s="9"/>
      <c r="AZ148" s="3"/>
      <c r="BA148" s="3"/>
      <c r="BB148" s="3"/>
      <c r="BC148" s="3"/>
      <c r="BD148" s="3"/>
      <c r="BE148" s="3"/>
      <c r="BG148" s="3"/>
      <c r="BH148" s="7"/>
      <c r="BI148" s="3"/>
      <c r="BJ148" s="3"/>
      <c r="BK148" s="3"/>
      <c r="BL148" s="3"/>
    </row>
    <row r="149" spans="1:64" x14ac:dyDescent="0.3">
      <c r="A149">
        <v>102</v>
      </c>
      <c r="B149" s="1" t="s">
        <v>153</v>
      </c>
      <c r="C149" s="1" t="s">
        <v>32</v>
      </c>
      <c r="D149" s="2">
        <v>43403</v>
      </c>
      <c r="E149" s="3">
        <v>18.8</v>
      </c>
      <c r="F149" s="4">
        <f t="shared" si="122"/>
        <v>4092.8195472440943</v>
      </c>
      <c r="G149" s="7">
        <v>9.68</v>
      </c>
      <c r="H149" s="7">
        <v>205.44</v>
      </c>
      <c r="I149" s="7">
        <f t="shared" si="144"/>
        <v>195.76</v>
      </c>
      <c r="J149" s="7">
        <v>181.34</v>
      </c>
      <c r="K149" s="5">
        <f t="shared" si="123"/>
        <v>7.3661626481405742</v>
      </c>
      <c r="L149" s="4">
        <f t="shared" si="124"/>
        <v>3791.335802499204</v>
      </c>
      <c r="M149" s="2">
        <v>43440</v>
      </c>
      <c r="N149" s="7">
        <v>8.2799999999999994</v>
      </c>
      <c r="O149" s="7">
        <v>3.36</v>
      </c>
      <c r="P149" s="7">
        <v>5.62</v>
      </c>
      <c r="Q149" s="6">
        <f t="shared" si="125"/>
        <v>0.38418259672368188</v>
      </c>
      <c r="R149" s="6">
        <f t="shared" si="126"/>
        <v>0.48828368744880868</v>
      </c>
      <c r="S149" s="6">
        <f t="shared" si="127"/>
        <v>0.1275337158275095</v>
      </c>
      <c r="T149" s="4">
        <f t="shared" si="128"/>
        <v>1572.3900415816802</v>
      </c>
      <c r="U149" s="4">
        <f t="shared" si="129"/>
        <v>1998.4570205909099</v>
      </c>
      <c r="V149" s="4">
        <f t="shared" si="130"/>
        <v>3570.8470621725901</v>
      </c>
      <c r="W149" s="4">
        <f t="shared" si="131"/>
        <v>1456.5652336556084</v>
      </c>
      <c r="X149" s="4">
        <f t="shared" si="132"/>
        <v>1851.2474260009994</v>
      </c>
      <c r="Y149" s="4">
        <f t="shared" si="133"/>
        <v>3307.812659656608</v>
      </c>
      <c r="Z149" s="10"/>
      <c r="AA149" s="4"/>
      <c r="AB149" s="5"/>
      <c r="AC149" s="4"/>
      <c r="AD149" s="4"/>
      <c r="AE149" s="4"/>
      <c r="AF149" s="4"/>
      <c r="AK149" s="3"/>
      <c r="AL149" s="3"/>
      <c r="AM149" s="7"/>
      <c r="AN149" s="7"/>
      <c r="AO149" s="7"/>
      <c r="AP149" s="7"/>
      <c r="AQ149" s="7"/>
      <c r="AR149" s="3"/>
      <c r="AS149" s="3"/>
      <c r="AT149" s="7"/>
      <c r="AU149" s="7"/>
      <c r="AV149" s="7"/>
      <c r="AW149" s="9"/>
      <c r="AX149" s="9"/>
      <c r="AY149" s="9"/>
      <c r="AZ149" s="3"/>
      <c r="BA149" s="3"/>
      <c r="BB149" s="3"/>
      <c r="BC149" s="3"/>
      <c r="BD149" s="3"/>
      <c r="BE149" s="3"/>
      <c r="BG149" s="3"/>
      <c r="BH149" s="7"/>
      <c r="BI149" s="3"/>
      <c r="BJ149" s="3"/>
      <c r="BK149" s="3"/>
      <c r="BL149" s="3"/>
    </row>
    <row r="150" spans="1:64" x14ac:dyDescent="0.3">
      <c r="A150">
        <v>103</v>
      </c>
      <c r="B150" s="1" t="s">
        <v>154</v>
      </c>
      <c r="C150" s="1" t="s">
        <v>32</v>
      </c>
      <c r="D150" s="2">
        <v>43403</v>
      </c>
      <c r="E150" s="3">
        <v>12.8</v>
      </c>
      <c r="F150" s="4">
        <f t="shared" si="122"/>
        <v>2753.473090551181</v>
      </c>
      <c r="G150" s="7">
        <v>9.66</v>
      </c>
      <c r="H150" s="7">
        <v>129.82</v>
      </c>
      <c r="I150" s="7">
        <f t="shared" si="144"/>
        <v>120.16</v>
      </c>
      <c r="J150" s="7">
        <v>111.17</v>
      </c>
      <c r="K150" s="5">
        <f t="shared" si="123"/>
        <v>7.481691078561914</v>
      </c>
      <c r="L150" s="4">
        <f t="shared" si="124"/>
        <v>2547.4667399848104</v>
      </c>
      <c r="M150" s="2">
        <v>43440</v>
      </c>
      <c r="N150" s="7">
        <v>5.59</v>
      </c>
      <c r="O150" s="7">
        <v>2.36</v>
      </c>
      <c r="P150" s="7">
        <v>4.28</v>
      </c>
      <c r="Q150" s="6">
        <f t="shared" si="125"/>
        <v>0.39040135289164291</v>
      </c>
      <c r="R150" s="6">
        <f t="shared" si="126"/>
        <v>0.48335405596108183</v>
      </c>
      <c r="S150" s="6">
        <f t="shared" si="127"/>
        <v>0.12624459114727526</v>
      </c>
      <c r="T150" s="4">
        <f t="shared" si="128"/>
        <v>1074.9596197019143</v>
      </c>
      <c r="U150" s="4">
        <f t="shared" si="129"/>
        <v>1330.9023862976085</v>
      </c>
      <c r="V150" s="4">
        <f t="shared" si="130"/>
        <v>2405.8620059995228</v>
      </c>
      <c r="W150" s="4">
        <f t="shared" si="131"/>
        <v>994.5344617365331</v>
      </c>
      <c r="X150" s="4">
        <f t="shared" si="132"/>
        <v>1231.3283811976128</v>
      </c>
      <c r="Y150" s="4">
        <f t="shared" si="133"/>
        <v>2225.8628429341461</v>
      </c>
      <c r="Z150" s="10"/>
      <c r="AA150" s="4"/>
      <c r="AB150" s="5"/>
      <c r="AC150" s="4"/>
      <c r="AD150" s="4"/>
      <c r="AE150" s="4"/>
      <c r="AF150" s="4"/>
      <c r="AH150" t="s">
        <v>280</v>
      </c>
      <c r="AI150" t="str">
        <f>C150</f>
        <v>Machine</v>
      </c>
      <c r="AJ150" s="8">
        <f>D150</f>
        <v>43403</v>
      </c>
      <c r="AK150" s="3">
        <f>SUM(E150:E152)</f>
        <v>35.800000000000004</v>
      </c>
      <c r="AL150" s="3">
        <f>(AK150-3*$A$35)*$A$36/(3*$A$37)*$A$38</f>
        <v>2560.0119356955379</v>
      </c>
      <c r="AM150" s="7">
        <f>SUM(G150:G152)</f>
        <v>29.019999999999996</v>
      </c>
      <c r="AN150" s="7">
        <f>SUM(H150:H152)</f>
        <v>397.35</v>
      </c>
      <c r="AO150" s="7">
        <f>AN150-AM150</f>
        <v>368.33000000000004</v>
      </c>
      <c r="AP150" s="7">
        <f>SUM(J150:J152)</f>
        <v>342.38</v>
      </c>
      <c r="AQ150" s="7">
        <f>(AO150-AP150)/AO150*100</f>
        <v>7.0453126272636073</v>
      </c>
      <c r="AR150" s="3">
        <f>AL150*(1-AQ150/100)</f>
        <v>2379.6510915305244</v>
      </c>
      <c r="AS150" s="11">
        <f>M150</f>
        <v>43440</v>
      </c>
      <c r="AT150" s="7">
        <f>SUM(N150:N152)</f>
        <v>15.54</v>
      </c>
      <c r="AU150" s="7">
        <f>SUM(O150:O152)</f>
        <v>6.5399999999999991</v>
      </c>
      <c r="AV150" s="7">
        <f>SUM(P150:P152)</f>
        <v>12.2</v>
      </c>
      <c r="AW150" s="9">
        <f>(AU150-3*$A$39)/(AT150-3*$A$35*$A$36)</f>
        <v>0.38638945402147817</v>
      </c>
      <c r="AX150" s="9">
        <f>(AV150-3*$A$40)/(AT150-3*$A$35*$A$36)</f>
        <v>0.48030355742947639</v>
      </c>
      <c r="AY150" s="9">
        <f>1-AW150-AX150</f>
        <v>0.13330698854904544</v>
      </c>
      <c r="AZ150" s="3">
        <f>AL150*AW150</f>
        <v>989.16161412186636</v>
      </c>
      <c r="BA150" s="3">
        <f>AL150*AX150</f>
        <v>1229.5828397764867</v>
      </c>
      <c r="BB150" s="3">
        <f>AZ150+BA150</f>
        <v>2218.7444538983532</v>
      </c>
      <c r="BC150" s="3">
        <f>AR150*AW150</f>
        <v>919.47208601809393</v>
      </c>
      <c r="BD150" s="3">
        <f>AR150*AX150</f>
        <v>1142.9548847030474</v>
      </c>
      <c r="BE150" s="3">
        <f>BC150+BD150</f>
        <v>2062.4269707211415</v>
      </c>
      <c r="BF150" s="11">
        <f>Z151</f>
        <v>43451</v>
      </c>
      <c r="BG150" s="3">
        <f>AVERAGE(AA150:AA152)</f>
        <v>49.6</v>
      </c>
      <c r="BH150" s="7">
        <f t="shared" ref="BH150" si="196">AVERAGE(AB150:AB152)</f>
        <v>0.97</v>
      </c>
      <c r="BI150" s="3">
        <f t="shared" ref="BI150" si="197">AVERAGE(AC150:AC152)</f>
        <v>77.099999999999994</v>
      </c>
      <c r="BJ150" s="3">
        <f t="shared" ref="BJ150" si="198">AVERAGE(AD150:AD152)</f>
        <v>25.7</v>
      </c>
      <c r="BK150" s="3">
        <f t="shared" ref="BK150" si="199">AVERAGE(AE150:AE152)</f>
        <v>6.4</v>
      </c>
      <c r="BL150" s="3">
        <f t="shared" ref="BL150" si="200">AVERAGE(AF150:AF152)</f>
        <v>14.1</v>
      </c>
    </row>
    <row r="151" spans="1:64" x14ac:dyDescent="0.3">
      <c r="A151">
        <v>104</v>
      </c>
      <c r="B151" s="1" t="s">
        <v>155</v>
      </c>
      <c r="C151" s="1" t="s">
        <v>32</v>
      </c>
      <c r="D151" s="2">
        <v>43403</v>
      </c>
      <c r="E151" s="3">
        <v>12.4</v>
      </c>
      <c r="F151" s="4">
        <f t="shared" si="122"/>
        <v>2664.1833267716538</v>
      </c>
      <c r="G151" s="7">
        <v>9.67</v>
      </c>
      <c r="H151" s="7">
        <v>130.27000000000001</v>
      </c>
      <c r="I151" s="7">
        <f t="shared" si="144"/>
        <v>120.60000000000001</v>
      </c>
      <c r="J151" s="7">
        <v>112.99</v>
      </c>
      <c r="K151" s="5">
        <f t="shared" si="123"/>
        <v>6.3101160862354995</v>
      </c>
      <c r="L151" s="4">
        <f t="shared" si="124"/>
        <v>2496.0702661022319</v>
      </c>
      <c r="M151" s="2">
        <v>43440</v>
      </c>
      <c r="N151" s="7">
        <v>5.35</v>
      </c>
      <c r="O151" s="7">
        <v>2.2400000000000002</v>
      </c>
      <c r="P151" s="7">
        <v>4.1399999999999997</v>
      </c>
      <c r="Q151" s="6">
        <f t="shared" si="125"/>
        <v>0.38528298992800997</v>
      </c>
      <c r="R151" s="6">
        <f t="shared" si="126"/>
        <v>0.47868492688025477</v>
      </c>
      <c r="S151" s="6">
        <f t="shared" si="127"/>
        <v>0.13603208319173532</v>
      </c>
      <c r="T151" s="4">
        <f t="shared" si="128"/>
        <v>1026.4645178549351</v>
      </c>
      <c r="U151" s="4">
        <f t="shared" si="129"/>
        <v>1275.304400971283</v>
      </c>
      <c r="V151" s="4">
        <f t="shared" si="130"/>
        <v>2301.7689188262184</v>
      </c>
      <c r="W151" s="4">
        <f t="shared" si="131"/>
        <v>961.69341519427132</v>
      </c>
      <c r="X151" s="4">
        <f t="shared" si="132"/>
        <v>1194.8312128171249</v>
      </c>
      <c r="Y151" s="4">
        <f t="shared" si="133"/>
        <v>2156.5246280113961</v>
      </c>
      <c r="Z151" s="10">
        <v>43451</v>
      </c>
      <c r="AA151" s="4">
        <v>49.6</v>
      </c>
      <c r="AB151" s="5">
        <v>0.97</v>
      </c>
      <c r="AC151" s="4">
        <v>77.099999999999994</v>
      </c>
      <c r="AD151" s="4">
        <v>25.7</v>
      </c>
      <c r="AE151" s="4">
        <v>6.4</v>
      </c>
      <c r="AF151" s="4">
        <v>14.1</v>
      </c>
      <c r="AK151" s="3"/>
      <c r="AL151" s="3"/>
      <c r="AM151" s="7"/>
      <c r="AN151" s="7"/>
      <c r="AO151" s="7"/>
      <c r="AP151" s="7"/>
      <c r="AQ151" s="7"/>
      <c r="AR151" s="3"/>
      <c r="AS151" s="3"/>
      <c r="AT151" s="7"/>
      <c r="AU151" s="7"/>
      <c r="AV151" s="7"/>
      <c r="AW151" s="9"/>
      <c r="AX151" s="9"/>
      <c r="AY151" s="9"/>
      <c r="AZ151" s="3"/>
      <c r="BA151" s="3"/>
      <c r="BB151" s="3"/>
      <c r="BC151" s="3"/>
      <c r="BD151" s="3"/>
      <c r="BE151" s="3"/>
      <c r="BG151" s="3"/>
      <c r="BH151" s="7"/>
      <c r="BI151" s="3"/>
      <c r="BJ151" s="3"/>
      <c r="BK151" s="3"/>
      <c r="BL151" s="3"/>
    </row>
    <row r="152" spans="1:64" x14ac:dyDescent="0.3">
      <c r="A152">
        <v>105</v>
      </c>
      <c r="B152" s="1" t="s">
        <v>156</v>
      </c>
      <c r="C152" s="1" t="s">
        <v>32</v>
      </c>
      <c r="D152" s="2">
        <v>43403</v>
      </c>
      <c r="E152" s="3">
        <v>10.6</v>
      </c>
      <c r="F152" s="4">
        <f t="shared" si="122"/>
        <v>2262.3793897637793</v>
      </c>
      <c r="G152" s="7">
        <v>9.69</v>
      </c>
      <c r="H152" s="7">
        <v>137.26</v>
      </c>
      <c r="I152" s="7">
        <f t="shared" si="144"/>
        <v>127.57</v>
      </c>
      <c r="J152" s="7">
        <v>118.22</v>
      </c>
      <c r="K152" s="5">
        <f t="shared" si="123"/>
        <v>7.3293093987614606</v>
      </c>
      <c r="L152" s="4">
        <f t="shared" si="124"/>
        <v>2096.5626045141803</v>
      </c>
      <c r="M152" s="2">
        <v>43440</v>
      </c>
      <c r="N152" s="7">
        <v>4.5999999999999996</v>
      </c>
      <c r="O152" s="7">
        <v>1.94</v>
      </c>
      <c r="P152" s="7">
        <v>3.78</v>
      </c>
      <c r="Q152" s="6">
        <f t="shared" si="125"/>
        <v>0.38276816717286694</v>
      </c>
      <c r="R152" s="6">
        <f t="shared" si="126"/>
        <v>0.4784602089660836</v>
      </c>
      <c r="S152" s="6">
        <f t="shared" si="127"/>
        <v>0.13877162386104952</v>
      </c>
      <c r="T152" s="4">
        <f t="shared" si="128"/>
        <v>865.96681246955097</v>
      </c>
      <c r="U152" s="4">
        <f t="shared" si="129"/>
        <v>1082.4585155869386</v>
      </c>
      <c r="V152" s="4">
        <f t="shared" si="130"/>
        <v>1948.4253280564894</v>
      </c>
      <c r="W152" s="4">
        <f t="shared" si="131"/>
        <v>802.49742549306507</v>
      </c>
      <c r="X152" s="4">
        <f t="shared" si="132"/>
        <v>1003.1217818663312</v>
      </c>
      <c r="Y152" s="4">
        <f t="shared" si="133"/>
        <v>1805.6192073593961</v>
      </c>
      <c r="Z152" s="10"/>
      <c r="AA152" s="4"/>
      <c r="AB152" s="5"/>
      <c r="AC152" s="4"/>
      <c r="AD152" s="4"/>
      <c r="AE152" s="4"/>
      <c r="AF152" s="4"/>
      <c r="AK152" s="3"/>
      <c r="AL152" s="3"/>
      <c r="AM152" s="7"/>
      <c r="AN152" s="7"/>
      <c r="AO152" s="7"/>
      <c r="AP152" s="7"/>
      <c r="AQ152" s="7"/>
      <c r="AR152" s="3"/>
      <c r="AS152" s="3"/>
      <c r="AT152" s="7"/>
      <c r="AU152" s="7"/>
      <c r="AV152" s="7"/>
      <c r="AW152" s="9"/>
      <c r="AX152" s="9"/>
      <c r="AY152" s="9"/>
      <c r="AZ152" s="3"/>
      <c r="BA152" s="3"/>
      <c r="BB152" s="3"/>
      <c r="BC152" s="3"/>
      <c r="BD152" s="3"/>
      <c r="BE152" s="3"/>
      <c r="BG152" s="3"/>
      <c r="BH152" s="7"/>
      <c r="BI152" s="3"/>
      <c r="BJ152" s="3"/>
      <c r="BK152" s="3"/>
      <c r="BL152" s="3"/>
    </row>
    <row r="153" spans="1:64" x14ac:dyDescent="0.3">
      <c r="A153">
        <v>106</v>
      </c>
      <c r="B153" s="1" t="s">
        <v>157</v>
      </c>
      <c r="C153" s="1" t="s">
        <v>32</v>
      </c>
      <c r="D153" s="2">
        <v>43403</v>
      </c>
      <c r="E153" s="3">
        <v>13.5</v>
      </c>
      <c r="F153" s="4">
        <f t="shared" si="122"/>
        <v>2909.7301771653542</v>
      </c>
      <c r="G153" s="7">
        <v>9.69</v>
      </c>
      <c r="H153" s="7">
        <v>184.19</v>
      </c>
      <c r="I153" s="7">
        <f t="shared" si="144"/>
        <v>174.5</v>
      </c>
      <c r="J153" s="7">
        <v>162.97999999999999</v>
      </c>
      <c r="K153" s="5">
        <f t="shared" si="123"/>
        <v>6.6017191977077418</v>
      </c>
      <c r="L153" s="4">
        <f t="shared" si="124"/>
        <v>2717.6379614579337</v>
      </c>
      <c r="M153" s="2">
        <v>43440</v>
      </c>
      <c r="N153" s="7">
        <v>5.86</v>
      </c>
      <c r="O153" s="7">
        <v>2.46</v>
      </c>
      <c r="P153" s="7">
        <v>4.4000000000000004</v>
      </c>
      <c r="Q153" s="6">
        <f t="shared" si="125"/>
        <v>0.38944396415775845</v>
      </c>
      <c r="R153" s="6">
        <f t="shared" si="126"/>
        <v>0.48149435568595594</v>
      </c>
      <c r="S153" s="6">
        <f t="shared" si="127"/>
        <v>0.12906168015628555</v>
      </c>
      <c r="T153" s="4">
        <f t="shared" si="128"/>
        <v>1133.1768548247323</v>
      </c>
      <c r="U153" s="4">
        <f t="shared" si="129"/>
        <v>1401.0186568742147</v>
      </c>
      <c r="V153" s="4">
        <f t="shared" si="130"/>
        <v>2534.195511698947</v>
      </c>
      <c r="W153" s="4">
        <f t="shared" si="131"/>
        <v>1058.3677008557872</v>
      </c>
      <c r="X153" s="4">
        <f t="shared" si="132"/>
        <v>1308.5273392398826</v>
      </c>
      <c r="Y153" s="4">
        <f t="shared" si="133"/>
        <v>2366.8950400956701</v>
      </c>
      <c r="Z153" s="10"/>
      <c r="AA153" s="4"/>
      <c r="AB153" s="5"/>
      <c r="AC153" s="4"/>
      <c r="AD153" s="4"/>
      <c r="AE153" s="4"/>
      <c r="AF153" s="4"/>
      <c r="AH153" t="s">
        <v>281</v>
      </c>
      <c r="AI153" t="str">
        <f>C153</f>
        <v>Machine</v>
      </c>
      <c r="AJ153" s="8">
        <f>D153</f>
        <v>43403</v>
      </c>
      <c r="AK153" s="3">
        <f>SUM(E153:E155)</f>
        <v>35.799999999999997</v>
      </c>
      <c r="AL153" s="3">
        <f>(AK153-3*$A$35)*$A$36/(3*$A$37)*$A$38</f>
        <v>2560.0119356955374</v>
      </c>
      <c r="AM153" s="7">
        <f>SUM(G153:G155)</f>
        <v>28.990000000000002</v>
      </c>
      <c r="AN153" s="7">
        <f>SUM(H153:H155)</f>
        <v>458.73</v>
      </c>
      <c r="AO153" s="7">
        <f>AN153-AM153</f>
        <v>429.74</v>
      </c>
      <c r="AP153" s="7">
        <f>SUM(J153:J155)</f>
        <v>401.04999999999995</v>
      </c>
      <c r="AQ153" s="7">
        <f>(AO153-AP153)/AO153*100</f>
        <v>6.6761297528738437</v>
      </c>
      <c r="AR153" s="3">
        <f>AL153*(1-AQ153/100)</f>
        <v>2389.1022171794461</v>
      </c>
      <c r="AS153" s="11">
        <f>M153</f>
        <v>43440</v>
      </c>
      <c r="AT153" s="7">
        <f>SUM(N153:N155)</f>
        <v>15.470000000000002</v>
      </c>
      <c r="AU153" s="7">
        <f>SUM(O153:O155)</f>
        <v>6.46</v>
      </c>
      <c r="AV153" s="7">
        <f>SUM(P153:P155)</f>
        <v>12.280000000000001</v>
      </c>
      <c r="AW153" s="9">
        <f>(AU153-3*$A$39)/(AT153-3*$A$35*$A$36)</f>
        <v>0.38282054624507372</v>
      </c>
      <c r="AX153" s="9">
        <f>(AV153-3*$A$40)/(AT153-3*$A$35*$A$36)</f>
        <v>0.48796140049548137</v>
      </c>
      <c r="AY153" s="9">
        <f>1-AW153-AX153</f>
        <v>0.12921805325944485</v>
      </c>
      <c r="AZ153" s="3">
        <f>AL153*AW153</f>
        <v>980.02516761687423</v>
      </c>
      <c r="BA153" s="3">
        <f>AL153*AX153</f>
        <v>1249.1870094271426</v>
      </c>
      <c r="BB153" s="3">
        <f>AZ153+BA153</f>
        <v>2229.2121770440167</v>
      </c>
      <c r="BC153" s="3">
        <f>AR153*AW153</f>
        <v>914.59741581595233</v>
      </c>
      <c r="BD153" s="3">
        <f>AR153*AX153</f>
        <v>1165.7896638217421</v>
      </c>
      <c r="BE153" s="3">
        <f>BC153+BD153</f>
        <v>2080.3870796376946</v>
      </c>
      <c r="BF153" s="11">
        <f>Z154</f>
        <v>43451</v>
      </c>
      <c r="BG153" s="3">
        <f>AVERAGE(AA153:AA155)</f>
        <v>51.900000000000006</v>
      </c>
      <c r="BH153" s="7">
        <f t="shared" ref="BH153" si="201">AVERAGE(AB153:AB155)</f>
        <v>0.99</v>
      </c>
      <c r="BI153" s="3">
        <f t="shared" ref="BI153" si="202">AVERAGE(AC153:AC155)</f>
        <v>77.5</v>
      </c>
      <c r="BJ153" s="3">
        <f t="shared" ref="BJ153" si="203">AVERAGE(AD153:AD155)</f>
        <v>24.5</v>
      </c>
      <c r="BK153" s="3">
        <f t="shared" ref="BK153" si="204">AVERAGE(AE153:AE155)</f>
        <v>6.1</v>
      </c>
      <c r="BL153" s="3">
        <f t="shared" ref="BL153" si="205">AVERAGE(AF153:AF155)</f>
        <v>13.1</v>
      </c>
    </row>
    <row r="154" spans="1:64" x14ac:dyDescent="0.3">
      <c r="A154">
        <v>107</v>
      </c>
      <c r="B154" s="1" t="s">
        <v>158</v>
      </c>
      <c r="C154" s="1" t="s">
        <v>32</v>
      </c>
      <c r="D154" s="2">
        <v>43403</v>
      </c>
      <c r="E154" s="3">
        <v>12.7</v>
      </c>
      <c r="F154" s="4">
        <f t="shared" si="122"/>
        <v>2731.1506496062989</v>
      </c>
      <c r="G154" s="7">
        <v>9.67</v>
      </c>
      <c r="H154" s="7">
        <v>127.99</v>
      </c>
      <c r="I154" s="7">
        <f t="shared" si="144"/>
        <v>118.32</v>
      </c>
      <c r="J154" s="7">
        <v>109.61</v>
      </c>
      <c r="K154" s="5">
        <f t="shared" si="123"/>
        <v>7.3613928329952616</v>
      </c>
      <c r="L154" s="4">
        <f t="shared" si="124"/>
        <v>2530.0999214278772</v>
      </c>
      <c r="M154" s="2">
        <v>43440</v>
      </c>
      <c r="N154" s="7">
        <v>5.49</v>
      </c>
      <c r="O154" s="7">
        <v>2.2599999999999998</v>
      </c>
      <c r="P154" s="7">
        <v>4.2</v>
      </c>
      <c r="Q154" s="6">
        <f t="shared" si="125"/>
        <v>0.37885391130255552</v>
      </c>
      <c r="R154" s="6">
        <f t="shared" si="126"/>
        <v>0.47735592824122008</v>
      </c>
      <c r="S154" s="6">
        <f t="shared" si="127"/>
        <v>0.14379016045622439</v>
      </c>
      <c r="T154" s="4">
        <f t="shared" si="128"/>
        <v>1034.7071059598616</v>
      </c>
      <c r="U154" s="4">
        <f t="shared" si="129"/>
        <v>1303.7309535094259</v>
      </c>
      <c r="V154" s="4">
        <f t="shared" si="130"/>
        <v>2338.4380594692875</v>
      </c>
      <c r="W154" s="4">
        <f t="shared" si="131"/>
        <v>958.53825121923967</v>
      </c>
      <c r="X154" s="4">
        <f t="shared" si="132"/>
        <v>1207.7581965362424</v>
      </c>
      <c r="Y154" s="4">
        <f t="shared" si="133"/>
        <v>2166.2964477554819</v>
      </c>
      <c r="Z154" s="10">
        <v>43451</v>
      </c>
      <c r="AA154" s="4">
        <v>51.900000000000006</v>
      </c>
      <c r="AB154" s="5">
        <v>0.99</v>
      </c>
      <c r="AC154" s="4">
        <v>77.5</v>
      </c>
      <c r="AD154" s="4">
        <v>24.5</v>
      </c>
      <c r="AE154" s="4">
        <v>6.1</v>
      </c>
      <c r="AF154" s="4">
        <v>13.1</v>
      </c>
      <c r="AK154" s="3"/>
      <c r="AL154" s="3"/>
      <c r="AM154" s="7"/>
      <c r="AN154" s="7"/>
      <c r="AO154" s="7"/>
      <c r="AP154" s="7"/>
      <c r="AQ154" s="7"/>
      <c r="AR154" s="3"/>
      <c r="AS154" s="3"/>
      <c r="AT154" s="7"/>
      <c r="AU154" s="7"/>
      <c r="AV154" s="7"/>
      <c r="AW154" s="9"/>
      <c r="AX154" s="9"/>
      <c r="AY154" s="9"/>
      <c r="AZ154" s="3"/>
      <c r="BA154" s="3"/>
      <c r="BB154" s="3"/>
      <c r="BC154" s="3"/>
      <c r="BD154" s="3"/>
      <c r="BE154" s="3"/>
      <c r="BG154" s="3"/>
      <c r="BH154" s="7"/>
      <c r="BI154" s="3"/>
      <c r="BJ154" s="3"/>
      <c r="BK154" s="3"/>
      <c r="BL154" s="3"/>
    </row>
    <row r="155" spans="1:64" x14ac:dyDescent="0.3">
      <c r="A155">
        <v>108</v>
      </c>
      <c r="B155" s="1" t="s">
        <v>159</v>
      </c>
      <c r="C155" s="1" t="s">
        <v>32</v>
      </c>
      <c r="D155" s="2">
        <v>43403</v>
      </c>
      <c r="E155" s="3">
        <v>9.6</v>
      </c>
      <c r="F155" s="4">
        <f t="shared" si="122"/>
        <v>2039.1549803149605</v>
      </c>
      <c r="G155" s="7">
        <v>9.6300000000000008</v>
      </c>
      <c r="H155" s="7">
        <v>146.55000000000001</v>
      </c>
      <c r="I155" s="7">
        <f t="shared" si="144"/>
        <v>136.92000000000002</v>
      </c>
      <c r="J155" s="7">
        <v>128.46</v>
      </c>
      <c r="K155" s="5">
        <f t="shared" si="123"/>
        <v>6.1787905346187602</v>
      </c>
      <c r="L155" s="4">
        <f t="shared" si="124"/>
        <v>1913.1598654050526</v>
      </c>
      <c r="M155" s="2">
        <v>43440</v>
      </c>
      <c r="N155" s="7">
        <v>4.12</v>
      </c>
      <c r="O155" s="7">
        <v>1.74</v>
      </c>
      <c r="P155" s="7">
        <v>3.68</v>
      </c>
      <c r="Q155" s="6">
        <f t="shared" si="125"/>
        <v>0.37860573485567078</v>
      </c>
      <c r="R155" s="6">
        <f t="shared" si="126"/>
        <v>0.51162937142658216</v>
      </c>
      <c r="S155" s="6">
        <f t="shared" si="127"/>
        <v>0.109764893717747</v>
      </c>
      <c r="T155" s="4">
        <f t="shared" si="128"/>
        <v>772.03576980674654</v>
      </c>
      <c r="U155" s="4">
        <f t="shared" si="129"/>
        <v>1043.2915808199277</v>
      </c>
      <c r="V155" s="4">
        <f t="shared" si="130"/>
        <v>1815.3273506266742</v>
      </c>
      <c r="W155" s="4">
        <f t="shared" si="131"/>
        <v>724.33329673805622</v>
      </c>
      <c r="X155" s="4">
        <f t="shared" si="132"/>
        <v>978.82877937575165</v>
      </c>
      <c r="Y155" s="4">
        <f t="shared" si="133"/>
        <v>1703.1620761138079</v>
      </c>
      <c r="Z155" s="10"/>
      <c r="AA155" s="4"/>
      <c r="AB155" s="5"/>
      <c r="AC155" s="4"/>
      <c r="AD155" s="4"/>
      <c r="AE155" s="4"/>
      <c r="AF155" s="4"/>
      <c r="AK155" s="3"/>
      <c r="AL155" s="3"/>
      <c r="AM155" s="7"/>
      <c r="AN155" s="7"/>
      <c r="AO155" s="7"/>
      <c r="AP155" s="7"/>
      <c r="AQ155" s="7"/>
      <c r="AR155" s="3"/>
      <c r="AS155" s="3"/>
      <c r="AT155" s="7"/>
      <c r="AU155" s="7"/>
      <c r="AV155" s="7"/>
      <c r="AW155" s="9"/>
      <c r="AX155" s="9"/>
      <c r="AY155" s="9"/>
      <c r="AZ155" s="3"/>
      <c r="BA155" s="3"/>
      <c r="BB155" s="3"/>
      <c r="BC155" s="3"/>
      <c r="BD155" s="3"/>
      <c r="BE155" s="3"/>
      <c r="BG155" s="3"/>
      <c r="BH155" s="7"/>
      <c r="BI155" s="3"/>
      <c r="BJ155" s="3"/>
      <c r="BK155" s="3"/>
      <c r="BL155" s="3"/>
    </row>
    <row r="156" spans="1:64" x14ac:dyDescent="0.3">
      <c r="A156">
        <v>109</v>
      </c>
      <c r="B156" s="1" t="s">
        <v>160</v>
      </c>
      <c r="C156" s="1" t="s">
        <v>32</v>
      </c>
      <c r="D156" s="2">
        <v>43403</v>
      </c>
      <c r="E156" s="3">
        <v>22</v>
      </c>
      <c r="F156" s="4">
        <f t="shared" si="122"/>
        <v>4807.1376574803144</v>
      </c>
      <c r="G156" s="7">
        <v>9.7100000000000009</v>
      </c>
      <c r="H156" s="7">
        <v>158.27000000000001</v>
      </c>
      <c r="I156" s="7">
        <f t="shared" ref="I156:I167" si="206">H156-G156</f>
        <v>148.56</v>
      </c>
      <c r="J156" s="7">
        <v>139.19</v>
      </c>
      <c r="K156" s="5">
        <f t="shared" si="123"/>
        <v>6.307215939687671</v>
      </c>
      <c r="L156" s="4">
        <f t="shared" si="124"/>
        <v>4503.9411049049877</v>
      </c>
      <c r="M156" s="2">
        <v>43440</v>
      </c>
      <c r="N156" s="7">
        <v>9.77</v>
      </c>
      <c r="O156" s="7">
        <v>3.86</v>
      </c>
      <c r="P156" s="7">
        <v>6.28</v>
      </c>
      <c r="Q156" s="6">
        <f t="shared" si="125"/>
        <v>0.37660529103736773</v>
      </c>
      <c r="R156" s="6">
        <f t="shared" si="126"/>
        <v>0.48121787188108112</v>
      </c>
      <c r="S156" s="6">
        <f t="shared" si="127"/>
        <v>0.14217683708155116</v>
      </c>
      <c r="T156" s="4">
        <f t="shared" si="128"/>
        <v>1810.3934765520639</v>
      </c>
      <c r="U156" s="4">
        <f t="shared" si="129"/>
        <v>2313.2805533720825</v>
      </c>
      <c r="V156" s="4">
        <f t="shared" si="130"/>
        <v>4123.6740299241465</v>
      </c>
      <c r="W156" s="4">
        <f t="shared" si="131"/>
        <v>1696.2080506279065</v>
      </c>
      <c r="X156" s="4">
        <f t="shared" si="132"/>
        <v>2167.3769535801034</v>
      </c>
      <c r="Y156" s="4">
        <f t="shared" si="133"/>
        <v>3863.5850042080101</v>
      </c>
      <c r="Z156" s="10"/>
      <c r="AA156" s="4"/>
      <c r="AB156" s="5"/>
      <c r="AC156" s="4"/>
      <c r="AD156" s="4"/>
      <c r="AE156" s="4"/>
      <c r="AF156" s="4"/>
      <c r="AH156" t="s">
        <v>282</v>
      </c>
      <c r="AI156" t="str">
        <f>C156</f>
        <v>Machine</v>
      </c>
      <c r="AJ156" s="8">
        <f>D156</f>
        <v>43403</v>
      </c>
      <c r="AK156" s="3">
        <f>SUM(E156:E158)</f>
        <v>60.2</v>
      </c>
      <c r="AL156" s="3">
        <f>(AK156-3*$A$35)*$A$36/(3*$A$37)*$A$38</f>
        <v>4375.5704658792647</v>
      </c>
      <c r="AM156" s="7">
        <f>SUM(G156:G158)</f>
        <v>29.160000000000004</v>
      </c>
      <c r="AN156" s="7">
        <f>SUM(H156:H158)</f>
        <v>563.09</v>
      </c>
      <c r="AO156" s="7">
        <f>AN156-AM156</f>
        <v>533.93000000000006</v>
      </c>
      <c r="AP156" s="7">
        <f>SUM(J156:J158)</f>
        <v>500.76</v>
      </c>
      <c r="AQ156" s="7">
        <f>(AO156-AP156)/AO156*100</f>
        <v>6.2124248496994117</v>
      </c>
      <c r="AR156" s="3">
        <f>AL156*(1-AQ156/100)</f>
        <v>4103.7414389408732</v>
      </c>
      <c r="AS156" s="11">
        <f>M156</f>
        <v>43440</v>
      </c>
      <c r="AT156" s="7">
        <f>SUM(N156:N158)</f>
        <v>26.28</v>
      </c>
      <c r="AU156" s="7">
        <f>SUM(O156:O158)</f>
        <v>10.5</v>
      </c>
      <c r="AV156" s="7">
        <f>SUM(P156:P158)</f>
        <v>17.380000000000003</v>
      </c>
      <c r="AW156" s="9">
        <f>(AU156-3*$A$39)/(AT156-3*$A$35*$A$36)</f>
        <v>0.37898816084498976</v>
      </c>
      <c r="AX156" s="9">
        <f>(AV156-3*$A$40)/(AT156-3*$A$35*$A$36)</f>
        <v>0.48114340584641713</v>
      </c>
      <c r="AY156" s="9">
        <f>1-AW156-AX156</f>
        <v>0.13986843330859311</v>
      </c>
      <c r="AZ156" s="3">
        <f>AL156*AW156</f>
        <v>1658.2894035112377</v>
      </c>
      <c r="BA156" s="3">
        <f>AL156*AX156</f>
        <v>2105.2768764741436</v>
      </c>
      <c r="BB156" s="3">
        <f>AZ156+BA156</f>
        <v>3763.5662799853812</v>
      </c>
      <c r="BC156" s="3">
        <f>AR156*AW156</f>
        <v>1555.2694205275734</v>
      </c>
      <c r="BD156" s="3">
        <f>AR156*AX156</f>
        <v>1974.4881326450884</v>
      </c>
      <c r="BE156" s="3">
        <f>BC156+BD156</f>
        <v>3529.7575531726616</v>
      </c>
      <c r="BF156" s="11">
        <f>Z157</f>
        <v>43451</v>
      </c>
      <c r="BG156" s="3">
        <f>AVERAGE(AA156:AA158)</f>
        <v>47.800000000000004</v>
      </c>
      <c r="BH156" s="7">
        <f t="shared" ref="BH156" si="207">AVERAGE(AB156:AB158)</f>
        <v>1.03</v>
      </c>
      <c r="BI156" s="3">
        <f t="shared" ref="BI156" si="208">AVERAGE(AC156:AC158)</f>
        <v>77.5</v>
      </c>
      <c r="BJ156" s="3">
        <f t="shared" ref="BJ156" si="209">AVERAGE(AD156:AD158)</f>
        <v>26.3</v>
      </c>
      <c r="BK156" s="3">
        <f t="shared" ref="BK156" si="210">AVERAGE(AE156:AE158)</f>
        <v>6.4</v>
      </c>
      <c r="BL156" s="3">
        <f t="shared" ref="BL156" si="211">AVERAGE(AF156:AF158)</f>
        <v>13.5</v>
      </c>
    </row>
    <row r="157" spans="1:64" x14ac:dyDescent="0.3">
      <c r="A157">
        <v>110</v>
      </c>
      <c r="B157" s="1" t="s">
        <v>161</v>
      </c>
      <c r="C157" s="1" t="s">
        <v>32</v>
      </c>
      <c r="D157" s="2">
        <v>43403</v>
      </c>
      <c r="E157" s="3">
        <v>17.7</v>
      </c>
      <c r="F157" s="4">
        <f t="shared" si="122"/>
        <v>3847.2726968503935</v>
      </c>
      <c r="G157" s="7">
        <v>9.7100000000000009</v>
      </c>
      <c r="H157" s="7">
        <v>198.05</v>
      </c>
      <c r="I157" s="7">
        <f t="shared" si="206"/>
        <v>188.34</v>
      </c>
      <c r="J157" s="7">
        <v>176.11</v>
      </c>
      <c r="K157" s="5">
        <f t="shared" si="123"/>
        <v>6.4935754486566788</v>
      </c>
      <c r="L157" s="4">
        <f t="shared" si="124"/>
        <v>3597.447141564845</v>
      </c>
      <c r="M157" s="2">
        <v>43440</v>
      </c>
      <c r="N157" s="7">
        <v>7.53</v>
      </c>
      <c r="O157" s="7">
        <v>3</v>
      </c>
      <c r="P157" s="7">
        <v>5.2</v>
      </c>
      <c r="Q157" s="6">
        <f t="shared" si="125"/>
        <v>0.37436400542444154</v>
      </c>
      <c r="R157" s="6">
        <f t="shared" si="126"/>
        <v>0.48093478069125339</v>
      </c>
      <c r="S157" s="6">
        <f t="shared" si="127"/>
        <v>0.14470121388430512</v>
      </c>
      <c r="T157" s="4">
        <f t="shared" si="128"/>
        <v>1440.2804167530064</v>
      </c>
      <c r="U157" s="4">
        <f t="shared" si="129"/>
        <v>1850.287250719191</v>
      </c>
      <c r="V157" s="4">
        <f t="shared" si="130"/>
        <v>3290.5676674721972</v>
      </c>
      <c r="W157" s="4">
        <f t="shared" si="131"/>
        <v>1346.7547212189234</v>
      </c>
      <c r="X157" s="4">
        <f t="shared" si="132"/>
        <v>1730.1374520768652</v>
      </c>
      <c r="Y157" s="4">
        <f t="shared" si="133"/>
        <v>3076.8921732957888</v>
      </c>
      <c r="Z157" s="10">
        <v>43451</v>
      </c>
      <c r="AA157" s="4">
        <v>47.800000000000004</v>
      </c>
      <c r="AB157" s="5">
        <v>1.03</v>
      </c>
      <c r="AC157" s="4">
        <v>77.5</v>
      </c>
      <c r="AD157" s="4">
        <v>26.3</v>
      </c>
      <c r="AE157" s="4">
        <v>6.4</v>
      </c>
      <c r="AF157" s="4">
        <v>13.5</v>
      </c>
      <c r="AK157" s="3"/>
      <c r="AL157" s="3"/>
      <c r="AM157" s="7"/>
      <c r="AN157" s="7"/>
      <c r="AO157" s="7"/>
      <c r="AP157" s="7"/>
      <c r="AQ157" s="7"/>
      <c r="AR157" s="3"/>
      <c r="AS157" s="3"/>
      <c r="AT157" s="7"/>
      <c r="AU157" s="7"/>
      <c r="AV157" s="7"/>
      <c r="AW157" s="9"/>
      <c r="AX157" s="9"/>
      <c r="AY157" s="9"/>
      <c r="AZ157" s="3"/>
      <c r="BA157" s="3"/>
      <c r="BB157" s="3"/>
      <c r="BC157" s="3"/>
      <c r="BD157" s="3"/>
      <c r="BE157" s="3"/>
      <c r="BG157" s="3"/>
      <c r="BH157" s="7"/>
      <c r="BI157" s="3"/>
      <c r="BJ157" s="3"/>
      <c r="BK157" s="3"/>
      <c r="BL157" s="3"/>
    </row>
    <row r="158" spans="1:64" x14ac:dyDescent="0.3">
      <c r="A158">
        <v>111</v>
      </c>
      <c r="B158" s="1" t="s">
        <v>162</v>
      </c>
      <c r="C158" s="1" t="s">
        <v>32</v>
      </c>
      <c r="D158" s="2">
        <v>43403</v>
      </c>
      <c r="E158" s="3">
        <v>20.5</v>
      </c>
      <c r="F158" s="4">
        <f t="shared" si="122"/>
        <v>4472.3010433070867</v>
      </c>
      <c r="G158" s="7">
        <v>9.74</v>
      </c>
      <c r="H158" s="7">
        <v>206.77</v>
      </c>
      <c r="I158" s="7">
        <f t="shared" si="206"/>
        <v>197.03</v>
      </c>
      <c r="J158" s="7">
        <v>185.46</v>
      </c>
      <c r="K158" s="5">
        <f t="shared" si="123"/>
        <v>5.8722022027102438</v>
      </c>
      <c r="L158" s="4">
        <f t="shared" si="124"/>
        <v>4209.6784829301751</v>
      </c>
      <c r="M158" s="2">
        <v>43440</v>
      </c>
      <c r="N158" s="7">
        <v>8.98</v>
      </c>
      <c r="O158" s="7">
        <v>3.64</v>
      </c>
      <c r="P158" s="7">
        <v>5.9</v>
      </c>
      <c r="Q158" s="6">
        <f t="shared" si="125"/>
        <v>0.38544523575160289</v>
      </c>
      <c r="R158" s="6">
        <f t="shared" si="126"/>
        <v>0.48123635942951609</v>
      </c>
      <c r="S158" s="6">
        <f t="shared" si="127"/>
        <v>0.13331840481888096</v>
      </c>
      <c r="T158" s="4">
        <f t="shared" si="128"/>
        <v>1723.8271299896396</v>
      </c>
      <c r="U158" s="4">
        <f t="shared" si="129"/>
        <v>2152.2338723539292</v>
      </c>
      <c r="V158" s="4">
        <f t="shared" si="130"/>
        <v>3876.0610023435688</v>
      </c>
      <c r="W158" s="4">
        <f t="shared" si="131"/>
        <v>1622.6005152914713</v>
      </c>
      <c r="X158" s="4">
        <f t="shared" si="132"/>
        <v>2025.8503474940858</v>
      </c>
      <c r="Y158" s="4">
        <f t="shared" si="133"/>
        <v>3648.4508627855571</v>
      </c>
      <c r="Z158" s="10"/>
      <c r="AA158" s="4"/>
      <c r="AB158" s="5"/>
      <c r="AC158" s="4"/>
      <c r="AD158" s="4"/>
      <c r="AE158" s="4"/>
      <c r="AF158" s="4"/>
      <c r="AK158" s="3"/>
      <c r="AL158" s="3"/>
      <c r="AM158" s="7"/>
      <c r="AN158" s="7"/>
      <c r="AO158" s="7"/>
      <c r="AP158" s="7"/>
      <c r="AQ158" s="7"/>
      <c r="AR158" s="3"/>
      <c r="AS158" s="3"/>
      <c r="AT158" s="7"/>
      <c r="AU158" s="7"/>
      <c r="AV158" s="7"/>
      <c r="AW158" s="9"/>
      <c r="AX158" s="9"/>
      <c r="AY158" s="9"/>
      <c r="AZ158" s="3"/>
      <c r="BA158" s="3"/>
      <c r="BB158" s="3"/>
      <c r="BC158" s="3"/>
      <c r="BD158" s="3"/>
      <c r="BE158" s="3"/>
      <c r="BG158" s="3"/>
      <c r="BH158" s="7"/>
      <c r="BI158" s="3"/>
      <c r="BJ158" s="3"/>
      <c r="BK158" s="3"/>
      <c r="BL158" s="3"/>
    </row>
    <row r="159" spans="1:64" x14ac:dyDescent="0.3">
      <c r="A159">
        <v>112</v>
      </c>
      <c r="B159" s="1" t="s">
        <v>163</v>
      </c>
      <c r="C159" s="1" t="s">
        <v>32</v>
      </c>
      <c r="D159" s="2">
        <v>43403</v>
      </c>
      <c r="E159" s="3">
        <v>17.8</v>
      </c>
      <c r="F159" s="4">
        <f t="shared" si="122"/>
        <v>3869.5951377952751</v>
      </c>
      <c r="G159" s="7">
        <v>9.7100000000000009</v>
      </c>
      <c r="H159" s="7">
        <v>154.85</v>
      </c>
      <c r="I159" s="7">
        <f t="shared" si="206"/>
        <v>145.13999999999999</v>
      </c>
      <c r="J159" s="7">
        <v>135.54</v>
      </c>
      <c r="K159" s="5">
        <f t="shared" si="123"/>
        <v>6.614303431169902</v>
      </c>
      <c r="L159" s="4">
        <f t="shared" si="124"/>
        <v>3613.6483738236989</v>
      </c>
      <c r="M159" s="2">
        <v>43440</v>
      </c>
      <c r="N159" s="7">
        <v>7.71</v>
      </c>
      <c r="O159" s="7">
        <v>3.1</v>
      </c>
      <c r="P159" s="7">
        <v>5.28</v>
      </c>
      <c r="Q159" s="6">
        <f t="shared" si="125"/>
        <v>0.37871313628334113</v>
      </c>
      <c r="R159" s="6">
        <f t="shared" si="126"/>
        <v>0.48005890514789734</v>
      </c>
      <c r="S159" s="6">
        <f t="shared" si="127"/>
        <v>0.14122795856876152</v>
      </c>
      <c r="T159" s="4">
        <f t="shared" si="128"/>
        <v>1465.4665107812164</v>
      </c>
      <c r="U159" s="4">
        <f t="shared" si="129"/>
        <v>1857.6336052156266</v>
      </c>
      <c r="V159" s="4">
        <f t="shared" si="130"/>
        <v>3323.1001159968428</v>
      </c>
      <c r="W159" s="4">
        <f t="shared" si="131"/>
        <v>1368.5361090759686</v>
      </c>
      <c r="X159" s="4">
        <f t="shared" si="132"/>
        <v>1734.7640819272845</v>
      </c>
      <c r="Y159" s="4">
        <f t="shared" si="133"/>
        <v>3103.3001910032531</v>
      </c>
      <c r="Z159" s="10"/>
      <c r="AA159" s="4"/>
      <c r="AB159" s="5"/>
      <c r="AC159" s="4"/>
      <c r="AD159" s="4"/>
      <c r="AE159" s="4"/>
      <c r="AF159" s="4"/>
      <c r="AH159" t="s">
        <v>283</v>
      </c>
      <c r="AI159" t="str">
        <f>C159</f>
        <v>Machine</v>
      </c>
      <c r="AJ159" s="8">
        <f>D159</f>
        <v>43403</v>
      </c>
      <c r="AK159" s="3">
        <f>SUM(E159:E161)</f>
        <v>52.7</v>
      </c>
      <c r="AL159" s="3">
        <f>(AK159-3*$A$35)*$A$36/(3*$A$37)*$A$38</f>
        <v>3817.5094422572174</v>
      </c>
      <c r="AM159" s="7">
        <f>SUM(G159:G161)</f>
        <v>29.1</v>
      </c>
      <c r="AN159" s="7">
        <f>SUM(H159:H161)</f>
        <v>467.94</v>
      </c>
      <c r="AO159" s="7">
        <f>AN159-AM159</f>
        <v>438.84</v>
      </c>
      <c r="AP159" s="7">
        <f>SUM(J159:J161)</f>
        <v>411.39</v>
      </c>
      <c r="AQ159" s="7">
        <f>(AO159-AP159)/AO159*100</f>
        <v>6.2551271534044268</v>
      </c>
      <c r="AR159" s="3">
        <f>AL159*(1-AQ159/100)</f>
        <v>3578.7193725508082</v>
      </c>
      <c r="AS159" s="11">
        <f>M159</f>
        <v>43440</v>
      </c>
      <c r="AT159" s="7">
        <f>SUM(N159:N161)</f>
        <v>23.03</v>
      </c>
      <c r="AU159" s="7">
        <f>SUM(O159:O161)</f>
        <v>9.32</v>
      </c>
      <c r="AV159" s="7">
        <f>SUM(P159:P161)</f>
        <v>15.64</v>
      </c>
      <c r="AW159" s="9">
        <f>(AU159-3*$A$39)/(AT159-3*$A$35*$A$36)</f>
        <v>0.38129699553558727</v>
      </c>
      <c r="AX159" s="9">
        <f>(AV159-3*$A$40)/(AT159-3*$A$35*$A$36)</f>
        <v>0.47327261740951115</v>
      </c>
      <c r="AY159" s="9">
        <f>1-AW159-AX159</f>
        <v>0.14543038705490158</v>
      </c>
      <c r="AZ159" s="3">
        <f>AL159*AW159</f>
        <v>1455.6048807614125</v>
      </c>
      <c r="BA159" s="3">
        <f>AL159*AX159</f>
        <v>1806.7226857225965</v>
      </c>
      <c r="BB159" s="3">
        <f>AZ159+BA159</f>
        <v>3262.3275664840089</v>
      </c>
      <c r="BC159" s="3">
        <f>AR159*AW159</f>
        <v>1364.5549446186251</v>
      </c>
      <c r="BD159" s="3">
        <f>AR159*AX159</f>
        <v>1693.7098844212444</v>
      </c>
      <c r="BE159" s="3">
        <f>BC159+BD159</f>
        <v>3058.2648290398693</v>
      </c>
      <c r="BF159" s="11">
        <f>Z160</f>
        <v>43451</v>
      </c>
      <c r="BG159" s="3">
        <f>AVERAGE(AA159:AA161)</f>
        <v>51.6</v>
      </c>
      <c r="BH159" s="7">
        <f t="shared" ref="BH159" si="212">AVERAGE(AB159:AB161)</f>
        <v>0.97</v>
      </c>
      <c r="BI159" s="3">
        <f t="shared" ref="BI159" si="213">AVERAGE(AC159:AC161)</f>
        <v>75</v>
      </c>
      <c r="BJ159" s="3">
        <f t="shared" ref="BJ159" si="214">AVERAGE(AD159:AD161)</f>
        <v>24.2</v>
      </c>
      <c r="BK159" s="3">
        <f t="shared" ref="BK159" si="215">AVERAGE(AE159:AE161)</f>
        <v>6.7</v>
      </c>
      <c r="BL159" s="3">
        <f t="shared" ref="BL159" si="216">AVERAGE(AF159:AF161)</f>
        <v>16.100000000000001</v>
      </c>
    </row>
    <row r="160" spans="1:64" x14ac:dyDescent="0.3">
      <c r="A160">
        <v>113</v>
      </c>
      <c r="B160" s="1" t="s">
        <v>164</v>
      </c>
      <c r="C160" s="1" t="s">
        <v>32</v>
      </c>
      <c r="D160" s="2">
        <v>43403</v>
      </c>
      <c r="E160" s="3">
        <v>16.600000000000001</v>
      </c>
      <c r="F160" s="4">
        <f t="shared" si="122"/>
        <v>3601.725846456693</v>
      </c>
      <c r="G160" s="7">
        <v>9.67</v>
      </c>
      <c r="H160" s="7">
        <v>146.09</v>
      </c>
      <c r="I160" s="7">
        <f t="shared" si="206"/>
        <v>136.42000000000002</v>
      </c>
      <c r="J160" s="7">
        <v>127.84</v>
      </c>
      <c r="K160" s="5">
        <f t="shared" si="123"/>
        <v>6.2894003811757884</v>
      </c>
      <c r="L160" s="4">
        <f t="shared" si="124"/>
        <v>3375.1988873407386</v>
      </c>
      <c r="M160" s="2">
        <v>43440</v>
      </c>
      <c r="N160" s="7">
        <v>7.28</v>
      </c>
      <c r="O160" s="7">
        <v>2.96</v>
      </c>
      <c r="P160" s="7">
        <v>5</v>
      </c>
      <c r="Q160" s="6">
        <f t="shared" si="125"/>
        <v>0.38194504899429821</v>
      </c>
      <c r="R160" s="6">
        <f t="shared" si="126"/>
        <v>0.46965094913372968</v>
      </c>
      <c r="S160" s="6">
        <f t="shared" si="127"/>
        <v>0.14840400187197217</v>
      </c>
      <c r="T160" s="4">
        <f t="shared" si="128"/>
        <v>1375.6613548889318</v>
      </c>
      <c r="U160" s="4">
        <f t="shared" si="129"/>
        <v>1691.5539623078719</v>
      </c>
      <c r="V160" s="4">
        <f t="shared" si="130"/>
        <v>3067.2153171968039</v>
      </c>
      <c r="W160" s="4">
        <f t="shared" si="131"/>
        <v>1289.1405043908592</v>
      </c>
      <c r="X160" s="4">
        <f t="shared" si="132"/>
        <v>1585.1653609546863</v>
      </c>
      <c r="Y160" s="4">
        <f t="shared" si="133"/>
        <v>2874.3058653455455</v>
      </c>
      <c r="Z160" s="10">
        <v>43451</v>
      </c>
      <c r="AA160" s="4">
        <v>51.6</v>
      </c>
      <c r="AB160" s="5">
        <v>0.97</v>
      </c>
      <c r="AC160" s="4">
        <v>75</v>
      </c>
      <c r="AD160" s="4">
        <v>24.2</v>
      </c>
      <c r="AE160" s="4">
        <v>6.7</v>
      </c>
      <c r="AF160" s="4">
        <v>16.100000000000001</v>
      </c>
      <c r="AK160" s="3"/>
      <c r="AL160" s="3"/>
      <c r="AM160" s="7"/>
      <c r="AN160" s="7"/>
      <c r="AO160" s="7"/>
      <c r="AP160" s="7"/>
      <c r="AQ160" s="7"/>
      <c r="AR160" s="3"/>
      <c r="AS160" s="3"/>
      <c r="AT160" s="7"/>
      <c r="AU160" s="7"/>
      <c r="AV160" s="7"/>
      <c r="AW160" s="9"/>
      <c r="AX160" s="9"/>
      <c r="AY160" s="9"/>
      <c r="AZ160" s="3"/>
      <c r="BA160" s="3"/>
      <c r="BB160" s="3"/>
      <c r="BC160" s="3"/>
      <c r="BD160" s="3"/>
      <c r="BE160" s="3"/>
      <c r="BG160" s="3"/>
      <c r="BH160" s="7"/>
      <c r="BI160" s="3"/>
      <c r="BJ160" s="3"/>
      <c r="BK160" s="3"/>
      <c r="BL160" s="3"/>
    </row>
    <row r="161" spans="1:64" x14ac:dyDescent="0.3">
      <c r="A161">
        <v>114</v>
      </c>
      <c r="B161" s="1" t="s">
        <v>165</v>
      </c>
      <c r="C161" s="1" t="s">
        <v>32</v>
      </c>
      <c r="D161" s="2">
        <v>43403</v>
      </c>
      <c r="E161" s="3">
        <v>18.3</v>
      </c>
      <c r="F161" s="4">
        <f t="shared" si="122"/>
        <v>3981.2073425196854</v>
      </c>
      <c r="G161" s="7">
        <v>9.7200000000000006</v>
      </c>
      <c r="H161" s="7">
        <v>167</v>
      </c>
      <c r="I161" s="7">
        <f t="shared" si="206"/>
        <v>157.28</v>
      </c>
      <c r="J161" s="7">
        <v>148.01</v>
      </c>
      <c r="K161" s="5">
        <f t="shared" si="123"/>
        <v>5.8939471007121123</v>
      </c>
      <c r="L161" s="4">
        <f t="shared" si="124"/>
        <v>3746.5570877819086</v>
      </c>
      <c r="M161" s="2">
        <v>43440</v>
      </c>
      <c r="N161" s="7">
        <v>8.0399999999999991</v>
      </c>
      <c r="O161" s="7">
        <v>3.26</v>
      </c>
      <c r="P161" s="7">
        <v>5.36</v>
      </c>
      <c r="Q161" s="6">
        <f t="shared" si="125"/>
        <v>0.38318679938029809</v>
      </c>
      <c r="R161" s="6">
        <f t="shared" si="126"/>
        <v>0.47004247390649906</v>
      </c>
      <c r="S161" s="6">
        <f t="shared" si="127"/>
        <v>0.14677072671320285</v>
      </c>
      <c r="T161" s="4">
        <f t="shared" si="128"/>
        <v>1525.5460992494604</v>
      </c>
      <c r="U161" s="4">
        <f t="shared" si="129"/>
        <v>1871.3365484126716</v>
      </c>
      <c r="V161" s="4">
        <f t="shared" si="130"/>
        <v>3396.8826476621321</v>
      </c>
      <c r="W161" s="4">
        <f t="shared" si="131"/>
        <v>1435.6312191627201</v>
      </c>
      <c r="X161" s="4">
        <f t="shared" si="132"/>
        <v>1761.0409621729368</v>
      </c>
      <c r="Y161" s="4">
        <f t="shared" si="133"/>
        <v>3196.6721813356571</v>
      </c>
      <c r="Z161" s="10"/>
      <c r="AA161" s="4"/>
      <c r="AB161" s="5"/>
      <c r="AC161" s="4"/>
      <c r="AD161" s="4"/>
      <c r="AE161" s="4"/>
      <c r="AF161" s="4"/>
      <c r="AK161" s="3"/>
      <c r="AL161" s="3"/>
      <c r="AM161" s="7"/>
      <c r="AN161" s="7"/>
      <c r="AO161" s="7"/>
      <c r="AP161" s="7"/>
      <c r="AQ161" s="7"/>
      <c r="AR161" s="3"/>
      <c r="AS161" s="3"/>
      <c r="AT161" s="7"/>
      <c r="AU161" s="7"/>
      <c r="AV161" s="7"/>
      <c r="AW161" s="9"/>
      <c r="AX161" s="9"/>
      <c r="AY161" s="9"/>
      <c r="AZ161" s="3"/>
      <c r="BA161" s="3"/>
      <c r="BB161" s="3"/>
      <c r="BC161" s="3"/>
      <c r="BD161" s="3"/>
      <c r="BE161" s="3"/>
      <c r="BG161" s="3"/>
      <c r="BH161" s="7"/>
      <c r="BI161" s="3"/>
      <c r="BJ161" s="3"/>
      <c r="BK161" s="3"/>
      <c r="BL161" s="3"/>
    </row>
    <row r="162" spans="1:64" x14ac:dyDescent="0.3">
      <c r="A162">
        <v>115</v>
      </c>
      <c r="B162" s="1" t="s">
        <v>166</v>
      </c>
      <c r="C162" s="1" t="s">
        <v>32</v>
      </c>
      <c r="D162" s="2">
        <v>43403</v>
      </c>
      <c r="E162" s="3">
        <v>14.9</v>
      </c>
      <c r="F162" s="4">
        <f t="shared" si="122"/>
        <v>3222.2443503937011</v>
      </c>
      <c r="G162" s="7">
        <v>9.74</v>
      </c>
      <c r="H162" s="7">
        <v>160.69</v>
      </c>
      <c r="I162" s="7">
        <f t="shared" si="206"/>
        <v>150.94999999999999</v>
      </c>
      <c r="J162" s="7">
        <v>140.51</v>
      </c>
      <c r="K162" s="5">
        <f t="shared" si="123"/>
        <v>6.9161974163630333</v>
      </c>
      <c r="L162" s="4">
        <f t="shared" si="124"/>
        <v>2999.3875698828683</v>
      </c>
      <c r="M162" s="2">
        <v>43440</v>
      </c>
      <c r="N162" s="7">
        <v>6.54</v>
      </c>
      <c r="O162" s="7">
        <v>2.7</v>
      </c>
      <c r="P162" s="7">
        <v>4.68</v>
      </c>
      <c r="Q162" s="6">
        <f t="shared" si="125"/>
        <v>0.38552208345386435</v>
      </c>
      <c r="R162" s="6">
        <f t="shared" si="126"/>
        <v>0.4740025616236036</v>
      </c>
      <c r="S162" s="6">
        <f t="shared" si="127"/>
        <v>0.14047535492253199</v>
      </c>
      <c r="T162" s="4">
        <f t="shared" si="128"/>
        <v>1242.2463553612233</v>
      </c>
      <c r="U162" s="4">
        <f t="shared" si="129"/>
        <v>1527.3520762637988</v>
      </c>
      <c r="V162" s="4">
        <f t="shared" si="130"/>
        <v>2769.5984316250224</v>
      </c>
      <c r="W162" s="4">
        <f t="shared" si="131"/>
        <v>1156.3301450268666</v>
      </c>
      <c r="X162" s="4">
        <f t="shared" si="132"/>
        <v>1421.7173914264749</v>
      </c>
      <c r="Y162" s="4">
        <f t="shared" si="133"/>
        <v>2578.0475364533413</v>
      </c>
      <c r="Z162" s="10"/>
      <c r="AA162" s="4"/>
      <c r="AB162" s="5"/>
      <c r="AC162" s="4"/>
      <c r="AD162" s="4"/>
      <c r="AE162" s="4"/>
      <c r="AF162" s="4"/>
      <c r="AH162" t="s">
        <v>284</v>
      </c>
      <c r="AI162" t="str">
        <f>C162</f>
        <v>Machine</v>
      </c>
      <c r="AJ162" s="8">
        <f>D162</f>
        <v>43403</v>
      </c>
      <c r="AK162" s="3">
        <f>SUM(E162:E164)</f>
        <v>47.3</v>
      </c>
      <c r="AL162" s="3">
        <f>(AK162-3*$A$35)*$A$36/(3*$A$37)*$A$38</f>
        <v>3415.7055052493429</v>
      </c>
      <c r="AM162" s="7">
        <f>SUM(G162:G164)</f>
        <v>29.13</v>
      </c>
      <c r="AN162" s="7">
        <f>SUM(H162:H164)</f>
        <v>464.78</v>
      </c>
      <c r="AO162" s="7">
        <f>AN162-AM162</f>
        <v>435.65</v>
      </c>
      <c r="AP162" s="7">
        <f>SUM(J162:J164)</f>
        <v>404.46</v>
      </c>
      <c r="AQ162" s="7">
        <f>(AO162-AP162)/AO162*100</f>
        <v>7.159416963158499</v>
      </c>
      <c r="AR162" s="3">
        <f>AL162*(1-AQ162/100)</f>
        <v>3171.160905894983</v>
      </c>
      <c r="AS162" s="11">
        <f>M162</f>
        <v>43440</v>
      </c>
      <c r="AT162" s="7">
        <f>SUM(N162:N164)</f>
        <v>20.57</v>
      </c>
      <c r="AU162" s="7">
        <f>SUM(O162:O164)</f>
        <v>8.44</v>
      </c>
      <c r="AV162" s="7">
        <f>SUM(P162:P164)</f>
        <v>14.559999999999999</v>
      </c>
      <c r="AW162" s="9">
        <f>(AU162-3*$A$39)/(AT162-3*$A$35*$A$36)</f>
        <v>0.384205653477249</v>
      </c>
      <c r="AX162" s="9">
        <f>(AV162-3*$A$40)/(AT162-3*$A$35*$A$36)</f>
        <v>0.47749841006571941</v>
      </c>
      <c r="AY162" s="9">
        <f>1-AW162-AX162</f>
        <v>0.13829593645703159</v>
      </c>
      <c r="AZ162" s="3">
        <f>AL162*AW162</f>
        <v>1312.3333657301607</v>
      </c>
      <c r="BA162" s="3">
        <f>AL162*AX162</f>
        <v>1630.993948009286</v>
      </c>
      <c r="BB162" s="3">
        <f>AZ162+BA162</f>
        <v>2943.3273137394467</v>
      </c>
      <c r="BC162" s="3">
        <f>AR162*AW162</f>
        <v>1218.3779481308868</v>
      </c>
      <c r="BD162" s="3">
        <f>AR162*AX162</f>
        <v>1514.2242906274209</v>
      </c>
      <c r="BE162" s="3">
        <f>BC162+BD162</f>
        <v>2732.602238758308</v>
      </c>
      <c r="BF162" s="11">
        <f>Z163</f>
        <v>43451</v>
      </c>
      <c r="BG162" s="3">
        <f>AVERAGE(AA162:AA164)</f>
        <v>49.192495244328981</v>
      </c>
      <c r="BH162" s="7">
        <f t="shared" ref="BH162" si="217">AVERAGE(AB162:AB164)</f>
        <v>0.97</v>
      </c>
      <c r="BI162" s="3">
        <f t="shared" ref="BI162" si="218">AVERAGE(AC162:AC164)</f>
        <v>77.319587628865989</v>
      </c>
      <c r="BJ162" s="3">
        <f t="shared" ref="BJ162" si="219">AVERAGE(AD162:AD164)</f>
        <v>23.986574074074074</v>
      </c>
      <c r="BK162" s="3">
        <f t="shared" ref="BK162" si="220">AVERAGE(AE162:AE164)</f>
        <v>6.4532407407407408</v>
      </c>
      <c r="BL162" s="3">
        <f t="shared" ref="BL162" si="221">AVERAGE(AF162:AF164)</f>
        <v>15.266456834532374</v>
      </c>
    </row>
    <row r="163" spans="1:64" x14ac:dyDescent="0.3">
      <c r="A163">
        <v>116</v>
      </c>
      <c r="B163" s="1" t="s">
        <v>167</v>
      </c>
      <c r="C163" s="1" t="s">
        <v>32</v>
      </c>
      <c r="D163" s="2">
        <v>43403</v>
      </c>
      <c r="E163" s="3">
        <v>15.4</v>
      </c>
      <c r="F163" s="4">
        <f t="shared" si="122"/>
        <v>3333.85655511811</v>
      </c>
      <c r="G163" s="7">
        <v>9.69</v>
      </c>
      <c r="H163" s="7">
        <v>148.94999999999999</v>
      </c>
      <c r="I163" s="7">
        <f t="shared" si="206"/>
        <v>139.26</v>
      </c>
      <c r="J163" s="7">
        <v>128.44</v>
      </c>
      <c r="K163" s="5">
        <f t="shared" si="123"/>
        <v>7.7696395231940221</v>
      </c>
      <c r="L163" s="4">
        <f t="shared" si="124"/>
        <v>3074.8279185650586</v>
      </c>
      <c r="M163" s="2">
        <v>43440</v>
      </c>
      <c r="N163" s="7">
        <v>6.6</v>
      </c>
      <c r="O163" s="7">
        <v>2.72</v>
      </c>
      <c r="P163" s="7">
        <v>4.68</v>
      </c>
      <c r="Q163" s="6">
        <f t="shared" si="125"/>
        <v>0.38503197765702635</v>
      </c>
      <c r="R163" s="6">
        <f t="shared" si="126"/>
        <v>0.46955119226466624</v>
      </c>
      <c r="S163" s="6">
        <f t="shared" si="127"/>
        <v>0.14541683007830741</v>
      </c>
      <c r="T163" s="4">
        <f t="shared" si="128"/>
        <v>1283.6413826419669</v>
      </c>
      <c r="U163" s="4">
        <f t="shared" si="129"/>
        <v>1565.4163202950815</v>
      </c>
      <c r="V163" s="4">
        <f t="shared" si="130"/>
        <v>2849.0577029370484</v>
      </c>
      <c r="W163" s="4">
        <f t="shared" si="131"/>
        <v>1183.9070744401424</v>
      </c>
      <c r="X163" s="4">
        <f t="shared" si="132"/>
        <v>1443.7891151709052</v>
      </c>
      <c r="Y163" s="4">
        <f t="shared" si="133"/>
        <v>2627.6961896110479</v>
      </c>
      <c r="Z163" s="10">
        <v>43451</v>
      </c>
      <c r="AA163" s="4">
        <v>49.192495244328981</v>
      </c>
      <c r="AB163" s="5">
        <v>0.97</v>
      </c>
      <c r="AC163" s="4">
        <v>77.319587628865989</v>
      </c>
      <c r="AD163" s="4">
        <v>23.986574074074074</v>
      </c>
      <c r="AE163" s="4">
        <v>6.4532407407407408</v>
      </c>
      <c r="AF163" s="4">
        <v>15.266456834532374</v>
      </c>
      <c r="AK163" s="3"/>
      <c r="AL163" s="3"/>
      <c r="AM163" s="7"/>
      <c r="AN163" s="7"/>
      <c r="AO163" s="7"/>
      <c r="AP163" s="7"/>
      <c r="AQ163" s="7"/>
      <c r="AR163" s="3"/>
      <c r="AS163" s="3"/>
      <c r="AT163" s="7"/>
      <c r="AU163" s="7"/>
      <c r="AV163" s="7"/>
      <c r="AW163" s="9"/>
      <c r="AX163" s="9"/>
      <c r="AY163" s="9"/>
      <c r="AZ163" s="3"/>
      <c r="BA163" s="3"/>
      <c r="BB163" s="3"/>
      <c r="BC163" s="3"/>
      <c r="BD163" s="3"/>
      <c r="BE163" s="3"/>
      <c r="BG163" s="3"/>
      <c r="BH163" s="7"/>
      <c r="BI163" s="3"/>
      <c r="BJ163" s="3"/>
      <c r="BK163" s="3"/>
      <c r="BL163" s="3"/>
    </row>
    <row r="164" spans="1:64" x14ac:dyDescent="0.3">
      <c r="A164">
        <v>117</v>
      </c>
      <c r="B164" s="1" t="s">
        <v>168</v>
      </c>
      <c r="C164" s="1" t="s">
        <v>32</v>
      </c>
      <c r="D164" s="2">
        <v>43403</v>
      </c>
      <c r="E164" s="3">
        <v>17</v>
      </c>
      <c r="F164" s="4">
        <f t="shared" si="122"/>
        <v>3691.0156102362203</v>
      </c>
      <c r="G164" s="7">
        <v>9.6999999999999993</v>
      </c>
      <c r="H164" s="7">
        <v>155.13999999999999</v>
      </c>
      <c r="I164" s="7">
        <f t="shared" si="206"/>
        <v>145.44</v>
      </c>
      <c r="J164" s="7">
        <v>135.51</v>
      </c>
      <c r="K164" s="5">
        <f t="shared" si="123"/>
        <v>6.8275577557755813</v>
      </c>
      <c r="L164" s="4">
        <f t="shared" si="124"/>
        <v>3439.0093876726496</v>
      </c>
      <c r="M164" s="2">
        <v>43440</v>
      </c>
      <c r="N164" s="7">
        <v>7.43</v>
      </c>
      <c r="O164" s="7">
        <v>3.02</v>
      </c>
      <c r="P164" s="7">
        <v>5.2</v>
      </c>
      <c r="Q164" s="6">
        <f t="shared" si="125"/>
        <v>0.3823201996722097</v>
      </c>
      <c r="R164" s="6">
        <f t="shared" si="126"/>
        <v>0.48759677639354293</v>
      </c>
      <c r="S164" s="6">
        <f t="shared" si="127"/>
        <v>0.13008302393424742</v>
      </c>
      <c r="T164" s="4">
        <f t="shared" si="128"/>
        <v>1411.1498250987547</v>
      </c>
      <c r="U164" s="4">
        <f t="shared" si="129"/>
        <v>1799.7273131694267</v>
      </c>
      <c r="V164" s="4">
        <f t="shared" si="130"/>
        <v>3210.8771382681816</v>
      </c>
      <c r="W164" s="4">
        <f t="shared" si="131"/>
        <v>1314.8027557696109</v>
      </c>
      <c r="X164" s="4">
        <f t="shared" si="132"/>
        <v>1676.8498914163158</v>
      </c>
      <c r="Y164" s="4">
        <f t="shared" si="133"/>
        <v>2991.652647185927</v>
      </c>
      <c r="Z164" s="10"/>
      <c r="AA164" s="4"/>
      <c r="AB164" s="5"/>
      <c r="AC164" s="4"/>
      <c r="AD164" s="4"/>
      <c r="AE164" s="4"/>
      <c r="AF164" s="4"/>
      <c r="AK164" s="3"/>
      <c r="AL164" s="3"/>
      <c r="AM164" s="7"/>
      <c r="AN164" s="7"/>
      <c r="AO164" s="7"/>
      <c r="AP164" s="7"/>
      <c r="AQ164" s="7"/>
      <c r="AR164" s="3"/>
      <c r="AS164" s="3"/>
      <c r="AT164" s="7"/>
      <c r="AU164" s="7"/>
      <c r="AV164" s="7"/>
      <c r="AW164" s="9"/>
      <c r="AX164" s="9"/>
      <c r="AY164" s="9"/>
      <c r="AZ164" s="3"/>
      <c r="BA164" s="3"/>
      <c r="BB164" s="3"/>
      <c r="BC164" s="3"/>
      <c r="BD164" s="3"/>
      <c r="BE164" s="3"/>
      <c r="BG164" s="3"/>
      <c r="BH164" s="7"/>
      <c r="BI164" s="3"/>
      <c r="BJ164" s="3"/>
      <c r="BK164" s="3"/>
      <c r="BL164" s="3"/>
    </row>
    <row r="165" spans="1:64" x14ac:dyDescent="0.3">
      <c r="A165">
        <v>118</v>
      </c>
      <c r="B165" s="1" t="s">
        <v>169</v>
      </c>
      <c r="C165" s="1" t="s">
        <v>32</v>
      </c>
      <c r="D165" s="2">
        <v>43403</v>
      </c>
      <c r="E165" s="3">
        <v>13.6</v>
      </c>
      <c r="F165" s="4">
        <f t="shared" si="122"/>
        <v>2932.0526181102364</v>
      </c>
      <c r="G165" s="7">
        <v>9.7200000000000006</v>
      </c>
      <c r="H165" s="7">
        <v>171.74</v>
      </c>
      <c r="I165" s="7">
        <f t="shared" si="206"/>
        <v>162.02000000000001</v>
      </c>
      <c r="J165" s="7">
        <v>151.96</v>
      </c>
      <c r="K165" s="5">
        <f t="shared" si="123"/>
        <v>6.2091099864214305</v>
      </c>
      <c r="L165" s="4">
        <f t="shared" si="124"/>
        <v>2749.9982461920226</v>
      </c>
      <c r="M165" s="2">
        <v>43440</v>
      </c>
      <c r="N165" s="7">
        <v>5.82</v>
      </c>
      <c r="O165" s="7">
        <v>2.4</v>
      </c>
      <c r="P165" s="7">
        <v>4.34</v>
      </c>
      <c r="Q165" s="6">
        <f t="shared" si="125"/>
        <v>0.38152426188016447</v>
      </c>
      <c r="R165" s="6">
        <f t="shared" si="126"/>
        <v>0.47423109186973722</v>
      </c>
      <c r="S165" s="6">
        <f t="shared" si="127"/>
        <v>0.14424464625009836</v>
      </c>
      <c r="T165" s="4">
        <f t="shared" si="128"/>
        <v>1118.6492109183116</v>
      </c>
      <c r="U165" s="4">
        <f t="shared" si="129"/>
        <v>1390.470514505939</v>
      </c>
      <c r="V165" s="4">
        <f t="shared" si="130"/>
        <v>2509.1197254242506</v>
      </c>
      <c r="W165" s="4">
        <f t="shared" si="131"/>
        <v>1049.1910510501582</v>
      </c>
      <c r="X165" s="4">
        <f t="shared" si="132"/>
        <v>1304.1346709315053</v>
      </c>
      <c r="Y165" s="4">
        <f t="shared" si="133"/>
        <v>2353.3257219816633</v>
      </c>
      <c r="Z165" s="10"/>
      <c r="AA165" s="4"/>
      <c r="AB165" s="5"/>
      <c r="AC165" s="4"/>
      <c r="AD165" s="4"/>
      <c r="AE165" s="4"/>
      <c r="AF165" s="4"/>
      <c r="AH165" t="s">
        <v>285</v>
      </c>
      <c r="AI165" t="str">
        <f>C165</f>
        <v>Machine</v>
      </c>
      <c r="AJ165" s="8">
        <f>D165</f>
        <v>43403</v>
      </c>
      <c r="AK165" s="3">
        <f>SUM(E165:E167)</f>
        <v>41.300000000000004</v>
      </c>
      <c r="AL165" s="3">
        <f>(AK165-3*$A$35)*$A$36/(3*$A$37)*$A$38</f>
        <v>2969.2566863517063</v>
      </c>
      <c r="AM165" s="7">
        <f>SUM(G165:G167)</f>
        <v>29.159999999999997</v>
      </c>
      <c r="AN165" s="7">
        <f>SUM(H165:H167)</f>
        <v>456.53</v>
      </c>
      <c r="AO165" s="7">
        <f>AN165-AM165</f>
        <v>427.37</v>
      </c>
      <c r="AP165" s="7">
        <f>SUM(J165:J167)</f>
        <v>400.41</v>
      </c>
      <c r="AQ165" s="7">
        <f>(AO165-AP165)/AO165*100</f>
        <v>6.3083510775206451</v>
      </c>
      <c r="AR165" s="3">
        <f>AL165*(1-AQ165/100)</f>
        <v>2781.9455501838847</v>
      </c>
      <c r="AS165" s="11">
        <f>M165</f>
        <v>43440</v>
      </c>
      <c r="AT165" s="7">
        <f>SUM(N165:N167)</f>
        <v>17.64</v>
      </c>
      <c r="AU165" s="7">
        <f>SUM(O165:O167)</f>
        <v>7.24</v>
      </c>
      <c r="AV165" s="7">
        <f>SUM(P165:P167)</f>
        <v>13.120000000000001</v>
      </c>
      <c r="AW165" s="9">
        <f>(AU165-3*$A$39)/(AT165-3*$A$35*$A$36)</f>
        <v>0.37983825235982627</v>
      </c>
      <c r="AX165" s="9">
        <f>(AV165-3*$A$40)/(AT165-3*$A$35*$A$36)</f>
        <v>0.47509180790516981</v>
      </c>
      <c r="AY165" s="9">
        <f>1-AW165-AX165</f>
        <v>0.14506993973500393</v>
      </c>
      <c r="AZ165" s="3">
        <f>AL165*AW165</f>
        <v>1127.837270551561</v>
      </c>
      <c r="BA165" s="3">
        <f>AL165*AX165</f>
        <v>1410.6695272533459</v>
      </c>
      <c r="BB165" s="3">
        <f>AZ165+BA165</f>
        <v>2538.5067978049069</v>
      </c>
      <c r="BC165" s="3">
        <f>AR165*AW165</f>
        <v>1056.6893359420421</v>
      </c>
      <c r="BD165" s="3">
        <f>AR165*AX165</f>
        <v>1321.6795409306042</v>
      </c>
      <c r="BE165" s="3">
        <f>BC165+BD165</f>
        <v>2378.3688768726461</v>
      </c>
      <c r="BF165" s="11">
        <f>Z166</f>
        <v>43451</v>
      </c>
      <c r="BG165" s="3">
        <f>AVERAGE(AA165:AA167)</f>
        <v>52.5</v>
      </c>
      <c r="BH165" s="7">
        <f t="shared" ref="BH165" si="222">AVERAGE(AB165:AB167)</f>
        <v>1</v>
      </c>
      <c r="BI165" s="3">
        <f t="shared" ref="BI165" si="223">AVERAGE(AC165:AC167)</f>
        <v>77.900000000000006</v>
      </c>
      <c r="BJ165" s="3">
        <f t="shared" ref="BJ165" si="224">AVERAGE(AD165:AD167)</f>
        <v>25.4</v>
      </c>
      <c r="BK165" s="3">
        <f t="shared" ref="BK165" si="225">AVERAGE(AE165:AE167)</f>
        <v>6.2</v>
      </c>
      <c r="BL165" s="3">
        <f t="shared" ref="BL165" si="226">AVERAGE(AF165:AF167)</f>
        <v>13.6</v>
      </c>
    </row>
    <row r="166" spans="1:64" x14ac:dyDescent="0.3">
      <c r="A166">
        <v>119</v>
      </c>
      <c r="B166" s="1" t="s">
        <v>170</v>
      </c>
      <c r="C166" s="1" t="s">
        <v>32</v>
      </c>
      <c r="D166" s="2">
        <v>43403</v>
      </c>
      <c r="E166" s="3">
        <v>16.100000000000001</v>
      </c>
      <c r="F166" s="4">
        <f t="shared" si="122"/>
        <v>3490.1136417322837</v>
      </c>
      <c r="G166" s="7">
        <v>9.68</v>
      </c>
      <c r="H166" s="7">
        <v>138.44999999999999</v>
      </c>
      <c r="I166" s="7">
        <f t="shared" si="206"/>
        <v>128.76999999999998</v>
      </c>
      <c r="J166" s="7">
        <v>121.25</v>
      </c>
      <c r="K166" s="5">
        <f t="shared" si="123"/>
        <v>5.8398695348295275</v>
      </c>
      <c r="L166" s="4">
        <f t="shared" si="124"/>
        <v>3286.295558437831</v>
      </c>
      <c r="M166" s="2">
        <v>43440</v>
      </c>
      <c r="N166" s="7">
        <v>6.94</v>
      </c>
      <c r="O166" s="7">
        <v>2.78</v>
      </c>
      <c r="P166" s="7">
        <v>4.9000000000000004</v>
      </c>
      <c r="Q166" s="6">
        <f t="shared" si="125"/>
        <v>0.3744940028738431</v>
      </c>
      <c r="R166" s="6">
        <f t="shared" si="126"/>
        <v>0.47852011478324413</v>
      </c>
      <c r="S166" s="6">
        <f t="shared" si="127"/>
        <v>0.14698588234291282</v>
      </c>
      <c r="T166" s="4">
        <f t="shared" si="128"/>
        <v>1307.0266281769289</v>
      </c>
      <c r="U166" s="4">
        <f t="shared" si="129"/>
        <v>1670.0895804482986</v>
      </c>
      <c r="V166" s="4">
        <f t="shared" si="130"/>
        <v>2977.1162086252275</v>
      </c>
      <c r="W166" s="4">
        <f t="shared" si="131"/>
        <v>1230.6979783059148</v>
      </c>
      <c r="X166" s="4">
        <f t="shared" si="132"/>
        <v>1572.5585278353362</v>
      </c>
      <c r="Y166" s="4">
        <f t="shared" si="133"/>
        <v>2803.2565061412511</v>
      </c>
      <c r="Z166" s="10">
        <v>43451</v>
      </c>
      <c r="AA166" s="4">
        <v>52.5</v>
      </c>
      <c r="AB166" s="5">
        <v>1</v>
      </c>
      <c r="AC166" s="4">
        <v>77.900000000000006</v>
      </c>
      <c r="AD166" s="4">
        <v>25.4</v>
      </c>
      <c r="AE166" s="4">
        <v>6.2</v>
      </c>
      <c r="AF166" s="4">
        <v>13.6</v>
      </c>
      <c r="AK166" s="3"/>
      <c r="AL166" s="3"/>
      <c r="AM166" s="7"/>
      <c r="AN166" s="7"/>
      <c r="AO166" s="7"/>
      <c r="AP166" s="7"/>
      <c r="AQ166" s="7"/>
      <c r="AR166" s="3"/>
      <c r="AS166" s="3"/>
      <c r="AT166" s="7"/>
      <c r="AU166" s="7"/>
      <c r="AV166" s="7"/>
      <c r="AW166" s="9"/>
      <c r="AX166" s="9"/>
      <c r="AY166" s="9"/>
      <c r="AZ166" s="3"/>
      <c r="BA166" s="3"/>
      <c r="BB166" s="3"/>
      <c r="BC166" s="3"/>
      <c r="BD166" s="3"/>
      <c r="BE166" s="3"/>
      <c r="BG166" s="3"/>
      <c r="BH166" s="7"/>
      <c r="BI166" s="3"/>
      <c r="BJ166" s="3"/>
      <c r="BK166" s="3"/>
      <c r="BL166" s="3"/>
    </row>
    <row r="167" spans="1:64" x14ac:dyDescent="0.3">
      <c r="A167">
        <v>120</v>
      </c>
      <c r="B167" s="1" t="s">
        <v>171</v>
      </c>
      <c r="C167" s="1" t="s">
        <v>32</v>
      </c>
      <c r="D167" s="2">
        <v>43403</v>
      </c>
      <c r="E167" s="3">
        <v>11.6</v>
      </c>
      <c r="F167" s="4">
        <f t="shared" si="122"/>
        <v>2485.6037992125985</v>
      </c>
      <c r="G167" s="7">
        <v>9.76</v>
      </c>
      <c r="H167" s="7">
        <v>146.34</v>
      </c>
      <c r="I167" s="7">
        <f t="shared" si="206"/>
        <v>136.58000000000001</v>
      </c>
      <c r="J167" s="7">
        <v>127.2</v>
      </c>
      <c r="K167" s="5">
        <f t="shared" si="123"/>
        <v>6.8677698052423546</v>
      </c>
      <c r="L167" s="4">
        <f t="shared" si="124"/>
        <v>2314.8982520123191</v>
      </c>
      <c r="M167" s="2">
        <v>43440</v>
      </c>
      <c r="N167" s="7">
        <v>4.88</v>
      </c>
      <c r="O167" s="7">
        <v>2.06</v>
      </c>
      <c r="P167" s="7">
        <v>3.88</v>
      </c>
      <c r="Q167" s="6">
        <f t="shared" si="125"/>
        <v>0.38551494254632263</v>
      </c>
      <c r="R167" s="6">
        <f t="shared" si="126"/>
        <v>0.47118492977883875</v>
      </c>
      <c r="S167" s="6">
        <f t="shared" si="127"/>
        <v>0.14330012767483857</v>
      </c>
      <c r="T167" s="4">
        <f t="shared" si="128"/>
        <v>958.23740584636619</v>
      </c>
      <c r="U167" s="4">
        <f t="shared" si="129"/>
        <v>1171.1790515900029</v>
      </c>
      <c r="V167" s="4">
        <f t="shared" si="130"/>
        <v>2129.416457436369</v>
      </c>
      <c r="W167" s="4">
        <f t="shared" si="131"/>
        <v>892.42786662511185</v>
      </c>
      <c r="X167" s="4">
        <f t="shared" si="132"/>
        <v>1090.7451703195811</v>
      </c>
      <c r="Y167" s="4">
        <f t="shared" si="133"/>
        <v>1983.173036944693</v>
      </c>
      <c r="Z167" s="10"/>
      <c r="AA167" s="4"/>
      <c r="AB167" s="5"/>
      <c r="AC167" s="4"/>
      <c r="AD167" s="4"/>
      <c r="AE167" s="4"/>
      <c r="AF167" s="4"/>
      <c r="AK167" s="3"/>
      <c r="AL167" s="3"/>
      <c r="AM167" s="7"/>
      <c r="AN167" s="7"/>
      <c r="AO167" s="7"/>
      <c r="AP167" s="7"/>
      <c r="AQ167" s="7"/>
      <c r="AR167" s="3"/>
      <c r="AS167" s="3"/>
      <c r="AT167" s="7"/>
      <c r="AU167" s="7"/>
      <c r="AV167" s="7"/>
      <c r="AW167" s="9"/>
      <c r="AX167" s="9"/>
      <c r="AY167" s="9"/>
      <c r="AZ167" s="3"/>
      <c r="BA167" s="3"/>
      <c r="BB167" s="3"/>
      <c r="BC167" s="3"/>
      <c r="BD167" s="3"/>
      <c r="BE167" s="3"/>
      <c r="BG167" s="3"/>
      <c r="BH167" s="7"/>
      <c r="BI167" s="3"/>
      <c r="BJ167" s="3"/>
      <c r="BK167" s="3"/>
      <c r="BL167" s="3"/>
    </row>
    <row r="168" spans="1:64" x14ac:dyDescent="0.3">
      <c r="A168">
        <v>121</v>
      </c>
      <c r="B168" s="1" t="s">
        <v>172</v>
      </c>
      <c r="C168" s="1" t="s">
        <v>32</v>
      </c>
      <c r="D168" s="2">
        <v>43403</v>
      </c>
      <c r="E168" s="3">
        <v>17.8</v>
      </c>
      <c r="F168" s="4">
        <f t="shared" si="122"/>
        <v>3869.5951377952751</v>
      </c>
      <c r="G168" s="7">
        <v>9.7100000000000009</v>
      </c>
      <c r="H168" s="7">
        <v>189.99</v>
      </c>
      <c r="I168" s="7">
        <f t="shared" si="144"/>
        <v>180.28</v>
      </c>
      <c r="J168" s="7">
        <v>167.77</v>
      </c>
      <c r="K168" s="5">
        <f t="shared" si="123"/>
        <v>6.9392056800532451</v>
      </c>
      <c r="L168" s="4">
        <f t="shared" si="124"/>
        <v>3601.0759721983213</v>
      </c>
      <c r="M168" s="2">
        <v>43440</v>
      </c>
      <c r="N168" s="7">
        <v>7.79</v>
      </c>
      <c r="O168" s="7">
        <v>3.08</v>
      </c>
      <c r="P168" s="7">
        <v>5.32</v>
      </c>
      <c r="Q168" s="6">
        <f t="shared" si="125"/>
        <v>0.37207683573487998</v>
      </c>
      <c r="R168" s="6">
        <f t="shared" si="126"/>
        <v>0.48026939080672454</v>
      </c>
      <c r="S168" s="6">
        <f t="shared" si="127"/>
        <v>0.14765377345839542</v>
      </c>
      <c r="T168" s="4">
        <f t="shared" si="128"/>
        <v>1439.7867144459428</v>
      </c>
      <c r="U168" s="4">
        <f t="shared" si="129"/>
        <v>1858.4480994976002</v>
      </c>
      <c r="V168" s="4">
        <f t="shared" si="130"/>
        <v>3298.234813943543</v>
      </c>
      <c r="W168" s="4">
        <f t="shared" si="131"/>
        <v>1339.8769529764581</v>
      </c>
      <c r="X168" s="4">
        <f t="shared" si="132"/>
        <v>1729.4865634164212</v>
      </c>
      <c r="Y168" s="4">
        <f t="shared" si="133"/>
        <v>3069.3635163928793</v>
      </c>
      <c r="Z168" s="10"/>
      <c r="AA168" s="4"/>
      <c r="AB168" s="5"/>
      <c r="AC168" s="4"/>
      <c r="AD168" s="4"/>
      <c r="AE168" s="4"/>
      <c r="AF168" s="4"/>
      <c r="AH168" t="s">
        <v>286</v>
      </c>
      <c r="AI168" t="str">
        <f>C168</f>
        <v>Machine</v>
      </c>
      <c r="AJ168" s="8">
        <f>D168</f>
        <v>43403</v>
      </c>
      <c r="AK168" s="3">
        <f>SUM(E168:E170)</f>
        <v>57.800000000000004</v>
      </c>
      <c r="AL168" s="3">
        <f>(AK168-3*$A$35)*$A$36/(3*$A$37)*$A$38</f>
        <v>4196.9909383202103</v>
      </c>
      <c r="AM168" s="7">
        <f>SUM(G168:G170)</f>
        <v>29.1</v>
      </c>
      <c r="AN168" s="7">
        <f>SUM(H168:H170)</f>
        <v>480.07</v>
      </c>
      <c r="AO168" s="7">
        <f>AN168-AM168</f>
        <v>450.96999999999997</v>
      </c>
      <c r="AP168" s="7">
        <f>SUM(J168:J170)</f>
        <v>420.44000000000005</v>
      </c>
      <c r="AQ168" s="7">
        <f>(AO168-AP168)/AO168*100</f>
        <v>6.7698516531032924</v>
      </c>
      <c r="AR168" s="3">
        <f>AL168*(1-AQ168/100)</f>
        <v>3912.8608779017445</v>
      </c>
      <c r="AS168" s="11">
        <f>M168</f>
        <v>43440</v>
      </c>
      <c r="AT168" s="7">
        <f>SUM(N168:N170)</f>
        <v>25.28</v>
      </c>
      <c r="AU168" s="7">
        <f>SUM(O168:O170)</f>
        <v>9.86</v>
      </c>
      <c r="AV168" s="7">
        <f>SUM(P168:P170)</f>
        <v>16.96</v>
      </c>
      <c r="AW168" s="9">
        <f>(AU168-3*$A$39)/(AT168-3*$A$35*$A$36)</f>
        <v>0.36839825917443647</v>
      </c>
      <c r="AX168" s="9">
        <f>(AV168-3*$A$40)/(AT168-3*$A$35*$A$36)</f>
        <v>0.4836241464052074</v>
      </c>
      <c r="AY168" s="9">
        <f>1-AW168-AX168</f>
        <v>0.14797759442035613</v>
      </c>
      <c r="AZ168" s="3">
        <f>AL168*AW168</f>
        <v>1546.1641554480502</v>
      </c>
      <c r="BA168" s="3">
        <f>AL168*AX168</f>
        <v>2029.7661600155022</v>
      </c>
      <c r="BB168" s="3">
        <f>AZ168+BA168</f>
        <v>3575.9303154635527</v>
      </c>
      <c r="BC168" s="3">
        <f>AR168*AW168</f>
        <v>1441.4911358107599</v>
      </c>
      <c r="BD168" s="3">
        <f>AR168*AX168</f>
        <v>1892.3540020775617</v>
      </c>
      <c r="BE168" s="3">
        <f>BC168+BD168</f>
        <v>3333.8451378883219</v>
      </c>
      <c r="BF168" s="11">
        <f>Z169</f>
        <v>43451</v>
      </c>
      <c r="BG168" s="3">
        <f>AVERAGE(AA168:AA170)</f>
        <v>44.699999999999996</v>
      </c>
      <c r="BH168" s="7">
        <f t="shared" ref="BH168" si="227">AVERAGE(AB168:AB170)</f>
        <v>1.07</v>
      </c>
      <c r="BI168" s="3">
        <f t="shared" ref="BI168" si="228">AVERAGE(AC168:AC170)</f>
        <v>77.3</v>
      </c>
      <c r="BJ168" s="3">
        <f t="shared" ref="BJ168" si="229">AVERAGE(AD168:AD170)</f>
        <v>28.7</v>
      </c>
      <c r="BK168" s="3">
        <f t="shared" ref="BK168" si="230">AVERAGE(AE168:AE170)</f>
        <v>6.4</v>
      </c>
      <c r="BL168" s="3">
        <f t="shared" ref="BL168" si="231">AVERAGE(AF168:AF170)</f>
        <v>12.2</v>
      </c>
    </row>
    <row r="169" spans="1:64" x14ac:dyDescent="0.3">
      <c r="A169">
        <v>122</v>
      </c>
      <c r="B169" s="1" t="s">
        <v>173</v>
      </c>
      <c r="C169" s="1" t="s">
        <v>32</v>
      </c>
      <c r="D169" s="2">
        <v>43403</v>
      </c>
      <c r="E169" s="3">
        <v>19.899999999999999</v>
      </c>
      <c r="F169" s="4">
        <f t="shared" si="122"/>
        <v>4338.3663976377948</v>
      </c>
      <c r="G169" s="7">
        <v>9.68</v>
      </c>
      <c r="H169" s="7">
        <v>158.28</v>
      </c>
      <c r="I169" s="7">
        <f t="shared" si="144"/>
        <v>148.6</v>
      </c>
      <c r="J169" s="7">
        <v>139.44</v>
      </c>
      <c r="K169" s="5">
        <f t="shared" si="123"/>
        <v>6.164199192462986</v>
      </c>
      <c r="L169" s="4">
        <f t="shared" si="124"/>
        <v>4070.9408511885204</v>
      </c>
      <c r="M169" s="2">
        <v>43440</v>
      </c>
      <c r="N169" s="7">
        <v>8.64</v>
      </c>
      <c r="O169" s="7">
        <v>3.34</v>
      </c>
      <c r="P169" s="7">
        <v>5.68</v>
      </c>
      <c r="Q169" s="6">
        <f t="shared" si="125"/>
        <v>0.36540169298576758</v>
      </c>
      <c r="R169" s="6">
        <f t="shared" si="126"/>
        <v>0.47454765322826958</v>
      </c>
      <c r="S169" s="6">
        <f t="shared" si="127"/>
        <v>0.16005065378596289</v>
      </c>
      <c r="T169" s="4">
        <f t="shared" si="128"/>
        <v>1585.2464264894159</v>
      </c>
      <c r="U169" s="4">
        <f t="shared" si="129"/>
        <v>2058.7615928433975</v>
      </c>
      <c r="V169" s="4">
        <f t="shared" si="130"/>
        <v>3644.0080193328131</v>
      </c>
      <c r="W169" s="4">
        <f t="shared" si="131"/>
        <v>1487.5286790692071</v>
      </c>
      <c r="X169" s="4">
        <f t="shared" si="132"/>
        <v>1931.8554273626066</v>
      </c>
      <c r="Y169" s="4">
        <f t="shared" si="133"/>
        <v>3419.384106431814</v>
      </c>
      <c r="Z169" s="10">
        <v>43451</v>
      </c>
      <c r="AA169" s="4">
        <v>44.699999999999996</v>
      </c>
      <c r="AB169" s="5">
        <v>1.07</v>
      </c>
      <c r="AC169" s="4">
        <v>77.3</v>
      </c>
      <c r="AD169" s="4">
        <v>28.7</v>
      </c>
      <c r="AE169" s="4">
        <v>6.4</v>
      </c>
      <c r="AF169" s="4">
        <v>12.2</v>
      </c>
      <c r="AK169" s="3"/>
      <c r="AL169" s="3"/>
      <c r="AM169" s="7"/>
      <c r="AN169" s="7"/>
      <c r="AO169" s="7"/>
      <c r="AP169" s="7"/>
      <c r="AQ169" s="7"/>
      <c r="AR169" s="3"/>
      <c r="AS169" s="3"/>
      <c r="AT169" s="7"/>
      <c r="AU169" s="7"/>
      <c r="AV169" s="7"/>
      <c r="AW169" s="9"/>
      <c r="AX169" s="9"/>
      <c r="AY169" s="9"/>
      <c r="AZ169" s="3"/>
      <c r="BA169" s="3"/>
      <c r="BB169" s="3"/>
      <c r="BC169" s="3"/>
      <c r="BD169" s="3"/>
      <c r="BE169" s="3"/>
      <c r="BG169" s="3"/>
      <c r="BH169" s="7"/>
      <c r="BI169" s="3"/>
      <c r="BJ169" s="3"/>
      <c r="BK169" s="3"/>
      <c r="BL169" s="3"/>
    </row>
    <row r="170" spans="1:64" x14ac:dyDescent="0.3">
      <c r="A170">
        <v>123</v>
      </c>
      <c r="B170" s="1" t="s">
        <v>174</v>
      </c>
      <c r="C170" s="1" t="s">
        <v>32</v>
      </c>
      <c r="D170" s="2">
        <v>43403</v>
      </c>
      <c r="E170" s="3">
        <v>20.100000000000001</v>
      </c>
      <c r="F170" s="4">
        <f t="shared" si="122"/>
        <v>4383.0112795275591</v>
      </c>
      <c r="G170" s="7">
        <v>9.7100000000000009</v>
      </c>
      <c r="H170" s="7">
        <v>131.80000000000001</v>
      </c>
      <c r="I170" s="7">
        <f t="shared" si="144"/>
        <v>122.09</v>
      </c>
      <c r="J170" s="7">
        <v>113.23</v>
      </c>
      <c r="K170" s="5">
        <f t="shared" si="123"/>
        <v>7.2569416004586778</v>
      </c>
      <c r="L170" s="4">
        <f t="shared" si="124"/>
        <v>4064.9387106307277</v>
      </c>
      <c r="M170" s="2">
        <v>43440</v>
      </c>
      <c r="N170" s="7">
        <v>8.85</v>
      </c>
      <c r="O170" s="7">
        <v>3.44</v>
      </c>
      <c r="P170" s="7">
        <v>5.96</v>
      </c>
      <c r="Q170" s="6">
        <f t="shared" si="125"/>
        <v>0.36809476276021674</v>
      </c>
      <c r="R170" s="6">
        <f t="shared" si="126"/>
        <v>0.49542313981563774</v>
      </c>
      <c r="S170" s="6">
        <f t="shared" si="127"/>
        <v>0.13648209742414558</v>
      </c>
      <c r="T170" s="4">
        <f t="shared" si="128"/>
        <v>1613.3634971130509</v>
      </c>
      <c r="U170" s="4">
        <f t="shared" si="129"/>
        <v>2171.445209950899</v>
      </c>
      <c r="V170" s="4">
        <f t="shared" si="130"/>
        <v>3784.8087070639499</v>
      </c>
      <c r="W170" s="4">
        <f t="shared" si="131"/>
        <v>1496.2826503244389</v>
      </c>
      <c r="X170" s="4">
        <f t="shared" si="132"/>
        <v>2013.8646991788053</v>
      </c>
      <c r="Y170" s="4">
        <f t="shared" si="133"/>
        <v>3510.1473495032442</v>
      </c>
      <c r="Z170" s="10"/>
      <c r="AA170" s="4"/>
      <c r="AB170" s="5"/>
      <c r="AC170" s="4"/>
      <c r="AD170" s="4"/>
      <c r="AE170" s="4"/>
      <c r="AF170" s="4"/>
      <c r="AK170" s="3"/>
      <c r="AL170" s="3"/>
      <c r="AM170" s="7"/>
      <c r="AN170" s="7"/>
      <c r="AO170" s="7"/>
      <c r="AP170" s="7"/>
      <c r="AQ170" s="7"/>
      <c r="AR170" s="3"/>
      <c r="AS170" s="3"/>
      <c r="AT170" s="7"/>
      <c r="AU170" s="7"/>
      <c r="AV170" s="7"/>
      <c r="AW170" s="9"/>
      <c r="AX170" s="9"/>
      <c r="AY170" s="9"/>
      <c r="AZ170" s="3"/>
      <c r="BA170" s="3"/>
      <c r="BB170" s="3"/>
      <c r="BC170" s="3"/>
      <c r="BD170" s="3"/>
      <c r="BE170" s="3"/>
      <c r="BG170" s="3"/>
      <c r="BH170" s="7"/>
      <c r="BI170" s="3"/>
      <c r="BJ170" s="3"/>
      <c r="BK170" s="3"/>
      <c r="BL170" s="3"/>
    </row>
    <row r="171" spans="1:64" x14ac:dyDescent="0.3">
      <c r="A171">
        <v>124</v>
      </c>
      <c r="B171" s="1" t="s">
        <v>175</v>
      </c>
      <c r="C171" s="1" t="s">
        <v>32</v>
      </c>
      <c r="D171" s="2">
        <v>43403</v>
      </c>
      <c r="E171" s="3">
        <v>17.3</v>
      </c>
      <c r="F171" s="4">
        <f t="shared" si="122"/>
        <v>3757.9829330708662</v>
      </c>
      <c r="G171" s="7">
        <v>9.7200000000000006</v>
      </c>
      <c r="H171" s="7">
        <v>144.08000000000001</v>
      </c>
      <c r="I171" s="7">
        <f t="shared" si="144"/>
        <v>134.36000000000001</v>
      </c>
      <c r="J171" s="7">
        <v>125.31</v>
      </c>
      <c r="K171" s="5">
        <f t="shared" si="123"/>
        <v>6.7356356058350775</v>
      </c>
      <c r="L171" s="4">
        <f t="shared" si="124"/>
        <v>3504.8588965697395</v>
      </c>
      <c r="M171" s="2">
        <v>43440</v>
      </c>
      <c r="N171" s="7">
        <v>7.69</v>
      </c>
      <c r="O171" s="7">
        <v>3</v>
      </c>
      <c r="P171" s="7">
        <v>5.3</v>
      </c>
      <c r="Q171" s="6">
        <f t="shared" si="125"/>
        <v>0.36635523387628766</v>
      </c>
      <c r="R171" s="6">
        <f t="shared" si="126"/>
        <v>0.48401676884385447</v>
      </c>
      <c r="S171" s="6">
        <f t="shared" si="127"/>
        <v>0.14962799727985787</v>
      </c>
      <c r="T171" s="4">
        <f t="shared" si="128"/>
        <v>1376.7567163482747</v>
      </c>
      <c r="U171" s="4">
        <f t="shared" si="129"/>
        <v>1818.9267566353117</v>
      </c>
      <c r="V171" s="4">
        <f t="shared" si="130"/>
        <v>3195.6834729835864</v>
      </c>
      <c r="W171" s="4">
        <f t="shared" si="131"/>
        <v>1284.0234007561944</v>
      </c>
      <c r="X171" s="4">
        <f t="shared" si="132"/>
        <v>1696.4104783713224</v>
      </c>
      <c r="Y171" s="4">
        <f t="shared" si="133"/>
        <v>2980.4338791275168</v>
      </c>
      <c r="Z171" s="10"/>
      <c r="AA171" s="4"/>
      <c r="AB171" s="5"/>
      <c r="AC171" s="4"/>
      <c r="AD171" s="4"/>
      <c r="AE171" s="4"/>
      <c r="AF171" s="4"/>
      <c r="AH171" t="s">
        <v>287</v>
      </c>
      <c r="AI171" t="str">
        <f>C171</f>
        <v>Machine</v>
      </c>
      <c r="AJ171" s="8">
        <f>D171</f>
        <v>43403</v>
      </c>
      <c r="AK171" s="3">
        <f>SUM(E171:E173)</f>
        <v>55.300000000000004</v>
      </c>
      <c r="AL171" s="3">
        <f>(AK171-3*$A$35)*$A$36/(3*$A$37)*$A$38</f>
        <v>4010.9705971128606</v>
      </c>
      <c r="AM171" s="7">
        <f>SUM(G171:G173)</f>
        <v>29.1</v>
      </c>
      <c r="AN171" s="7">
        <f>SUM(H171:H173)</f>
        <v>441.71</v>
      </c>
      <c r="AO171" s="7">
        <f>AN171-AM171</f>
        <v>412.60999999999996</v>
      </c>
      <c r="AP171" s="7">
        <f>SUM(J171:J173)</f>
        <v>385.17000000000007</v>
      </c>
      <c r="AQ171" s="7">
        <f>(AO171-AP171)/AO171*100</f>
        <v>6.6503477860449065</v>
      </c>
      <c r="AR171" s="3">
        <f>AL171*(1-AQ171/100)</f>
        <v>3744.227102808853</v>
      </c>
      <c r="AS171" s="11">
        <f>M171</f>
        <v>43440</v>
      </c>
      <c r="AT171" s="7">
        <f>SUM(N171:N173)</f>
        <v>24.4</v>
      </c>
      <c r="AU171" s="7">
        <f>SUM(O171:O173)</f>
        <v>9.6</v>
      </c>
      <c r="AV171" s="7">
        <f>SUM(P171:P173)</f>
        <v>16.579999999999998</v>
      </c>
      <c r="AW171" s="9">
        <f>(AU171-3*$A$39)/(AT171-3*$A$35*$A$36)</f>
        <v>0.3710990553267105</v>
      </c>
      <c r="AX171" s="9">
        <f>(AV171-3*$A$40)/(AT171-3*$A$35*$A$36)</f>
        <v>0.48554230141385929</v>
      </c>
      <c r="AY171" s="9">
        <f>1-AW171-AX171</f>
        <v>0.14335864325943021</v>
      </c>
      <c r="AZ171" s="3">
        <f>AL171*AW171</f>
        <v>1488.4673995317944</v>
      </c>
      <c r="BA171" s="3">
        <f>AL171*AX171</f>
        <v>1947.4958946254997</v>
      </c>
      <c r="BB171" s="3">
        <f>AZ171+BA171</f>
        <v>3435.9632941572941</v>
      </c>
      <c r="BC171" s="3">
        <f>AR171*AW171</f>
        <v>1389.4791407810314</v>
      </c>
      <c r="BD171" s="3">
        <f>AR171*AX171</f>
        <v>1817.9806445139573</v>
      </c>
      <c r="BE171" s="3">
        <f>BC171+BD171</f>
        <v>3207.4597852949887</v>
      </c>
      <c r="BF171" s="11">
        <f>Z172</f>
        <v>43451</v>
      </c>
      <c r="BG171" s="3">
        <f>AVERAGE(AA171:AA173)</f>
        <v>48.5</v>
      </c>
      <c r="BH171" s="7">
        <f t="shared" ref="BH171" si="232">AVERAGE(AB171:AB173)</f>
        <v>1.06</v>
      </c>
      <c r="BI171" s="3">
        <f t="shared" ref="BI171" si="233">AVERAGE(AC171:AC173)</f>
        <v>77.8</v>
      </c>
      <c r="BJ171" s="3">
        <f t="shared" ref="BJ171" si="234">AVERAGE(AD171:AD173)</f>
        <v>28.3</v>
      </c>
      <c r="BK171" s="3">
        <f t="shared" ref="BK171" si="235">AVERAGE(AE171:AE173)</f>
        <v>6.2</v>
      </c>
      <c r="BL171" s="3">
        <f t="shared" ref="BL171" si="236">AVERAGE(AF171:AF173)</f>
        <v>12.3</v>
      </c>
    </row>
    <row r="172" spans="1:64" x14ac:dyDescent="0.3">
      <c r="A172">
        <v>125</v>
      </c>
      <c r="B172" s="1" t="s">
        <v>176</v>
      </c>
      <c r="C172" s="1" t="s">
        <v>32</v>
      </c>
      <c r="D172" s="2">
        <v>43403</v>
      </c>
      <c r="E172" s="3">
        <v>19.600000000000001</v>
      </c>
      <c r="F172" s="4">
        <f t="shared" si="122"/>
        <v>4271.3990748031492</v>
      </c>
      <c r="G172" s="7">
        <v>9.7100000000000009</v>
      </c>
      <c r="H172" s="7">
        <v>149.93</v>
      </c>
      <c r="I172" s="7">
        <f t="shared" si="144"/>
        <v>140.22</v>
      </c>
      <c r="J172" s="7">
        <v>131.4</v>
      </c>
      <c r="K172" s="5">
        <f t="shared" si="123"/>
        <v>6.2901155327342693</v>
      </c>
      <c r="L172" s="4">
        <f t="shared" si="124"/>
        <v>4002.7231381338888</v>
      </c>
      <c r="M172" s="2">
        <v>43440</v>
      </c>
      <c r="N172" s="7">
        <v>8.56</v>
      </c>
      <c r="O172" s="7">
        <v>3.36</v>
      </c>
      <c r="P172" s="7">
        <v>5.68</v>
      </c>
      <c r="Q172" s="6">
        <f t="shared" si="125"/>
        <v>0.37129840700574834</v>
      </c>
      <c r="R172" s="6">
        <f t="shared" si="126"/>
        <v>0.47909471871709469</v>
      </c>
      <c r="S172" s="6">
        <f t="shared" si="127"/>
        <v>0.14960687427715696</v>
      </c>
      <c r="T172" s="4">
        <f t="shared" si="128"/>
        <v>1585.9636721602367</v>
      </c>
      <c r="U172" s="4">
        <f t="shared" si="129"/>
        <v>2046.4047382712733</v>
      </c>
      <c r="V172" s="4">
        <f t="shared" si="130"/>
        <v>3632.3684104315098</v>
      </c>
      <c r="W172" s="4">
        <f t="shared" si="131"/>
        <v>1486.2047248741628</v>
      </c>
      <c r="X172" s="4">
        <f t="shared" si="132"/>
        <v>1917.6835159666621</v>
      </c>
      <c r="Y172" s="4">
        <f t="shared" si="133"/>
        <v>3403.8882408408249</v>
      </c>
      <c r="Z172" s="10">
        <v>43451</v>
      </c>
      <c r="AA172" s="4">
        <v>48.5</v>
      </c>
      <c r="AB172" s="5">
        <v>1.06</v>
      </c>
      <c r="AC172" s="4">
        <v>77.8</v>
      </c>
      <c r="AD172" s="4">
        <v>28.3</v>
      </c>
      <c r="AE172" s="4">
        <v>6.2</v>
      </c>
      <c r="AF172" s="4">
        <v>12.3</v>
      </c>
      <c r="AK172" s="3"/>
      <c r="AL172" s="3"/>
      <c r="AM172" s="7"/>
      <c r="AN172" s="7"/>
      <c r="AO172" s="7"/>
      <c r="AP172" s="7"/>
      <c r="AQ172" s="7"/>
      <c r="AR172" s="3"/>
      <c r="AS172" s="3"/>
      <c r="AT172" s="7"/>
      <c r="AU172" s="7"/>
      <c r="AV172" s="7"/>
      <c r="AW172" s="9"/>
      <c r="AX172" s="9"/>
      <c r="AY172" s="9"/>
      <c r="AZ172" s="3"/>
      <c r="BA172" s="3"/>
      <c r="BB172" s="3"/>
      <c r="BC172" s="3"/>
      <c r="BD172" s="3"/>
      <c r="BE172" s="3"/>
      <c r="BG172" s="3"/>
      <c r="BH172" s="7"/>
      <c r="BI172" s="3"/>
      <c r="BJ172" s="3"/>
      <c r="BK172" s="3"/>
      <c r="BL172" s="3"/>
    </row>
    <row r="173" spans="1:64" x14ac:dyDescent="0.3">
      <c r="A173">
        <v>126</v>
      </c>
      <c r="B173" s="1" t="s">
        <v>177</v>
      </c>
      <c r="C173" s="1" t="s">
        <v>32</v>
      </c>
      <c r="D173" s="2">
        <v>43403</v>
      </c>
      <c r="E173" s="3">
        <v>18.399999999999999</v>
      </c>
      <c r="F173" s="4">
        <f t="shared" si="122"/>
        <v>4003.5297834645667</v>
      </c>
      <c r="G173" s="7">
        <v>9.67</v>
      </c>
      <c r="H173" s="7">
        <v>147.69999999999999</v>
      </c>
      <c r="I173" s="7">
        <f t="shared" si="144"/>
        <v>138.03</v>
      </c>
      <c r="J173" s="7">
        <v>128.46</v>
      </c>
      <c r="K173" s="5">
        <f t="shared" si="123"/>
        <v>6.933275374918491</v>
      </c>
      <c r="L173" s="4">
        <f t="shared" si="124"/>
        <v>3725.9540388600903</v>
      </c>
      <c r="M173" s="2">
        <v>43440</v>
      </c>
      <c r="N173" s="7">
        <v>8.15</v>
      </c>
      <c r="O173" s="7">
        <v>3.24</v>
      </c>
      <c r="P173" s="7">
        <v>5.6</v>
      </c>
      <c r="Q173" s="6">
        <f t="shared" si="125"/>
        <v>0.3753583671030325</v>
      </c>
      <c r="R173" s="6">
        <f t="shared" si="126"/>
        <v>0.49375999967915674</v>
      </c>
      <c r="S173" s="6">
        <f t="shared" si="127"/>
        <v>0.13088163321781077</v>
      </c>
      <c r="T173" s="4">
        <f t="shared" si="128"/>
        <v>1502.7584021696171</v>
      </c>
      <c r="U173" s="4">
        <f t="shared" si="129"/>
        <v>1976.7828645989589</v>
      </c>
      <c r="V173" s="4">
        <f t="shared" si="130"/>
        <v>3479.541266768576</v>
      </c>
      <c r="W173" s="4">
        <f t="shared" si="131"/>
        <v>1398.5680239274725</v>
      </c>
      <c r="X173" s="4">
        <f t="shared" si="132"/>
        <v>1839.7270650321109</v>
      </c>
      <c r="Y173" s="4">
        <f t="shared" si="133"/>
        <v>3238.2950889595832</v>
      </c>
      <c r="Z173" s="10"/>
      <c r="AA173" s="4"/>
      <c r="AB173" s="5"/>
      <c r="AC173" s="4"/>
      <c r="AD173" s="4"/>
      <c r="AE173" s="4"/>
      <c r="AF173" s="4"/>
      <c r="AK173" s="3"/>
      <c r="AL173" s="3"/>
      <c r="AM173" s="7"/>
      <c r="AN173" s="7"/>
      <c r="AO173" s="7"/>
      <c r="AP173" s="7"/>
      <c r="AQ173" s="7"/>
      <c r="AR173" s="3"/>
      <c r="AS173" s="3"/>
      <c r="AT173" s="7"/>
      <c r="AU173" s="7"/>
      <c r="AV173" s="7"/>
      <c r="AW173" s="9"/>
      <c r="AX173" s="9"/>
      <c r="AY173" s="9"/>
      <c r="AZ173" s="3"/>
      <c r="BA173" s="3"/>
      <c r="BB173" s="3"/>
      <c r="BC173" s="3"/>
      <c r="BD173" s="3"/>
      <c r="BE173" s="3"/>
      <c r="BG173" s="3"/>
      <c r="BH173" s="7"/>
      <c r="BI173" s="3"/>
      <c r="BJ173" s="3"/>
      <c r="BK173" s="3"/>
      <c r="BL173" s="3"/>
    </row>
    <row r="174" spans="1:64" x14ac:dyDescent="0.3">
      <c r="A174">
        <v>127</v>
      </c>
      <c r="B174" s="1" t="s">
        <v>178</v>
      </c>
      <c r="C174" s="1" t="s">
        <v>32</v>
      </c>
      <c r="D174" s="2">
        <v>43403</v>
      </c>
      <c r="E174" s="3">
        <v>18.899999999999999</v>
      </c>
      <c r="F174" s="4">
        <f t="shared" si="122"/>
        <v>4115.141988188976</v>
      </c>
      <c r="G174" s="7">
        <v>9.6999999999999993</v>
      </c>
      <c r="H174" s="7">
        <v>135.43</v>
      </c>
      <c r="I174" s="7">
        <f t="shared" si="144"/>
        <v>125.73</v>
      </c>
      <c r="J174" s="7">
        <v>118.52</v>
      </c>
      <c r="K174" s="5">
        <f t="shared" si="123"/>
        <v>5.7345104589199138</v>
      </c>
      <c r="L174" s="4">
        <f t="shared" si="124"/>
        <v>3879.1587404768743</v>
      </c>
      <c r="M174" s="2">
        <v>43440</v>
      </c>
      <c r="N174" s="7">
        <v>8.3800000000000008</v>
      </c>
      <c r="O174" s="7">
        <v>3.42</v>
      </c>
      <c r="P174" s="7">
        <v>5.68</v>
      </c>
      <c r="Q174" s="6">
        <f t="shared" si="125"/>
        <v>0.38682447819226323</v>
      </c>
      <c r="R174" s="6">
        <f t="shared" si="126"/>
        <v>0.48965123821805467</v>
      </c>
      <c r="S174" s="6">
        <f t="shared" si="127"/>
        <v>0.12352428358968215</v>
      </c>
      <c r="T174" s="4">
        <f t="shared" si="128"/>
        <v>1591.8376522682734</v>
      </c>
      <c r="U174" s="4">
        <f t="shared" si="129"/>
        <v>2014.9843699598393</v>
      </c>
      <c r="V174" s="4">
        <f t="shared" si="130"/>
        <v>3606.8220222281125</v>
      </c>
      <c r="W174" s="4">
        <f t="shared" si="131"/>
        <v>1500.5535556099239</v>
      </c>
      <c r="X174" s="4">
        <f t="shared" si="132"/>
        <v>1899.4348805188908</v>
      </c>
      <c r="Y174" s="4">
        <f t="shared" si="133"/>
        <v>3399.988436128815</v>
      </c>
      <c r="Z174" s="10"/>
      <c r="AA174" s="4"/>
      <c r="AB174" s="5"/>
      <c r="AC174" s="4"/>
      <c r="AD174" s="4"/>
      <c r="AE174" s="4"/>
      <c r="AF174" s="4"/>
      <c r="AH174" t="s">
        <v>288</v>
      </c>
      <c r="AI174" t="str">
        <f>C174</f>
        <v>Machine</v>
      </c>
      <c r="AJ174" s="8">
        <f>D174</f>
        <v>43403</v>
      </c>
      <c r="AK174" s="3">
        <f>SUM(E174:E176)</f>
        <v>58.2</v>
      </c>
      <c r="AL174" s="3">
        <f>(AK174-3*$A$35)*$A$36/(3*$A$37)*$A$38</f>
        <v>4226.7541929133859</v>
      </c>
      <c r="AM174" s="7">
        <f>SUM(G174:G176)</f>
        <v>29.099999999999998</v>
      </c>
      <c r="AN174" s="7">
        <f>SUM(H174:H176)</f>
        <v>457.79000000000008</v>
      </c>
      <c r="AO174" s="7">
        <f>AN174-AM174</f>
        <v>428.69000000000005</v>
      </c>
      <c r="AP174" s="7">
        <f>SUM(J174:J176)</f>
        <v>403.24</v>
      </c>
      <c r="AQ174" s="7">
        <f>(AO174-AP174)/AO174*100</f>
        <v>5.9366908488651573</v>
      </c>
      <c r="AR174" s="3">
        <f>AL174*(1-AQ174/100)</f>
        <v>3975.8248635386726</v>
      </c>
      <c r="AS174" s="11">
        <f>M174</f>
        <v>43440</v>
      </c>
      <c r="AT174" s="7">
        <f>SUM(N174:N176)</f>
        <v>25.72</v>
      </c>
      <c r="AU174" s="7">
        <f>SUM(O174:O176)</f>
        <v>10.48</v>
      </c>
      <c r="AV174" s="7">
        <f>SUM(P174:P176)</f>
        <v>17.22</v>
      </c>
      <c r="AW174" s="9">
        <f>(AU174-3*$A$39)/(AT174-3*$A$35*$A$36)</f>
        <v>0.38665075651154279</v>
      </c>
      <c r="AX174" s="9">
        <f>(AV174-3*$A$40)/(AT174-3*$A$35*$A$36)</f>
        <v>0.48550579528975163</v>
      </c>
      <c r="AY174" s="9">
        <f>1-AW174-AX174</f>
        <v>0.12784344819870558</v>
      </c>
      <c r="AZ174" s="3">
        <f>AL174*AW174</f>
        <v>1634.2777062782961</v>
      </c>
      <c r="BA174" s="3">
        <f>AL174*AX174</f>
        <v>2052.1136559247057</v>
      </c>
      <c r="BB174" s="3">
        <f>AZ174+BA174</f>
        <v>3686.3913622030018</v>
      </c>
      <c r="BC174" s="3">
        <f>AR174*AW174</f>
        <v>1537.2556912446291</v>
      </c>
      <c r="BD174" s="3">
        <f>AR174*AX174</f>
        <v>1930.2860123051114</v>
      </c>
      <c r="BE174" s="3">
        <f>BC174+BD174</f>
        <v>3467.5417035497403</v>
      </c>
      <c r="BF174" s="11">
        <f>Z175</f>
        <v>43451</v>
      </c>
      <c r="BG174" s="3">
        <f>AVERAGE(AA174:AA176)</f>
        <v>50.7</v>
      </c>
      <c r="BH174" s="7">
        <f t="shared" ref="BH174" si="237">AVERAGE(AB174:AB176)</f>
        <v>1.01</v>
      </c>
      <c r="BI174" s="3">
        <f t="shared" ref="BI174" si="238">AVERAGE(AC174:AC176)</f>
        <v>76.900000000000006</v>
      </c>
      <c r="BJ174" s="3">
        <f t="shared" ref="BJ174" si="239">AVERAGE(AD174:AD176)</f>
        <v>27.3</v>
      </c>
      <c r="BK174" s="3">
        <f t="shared" ref="BK174" si="240">AVERAGE(AE174:AE176)</f>
        <v>6.2</v>
      </c>
      <c r="BL174" s="3">
        <f t="shared" ref="BL174" si="241">AVERAGE(AF174:AF176)</f>
        <v>14.3</v>
      </c>
    </row>
    <row r="175" spans="1:64" x14ac:dyDescent="0.3">
      <c r="A175">
        <v>128</v>
      </c>
      <c r="B175" s="1" t="s">
        <v>179</v>
      </c>
      <c r="C175" s="1" t="s">
        <v>32</v>
      </c>
      <c r="D175" s="2">
        <v>43403</v>
      </c>
      <c r="E175" s="3">
        <v>21</v>
      </c>
      <c r="F175" s="4">
        <f t="shared" si="122"/>
        <v>4583.9132480314966</v>
      </c>
      <c r="G175" s="7">
        <v>9.6999999999999993</v>
      </c>
      <c r="H175" s="7">
        <v>149.65</v>
      </c>
      <c r="I175" s="7">
        <f t="shared" si="144"/>
        <v>139.95000000000002</v>
      </c>
      <c r="J175" s="7">
        <v>131.88999999999999</v>
      </c>
      <c r="K175" s="5">
        <f t="shared" si="123"/>
        <v>5.7591997141836586</v>
      </c>
      <c r="L175" s="4">
        <f t="shared" si="124"/>
        <v>4319.9165293524393</v>
      </c>
      <c r="M175" s="2">
        <v>43440</v>
      </c>
      <c r="N175" s="7">
        <v>9.23</v>
      </c>
      <c r="O175" s="7">
        <v>3.76</v>
      </c>
      <c r="P175" s="7">
        <v>6</v>
      </c>
      <c r="Q175" s="6">
        <f t="shared" si="125"/>
        <v>0.38806620061675201</v>
      </c>
      <c r="R175" s="6">
        <f t="shared" si="126"/>
        <v>0.47898456761839109</v>
      </c>
      <c r="S175" s="6">
        <f t="shared" si="127"/>
        <v>0.1329492317648569</v>
      </c>
      <c r="T175" s="4">
        <f t="shared" si="128"/>
        <v>1778.8617981203781</v>
      </c>
      <c r="U175" s="4">
        <f t="shared" si="129"/>
        <v>2195.6237051085809</v>
      </c>
      <c r="V175" s="4">
        <f t="shared" si="130"/>
        <v>3974.4855032289588</v>
      </c>
      <c r="W175" s="4">
        <f t="shared" si="131"/>
        <v>1676.4135945273067</v>
      </c>
      <c r="X175" s="4">
        <f t="shared" si="132"/>
        <v>2069.1733509594187</v>
      </c>
      <c r="Y175" s="4">
        <f t="shared" si="133"/>
        <v>3745.5869454867252</v>
      </c>
      <c r="Z175" s="10">
        <v>43451</v>
      </c>
      <c r="AA175" s="4">
        <v>50.7</v>
      </c>
      <c r="AB175" s="5">
        <v>1.01</v>
      </c>
      <c r="AC175" s="4">
        <v>76.900000000000006</v>
      </c>
      <c r="AD175" s="4">
        <v>27.3</v>
      </c>
      <c r="AE175" s="4">
        <v>6.2</v>
      </c>
      <c r="AF175" s="4">
        <v>14.3</v>
      </c>
      <c r="AK175" s="3"/>
      <c r="AL175" s="3"/>
      <c r="AM175" s="7"/>
      <c r="AN175" s="7"/>
      <c r="AO175" s="7"/>
      <c r="AP175" s="7"/>
      <c r="AQ175" s="7"/>
      <c r="AR175" s="3"/>
      <c r="AS175" s="3"/>
      <c r="AT175" s="7"/>
      <c r="AU175" s="7"/>
      <c r="AV175" s="7"/>
      <c r="AW175" s="9"/>
      <c r="AX175" s="9"/>
      <c r="AY175" s="9"/>
      <c r="AZ175" s="3"/>
      <c r="BA175" s="3"/>
      <c r="BB175" s="3"/>
      <c r="BC175" s="3"/>
      <c r="BD175" s="3"/>
      <c r="BE175" s="3"/>
      <c r="BG175" s="3"/>
      <c r="BH175" s="7"/>
      <c r="BI175" s="3"/>
      <c r="BJ175" s="3"/>
      <c r="BK175" s="3"/>
      <c r="BL175" s="3"/>
    </row>
    <row r="176" spans="1:64" x14ac:dyDescent="0.3">
      <c r="A176">
        <v>129</v>
      </c>
      <c r="B176" s="1" t="s">
        <v>180</v>
      </c>
      <c r="C176" s="1" t="s">
        <v>32</v>
      </c>
      <c r="D176" s="2">
        <v>43403</v>
      </c>
      <c r="E176" s="3">
        <v>18.3</v>
      </c>
      <c r="F176" s="4">
        <f t="shared" si="122"/>
        <v>3981.2073425196854</v>
      </c>
      <c r="G176" s="7">
        <v>9.6999999999999993</v>
      </c>
      <c r="H176" s="7">
        <v>172.71</v>
      </c>
      <c r="I176" s="7">
        <f t="shared" si="144"/>
        <v>163.01000000000002</v>
      </c>
      <c r="J176" s="7">
        <v>152.83000000000001</v>
      </c>
      <c r="K176" s="5">
        <f t="shared" si="123"/>
        <v>6.245015643212076</v>
      </c>
      <c r="L176" s="4">
        <f t="shared" si="124"/>
        <v>3732.5803211906236</v>
      </c>
      <c r="M176" s="2">
        <v>43440</v>
      </c>
      <c r="N176" s="7">
        <v>8.11</v>
      </c>
      <c r="O176" s="7">
        <v>3.3</v>
      </c>
      <c r="P176" s="7">
        <v>5.54</v>
      </c>
      <c r="Q176" s="6">
        <f t="shared" si="125"/>
        <v>0.38485495877486853</v>
      </c>
      <c r="R176" s="6">
        <f t="shared" si="126"/>
        <v>0.48866452002335287</v>
      </c>
      <c r="S176" s="6">
        <f t="shared" si="127"/>
        <v>0.12648052120177861</v>
      </c>
      <c r="T176" s="4">
        <f t="shared" si="128"/>
        <v>1532.1873876796174</v>
      </c>
      <c r="U176" s="4">
        <f t="shared" si="129"/>
        <v>1945.4747751458303</v>
      </c>
      <c r="V176" s="4">
        <f t="shared" si="130"/>
        <v>3477.6621628254479</v>
      </c>
      <c r="W176" s="4">
        <f t="shared" si="131"/>
        <v>1436.5020456357031</v>
      </c>
      <c r="X176" s="4">
        <f t="shared" si="132"/>
        <v>1823.9795711032284</v>
      </c>
      <c r="Y176" s="4">
        <f t="shared" si="133"/>
        <v>3260.4816167389317</v>
      </c>
      <c r="Z176" s="10"/>
      <c r="AA176" s="4"/>
      <c r="AB176" s="5"/>
      <c r="AC176" s="4"/>
      <c r="AD176" s="4"/>
      <c r="AE176" s="4"/>
      <c r="AF176" s="4"/>
      <c r="AK176" s="3"/>
      <c r="AL176" s="3"/>
      <c r="AM176" s="7"/>
      <c r="AN176" s="7"/>
      <c r="AO176" s="7"/>
      <c r="AP176" s="7"/>
      <c r="AQ176" s="7"/>
      <c r="AR176" s="3"/>
      <c r="AS176" s="3"/>
      <c r="AT176" s="7"/>
      <c r="AU176" s="7"/>
      <c r="AV176" s="7"/>
      <c r="AW176" s="9"/>
      <c r="AX176" s="9"/>
      <c r="AY176" s="9"/>
      <c r="AZ176" s="3"/>
      <c r="BA176" s="3"/>
      <c r="BB176" s="3"/>
      <c r="BC176" s="3"/>
      <c r="BD176" s="3"/>
      <c r="BE176" s="3"/>
      <c r="BG176" s="3"/>
      <c r="BH176" s="7"/>
      <c r="BI176" s="3"/>
      <c r="BJ176" s="3"/>
      <c r="BK176" s="3"/>
      <c r="BL176" s="3"/>
    </row>
    <row r="177" spans="1:64" x14ac:dyDescent="0.3">
      <c r="A177">
        <v>130</v>
      </c>
      <c r="B177" s="1" t="s">
        <v>181</v>
      </c>
      <c r="C177" s="1" t="s">
        <v>32</v>
      </c>
      <c r="D177" s="2">
        <v>43403</v>
      </c>
      <c r="E177" s="3">
        <v>16.100000000000001</v>
      </c>
      <c r="F177" s="4">
        <f t="shared" ref="F177:F239" si="242">(E177-$A$35)*$A$36/$A$37*$A$38</f>
        <v>3490.1136417322837</v>
      </c>
      <c r="G177" s="7">
        <v>9.7100000000000009</v>
      </c>
      <c r="H177" s="7">
        <v>197.54</v>
      </c>
      <c r="I177" s="7">
        <f t="shared" ref="I177:I227" si="243">H177-G177</f>
        <v>187.82999999999998</v>
      </c>
      <c r="J177" s="7">
        <v>175.7</v>
      </c>
      <c r="K177" s="5">
        <f t="shared" ref="K177:K239" si="244">(I177-J177)/I177*100</f>
        <v>6.4579673108662066</v>
      </c>
      <c r="L177" s="4">
        <f t="shared" ref="L177:L239" si="245">F177*(1-K177/100)</f>
        <v>3264.7232436371305</v>
      </c>
      <c r="M177" s="2">
        <v>43440</v>
      </c>
      <c r="N177" s="7">
        <v>7.09</v>
      </c>
      <c r="O177" s="7">
        <v>2.88</v>
      </c>
      <c r="P177" s="7">
        <v>5.08</v>
      </c>
      <c r="Q177" s="6">
        <f t="shared" ref="Q177:Q239" si="246">(O177-$A$39)/(N177-$A$35*$A$36)</f>
        <v>0.38086489859722111</v>
      </c>
      <c r="R177" s="6">
        <f t="shared" ref="R177:R239" si="247">(P177-$A$40)/(N177-$A$35*$A$36)</f>
        <v>0.49425215848494342</v>
      </c>
      <c r="S177" s="6">
        <f t="shared" ref="S177:S239" si="248">1-Q177-R177</f>
        <v>0.12488294291783542</v>
      </c>
      <c r="T177" s="4">
        <f t="shared" ref="T177:T239" si="249">F177*Q177</f>
        <v>1329.2617782511443</v>
      </c>
      <c r="U177" s="4">
        <f t="shared" ref="U177:U239" si="250">F177*R177</f>
        <v>1724.9962007839276</v>
      </c>
      <c r="V177" s="4">
        <f t="shared" ref="V177:V239" si="251">T177+U177</f>
        <v>3054.2579790350719</v>
      </c>
      <c r="W177" s="4">
        <f t="shared" ref="W177:W239" si="252">L177*Q177</f>
        <v>1243.4184871358466</v>
      </c>
      <c r="X177" s="4">
        <f t="shared" ref="X177:X239" si="253">L177*R177</f>
        <v>1613.5965100236176</v>
      </c>
      <c r="Y177" s="4">
        <f t="shared" ref="Y177:Y239" si="254">W177+X177</f>
        <v>2857.0149971594642</v>
      </c>
      <c r="Z177" s="10"/>
      <c r="AA177" s="4"/>
      <c r="AB177" s="5"/>
      <c r="AC177" s="4"/>
      <c r="AD177" s="4"/>
      <c r="AE177" s="4"/>
      <c r="AF177" s="4"/>
      <c r="AH177" t="s">
        <v>289</v>
      </c>
      <c r="AI177" t="str">
        <f>C177</f>
        <v>Machine</v>
      </c>
      <c r="AJ177" s="8">
        <f>D177</f>
        <v>43403</v>
      </c>
      <c r="AK177" s="3">
        <f>SUM(E177:E179)</f>
        <v>44.900000000000006</v>
      </c>
      <c r="AL177" s="3">
        <f>(AK177-3*$A$35)*$A$36/(3*$A$37)*$A$38</f>
        <v>3237.1259776902889</v>
      </c>
      <c r="AM177" s="7">
        <f>SUM(G177:G179)</f>
        <v>29.11</v>
      </c>
      <c r="AN177" s="7">
        <f>SUM(H177:H179)</f>
        <v>541.76</v>
      </c>
      <c r="AO177" s="7">
        <f>AN177-AM177</f>
        <v>512.65</v>
      </c>
      <c r="AP177" s="7">
        <f>SUM(J177:J179)</f>
        <v>477.60999999999996</v>
      </c>
      <c r="AQ177" s="7">
        <f>(AO177-AP177)/AO177*100</f>
        <v>6.8350726616600062</v>
      </c>
      <c r="AR177" s="3">
        <f>AL177*(1-AQ177/100)</f>
        <v>3015.8660649656858</v>
      </c>
      <c r="AS177" s="11">
        <f>M177</f>
        <v>43440</v>
      </c>
      <c r="AT177" s="7">
        <f>SUM(N177:N179)</f>
        <v>19.78</v>
      </c>
      <c r="AU177" s="7">
        <f>SUM(O177:O179)</f>
        <v>7.96</v>
      </c>
      <c r="AV177" s="7">
        <f>SUM(P177:P179)</f>
        <v>14.600000000000001</v>
      </c>
      <c r="AW177" s="9">
        <f>(AU177-3*$A$39)/(AT177-3*$A$35*$A$36)</f>
        <v>0.3749887876785678</v>
      </c>
      <c r="AX177" s="9">
        <f>(AV177-3*$A$40)/(AT177-3*$A$35*$A$36)</f>
        <v>0.49928869222940242</v>
      </c>
      <c r="AY177" s="9">
        <f>1-AW177-AX177</f>
        <v>0.12572252009202978</v>
      </c>
      <c r="AZ177" s="3">
        <f>AL177*AW177</f>
        <v>1213.88594593688</v>
      </c>
      <c r="BA177" s="3">
        <f>AL177*AX177</f>
        <v>1616.26039598281</v>
      </c>
      <c r="BB177" s="3">
        <f>AZ177+BA177</f>
        <v>2830.1463419196898</v>
      </c>
      <c r="BC177" s="3">
        <f>AR177*AW177</f>
        <v>1130.9159595024153</v>
      </c>
      <c r="BD177" s="3">
        <f>AR177*AX177</f>
        <v>1505.7878235157514</v>
      </c>
      <c r="BE177" s="3">
        <f>BC177+BD177</f>
        <v>2636.7037830181666</v>
      </c>
      <c r="BF177" s="11">
        <f>Z178</f>
        <v>43451</v>
      </c>
      <c r="BG177" s="3">
        <f>AVERAGE(AA177:AA179)</f>
        <v>49.502041358996905</v>
      </c>
      <c r="BH177" s="7">
        <f t="shared" ref="BH177" si="255">AVERAGE(AB177:AB179)</f>
        <v>0.99</v>
      </c>
      <c r="BI177" s="3">
        <f t="shared" ref="BI177" si="256">AVERAGE(AC177:AC179)</f>
        <v>78.787878787878796</v>
      </c>
      <c r="BJ177" s="3">
        <f t="shared" ref="BJ177" si="257">AVERAGE(AD177:AD179)</f>
        <v>25.295254629629628</v>
      </c>
      <c r="BK177" s="3">
        <f t="shared" ref="BK177" si="258">AVERAGE(AE177:AE179)</f>
        <v>6.3869212962962969</v>
      </c>
      <c r="BL177" s="3">
        <f t="shared" ref="BL177" si="259">AVERAGE(AF177:AF179)</f>
        <v>14.668075539568342</v>
      </c>
    </row>
    <row r="178" spans="1:64" x14ac:dyDescent="0.3">
      <c r="A178">
        <v>131</v>
      </c>
      <c r="B178" s="1" t="s">
        <v>182</v>
      </c>
      <c r="C178" s="1" t="s">
        <v>32</v>
      </c>
      <c r="D178" s="2">
        <v>43403</v>
      </c>
      <c r="E178" s="3">
        <v>11</v>
      </c>
      <c r="F178" s="4">
        <f t="shared" si="242"/>
        <v>2351.6691535433069</v>
      </c>
      <c r="G178" s="7">
        <v>9.68</v>
      </c>
      <c r="H178" s="7">
        <v>199.28</v>
      </c>
      <c r="I178" s="7">
        <f t="shared" si="243"/>
        <v>189.6</v>
      </c>
      <c r="J178" s="7">
        <v>177.58</v>
      </c>
      <c r="K178" s="5">
        <f t="shared" si="244"/>
        <v>6.3396624472573739</v>
      </c>
      <c r="L178" s="4">
        <f t="shared" si="245"/>
        <v>2202.5812673323867</v>
      </c>
      <c r="M178" s="2">
        <v>43440</v>
      </c>
      <c r="N178" s="7">
        <v>4.75</v>
      </c>
      <c r="O178" s="7">
        <v>1.92</v>
      </c>
      <c r="P178" s="7">
        <v>3.9</v>
      </c>
      <c r="Q178" s="6">
        <f t="shared" si="246"/>
        <v>0.36571289829648551</v>
      </c>
      <c r="R178" s="6">
        <f t="shared" si="247"/>
        <v>0.48908592422782998</v>
      </c>
      <c r="S178" s="6">
        <f t="shared" si="248"/>
        <v>0.14520117747568456</v>
      </c>
      <c r="T178" s="4">
        <f t="shared" si="249"/>
        <v>860.03574197676562</v>
      </c>
      <c r="U178" s="4">
        <f t="shared" si="250"/>
        <v>1150.1682814388068</v>
      </c>
      <c r="V178" s="4">
        <f t="shared" si="251"/>
        <v>2010.2040234155725</v>
      </c>
      <c r="W178" s="4">
        <f t="shared" si="252"/>
        <v>805.51237900967328</v>
      </c>
      <c r="X178" s="4">
        <f t="shared" si="253"/>
        <v>1077.2514948201654</v>
      </c>
      <c r="Y178" s="4">
        <f t="shared" si="254"/>
        <v>1882.7638738298388</v>
      </c>
      <c r="Z178" s="10">
        <v>43451</v>
      </c>
      <c r="AA178" s="4">
        <v>49.502041358996905</v>
      </c>
      <c r="AB178" s="5">
        <v>0.99</v>
      </c>
      <c r="AC178" s="4">
        <v>78.787878787878796</v>
      </c>
      <c r="AD178" s="4">
        <v>25.295254629629628</v>
      </c>
      <c r="AE178" s="4">
        <v>6.3869212962962969</v>
      </c>
      <c r="AF178" s="4">
        <v>14.668075539568342</v>
      </c>
      <c r="AK178" s="3"/>
      <c r="AL178" s="3"/>
      <c r="AM178" s="7"/>
      <c r="AN178" s="7"/>
      <c r="AO178" s="7"/>
      <c r="AP178" s="7"/>
      <c r="AQ178" s="7"/>
      <c r="AR178" s="3"/>
      <c r="AS178" s="3"/>
      <c r="AT178" s="7"/>
      <c r="AU178" s="7"/>
      <c r="AV178" s="7"/>
      <c r="AW178" s="9"/>
      <c r="AX178" s="9"/>
      <c r="AY178" s="9"/>
      <c r="AZ178" s="3"/>
      <c r="BA178" s="3"/>
      <c r="BB178" s="3"/>
      <c r="BC178" s="3"/>
      <c r="BD178" s="3"/>
      <c r="BE178" s="3"/>
      <c r="BG178" s="3"/>
      <c r="BH178" s="7"/>
      <c r="BI178" s="3"/>
      <c r="BJ178" s="3"/>
      <c r="BK178" s="3"/>
      <c r="BL178" s="3"/>
    </row>
    <row r="179" spans="1:64" x14ac:dyDescent="0.3">
      <c r="A179">
        <v>132</v>
      </c>
      <c r="B179" s="1" t="s">
        <v>183</v>
      </c>
      <c r="C179" s="1" t="s">
        <v>32</v>
      </c>
      <c r="D179" s="2">
        <v>43403</v>
      </c>
      <c r="E179" s="3">
        <v>17.8</v>
      </c>
      <c r="F179" s="4">
        <f t="shared" si="242"/>
        <v>3869.5951377952751</v>
      </c>
      <c r="G179" s="7">
        <v>9.7200000000000006</v>
      </c>
      <c r="H179" s="7">
        <v>144.94</v>
      </c>
      <c r="I179" s="7">
        <f t="shared" si="243"/>
        <v>135.22</v>
      </c>
      <c r="J179" s="7">
        <v>124.33</v>
      </c>
      <c r="K179" s="5">
        <f t="shared" si="244"/>
        <v>8.0535423753882558</v>
      </c>
      <c r="L179" s="4">
        <f t="shared" si="245"/>
        <v>3557.9556536169689</v>
      </c>
      <c r="M179" s="2">
        <v>43440</v>
      </c>
      <c r="N179" s="7">
        <v>7.94</v>
      </c>
      <c r="O179" s="7">
        <v>3.16</v>
      </c>
      <c r="P179" s="7">
        <v>5.62</v>
      </c>
      <c r="Q179" s="6">
        <f t="shared" si="246"/>
        <v>0.37520637709245935</v>
      </c>
      <c r="R179" s="6">
        <f t="shared" si="247"/>
        <v>0.50976314680837576</v>
      </c>
      <c r="S179" s="6">
        <f t="shared" si="248"/>
        <v>0.11503047609916484</v>
      </c>
      <c r="T179" s="4">
        <f t="shared" si="249"/>
        <v>1451.8967724667611</v>
      </c>
      <c r="U179" s="4">
        <f t="shared" si="250"/>
        <v>1972.5769943169098</v>
      </c>
      <c r="V179" s="4">
        <f t="shared" si="251"/>
        <v>3424.4737667836707</v>
      </c>
      <c r="W179" s="4">
        <f t="shared" si="252"/>
        <v>1334.967650649256</v>
      </c>
      <c r="X179" s="4">
        <f t="shared" si="253"/>
        <v>1813.7146701924373</v>
      </c>
      <c r="Y179" s="4">
        <f t="shared" si="254"/>
        <v>3148.6823208416936</v>
      </c>
      <c r="Z179" s="10"/>
      <c r="AA179" s="4"/>
      <c r="AB179" s="5"/>
      <c r="AC179" s="4"/>
      <c r="AD179" s="4"/>
      <c r="AE179" s="4"/>
      <c r="AF179" s="4"/>
      <c r="AK179" s="3"/>
      <c r="AL179" s="3"/>
      <c r="AM179" s="7"/>
      <c r="AN179" s="7"/>
      <c r="AO179" s="7"/>
      <c r="AP179" s="7"/>
      <c r="AQ179" s="7"/>
      <c r="AR179" s="3"/>
      <c r="AS179" s="3"/>
      <c r="AT179" s="7"/>
      <c r="AU179" s="7"/>
      <c r="AV179" s="7"/>
      <c r="AW179" s="9"/>
      <c r="AX179" s="9"/>
      <c r="AY179" s="9"/>
      <c r="AZ179" s="3"/>
      <c r="BA179" s="3"/>
      <c r="BB179" s="3"/>
      <c r="BC179" s="3"/>
      <c r="BD179" s="3"/>
      <c r="BE179" s="3"/>
      <c r="BG179" s="3"/>
      <c r="BH179" s="7"/>
      <c r="BI179" s="3"/>
      <c r="BJ179" s="3"/>
      <c r="BK179" s="3"/>
      <c r="BL179" s="3"/>
    </row>
    <row r="180" spans="1:64" x14ac:dyDescent="0.3">
      <c r="A180">
        <v>133</v>
      </c>
      <c r="B180" s="1" t="s">
        <v>184</v>
      </c>
      <c r="C180" s="1" t="s">
        <v>32</v>
      </c>
      <c r="D180" s="2">
        <v>43403</v>
      </c>
      <c r="E180" s="3">
        <v>20.100000000000001</v>
      </c>
      <c r="F180" s="4">
        <f t="shared" si="242"/>
        <v>4383.0112795275591</v>
      </c>
      <c r="G180" s="7">
        <v>9.75</v>
      </c>
      <c r="H180" s="7">
        <v>192.92</v>
      </c>
      <c r="I180" s="7">
        <f t="shared" ref="I180:I191" si="260">H180-G180</f>
        <v>183.17</v>
      </c>
      <c r="J180" s="7">
        <v>169.63</v>
      </c>
      <c r="K180" s="5">
        <f t="shared" si="244"/>
        <v>7.3920401812523853</v>
      </c>
      <c r="L180" s="4">
        <f t="shared" si="245"/>
        <v>4059.0173245960573</v>
      </c>
      <c r="M180" s="2">
        <v>43440</v>
      </c>
      <c r="N180" s="7">
        <v>8.8800000000000008</v>
      </c>
      <c r="O180" s="7">
        <v>3.44</v>
      </c>
      <c r="P180" s="7">
        <v>6</v>
      </c>
      <c r="Q180" s="6">
        <f t="shared" si="246"/>
        <v>0.36682094325001768</v>
      </c>
      <c r="R180" s="6">
        <f t="shared" si="247"/>
        <v>0.4983227908302128</v>
      </c>
      <c r="S180" s="6">
        <f t="shared" si="248"/>
        <v>0.13485626591976951</v>
      </c>
      <c r="T180" s="4">
        <f t="shared" si="249"/>
        <v>1607.780331831766</v>
      </c>
      <c r="U180" s="4">
        <f t="shared" si="250"/>
        <v>2184.1544130544753</v>
      </c>
      <c r="V180" s="4">
        <f t="shared" si="251"/>
        <v>3791.9347448862413</v>
      </c>
      <c r="W180" s="4">
        <f t="shared" si="252"/>
        <v>1488.9325636764888</v>
      </c>
      <c r="X180" s="4">
        <f t="shared" si="253"/>
        <v>2022.7008412208911</v>
      </c>
      <c r="Y180" s="4">
        <f t="shared" si="254"/>
        <v>3511.6334048973799</v>
      </c>
      <c r="Z180" s="10"/>
      <c r="AA180" s="4"/>
      <c r="AB180" s="5"/>
      <c r="AC180" s="4"/>
      <c r="AD180" s="4"/>
      <c r="AE180" s="4"/>
      <c r="AF180" s="4"/>
      <c r="AH180" t="s">
        <v>291</v>
      </c>
      <c r="AI180" t="str">
        <f>C180</f>
        <v>Machine</v>
      </c>
      <c r="AJ180" s="8">
        <f>D180</f>
        <v>43403</v>
      </c>
      <c r="AK180" s="3">
        <f>SUM(E180:E182)</f>
        <v>58.1</v>
      </c>
      <c r="AL180" s="3">
        <f>(AK180-3*$A$35)*$A$36/(3*$A$37)*$A$38</f>
        <v>4219.3133792650915</v>
      </c>
      <c r="AM180" s="7">
        <f>SUM(G180:G182)</f>
        <v>29.14</v>
      </c>
      <c r="AN180" s="7">
        <f>SUM(H180:H182)</f>
        <v>540.51</v>
      </c>
      <c r="AO180" s="7">
        <f>AN180-AM180</f>
        <v>511.37</v>
      </c>
      <c r="AP180" s="7">
        <f>SUM(J180:J182)</f>
        <v>475.24</v>
      </c>
      <c r="AQ180" s="7">
        <f>(AO180-AP180)/AO180*100</f>
        <v>7.0653342980620675</v>
      </c>
      <c r="AR180" s="3">
        <f>AL180*(1-AQ180/100)</f>
        <v>3921.2047839371535</v>
      </c>
      <c r="AS180" s="11">
        <f>M180</f>
        <v>43440</v>
      </c>
      <c r="AT180" s="7">
        <f>SUM(N180:N182)</f>
        <v>25.53</v>
      </c>
      <c r="AU180" s="7">
        <f>SUM(O180:O182)</f>
        <v>9.98</v>
      </c>
      <c r="AV180" s="7">
        <f>SUM(P180:P182)</f>
        <v>17.22</v>
      </c>
      <c r="AW180" s="9">
        <f>(AU180-3*$A$39)/(AT180-3*$A$35*$A$36)</f>
        <v>0.36951888283182643</v>
      </c>
      <c r="AX180" s="9">
        <f>(AV180-3*$A$40)/(AT180-3*$A$35*$A$36)</f>
        <v>0.48921086879257014</v>
      </c>
      <c r="AY180" s="9">
        <f>1-AW180-AX180</f>
        <v>0.14127024837560342</v>
      </c>
      <c r="AZ180" s="3">
        <f>AL180*AW180</f>
        <v>1559.1159662234149</v>
      </c>
      <c r="BA180" s="3">
        <f>AL180*AX180</f>
        <v>2064.1339639783905</v>
      </c>
      <c r="BB180" s="3">
        <f>AZ180+BA180</f>
        <v>3623.2499302018055</v>
      </c>
      <c r="BC180" s="3">
        <f>AR180*AW180</f>
        <v>1448.9592111152704</v>
      </c>
      <c r="BD180" s="3">
        <f>AR180*AX180</f>
        <v>1918.2959990634772</v>
      </c>
      <c r="BE180" s="3">
        <f>BC180+BD180</f>
        <v>3367.2552101787478</v>
      </c>
      <c r="BF180" s="11">
        <f>Z181</f>
        <v>43451</v>
      </c>
      <c r="BG180" s="3">
        <f>AVERAGE(AA180:AA182)</f>
        <v>49.900000000000006</v>
      </c>
      <c r="BH180" s="7">
        <f t="shared" ref="BH180" si="261">AVERAGE(AB180:AB182)</f>
        <v>1.04</v>
      </c>
      <c r="BI180" s="3">
        <f t="shared" ref="BI180" si="262">AVERAGE(AC180:AC182)</f>
        <v>76.7</v>
      </c>
      <c r="BJ180" s="3">
        <f t="shared" ref="BJ180" si="263">AVERAGE(AD180:AD182)</f>
        <v>26.8</v>
      </c>
      <c r="BK180" s="3">
        <f t="shared" ref="BK180" si="264">AVERAGE(AE180:AE182)</f>
        <v>6.3</v>
      </c>
      <c r="BL180" s="3">
        <f t="shared" ref="BL180" si="265">AVERAGE(AF180:AF182)</f>
        <v>13.8</v>
      </c>
    </row>
    <row r="181" spans="1:64" x14ac:dyDescent="0.3">
      <c r="A181">
        <v>134</v>
      </c>
      <c r="B181" s="1" t="s">
        <v>185</v>
      </c>
      <c r="C181" s="1" t="s">
        <v>32</v>
      </c>
      <c r="D181" s="2">
        <v>43403</v>
      </c>
      <c r="E181" s="3">
        <v>17.100000000000001</v>
      </c>
      <c r="F181" s="4">
        <f t="shared" si="242"/>
        <v>3713.3380511811024</v>
      </c>
      <c r="G181" s="7">
        <v>9.67</v>
      </c>
      <c r="H181" s="7">
        <v>196.48</v>
      </c>
      <c r="I181" s="7">
        <f t="shared" si="260"/>
        <v>186.81</v>
      </c>
      <c r="J181" s="7">
        <v>173.37</v>
      </c>
      <c r="K181" s="5">
        <f t="shared" si="244"/>
        <v>7.1944756704673178</v>
      </c>
      <c r="L181" s="4">
        <f t="shared" si="245"/>
        <v>3446.1828485266728</v>
      </c>
      <c r="M181" s="2">
        <v>43440</v>
      </c>
      <c r="N181" s="7">
        <v>7.44</v>
      </c>
      <c r="O181" s="7">
        <v>2.92</v>
      </c>
      <c r="P181" s="7">
        <v>5.14</v>
      </c>
      <c r="Q181" s="6">
        <f t="shared" si="246"/>
        <v>0.36795831599986839</v>
      </c>
      <c r="R181" s="6">
        <f t="shared" si="247"/>
        <v>0.47862247118779866</v>
      </c>
      <c r="S181" s="6">
        <f t="shared" si="248"/>
        <v>0.15341921281233295</v>
      </c>
      <c r="T181" s="4">
        <f t="shared" si="249"/>
        <v>1366.3536160508315</v>
      </c>
      <c r="U181" s="4">
        <f t="shared" si="250"/>
        <v>1777.2870344119835</v>
      </c>
      <c r="V181" s="4">
        <f t="shared" si="251"/>
        <v>3143.6406504628148</v>
      </c>
      <c r="W181" s="4">
        <f t="shared" si="252"/>
        <v>1268.051637571504</v>
      </c>
      <c r="X181" s="4">
        <f t="shared" si="253"/>
        <v>1649.4205511268433</v>
      </c>
      <c r="Y181" s="4">
        <f t="shared" si="254"/>
        <v>2917.4721886983471</v>
      </c>
      <c r="Z181" s="10">
        <v>43451</v>
      </c>
      <c r="AA181" s="4">
        <v>49.900000000000006</v>
      </c>
      <c r="AB181" s="5">
        <v>1.04</v>
      </c>
      <c r="AC181" s="4">
        <v>76.7</v>
      </c>
      <c r="AD181" s="4">
        <v>26.8</v>
      </c>
      <c r="AE181" s="4">
        <v>6.3</v>
      </c>
      <c r="AF181" s="4">
        <v>13.8</v>
      </c>
      <c r="AK181" s="3"/>
      <c r="AL181" s="3"/>
      <c r="AM181" s="7"/>
      <c r="AN181" s="7"/>
      <c r="AO181" s="7"/>
      <c r="AP181" s="7"/>
      <c r="AQ181" s="7"/>
      <c r="AR181" s="3"/>
      <c r="AS181" s="3"/>
      <c r="AT181" s="7"/>
      <c r="AU181" s="7"/>
      <c r="AV181" s="7"/>
      <c r="AW181" s="9"/>
      <c r="AX181" s="9"/>
      <c r="AY181" s="9"/>
      <c r="AZ181" s="3"/>
      <c r="BA181" s="3"/>
      <c r="BB181" s="3"/>
      <c r="BC181" s="3"/>
      <c r="BD181" s="3"/>
      <c r="BE181" s="3"/>
      <c r="BG181" s="3"/>
      <c r="BH181" s="7"/>
      <c r="BI181" s="3"/>
      <c r="BJ181" s="3"/>
      <c r="BK181" s="3"/>
      <c r="BL181" s="3"/>
    </row>
    <row r="182" spans="1:64" x14ac:dyDescent="0.3">
      <c r="A182">
        <v>135</v>
      </c>
      <c r="B182" s="1" t="s">
        <v>186</v>
      </c>
      <c r="C182" s="1" t="s">
        <v>32</v>
      </c>
      <c r="D182" s="2">
        <v>43403</v>
      </c>
      <c r="E182" s="3">
        <v>20.9</v>
      </c>
      <c r="F182" s="4">
        <f t="shared" si="242"/>
        <v>4561.5908070866135</v>
      </c>
      <c r="G182" s="7">
        <v>9.7200000000000006</v>
      </c>
      <c r="H182" s="7">
        <v>151.11000000000001</v>
      </c>
      <c r="I182" s="7">
        <f t="shared" si="260"/>
        <v>141.39000000000001</v>
      </c>
      <c r="J182" s="7">
        <v>132.24</v>
      </c>
      <c r="K182" s="5">
        <f t="shared" si="244"/>
        <v>6.4714619138552978</v>
      </c>
      <c r="L182" s="4">
        <f t="shared" si="245"/>
        <v>4266.3891953400789</v>
      </c>
      <c r="M182" s="2">
        <v>43440</v>
      </c>
      <c r="N182" s="7">
        <v>9.2100000000000009</v>
      </c>
      <c r="O182" s="7">
        <v>3.62</v>
      </c>
      <c r="P182" s="7">
        <v>6.08</v>
      </c>
      <c r="Q182" s="6">
        <f t="shared" si="246"/>
        <v>0.37337151181498812</v>
      </c>
      <c r="R182" s="6">
        <f t="shared" si="247"/>
        <v>0.4889388845196273</v>
      </c>
      <c r="S182" s="6">
        <f t="shared" si="248"/>
        <v>0.13768960366538463</v>
      </c>
      <c r="T182" s="4">
        <f t="shared" si="249"/>
        <v>1703.1680559232807</v>
      </c>
      <c r="U182" s="4">
        <f t="shared" si="250"/>
        <v>2230.3391208519151</v>
      </c>
      <c r="V182" s="4">
        <f t="shared" si="251"/>
        <v>3933.5071767751961</v>
      </c>
      <c r="W182" s="4">
        <f t="shared" si="252"/>
        <v>1592.948183855256</v>
      </c>
      <c r="X182" s="4">
        <f t="shared" si="253"/>
        <v>2086.0035740961684</v>
      </c>
      <c r="Y182" s="4">
        <f t="shared" si="254"/>
        <v>3678.9517579514245</v>
      </c>
      <c r="Z182" s="10"/>
      <c r="AA182" s="4"/>
      <c r="AB182" s="5"/>
      <c r="AC182" s="4"/>
      <c r="AD182" s="4"/>
      <c r="AE182" s="4"/>
      <c r="AF182" s="4"/>
      <c r="AK182" s="3"/>
      <c r="AL182" s="3"/>
      <c r="AM182" s="7"/>
      <c r="AN182" s="7"/>
      <c r="AO182" s="7"/>
      <c r="AP182" s="7"/>
      <c r="AQ182" s="7"/>
      <c r="AR182" s="3"/>
      <c r="AS182" s="3"/>
      <c r="AT182" s="7"/>
      <c r="AU182" s="7"/>
      <c r="AV182" s="7"/>
      <c r="AW182" s="9"/>
      <c r="AX182" s="9"/>
      <c r="AY182" s="9"/>
      <c r="AZ182" s="3"/>
      <c r="BA182" s="3"/>
      <c r="BB182" s="3"/>
      <c r="BC182" s="3"/>
      <c r="BD182" s="3"/>
      <c r="BE182" s="3"/>
      <c r="BG182" s="3"/>
      <c r="BH182" s="7"/>
      <c r="BI182" s="3"/>
      <c r="BJ182" s="3"/>
      <c r="BK182" s="3"/>
      <c r="BL182" s="3"/>
    </row>
    <row r="183" spans="1:64" x14ac:dyDescent="0.3">
      <c r="A183">
        <v>136</v>
      </c>
      <c r="B183" s="1" t="s">
        <v>187</v>
      </c>
      <c r="C183" s="1" t="s">
        <v>32</v>
      </c>
      <c r="D183" s="2">
        <v>43403</v>
      </c>
      <c r="E183" s="3">
        <v>18.899999999999999</v>
      </c>
      <c r="F183" s="4">
        <f t="shared" si="242"/>
        <v>4115.141988188976</v>
      </c>
      <c r="G183" s="7">
        <v>9.69</v>
      </c>
      <c r="H183" s="7">
        <v>160.76</v>
      </c>
      <c r="I183" s="7">
        <f t="shared" si="260"/>
        <v>151.07</v>
      </c>
      <c r="J183" s="7">
        <v>140.63</v>
      </c>
      <c r="K183" s="5">
        <f t="shared" si="244"/>
        <v>6.9107036473158123</v>
      </c>
      <c r="L183" s="4">
        <f t="shared" si="245"/>
        <v>3830.7567207189763</v>
      </c>
      <c r="M183" s="2">
        <v>43440</v>
      </c>
      <c r="N183" s="7">
        <v>8.34</v>
      </c>
      <c r="O183" s="7">
        <v>3.26</v>
      </c>
      <c r="P183" s="7">
        <v>5.62</v>
      </c>
      <c r="Q183" s="6">
        <f t="shared" si="246"/>
        <v>0.36904546434931507</v>
      </c>
      <c r="R183" s="6">
        <f t="shared" si="247"/>
        <v>0.48467970984543379</v>
      </c>
      <c r="S183" s="6">
        <f t="shared" si="248"/>
        <v>0.14627482580525114</v>
      </c>
      <c r="T183" s="4">
        <f t="shared" si="249"/>
        <v>1518.6744858945642</v>
      </c>
      <c r="U183" s="4">
        <f t="shared" si="250"/>
        <v>1994.5258248081943</v>
      </c>
      <c r="V183" s="4">
        <f t="shared" si="251"/>
        <v>3513.2003107027585</v>
      </c>
      <c r="W183" s="4">
        <f t="shared" si="252"/>
        <v>1413.7233928069941</v>
      </c>
      <c r="X183" s="4">
        <f t="shared" si="253"/>
        <v>1856.6900558865188</v>
      </c>
      <c r="Y183" s="4">
        <f t="shared" si="254"/>
        <v>3270.4134486935127</v>
      </c>
      <c r="Z183" s="10"/>
      <c r="AA183" s="4"/>
      <c r="AB183" s="5"/>
      <c r="AC183" s="4"/>
      <c r="AD183" s="4"/>
      <c r="AE183" s="4"/>
      <c r="AF183" s="4"/>
      <c r="AH183" t="s">
        <v>292</v>
      </c>
      <c r="AI183" t="str">
        <f>C183</f>
        <v>Machine</v>
      </c>
      <c r="AJ183" s="8">
        <f>D183</f>
        <v>43403</v>
      </c>
      <c r="AK183" s="3">
        <f>SUM(E183:E185)</f>
        <v>63.099999999999994</v>
      </c>
      <c r="AL183" s="3">
        <f>(AK183-3*$A$35)*$A$36/(3*$A$37)*$A$38</f>
        <v>4591.3540616797891</v>
      </c>
      <c r="AM183" s="7">
        <f>SUM(G183:G185)</f>
        <v>29.19</v>
      </c>
      <c r="AN183" s="7">
        <f>SUM(H183:H185)</f>
        <v>498.78999999999996</v>
      </c>
      <c r="AO183" s="7">
        <f>AN183-AM183</f>
        <v>469.59999999999997</v>
      </c>
      <c r="AP183" s="7">
        <f>SUM(J183:J185)</f>
        <v>438.22999999999996</v>
      </c>
      <c r="AQ183" s="7">
        <f>(AO183-AP183)/AO183*100</f>
        <v>6.6801533219761513</v>
      </c>
      <c r="AR183" s="3">
        <f>AL183*(1-AQ183/100)</f>
        <v>4284.6445708047995</v>
      </c>
      <c r="AS183" s="11">
        <f>M183</f>
        <v>43440</v>
      </c>
      <c r="AT183" s="7">
        <f>SUM(N183:N185)</f>
        <v>27.78</v>
      </c>
      <c r="AU183" s="7">
        <f>SUM(O183:O185)</f>
        <v>10.9</v>
      </c>
      <c r="AV183" s="7">
        <f>SUM(P183:P185)</f>
        <v>18.18</v>
      </c>
      <c r="AW183" s="9">
        <f>(AU183-3*$A$39)/(AT183-3*$A$35*$A$36)</f>
        <v>0.3727819223293718</v>
      </c>
      <c r="AX183" s="9">
        <f>(AV183-3*$A$40)/(AT183-3*$A$35*$A$36)</f>
        <v>0.48402712049485624</v>
      </c>
      <c r="AY183" s="9">
        <f>1-AW183-AX183</f>
        <v>0.14319095717577196</v>
      </c>
      <c r="AZ183" s="3">
        <f>AL183*AW183</f>
        <v>1711.5737932077609</v>
      </c>
      <c r="BA183" s="3">
        <f>AL183*AX183</f>
        <v>2222.3398856472309</v>
      </c>
      <c r="BB183" s="3">
        <f>AZ183+BA183</f>
        <v>3933.9136788549918</v>
      </c>
      <c r="BC183" s="3">
        <f>AR183*AW183</f>
        <v>1597.2380396027193</v>
      </c>
      <c r="BD183" s="3">
        <f>AR183*AX183</f>
        <v>2073.8841739505665</v>
      </c>
      <c r="BE183" s="3">
        <f>BC183+BD183</f>
        <v>3671.1222135532857</v>
      </c>
      <c r="BF183" s="11">
        <f>Z184</f>
        <v>43451</v>
      </c>
      <c r="BG183" s="3">
        <f>AVERAGE(AA183:AA185)</f>
        <v>46.012928266072123</v>
      </c>
      <c r="BH183" s="7">
        <f t="shared" ref="BH183" si="266">AVERAGE(AB183:AB185)</f>
        <v>1.08</v>
      </c>
      <c r="BI183" s="3">
        <f t="shared" ref="BI183" si="267">AVERAGE(AC183:AC185)</f>
        <v>78.703703703703695</v>
      </c>
      <c r="BJ183" s="3">
        <f t="shared" ref="BJ183" si="268">AVERAGE(AD183:AD185)</f>
        <v>28.348842592592586</v>
      </c>
      <c r="BK183" s="3">
        <f t="shared" ref="BK183" si="269">AVERAGE(AE183:AE185)</f>
        <v>6.2321759259259268</v>
      </c>
      <c r="BL183" s="3">
        <f t="shared" ref="BL183" si="270">AVERAGE(AF183:AF185)</f>
        <v>11.975359712230208</v>
      </c>
    </row>
    <row r="184" spans="1:64" x14ac:dyDescent="0.3">
      <c r="A184">
        <v>137</v>
      </c>
      <c r="B184" s="1" t="s">
        <v>188</v>
      </c>
      <c r="C184" s="1" t="s">
        <v>32</v>
      </c>
      <c r="D184" s="2">
        <v>43403</v>
      </c>
      <c r="E184" s="3">
        <v>21.4</v>
      </c>
      <c r="F184" s="4">
        <f t="shared" si="242"/>
        <v>4673.2030118110233</v>
      </c>
      <c r="G184" s="7">
        <v>9.77</v>
      </c>
      <c r="H184" s="7">
        <v>170.05</v>
      </c>
      <c r="I184" s="7">
        <f t="shared" si="260"/>
        <v>160.28</v>
      </c>
      <c r="J184" s="7">
        <v>150.16</v>
      </c>
      <c r="K184" s="5">
        <f t="shared" si="244"/>
        <v>6.3139505864736742</v>
      </c>
      <c r="L184" s="4">
        <f t="shared" si="245"/>
        <v>4378.1392828396756</v>
      </c>
      <c r="M184" s="2">
        <v>43440</v>
      </c>
      <c r="N184" s="7">
        <v>9.3800000000000008</v>
      </c>
      <c r="O184" s="7">
        <v>3.66</v>
      </c>
      <c r="P184" s="7">
        <v>6.1</v>
      </c>
      <c r="Q184" s="6">
        <f t="shared" si="246"/>
        <v>0.37081147768666145</v>
      </c>
      <c r="R184" s="6">
        <f t="shared" si="247"/>
        <v>0.48205492099265984</v>
      </c>
      <c r="S184" s="6">
        <f t="shared" si="248"/>
        <v>0.14713360132067871</v>
      </c>
      <c r="T184" s="4">
        <f t="shared" si="249"/>
        <v>1732.8773143394023</v>
      </c>
      <c r="U184" s="4">
        <f t="shared" si="250"/>
        <v>2252.7405086412227</v>
      </c>
      <c r="V184" s="4">
        <f t="shared" si="251"/>
        <v>3985.6178229806251</v>
      </c>
      <c r="W184" s="4">
        <f t="shared" si="252"/>
        <v>1623.4642969878003</v>
      </c>
      <c r="X184" s="4">
        <f t="shared" si="253"/>
        <v>2110.5035860841404</v>
      </c>
      <c r="Y184" s="4">
        <f t="shared" si="254"/>
        <v>3733.9678830719404</v>
      </c>
      <c r="Z184" s="10">
        <v>43451</v>
      </c>
      <c r="AA184" s="4">
        <v>46.012928266072123</v>
      </c>
      <c r="AB184" s="5">
        <v>1.08</v>
      </c>
      <c r="AC184" s="4">
        <v>78.703703703703695</v>
      </c>
      <c r="AD184" s="4">
        <v>28.348842592592586</v>
      </c>
      <c r="AE184" s="4">
        <v>6.2321759259259268</v>
      </c>
      <c r="AF184" s="4">
        <v>11.975359712230208</v>
      </c>
      <c r="AK184" s="3"/>
      <c r="AL184" s="3"/>
      <c r="AM184" s="7"/>
      <c r="AN184" s="7"/>
      <c r="AO184" s="7"/>
      <c r="AP184" s="7"/>
      <c r="AQ184" s="7"/>
      <c r="AR184" s="3"/>
      <c r="AS184" s="3"/>
      <c r="AT184" s="7"/>
      <c r="AU184" s="7"/>
      <c r="AV184" s="7"/>
      <c r="AW184" s="9"/>
      <c r="AX184" s="9"/>
      <c r="AY184" s="9"/>
      <c r="AZ184" s="3"/>
      <c r="BA184" s="3"/>
      <c r="BB184" s="3"/>
      <c r="BC184" s="3"/>
      <c r="BD184" s="3"/>
      <c r="BE184" s="3"/>
      <c r="BG184" s="3"/>
      <c r="BH184" s="7"/>
      <c r="BI184" s="3"/>
      <c r="BJ184" s="3"/>
      <c r="BK184" s="3"/>
      <c r="BL184" s="3"/>
    </row>
    <row r="185" spans="1:64" x14ac:dyDescent="0.3">
      <c r="A185">
        <v>138</v>
      </c>
      <c r="B185" s="1" t="s">
        <v>189</v>
      </c>
      <c r="C185" s="1" t="s">
        <v>32</v>
      </c>
      <c r="D185" s="2">
        <v>43403</v>
      </c>
      <c r="E185" s="3">
        <v>22.8</v>
      </c>
      <c r="F185" s="4">
        <f t="shared" si="242"/>
        <v>4985.7171850393697</v>
      </c>
      <c r="G185" s="7">
        <v>9.73</v>
      </c>
      <c r="H185" s="7">
        <v>167.98</v>
      </c>
      <c r="I185" s="7">
        <f t="shared" si="260"/>
        <v>158.25</v>
      </c>
      <c r="J185" s="7">
        <v>147.44</v>
      </c>
      <c r="K185" s="5">
        <f t="shared" si="244"/>
        <v>6.8309636650868892</v>
      </c>
      <c r="L185" s="4">
        <f t="shared" si="245"/>
        <v>4645.144655685338</v>
      </c>
      <c r="M185" s="2">
        <v>43440</v>
      </c>
      <c r="N185" s="7">
        <v>10.06</v>
      </c>
      <c r="O185" s="7">
        <v>3.98</v>
      </c>
      <c r="P185" s="7">
        <v>6.46</v>
      </c>
      <c r="Q185" s="6">
        <f t="shared" si="246"/>
        <v>0.37770026294395753</v>
      </c>
      <c r="R185" s="6">
        <f t="shared" si="247"/>
        <v>0.4853245314172358</v>
      </c>
      <c r="S185" s="6">
        <f t="shared" si="248"/>
        <v>0.13697520563880666</v>
      </c>
      <c r="T185" s="4">
        <f t="shared" si="249"/>
        <v>1883.1066917535777</v>
      </c>
      <c r="U185" s="4">
        <f t="shared" si="250"/>
        <v>2419.690856608092</v>
      </c>
      <c r="V185" s="4">
        <f t="shared" si="251"/>
        <v>4302.7975483616701</v>
      </c>
      <c r="W185" s="4">
        <f t="shared" si="252"/>
        <v>1754.4723578650712</v>
      </c>
      <c r="X185" s="4">
        <f t="shared" si="253"/>
        <v>2254.4026533857636</v>
      </c>
      <c r="Y185" s="4">
        <f t="shared" si="254"/>
        <v>4008.8750112508351</v>
      </c>
      <c r="Z185" s="10"/>
      <c r="AA185" s="4"/>
      <c r="AB185" s="5"/>
      <c r="AC185" s="4"/>
      <c r="AD185" s="4"/>
      <c r="AE185" s="4"/>
      <c r="AF185" s="4"/>
      <c r="AK185" s="3"/>
      <c r="AL185" s="3"/>
      <c r="AM185" s="7"/>
      <c r="AN185" s="7"/>
      <c r="AO185" s="7"/>
      <c r="AP185" s="7"/>
      <c r="AQ185" s="7"/>
      <c r="AR185" s="3"/>
      <c r="AS185" s="3"/>
      <c r="AT185" s="7"/>
      <c r="AU185" s="7"/>
      <c r="AV185" s="7"/>
      <c r="AW185" s="9"/>
      <c r="AX185" s="9"/>
      <c r="AY185" s="9"/>
      <c r="AZ185" s="3"/>
      <c r="BA185" s="3"/>
      <c r="BB185" s="3"/>
      <c r="BC185" s="3"/>
      <c r="BD185" s="3"/>
      <c r="BE185" s="3"/>
      <c r="BG185" s="3"/>
      <c r="BH185" s="7"/>
      <c r="BI185" s="3"/>
      <c r="BJ185" s="3"/>
      <c r="BK185" s="3"/>
      <c r="BL185" s="3"/>
    </row>
    <row r="186" spans="1:64" x14ac:dyDescent="0.3">
      <c r="A186">
        <v>139</v>
      </c>
      <c r="B186" s="1" t="s">
        <v>190</v>
      </c>
      <c r="C186" s="1" t="s">
        <v>32</v>
      </c>
      <c r="D186" s="2">
        <v>43403</v>
      </c>
      <c r="E186" s="3">
        <v>18.600000000000001</v>
      </c>
      <c r="F186" s="4">
        <f t="shared" si="242"/>
        <v>4048.174665354331</v>
      </c>
      <c r="G186" s="7">
        <v>9.6999999999999993</v>
      </c>
      <c r="H186" s="7">
        <v>171.49</v>
      </c>
      <c r="I186" s="7">
        <f t="shared" si="260"/>
        <v>161.79000000000002</v>
      </c>
      <c r="J186" s="7">
        <v>150.88</v>
      </c>
      <c r="K186" s="5">
        <f t="shared" si="244"/>
        <v>6.7433092280116345</v>
      </c>
      <c r="L186" s="4">
        <f t="shared" si="245"/>
        <v>3775.1937295794633</v>
      </c>
      <c r="M186" s="2">
        <v>43440</v>
      </c>
      <c r="N186" s="7">
        <v>8.2799999999999994</v>
      </c>
      <c r="O186" s="7">
        <v>3.34</v>
      </c>
      <c r="P186" s="7">
        <v>5.58</v>
      </c>
      <c r="Q186" s="6">
        <f t="shared" si="246"/>
        <v>0.38170399932546462</v>
      </c>
      <c r="R186" s="6">
        <f t="shared" si="247"/>
        <v>0.48332649265237404</v>
      </c>
      <c r="S186" s="6">
        <f t="shared" si="248"/>
        <v>0.13496950802216134</v>
      </c>
      <c r="T186" s="4">
        <f t="shared" si="249"/>
        <v>1545.2044597337724</v>
      </c>
      <c r="U186" s="4">
        <f t="shared" si="250"/>
        <v>1956.5900626499067</v>
      </c>
      <c r="V186" s="4">
        <f t="shared" si="251"/>
        <v>3501.7945223836791</v>
      </c>
      <c r="W186" s="4">
        <f t="shared" si="252"/>
        <v>1441.0065448088976</v>
      </c>
      <c r="X186" s="4">
        <f t="shared" si="253"/>
        <v>1824.651144400877</v>
      </c>
      <c r="Y186" s="4">
        <f t="shared" si="254"/>
        <v>3265.6576892097746</v>
      </c>
      <c r="Z186" s="10"/>
      <c r="AA186" s="4"/>
      <c r="AB186" s="5"/>
      <c r="AC186" s="4"/>
      <c r="AD186" s="4"/>
      <c r="AE186" s="4"/>
      <c r="AF186" s="4"/>
      <c r="AH186" t="s">
        <v>293</v>
      </c>
      <c r="AI186" t="str">
        <f>C186</f>
        <v>Machine</v>
      </c>
      <c r="AJ186" s="8">
        <f>D186</f>
        <v>43403</v>
      </c>
      <c r="AK186" s="3">
        <f>SUM(E186:E188)</f>
        <v>62.1</v>
      </c>
      <c r="AL186" s="3">
        <f>(AK186-3*$A$35)*$A$36/(3*$A$37)*$A$38</f>
        <v>4516.9459251968501</v>
      </c>
      <c r="AM186" s="7">
        <f>SUM(G186:G188)</f>
        <v>29.17</v>
      </c>
      <c r="AN186" s="7">
        <f>SUM(H186:H188)</f>
        <v>470.83</v>
      </c>
      <c r="AO186" s="7">
        <f>AN186-AM186</f>
        <v>441.65999999999997</v>
      </c>
      <c r="AP186" s="7">
        <f>SUM(J186:J188)</f>
        <v>414.31999999999994</v>
      </c>
      <c r="AQ186" s="7">
        <f>(AO186-AP186)/AO186*100</f>
        <v>6.1902821174659319</v>
      </c>
      <c r="AR186" s="3">
        <f>AL186*(1-AQ186/100)</f>
        <v>4237.3342293337837</v>
      </c>
      <c r="AS186" s="11">
        <f>M186</f>
        <v>43440</v>
      </c>
      <c r="AT186" s="7">
        <f>SUM(N186:N188)</f>
        <v>27.52</v>
      </c>
      <c r="AU186" s="7">
        <f>SUM(O186:O188)</f>
        <v>11.059999999999999</v>
      </c>
      <c r="AV186" s="7">
        <f>SUM(P186:P188)</f>
        <v>18.2</v>
      </c>
      <c r="AW186" s="9">
        <f>(AU186-3*$A$39)/(AT186-3*$A$35*$A$36)</f>
        <v>0.3823375073515729</v>
      </c>
      <c r="AX186" s="9">
        <f>(AV186-3*$A$40)/(AT186-3*$A$35*$A$36)</f>
        <v>0.48945151719325874</v>
      </c>
      <c r="AY186" s="9">
        <f>1-AW186-AX186</f>
        <v>0.12821097545516835</v>
      </c>
      <c r="AZ186" s="3">
        <f>AL186*AW186</f>
        <v>1726.9978458816079</v>
      </c>
      <c r="BA186" s="3">
        <f>AL186*AX186</f>
        <v>2210.8260361675061</v>
      </c>
      <c r="BB186" s="3">
        <f>AZ186+BA186</f>
        <v>3937.8238820491142</v>
      </c>
      <c r="BC186" s="3">
        <f>AR186*AW186</f>
        <v>1620.0918070589771</v>
      </c>
      <c r="BD186" s="3">
        <f>AR186*AX186</f>
        <v>2073.969667402348</v>
      </c>
      <c r="BE186" s="3">
        <f>BC186+BD186</f>
        <v>3694.0614744613249</v>
      </c>
      <c r="BF186" s="11">
        <f>Z187</f>
        <v>43451</v>
      </c>
      <c r="BG186" s="3">
        <f>AVERAGE(AA186:AA188)</f>
        <v>45.4</v>
      </c>
      <c r="BH186" s="7">
        <f t="shared" ref="BH186" si="271">AVERAGE(AB186:AB188)</f>
        <v>1.07</v>
      </c>
      <c r="BI186" s="3">
        <f t="shared" ref="BI186" si="272">AVERAGE(AC186:AC188)</f>
        <v>77.5</v>
      </c>
      <c r="BJ186" s="3">
        <f t="shared" ref="BJ186" si="273">AVERAGE(AD186:AD188)</f>
        <v>29.8</v>
      </c>
      <c r="BK186" s="3">
        <f t="shared" ref="BK186" si="274">AVERAGE(AE186:AE188)</f>
        <v>6.2</v>
      </c>
      <c r="BL186" s="3">
        <f t="shared" ref="BL186" si="275">AVERAGE(AF186:AF188)</f>
        <v>12.2</v>
      </c>
    </row>
    <row r="187" spans="1:64" x14ac:dyDescent="0.3">
      <c r="A187">
        <v>140</v>
      </c>
      <c r="B187" s="1" t="s">
        <v>191</v>
      </c>
      <c r="C187" s="1" t="s">
        <v>32</v>
      </c>
      <c r="D187" s="2">
        <v>43403</v>
      </c>
      <c r="E187" s="3">
        <v>21.6</v>
      </c>
      <c r="F187" s="4">
        <f t="shared" si="242"/>
        <v>4717.8478937007876</v>
      </c>
      <c r="G187" s="7">
        <v>9.73</v>
      </c>
      <c r="H187" s="7">
        <v>136.19999999999999</v>
      </c>
      <c r="I187" s="7">
        <f t="shared" si="260"/>
        <v>126.46999999999998</v>
      </c>
      <c r="J187" s="7">
        <v>118.96</v>
      </c>
      <c r="K187" s="5">
        <f t="shared" si="244"/>
        <v>5.9381671542658276</v>
      </c>
      <c r="L187" s="4">
        <f t="shared" si="245"/>
        <v>4437.6941996888254</v>
      </c>
      <c r="M187" s="2">
        <v>43440</v>
      </c>
      <c r="N187" s="7">
        <v>9.5299999999999994</v>
      </c>
      <c r="O187" s="7">
        <v>3.86</v>
      </c>
      <c r="P187" s="7">
        <v>6.24</v>
      </c>
      <c r="Q187" s="6">
        <f t="shared" si="246"/>
        <v>0.38630423906278161</v>
      </c>
      <c r="R187" s="6">
        <f t="shared" si="247"/>
        <v>0.48931870281285678</v>
      </c>
      <c r="S187" s="6">
        <f t="shared" si="248"/>
        <v>0.12437705812436167</v>
      </c>
      <c r="T187" s="4">
        <f t="shared" si="249"/>
        <v>1822.5246405900298</v>
      </c>
      <c r="U187" s="4">
        <f t="shared" si="250"/>
        <v>2308.5312114140379</v>
      </c>
      <c r="V187" s="4">
        <f t="shared" si="251"/>
        <v>4131.0558520040677</v>
      </c>
      <c r="W187" s="4">
        <f t="shared" si="252"/>
        <v>1714.3000810041112</v>
      </c>
      <c r="X187" s="4">
        <f t="shared" si="253"/>
        <v>2171.4467692718745</v>
      </c>
      <c r="Y187" s="4">
        <f t="shared" si="254"/>
        <v>3885.7468502759857</v>
      </c>
      <c r="Z187" s="10">
        <v>43451</v>
      </c>
      <c r="AA187" s="4">
        <v>45.4</v>
      </c>
      <c r="AB187" s="5">
        <v>1.07</v>
      </c>
      <c r="AC187" s="4">
        <v>77.5</v>
      </c>
      <c r="AD187" s="4">
        <v>29.8</v>
      </c>
      <c r="AE187" s="4">
        <v>6.2</v>
      </c>
      <c r="AF187" s="4">
        <v>12.2</v>
      </c>
      <c r="AK187" s="3"/>
      <c r="AL187" s="3"/>
      <c r="AM187" s="7"/>
      <c r="AN187" s="7"/>
      <c r="AO187" s="7"/>
      <c r="AP187" s="7"/>
      <c r="AQ187" s="7"/>
      <c r="AR187" s="3"/>
      <c r="AS187" s="3"/>
      <c r="AT187" s="7"/>
      <c r="AU187" s="7"/>
      <c r="AV187" s="7"/>
      <c r="AW187" s="9"/>
      <c r="AX187" s="9"/>
      <c r="AY187" s="9"/>
      <c r="AZ187" s="3"/>
      <c r="BA187" s="3"/>
      <c r="BB187" s="3"/>
      <c r="BC187" s="3"/>
      <c r="BD187" s="3"/>
      <c r="BE187" s="3"/>
      <c r="BG187" s="3"/>
      <c r="BH187" s="7"/>
      <c r="BI187" s="3"/>
      <c r="BJ187" s="3"/>
      <c r="BK187" s="3"/>
      <c r="BL187" s="3"/>
    </row>
    <row r="188" spans="1:64" x14ac:dyDescent="0.3">
      <c r="A188">
        <v>141</v>
      </c>
      <c r="B188" s="1" t="s">
        <v>192</v>
      </c>
      <c r="C188" s="1" t="s">
        <v>32</v>
      </c>
      <c r="D188" s="2">
        <v>43403</v>
      </c>
      <c r="E188" s="3">
        <v>21.9</v>
      </c>
      <c r="F188" s="4">
        <f t="shared" si="242"/>
        <v>4784.8152165354322</v>
      </c>
      <c r="G188" s="7">
        <v>9.74</v>
      </c>
      <c r="H188" s="7">
        <v>163.13999999999999</v>
      </c>
      <c r="I188" s="7">
        <f t="shared" si="260"/>
        <v>153.39999999999998</v>
      </c>
      <c r="J188" s="7">
        <v>144.47999999999999</v>
      </c>
      <c r="K188" s="5">
        <f t="shared" si="244"/>
        <v>5.8148631029986886</v>
      </c>
      <c r="L188" s="4">
        <f t="shared" si="245"/>
        <v>4506.5847619624465</v>
      </c>
      <c r="M188" s="2">
        <v>43440</v>
      </c>
      <c r="N188" s="7">
        <v>9.7100000000000009</v>
      </c>
      <c r="O188" s="7">
        <v>3.86</v>
      </c>
      <c r="P188" s="7">
        <v>6.38</v>
      </c>
      <c r="Q188" s="6">
        <f t="shared" si="246"/>
        <v>0.37898408120739502</v>
      </c>
      <c r="R188" s="6">
        <f t="shared" si="247"/>
        <v>0.49478477268743248</v>
      </c>
      <c r="S188" s="6">
        <f t="shared" si="248"/>
        <v>0.1262311461051725</v>
      </c>
      <c r="T188" s="4">
        <f t="shared" si="249"/>
        <v>1813.3687985858437</v>
      </c>
      <c r="U188" s="4">
        <f t="shared" si="250"/>
        <v>2367.453709264852</v>
      </c>
      <c r="V188" s="4">
        <f t="shared" si="251"/>
        <v>4180.8225078506957</v>
      </c>
      <c r="W188" s="4">
        <f t="shared" si="252"/>
        <v>1707.9238853955846</v>
      </c>
      <c r="X188" s="4">
        <f t="shared" si="253"/>
        <v>2229.7895170442362</v>
      </c>
      <c r="Y188" s="4">
        <f t="shared" si="254"/>
        <v>3937.713402439821</v>
      </c>
      <c r="Z188" s="10"/>
      <c r="AA188" s="4"/>
      <c r="AB188" s="5"/>
      <c r="AC188" s="4"/>
      <c r="AD188" s="4"/>
      <c r="AE188" s="4"/>
      <c r="AF188" s="4"/>
      <c r="AK188" s="3"/>
      <c r="AL188" s="3"/>
      <c r="AM188" s="7"/>
      <c r="AN188" s="7"/>
      <c r="AO188" s="7"/>
      <c r="AP188" s="7"/>
      <c r="AQ188" s="7"/>
      <c r="AR188" s="3"/>
      <c r="AS188" s="3"/>
      <c r="AT188" s="7"/>
      <c r="AU188" s="7"/>
      <c r="AV188" s="7"/>
      <c r="AW188" s="9"/>
      <c r="AX188" s="9"/>
      <c r="AY188" s="9"/>
      <c r="AZ188" s="3"/>
      <c r="BA188" s="3"/>
      <c r="BB188" s="3"/>
      <c r="BC188" s="3"/>
      <c r="BD188" s="3"/>
      <c r="BE188" s="3"/>
      <c r="BG188" s="3"/>
      <c r="BH188" s="7"/>
      <c r="BI188" s="3"/>
      <c r="BJ188" s="3"/>
      <c r="BK188" s="3"/>
      <c r="BL188" s="3"/>
    </row>
    <row r="189" spans="1:64" x14ac:dyDescent="0.3">
      <c r="A189">
        <v>142</v>
      </c>
      <c r="B189" s="1" t="s">
        <v>193</v>
      </c>
      <c r="C189" s="1" t="s">
        <v>32</v>
      </c>
      <c r="D189" s="2">
        <v>43403</v>
      </c>
      <c r="E189" s="3">
        <v>16.600000000000001</v>
      </c>
      <c r="F189" s="4">
        <f t="shared" si="242"/>
        <v>3601.725846456693</v>
      </c>
      <c r="G189" s="7">
        <v>9.7200000000000006</v>
      </c>
      <c r="H189" s="7">
        <v>193.37</v>
      </c>
      <c r="I189" s="7">
        <f t="shared" si="260"/>
        <v>183.65</v>
      </c>
      <c r="J189" s="7">
        <v>172.16</v>
      </c>
      <c r="K189" s="5">
        <f t="shared" si="244"/>
        <v>6.2564661040021825</v>
      </c>
      <c r="L189" s="4">
        <f t="shared" si="245"/>
        <v>3376.3850897140446</v>
      </c>
      <c r="M189" s="2">
        <v>43440</v>
      </c>
      <c r="N189" s="7">
        <v>7.31</v>
      </c>
      <c r="O189" s="7">
        <v>3</v>
      </c>
      <c r="P189" s="7">
        <v>5.08</v>
      </c>
      <c r="Q189" s="6">
        <f t="shared" si="246"/>
        <v>0.38596552061257883</v>
      </c>
      <c r="R189" s="6">
        <f t="shared" si="247"/>
        <v>0.47893531754845547</v>
      </c>
      <c r="S189" s="6">
        <f t="shared" si="248"/>
        <v>0.1350991618389657</v>
      </c>
      <c r="T189" s="4">
        <f t="shared" si="249"/>
        <v>1390.1419914314388</v>
      </c>
      <c r="U189" s="4">
        <f t="shared" si="250"/>
        <v>1724.9937119952158</v>
      </c>
      <c r="V189" s="4">
        <f t="shared" si="251"/>
        <v>3115.1357034266548</v>
      </c>
      <c r="W189" s="4">
        <f t="shared" si="252"/>
        <v>1303.1682289400298</v>
      </c>
      <c r="X189" s="4">
        <f t="shared" si="253"/>
        <v>1617.0700651080663</v>
      </c>
      <c r="Y189" s="4">
        <f t="shared" si="254"/>
        <v>2920.2382940480961</v>
      </c>
      <c r="Z189" s="10"/>
      <c r="AA189" s="4"/>
      <c r="AB189" s="5"/>
      <c r="AC189" s="4"/>
      <c r="AD189" s="4"/>
      <c r="AE189" s="4"/>
      <c r="AF189" s="4"/>
      <c r="AH189" t="s">
        <v>294</v>
      </c>
      <c r="AI189" t="str">
        <f>C189</f>
        <v>Machine</v>
      </c>
      <c r="AJ189" s="8">
        <f>D189</f>
        <v>43403</v>
      </c>
      <c r="AK189" s="3">
        <f>SUM(E189:E191)</f>
        <v>50.699999999999996</v>
      </c>
      <c r="AL189" s="3">
        <f>(AK189-3*$A$35)*$A$36/(3*$A$37)*$A$38</f>
        <v>3668.6931692913381</v>
      </c>
      <c r="AM189" s="7">
        <f>SUM(G189:G191)</f>
        <v>29.1</v>
      </c>
      <c r="AN189" s="7">
        <f>SUM(H189:H191)</f>
        <v>489.84</v>
      </c>
      <c r="AO189" s="7">
        <f>AN189-AM189</f>
        <v>460.73999999999995</v>
      </c>
      <c r="AP189" s="7">
        <f>SUM(J189:J191)</f>
        <v>429.38</v>
      </c>
      <c r="AQ189" s="7">
        <f>(AO189-AP189)/AO189*100</f>
        <v>6.8064418109996874</v>
      </c>
      <c r="AR189" s="3">
        <f>AL189*(1-AQ189/100)</f>
        <v>3418.9857034994029</v>
      </c>
      <c r="AS189" s="11">
        <f>M189</f>
        <v>43440</v>
      </c>
      <c r="AT189" s="7">
        <f>SUM(N189:N191)</f>
        <v>22.41</v>
      </c>
      <c r="AU189" s="7">
        <f>SUM(O189:O191)</f>
        <v>9.120000000000001</v>
      </c>
      <c r="AV189" s="7">
        <f>SUM(P189:P191)</f>
        <v>15.5</v>
      </c>
      <c r="AW189" s="9">
        <f>(AU189-3*$A$39)/(AT189-3*$A$35*$A$36)</f>
        <v>0.38296865542620057</v>
      </c>
      <c r="AX189" s="9">
        <f>(AV189-3*$A$40)/(AT189-3*$A$35*$A$36)</f>
        <v>0.48031800188945534</v>
      </c>
      <c r="AY189" s="9">
        <f>1-AW189-AX189</f>
        <v>0.13671334268434404</v>
      </c>
      <c r="AZ189" s="3">
        <f>AL189*AW189</f>
        <v>1404.9944902147902</v>
      </c>
      <c r="BA189" s="3">
        <f>AL189*AX189</f>
        <v>1762.1393726195088</v>
      </c>
      <c r="BB189" s="3">
        <f>AZ189+BA189</f>
        <v>3167.1338628342992</v>
      </c>
      <c r="BC189" s="3">
        <f>AR189*AW189</f>
        <v>1309.3643577905689</v>
      </c>
      <c r="BD189" s="3">
        <f>AR189*AX189</f>
        <v>1642.200381593447</v>
      </c>
      <c r="BE189" s="3">
        <f>BC189+BD189</f>
        <v>2951.5647393840159</v>
      </c>
      <c r="BF189" s="11">
        <f>Z190</f>
        <v>43451</v>
      </c>
      <c r="BG189" s="3">
        <f>AVERAGE(AA189:AA191)</f>
        <v>52.300000000000004</v>
      </c>
      <c r="BH189" s="7">
        <f t="shared" ref="BH189" si="276">AVERAGE(AB189:AB191)</f>
        <v>0.98</v>
      </c>
      <c r="BI189" s="3">
        <f t="shared" ref="BI189" si="277">AVERAGE(AC189:AC191)</f>
        <v>76.5</v>
      </c>
      <c r="BJ189" s="3">
        <f t="shared" ref="BJ189" si="278">AVERAGE(AD189:AD191)</f>
        <v>25.9</v>
      </c>
      <c r="BK189" s="3">
        <f t="shared" ref="BK189" si="279">AVERAGE(AE189:AE191)</f>
        <v>6.3</v>
      </c>
      <c r="BL189" s="3">
        <f t="shared" ref="BL189" si="280">AVERAGE(AF189:AF191)</f>
        <v>14.8</v>
      </c>
    </row>
    <row r="190" spans="1:64" x14ac:dyDescent="0.3">
      <c r="A190">
        <v>143</v>
      </c>
      <c r="B190" s="1" t="s">
        <v>194</v>
      </c>
      <c r="C190" s="1" t="s">
        <v>32</v>
      </c>
      <c r="D190" s="2">
        <v>43403</v>
      </c>
      <c r="E190" s="3">
        <v>19.2</v>
      </c>
      <c r="F190" s="4">
        <f t="shared" si="242"/>
        <v>4182.1093110236216</v>
      </c>
      <c r="G190" s="7">
        <v>9.69</v>
      </c>
      <c r="H190" s="7">
        <v>161.02000000000001</v>
      </c>
      <c r="I190" s="7">
        <f t="shared" si="260"/>
        <v>151.33000000000001</v>
      </c>
      <c r="J190" s="7">
        <v>141.5</v>
      </c>
      <c r="K190" s="5">
        <f t="shared" si="244"/>
        <v>6.4957377915813197</v>
      </c>
      <c r="L190" s="4">
        <f t="shared" si="245"/>
        <v>3910.450456022219</v>
      </c>
      <c r="M190" s="2">
        <v>43440</v>
      </c>
      <c r="N190" s="7">
        <v>8.4700000000000006</v>
      </c>
      <c r="O190" s="7">
        <v>3.4</v>
      </c>
      <c r="P190" s="7">
        <v>5.64</v>
      </c>
      <c r="Q190" s="6">
        <f t="shared" si="246"/>
        <v>0.3801876366922875</v>
      </c>
      <c r="R190" s="6">
        <f t="shared" si="247"/>
        <v>0.47947230614696135</v>
      </c>
      <c r="S190" s="6">
        <f t="shared" si="248"/>
        <v>0.14034005716075115</v>
      </c>
      <c r="T190" s="4">
        <f t="shared" si="249"/>
        <v>1589.9862553468815</v>
      </c>
      <c r="U190" s="4">
        <f t="shared" si="250"/>
        <v>2005.2055959151755</v>
      </c>
      <c r="V190" s="4">
        <f t="shared" si="251"/>
        <v>3595.1918512620568</v>
      </c>
      <c r="W190" s="4">
        <f t="shared" si="252"/>
        <v>1486.7049172773654</v>
      </c>
      <c r="X190" s="4">
        <f t="shared" si="253"/>
        <v>1874.9526982224099</v>
      </c>
      <c r="Y190" s="4">
        <f t="shared" si="254"/>
        <v>3361.6576154997756</v>
      </c>
      <c r="Z190" s="10">
        <v>43451</v>
      </c>
      <c r="AA190" s="4">
        <v>52.300000000000004</v>
      </c>
      <c r="AB190" s="5">
        <v>0.98</v>
      </c>
      <c r="AC190" s="4">
        <v>76.5</v>
      </c>
      <c r="AD190" s="4">
        <v>25.9</v>
      </c>
      <c r="AE190" s="4">
        <v>6.3</v>
      </c>
      <c r="AF190" s="4">
        <v>14.8</v>
      </c>
      <c r="AK190" s="3"/>
      <c r="AL190" s="3"/>
      <c r="AM190" s="7"/>
      <c r="AN190" s="7"/>
      <c r="AO190" s="7"/>
      <c r="AP190" s="7"/>
      <c r="AQ190" s="7"/>
      <c r="AR190" s="3"/>
      <c r="AS190" s="3"/>
      <c r="AT190" s="7"/>
      <c r="AU190" s="7"/>
      <c r="AV190" s="7"/>
      <c r="AW190" s="9"/>
      <c r="AX190" s="9"/>
      <c r="AY190" s="9"/>
      <c r="AZ190" s="3"/>
      <c r="BA190" s="3"/>
      <c r="BB190" s="3"/>
      <c r="BC190" s="3"/>
      <c r="BD190" s="3"/>
      <c r="BE190" s="3"/>
      <c r="BG190" s="3"/>
      <c r="BH190" s="7"/>
      <c r="BI190" s="3"/>
      <c r="BJ190" s="3"/>
      <c r="BK190" s="3"/>
      <c r="BL190" s="3"/>
    </row>
    <row r="191" spans="1:64" x14ac:dyDescent="0.3">
      <c r="A191">
        <v>144</v>
      </c>
      <c r="B191" s="1" t="s">
        <v>195</v>
      </c>
      <c r="C191" s="1" t="s">
        <v>32</v>
      </c>
      <c r="D191" s="2">
        <v>43403</v>
      </c>
      <c r="E191" s="3">
        <v>14.9</v>
      </c>
      <c r="F191" s="4">
        <f t="shared" si="242"/>
        <v>3222.2443503937011</v>
      </c>
      <c r="G191" s="7">
        <v>9.69</v>
      </c>
      <c r="H191" s="7">
        <v>135.44999999999999</v>
      </c>
      <c r="I191" s="7">
        <f t="shared" si="260"/>
        <v>125.75999999999999</v>
      </c>
      <c r="J191" s="7">
        <v>115.72</v>
      </c>
      <c r="K191" s="5">
        <f t="shared" si="244"/>
        <v>7.9834605597964323</v>
      </c>
      <c r="L191" s="4">
        <f t="shared" si="245"/>
        <v>2964.9977435397514</v>
      </c>
      <c r="M191" s="2">
        <v>43440</v>
      </c>
      <c r="N191" s="7">
        <v>6.63</v>
      </c>
      <c r="O191" s="7">
        <v>2.72</v>
      </c>
      <c r="P191" s="7">
        <v>4.78</v>
      </c>
      <c r="Q191" s="6">
        <f t="shared" si="246"/>
        <v>0.38323250486130434</v>
      </c>
      <c r="R191" s="6">
        <f t="shared" si="247"/>
        <v>0.48293527035367628</v>
      </c>
      <c r="S191" s="6">
        <f t="shared" si="248"/>
        <v>0.13383222478501938</v>
      </c>
      <c r="T191" s="4">
        <f t="shared" si="249"/>
        <v>1234.8687736765644</v>
      </c>
      <c r="U191" s="4">
        <f t="shared" si="250"/>
        <v>1556.1354465029881</v>
      </c>
      <c r="V191" s="4">
        <f t="shared" si="251"/>
        <v>2791.0042201795522</v>
      </c>
      <c r="W191" s="4">
        <f t="shared" si="252"/>
        <v>1136.2835121648541</v>
      </c>
      <c r="X191" s="4">
        <f t="shared" si="253"/>
        <v>1431.9019868744099</v>
      </c>
      <c r="Y191" s="4">
        <f t="shared" si="254"/>
        <v>2568.185499039264</v>
      </c>
      <c r="Z191" s="10"/>
      <c r="AA191" s="4"/>
      <c r="AB191" s="5"/>
      <c r="AC191" s="4"/>
      <c r="AD191" s="4"/>
      <c r="AE191" s="4"/>
      <c r="AF191" s="4"/>
      <c r="AK191" s="3"/>
      <c r="AL191" s="3"/>
      <c r="AM191" s="7"/>
      <c r="AN191" s="7"/>
      <c r="AO191" s="7"/>
      <c r="AP191" s="7"/>
      <c r="AQ191" s="7"/>
      <c r="AR191" s="3"/>
      <c r="AS191" s="3"/>
      <c r="AT191" s="7"/>
      <c r="AU191" s="7"/>
      <c r="AV191" s="7"/>
      <c r="AW191" s="9"/>
      <c r="AX191" s="9"/>
      <c r="AY191" s="9"/>
      <c r="AZ191" s="3"/>
      <c r="BA191" s="3"/>
      <c r="BB191" s="3"/>
      <c r="BC191" s="3"/>
      <c r="BD191" s="3"/>
      <c r="BE191" s="3"/>
      <c r="BG191" s="3"/>
      <c r="BH191" s="7"/>
      <c r="BI191" s="3"/>
      <c r="BJ191" s="3"/>
      <c r="BK191" s="3"/>
      <c r="BL191" s="3"/>
    </row>
    <row r="192" spans="1:64" x14ac:dyDescent="0.3">
      <c r="A192">
        <v>145</v>
      </c>
      <c r="B192" s="1" t="s">
        <v>196</v>
      </c>
      <c r="C192" s="1" t="s">
        <v>32</v>
      </c>
      <c r="D192" s="2">
        <v>43403</v>
      </c>
      <c r="E192" s="3">
        <v>20.3</v>
      </c>
      <c r="F192" s="4">
        <f t="shared" si="242"/>
        <v>4427.6561614173224</v>
      </c>
      <c r="G192" s="7">
        <v>9.68</v>
      </c>
      <c r="H192" s="7">
        <v>157.19999999999999</v>
      </c>
      <c r="I192" s="7">
        <f t="shared" si="243"/>
        <v>147.51999999999998</v>
      </c>
      <c r="J192" s="7">
        <v>136.63</v>
      </c>
      <c r="K192" s="5">
        <f t="shared" si="244"/>
        <v>7.3820498915401211</v>
      </c>
      <c r="L192" s="4">
        <f t="shared" si="245"/>
        <v>4100.8043745556452</v>
      </c>
      <c r="M192" s="2">
        <v>43440</v>
      </c>
      <c r="N192" s="7">
        <v>9.01</v>
      </c>
      <c r="O192" s="7">
        <v>3.62</v>
      </c>
      <c r="P192" s="7">
        <v>6</v>
      </c>
      <c r="Q192" s="6">
        <f t="shared" si="246"/>
        <v>0.38185811549846949</v>
      </c>
      <c r="R192" s="6">
        <f t="shared" si="247"/>
        <v>0.49096043421231789</v>
      </c>
      <c r="S192" s="6">
        <f t="shared" si="248"/>
        <v>0.12718145028921263</v>
      </c>
      <c r="T192" s="4">
        <f t="shared" si="249"/>
        <v>1690.736437874006</v>
      </c>
      <c r="U192" s="4">
        <f t="shared" si="250"/>
        <v>2173.8039915522932</v>
      </c>
      <c r="V192" s="4">
        <f t="shared" si="251"/>
        <v>3864.5404294262989</v>
      </c>
      <c r="W192" s="4">
        <f t="shared" si="252"/>
        <v>1565.9254304956985</v>
      </c>
      <c r="X192" s="4">
        <f t="shared" si="253"/>
        <v>2013.3326963516122</v>
      </c>
      <c r="Y192" s="4">
        <f t="shared" si="254"/>
        <v>3579.2581268473105</v>
      </c>
      <c r="Z192" s="10"/>
      <c r="AA192" s="4"/>
      <c r="AB192" s="5"/>
      <c r="AC192" s="4"/>
      <c r="AD192" s="4"/>
      <c r="AE192" s="4"/>
      <c r="AF192" s="4"/>
      <c r="AH192" t="s">
        <v>295</v>
      </c>
      <c r="AI192" t="str">
        <f>C192</f>
        <v>Machine</v>
      </c>
      <c r="AJ192" s="8">
        <f>D192</f>
        <v>43403</v>
      </c>
      <c r="AK192" s="3">
        <f>SUM(E192:E194)</f>
        <v>56.699999999999996</v>
      </c>
      <c r="AL192" s="3">
        <f>(AK192-3*$A$35)*$A$36/(3*$A$37)*$A$38</f>
        <v>4115.141988188976</v>
      </c>
      <c r="AM192" s="7">
        <f>SUM(G192:G194)</f>
        <v>29.119999999999997</v>
      </c>
      <c r="AN192" s="7">
        <f>SUM(H192:H194)</f>
        <v>464.96</v>
      </c>
      <c r="AO192" s="7">
        <f>AN192-AM192</f>
        <v>435.84</v>
      </c>
      <c r="AP192" s="7">
        <f>SUM(J192:J194)</f>
        <v>407.59000000000003</v>
      </c>
      <c r="AQ192" s="7">
        <f>(AO192-AP192)/AO192*100</f>
        <v>6.481736417033761</v>
      </c>
      <c r="AR192" s="3">
        <f>AL192*(1-AQ192/100)</f>
        <v>3848.409331327884</v>
      </c>
      <c r="AS192" s="11">
        <f>M192</f>
        <v>43440</v>
      </c>
      <c r="AT192" s="7">
        <f>SUM(N192:N194)</f>
        <v>25.060000000000002</v>
      </c>
      <c r="AU192" s="7">
        <f>SUM(O192:O194)</f>
        <v>10</v>
      </c>
      <c r="AV192" s="7">
        <f>SUM(P192:P194)</f>
        <v>16.920000000000002</v>
      </c>
      <c r="AW192" s="9">
        <f>(AU192-3*$A$39)/(AT192-3*$A$35*$A$36)</f>
        <v>0.37744748555530167</v>
      </c>
      <c r="AX192" s="9">
        <f>(AV192-3*$A$40)/(AT192-3*$A$35*$A$36)</f>
        <v>0.48634231327516103</v>
      </c>
      <c r="AY192" s="9">
        <f>1-AW192-AX192</f>
        <v>0.13621020116953736</v>
      </c>
      <c r="AZ192" s="3">
        <f>AL192*AW192</f>
        <v>1553.2499961449739</v>
      </c>
      <c r="BA192" s="3">
        <f>AL192*AX192</f>
        <v>2001.367673991572</v>
      </c>
      <c r="BB192" s="3">
        <f>AZ192+BA192</f>
        <v>3554.6176701365457</v>
      </c>
      <c r="BC192" s="3">
        <f>AR192*AW192</f>
        <v>1452.5724254972697</v>
      </c>
      <c r="BD192" s="3">
        <f>AR192*AX192</f>
        <v>1871.6442966277189</v>
      </c>
      <c r="BE192" s="3">
        <f>BC192+BD192</f>
        <v>3324.2167221249883</v>
      </c>
      <c r="BF192" s="11">
        <f>Z193</f>
        <v>43451</v>
      </c>
      <c r="BG192" s="3">
        <f>AVERAGE(AA192:AA194)</f>
        <v>48.6</v>
      </c>
      <c r="BH192" s="7">
        <f t="shared" ref="BH192" si="281">AVERAGE(AB192:AB194)</f>
        <v>1</v>
      </c>
      <c r="BI192" s="3">
        <f t="shared" ref="BI192" si="282">AVERAGE(AC192:AC194)</f>
        <v>77.400000000000006</v>
      </c>
      <c r="BJ192" s="3">
        <f t="shared" ref="BJ192" si="283">AVERAGE(AD192:AD194)</f>
        <v>26</v>
      </c>
      <c r="BK192" s="3">
        <f t="shared" ref="BK192" si="284">AVERAGE(AE192:AE194)</f>
        <v>6.5</v>
      </c>
      <c r="BL192" s="3">
        <f t="shared" ref="BL192" si="285">AVERAGE(AF192:AF194)</f>
        <v>14</v>
      </c>
    </row>
    <row r="193" spans="1:64" x14ac:dyDescent="0.3">
      <c r="A193">
        <v>146</v>
      </c>
      <c r="B193" s="1" t="s">
        <v>197</v>
      </c>
      <c r="C193" s="1" t="s">
        <v>32</v>
      </c>
      <c r="D193" s="2">
        <v>43403</v>
      </c>
      <c r="E193" s="3">
        <v>16.5</v>
      </c>
      <c r="F193" s="4">
        <f t="shared" si="242"/>
        <v>3579.4034055118113</v>
      </c>
      <c r="G193" s="7">
        <v>9.7200000000000006</v>
      </c>
      <c r="H193" s="7">
        <v>124.19</v>
      </c>
      <c r="I193" s="7">
        <f t="shared" si="243"/>
        <v>114.47</v>
      </c>
      <c r="J193" s="7">
        <v>107.42</v>
      </c>
      <c r="K193" s="5">
        <f t="shared" si="244"/>
        <v>6.1588189045164645</v>
      </c>
      <c r="L193" s="4">
        <f t="shared" si="245"/>
        <v>3358.9544319042438</v>
      </c>
      <c r="M193" s="2">
        <v>43440</v>
      </c>
      <c r="N193" s="7">
        <v>7.22</v>
      </c>
      <c r="O193" s="7">
        <v>2.88</v>
      </c>
      <c r="P193" s="7">
        <v>5.0199999999999996</v>
      </c>
      <c r="Q193" s="6">
        <f t="shared" si="246"/>
        <v>0.37380085612722924</v>
      </c>
      <c r="R193" s="6">
        <f t="shared" si="247"/>
        <v>0.47652475552097157</v>
      </c>
      <c r="S193" s="6">
        <f t="shared" si="248"/>
        <v>0.14967438835179919</v>
      </c>
      <c r="T193" s="4">
        <f t="shared" si="249"/>
        <v>1337.9840574050349</v>
      </c>
      <c r="U193" s="4">
        <f t="shared" si="250"/>
        <v>1705.674332722449</v>
      </c>
      <c r="V193" s="4">
        <f t="shared" si="251"/>
        <v>3043.6583901274839</v>
      </c>
      <c r="W193" s="4">
        <f t="shared" si="252"/>
        <v>1255.5800423381572</v>
      </c>
      <c r="X193" s="4">
        <f t="shared" si="253"/>
        <v>1600.6249394692538</v>
      </c>
      <c r="Y193" s="4">
        <f t="shared" si="254"/>
        <v>2856.2049818074111</v>
      </c>
      <c r="Z193" s="10">
        <v>43451</v>
      </c>
      <c r="AA193" s="4">
        <v>48.6</v>
      </c>
      <c r="AB193" s="5">
        <v>1</v>
      </c>
      <c r="AC193" s="4">
        <v>77.400000000000006</v>
      </c>
      <c r="AD193" s="4">
        <v>26</v>
      </c>
      <c r="AE193" s="4">
        <v>6.5</v>
      </c>
      <c r="AF193" s="4">
        <v>14</v>
      </c>
      <c r="AK193" s="3"/>
      <c r="AL193" s="3"/>
      <c r="AM193" s="7"/>
      <c r="AN193" s="7"/>
      <c r="AO193" s="7"/>
      <c r="AP193" s="7"/>
      <c r="AQ193" s="7"/>
      <c r="AR193" s="3"/>
      <c r="AS193" s="3"/>
      <c r="AT193" s="7"/>
      <c r="AU193" s="7"/>
      <c r="AV193" s="7"/>
      <c r="AW193" s="9"/>
      <c r="AX193" s="9"/>
      <c r="AY193" s="9"/>
      <c r="AZ193" s="3"/>
      <c r="BA193" s="3"/>
      <c r="BB193" s="3"/>
      <c r="BC193" s="3"/>
      <c r="BD193" s="3"/>
      <c r="BE193" s="3"/>
      <c r="BG193" s="3"/>
      <c r="BH193" s="7"/>
      <c r="BI193" s="3"/>
      <c r="BJ193" s="3"/>
      <c r="BK193" s="3"/>
      <c r="BL193" s="3"/>
    </row>
    <row r="194" spans="1:64" x14ac:dyDescent="0.3">
      <c r="A194">
        <v>147</v>
      </c>
      <c r="B194" s="1" t="s">
        <v>198</v>
      </c>
      <c r="C194" s="1" t="s">
        <v>32</v>
      </c>
      <c r="D194" s="2">
        <v>43403</v>
      </c>
      <c r="E194" s="3">
        <v>19.899999999999999</v>
      </c>
      <c r="F194" s="4">
        <f t="shared" si="242"/>
        <v>4338.3663976377948</v>
      </c>
      <c r="G194" s="7">
        <v>9.7200000000000006</v>
      </c>
      <c r="H194" s="7">
        <v>183.57</v>
      </c>
      <c r="I194" s="7">
        <f t="shared" si="243"/>
        <v>173.85</v>
      </c>
      <c r="J194" s="7">
        <v>163.54</v>
      </c>
      <c r="K194" s="5">
        <f t="shared" si="244"/>
        <v>5.9303997699165967</v>
      </c>
      <c r="L194" s="4">
        <f t="shared" si="245"/>
        <v>4081.0839267741439</v>
      </c>
      <c r="M194" s="2">
        <v>43440</v>
      </c>
      <c r="N194" s="7">
        <v>8.83</v>
      </c>
      <c r="O194" s="7">
        <v>3.5</v>
      </c>
      <c r="P194" s="7">
        <v>5.9</v>
      </c>
      <c r="Q194" s="6">
        <f t="shared" si="246"/>
        <v>0.37591020216251114</v>
      </c>
      <c r="R194" s="6">
        <f t="shared" si="247"/>
        <v>0.48961143614993741</v>
      </c>
      <c r="S194" s="6">
        <f t="shared" si="248"/>
        <v>0.13447836168755145</v>
      </c>
      <c r="T194" s="4">
        <f t="shared" si="249"/>
        <v>1630.8361895910687</v>
      </c>
      <c r="U194" s="4">
        <f t="shared" si="250"/>
        <v>2124.113802492071</v>
      </c>
      <c r="V194" s="4">
        <f t="shared" si="251"/>
        <v>3754.9499920831395</v>
      </c>
      <c r="W194" s="4">
        <f t="shared" si="252"/>
        <v>1534.1210839558432</v>
      </c>
      <c r="X194" s="4">
        <f t="shared" si="253"/>
        <v>1998.1453624363146</v>
      </c>
      <c r="Y194" s="4">
        <f t="shared" si="254"/>
        <v>3532.2664463921578</v>
      </c>
      <c r="Z194" s="10"/>
      <c r="AA194" s="4"/>
      <c r="AB194" s="5"/>
      <c r="AC194" s="4"/>
      <c r="AD194" s="4"/>
      <c r="AE194" s="4"/>
      <c r="AF194" s="4"/>
      <c r="AK194" s="3"/>
      <c r="AL194" s="3"/>
      <c r="AM194" s="7"/>
      <c r="AN194" s="7"/>
      <c r="AO194" s="7"/>
      <c r="AP194" s="7"/>
      <c r="AQ194" s="7"/>
      <c r="AR194" s="3"/>
      <c r="AS194" s="3"/>
      <c r="AT194" s="7"/>
      <c r="AU194" s="7"/>
      <c r="AV194" s="7"/>
      <c r="AW194" s="9"/>
      <c r="AX194" s="9"/>
      <c r="AY194" s="9"/>
      <c r="AZ194" s="3"/>
      <c r="BA194" s="3"/>
      <c r="BB194" s="3"/>
      <c r="BC194" s="3"/>
      <c r="BD194" s="3"/>
      <c r="BE194" s="3"/>
      <c r="BG194" s="3"/>
      <c r="BH194" s="7"/>
      <c r="BI194" s="3"/>
      <c r="BJ194" s="3"/>
      <c r="BK194" s="3"/>
      <c r="BL194" s="3"/>
    </row>
    <row r="195" spans="1:64" x14ac:dyDescent="0.3">
      <c r="A195">
        <v>148</v>
      </c>
      <c r="B195" s="1" t="s">
        <v>199</v>
      </c>
      <c r="C195" s="1" t="s">
        <v>32</v>
      </c>
      <c r="D195" s="2">
        <v>43403</v>
      </c>
      <c r="E195" s="3">
        <v>21.3</v>
      </c>
      <c r="F195" s="4">
        <f t="shared" si="242"/>
        <v>4650.8805708661421</v>
      </c>
      <c r="G195" s="7">
        <v>9.69</v>
      </c>
      <c r="H195" s="7">
        <v>163.34</v>
      </c>
      <c r="I195" s="7">
        <f t="shared" si="243"/>
        <v>153.65</v>
      </c>
      <c r="J195" s="7">
        <v>143.97</v>
      </c>
      <c r="K195" s="5">
        <f t="shared" si="244"/>
        <v>6.3000325414904053</v>
      </c>
      <c r="L195" s="4">
        <f t="shared" si="245"/>
        <v>4357.8735814357206</v>
      </c>
      <c r="M195" s="2">
        <v>43440</v>
      </c>
      <c r="N195" s="7">
        <v>9.39</v>
      </c>
      <c r="O195" s="7">
        <v>3.7</v>
      </c>
      <c r="P195" s="7">
        <v>6.18</v>
      </c>
      <c r="Q195" s="6">
        <f t="shared" si="246"/>
        <v>0.37476523844810883</v>
      </c>
      <c r="R195" s="6">
        <f t="shared" si="247"/>
        <v>0.49024522471409582</v>
      </c>
      <c r="S195" s="6">
        <f t="shared" si="248"/>
        <v>0.13498953683779535</v>
      </c>
      <c r="T195" s="4">
        <f t="shared" si="249"/>
        <v>1742.9883661343263</v>
      </c>
      <c r="U195" s="4">
        <f t="shared" si="250"/>
        <v>2280.0719905826941</v>
      </c>
      <c r="V195" s="4">
        <f t="shared" si="251"/>
        <v>4023.0603567170201</v>
      </c>
      <c r="W195" s="4">
        <f t="shared" si="252"/>
        <v>1633.1795318734719</v>
      </c>
      <c r="X195" s="4">
        <f t="shared" si="253"/>
        <v>2136.4267132065766</v>
      </c>
      <c r="Y195" s="4">
        <f t="shared" si="254"/>
        <v>3769.6062450800482</v>
      </c>
      <c r="Z195" s="10"/>
      <c r="AA195" s="4"/>
      <c r="AB195" s="5"/>
      <c r="AC195" s="4"/>
      <c r="AD195" s="4"/>
      <c r="AE195" s="4"/>
      <c r="AF195" s="4"/>
      <c r="AH195" t="s">
        <v>296</v>
      </c>
      <c r="AI195" t="str">
        <f>C195</f>
        <v>Machine</v>
      </c>
      <c r="AJ195" s="8">
        <f>D195</f>
        <v>43403</v>
      </c>
      <c r="AK195" s="3">
        <f>SUM(E195:E197)</f>
        <v>67.400000000000006</v>
      </c>
      <c r="AL195" s="3">
        <f>(AK195-3*$A$35)*$A$36/(3*$A$37)*$A$38</f>
        <v>4911.3090485564317</v>
      </c>
      <c r="AM195" s="7">
        <f>SUM(G195:G197)</f>
        <v>29.04</v>
      </c>
      <c r="AN195" s="7">
        <f>SUM(H195:H197)</f>
        <v>506.26</v>
      </c>
      <c r="AO195" s="7">
        <f>AN195-AM195</f>
        <v>477.21999999999997</v>
      </c>
      <c r="AP195" s="7">
        <f>SUM(J195:J197)</f>
        <v>447.33</v>
      </c>
      <c r="AQ195" s="7">
        <f>(AO195-AP195)/AO195*100</f>
        <v>6.2633586186664409</v>
      </c>
      <c r="AR195" s="3">
        <f>AL195*(1-AQ195/100)</f>
        <v>4603.6961499743275</v>
      </c>
      <c r="AS195" s="11">
        <f>M195</f>
        <v>43440</v>
      </c>
      <c r="AT195" s="7">
        <f>SUM(N195:N197)</f>
        <v>29.73</v>
      </c>
      <c r="AU195" s="7">
        <f>SUM(O195:O197)</f>
        <v>11.58</v>
      </c>
      <c r="AV195" s="7">
        <f>SUM(P195:P197)</f>
        <v>19.259999999999998</v>
      </c>
      <c r="AW195" s="9">
        <f>(AU195-3*$A$39)/(AT195-3*$A$35*$A$36)</f>
        <v>0.37116923501274202</v>
      </c>
      <c r="AX195" s="9">
        <f>(AV195-3*$A$40)/(AT195-3*$A$35*$A$36)</f>
        <v>0.48870615943344359</v>
      </c>
      <c r="AY195" s="9">
        <f>1-AW195-AX195</f>
        <v>0.1401246055538144</v>
      </c>
      <c r="AZ195" s="3">
        <f>AL195*AW195</f>
        <v>1822.9268224638486</v>
      </c>
      <c r="BA195" s="3">
        <f>AL195*AX195</f>
        <v>2400.1869829107336</v>
      </c>
      <c r="BB195" s="3">
        <f>AZ195+BA195</f>
        <v>4223.1138053745817</v>
      </c>
      <c r="BC195" s="3">
        <f>AR195*AW195</f>
        <v>1708.7503782170768</v>
      </c>
      <c r="BD195" s="3">
        <f>AR195*AX195</f>
        <v>2249.8546646524842</v>
      </c>
      <c r="BE195" s="3">
        <f>BC195+BD195</f>
        <v>3958.6050428695607</v>
      </c>
      <c r="BF195" s="11">
        <f>Z196</f>
        <v>43451</v>
      </c>
      <c r="BG195" s="3">
        <f>AVERAGE(AA195:AA197)</f>
        <v>47.800000000000004</v>
      </c>
      <c r="BH195" s="7">
        <f t="shared" ref="BH195" si="286">AVERAGE(AB195:AB197)</f>
        <v>1.08</v>
      </c>
      <c r="BI195" s="3">
        <f t="shared" ref="BI195" si="287">AVERAGE(AC195:AC197)</f>
        <v>79.599999999999994</v>
      </c>
      <c r="BJ195" s="3">
        <f t="shared" ref="BJ195" si="288">AVERAGE(AD195:AD197)</f>
        <v>28.5</v>
      </c>
      <c r="BK195" s="3">
        <f t="shared" ref="BK195" si="289">AVERAGE(AE195:AE197)</f>
        <v>6.1</v>
      </c>
      <c r="BL195" s="3">
        <f t="shared" ref="BL195" si="290">AVERAGE(AF195:AF197)</f>
        <v>11</v>
      </c>
    </row>
    <row r="196" spans="1:64" x14ac:dyDescent="0.3">
      <c r="A196">
        <v>149</v>
      </c>
      <c r="B196" s="1" t="s">
        <v>200</v>
      </c>
      <c r="C196" s="1" t="s">
        <v>32</v>
      </c>
      <c r="D196" s="2">
        <v>43403</v>
      </c>
      <c r="E196" s="3">
        <v>22.7</v>
      </c>
      <c r="F196" s="4">
        <f t="shared" si="242"/>
        <v>4963.3947440944885</v>
      </c>
      <c r="G196" s="7">
        <v>9.69</v>
      </c>
      <c r="H196" s="7">
        <v>187.84</v>
      </c>
      <c r="I196" s="7">
        <f t="shared" si="243"/>
        <v>178.15</v>
      </c>
      <c r="J196" s="7">
        <v>167.56</v>
      </c>
      <c r="K196" s="5">
        <f t="shared" si="244"/>
        <v>5.9444288520909359</v>
      </c>
      <c r="L196" s="4">
        <f t="shared" si="245"/>
        <v>4668.3492748833705</v>
      </c>
      <c r="M196" s="2">
        <v>43440</v>
      </c>
      <c r="N196" s="7">
        <v>10</v>
      </c>
      <c r="O196" s="7">
        <v>3.84</v>
      </c>
      <c r="P196" s="7">
        <v>6.4</v>
      </c>
      <c r="Q196" s="6">
        <f t="shared" si="246"/>
        <v>0.36571364238517001</v>
      </c>
      <c r="R196" s="6">
        <f t="shared" si="247"/>
        <v>0.48216994191564316</v>
      </c>
      <c r="S196" s="6">
        <f t="shared" si="248"/>
        <v>0.15211641569918682</v>
      </c>
      <c r="T196" s="4">
        <f t="shared" si="249"/>
        <v>1815.1811704582042</v>
      </c>
      <c r="U196" s="4">
        <f t="shared" si="250"/>
        <v>2393.1997554644481</v>
      </c>
      <c r="V196" s="4">
        <f t="shared" si="251"/>
        <v>4208.3809259226528</v>
      </c>
      <c r="W196" s="4">
        <f t="shared" si="252"/>
        <v>1707.2790172437647</v>
      </c>
      <c r="X196" s="4">
        <f t="shared" si="253"/>
        <v>2250.9376987124497</v>
      </c>
      <c r="Y196" s="4">
        <f t="shared" si="254"/>
        <v>3958.2167159562141</v>
      </c>
      <c r="Z196" s="10">
        <v>43451</v>
      </c>
      <c r="AA196" s="4">
        <v>47.800000000000004</v>
      </c>
      <c r="AB196" s="5">
        <v>1.08</v>
      </c>
      <c r="AC196" s="4">
        <v>79.599999999999994</v>
      </c>
      <c r="AD196" s="4">
        <v>28.5</v>
      </c>
      <c r="AE196" s="4">
        <v>6.1</v>
      </c>
      <c r="AF196" s="4">
        <v>11</v>
      </c>
      <c r="AK196" s="3"/>
      <c r="AL196" s="3"/>
      <c r="AM196" s="7"/>
      <c r="AN196" s="7"/>
      <c r="AO196" s="7"/>
      <c r="AP196" s="7"/>
      <c r="AQ196" s="7"/>
      <c r="AR196" s="3"/>
      <c r="AS196" s="3"/>
      <c r="AT196" s="7"/>
      <c r="AU196" s="7"/>
      <c r="AV196" s="7"/>
      <c r="AW196" s="9"/>
      <c r="AX196" s="9"/>
      <c r="AY196" s="9"/>
      <c r="AZ196" s="3"/>
      <c r="BA196" s="3"/>
      <c r="BB196" s="3"/>
      <c r="BC196" s="3"/>
      <c r="BD196" s="3"/>
      <c r="BE196" s="3"/>
      <c r="BG196" s="3"/>
      <c r="BH196" s="7"/>
      <c r="BI196" s="3"/>
      <c r="BJ196" s="3"/>
      <c r="BK196" s="3"/>
      <c r="BL196" s="3"/>
    </row>
    <row r="197" spans="1:64" x14ac:dyDescent="0.3">
      <c r="A197">
        <v>150</v>
      </c>
      <c r="B197" s="1" t="s">
        <v>201</v>
      </c>
      <c r="C197" s="1" t="s">
        <v>32</v>
      </c>
      <c r="D197" s="2">
        <v>43403</v>
      </c>
      <c r="E197" s="3">
        <v>23.4</v>
      </c>
      <c r="F197" s="4">
        <f t="shared" si="242"/>
        <v>5119.6518307086617</v>
      </c>
      <c r="G197" s="7">
        <v>9.66</v>
      </c>
      <c r="H197" s="7">
        <v>155.08000000000001</v>
      </c>
      <c r="I197" s="7">
        <f t="shared" si="243"/>
        <v>145.42000000000002</v>
      </c>
      <c r="J197" s="7">
        <v>135.80000000000001</v>
      </c>
      <c r="K197" s="5">
        <f t="shared" si="244"/>
        <v>6.6153211387704607</v>
      </c>
      <c r="L197" s="4">
        <f t="shared" si="245"/>
        <v>4780.9704209203428</v>
      </c>
      <c r="M197" s="2">
        <v>43440</v>
      </c>
      <c r="N197" s="7">
        <v>10.34</v>
      </c>
      <c r="O197" s="7">
        <v>4.04</v>
      </c>
      <c r="P197" s="7">
        <v>6.68</v>
      </c>
      <c r="Q197" s="6">
        <f t="shared" si="246"/>
        <v>0.37318296474025581</v>
      </c>
      <c r="R197" s="6">
        <f t="shared" si="247"/>
        <v>0.49362826023843359</v>
      </c>
      <c r="S197" s="6">
        <f t="shared" si="248"/>
        <v>0.1331887750213106</v>
      </c>
      <c r="T197" s="4">
        <f t="shared" si="249"/>
        <v>1910.5668486217367</v>
      </c>
      <c r="U197" s="4">
        <f t="shared" si="250"/>
        <v>2527.2048262192284</v>
      </c>
      <c r="V197" s="4">
        <f t="shared" si="251"/>
        <v>4437.7716748409648</v>
      </c>
      <c r="W197" s="4">
        <f t="shared" si="252"/>
        <v>1784.1767160145223</v>
      </c>
      <c r="X197" s="4">
        <f t="shared" si="253"/>
        <v>2360.0221111303204</v>
      </c>
      <c r="Y197" s="4">
        <f t="shared" si="254"/>
        <v>4144.1988271448427</v>
      </c>
      <c r="Z197" s="10"/>
      <c r="AA197" s="4"/>
      <c r="AB197" s="5"/>
      <c r="AC197" s="4"/>
      <c r="AD197" s="4"/>
      <c r="AE197" s="4"/>
      <c r="AF197" s="4"/>
      <c r="AK197" s="3"/>
      <c r="AL197" s="3"/>
      <c r="AM197" s="7"/>
      <c r="AN197" s="7"/>
      <c r="AO197" s="7"/>
      <c r="AP197" s="7"/>
      <c r="AQ197" s="7"/>
      <c r="AR197" s="3"/>
      <c r="AS197" s="3"/>
      <c r="AT197" s="7"/>
      <c r="AU197" s="7"/>
      <c r="AV197" s="7"/>
      <c r="AW197" s="9"/>
      <c r="AX197" s="9"/>
      <c r="AY197" s="9"/>
      <c r="AZ197" s="3"/>
      <c r="BA197" s="3"/>
      <c r="BB197" s="3"/>
      <c r="BC197" s="3"/>
      <c r="BD197" s="3"/>
      <c r="BE197" s="3"/>
      <c r="BG197" s="3"/>
      <c r="BH197" s="7"/>
      <c r="BI197" s="3"/>
      <c r="BJ197" s="3"/>
      <c r="BK197" s="3"/>
      <c r="BL197" s="3"/>
    </row>
    <row r="198" spans="1:64" x14ac:dyDescent="0.3">
      <c r="A198">
        <v>151</v>
      </c>
      <c r="B198" s="1" t="s">
        <v>202</v>
      </c>
      <c r="C198" s="1" t="s">
        <v>32</v>
      </c>
      <c r="D198" s="2">
        <v>43403</v>
      </c>
      <c r="E198" s="3">
        <v>20.6</v>
      </c>
      <c r="F198" s="4">
        <f t="shared" si="242"/>
        <v>4494.623484251968</v>
      </c>
      <c r="G198" s="7">
        <v>9.74</v>
      </c>
      <c r="H198" s="7">
        <v>158.47</v>
      </c>
      <c r="I198" s="7">
        <f t="shared" si="243"/>
        <v>148.72999999999999</v>
      </c>
      <c r="J198" s="7">
        <v>139.68</v>
      </c>
      <c r="K198" s="5">
        <f t="shared" si="244"/>
        <v>6.0848517447723953</v>
      </c>
      <c r="L198" s="4">
        <f t="shared" si="245"/>
        <v>4221.132308749512</v>
      </c>
      <c r="M198" s="2">
        <v>43440</v>
      </c>
      <c r="N198" s="7">
        <v>9.18</v>
      </c>
      <c r="O198" s="7">
        <v>3.68</v>
      </c>
      <c r="P198" s="7">
        <v>6.08</v>
      </c>
      <c r="Q198" s="6">
        <f t="shared" si="246"/>
        <v>0.3813100236330601</v>
      </c>
      <c r="R198" s="6">
        <f t="shared" si="247"/>
        <v>0.49057429941095454</v>
      </c>
      <c r="S198" s="6">
        <f t="shared" si="248"/>
        <v>0.12811567695598536</v>
      </c>
      <c r="T198" s="4">
        <f t="shared" si="249"/>
        <v>1713.8449870018248</v>
      </c>
      <c r="U198" s="4">
        <f t="shared" si="250"/>
        <v>2204.9467669029327</v>
      </c>
      <c r="V198" s="4">
        <f t="shared" si="251"/>
        <v>3918.7917539047576</v>
      </c>
      <c r="W198" s="4">
        <f t="shared" si="252"/>
        <v>1609.5600604075501</v>
      </c>
      <c r="X198" s="4">
        <f t="shared" si="253"/>
        <v>2070.779025085737</v>
      </c>
      <c r="Y198" s="4">
        <f t="shared" si="254"/>
        <v>3680.3390854932868</v>
      </c>
      <c r="Z198" s="10"/>
      <c r="AA198" s="4"/>
      <c r="AB198" s="5"/>
      <c r="AC198" s="4"/>
      <c r="AD198" s="4"/>
      <c r="AE198" s="4"/>
      <c r="AF198" s="4"/>
      <c r="AH198" t="s">
        <v>297</v>
      </c>
      <c r="AI198" t="str">
        <f>C198</f>
        <v>Machine</v>
      </c>
      <c r="AJ198" s="8">
        <f>D198</f>
        <v>43403</v>
      </c>
      <c r="AK198" s="3">
        <f>SUM(E198:E200)</f>
        <v>62.5</v>
      </c>
      <c r="AL198" s="3">
        <f>(AK198-3*$A$35)*$A$36/(3*$A$37)*$A$38</f>
        <v>4546.7091797900257</v>
      </c>
      <c r="AM198" s="7">
        <f>SUM(G198:G200)</f>
        <v>29.159999999999997</v>
      </c>
      <c r="AN198" s="7">
        <f>SUM(H198:H200)</f>
        <v>521.79</v>
      </c>
      <c r="AO198" s="7">
        <f>AN198-AM198</f>
        <v>492.63</v>
      </c>
      <c r="AP198" s="7">
        <f>SUM(J198:J200)</f>
        <v>462.37</v>
      </c>
      <c r="AQ198" s="7">
        <f>(AO198-AP198)/AO198*100</f>
        <v>6.1425410551529529</v>
      </c>
      <c r="AR198" s="3">
        <f>AL198*(1-AQ198/100)</f>
        <v>4267.4257017630152</v>
      </c>
      <c r="AS198" s="11">
        <f>M198</f>
        <v>43440</v>
      </c>
      <c r="AT198" s="7">
        <f>SUM(N198:N200)</f>
        <v>27.669999999999998</v>
      </c>
      <c r="AU198" s="7">
        <f>SUM(O198:O200)</f>
        <v>11.08</v>
      </c>
      <c r="AV198" s="7">
        <f>SUM(P198:P200)</f>
        <v>18.16</v>
      </c>
      <c r="AW198" s="9">
        <f>(AU198-3*$A$39)/(AT198-3*$A$35*$A$36)</f>
        <v>0.3809560561656104</v>
      </c>
      <c r="AX198" s="9">
        <f>(AV198-3*$A$40)/(AT198-3*$A$35*$A$36)</f>
        <v>0.48525664630027271</v>
      </c>
      <c r="AY198" s="9">
        <f>1-AW198-AX198</f>
        <v>0.13378729753411683</v>
      </c>
      <c r="AZ198" s="3">
        <f>AL198*AW198</f>
        <v>1732.0963976647854</v>
      </c>
      <c r="BA198" s="3">
        <f>AL198*AX198</f>
        <v>2206.3208482875716</v>
      </c>
      <c r="BB198" s="3">
        <f>AZ198+BA198</f>
        <v>3938.417245952357</v>
      </c>
      <c r="BC198" s="3">
        <f>AR198*AW198</f>
        <v>1625.7016653234007</v>
      </c>
      <c r="BD198" s="3">
        <f>AR198*AX198</f>
        <v>2070.7966843731087</v>
      </c>
      <c r="BE198" s="3">
        <f>BC198+BD198</f>
        <v>3696.4983496965096</v>
      </c>
      <c r="BF198" s="11">
        <f>Z199</f>
        <v>43451</v>
      </c>
      <c r="BG198" s="3">
        <f>AVERAGE(AA198:AA200)</f>
        <v>51.7</v>
      </c>
      <c r="BH198" s="7">
        <f t="shared" ref="BH198" si="291">AVERAGE(AB198:AB200)</f>
        <v>1.02</v>
      </c>
      <c r="BI198" s="3">
        <f t="shared" ref="BI198" si="292">AVERAGE(AC198:AC200)</f>
        <v>77.2</v>
      </c>
      <c r="BJ198" s="3">
        <f t="shared" ref="BJ198" si="293">AVERAGE(AD198:AD200)</f>
        <v>24.7</v>
      </c>
      <c r="BK198" s="3">
        <f t="shared" ref="BK198" si="294">AVERAGE(AE198:AE200)</f>
        <v>6.5</v>
      </c>
      <c r="BL198" s="3">
        <f t="shared" ref="BL198" si="295">AVERAGE(AF198:AF200)</f>
        <v>13.4</v>
      </c>
    </row>
    <row r="199" spans="1:64" x14ac:dyDescent="0.3">
      <c r="A199">
        <v>152</v>
      </c>
      <c r="B199" s="1" t="s">
        <v>203</v>
      </c>
      <c r="C199" s="1" t="s">
        <v>32</v>
      </c>
      <c r="D199" s="2">
        <v>43403</v>
      </c>
      <c r="E199" s="3">
        <v>21.9</v>
      </c>
      <c r="F199" s="4">
        <f t="shared" si="242"/>
        <v>4784.8152165354322</v>
      </c>
      <c r="G199" s="7">
        <v>9.73</v>
      </c>
      <c r="H199" s="7">
        <v>173.71</v>
      </c>
      <c r="I199" s="7">
        <f t="shared" si="243"/>
        <v>163.98000000000002</v>
      </c>
      <c r="J199" s="7">
        <v>154.71</v>
      </c>
      <c r="K199" s="5">
        <f t="shared" si="244"/>
        <v>5.653128430296384</v>
      </c>
      <c r="L199" s="4">
        <f t="shared" si="245"/>
        <v>4514.3234671923201</v>
      </c>
      <c r="M199" s="2">
        <v>43440</v>
      </c>
      <c r="N199" s="7">
        <v>9.65</v>
      </c>
      <c r="O199" s="7">
        <v>3.84</v>
      </c>
      <c r="P199" s="7">
        <v>6.22</v>
      </c>
      <c r="Q199" s="6">
        <f t="shared" si="246"/>
        <v>0.37927426255490931</v>
      </c>
      <c r="R199" s="6">
        <f t="shared" si="247"/>
        <v>0.48097909273723138</v>
      </c>
      <c r="S199" s="6">
        <f t="shared" si="248"/>
        <v>0.13974664470785936</v>
      </c>
      <c r="T199" s="4">
        <f t="shared" si="249"/>
        <v>1814.7572627129848</v>
      </c>
      <c r="U199" s="4">
        <f t="shared" si="250"/>
        <v>2301.3960817645116</v>
      </c>
      <c r="V199" s="4">
        <f t="shared" si="251"/>
        <v>4116.1533444774959</v>
      </c>
      <c r="W199" s="4">
        <f t="shared" si="252"/>
        <v>1712.1667039536885</v>
      </c>
      <c r="X199" s="4">
        <f t="shared" si="253"/>
        <v>2171.295205572555</v>
      </c>
      <c r="Y199" s="4">
        <f t="shared" si="254"/>
        <v>3883.4619095262433</v>
      </c>
      <c r="Z199" s="10">
        <v>43451</v>
      </c>
      <c r="AA199" s="4">
        <v>51.7</v>
      </c>
      <c r="AB199" s="5">
        <v>1.02</v>
      </c>
      <c r="AC199" s="4">
        <v>77.2</v>
      </c>
      <c r="AD199" s="4">
        <v>24.7</v>
      </c>
      <c r="AE199" s="4">
        <v>6.5</v>
      </c>
      <c r="AF199" s="4">
        <v>13.4</v>
      </c>
      <c r="AK199" s="3"/>
      <c r="AL199" s="3"/>
      <c r="AM199" s="7"/>
      <c r="AN199" s="7"/>
      <c r="AO199" s="7"/>
      <c r="AP199" s="7"/>
      <c r="AQ199" s="7"/>
      <c r="AR199" s="3"/>
      <c r="AS199" s="3"/>
      <c r="AT199" s="7"/>
      <c r="AU199" s="7"/>
      <c r="AV199" s="7"/>
      <c r="AW199" s="9"/>
      <c r="AX199" s="9"/>
      <c r="AY199" s="9"/>
      <c r="AZ199" s="3"/>
      <c r="BA199" s="3"/>
      <c r="BB199" s="3"/>
      <c r="BC199" s="3"/>
      <c r="BD199" s="3"/>
      <c r="BE199" s="3"/>
      <c r="BG199" s="3"/>
      <c r="BH199" s="7"/>
      <c r="BI199" s="3"/>
      <c r="BJ199" s="3"/>
      <c r="BK199" s="3"/>
      <c r="BL199" s="3"/>
    </row>
    <row r="200" spans="1:64" x14ac:dyDescent="0.3">
      <c r="A200">
        <v>153</v>
      </c>
      <c r="B200" s="1" t="s">
        <v>204</v>
      </c>
      <c r="C200" s="1" t="s">
        <v>32</v>
      </c>
      <c r="D200" s="2">
        <v>43403</v>
      </c>
      <c r="E200" s="3">
        <v>20</v>
      </c>
      <c r="F200" s="4">
        <f t="shared" si="242"/>
        <v>4360.6888385826769</v>
      </c>
      <c r="G200" s="7">
        <v>9.69</v>
      </c>
      <c r="H200" s="7">
        <v>189.61</v>
      </c>
      <c r="I200" s="7">
        <f t="shared" si="243"/>
        <v>179.92000000000002</v>
      </c>
      <c r="J200" s="7">
        <v>167.98</v>
      </c>
      <c r="K200" s="5">
        <f t="shared" si="244"/>
        <v>6.6362827923521701</v>
      </c>
      <c r="L200" s="4">
        <f t="shared" si="245"/>
        <v>4071.3011955597931</v>
      </c>
      <c r="M200" s="2">
        <v>43440</v>
      </c>
      <c r="N200" s="7">
        <v>8.84</v>
      </c>
      <c r="O200" s="7">
        <v>3.56</v>
      </c>
      <c r="P200" s="7">
        <v>5.86</v>
      </c>
      <c r="Q200" s="6">
        <f t="shared" si="246"/>
        <v>0.38242780308906449</v>
      </c>
      <c r="R200" s="6">
        <f t="shared" si="247"/>
        <v>0.48440855057948179</v>
      </c>
      <c r="S200" s="6">
        <f t="shared" si="248"/>
        <v>0.13316364633145378</v>
      </c>
      <c r="T200" s="4">
        <f t="shared" si="249"/>
        <v>1667.6486524941772</v>
      </c>
      <c r="U200" s="4">
        <f t="shared" si="250"/>
        <v>2112.3549598259583</v>
      </c>
      <c r="V200" s="4">
        <f t="shared" si="251"/>
        <v>3780.0036123201353</v>
      </c>
      <c r="W200" s="4">
        <f t="shared" si="252"/>
        <v>1556.9787719318133</v>
      </c>
      <c r="X200" s="4">
        <f t="shared" si="253"/>
        <v>1972.1731111136307</v>
      </c>
      <c r="Y200" s="4">
        <f t="shared" si="254"/>
        <v>3529.1518830454443</v>
      </c>
      <c r="Z200" s="10"/>
      <c r="AA200" s="4"/>
      <c r="AB200" s="5"/>
      <c r="AC200" s="4"/>
      <c r="AD200" s="4"/>
      <c r="AE200" s="4"/>
      <c r="AF200" s="4"/>
      <c r="AK200" s="3"/>
      <c r="AL200" s="3"/>
      <c r="AM200" s="7"/>
      <c r="AN200" s="7"/>
      <c r="AO200" s="7"/>
      <c r="AP200" s="7"/>
      <c r="AQ200" s="7"/>
      <c r="AR200" s="3"/>
      <c r="AS200" s="3"/>
      <c r="AT200" s="7"/>
      <c r="AU200" s="7"/>
      <c r="AV200" s="7"/>
      <c r="AW200" s="9"/>
      <c r="AX200" s="9"/>
      <c r="AY200" s="9"/>
      <c r="AZ200" s="3"/>
      <c r="BA200" s="3"/>
      <c r="BB200" s="3"/>
      <c r="BC200" s="3"/>
      <c r="BD200" s="3"/>
      <c r="BE200" s="3"/>
      <c r="BG200" s="3"/>
      <c r="BH200" s="7"/>
      <c r="BI200" s="3"/>
      <c r="BJ200" s="3"/>
      <c r="BK200" s="3"/>
      <c r="BL200" s="3"/>
    </row>
    <row r="201" spans="1:64" x14ac:dyDescent="0.3">
      <c r="A201">
        <v>154</v>
      </c>
      <c r="B201" s="1" t="s">
        <v>205</v>
      </c>
      <c r="C201" s="1" t="s">
        <v>32</v>
      </c>
      <c r="D201" s="2">
        <v>43403</v>
      </c>
      <c r="E201" s="3">
        <v>17.7</v>
      </c>
      <c r="F201" s="4">
        <f t="shared" si="242"/>
        <v>3847.2726968503935</v>
      </c>
      <c r="G201" s="7">
        <v>9.69</v>
      </c>
      <c r="H201" s="7">
        <v>162.32</v>
      </c>
      <c r="I201" s="7">
        <f t="shared" si="243"/>
        <v>152.63</v>
      </c>
      <c r="J201" s="7">
        <v>143.49</v>
      </c>
      <c r="K201" s="5">
        <f t="shared" si="244"/>
        <v>5.9883378103911333</v>
      </c>
      <c r="L201" s="4">
        <f t="shared" si="245"/>
        <v>3616.885011276047</v>
      </c>
      <c r="M201" s="2">
        <v>43440</v>
      </c>
      <c r="N201" s="7">
        <v>7.91</v>
      </c>
      <c r="O201" s="7">
        <v>3.18</v>
      </c>
      <c r="P201" s="7">
        <v>5.46</v>
      </c>
      <c r="Q201" s="6">
        <f t="shared" si="246"/>
        <v>0.37926610792387011</v>
      </c>
      <c r="R201" s="6">
        <f t="shared" si="247"/>
        <v>0.49096776984665386</v>
      </c>
      <c r="S201" s="6">
        <f t="shared" si="248"/>
        <v>0.12976612222947598</v>
      </c>
      <c r="T201" s="4">
        <f t="shared" si="249"/>
        <v>1459.1401418562202</v>
      </c>
      <c r="U201" s="4">
        <f t="shared" si="250"/>
        <v>1888.8868959645592</v>
      </c>
      <c r="V201" s="4">
        <f t="shared" si="251"/>
        <v>3348.0270378207797</v>
      </c>
      <c r="W201" s="4">
        <f t="shared" si="252"/>
        <v>1371.7619010348494</v>
      </c>
      <c r="X201" s="4">
        <f t="shared" si="253"/>
        <v>1775.7739677779903</v>
      </c>
      <c r="Y201" s="4">
        <f t="shared" si="254"/>
        <v>3147.5358688128399</v>
      </c>
      <c r="Z201" s="10"/>
      <c r="AA201" s="4"/>
      <c r="AB201" s="5"/>
      <c r="AC201" s="4"/>
      <c r="AD201" s="4"/>
      <c r="AE201" s="4"/>
      <c r="AF201" s="4"/>
      <c r="AH201" t="s">
        <v>298</v>
      </c>
      <c r="AI201" t="str">
        <f>C201</f>
        <v>Machine</v>
      </c>
      <c r="AJ201" s="8">
        <f>D201</f>
        <v>43403</v>
      </c>
      <c r="AK201" s="3">
        <f>SUM(E201:E203)</f>
        <v>55</v>
      </c>
      <c r="AL201" s="3">
        <f>(AK201-3*$A$35)*$A$36/(3*$A$37)*$A$38</f>
        <v>3988.6481561679789</v>
      </c>
      <c r="AM201" s="7">
        <f>SUM(G201:G203)</f>
        <v>29.1</v>
      </c>
      <c r="AN201" s="7">
        <f>SUM(H201:H203)</f>
        <v>501.25</v>
      </c>
      <c r="AO201" s="7">
        <f>AN201-AM201</f>
        <v>472.15</v>
      </c>
      <c r="AP201" s="7">
        <f>SUM(J201:J203)</f>
        <v>441.42999999999995</v>
      </c>
      <c r="AQ201" s="7">
        <f>(AO201-AP201)/AO201*100</f>
        <v>6.5064068622259938</v>
      </c>
      <c r="AR201" s="3">
        <f>AL201*(1-AQ201/100)</f>
        <v>3729.130478825015</v>
      </c>
      <c r="AS201" s="11">
        <f>M201</f>
        <v>43440</v>
      </c>
      <c r="AT201" s="7">
        <f>SUM(N201:N203)</f>
        <v>24.41</v>
      </c>
      <c r="AU201" s="7">
        <f>SUM(O201:O203)</f>
        <v>9.68</v>
      </c>
      <c r="AV201" s="7">
        <f>SUM(P201:P203)</f>
        <v>16.599999999999998</v>
      </c>
      <c r="AW201" s="9">
        <f>(AU201-3*$A$39)/(AT201-3*$A$35*$A$36)</f>
        <v>0.37430754429102525</v>
      </c>
      <c r="AX201" s="9">
        <f>(AV201-3*$A$40)/(AT201-3*$A$35*$A$36)</f>
        <v>0.48617923730384843</v>
      </c>
      <c r="AY201" s="9">
        <f>1-AW201-AX201</f>
        <v>0.13951321840512626</v>
      </c>
      <c r="AZ201" s="3">
        <f>AL201*AW201</f>
        <v>1492.981096376162</v>
      </c>
      <c r="BA201" s="3">
        <f>AL201*AX201</f>
        <v>1939.1979184391494</v>
      </c>
      <c r="BB201" s="3">
        <f>AZ201+BA201</f>
        <v>3432.1790148153113</v>
      </c>
      <c r="BC201" s="3">
        <f>AR201*AW201</f>
        <v>1395.8416718698065</v>
      </c>
      <c r="BD201" s="3">
        <f>AR201*AX201</f>
        <v>1813.0258120016808</v>
      </c>
      <c r="BE201" s="3">
        <f>BC201+BD201</f>
        <v>3208.8674838714874</v>
      </c>
      <c r="BF201" s="11">
        <f>Z202</f>
        <v>43451</v>
      </c>
      <c r="BG201" s="3">
        <f>AVERAGE(AA201:AA203)</f>
        <v>49.6</v>
      </c>
      <c r="BH201" s="7">
        <f t="shared" ref="BH201" si="296">AVERAGE(AB201:AB203)</f>
        <v>1.08</v>
      </c>
      <c r="BI201" s="3">
        <f t="shared" ref="BI201" si="297">AVERAGE(AC201:AC203)</f>
        <v>79.599999999999994</v>
      </c>
      <c r="BJ201" s="3">
        <f t="shared" ref="BJ201" si="298">AVERAGE(AD201:AD203)</f>
        <v>27.4</v>
      </c>
      <c r="BK201" s="3">
        <f t="shared" ref="BK201" si="299">AVERAGE(AE201:AE203)</f>
        <v>6.1</v>
      </c>
      <c r="BL201" s="3">
        <f t="shared" ref="BL201" si="300">AVERAGE(AF201:AF203)</f>
        <v>11.4</v>
      </c>
    </row>
    <row r="202" spans="1:64" x14ac:dyDescent="0.3">
      <c r="A202">
        <v>155</v>
      </c>
      <c r="B202" s="1" t="s">
        <v>206</v>
      </c>
      <c r="C202" s="1" t="s">
        <v>32</v>
      </c>
      <c r="D202" s="2">
        <v>43403</v>
      </c>
      <c r="E202" s="3">
        <v>20.5</v>
      </c>
      <c r="F202" s="4">
        <f t="shared" si="242"/>
        <v>4472.3010433070867</v>
      </c>
      <c r="G202" s="7">
        <v>9.73</v>
      </c>
      <c r="H202" s="7">
        <v>177.57</v>
      </c>
      <c r="I202" s="7">
        <f t="shared" si="243"/>
        <v>167.84</v>
      </c>
      <c r="J202" s="7">
        <v>157.79</v>
      </c>
      <c r="K202" s="5">
        <f t="shared" si="244"/>
        <v>5.98784556720687</v>
      </c>
      <c r="L202" s="4">
        <f t="shared" si="245"/>
        <v>4204.5065635332767</v>
      </c>
      <c r="M202" s="2">
        <v>43440</v>
      </c>
      <c r="N202" s="7">
        <v>9.0500000000000007</v>
      </c>
      <c r="O202" s="7">
        <v>3.54</v>
      </c>
      <c r="P202" s="7">
        <v>5.92</v>
      </c>
      <c r="Q202" s="6">
        <f t="shared" si="246"/>
        <v>0.37107935485392363</v>
      </c>
      <c r="R202" s="6">
        <f t="shared" si="247"/>
        <v>0.47968794651848662</v>
      </c>
      <c r="S202" s="6">
        <f t="shared" si="248"/>
        <v>0.14923269862758975</v>
      </c>
      <c r="T202" s="4">
        <f t="shared" si="249"/>
        <v>1659.5785858629233</v>
      </c>
      <c r="U202" s="4">
        <f t="shared" si="250"/>
        <v>2145.3089036764618</v>
      </c>
      <c r="V202" s="4">
        <f t="shared" si="251"/>
        <v>3804.8874895393851</v>
      </c>
      <c r="W202" s="4">
        <f t="shared" si="252"/>
        <v>1560.2055830750157</v>
      </c>
      <c r="X202" s="4">
        <f t="shared" si="253"/>
        <v>2016.8511195847764</v>
      </c>
      <c r="Y202" s="4">
        <f t="shared" si="254"/>
        <v>3577.0567026597919</v>
      </c>
      <c r="Z202" s="10">
        <v>43451</v>
      </c>
      <c r="AA202" s="4">
        <v>49.6</v>
      </c>
      <c r="AB202" s="5">
        <v>1.08</v>
      </c>
      <c r="AC202" s="4">
        <v>79.599999999999994</v>
      </c>
      <c r="AD202" s="4">
        <v>27.4</v>
      </c>
      <c r="AE202" s="4">
        <v>6.1</v>
      </c>
      <c r="AF202" s="4">
        <v>11.4</v>
      </c>
      <c r="AK202" s="3"/>
      <c r="AL202" s="3"/>
      <c r="AM202" s="7"/>
      <c r="AN202" s="7"/>
      <c r="AO202" s="7"/>
      <c r="AP202" s="7"/>
      <c r="AQ202" s="7"/>
      <c r="AR202" s="3"/>
      <c r="AS202" s="3"/>
      <c r="AT202" s="7"/>
      <c r="AU202" s="7"/>
      <c r="AV202" s="7"/>
      <c r="AW202" s="9"/>
      <c r="AX202" s="9"/>
      <c r="AY202" s="9"/>
      <c r="AZ202" s="3"/>
      <c r="BA202" s="3"/>
      <c r="BB202" s="3"/>
      <c r="BC202" s="3"/>
      <c r="BD202" s="3"/>
      <c r="BE202" s="3"/>
      <c r="BG202" s="3"/>
      <c r="BH202" s="7"/>
      <c r="BI202" s="3"/>
      <c r="BJ202" s="3"/>
      <c r="BK202" s="3"/>
      <c r="BL202" s="3"/>
    </row>
    <row r="203" spans="1:64" x14ac:dyDescent="0.3">
      <c r="A203">
        <v>156</v>
      </c>
      <c r="B203" s="1" t="s">
        <v>207</v>
      </c>
      <c r="C203" s="1" t="s">
        <v>32</v>
      </c>
      <c r="D203" s="2">
        <v>43403</v>
      </c>
      <c r="E203" s="3">
        <v>16.8</v>
      </c>
      <c r="F203" s="4">
        <f t="shared" si="242"/>
        <v>3646.3707283464569</v>
      </c>
      <c r="G203" s="7">
        <v>9.68</v>
      </c>
      <c r="H203" s="7">
        <v>161.36000000000001</v>
      </c>
      <c r="I203" s="7">
        <f t="shared" si="243"/>
        <v>151.68</v>
      </c>
      <c r="J203" s="7">
        <v>140.15</v>
      </c>
      <c r="K203" s="5">
        <f t="shared" si="244"/>
        <v>7.6015295358649784</v>
      </c>
      <c r="L203" s="4">
        <f t="shared" si="245"/>
        <v>3369.1907804440657</v>
      </c>
      <c r="M203" s="2">
        <v>43440</v>
      </c>
      <c r="N203" s="7">
        <v>7.45</v>
      </c>
      <c r="O203" s="7">
        <v>2.96</v>
      </c>
      <c r="P203" s="7">
        <v>5.22</v>
      </c>
      <c r="Q203" s="6">
        <f t="shared" si="246"/>
        <v>0.37297558590776231</v>
      </c>
      <c r="R203" s="6">
        <f t="shared" si="247"/>
        <v>0.48901243485684392</v>
      </c>
      <c r="S203" s="6">
        <f t="shared" si="248"/>
        <v>0.13801197923539371</v>
      </c>
      <c r="T203" s="4">
        <f t="shared" si="249"/>
        <v>1360.0072588419337</v>
      </c>
      <c r="U203" s="4">
        <f t="shared" si="250"/>
        <v>1783.1206282594242</v>
      </c>
      <c r="V203" s="4">
        <f t="shared" si="251"/>
        <v>3143.1278871013578</v>
      </c>
      <c r="W203" s="4">
        <f t="shared" si="252"/>
        <v>1256.6259053711563</v>
      </c>
      <c r="X203" s="4">
        <f t="shared" si="253"/>
        <v>1647.5761870421827</v>
      </c>
      <c r="Y203" s="4">
        <f t="shared" si="254"/>
        <v>2904.202092413339</v>
      </c>
      <c r="Z203" s="10"/>
      <c r="AA203" s="4"/>
      <c r="AB203" s="5"/>
      <c r="AC203" s="4"/>
      <c r="AD203" s="4"/>
      <c r="AE203" s="4"/>
      <c r="AF203" s="4"/>
      <c r="AK203" s="3"/>
      <c r="AL203" s="3"/>
      <c r="AM203" s="7"/>
      <c r="AN203" s="7"/>
      <c r="AO203" s="7"/>
      <c r="AP203" s="7"/>
      <c r="AQ203" s="7"/>
      <c r="AR203" s="3"/>
      <c r="AS203" s="3"/>
      <c r="AT203" s="7"/>
      <c r="AU203" s="7"/>
      <c r="AV203" s="7"/>
      <c r="AW203" s="9"/>
      <c r="AX203" s="9"/>
      <c r="AY203" s="9"/>
      <c r="AZ203" s="3"/>
      <c r="BA203" s="3"/>
      <c r="BB203" s="3"/>
      <c r="BC203" s="3"/>
      <c r="BD203" s="3"/>
      <c r="BE203" s="3"/>
      <c r="BG203" s="3"/>
      <c r="BH203" s="7"/>
      <c r="BI203" s="3"/>
      <c r="BJ203" s="3"/>
      <c r="BK203" s="3"/>
      <c r="BL203" s="3"/>
    </row>
    <row r="204" spans="1:64" x14ac:dyDescent="0.3">
      <c r="A204">
        <v>157</v>
      </c>
      <c r="B204" s="1" t="s">
        <v>208</v>
      </c>
      <c r="C204" s="1" t="s">
        <v>32</v>
      </c>
      <c r="D204" s="2">
        <v>43403</v>
      </c>
      <c r="E204" s="3">
        <v>17.899999999999999</v>
      </c>
      <c r="F204" s="4">
        <f t="shared" si="242"/>
        <v>3891.9175787401573</v>
      </c>
      <c r="G204" s="7">
        <v>9.68</v>
      </c>
      <c r="H204" s="7">
        <v>124.45</v>
      </c>
      <c r="I204" s="7">
        <f t="shared" ref="I204:I215" si="301">H204-G204</f>
        <v>114.77000000000001</v>
      </c>
      <c r="J204" s="7">
        <v>106.58</v>
      </c>
      <c r="K204" s="5">
        <f t="shared" si="244"/>
        <v>7.1360111527402719</v>
      </c>
      <c r="L204" s="4">
        <f t="shared" si="245"/>
        <v>3614.1899062658003</v>
      </c>
      <c r="M204" s="2">
        <v>43440</v>
      </c>
      <c r="N204" s="7">
        <v>7.93</v>
      </c>
      <c r="O204" s="7">
        <v>3.12</v>
      </c>
      <c r="P204" s="7">
        <v>5.5</v>
      </c>
      <c r="Q204" s="6">
        <f t="shared" si="246"/>
        <v>0.37051048878142695</v>
      </c>
      <c r="R204" s="6">
        <f t="shared" si="247"/>
        <v>0.4948776458549129</v>
      </c>
      <c r="S204" s="6">
        <f t="shared" si="248"/>
        <v>0.1346118653636601</v>
      </c>
      <c r="T204" s="4">
        <f t="shared" si="249"/>
        <v>1441.9962843960434</v>
      </c>
      <c r="U204" s="4">
        <f t="shared" si="250"/>
        <v>1926.0230092282816</v>
      </c>
      <c r="V204" s="4">
        <f t="shared" si="251"/>
        <v>3368.0192936243247</v>
      </c>
      <c r="W204" s="4">
        <f t="shared" si="252"/>
        <v>1339.0952687194413</v>
      </c>
      <c r="X204" s="4">
        <f t="shared" si="253"/>
        <v>1788.5817924854075</v>
      </c>
      <c r="Y204" s="4">
        <f t="shared" si="254"/>
        <v>3127.6770612048485</v>
      </c>
      <c r="Z204" s="10"/>
      <c r="AA204" s="4"/>
      <c r="AB204" s="5"/>
      <c r="AC204" s="4"/>
      <c r="AD204" s="4"/>
      <c r="AE204" s="4"/>
      <c r="AF204" s="4"/>
      <c r="AH204" t="s">
        <v>299</v>
      </c>
      <c r="AI204" t="str">
        <f>C204</f>
        <v>Machine</v>
      </c>
      <c r="AJ204" s="8">
        <f>D204</f>
        <v>43403</v>
      </c>
      <c r="AK204" s="3">
        <f>SUM(E204:E206)</f>
        <v>53.900000000000006</v>
      </c>
      <c r="AL204" s="3">
        <f>(AK204-3*$A$35)*$A$36/(3*$A$37)*$A$38</f>
        <v>3906.7992060367451</v>
      </c>
      <c r="AM204" s="7">
        <f>SUM(G204:G206)</f>
        <v>29.16</v>
      </c>
      <c r="AN204" s="7">
        <f>SUM(H204:H206)</f>
        <v>411.52000000000004</v>
      </c>
      <c r="AO204" s="7">
        <f>AN204-AM204</f>
        <v>382.36</v>
      </c>
      <c r="AP204" s="7">
        <f>SUM(J204:J206)</f>
        <v>356.9</v>
      </c>
      <c r="AQ204" s="7">
        <f>(AO204-AP204)/AO204*100</f>
        <v>6.6586463019144349</v>
      </c>
      <c r="AR204" s="3">
        <f>AL204*(1-AQ204/100)</f>
        <v>3646.6592651807568</v>
      </c>
      <c r="AS204" s="11">
        <f>M204</f>
        <v>43440</v>
      </c>
      <c r="AT204" s="7">
        <f>SUM(N204:N206)</f>
        <v>23.74</v>
      </c>
      <c r="AU204" s="7">
        <f>SUM(O204:O206)</f>
        <v>9.4600000000000009</v>
      </c>
      <c r="AV204" s="7">
        <f>SUM(P204:P206)</f>
        <v>16.239999999999998</v>
      </c>
      <c r="AW204" s="9">
        <f>(AU204-3*$A$39)/(AT204-3*$A$35*$A$36)</f>
        <v>0.37563985640593517</v>
      </c>
      <c r="AX204" s="9">
        <f>(AV204-3*$A$40)/(AT204-3*$A$35*$A$36)</f>
        <v>0.48469658891088396</v>
      </c>
      <c r="AY204" s="9">
        <f>1-AW204-AX204</f>
        <v>0.13966355468318092</v>
      </c>
      <c r="AZ204" s="3">
        <f>AL204*AW204</f>
        <v>1467.5494927624645</v>
      </c>
      <c r="BA204" s="3">
        <f>AL204*AX204</f>
        <v>1893.6122487257601</v>
      </c>
      <c r="BB204" s="3">
        <f>AZ204+BA204</f>
        <v>3361.1617414882248</v>
      </c>
      <c r="BC204" s="3">
        <f>AR204*AW204</f>
        <v>1369.8305627338725</v>
      </c>
      <c r="BD204" s="3">
        <f>AR204*AX204</f>
        <v>1767.5233067533834</v>
      </c>
      <c r="BE204" s="3">
        <f>BC204+BD204</f>
        <v>3137.3538694872559</v>
      </c>
      <c r="BF204" s="11">
        <f>Z205</f>
        <v>43451</v>
      </c>
      <c r="BG204" s="3">
        <f>AVERAGE(AA204:AA206)</f>
        <v>50.4</v>
      </c>
      <c r="BH204" s="7">
        <f t="shared" ref="BH204" si="302">AVERAGE(AB204:AB206)</f>
        <v>1</v>
      </c>
      <c r="BI204" s="3">
        <f t="shared" ref="BI204" si="303">AVERAGE(AC204:AC206)</f>
        <v>76.3</v>
      </c>
      <c r="BJ204" s="3">
        <f t="shared" ref="BJ204" si="304">AVERAGE(AD204:AD206)</f>
        <v>25.9</v>
      </c>
      <c r="BK204" s="3">
        <f t="shared" ref="BK204" si="305">AVERAGE(AE204:AE206)</f>
        <v>6.5</v>
      </c>
      <c r="BL204" s="3">
        <f t="shared" ref="BL204" si="306">AVERAGE(AF204:AF206)</f>
        <v>14.3</v>
      </c>
    </row>
    <row r="205" spans="1:64" x14ac:dyDescent="0.3">
      <c r="A205">
        <v>158</v>
      </c>
      <c r="B205" s="1" t="s">
        <v>209</v>
      </c>
      <c r="C205" s="1" t="s">
        <v>32</v>
      </c>
      <c r="D205" s="2">
        <v>43403</v>
      </c>
      <c r="E205" s="3">
        <v>18.8</v>
      </c>
      <c r="F205" s="4">
        <f t="shared" si="242"/>
        <v>4092.8195472440943</v>
      </c>
      <c r="G205" s="7">
        <v>9.75</v>
      </c>
      <c r="H205" s="7">
        <v>133.33000000000001</v>
      </c>
      <c r="I205" s="7">
        <f t="shared" si="301"/>
        <v>123.58000000000001</v>
      </c>
      <c r="J205" s="7">
        <v>114.94</v>
      </c>
      <c r="K205" s="5">
        <f t="shared" si="244"/>
        <v>6.9914225602848479</v>
      </c>
      <c r="L205" s="4">
        <f t="shared" si="245"/>
        <v>3806.6732380663229</v>
      </c>
      <c r="M205" s="2">
        <v>43440</v>
      </c>
      <c r="N205" s="7">
        <v>8.25</v>
      </c>
      <c r="O205" s="7">
        <v>3.3</v>
      </c>
      <c r="P205" s="7">
        <v>5.56</v>
      </c>
      <c r="Q205" s="6">
        <f t="shared" si="246"/>
        <v>0.37815273711454128</v>
      </c>
      <c r="R205" s="6">
        <f t="shared" si="247"/>
        <v>0.48264230921198026</v>
      </c>
      <c r="S205" s="6">
        <f t="shared" si="248"/>
        <v>0.13920495367347852</v>
      </c>
      <c r="T205" s="4">
        <f t="shared" si="249"/>
        <v>1547.7109143062519</v>
      </c>
      <c r="U205" s="4">
        <f t="shared" si="250"/>
        <v>1975.3678774698212</v>
      </c>
      <c r="V205" s="4">
        <f t="shared" si="251"/>
        <v>3523.0787917760731</v>
      </c>
      <c r="W205" s="4">
        <f t="shared" si="252"/>
        <v>1439.5039042754538</v>
      </c>
      <c r="X205" s="4">
        <f t="shared" si="253"/>
        <v>1837.2615620357765</v>
      </c>
      <c r="Y205" s="4">
        <f t="shared" si="254"/>
        <v>3276.7654663112303</v>
      </c>
      <c r="Z205" s="10">
        <v>43451</v>
      </c>
      <c r="AA205" s="4">
        <v>50.4</v>
      </c>
      <c r="AB205" s="5">
        <v>1</v>
      </c>
      <c r="AC205" s="4">
        <v>76.3</v>
      </c>
      <c r="AD205" s="4">
        <v>25.9</v>
      </c>
      <c r="AE205" s="4">
        <v>6.5</v>
      </c>
      <c r="AF205" s="4">
        <v>14.3</v>
      </c>
      <c r="AK205" s="3"/>
      <c r="AL205" s="3"/>
      <c r="AM205" s="7"/>
      <c r="AN205" s="7"/>
      <c r="AO205" s="7"/>
      <c r="AP205" s="7"/>
      <c r="AQ205" s="7"/>
      <c r="AR205" s="3"/>
      <c r="AS205" s="3"/>
      <c r="AT205" s="7"/>
      <c r="AU205" s="7"/>
      <c r="AV205" s="7"/>
      <c r="AW205" s="9"/>
      <c r="AX205" s="9"/>
      <c r="AY205" s="9"/>
      <c r="AZ205" s="3"/>
      <c r="BA205" s="3"/>
      <c r="BB205" s="3"/>
      <c r="BC205" s="3"/>
      <c r="BD205" s="3"/>
      <c r="BE205" s="3"/>
      <c r="BG205" s="3"/>
      <c r="BH205" s="7"/>
      <c r="BI205" s="3"/>
      <c r="BJ205" s="3"/>
      <c r="BK205" s="3"/>
      <c r="BL205" s="3"/>
    </row>
    <row r="206" spans="1:64" x14ac:dyDescent="0.3">
      <c r="A206">
        <v>159</v>
      </c>
      <c r="B206" s="1" t="s">
        <v>210</v>
      </c>
      <c r="C206" s="1" t="s">
        <v>32</v>
      </c>
      <c r="D206" s="2">
        <v>43403</v>
      </c>
      <c r="E206" s="3">
        <v>17.2</v>
      </c>
      <c r="F206" s="4">
        <f t="shared" si="242"/>
        <v>3735.6604921259841</v>
      </c>
      <c r="G206" s="7">
        <v>9.73</v>
      </c>
      <c r="H206" s="7">
        <v>153.74</v>
      </c>
      <c r="I206" s="7">
        <f t="shared" si="301"/>
        <v>144.01000000000002</v>
      </c>
      <c r="J206" s="7">
        <v>135.38</v>
      </c>
      <c r="K206" s="5">
        <f t="shared" si="244"/>
        <v>5.9926394000416794</v>
      </c>
      <c r="L206" s="4">
        <f t="shared" si="245"/>
        <v>3511.7958296230518</v>
      </c>
      <c r="M206" s="2">
        <v>43440</v>
      </c>
      <c r="N206" s="7">
        <v>7.56</v>
      </c>
      <c r="O206" s="7">
        <v>3.04</v>
      </c>
      <c r="P206" s="7">
        <v>5.18</v>
      </c>
      <c r="Q206" s="6">
        <f t="shared" si="246"/>
        <v>0.3782786560927387</v>
      </c>
      <c r="R206" s="6">
        <f t="shared" si="247"/>
        <v>0.47625010659157746</v>
      </c>
      <c r="S206" s="6">
        <f t="shared" si="248"/>
        <v>0.14547123731568384</v>
      </c>
      <c r="T206" s="4">
        <f t="shared" si="249"/>
        <v>1413.1206305801561</v>
      </c>
      <c r="U206" s="4">
        <f t="shared" si="250"/>
        <v>1779.1087075649446</v>
      </c>
      <c r="V206" s="4">
        <f t="shared" si="251"/>
        <v>3192.2293381451009</v>
      </c>
      <c r="W206" s="4">
        <f t="shared" si="252"/>
        <v>1328.4374069018925</v>
      </c>
      <c r="X206" s="4">
        <f t="shared" si="253"/>
        <v>1672.4931381858355</v>
      </c>
      <c r="Y206" s="4">
        <f t="shared" si="254"/>
        <v>3000.9305450877282</v>
      </c>
      <c r="Z206" s="10"/>
      <c r="AA206" s="4"/>
      <c r="AB206" s="5"/>
      <c r="AC206" s="4"/>
      <c r="AD206" s="4"/>
      <c r="AE206" s="4"/>
      <c r="AF206" s="4"/>
      <c r="AK206" s="3"/>
      <c r="AL206" s="3"/>
      <c r="AM206" s="7"/>
      <c r="AN206" s="7"/>
      <c r="AO206" s="7"/>
      <c r="AP206" s="7"/>
      <c r="AQ206" s="7"/>
      <c r="AR206" s="3"/>
      <c r="AS206" s="3"/>
      <c r="AT206" s="7"/>
      <c r="AU206" s="7"/>
      <c r="AV206" s="7"/>
      <c r="AW206" s="9"/>
      <c r="AX206" s="9"/>
      <c r="AY206" s="9"/>
      <c r="AZ206" s="3"/>
      <c r="BA206" s="3"/>
      <c r="BB206" s="3"/>
      <c r="BC206" s="3"/>
      <c r="BD206" s="3"/>
      <c r="BE206" s="3"/>
      <c r="BG206" s="3"/>
      <c r="BH206" s="7"/>
      <c r="BI206" s="3"/>
      <c r="BJ206" s="3"/>
      <c r="BK206" s="3"/>
      <c r="BL206" s="3"/>
    </row>
    <row r="207" spans="1:64" x14ac:dyDescent="0.3">
      <c r="A207">
        <v>160</v>
      </c>
      <c r="B207" s="1" t="s">
        <v>211</v>
      </c>
      <c r="C207" s="1" t="s">
        <v>32</v>
      </c>
      <c r="D207" s="2">
        <v>43403</v>
      </c>
      <c r="E207" s="3">
        <v>14.9</v>
      </c>
      <c r="F207" s="4">
        <f t="shared" si="242"/>
        <v>3222.2443503937011</v>
      </c>
      <c r="G207" s="7">
        <v>9.7100000000000009</v>
      </c>
      <c r="H207" s="7">
        <v>146.97999999999999</v>
      </c>
      <c r="I207" s="7">
        <f t="shared" si="301"/>
        <v>137.26999999999998</v>
      </c>
      <c r="J207" s="7">
        <v>128.47</v>
      </c>
      <c r="K207" s="5">
        <f t="shared" si="244"/>
        <v>6.4107233918554556</v>
      </c>
      <c r="L207" s="4">
        <f t="shared" si="245"/>
        <v>3015.6751780802711</v>
      </c>
      <c r="M207" s="2">
        <v>43440</v>
      </c>
      <c r="N207" s="7">
        <v>6.56</v>
      </c>
      <c r="O207" s="7">
        <v>2.7</v>
      </c>
      <c r="P207" s="7">
        <v>4.74</v>
      </c>
      <c r="Q207" s="6">
        <f t="shared" si="246"/>
        <v>0.38430766467049504</v>
      </c>
      <c r="R207" s="6">
        <f t="shared" si="247"/>
        <v>0.48195961225070277</v>
      </c>
      <c r="S207" s="6">
        <f t="shared" si="248"/>
        <v>0.13373272307880218</v>
      </c>
      <c r="T207" s="4">
        <f t="shared" si="249"/>
        <v>1238.3332012974995</v>
      </c>
      <c r="U207" s="4">
        <f t="shared" si="250"/>
        <v>1552.9916376927658</v>
      </c>
      <c r="V207" s="4">
        <f t="shared" si="251"/>
        <v>2791.3248389902656</v>
      </c>
      <c r="W207" s="4">
        <f t="shared" si="252"/>
        <v>1158.9470850928083</v>
      </c>
      <c r="X207" s="4">
        <f t="shared" si="253"/>
        <v>1453.4336395016364</v>
      </c>
      <c r="Y207" s="4">
        <f t="shared" si="254"/>
        <v>2612.3807245944445</v>
      </c>
      <c r="Z207" s="10"/>
      <c r="AA207" s="4"/>
      <c r="AB207" s="5"/>
      <c r="AC207" s="4"/>
      <c r="AD207" s="4"/>
      <c r="AE207" s="4"/>
      <c r="AF207" s="4"/>
      <c r="AH207" t="s">
        <v>300</v>
      </c>
      <c r="AI207" t="str">
        <f>C207</f>
        <v>Machine</v>
      </c>
      <c r="AJ207" s="8">
        <f>D207</f>
        <v>43403</v>
      </c>
      <c r="AK207" s="3">
        <f>SUM(E207:E209)</f>
        <v>45.4</v>
      </c>
      <c r="AL207" s="3">
        <f>(AK207-3*$A$35)*$A$36/(3*$A$37)*$A$38</f>
        <v>3274.3300459317579</v>
      </c>
      <c r="AM207" s="7">
        <f>SUM(G207:G209)</f>
        <v>29.200000000000003</v>
      </c>
      <c r="AN207" s="7">
        <f>SUM(H207:H209)</f>
        <v>408.55</v>
      </c>
      <c r="AO207" s="7">
        <f>AN207-AM207</f>
        <v>379.35</v>
      </c>
      <c r="AP207" s="7">
        <f>SUM(J207:J209)</f>
        <v>354.76</v>
      </c>
      <c r="AQ207" s="7">
        <f>(AO207-AP207)/AO207*100</f>
        <v>6.4821405034928254</v>
      </c>
      <c r="AR207" s="3">
        <f>AL207*(1-AQ207/100)</f>
        <v>3062.08337180638</v>
      </c>
      <c r="AS207" s="11">
        <f>M207</f>
        <v>43440</v>
      </c>
      <c r="AT207" s="7">
        <f>SUM(N207:N209)</f>
        <v>20.100000000000001</v>
      </c>
      <c r="AU207" s="7">
        <f>SUM(O207:O209)</f>
        <v>8.06</v>
      </c>
      <c r="AV207" s="7">
        <f>SUM(P207:P209)</f>
        <v>14.52</v>
      </c>
      <c r="AW207" s="9">
        <f>(AU207-3*$A$39)/(AT207-3*$A$35*$A$36)</f>
        <v>0.3739616049387457</v>
      </c>
      <c r="AX207" s="9">
        <f>(AV207-3*$A$40)/(AT207-3*$A$35*$A$36)</f>
        <v>0.4869719800575974</v>
      </c>
      <c r="AY207" s="9">
        <f>1-AW207-AX207</f>
        <v>0.13906641500365685</v>
      </c>
      <c r="AZ207" s="3">
        <f>AL207*AW207</f>
        <v>1224.4737190757971</v>
      </c>
      <c r="BA207" s="3">
        <f>AL207*AX207</f>
        <v>1594.5069858294719</v>
      </c>
      <c r="BB207" s="3">
        <f>AZ207+BA207</f>
        <v>2818.9807049052688</v>
      </c>
      <c r="BC207" s="3">
        <f>AR207*AW207</f>
        <v>1145.1016121769599</v>
      </c>
      <c r="BD207" s="3">
        <f>AR207*AX207</f>
        <v>1491.1488026699972</v>
      </c>
      <c r="BE207" s="3">
        <f>BC207+BD207</f>
        <v>2636.250414846957</v>
      </c>
      <c r="BF207" s="11">
        <f>Z208</f>
        <v>43451</v>
      </c>
      <c r="BG207" s="3">
        <f>AVERAGE(AA207:AA209)</f>
        <v>51.900000000000006</v>
      </c>
      <c r="BH207" s="7">
        <f t="shared" ref="BH207" si="307">AVERAGE(AB207:AB209)</f>
        <v>0.95</v>
      </c>
      <c r="BI207" s="3">
        <f t="shared" ref="BI207" si="308">AVERAGE(AC207:AC209)</f>
        <v>74.400000000000006</v>
      </c>
      <c r="BJ207" s="3">
        <f t="shared" ref="BJ207" si="309">AVERAGE(AD207:AD209)</f>
        <v>24.1</v>
      </c>
      <c r="BK207" s="3">
        <f t="shared" ref="BK207" si="310">AVERAGE(AE207:AE209)</f>
        <v>6.4</v>
      </c>
      <c r="BL207" s="3">
        <f t="shared" ref="BL207" si="311">AVERAGE(AF207:AF209)</f>
        <v>16.899999999999999</v>
      </c>
    </row>
    <row r="208" spans="1:64" x14ac:dyDescent="0.3">
      <c r="A208">
        <v>161</v>
      </c>
      <c r="B208" s="1" t="s">
        <v>212</v>
      </c>
      <c r="C208" s="1" t="s">
        <v>32</v>
      </c>
      <c r="D208" s="2">
        <v>43403</v>
      </c>
      <c r="E208" s="3">
        <v>12.1</v>
      </c>
      <c r="F208" s="4">
        <f t="shared" si="242"/>
        <v>2597.2160039370078</v>
      </c>
      <c r="G208" s="7">
        <v>9.77</v>
      </c>
      <c r="H208" s="7">
        <v>149.28</v>
      </c>
      <c r="I208" s="7">
        <f t="shared" si="301"/>
        <v>139.51</v>
      </c>
      <c r="J208" s="7">
        <v>129.88</v>
      </c>
      <c r="K208" s="5">
        <f t="shared" si="244"/>
        <v>6.9027309870260165</v>
      </c>
      <c r="L208" s="4">
        <f t="shared" si="245"/>
        <v>2417.937170033249</v>
      </c>
      <c r="M208" s="2">
        <v>43440</v>
      </c>
      <c r="N208" s="7">
        <v>5.33</v>
      </c>
      <c r="O208" s="7">
        <v>2.16</v>
      </c>
      <c r="P208" s="7">
        <v>4.1399999999999997</v>
      </c>
      <c r="Q208" s="6">
        <f t="shared" si="246"/>
        <v>0.37116046319356794</v>
      </c>
      <c r="R208" s="6">
        <f t="shared" si="247"/>
        <v>0.48055512602956685</v>
      </c>
      <c r="S208" s="6">
        <f t="shared" si="248"/>
        <v>0.14828441077686527</v>
      </c>
      <c r="T208" s="4">
        <f t="shared" si="249"/>
        <v>963.98389503500744</v>
      </c>
      <c r="U208" s="4">
        <f t="shared" si="250"/>
        <v>1248.1054640979569</v>
      </c>
      <c r="V208" s="4">
        <f t="shared" si="251"/>
        <v>2212.0893591329641</v>
      </c>
      <c r="W208" s="4">
        <f t="shared" si="252"/>
        <v>897.44268000248553</v>
      </c>
      <c r="X208" s="4">
        <f t="shared" si="253"/>
        <v>1161.9521014769023</v>
      </c>
      <c r="Y208" s="4">
        <f t="shared" si="254"/>
        <v>2059.3947814793878</v>
      </c>
      <c r="Z208" s="10">
        <v>43451</v>
      </c>
      <c r="AA208" s="4">
        <v>51.900000000000006</v>
      </c>
      <c r="AB208" s="5">
        <v>0.95</v>
      </c>
      <c r="AC208" s="4">
        <v>74.400000000000006</v>
      </c>
      <c r="AD208" s="4">
        <v>24.1</v>
      </c>
      <c r="AE208" s="4">
        <v>6.4</v>
      </c>
      <c r="AF208" s="4">
        <v>16.899999999999999</v>
      </c>
      <c r="AK208" s="3"/>
      <c r="AL208" s="3"/>
      <c r="AM208" s="7"/>
      <c r="AN208" s="7"/>
      <c r="AO208" s="7"/>
      <c r="AP208" s="7"/>
      <c r="AQ208" s="7"/>
      <c r="AR208" s="3"/>
      <c r="AS208" s="3"/>
      <c r="AT208" s="7"/>
      <c r="AU208" s="7"/>
      <c r="AV208" s="7"/>
      <c r="AW208" s="9"/>
      <c r="AX208" s="9"/>
      <c r="AY208" s="9"/>
      <c r="AZ208" s="3"/>
      <c r="BA208" s="3"/>
      <c r="BB208" s="3"/>
      <c r="BC208" s="3"/>
      <c r="BD208" s="3"/>
      <c r="BE208" s="3"/>
      <c r="BG208" s="3"/>
      <c r="BH208" s="7"/>
      <c r="BI208" s="3"/>
      <c r="BJ208" s="3"/>
      <c r="BK208" s="3"/>
      <c r="BL208" s="3"/>
    </row>
    <row r="209" spans="1:64" x14ac:dyDescent="0.3">
      <c r="A209">
        <v>162</v>
      </c>
      <c r="B209" s="1" t="s">
        <v>213</v>
      </c>
      <c r="C209" s="1" t="s">
        <v>32</v>
      </c>
      <c r="D209" s="2">
        <v>43403</v>
      </c>
      <c r="E209" s="3">
        <v>18.399999999999999</v>
      </c>
      <c r="F209" s="4">
        <f t="shared" si="242"/>
        <v>4003.5297834645667</v>
      </c>
      <c r="G209" s="7">
        <v>9.7200000000000006</v>
      </c>
      <c r="H209" s="7">
        <v>112.29</v>
      </c>
      <c r="I209" s="7">
        <f t="shared" si="301"/>
        <v>102.57000000000001</v>
      </c>
      <c r="J209" s="7">
        <v>96.41</v>
      </c>
      <c r="K209" s="5">
        <f t="shared" si="244"/>
        <v>6.0056546748562063</v>
      </c>
      <c r="L209" s="4">
        <f t="shared" si="245"/>
        <v>3763.0916098646662</v>
      </c>
      <c r="M209" s="2">
        <v>43440</v>
      </c>
      <c r="N209" s="7">
        <v>8.2100000000000009</v>
      </c>
      <c r="O209" s="7">
        <v>3.2</v>
      </c>
      <c r="P209" s="7">
        <v>5.64</v>
      </c>
      <c r="Q209" s="6">
        <f t="shared" si="246"/>
        <v>0.36754228022620583</v>
      </c>
      <c r="R209" s="6">
        <f t="shared" si="247"/>
        <v>0.4950569488761139</v>
      </c>
      <c r="S209" s="6">
        <f t="shared" si="248"/>
        <v>0.13740077089768027</v>
      </c>
      <c r="T209" s="4">
        <f t="shared" si="249"/>
        <v>1471.4664655680949</v>
      </c>
      <c r="U209" s="4">
        <f t="shared" si="250"/>
        <v>1981.9752393366173</v>
      </c>
      <c r="V209" s="4">
        <f t="shared" si="251"/>
        <v>3453.4417049047124</v>
      </c>
      <c r="W209" s="4">
        <f t="shared" si="252"/>
        <v>1383.0952709897631</v>
      </c>
      <c r="X209" s="4">
        <f t="shared" si="253"/>
        <v>1862.9446507209052</v>
      </c>
      <c r="Y209" s="4">
        <f t="shared" si="254"/>
        <v>3246.0399217106683</v>
      </c>
      <c r="Z209" s="10"/>
      <c r="AA209" s="4"/>
      <c r="AB209" s="5"/>
      <c r="AC209" s="4"/>
      <c r="AD209" s="4"/>
      <c r="AE209" s="4"/>
      <c r="AF209" s="4"/>
      <c r="AK209" s="3"/>
      <c r="AL209" s="3"/>
      <c r="AM209" s="7"/>
      <c r="AN209" s="7"/>
      <c r="AO209" s="7"/>
      <c r="AP209" s="7"/>
      <c r="AQ209" s="7"/>
      <c r="AR209" s="3"/>
      <c r="AS209" s="3"/>
      <c r="AT209" s="7"/>
      <c r="AU209" s="7"/>
      <c r="AV209" s="7"/>
      <c r="AW209" s="9"/>
      <c r="AX209" s="9"/>
      <c r="AY209" s="9"/>
      <c r="AZ209" s="3"/>
      <c r="BA209" s="3"/>
      <c r="BB209" s="3"/>
      <c r="BC209" s="3"/>
      <c r="BD209" s="3"/>
      <c r="BE209" s="3"/>
      <c r="BG209" s="3"/>
      <c r="BH209" s="7"/>
      <c r="BI209" s="3"/>
      <c r="BJ209" s="3"/>
      <c r="BK209" s="3"/>
      <c r="BL209" s="3"/>
    </row>
    <row r="210" spans="1:64" x14ac:dyDescent="0.3">
      <c r="A210">
        <v>163</v>
      </c>
      <c r="B210" s="1" t="s">
        <v>214</v>
      </c>
      <c r="C210" s="1" t="s">
        <v>32</v>
      </c>
      <c r="D210" s="2">
        <v>43403</v>
      </c>
      <c r="E210" s="3">
        <v>21.7</v>
      </c>
      <c r="F210" s="4">
        <f t="shared" si="242"/>
        <v>4740.1703346456688</v>
      </c>
      <c r="G210" s="7">
        <v>9.75</v>
      </c>
      <c r="H210" s="7">
        <v>174.88</v>
      </c>
      <c r="I210" s="7">
        <f t="shared" si="301"/>
        <v>165.13</v>
      </c>
      <c r="J210" s="7">
        <v>155.54</v>
      </c>
      <c r="K210" s="5">
        <f t="shared" si="244"/>
        <v>5.8075455701568481</v>
      </c>
      <c r="L210" s="4">
        <f t="shared" si="245"/>
        <v>4464.882782358065</v>
      </c>
      <c r="M210" s="2">
        <v>43440</v>
      </c>
      <c r="N210" s="7">
        <v>9.6300000000000008</v>
      </c>
      <c r="O210" s="7">
        <v>3.86</v>
      </c>
      <c r="P210" s="7">
        <v>6.34</v>
      </c>
      <c r="Q210" s="6">
        <f t="shared" si="246"/>
        <v>0.38220294413221073</v>
      </c>
      <c r="R210" s="6">
        <f t="shared" si="247"/>
        <v>0.49474047768225066</v>
      </c>
      <c r="S210" s="6">
        <f t="shared" si="248"/>
        <v>0.12305657818553856</v>
      </c>
      <c r="T210" s="4">
        <f t="shared" si="249"/>
        <v>1811.7070575897412</v>
      </c>
      <c r="U210" s="4">
        <f t="shared" si="250"/>
        <v>2345.1541356578323</v>
      </c>
      <c r="V210" s="4">
        <f t="shared" si="251"/>
        <v>4156.8611932475733</v>
      </c>
      <c r="W210" s="4">
        <f t="shared" si="252"/>
        <v>1706.4913446224691</v>
      </c>
      <c r="X210" s="4">
        <f t="shared" si="253"/>
        <v>2208.9582405390856</v>
      </c>
      <c r="Y210" s="4">
        <f t="shared" si="254"/>
        <v>3915.4495851615548</v>
      </c>
      <c r="Z210" s="10"/>
      <c r="AA210" s="4"/>
      <c r="AB210" s="5"/>
      <c r="AC210" s="4"/>
      <c r="AD210" s="4"/>
      <c r="AE210" s="4"/>
      <c r="AF210" s="4"/>
      <c r="AH210" t="s">
        <v>301</v>
      </c>
      <c r="AI210" t="str">
        <f>C210</f>
        <v>Machine</v>
      </c>
      <c r="AJ210" s="8">
        <f>D210</f>
        <v>43403</v>
      </c>
      <c r="AK210" s="3">
        <f>SUM(E210:E212)</f>
        <v>66.099999999999994</v>
      </c>
      <c r="AL210" s="3">
        <f>(AK210-3*$A$35)*$A$36/(3*$A$37)*$A$38</f>
        <v>4814.5784711286078</v>
      </c>
      <c r="AM210" s="7">
        <f>SUM(G210:G212)</f>
        <v>29.23</v>
      </c>
      <c r="AN210" s="7">
        <f>SUM(H210:H212)</f>
        <v>514.57000000000005</v>
      </c>
      <c r="AO210" s="7">
        <f>AN210-AM210</f>
        <v>485.34000000000003</v>
      </c>
      <c r="AP210" s="7">
        <f>SUM(J210:J212)</f>
        <v>457.75</v>
      </c>
      <c r="AQ210" s="7">
        <f>(AO210-AP210)/AO210*100</f>
        <v>5.6846746610623544</v>
      </c>
      <c r="AR210" s="3">
        <f>AL210*(1-AQ210/100)</f>
        <v>4540.8853487433971</v>
      </c>
      <c r="AS210" s="11">
        <f>M210</f>
        <v>43440</v>
      </c>
      <c r="AT210" s="7">
        <f>SUM(N210:N212)</f>
        <v>29.25</v>
      </c>
      <c r="AU210" s="7">
        <f>SUM(O210:O212)</f>
        <v>11.78</v>
      </c>
      <c r="AV210" s="7">
        <f>SUM(P210:P212)</f>
        <v>19.12</v>
      </c>
      <c r="AW210" s="9">
        <f>(AU210-3*$A$39)/(AT210-3*$A$35*$A$36)</f>
        <v>0.38438369049154636</v>
      </c>
      <c r="AX210" s="9">
        <f>(AV210-3*$A$40)/(AT210-3*$A$35*$A$36)</f>
        <v>0.49201112382917939</v>
      </c>
      <c r="AY210" s="9">
        <f>1-AW210-AX210</f>
        <v>0.12360518567927431</v>
      </c>
      <c r="AZ210" s="3">
        <f>AL210*AW210</f>
        <v>1850.6454408935613</v>
      </c>
      <c r="BA210" s="3">
        <f>AL210*AX210</f>
        <v>2368.8261643437586</v>
      </c>
      <c r="BB210" s="3">
        <f>AZ210+BA210</f>
        <v>4219.4716052373196</v>
      </c>
      <c r="BC210" s="3">
        <f>AR210*AW210</f>
        <v>1745.4422684489796</v>
      </c>
      <c r="BD210" s="3">
        <f>AR210*AX210</f>
        <v>2234.1661036146938</v>
      </c>
      <c r="BE210" s="3">
        <f>BC210+BD210</f>
        <v>3979.6083720636734</v>
      </c>
      <c r="BF210" s="11">
        <f>Z211</f>
        <v>43451</v>
      </c>
      <c r="BG210" s="3">
        <f>AVERAGE(AA210:AA212)</f>
        <v>53.099999999999994</v>
      </c>
      <c r="BH210" s="7">
        <f t="shared" ref="BH210" si="312">AVERAGE(AB210:AB212)</f>
        <v>1.03</v>
      </c>
      <c r="BI210" s="3">
        <f t="shared" ref="BI210" si="313">AVERAGE(AC210:AC212)</f>
        <v>77</v>
      </c>
      <c r="BJ210" s="3">
        <f t="shared" ref="BJ210" si="314">AVERAGE(AD210:AD212)</f>
        <v>27.2</v>
      </c>
      <c r="BK210" s="3">
        <f t="shared" ref="BK210" si="315">AVERAGE(AE210:AE212)</f>
        <v>6.3</v>
      </c>
      <c r="BL210" s="3">
        <f t="shared" ref="BL210" si="316">AVERAGE(AF210:AF212)</f>
        <v>13.5</v>
      </c>
    </row>
    <row r="211" spans="1:64" x14ac:dyDescent="0.3">
      <c r="A211">
        <v>164</v>
      </c>
      <c r="B211" s="1" t="s">
        <v>215</v>
      </c>
      <c r="C211" s="1" t="s">
        <v>32</v>
      </c>
      <c r="D211" s="2">
        <v>43403</v>
      </c>
      <c r="E211" s="3">
        <v>21.7</v>
      </c>
      <c r="F211" s="4">
        <f t="shared" si="242"/>
        <v>4740.1703346456688</v>
      </c>
      <c r="G211" s="7">
        <v>9.75</v>
      </c>
      <c r="H211" s="7">
        <v>161.35</v>
      </c>
      <c r="I211" s="7">
        <f t="shared" si="301"/>
        <v>151.6</v>
      </c>
      <c r="J211" s="7">
        <v>143.62</v>
      </c>
      <c r="K211" s="5">
        <f t="shared" si="244"/>
        <v>5.2638522427440568</v>
      </c>
      <c r="L211" s="4">
        <f t="shared" si="245"/>
        <v>4490.6547721755342</v>
      </c>
      <c r="M211" s="2">
        <v>43440</v>
      </c>
      <c r="N211" s="7">
        <v>9.5500000000000007</v>
      </c>
      <c r="O211" s="7">
        <v>3.9</v>
      </c>
      <c r="P211" s="7">
        <v>6.24</v>
      </c>
      <c r="Q211" s="6">
        <f t="shared" si="246"/>
        <v>0.38976003087379141</v>
      </c>
      <c r="R211" s="6">
        <f t="shared" si="247"/>
        <v>0.48827080790782673</v>
      </c>
      <c r="S211" s="6">
        <f t="shared" si="248"/>
        <v>0.12196916121838186</v>
      </c>
      <c r="T211" s="4">
        <f t="shared" si="249"/>
        <v>1847.5289359785261</v>
      </c>
      <c r="U211" s="4">
        <f t="shared" si="250"/>
        <v>2314.4867989181539</v>
      </c>
      <c r="V211" s="4">
        <f t="shared" si="251"/>
        <v>4162.0157348966804</v>
      </c>
      <c r="W211" s="4">
        <f t="shared" si="252"/>
        <v>1750.2777426466748</v>
      </c>
      <c r="X211" s="4">
        <f t="shared" si="253"/>
        <v>2192.6556336452854</v>
      </c>
      <c r="Y211" s="4">
        <f t="shared" si="254"/>
        <v>3942.9333762919605</v>
      </c>
      <c r="Z211" s="10">
        <v>43451</v>
      </c>
      <c r="AA211" s="4">
        <v>53.099999999999994</v>
      </c>
      <c r="AB211" s="5">
        <v>1.03</v>
      </c>
      <c r="AC211" s="4">
        <v>77</v>
      </c>
      <c r="AD211" s="4">
        <v>27.2</v>
      </c>
      <c r="AE211" s="4">
        <v>6.3</v>
      </c>
      <c r="AF211" s="4">
        <v>13.5</v>
      </c>
      <c r="AK211" s="3"/>
      <c r="AL211" s="3"/>
      <c r="AM211" s="7"/>
      <c r="AN211" s="7"/>
      <c r="AO211" s="7"/>
      <c r="AP211" s="7"/>
      <c r="AQ211" s="7"/>
      <c r="AR211" s="3"/>
      <c r="AS211" s="3"/>
      <c r="AT211" s="7"/>
      <c r="AU211" s="7"/>
      <c r="AV211" s="7"/>
      <c r="AW211" s="9"/>
      <c r="AX211" s="9"/>
      <c r="AY211" s="9"/>
      <c r="AZ211" s="3"/>
      <c r="BA211" s="3"/>
      <c r="BB211" s="3"/>
      <c r="BC211" s="3"/>
      <c r="BD211" s="3"/>
      <c r="BE211" s="3"/>
      <c r="BG211" s="3"/>
      <c r="BH211" s="7"/>
      <c r="BI211" s="3"/>
      <c r="BJ211" s="3"/>
      <c r="BK211" s="3"/>
      <c r="BL211" s="3"/>
    </row>
    <row r="212" spans="1:64" x14ac:dyDescent="0.3">
      <c r="A212">
        <v>165</v>
      </c>
      <c r="B212" s="1" t="s">
        <v>216</v>
      </c>
      <c r="C212" s="1" t="s">
        <v>32</v>
      </c>
      <c r="D212" s="2">
        <v>43403</v>
      </c>
      <c r="E212" s="3">
        <v>22.7</v>
      </c>
      <c r="F212" s="4">
        <f t="shared" si="242"/>
        <v>4963.3947440944885</v>
      </c>
      <c r="G212" s="7">
        <v>9.73</v>
      </c>
      <c r="H212" s="7">
        <v>178.34</v>
      </c>
      <c r="I212" s="7">
        <f t="shared" si="301"/>
        <v>168.61</v>
      </c>
      <c r="J212" s="7">
        <v>158.59</v>
      </c>
      <c r="K212" s="5">
        <f t="shared" si="244"/>
        <v>5.9427080244350918</v>
      </c>
      <c r="L212" s="4">
        <f t="shared" si="245"/>
        <v>4668.4346863527953</v>
      </c>
      <c r="M212" s="2">
        <v>43440</v>
      </c>
      <c r="N212" s="7">
        <v>10.07</v>
      </c>
      <c r="O212" s="7">
        <v>4.0199999999999996</v>
      </c>
      <c r="P212" s="7">
        <v>6.54</v>
      </c>
      <c r="Q212" s="6">
        <f t="shared" si="246"/>
        <v>0.38137433784742736</v>
      </c>
      <c r="R212" s="6">
        <f t="shared" si="247"/>
        <v>0.49294661753683439</v>
      </c>
      <c r="S212" s="6">
        <f t="shared" si="248"/>
        <v>0.12567904461573826</v>
      </c>
      <c r="T212" s="4">
        <f t="shared" si="249"/>
        <v>1892.9113840044367</v>
      </c>
      <c r="U212" s="4">
        <f t="shared" si="250"/>
        <v>2446.6886506014798</v>
      </c>
      <c r="V212" s="4">
        <f t="shared" si="251"/>
        <v>4339.6000346059163</v>
      </c>
      <c r="W212" s="4">
        <f t="shared" si="252"/>
        <v>1780.4211872917595</v>
      </c>
      <c r="X212" s="4">
        <f t="shared" si="253"/>
        <v>2301.2890878292428</v>
      </c>
      <c r="Y212" s="4">
        <f t="shared" si="254"/>
        <v>4081.7102751210023</v>
      </c>
      <c r="Z212" s="10"/>
      <c r="AA212" s="4"/>
      <c r="AB212" s="5"/>
      <c r="AC212" s="4"/>
      <c r="AD212" s="4"/>
      <c r="AE212" s="4"/>
      <c r="AF212" s="4"/>
      <c r="AK212" s="3"/>
      <c r="AL212" s="3"/>
      <c r="AM212" s="7"/>
      <c r="AN212" s="7"/>
      <c r="AO212" s="7"/>
      <c r="AP212" s="7"/>
      <c r="AQ212" s="7"/>
      <c r="AR212" s="3"/>
      <c r="AS212" s="3"/>
      <c r="AT212" s="7"/>
      <c r="AU212" s="7"/>
      <c r="AV212" s="7"/>
      <c r="AW212" s="9"/>
      <c r="AX212" s="9"/>
      <c r="AY212" s="9"/>
      <c r="AZ212" s="3"/>
      <c r="BA212" s="3"/>
      <c r="BB212" s="3"/>
      <c r="BC212" s="3"/>
      <c r="BD212" s="3"/>
      <c r="BE212" s="3"/>
      <c r="BG212" s="3"/>
      <c r="BH212" s="7"/>
      <c r="BI212" s="3"/>
      <c r="BJ212" s="3"/>
      <c r="BK212" s="3"/>
      <c r="BL212" s="3"/>
    </row>
    <row r="213" spans="1:64" x14ac:dyDescent="0.3">
      <c r="A213">
        <v>166</v>
      </c>
      <c r="B213" s="1" t="s">
        <v>217</v>
      </c>
      <c r="C213" s="1" t="s">
        <v>32</v>
      </c>
      <c r="D213" s="2">
        <v>43403</v>
      </c>
      <c r="E213" s="3">
        <v>16.899999999999999</v>
      </c>
      <c r="F213" s="4">
        <f t="shared" si="242"/>
        <v>3668.6931692913381</v>
      </c>
      <c r="G213" s="7">
        <v>9.75</v>
      </c>
      <c r="H213" s="7">
        <v>150.04</v>
      </c>
      <c r="I213" s="7">
        <f t="shared" si="301"/>
        <v>140.29</v>
      </c>
      <c r="J213" s="7">
        <v>129.75</v>
      </c>
      <c r="K213" s="5">
        <f t="shared" si="244"/>
        <v>7.5130087675529218</v>
      </c>
      <c r="L213" s="4">
        <f t="shared" si="245"/>
        <v>3393.0639298278647</v>
      </c>
      <c r="M213" s="2">
        <v>43440</v>
      </c>
      <c r="N213" s="7">
        <v>7.47</v>
      </c>
      <c r="O213" s="7">
        <v>3</v>
      </c>
      <c r="P213" s="7">
        <v>5.24</v>
      </c>
      <c r="Q213" s="6">
        <f t="shared" si="246"/>
        <v>0.37745831506035593</v>
      </c>
      <c r="R213" s="6">
        <f t="shared" si="247"/>
        <v>0.4904202925601705</v>
      </c>
      <c r="S213" s="6">
        <f t="shared" si="248"/>
        <v>0.13212139237947362</v>
      </c>
      <c r="T213" s="4">
        <f t="shared" si="249"/>
        <v>1384.7787421541457</v>
      </c>
      <c r="U213" s="4">
        <f t="shared" si="250"/>
        <v>1799.2015773973571</v>
      </c>
      <c r="V213" s="4">
        <f t="shared" si="251"/>
        <v>3183.9803195515028</v>
      </c>
      <c r="W213" s="4">
        <f t="shared" si="252"/>
        <v>1280.7401938448957</v>
      </c>
      <c r="X213" s="4">
        <f t="shared" si="253"/>
        <v>1664.0274051415433</v>
      </c>
      <c r="Y213" s="4">
        <f t="shared" si="254"/>
        <v>2944.7675989864392</v>
      </c>
      <c r="Z213" s="10"/>
      <c r="AA213" s="4"/>
      <c r="AB213" s="5"/>
      <c r="AC213" s="4"/>
      <c r="AD213" s="4"/>
      <c r="AE213" s="4"/>
      <c r="AF213" s="4"/>
      <c r="AH213" t="s">
        <v>302</v>
      </c>
      <c r="AI213" t="str">
        <f>C213</f>
        <v>Machine</v>
      </c>
      <c r="AJ213" s="8">
        <f>D213</f>
        <v>43403</v>
      </c>
      <c r="AK213" s="3">
        <f>SUM(E213:E215)</f>
        <v>49.8</v>
      </c>
      <c r="AL213" s="3">
        <f>(AK213-3*$A$35)*$A$36/(3*$A$37)*$A$38</f>
        <v>3601.7258464566926</v>
      </c>
      <c r="AM213" s="7">
        <f>SUM(G213:G215)</f>
        <v>29.259999999999998</v>
      </c>
      <c r="AN213" s="7">
        <f>SUM(H213:H215)</f>
        <v>496.13</v>
      </c>
      <c r="AO213" s="7">
        <f>AN213-AM213</f>
        <v>466.87</v>
      </c>
      <c r="AP213" s="7">
        <f>SUM(J213:J215)</f>
        <v>434.91</v>
      </c>
      <c r="AQ213" s="7">
        <f>(AO213-AP213)/AO213*100</f>
        <v>6.8455887077773214</v>
      </c>
      <c r="AR213" s="3">
        <f>AL213*(1-AQ213/100)</f>
        <v>3355.1665086265562</v>
      </c>
      <c r="AS213" s="11">
        <f>M213</f>
        <v>43440</v>
      </c>
      <c r="AT213" s="7">
        <f>SUM(N213:N215)</f>
        <v>21.82</v>
      </c>
      <c r="AU213" s="7">
        <f>SUM(O213:O215)</f>
        <v>8.76</v>
      </c>
      <c r="AV213" s="7">
        <f>SUM(P213:P215)</f>
        <v>15.260000000000002</v>
      </c>
      <c r="AW213" s="9">
        <f>(AU213-3*$A$39)/(AT213-3*$A$35*$A$36)</f>
        <v>0.37664180499107552</v>
      </c>
      <c r="AX213" s="9">
        <f>(AV213-3*$A$40)/(AT213-3*$A$35*$A$36)</f>
        <v>0.48236582042716708</v>
      </c>
      <c r="AY213" s="9">
        <f>1-AW213-AX213</f>
        <v>0.14099237458175734</v>
      </c>
      <c r="AZ213" s="3">
        <f>AL213*AW213</f>
        <v>1356.5605238924579</v>
      </c>
      <c r="BA213" s="3">
        <f>AL213*AX213</f>
        <v>1737.3494428798153</v>
      </c>
      <c r="BB213" s="3">
        <f>AZ213+BA213</f>
        <v>3093.909966772273</v>
      </c>
      <c r="BC213" s="3">
        <f>AR213*AW213</f>
        <v>1263.6959698547112</v>
      </c>
      <c r="BD213" s="3">
        <f>AR213*AX213</f>
        <v>1618.4176456034024</v>
      </c>
      <c r="BE213" s="3">
        <f>BC213+BD213</f>
        <v>2882.1136154581136</v>
      </c>
      <c r="BF213" s="11">
        <f>Z214</f>
        <v>43451</v>
      </c>
      <c r="BG213" s="3">
        <f>AVERAGE(AA213:AA215)</f>
        <v>53.301820450408073</v>
      </c>
      <c r="BH213" s="7">
        <f t="shared" ref="BH213" si="317">AVERAGE(AB213:AB215)</f>
        <v>1.01</v>
      </c>
      <c r="BI213" s="3">
        <f t="shared" ref="BI213" si="318">AVERAGE(AC213:AC215)</f>
        <v>78.21782178217822</v>
      </c>
      <c r="BJ213" s="3">
        <f t="shared" ref="BJ213" si="319">AVERAGE(AD213:AD215)</f>
        <v>25.731481481481477</v>
      </c>
      <c r="BK213" s="3">
        <f t="shared" ref="BK213" si="320">AVERAGE(AE213:AE215)</f>
        <v>6.3648148148148156</v>
      </c>
      <c r="BL213" s="3">
        <f t="shared" ref="BL213" si="321">AVERAGE(AF213:AF215)</f>
        <v>14.069694244604314</v>
      </c>
    </row>
    <row r="214" spans="1:64" x14ac:dyDescent="0.3">
      <c r="A214">
        <v>167</v>
      </c>
      <c r="B214" s="1" t="s">
        <v>218</v>
      </c>
      <c r="C214" s="1" t="s">
        <v>32</v>
      </c>
      <c r="D214" s="2">
        <v>43403</v>
      </c>
      <c r="E214" s="3">
        <v>18.899999999999999</v>
      </c>
      <c r="F214" s="4">
        <f t="shared" si="242"/>
        <v>4115.141988188976</v>
      </c>
      <c r="G214" s="7">
        <v>9.7200000000000006</v>
      </c>
      <c r="H214" s="7">
        <v>161</v>
      </c>
      <c r="I214" s="7">
        <f t="shared" si="301"/>
        <v>151.28</v>
      </c>
      <c r="J214" s="7">
        <v>141.72</v>
      </c>
      <c r="K214" s="5">
        <f t="shared" si="244"/>
        <v>6.3194077207826567</v>
      </c>
      <c r="L214" s="4">
        <f t="shared" si="245"/>
        <v>3855.089387666193</v>
      </c>
      <c r="M214" s="2">
        <v>43440</v>
      </c>
      <c r="N214" s="7">
        <v>8.2799999999999994</v>
      </c>
      <c r="O214" s="7">
        <v>3.34</v>
      </c>
      <c r="P214" s="7">
        <v>5.54</v>
      </c>
      <c r="Q214" s="6">
        <f t="shared" si="246"/>
        <v>0.38170399932546462</v>
      </c>
      <c r="R214" s="6">
        <f t="shared" si="247"/>
        <v>0.47836929785593946</v>
      </c>
      <c r="S214" s="6">
        <f t="shared" si="248"/>
        <v>0.13992670281859593</v>
      </c>
      <c r="T214" s="4">
        <f t="shared" si="249"/>
        <v>1570.766154683876</v>
      </c>
      <c r="U214" s="4">
        <f t="shared" si="250"/>
        <v>1968.5575834674551</v>
      </c>
      <c r="V214" s="4">
        <f t="shared" si="251"/>
        <v>3539.3237381513309</v>
      </c>
      <c r="W214" s="4">
        <f t="shared" si="252"/>
        <v>1471.5030370293423</v>
      </c>
      <c r="X214" s="4">
        <f t="shared" si="253"/>
        <v>1844.1564035497604</v>
      </c>
      <c r="Y214" s="4">
        <f t="shared" si="254"/>
        <v>3315.6594405791029</v>
      </c>
      <c r="Z214" s="10">
        <v>43451</v>
      </c>
      <c r="AA214" s="4">
        <v>53.301820450408073</v>
      </c>
      <c r="AB214" s="5">
        <v>1.01</v>
      </c>
      <c r="AC214" s="4">
        <v>78.21782178217822</v>
      </c>
      <c r="AD214" s="4">
        <v>25.731481481481477</v>
      </c>
      <c r="AE214" s="4">
        <v>6.3648148148148156</v>
      </c>
      <c r="AF214" s="4">
        <v>14.069694244604314</v>
      </c>
      <c r="AK214" s="3"/>
      <c r="AL214" s="3"/>
      <c r="AM214" s="7"/>
      <c r="AN214" s="7"/>
      <c r="AO214" s="7"/>
      <c r="AP214" s="7"/>
      <c r="AQ214" s="7"/>
      <c r="AR214" s="3"/>
      <c r="AS214" s="3"/>
      <c r="AT214" s="7"/>
      <c r="AU214" s="7"/>
      <c r="AV214" s="7"/>
      <c r="AW214" s="9"/>
      <c r="AX214" s="9"/>
      <c r="AY214" s="9"/>
      <c r="AZ214" s="3"/>
      <c r="BA214" s="3"/>
      <c r="BB214" s="3"/>
      <c r="BC214" s="3"/>
      <c r="BD214" s="3"/>
      <c r="BE214" s="3"/>
      <c r="BG214" s="3"/>
      <c r="BH214" s="7"/>
      <c r="BI214" s="3"/>
      <c r="BJ214" s="3"/>
      <c r="BK214" s="3"/>
      <c r="BL214" s="3"/>
    </row>
    <row r="215" spans="1:64" x14ac:dyDescent="0.3">
      <c r="A215">
        <v>168</v>
      </c>
      <c r="B215" s="1" t="s">
        <v>219</v>
      </c>
      <c r="C215" s="1" t="s">
        <v>32</v>
      </c>
      <c r="D215" s="2">
        <v>43403</v>
      </c>
      <c r="E215" s="3">
        <v>14</v>
      </c>
      <c r="F215" s="4">
        <f t="shared" si="242"/>
        <v>3021.3423818897641</v>
      </c>
      <c r="G215" s="7">
        <v>9.7899999999999991</v>
      </c>
      <c r="H215" s="7">
        <v>185.09</v>
      </c>
      <c r="I215" s="7">
        <f t="shared" si="301"/>
        <v>175.3</v>
      </c>
      <c r="J215" s="7">
        <v>163.44</v>
      </c>
      <c r="K215" s="5">
        <f t="shared" si="244"/>
        <v>6.765544780376505</v>
      </c>
      <c r="L215" s="4">
        <f t="shared" si="245"/>
        <v>2816.9321100745178</v>
      </c>
      <c r="M215" s="2">
        <v>43440</v>
      </c>
      <c r="N215" s="7">
        <v>6.07</v>
      </c>
      <c r="O215" s="7">
        <v>2.42</v>
      </c>
      <c r="P215" s="7">
        <v>4.4800000000000004</v>
      </c>
      <c r="Q215" s="6">
        <f t="shared" si="246"/>
        <v>0.36865857834752247</v>
      </c>
      <c r="R215" s="6">
        <f t="shared" si="247"/>
        <v>0.47789074970975143</v>
      </c>
      <c r="S215" s="6">
        <f t="shared" si="248"/>
        <v>0.1534506719427261</v>
      </c>
      <c r="T215" s="4">
        <f t="shared" si="249"/>
        <v>1113.8437872085976</v>
      </c>
      <c r="U215" s="4">
        <f t="shared" si="250"/>
        <v>1443.8715760111454</v>
      </c>
      <c r="V215" s="4">
        <f t="shared" si="251"/>
        <v>2557.7153632197433</v>
      </c>
      <c r="W215" s="4">
        <f t="shared" si="252"/>
        <v>1038.4861870015584</v>
      </c>
      <c r="X215" s="4">
        <f t="shared" si="253"/>
        <v>1346.1857979649833</v>
      </c>
      <c r="Y215" s="4">
        <f t="shared" si="254"/>
        <v>2384.6719849665415</v>
      </c>
      <c r="Z215" s="10"/>
      <c r="AA215" s="4"/>
      <c r="AB215" s="5"/>
      <c r="AC215" s="4"/>
      <c r="AD215" s="4"/>
      <c r="AE215" s="4"/>
      <c r="AF215" s="4"/>
      <c r="AK215" s="3"/>
      <c r="AL215" s="3"/>
      <c r="AM215" s="7"/>
      <c r="AN215" s="7"/>
      <c r="AO215" s="7"/>
      <c r="AP215" s="7"/>
      <c r="AQ215" s="7"/>
      <c r="AR215" s="3"/>
      <c r="AS215" s="3"/>
      <c r="AT215" s="7"/>
      <c r="AU215" s="7"/>
      <c r="AV215" s="7"/>
      <c r="AW215" s="9"/>
      <c r="AX215" s="9"/>
      <c r="AY215" s="9"/>
      <c r="AZ215" s="3"/>
      <c r="BA215" s="3"/>
      <c r="BB215" s="3"/>
      <c r="BC215" s="3"/>
      <c r="BD215" s="3"/>
      <c r="BE215" s="3"/>
      <c r="BG215" s="3"/>
      <c r="BH215" s="7"/>
      <c r="BI215" s="3"/>
      <c r="BJ215" s="3"/>
      <c r="BK215" s="3"/>
      <c r="BL215" s="3"/>
    </row>
    <row r="216" spans="1:64" x14ac:dyDescent="0.3">
      <c r="A216">
        <v>169</v>
      </c>
      <c r="B216" s="1" t="s">
        <v>220</v>
      </c>
      <c r="C216" s="1" t="s">
        <v>32</v>
      </c>
      <c r="D216" s="2">
        <v>43403</v>
      </c>
      <c r="E216" s="3">
        <v>17.7</v>
      </c>
      <c r="F216" s="4">
        <f t="shared" si="242"/>
        <v>3847.2726968503935</v>
      </c>
      <c r="G216" s="7">
        <v>9.7200000000000006</v>
      </c>
      <c r="H216" s="7">
        <v>154.91999999999999</v>
      </c>
      <c r="I216" s="7">
        <f t="shared" si="243"/>
        <v>145.19999999999999</v>
      </c>
      <c r="J216" s="7">
        <v>136.63999999999999</v>
      </c>
      <c r="K216" s="5">
        <f t="shared" si="244"/>
        <v>5.8953168044077149</v>
      </c>
      <c r="L216" s="4">
        <f t="shared" si="245"/>
        <v>3620.4637830415822</v>
      </c>
      <c r="M216" s="2">
        <v>43440</v>
      </c>
      <c r="N216" s="7">
        <v>7.84</v>
      </c>
      <c r="O216" s="7">
        <v>3.1</v>
      </c>
      <c r="P216" s="7">
        <v>5.44</v>
      </c>
      <c r="Q216" s="6">
        <f t="shared" si="246"/>
        <v>0.37225984053552397</v>
      </c>
      <c r="R216" s="6">
        <f t="shared" si="247"/>
        <v>0.49285105648365157</v>
      </c>
      <c r="S216" s="6">
        <f t="shared" si="248"/>
        <v>0.13488910298082446</v>
      </c>
      <c r="T216" s="4">
        <f t="shared" si="249"/>
        <v>1432.1851206262027</v>
      </c>
      <c r="U216" s="4">
        <f t="shared" si="250"/>
        <v>1896.1324132234238</v>
      </c>
      <c r="V216" s="4">
        <f t="shared" si="251"/>
        <v>3328.3175338496267</v>
      </c>
      <c r="W216" s="4">
        <f t="shared" si="252"/>
        <v>1347.7532705396993</v>
      </c>
      <c r="X216" s="4">
        <f t="shared" si="253"/>
        <v>1784.3494004328418</v>
      </c>
      <c r="Y216" s="4">
        <f t="shared" si="254"/>
        <v>3132.1026709725411</v>
      </c>
      <c r="Z216" s="10"/>
      <c r="AA216" s="4"/>
      <c r="AB216" s="5"/>
      <c r="AC216" s="4"/>
      <c r="AD216" s="4"/>
      <c r="AE216" s="4"/>
      <c r="AF216" s="4"/>
      <c r="AH216" t="s">
        <v>290</v>
      </c>
      <c r="AI216" t="str">
        <f>C216</f>
        <v>Machine</v>
      </c>
      <c r="AJ216" s="8">
        <f>D216</f>
        <v>43403</v>
      </c>
      <c r="AK216" s="3">
        <f>SUM(E216:E218)</f>
        <v>52.8</v>
      </c>
      <c r="AL216" s="3">
        <f>(AK216-3*$A$35)*$A$36/(3*$A$37)*$A$38</f>
        <v>3824.9502559055113</v>
      </c>
      <c r="AM216" s="7">
        <f>SUM(G216:G218)</f>
        <v>29.180000000000003</v>
      </c>
      <c r="AN216" s="7">
        <f>SUM(H216:H218)</f>
        <v>460.58000000000004</v>
      </c>
      <c r="AO216" s="7">
        <f>AN216-AM216</f>
        <v>431.40000000000003</v>
      </c>
      <c r="AP216" s="7">
        <f>SUM(J216:J218)</f>
        <v>405.09</v>
      </c>
      <c r="AQ216" s="7">
        <f>(AO216-AP216)/AO216*100</f>
        <v>6.0987482614742827</v>
      </c>
      <c r="AR216" s="3">
        <f>AL216*(1-AQ216/100)</f>
        <v>3591.6761686712175</v>
      </c>
      <c r="AS216" s="11">
        <f>M216</f>
        <v>43440</v>
      </c>
      <c r="AT216" s="7">
        <f>SUM(N216:N218)</f>
        <v>23.33</v>
      </c>
      <c r="AU216" s="7">
        <f>SUM(O216:O218)</f>
        <v>9.16</v>
      </c>
      <c r="AV216" s="7">
        <f>SUM(P216:P218)</f>
        <v>16.080000000000002</v>
      </c>
      <c r="AW216" s="9">
        <f>(AU216-3*$A$39)/(AT216-3*$A$35*$A$36)</f>
        <v>0.36920789973294715</v>
      </c>
      <c r="AX216" s="9">
        <f>(AV216-3*$A$40)/(AT216-3*$A$35*$A$36)</f>
        <v>0.48640277005390659</v>
      </c>
      <c r="AY216" s="9">
        <f>1-AW216-AX216</f>
        <v>0.14438933021314632</v>
      </c>
      <c r="AZ216" s="3">
        <f>AL216*AW216</f>
        <v>1412.2018505658725</v>
      </c>
      <c r="BA216" s="3">
        <f>AL216*AX216</f>
        <v>1860.4663997908397</v>
      </c>
      <c r="BB216" s="3">
        <f>AZ216+BA216</f>
        <v>3272.6682503567122</v>
      </c>
      <c r="BC216" s="3">
        <f>AR216*AW216</f>
        <v>1326.0752147559785</v>
      </c>
      <c r="BD216" s="3">
        <f>AR216*AX216</f>
        <v>1747.0012375782824</v>
      </c>
      <c r="BE216" s="3">
        <f>BC216+BD216</f>
        <v>3073.0764523342609</v>
      </c>
      <c r="BF216" s="11">
        <f>Z217</f>
        <v>43451</v>
      </c>
      <c r="BG216" s="3">
        <f>AVERAGE(AA216:AA218)</f>
        <v>45.4</v>
      </c>
      <c r="BH216" s="7">
        <f t="shared" ref="BH216" si="322">AVERAGE(AB216:AB218)</f>
        <v>1.02</v>
      </c>
      <c r="BI216" s="3">
        <f t="shared" ref="BI216" si="323">AVERAGE(AC216:AC218)</f>
        <v>76.7</v>
      </c>
      <c r="BJ216" s="3">
        <f t="shared" ref="BJ216" si="324">AVERAGE(AD216:AD218)</f>
        <v>27.4</v>
      </c>
      <c r="BK216" s="3">
        <f t="shared" ref="BK216" si="325">AVERAGE(AE216:AE218)</f>
        <v>6.4</v>
      </c>
      <c r="BL216" s="3">
        <f t="shared" ref="BL216" si="326">AVERAGE(AF216:AF218)</f>
        <v>13.9</v>
      </c>
    </row>
    <row r="217" spans="1:64" x14ac:dyDescent="0.3">
      <c r="A217">
        <v>170</v>
      </c>
      <c r="B217" s="1" t="s">
        <v>221</v>
      </c>
      <c r="C217" s="1" t="s">
        <v>32</v>
      </c>
      <c r="D217" s="2">
        <v>43403</v>
      </c>
      <c r="E217" s="3">
        <v>17.899999999999999</v>
      </c>
      <c r="F217" s="4">
        <f t="shared" si="242"/>
        <v>3891.9175787401573</v>
      </c>
      <c r="G217" s="7">
        <v>9.73</v>
      </c>
      <c r="H217" s="7">
        <v>175.68</v>
      </c>
      <c r="I217" s="7">
        <f t="shared" si="243"/>
        <v>165.95000000000002</v>
      </c>
      <c r="J217" s="7">
        <v>155.88</v>
      </c>
      <c r="K217" s="5">
        <f t="shared" si="244"/>
        <v>6.0680927990358668</v>
      </c>
      <c r="L217" s="4">
        <f t="shared" si="245"/>
        <v>3655.7524084002148</v>
      </c>
      <c r="M217" s="2">
        <v>43440</v>
      </c>
      <c r="N217" s="7">
        <v>7.81</v>
      </c>
      <c r="O217" s="7">
        <v>3.08</v>
      </c>
      <c r="P217" s="7">
        <v>5.34</v>
      </c>
      <c r="Q217" s="6">
        <f t="shared" si="246"/>
        <v>0.37109756758809215</v>
      </c>
      <c r="R217" s="6">
        <f t="shared" si="247"/>
        <v>0.48163726857177913</v>
      </c>
      <c r="S217" s="6">
        <f t="shared" si="248"/>
        <v>0.14726516384012878</v>
      </c>
      <c r="T217" s="4">
        <f t="shared" si="249"/>
        <v>1444.2811467238096</v>
      </c>
      <c r="U217" s="4">
        <f t="shared" si="250"/>
        <v>1874.4925521309015</v>
      </c>
      <c r="V217" s="4">
        <f t="shared" si="251"/>
        <v>3318.7736988547113</v>
      </c>
      <c r="W217" s="4">
        <f t="shared" si="252"/>
        <v>1356.6408264616293</v>
      </c>
      <c r="X217" s="4">
        <f t="shared" si="253"/>
        <v>1760.7466045565827</v>
      </c>
      <c r="Y217" s="4">
        <f t="shared" si="254"/>
        <v>3117.3874310182118</v>
      </c>
      <c r="Z217" s="10">
        <v>43451</v>
      </c>
      <c r="AA217" s="4">
        <v>45.4</v>
      </c>
      <c r="AB217" s="5">
        <v>1.02</v>
      </c>
      <c r="AC217" s="4">
        <v>76.7</v>
      </c>
      <c r="AD217" s="4">
        <v>27.4</v>
      </c>
      <c r="AE217" s="4">
        <v>6.4</v>
      </c>
      <c r="AF217" s="4">
        <v>13.9</v>
      </c>
      <c r="AK217" s="3"/>
      <c r="AL217" s="3"/>
      <c r="AM217" s="7"/>
      <c r="AN217" s="7"/>
      <c r="AO217" s="7"/>
      <c r="AP217" s="7"/>
      <c r="AQ217" s="7"/>
      <c r="AR217" s="3"/>
      <c r="AS217" s="3"/>
      <c r="AT217" s="7"/>
      <c r="AU217" s="7"/>
      <c r="AV217" s="7"/>
      <c r="AW217" s="9"/>
      <c r="AX217" s="9"/>
      <c r="AY217" s="9"/>
      <c r="AZ217" s="3"/>
      <c r="BA217" s="3"/>
      <c r="BB217" s="3"/>
      <c r="BC217" s="3"/>
      <c r="BD217" s="3"/>
      <c r="BE217" s="3"/>
      <c r="BG217" s="3"/>
      <c r="BH217" s="7"/>
      <c r="BI217" s="3"/>
      <c r="BJ217" s="3"/>
      <c r="BK217" s="3"/>
      <c r="BL217" s="3"/>
    </row>
    <row r="218" spans="1:64" x14ac:dyDescent="0.3">
      <c r="A218">
        <v>171</v>
      </c>
      <c r="B218" s="1" t="s">
        <v>222</v>
      </c>
      <c r="C218" s="1" t="s">
        <v>32</v>
      </c>
      <c r="D218" s="2">
        <v>43403</v>
      </c>
      <c r="E218" s="3">
        <v>17.2</v>
      </c>
      <c r="F218" s="4">
        <f t="shared" si="242"/>
        <v>3735.6604921259841</v>
      </c>
      <c r="G218" s="7">
        <v>9.73</v>
      </c>
      <c r="H218" s="7">
        <v>129.97999999999999</v>
      </c>
      <c r="I218" s="7">
        <f t="shared" si="243"/>
        <v>120.24999999999999</v>
      </c>
      <c r="J218" s="7">
        <v>112.57</v>
      </c>
      <c r="K218" s="5">
        <f t="shared" si="244"/>
        <v>6.3866943866943817</v>
      </c>
      <c r="L218" s="4">
        <f t="shared" si="245"/>
        <v>3497.0752731694142</v>
      </c>
      <c r="M218" s="2">
        <v>43440</v>
      </c>
      <c r="N218" s="7">
        <v>7.68</v>
      </c>
      <c r="O218" s="7">
        <v>2.98</v>
      </c>
      <c r="P218" s="7">
        <v>5.3</v>
      </c>
      <c r="Q218" s="6">
        <f t="shared" si="246"/>
        <v>0.36416802363437617</v>
      </c>
      <c r="R218" s="6">
        <f t="shared" si="247"/>
        <v>0.4846647961604566</v>
      </c>
      <c r="S218" s="6">
        <f t="shared" si="248"/>
        <v>0.15116718020516723</v>
      </c>
      <c r="T218" s="4">
        <f t="shared" si="249"/>
        <v>1360.4080983865406</v>
      </c>
      <c r="U218" s="4">
        <f t="shared" si="250"/>
        <v>1810.5431309409112</v>
      </c>
      <c r="V218" s="4">
        <f t="shared" si="251"/>
        <v>3170.951229327452</v>
      </c>
      <c r="W218" s="4">
        <f t="shared" si="252"/>
        <v>1273.5229907307516</v>
      </c>
      <c r="X218" s="4">
        <f t="shared" si="253"/>
        <v>1694.9092744284271</v>
      </c>
      <c r="Y218" s="4">
        <f t="shared" si="254"/>
        <v>2968.4322651591788</v>
      </c>
      <c r="Z218" s="10"/>
      <c r="AA218" s="4"/>
      <c r="AB218" s="5"/>
      <c r="AC218" s="4"/>
      <c r="AD218" s="4"/>
      <c r="AE218" s="4"/>
      <c r="AF218" s="4"/>
      <c r="AK218" s="3"/>
      <c r="AL218" s="3"/>
      <c r="AM218" s="7"/>
      <c r="AN218" s="7"/>
      <c r="AO218" s="7"/>
      <c r="AP218" s="7"/>
      <c r="AQ218" s="7"/>
      <c r="AR218" s="3"/>
      <c r="AS218" s="3"/>
      <c r="AT218" s="7"/>
      <c r="AU218" s="7"/>
      <c r="AV218" s="7"/>
      <c r="AW218" s="9"/>
      <c r="AX218" s="9"/>
      <c r="AY218" s="9"/>
      <c r="AZ218" s="3"/>
      <c r="BA218" s="3"/>
      <c r="BB218" s="3"/>
      <c r="BC218" s="3"/>
      <c r="BD218" s="3"/>
      <c r="BE218" s="3"/>
      <c r="BG218" s="3"/>
      <c r="BH218" s="7"/>
      <c r="BI218" s="3"/>
      <c r="BJ218" s="3"/>
      <c r="BK218" s="3"/>
      <c r="BL218" s="3"/>
    </row>
    <row r="219" spans="1:64" x14ac:dyDescent="0.3">
      <c r="A219">
        <v>172</v>
      </c>
      <c r="B219" s="1" t="s">
        <v>223</v>
      </c>
      <c r="C219" s="1" t="s">
        <v>32</v>
      </c>
      <c r="D219" s="2">
        <v>43403</v>
      </c>
      <c r="E219" s="3">
        <v>19.399999999999999</v>
      </c>
      <c r="F219" s="4">
        <f t="shared" si="242"/>
        <v>4226.7541929133859</v>
      </c>
      <c r="G219" s="7">
        <v>9.6999999999999993</v>
      </c>
      <c r="H219" s="7">
        <v>159.36000000000001</v>
      </c>
      <c r="I219" s="7">
        <f t="shared" si="243"/>
        <v>149.66000000000003</v>
      </c>
      <c r="J219" s="7">
        <v>139.80000000000001</v>
      </c>
      <c r="K219" s="5">
        <f t="shared" si="244"/>
        <v>6.5882667379393371</v>
      </c>
      <c r="L219" s="4">
        <f t="shared" si="245"/>
        <v>3948.2843523272168</v>
      </c>
      <c r="M219" s="2">
        <v>43440</v>
      </c>
      <c r="N219" s="7">
        <v>8.61</v>
      </c>
      <c r="O219" s="7">
        <v>3.32</v>
      </c>
      <c r="P219" s="7">
        <v>5.76</v>
      </c>
      <c r="Q219" s="6">
        <f t="shared" si="246"/>
        <v>0.36432562876067093</v>
      </c>
      <c r="R219" s="6">
        <f t="shared" si="247"/>
        <v>0.48576750501422794</v>
      </c>
      <c r="S219" s="6">
        <f t="shared" si="248"/>
        <v>0.14990686622510119</v>
      </c>
      <c r="T219" s="4">
        <f t="shared" si="249"/>
        <v>1539.9148789499716</v>
      </c>
      <c r="U219" s="4">
        <f t="shared" si="250"/>
        <v>2053.2198385999623</v>
      </c>
      <c r="V219" s="4">
        <f t="shared" si="251"/>
        <v>3593.1347175499341</v>
      </c>
      <c r="W219" s="4">
        <f t="shared" si="252"/>
        <v>1438.4611791875316</v>
      </c>
      <c r="X219" s="4">
        <f t="shared" si="253"/>
        <v>1917.948238916709</v>
      </c>
      <c r="Y219" s="4">
        <f t="shared" si="254"/>
        <v>3356.4094181042406</v>
      </c>
      <c r="Z219" s="10"/>
      <c r="AA219" s="4"/>
      <c r="AB219" s="5"/>
      <c r="AC219" s="4"/>
      <c r="AD219" s="4"/>
      <c r="AE219" s="4"/>
      <c r="AF219" s="4"/>
      <c r="AH219" t="s">
        <v>303</v>
      </c>
      <c r="AI219" t="str">
        <f>C219</f>
        <v>Machine</v>
      </c>
      <c r="AJ219" s="8">
        <f>D219</f>
        <v>43403</v>
      </c>
      <c r="AK219" s="3">
        <f>SUM(E219:E221)</f>
        <v>61.8</v>
      </c>
      <c r="AL219" s="3">
        <f>(AK219-3*$A$35)*$A$36/(3*$A$37)*$A$38</f>
        <v>4494.623484251968</v>
      </c>
      <c r="AM219" s="7">
        <f>SUM(G219:G221)</f>
        <v>29.14</v>
      </c>
      <c r="AN219" s="7">
        <f>SUM(H219:H221)</f>
        <v>513.95000000000005</v>
      </c>
      <c r="AO219" s="7">
        <f>AN219-AM219</f>
        <v>484.81000000000006</v>
      </c>
      <c r="AP219" s="7">
        <f>SUM(J219:J221)</f>
        <v>453.48</v>
      </c>
      <c r="AQ219" s="7">
        <f>(AO219-AP219)/AO219*100</f>
        <v>6.4623254470823701</v>
      </c>
      <c r="AR219" s="3">
        <f>AL219*(1-AQ219/100)</f>
        <v>4204.1662870786122</v>
      </c>
      <c r="AS219" s="11">
        <f>M219</f>
        <v>43440</v>
      </c>
      <c r="AT219" s="7">
        <f>SUM(N219:N221)</f>
        <v>27.240000000000002</v>
      </c>
      <c r="AU219" s="7">
        <f>SUM(O219:O221)</f>
        <v>10.62</v>
      </c>
      <c r="AV219" s="7">
        <f>SUM(P219:P221)</f>
        <v>18.02</v>
      </c>
      <c r="AW219" s="9">
        <f>(AU219-3*$A$39)/(AT219-3*$A$35*$A$36)</f>
        <v>0.36982416480071956</v>
      </c>
      <c r="AX219" s="9">
        <f>(AV219-3*$A$40)/(AT219-3*$A$35*$A$36)</f>
        <v>0.487837160478998</v>
      </c>
      <c r="AY219" s="9">
        <f>1-AW219-AX219</f>
        <v>0.14233867472028244</v>
      </c>
      <c r="AZ219" s="3">
        <f>AL219*AW219</f>
        <v>1662.2203761571841</v>
      </c>
      <c r="BA219" s="3">
        <f>AL219*AX219</f>
        <v>2192.6443579797005</v>
      </c>
      <c r="BB219" s="3">
        <f>AZ219+BA219</f>
        <v>3854.8647341368846</v>
      </c>
      <c r="BC219" s="3">
        <f>AR219*AW219</f>
        <v>1554.80228580219</v>
      </c>
      <c r="BD219" s="3">
        <f>AR219*AX219</f>
        <v>2050.948543669962</v>
      </c>
      <c r="BE219" s="3">
        <f>BC219+BD219</f>
        <v>3605.750829472152</v>
      </c>
      <c r="BF219" s="11">
        <f>Z220</f>
        <v>43451</v>
      </c>
      <c r="BG219" s="3">
        <f>AVERAGE(AA219:AA221)</f>
        <v>45.237569800977724</v>
      </c>
      <c r="BH219" s="7">
        <f t="shared" ref="BH219" si="327">AVERAGE(AB219:AB221)</f>
        <v>1.06</v>
      </c>
      <c r="BI219" s="3">
        <f t="shared" ref="BI219" si="328">AVERAGE(AC219:AC221)</f>
        <v>78.301886792452819</v>
      </c>
      <c r="BJ219" s="3">
        <f t="shared" ref="BJ219" si="329">AVERAGE(AD219:AD221)</f>
        <v>27.476388888888881</v>
      </c>
      <c r="BK219" s="3">
        <f t="shared" ref="BK219" si="330">AVERAGE(AE219:AE221)</f>
        <v>6.2763888888888895</v>
      </c>
      <c r="BL219" s="3">
        <f t="shared" ref="BL219" si="331">AVERAGE(AF219:AF221)</f>
        <v>12.57374100719424</v>
      </c>
    </row>
    <row r="220" spans="1:64" x14ac:dyDescent="0.3">
      <c r="A220">
        <v>173</v>
      </c>
      <c r="B220" s="1" t="s">
        <v>224</v>
      </c>
      <c r="C220" s="1" t="s">
        <v>32</v>
      </c>
      <c r="D220" s="2">
        <v>43403</v>
      </c>
      <c r="E220" s="3">
        <v>20.9</v>
      </c>
      <c r="F220" s="4">
        <f t="shared" si="242"/>
        <v>4561.5908070866135</v>
      </c>
      <c r="G220" s="7">
        <v>9.7200000000000006</v>
      </c>
      <c r="H220" s="7">
        <v>145.12</v>
      </c>
      <c r="I220" s="7">
        <f t="shared" si="243"/>
        <v>135.4</v>
      </c>
      <c r="J220" s="7">
        <v>126.95</v>
      </c>
      <c r="K220" s="5">
        <f t="shared" si="244"/>
        <v>6.2407680945347144</v>
      </c>
      <c r="L220" s="4">
        <f t="shared" si="245"/>
        <v>4276.9125033947239</v>
      </c>
      <c r="M220" s="2">
        <v>43440</v>
      </c>
      <c r="N220" s="7">
        <v>9.17</v>
      </c>
      <c r="O220" s="7">
        <v>3.62</v>
      </c>
      <c r="P220" s="7">
        <v>6.02</v>
      </c>
      <c r="Q220" s="6">
        <f t="shared" si="246"/>
        <v>0.3750385201394324</v>
      </c>
      <c r="R220" s="6">
        <f t="shared" si="247"/>
        <v>0.48442475518010009</v>
      </c>
      <c r="S220" s="6">
        <f t="shared" si="248"/>
        <v>0.14053672468046752</v>
      </c>
      <c r="T220" s="4">
        <f t="shared" si="249"/>
        <v>1710.7722657714025</v>
      </c>
      <c r="U220" s="4">
        <f t="shared" si="250"/>
        <v>2209.7475099547278</v>
      </c>
      <c r="V220" s="4">
        <f t="shared" si="251"/>
        <v>3920.5197757261303</v>
      </c>
      <c r="W220" s="4">
        <f t="shared" si="252"/>
        <v>1604.0069360389923</v>
      </c>
      <c r="X220" s="4">
        <f t="shared" si="253"/>
        <v>2071.8422923836979</v>
      </c>
      <c r="Y220" s="4">
        <f t="shared" si="254"/>
        <v>3675.8492284226904</v>
      </c>
      <c r="Z220" s="10">
        <v>43451</v>
      </c>
      <c r="AA220" s="4">
        <v>45.237569800977724</v>
      </c>
      <c r="AB220" s="5">
        <v>1.06</v>
      </c>
      <c r="AC220" s="4">
        <v>78.301886792452819</v>
      </c>
      <c r="AD220" s="4">
        <v>27.476388888888881</v>
      </c>
      <c r="AE220" s="4">
        <v>6.2763888888888895</v>
      </c>
      <c r="AF220" s="4">
        <v>12.57374100719424</v>
      </c>
      <c r="AK220" s="3"/>
      <c r="AL220" s="3"/>
      <c r="AM220" s="7"/>
      <c r="AN220" s="7"/>
      <c r="AO220" s="7"/>
      <c r="AP220" s="7"/>
      <c r="AQ220" s="7"/>
      <c r="AR220" s="3"/>
      <c r="AS220" s="3"/>
      <c r="AT220" s="7"/>
      <c r="AU220" s="7"/>
      <c r="AV220" s="7"/>
      <c r="AW220" s="9"/>
      <c r="AX220" s="9"/>
      <c r="AY220" s="9"/>
      <c r="AZ220" s="3"/>
      <c r="BA220" s="3"/>
      <c r="BB220" s="3"/>
      <c r="BC220" s="3"/>
      <c r="BD220" s="3"/>
      <c r="BE220" s="3"/>
      <c r="BG220" s="3"/>
      <c r="BH220" s="7"/>
      <c r="BI220" s="3"/>
      <c r="BJ220" s="3"/>
      <c r="BK220" s="3"/>
      <c r="BL220" s="3"/>
    </row>
    <row r="221" spans="1:64" x14ac:dyDescent="0.3">
      <c r="A221">
        <v>174</v>
      </c>
      <c r="B221" s="1" t="s">
        <v>225</v>
      </c>
      <c r="C221" s="1" t="s">
        <v>32</v>
      </c>
      <c r="D221" s="2">
        <v>43403</v>
      </c>
      <c r="E221" s="3">
        <v>21.5</v>
      </c>
      <c r="F221" s="4">
        <f t="shared" si="242"/>
        <v>4695.5254527559064</v>
      </c>
      <c r="G221" s="7">
        <v>9.7200000000000006</v>
      </c>
      <c r="H221" s="7">
        <v>209.47</v>
      </c>
      <c r="I221" s="7">
        <f t="shared" si="243"/>
        <v>199.75</v>
      </c>
      <c r="J221" s="7">
        <v>186.73</v>
      </c>
      <c r="K221" s="5">
        <f t="shared" si="244"/>
        <v>6.5181476846057631</v>
      </c>
      <c r="L221" s="4">
        <f t="shared" si="245"/>
        <v>4389.464169177023</v>
      </c>
      <c r="M221" s="2">
        <v>43440</v>
      </c>
      <c r="N221" s="7">
        <v>9.4600000000000009</v>
      </c>
      <c r="O221" s="7">
        <v>3.68</v>
      </c>
      <c r="P221" s="7">
        <v>6.24</v>
      </c>
      <c r="Q221" s="6">
        <f t="shared" si="246"/>
        <v>0.36976651770063884</v>
      </c>
      <c r="R221" s="6">
        <f t="shared" si="247"/>
        <v>0.49302202360085184</v>
      </c>
      <c r="S221" s="6">
        <f t="shared" si="248"/>
        <v>0.13721145869850931</v>
      </c>
      <c r="T221" s="4">
        <f t="shared" si="249"/>
        <v>1736.248095440267</v>
      </c>
      <c r="U221" s="4">
        <f t="shared" si="250"/>
        <v>2314.9974605870229</v>
      </c>
      <c r="V221" s="4">
        <f t="shared" si="251"/>
        <v>4051.2455560272901</v>
      </c>
      <c r="W221" s="4">
        <f t="shared" si="252"/>
        <v>1623.0768804083157</v>
      </c>
      <c r="X221" s="4">
        <f t="shared" si="253"/>
        <v>2164.1025072110879</v>
      </c>
      <c r="Y221" s="4">
        <f t="shared" si="254"/>
        <v>3787.1793876194033</v>
      </c>
      <c r="Z221" s="10"/>
      <c r="AA221" s="4"/>
      <c r="AB221" s="5"/>
      <c r="AC221" s="4"/>
      <c r="AD221" s="4"/>
      <c r="AE221" s="4"/>
      <c r="AF221" s="4"/>
      <c r="AK221" s="3"/>
      <c r="AL221" s="3"/>
      <c r="AM221" s="7"/>
      <c r="AN221" s="7"/>
      <c r="AO221" s="7"/>
      <c r="AP221" s="7"/>
      <c r="AQ221" s="7"/>
      <c r="AR221" s="3"/>
      <c r="AS221" s="3"/>
      <c r="AT221" s="7"/>
      <c r="AU221" s="7"/>
      <c r="AV221" s="7"/>
      <c r="AW221" s="9"/>
      <c r="AX221" s="9"/>
      <c r="AY221" s="9"/>
      <c r="AZ221" s="3"/>
      <c r="BA221" s="3"/>
      <c r="BB221" s="3"/>
      <c r="BC221" s="3"/>
      <c r="BD221" s="3"/>
      <c r="BE221" s="3"/>
      <c r="BG221" s="3"/>
      <c r="BH221" s="7"/>
      <c r="BI221" s="3"/>
      <c r="BJ221" s="3"/>
      <c r="BK221" s="3"/>
      <c r="BL221" s="3"/>
    </row>
    <row r="222" spans="1:64" x14ac:dyDescent="0.3">
      <c r="A222">
        <v>175</v>
      </c>
      <c r="B222" s="1" t="s">
        <v>226</v>
      </c>
      <c r="C222" s="1" t="s">
        <v>32</v>
      </c>
      <c r="D222" s="2">
        <v>43403</v>
      </c>
      <c r="E222" s="3">
        <v>13.2</v>
      </c>
      <c r="F222" s="4">
        <f t="shared" si="242"/>
        <v>2842.7628543307087</v>
      </c>
      <c r="G222" s="7">
        <v>9.7100000000000009</v>
      </c>
      <c r="H222" s="7">
        <v>176.22</v>
      </c>
      <c r="I222" s="7">
        <f t="shared" si="243"/>
        <v>166.51</v>
      </c>
      <c r="J222" s="7">
        <v>155.27000000000001</v>
      </c>
      <c r="K222" s="5">
        <f t="shared" si="244"/>
        <v>6.7503453246051173</v>
      </c>
      <c r="L222" s="4">
        <f t="shared" si="245"/>
        <v>2650.8665449037844</v>
      </c>
      <c r="M222" s="2">
        <v>43440</v>
      </c>
      <c r="N222" s="7">
        <v>5.74</v>
      </c>
      <c r="O222" s="7">
        <v>2.36</v>
      </c>
      <c r="P222" s="7">
        <v>4.3600000000000003</v>
      </c>
      <c r="Q222" s="6">
        <f t="shared" si="246"/>
        <v>0.37981004187799983</v>
      </c>
      <c r="R222" s="6">
        <f t="shared" si="247"/>
        <v>0.48470995820620949</v>
      </c>
      <c r="S222" s="6">
        <f t="shared" si="248"/>
        <v>0.13547999991579068</v>
      </c>
      <c r="T222" s="4">
        <f t="shared" si="249"/>
        <v>1079.7098787525688</v>
      </c>
      <c r="U222" s="4">
        <f t="shared" si="250"/>
        <v>1377.9154643128027</v>
      </c>
      <c r="V222" s="4">
        <f t="shared" si="251"/>
        <v>2457.6253430653715</v>
      </c>
      <c r="W222" s="4">
        <f t="shared" si="252"/>
        <v>1006.825733432895</v>
      </c>
      <c r="X222" s="4">
        <f t="shared" si="253"/>
        <v>1284.9014121905523</v>
      </c>
      <c r="Y222" s="4">
        <f t="shared" si="254"/>
        <v>2291.7271456234475</v>
      </c>
      <c r="Z222" s="10"/>
      <c r="AA222" s="4"/>
      <c r="AB222" s="5"/>
      <c r="AC222" s="4"/>
      <c r="AD222" s="4"/>
      <c r="AE222" s="4"/>
      <c r="AF222" s="4"/>
      <c r="AH222" t="s">
        <v>304</v>
      </c>
      <c r="AI222" t="str">
        <f>C222</f>
        <v>Machine</v>
      </c>
      <c r="AJ222" s="8">
        <f>D222</f>
        <v>43403</v>
      </c>
      <c r="AK222" s="3">
        <f>SUM(E222:E224)</f>
        <v>42.099999999999994</v>
      </c>
      <c r="AL222" s="3">
        <f>(AK222-3*$A$35)*$A$36/(3*$A$37)*$A$38</f>
        <v>3028.7831955380566</v>
      </c>
      <c r="AM222" s="7">
        <f>SUM(G222:G224)</f>
        <v>29.160000000000004</v>
      </c>
      <c r="AN222" s="7">
        <f>SUM(H222:H224)</f>
        <v>466.21</v>
      </c>
      <c r="AO222" s="7">
        <f>AN222-AM222</f>
        <v>437.04999999999995</v>
      </c>
      <c r="AP222" s="7">
        <f>SUM(J222:J224)</f>
        <v>410.71000000000004</v>
      </c>
      <c r="AQ222" s="7">
        <f>(AO222-AP222)/AO222*100</f>
        <v>6.0267703924035976</v>
      </c>
      <c r="AR222" s="3">
        <f>AL222*(1-AQ222/100)</f>
        <v>2846.2453866592732</v>
      </c>
      <c r="AS222" s="11">
        <f>M222</f>
        <v>43440</v>
      </c>
      <c r="AT222" s="7">
        <f>SUM(N222:N224)</f>
        <v>18.450000000000003</v>
      </c>
      <c r="AU222" s="7">
        <f>SUM(O222:O224)</f>
        <v>7.58</v>
      </c>
      <c r="AV222" s="7">
        <f>SUM(P222:P224)</f>
        <v>13.66</v>
      </c>
      <c r="AW222" s="9">
        <f>(AU222-3*$A$39)/(AT222-3*$A$35*$A$36)</f>
        <v>0.38165284413233408</v>
      </c>
      <c r="AX222" s="9">
        <f>(AV222-3*$A$40)/(AT222-3*$A$35*$A$36)</f>
        <v>0.48380110535598825</v>
      </c>
      <c r="AY222" s="9">
        <f>1-AW222-AX222</f>
        <v>0.13454605051167762</v>
      </c>
      <c r="AZ222" s="3">
        <f>AL222*AW222</f>
        <v>1155.9437208373186</v>
      </c>
      <c r="BA222" s="3">
        <f>AL222*AX222</f>
        <v>1465.3286578849541</v>
      </c>
      <c r="BB222" s="3">
        <f>AZ222+BA222</f>
        <v>2621.2723787222726</v>
      </c>
      <c r="BC222" s="3">
        <f>AR222*AW222</f>
        <v>1086.2776469170465</v>
      </c>
      <c r="BD222" s="3">
        <f>AR222*AX222</f>
        <v>1377.0166641801386</v>
      </c>
      <c r="BE222" s="3">
        <f>BC222+BD222</f>
        <v>2463.2943110971851</v>
      </c>
      <c r="BF222" s="11">
        <f>Z223</f>
        <v>43451</v>
      </c>
      <c r="BG222" s="3">
        <f>AVERAGE(AA222:AA224)</f>
        <v>49.1</v>
      </c>
      <c r="BH222" s="7">
        <f t="shared" ref="BH222" si="332">AVERAGE(AB222:AB224)</f>
        <v>1</v>
      </c>
      <c r="BI222" s="3">
        <f t="shared" ref="BI222" si="333">AVERAGE(AC222:AC224)</f>
        <v>77</v>
      </c>
      <c r="BJ222" s="3">
        <f t="shared" ref="BJ222" si="334">AVERAGE(AD222:AD224)</f>
        <v>25.2</v>
      </c>
      <c r="BK222" s="3">
        <f t="shared" ref="BK222" si="335">AVERAGE(AE222:AE224)</f>
        <v>6.4</v>
      </c>
      <c r="BL222" s="3">
        <f t="shared" ref="BL222" si="336">AVERAGE(AF222:AF224)</f>
        <v>14.3</v>
      </c>
    </row>
    <row r="223" spans="1:64" x14ac:dyDescent="0.3">
      <c r="A223">
        <v>176</v>
      </c>
      <c r="B223" s="1" t="s">
        <v>227</v>
      </c>
      <c r="C223" s="1" t="s">
        <v>32</v>
      </c>
      <c r="D223" s="2">
        <v>43403</v>
      </c>
      <c r="E223" s="3">
        <v>14.6</v>
      </c>
      <c r="F223" s="4">
        <f t="shared" si="242"/>
        <v>3155.2770275590547</v>
      </c>
      <c r="G223" s="7">
        <v>9.73</v>
      </c>
      <c r="H223" s="7">
        <v>157.94</v>
      </c>
      <c r="I223" s="7">
        <f t="shared" si="243"/>
        <v>148.21</v>
      </c>
      <c r="J223" s="7">
        <v>140.19999999999999</v>
      </c>
      <c r="K223" s="5">
        <f t="shared" si="244"/>
        <v>5.4044936239120291</v>
      </c>
      <c r="L223" s="4">
        <f t="shared" si="245"/>
        <v>2984.7502817878644</v>
      </c>
      <c r="M223" s="2">
        <v>43440</v>
      </c>
      <c r="N223" s="7">
        <v>6.38</v>
      </c>
      <c r="O223" s="7">
        <v>2.6</v>
      </c>
      <c r="P223" s="7">
        <v>4.6399999999999997</v>
      </c>
      <c r="Q223" s="6">
        <f t="shared" si="246"/>
        <v>0.3793110327969631</v>
      </c>
      <c r="R223" s="6">
        <f t="shared" si="247"/>
        <v>0.47981224661496186</v>
      </c>
      <c r="S223" s="6">
        <f t="shared" si="248"/>
        <v>0.14087672058807504</v>
      </c>
      <c r="T223" s="4">
        <f t="shared" si="249"/>
        <v>1196.8313880839569</v>
      </c>
      <c r="U223" s="4">
        <f t="shared" si="250"/>
        <v>1513.940559285689</v>
      </c>
      <c r="V223" s="4">
        <f t="shared" si="251"/>
        <v>2710.7719473696461</v>
      </c>
      <c r="W223" s="4">
        <f t="shared" si="252"/>
        <v>1132.1487120259815</v>
      </c>
      <c r="X223" s="4">
        <f t="shared" si="253"/>
        <v>1432.1197382892758</v>
      </c>
      <c r="Y223" s="4">
        <f t="shared" si="254"/>
        <v>2564.2684503152573</v>
      </c>
      <c r="Z223" s="10">
        <v>43451</v>
      </c>
      <c r="AA223" s="4">
        <v>49.1</v>
      </c>
      <c r="AB223" s="5">
        <v>1</v>
      </c>
      <c r="AC223" s="4">
        <v>77</v>
      </c>
      <c r="AD223" s="4">
        <v>25.2</v>
      </c>
      <c r="AE223" s="4">
        <v>6.4</v>
      </c>
      <c r="AF223" s="4">
        <v>14.3</v>
      </c>
      <c r="AK223" s="3"/>
      <c r="AL223" s="3"/>
      <c r="AM223" s="7"/>
      <c r="AN223" s="7"/>
      <c r="AO223" s="7"/>
      <c r="AP223" s="7"/>
      <c r="AQ223" s="7"/>
      <c r="AR223" s="3"/>
      <c r="AS223" s="3"/>
      <c r="AT223" s="7"/>
      <c r="AU223" s="7"/>
      <c r="AV223" s="7"/>
      <c r="AW223" s="9"/>
      <c r="AX223" s="9"/>
      <c r="AY223" s="9"/>
      <c r="AZ223" s="3"/>
      <c r="BA223" s="3"/>
      <c r="BB223" s="3"/>
      <c r="BC223" s="3"/>
      <c r="BD223" s="3"/>
      <c r="BE223" s="3"/>
      <c r="BG223" s="3"/>
      <c r="BH223" s="7"/>
      <c r="BI223" s="3"/>
      <c r="BJ223" s="3"/>
      <c r="BK223" s="3"/>
      <c r="BL223" s="3"/>
    </row>
    <row r="224" spans="1:64" x14ac:dyDescent="0.3">
      <c r="A224">
        <v>177</v>
      </c>
      <c r="B224" s="1" t="s">
        <v>228</v>
      </c>
      <c r="C224" s="1" t="s">
        <v>32</v>
      </c>
      <c r="D224" s="2">
        <v>43403</v>
      </c>
      <c r="E224" s="3">
        <v>14.3</v>
      </c>
      <c r="F224" s="4">
        <f t="shared" si="242"/>
        <v>3088.3097047244096</v>
      </c>
      <c r="G224" s="7">
        <v>9.7200000000000006</v>
      </c>
      <c r="H224" s="7">
        <v>132.05000000000001</v>
      </c>
      <c r="I224" s="7">
        <f t="shared" si="243"/>
        <v>122.33000000000001</v>
      </c>
      <c r="J224" s="7">
        <v>115.24</v>
      </c>
      <c r="K224" s="5">
        <f t="shared" si="244"/>
        <v>5.7957982506335455</v>
      </c>
      <c r="L224" s="4">
        <f t="shared" si="245"/>
        <v>2909.3175048838461</v>
      </c>
      <c r="M224" s="2">
        <v>43440</v>
      </c>
      <c r="N224" s="7">
        <v>6.33</v>
      </c>
      <c r="O224" s="7">
        <v>2.62</v>
      </c>
      <c r="P224" s="7">
        <v>4.66</v>
      </c>
      <c r="Q224" s="6">
        <f t="shared" si="246"/>
        <v>0.38567891055356285</v>
      </c>
      <c r="R224" s="6">
        <f t="shared" si="247"/>
        <v>0.48700133620746494</v>
      </c>
      <c r="S224" s="6">
        <f t="shared" si="248"/>
        <v>0.12731975323897221</v>
      </c>
      <c r="T224" s="4">
        <f t="shared" si="249"/>
        <v>1191.0959223701057</v>
      </c>
      <c r="U224" s="4">
        <f t="shared" si="250"/>
        <v>1504.010952823269</v>
      </c>
      <c r="V224" s="4">
        <f t="shared" si="251"/>
        <v>2695.1068751933744</v>
      </c>
      <c r="W224" s="4">
        <f t="shared" si="252"/>
        <v>1122.0624057380116</v>
      </c>
      <c r="X224" s="4">
        <f t="shared" si="253"/>
        <v>1416.8415123302009</v>
      </c>
      <c r="Y224" s="4">
        <f t="shared" si="254"/>
        <v>2538.9039180682125</v>
      </c>
      <c r="Z224" s="10"/>
      <c r="AA224" s="4"/>
      <c r="AB224" s="5"/>
      <c r="AC224" s="4"/>
      <c r="AD224" s="4"/>
      <c r="AE224" s="4"/>
      <c r="AF224" s="4"/>
      <c r="AK224" s="3"/>
      <c r="AL224" s="3"/>
      <c r="AM224" s="7"/>
      <c r="AN224" s="7"/>
      <c r="AO224" s="7"/>
      <c r="AP224" s="7"/>
      <c r="AQ224" s="7"/>
      <c r="AR224" s="3"/>
      <c r="AS224" s="3"/>
      <c r="AT224" s="7"/>
      <c r="AU224" s="7"/>
      <c r="AV224" s="7"/>
      <c r="AW224" s="9"/>
      <c r="AX224" s="9"/>
      <c r="AY224" s="9"/>
      <c r="AZ224" s="3"/>
      <c r="BA224" s="3"/>
      <c r="BB224" s="3"/>
      <c r="BC224" s="3"/>
      <c r="BD224" s="3"/>
      <c r="BE224" s="3"/>
      <c r="BG224" s="3"/>
      <c r="BH224" s="7"/>
      <c r="BI224" s="3"/>
      <c r="BJ224" s="3"/>
      <c r="BK224" s="3"/>
      <c r="BL224" s="3"/>
    </row>
    <row r="225" spans="1:64" x14ac:dyDescent="0.3">
      <c r="A225">
        <v>178</v>
      </c>
      <c r="B225" s="1" t="s">
        <v>229</v>
      </c>
      <c r="C225" s="1" t="s">
        <v>32</v>
      </c>
      <c r="D225" s="2">
        <v>43403</v>
      </c>
      <c r="E225" s="3">
        <v>19.399999999999999</v>
      </c>
      <c r="F225" s="4">
        <f t="shared" si="242"/>
        <v>4226.7541929133859</v>
      </c>
      <c r="G225" s="7">
        <v>9.7200000000000006</v>
      </c>
      <c r="H225" s="7">
        <v>172.8</v>
      </c>
      <c r="I225" s="7">
        <f t="shared" si="243"/>
        <v>163.08000000000001</v>
      </c>
      <c r="J225" s="7">
        <v>153.58000000000001</v>
      </c>
      <c r="K225" s="5">
        <f t="shared" si="244"/>
        <v>5.8253617856266855</v>
      </c>
      <c r="L225" s="4">
        <f t="shared" si="245"/>
        <v>3980.5304693870362</v>
      </c>
      <c r="M225" s="2">
        <v>43440</v>
      </c>
      <c r="N225" s="7">
        <v>8.6</v>
      </c>
      <c r="O225" s="7">
        <v>3.42</v>
      </c>
      <c r="P225" s="7">
        <v>5.88</v>
      </c>
      <c r="Q225" s="6">
        <f t="shared" si="246"/>
        <v>0.37668017297134471</v>
      </c>
      <c r="R225" s="6">
        <f t="shared" si="247"/>
        <v>0.50065086281001514</v>
      </c>
      <c r="S225" s="6">
        <f t="shared" si="248"/>
        <v>0.12266896421864015</v>
      </c>
      <c r="T225" s="4">
        <f t="shared" si="249"/>
        <v>1592.1345004939706</v>
      </c>
      <c r="U225" s="4">
        <f t="shared" si="250"/>
        <v>2116.1281335679359</v>
      </c>
      <c r="V225" s="4">
        <f t="shared" si="251"/>
        <v>3708.2626340619063</v>
      </c>
      <c r="W225" s="4">
        <f t="shared" si="252"/>
        <v>1499.3869057264167</v>
      </c>
      <c r="X225" s="4">
        <f t="shared" si="253"/>
        <v>1992.8560139401743</v>
      </c>
      <c r="Y225" s="4">
        <f t="shared" si="254"/>
        <v>3492.2429196665908</v>
      </c>
      <c r="Z225" s="10"/>
      <c r="AA225" s="4"/>
      <c r="AB225" s="5"/>
      <c r="AC225" s="4"/>
      <c r="AD225" s="4"/>
      <c r="AE225" s="4"/>
      <c r="AF225" s="4"/>
      <c r="AH225" t="s">
        <v>305</v>
      </c>
      <c r="AI225" t="str">
        <f>C225</f>
        <v>Machine</v>
      </c>
      <c r="AJ225" s="8">
        <f>D225</f>
        <v>43403</v>
      </c>
      <c r="AK225" s="3">
        <f>SUM(E225:E227)</f>
        <v>56.499999999999993</v>
      </c>
      <c r="AL225" s="3">
        <f>(AK225-3*$A$35)*$A$36/(3*$A$37)*$A$38</f>
        <v>4100.2603608923873</v>
      </c>
      <c r="AM225" s="7">
        <f>SUM(G225:G227)</f>
        <v>29.099999999999998</v>
      </c>
      <c r="AN225" s="7">
        <f>SUM(H225:H227)</f>
        <v>487.96</v>
      </c>
      <c r="AO225" s="7">
        <f>AN225-AM225</f>
        <v>458.85999999999996</v>
      </c>
      <c r="AP225" s="7">
        <f>SUM(J225:J227)</f>
        <v>433.53</v>
      </c>
      <c r="AQ225" s="7">
        <f>(AO225-AP225)/AO225*100</f>
        <v>5.5202022403347391</v>
      </c>
      <c r="AR225" s="3">
        <f>AL225*(1-AQ225/100)</f>
        <v>3873.9176965908487</v>
      </c>
      <c r="AS225" s="11">
        <f>M225</f>
        <v>43440</v>
      </c>
      <c r="AT225" s="7">
        <f>SUM(N225:N227)</f>
        <v>25.2</v>
      </c>
      <c r="AU225" s="7">
        <f>SUM(O225:O227)</f>
        <v>10.120000000000001</v>
      </c>
      <c r="AV225" s="7">
        <f>SUM(P225:P227)</f>
        <v>17.18</v>
      </c>
      <c r="AW225" s="9">
        <f>(AU225-3*$A$39)/(AT225-3*$A$35*$A$36)</f>
        <v>0.38018109968202068</v>
      </c>
      <c r="AX225" s="9">
        <f>(AV225-3*$A$40)/(AT225-3*$A$35*$A$36)</f>
        <v>0.49415402035757283</v>
      </c>
      <c r="AY225" s="9">
        <f>1-AW225-AX225</f>
        <v>0.12566487996040643</v>
      </c>
      <c r="AZ225" s="3">
        <f>AL225*AW225</f>
        <v>1558.8414929866667</v>
      </c>
      <c r="BA225" s="3">
        <f>AL225*AX225</f>
        <v>2026.1601418477658</v>
      </c>
      <c r="BB225" s="3">
        <f>AZ225+BA225</f>
        <v>3585.0016348344325</v>
      </c>
      <c r="BC225" s="3">
        <f>AR225*AW225</f>
        <v>1472.7902899675494</v>
      </c>
      <c r="BD225" s="3">
        <f>AR225*AX225</f>
        <v>1914.3120043047159</v>
      </c>
      <c r="BE225" s="3">
        <f>BC225+BD225</f>
        <v>3387.1022942722652</v>
      </c>
      <c r="BF225" s="11">
        <f>Z226</f>
        <v>43451</v>
      </c>
      <c r="BG225" s="3">
        <f>AVERAGE(AA225:AA227)</f>
        <v>51.8</v>
      </c>
      <c r="BH225" s="7">
        <f t="shared" ref="BH225" si="337">AVERAGE(AB225:AB227)</f>
        <v>1.03</v>
      </c>
      <c r="BI225" s="3">
        <f t="shared" ref="BI225" si="338">AVERAGE(AC225:AC227)</f>
        <v>77.400000000000006</v>
      </c>
      <c r="BJ225" s="3">
        <f t="shared" ref="BJ225" si="339">AVERAGE(AD225:AD227)</f>
        <v>27.2</v>
      </c>
      <c r="BK225" s="3">
        <f t="shared" ref="BK225" si="340">AVERAGE(AE225:AE227)</f>
        <v>6.3</v>
      </c>
      <c r="BL225" s="3">
        <f t="shared" ref="BL225" si="341">AVERAGE(AF225:AF227)</f>
        <v>13.8</v>
      </c>
    </row>
    <row r="226" spans="1:64" x14ac:dyDescent="0.3">
      <c r="A226">
        <v>179</v>
      </c>
      <c r="B226" s="1" t="s">
        <v>230</v>
      </c>
      <c r="C226" s="1" t="s">
        <v>32</v>
      </c>
      <c r="D226" s="2">
        <v>43403</v>
      </c>
      <c r="E226" s="3">
        <v>20.2</v>
      </c>
      <c r="F226" s="4">
        <f t="shared" si="242"/>
        <v>4405.3337204724412</v>
      </c>
      <c r="G226" s="7">
        <v>9.68</v>
      </c>
      <c r="H226" s="7">
        <v>154.72999999999999</v>
      </c>
      <c r="I226" s="7">
        <f t="shared" si="243"/>
        <v>145.04999999999998</v>
      </c>
      <c r="J226" s="7">
        <v>137.72</v>
      </c>
      <c r="K226" s="5">
        <f t="shared" si="244"/>
        <v>5.0534298517752392</v>
      </c>
      <c r="L226" s="4">
        <f t="shared" si="245"/>
        <v>4182.7132711717659</v>
      </c>
      <c r="M226" s="2">
        <v>43440</v>
      </c>
      <c r="N226" s="7">
        <v>9.01</v>
      </c>
      <c r="O226" s="7">
        <v>3.64</v>
      </c>
      <c r="P226" s="7">
        <v>5.98</v>
      </c>
      <c r="Q226" s="6">
        <f t="shared" si="246"/>
        <v>0.3841310804716746</v>
      </c>
      <c r="R226" s="6">
        <f t="shared" si="247"/>
        <v>0.48868746923911272</v>
      </c>
      <c r="S226" s="6">
        <f t="shared" si="248"/>
        <v>0.12718145028921263</v>
      </c>
      <c r="T226" s="4">
        <f t="shared" si="249"/>
        <v>1692.2256018833809</v>
      </c>
      <c r="U226" s="4">
        <f t="shared" si="250"/>
        <v>2152.8313870114021</v>
      </c>
      <c r="V226" s="4">
        <f t="shared" si="251"/>
        <v>3845.056988894783</v>
      </c>
      <c r="W226" s="4">
        <f t="shared" si="252"/>
        <v>1606.7101681584229</v>
      </c>
      <c r="X226" s="4">
        <f t="shared" si="253"/>
        <v>2044.0395630417809</v>
      </c>
      <c r="Y226" s="4">
        <f t="shared" si="254"/>
        <v>3650.7497312002038</v>
      </c>
      <c r="Z226" s="10">
        <v>43451</v>
      </c>
      <c r="AA226" s="4">
        <v>51.8</v>
      </c>
      <c r="AB226" s="5">
        <v>1.03</v>
      </c>
      <c r="AC226" s="4">
        <v>77.400000000000006</v>
      </c>
      <c r="AD226" s="4">
        <v>27.2</v>
      </c>
      <c r="AE226" s="4">
        <v>6.3</v>
      </c>
      <c r="AF226" s="4">
        <v>13.8</v>
      </c>
      <c r="AK226" s="3"/>
      <c r="AL226" s="3"/>
      <c r="AM226" s="7"/>
      <c r="AN226" s="7"/>
      <c r="AO226" s="7"/>
      <c r="AP226" s="7"/>
      <c r="AQ226" s="7"/>
      <c r="AR226" s="3"/>
      <c r="AS226" s="3"/>
      <c r="AT226" s="7"/>
      <c r="AU226" s="7"/>
      <c r="AV226" s="7"/>
      <c r="AW226" s="9"/>
      <c r="AX226" s="9"/>
      <c r="AY226" s="9"/>
      <c r="AZ226" s="3"/>
      <c r="BA226" s="3"/>
      <c r="BB226" s="3"/>
      <c r="BC226" s="3"/>
      <c r="BD226" s="3"/>
      <c r="BE226" s="3"/>
      <c r="BG226" s="3"/>
      <c r="BH226" s="7"/>
      <c r="BI226" s="3"/>
      <c r="BJ226" s="3"/>
      <c r="BK226" s="3"/>
      <c r="BL226" s="3"/>
    </row>
    <row r="227" spans="1:64" x14ac:dyDescent="0.3">
      <c r="A227">
        <v>180</v>
      </c>
      <c r="B227" s="1" t="s">
        <v>231</v>
      </c>
      <c r="C227" s="1" t="s">
        <v>32</v>
      </c>
      <c r="D227" s="2">
        <v>43403</v>
      </c>
      <c r="E227" s="3">
        <v>16.899999999999999</v>
      </c>
      <c r="F227" s="4">
        <f t="shared" si="242"/>
        <v>3668.6931692913381</v>
      </c>
      <c r="G227" s="7">
        <v>9.6999999999999993</v>
      </c>
      <c r="H227" s="7">
        <v>160.43</v>
      </c>
      <c r="I227" s="7">
        <f t="shared" si="243"/>
        <v>150.73000000000002</v>
      </c>
      <c r="J227" s="7">
        <v>142.22999999999999</v>
      </c>
      <c r="K227" s="5">
        <f t="shared" si="244"/>
        <v>5.6392224507397515</v>
      </c>
      <c r="L227" s="4">
        <f t="shared" si="245"/>
        <v>3461.807400439905</v>
      </c>
      <c r="M227" s="2">
        <v>43440</v>
      </c>
      <c r="N227" s="7">
        <v>7.59</v>
      </c>
      <c r="O227" s="7">
        <v>3.06</v>
      </c>
      <c r="P227" s="7">
        <v>5.32</v>
      </c>
      <c r="Q227" s="6">
        <f t="shared" si="246"/>
        <v>0.3794511112830205</v>
      </c>
      <c r="R227" s="6">
        <f t="shared" si="247"/>
        <v>0.49328644466792676</v>
      </c>
      <c r="S227" s="6">
        <f t="shared" si="248"/>
        <v>0.12726244404905268</v>
      </c>
      <c r="T227" s="4">
        <f t="shared" si="249"/>
        <v>1392.0897000440248</v>
      </c>
      <c r="U227" s="4">
        <f t="shared" si="250"/>
        <v>1809.7166100572326</v>
      </c>
      <c r="V227" s="4">
        <f t="shared" si="251"/>
        <v>3201.8063101012576</v>
      </c>
      <c r="W227" s="4">
        <f t="shared" si="252"/>
        <v>1313.5866651447063</v>
      </c>
      <c r="X227" s="4">
        <f t="shared" si="253"/>
        <v>1707.6626646881186</v>
      </c>
      <c r="Y227" s="4">
        <f t="shared" si="254"/>
        <v>3021.249329832825</v>
      </c>
      <c r="Z227" s="10"/>
      <c r="AA227" s="4"/>
      <c r="AB227" s="5"/>
      <c r="AC227" s="4"/>
      <c r="AD227" s="4"/>
      <c r="AE227" s="4"/>
      <c r="AF227" s="4"/>
      <c r="AK227" s="3"/>
      <c r="AL227" s="3"/>
      <c r="AM227" s="7"/>
      <c r="AN227" s="7"/>
      <c r="AO227" s="7"/>
      <c r="AP227" s="7"/>
      <c r="AQ227" s="7"/>
      <c r="AR227" s="3"/>
      <c r="AS227" s="3"/>
      <c r="AT227" s="7"/>
      <c r="AU227" s="7"/>
      <c r="AV227" s="7"/>
      <c r="AW227" s="9"/>
      <c r="AX227" s="9"/>
      <c r="AY227" s="9"/>
      <c r="AZ227" s="3"/>
      <c r="BA227" s="3"/>
      <c r="BB227" s="3"/>
      <c r="BC227" s="3"/>
      <c r="BD227" s="3"/>
      <c r="BE227" s="3"/>
      <c r="BG227" s="3"/>
      <c r="BH227" s="7"/>
      <c r="BI227" s="3"/>
      <c r="BJ227" s="3"/>
      <c r="BK227" s="3"/>
      <c r="BL227" s="3"/>
    </row>
    <row r="228" spans="1:64" x14ac:dyDescent="0.3">
      <c r="A228">
        <v>181</v>
      </c>
      <c r="B228" s="1" t="s">
        <v>232</v>
      </c>
      <c r="C228" s="1" t="s">
        <v>32</v>
      </c>
      <c r="D228" s="2">
        <v>43403</v>
      </c>
      <c r="E228" s="3">
        <v>22</v>
      </c>
      <c r="F228" s="4">
        <f t="shared" si="242"/>
        <v>4807.1376574803144</v>
      </c>
      <c r="G228" s="7">
        <v>9.73</v>
      </c>
      <c r="H228" s="7">
        <v>152</v>
      </c>
      <c r="I228" s="7">
        <f t="shared" ref="I228:I239" si="342">H228-G228</f>
        <v>142.27000000000001</v>
      </c>
      <c r="J228" s="7">
        <v>133.11000000000001</v>
      </c>
      <c r="K228" s="5">
        <f t="shared" si="244"/>
        <v>6.4384620791452836</v>
      </c>
      <c r="L228" s="4">
        <f t="shared" si="245"/>
        <v>4497.6319223111313</v>
      </c>
      <c r="M228" s="2">
        <v>43440</v>
      </c>
      <c r="N228" s="7">
        <v>9.81</v>
      </c>
      <c r="O228" s="7">
        <v>3.86</v>
      </c>
      <c r="P228" s="7">
        <v>6.5</v>
      </c>
      <c r="Q228" s="6">
        <f t="shared" si="246"/>
        <v>0.3750359518839374</v>
      </c>
      <c r="R228" s="6">
        <f t="shared" si="247"/>
        <v>0.50213146891127181</v>
      </c>
      <c r="S228" s="6">
        <f t="shared" si="248"/>
        <v>0.12283257920479074</v>
      </c>
      <c r="T228" s="4">
        <f t="shared" si="249"/>
        <v>1802.8494472102507</v>
      </c>
      <c r="U228" s="4">
        <f t="shared" si="250"/>
        <v>2413.8150932092803</v>
      </c>
      <c r="V228" s="4">
        <f t="shared" si="251"/>
        <v>4216.6645404195315</v>
      </c>
      <c r="W228" s="4">
        <f t="shared" si="252"/>
        <v>1686.7736692075384</v>
      </c>
      <c r="X228" s="4">
        <f t="shared" si="253"/>
        <v>2258.4025237723154</v>
      </c>
      <c r="Y228" s="4">
        <f t="shared" si="254"/>
        <v>3945.176192979854</v>
      </c>
      <c r="Z228" s="10"/>
      <c r="AA228" s="4"/>
      <c r="AB228" s="5"/>
      <c r="AC228" s="4"/>
      <c r="AD228" s="4"/>
      <c r="AE228" s="4"/>
      <c r="AF228" s="4"/>
      <c r="AH228" t="s">
        <v>306</v>
      </c>
      <c r="AI228" t="str">
        <f>C228</f>
        <v>Machine</v>
      </c>
      <c r="AJ228" s="8">
        <f>D228</f>
        <v>43403</v>
      </c>
      <c r="AK228" s="3">
        <f>SUM(E228:E230)</f>
        <v>58</v>
      </c>
      <c r="AL228" s="3">
        <f>(AK228-3*$A$35)*$A$36/(3*$A$37)*$A$38</f>
        <v>4211.8725656167981</v>
      </c>
      <c r="AM228" s="7">
        <f>SUM(G228:G230)</f>
        <v>29.15</v>
      </c>
      <c r="AN228" s="7">
        <f>SUM(H228:H230)</f>
        <v>544.43000000000006</v>
      </c>
      <c r="AO228" s="7">
        <f>AN228-AM228</f>
        <v>515.28000000000009</v>
      </c>
      <c r="AP228" s="7">
        <f>SUM(J228:J230)</f>
        <v>483.70000000000005</v>
      </c>
      <c r="AQ228" s="7">
        <f>(AO228-AP228)/AO228*100</f>
        <v>6.1287067225586158</v>
      </c>
      <c r="AR228" s="3">
        <f>AL228*(1-AQ228/100)</f>
        <v>3953.7392485422392</v>
      </c>
      <c r="AS228" s="11">
        <f>M228</f>
        <v>43440</v>
      </c>
      <c r="AT228" s="7">
        <f>SUM(N228:N230)</f>
        <v>25.62</v>
      </c>
      <c r="AU228" s="7">
        <f>SUM(O228:O230)</f>
        <v>10.039999999999999</v>
      </c>
      <c r="AV228" s="7">
        <f>SUM(P228:P230)</f>
        <v>17.46</v>
      </c>
      <c r="AW228" s="9">
        <f>(AU228-3*$A$39)/(AT228-3*$A$35*$A$36)</f>
        <v>0.37058916115965168</v>
      </c>
      <c r="AX228" s="9">
        <f>(AV228-3*$A$40)/(AT228-3*$A$35*$A$36)</f>
        <v>0.49705371291607714</v>
      </c>
      <c r="AY228" s="9">
        <f>1-AW228-AX228</f>
        <v>0.13235712592427118</v>
      </c>
      <c r="AZ228" s="3">
        <f>AL228*AW228</f>
        <v>1560.8743210032792</v>
      </c>
      <c r="BA228" s="3">
        <f>AL228*AX228</f>
        <v>2093.5268970691932</v>
      </c>
      <c r="BB228" s="3">
        <f>AZ228+BA228</f>
        <v>3654.4012180724721</v>
      </c>
      <c r="BC228" s="3">
        <f>AR228*AW228</f>
        <v>1465.2129115612599</v>
      </c>
      <c r="BD228" s="3">
        <f>AR228*AX228</f>
        <v>1965.2207733899406</v>
      </c>
      <c r="BE228" s="3">
        <f>BC228+BD228</f>
        <v>3430.4336849512006</v>
      </c>
      <c r="BF228" s="11">
        <f>Z229</f>
        <v>43451</v>
      </c>
      <c r="BG228" s="3">
        <f>AVERAGE(AA228:AA230)</f>
        <v>44.307064983943221</v>
      </c>
      <c r="BH228" s="7">
        <f t="shared" ref="BH228" si="343">AVERAGE(AB228:AB230)</f>
        <v>1</v>
      </c>
      <c r="BI228" s="3">
        <f t="shared" ref="BI228" si="344">AVERAGE(AC228:AC230)</f>
        <v>79</v>
      </c>
      <c r="BJ228" s="3">
        <f t="shared" ref="BJ228" si="345">AVERAGE(AD228:AD230)</f>
        <v>25.731481481481477</v>
      </c>
      <c r="BK228" s="3">
        <f t="shared" ref="BK228" si="346">AVERAGE(AE228:AE230)</f>
        <v>6.3648148148148156</v>
      </c>
      <c r="BL228" s="3">
        <f t="shared" ref="BL228" si="347">AVERAGE(AF228:AF230)</f>
        <v>14.368884892086328</v>
      </c>
    </row>
    <row r="229" spans="1:64" x14ac:dyDescent="0.3">
      <c r="A229">
        <v>182</v>
      </c>
      <c r="B229" s="1" t="s">
        <v>233</v>
      </c>
      <c r="C229" s="1" t="s">
        <v>32</v>
      </c>
      <c r="D229" s="2">
        <v>43403</v>
      </c>
      <c r="E229" s="3">
        <v>15.8</v>
      </c>
      <c r="F229" s="4">
        <f t="shared" si="242"/>
        <v>3423.1463188976381</v>
      </c>
      <c r="G229" s="7">
        <v>9.6999999999999993</v>
      </c>
      <c r="H229" s="7">
        <v>197.75</v>
      </c>
      <c r="I229" s="7">
        <f t="shared" si="342"/>
        <v>188.05</v>
      </c>
      <c r="J229" s="7">
        <v>176.35</v>
      </c>
      <c r="K229" s="5">
        <f t="shared" si="244"/>
        <v>6.221749534698227</v>
      </c>
      <c r="L229" s="4">
        <f t="shared" si="245"/>
        <v>3210.166728729585</v>
      </c>
      <c r="M229" s="2">
        <v>43440</v>
      </c>
      <c r="N229" s="7">
        <v>6.88</v>
      </c>
      <c r="O229" s="7">
        <v>2.72</v>
      </c>
      <c r="P229" s="7">
        <v>4.96</v>
      </c>
      <c r="Q229" s="6">
        <f t="shared" si="246"/>
        <v>0.36886648582452392</v>
      </c>
      <c r="R229" s="6">
        <f t="shared" si="247"/>
        <v>0.49182198109936526</v>
      </c>
      <c r="S229" s="6">
        <f t="shared" si="248"/>
        <v>0.13931153307611088</v>
      </c>
      <c r="T229" s="4">
        <f t="shared" si="249"/>
        <v>1262.6839531149269</v>
      </c>
      <c r="U229" s="4">
        <f t="shared" si="250"/>
        <v>1683.578604153236</v>
      </c>
      <c r="V229" s="4">
        <f t="shared" si="251"/>
        <v>2946.2625572681627</v>
      </c>
      <c r="W229" s="4">
        <f t="shared" si="252"/>
        <v>1184.1229201372898</v>
      </c>
      <c r="X229" s="4">
        <f t="shared" si="253"/>
        <v>1578.8305601830532</v>
      </c>
      <c r="Y229" s="4">
        <f t="shared" si="254"/>
        <v>2762.9534803203433</v>
      </c>
      <c r="Z229" s="10">
        <v>43451</v>
      </c>
      <c r="AA229" s="4">
        <v>44.307064983943221</v>
      </c>
      <c r="AB229" s="5">
        <v>1</v>
      </c>
      <c r="AC229" s="4">
        <v>79</v>
      </c>
      <c r="AD229" s="4">
        <v>25.731481481481477</v>
      </c>
      <c r="AE229" s="4">
        <v>6.3648148148148156</v>
      </c>
      <c r="AF229" s="4">
        <v>14.368884892086328</v>
      </c>
      <c r="AK229" s="3"/>
      <c r="AL229" s="3"/>
      <c r="AM229" s="7"/>
      <c r="AN229" s="7"/>
      <c r="AO229" s="7"/>
      <c r="AP229" s="7"/>
      <c r="AQ229" s="7"/>
      <c r="AR229" s="3"/>
      <c r="AS229" s="3"/>
      <c r="AT229" s="7"/>
      <c r="AU229" s="7"/>
      <c r="AV229" s="7"/>
      <c r="AW229" s="9"/>
      <c r="AX229" s="9"/>
      <c r="AY229" s="9"/>
      <c r="AZ229" s="3"/>
      <c r="BA229" s="3"/>
      <c r="BB229" s="3"/>
      <c r="BC229" s="3"/>
      <c r="BD229" s="3"/>
      <c r="BE229" s="3"/>
      <c r="BG229" s="3"/>
      <c r="BH229" s="7"/>
      <c r="BI229" s="3"/>
      <c r="BJ229" s="3"/>
      <c r="BK229" s="3"/>
      <c r="BL229" s="3"/>
    </row>
    <row r="230" spans="1:64" x14ac:dyDescent="0.3">
      <c r="A230">
        <v>183</v>
      </c>
      <c r="B230" s="1" t="s">
        <v>234</v>
      </c>
      <c r="C230" s="1" t="s">
        <v>32</v>
      </c>
      <c r="D230" s="2">
        <v>43403</v>
      </c>
      <c r="E230" s="3">
        <v>20.2</v>
      </c>
      <c r="F230" s="4">
        <f t="shared" si="242"/>
        <v>4405.3337204724412</v>
      </c>
      <c r="G230" s="7">
        <v>9.7200000000000006</v>
      </c>
      <c r="H230" s="7">
        <v>194.68</v>
      </c>
      <c r="I230" s="7">
        <f t="shared" si="342"/>
        <v>184.96</v>
      </c>
      <c r="J230" s="7">
        <v>174.24</v>
      </c>
      <c r="K230" s="5">
        <f t="shared" si="244"/>
        <v>5.7958477508650512</v>
      </c>
      <c r="L230" s="4">
        <f t="shared" si="245"/>
        <v>4150.0072851163395</v>
      </c>
      <c r="M230" s="2">
        <v>43440</v>
      </c>
      <c r="N230" s="7">
        <v>8.93</v>
      </c>
      <c r="O230" s="7">
        <v>3.46</v>
      </c>
      <c r="P230" s="7">
        <v>6</v>
      </c>
      <c r="Q230" s="6">
        <f t="shared" si="246"/>
        <v>0.36701121021519922</v>
      </c>
      <c r="R230" s="6">
        <f t="shared" si="247"/>
        <v>0.49546513379051893</v>
      </c>
      <c r="S230" s="6">
        <f t="shared" si="248"/>
        <v>0.13752365599428185</v>
      </c>
      <c r="T230" s="4">
        <f t="shared" si="249"/>
        <v>1616.8068601524169</v>
      </c>
      <c r="U230" s="4">
        <f t="shared" si="250"/>
        <v>2182.6892612057627</v>
      </c>
      <c r="V230" s="4">
        <f t="shared" si="251"/>
        <v>3799.4961213581796</v>
      </c>
      <c r="W230" s="4">
        <f t="shared" si="252"/>
        <v>1523.0991961124412</v>
      </c>
      <c r="X230" s="4">
        <f t="shared" si="253"/>
        <v>2056.1839147517953</v>
      </c>
      <c r="Y230" s="4">
        <f t="shared" si="254"/>
        <v>3579.2831108642367</v>
      </c>
      <c r="Z230" s="10"/>
      <c r="AA230" s="4"/>
      <c r="AB230" s="5"/>
      <c r="AC230" s="4"/>
      <c r="AD230" s="4"/>
      <c r="AE230" s="4"/>
      <c r="AF230" s="4"/>
      <c r="AK230" s="3"/>
      <c r="AL230" s="3"/>
      <c r="AM230" s="7"/>
      <c r="AN230" s="7"/>
      <c r="AO230" s="7"/>
      <c r="AP230" s="7"/>
      <c r="AQ230" s="7"/>
      <c r="AR230" s="3"/>
      <c r="AS230" s="3"/>
      <c r="AT230" s="7"/>
      <c r="AU230" s="7"/>
      <c r="AV230" s="7"/>
      <c r="AW230" s="9"/>
      <c r="AX230" s="9"/>
      <c r="AY230" s="9"/>
      <c r="AZ230" s="3"/>
      <c r="BA230" s="3"/>
      <c r="BB230" s="3"/>
      <c r="BC230" s="3"/>
      <c r="BD230" s="3"/>
      <c r="BE230" s="3"/>
      <c r="BG230" s="3"/>
      <c r="BH230" s="7"/>
      <c r="BI230" s="3"/>
      <c r="BJ230" s="3"/>
      <c r="BK230" s="3"/>
      <c r="BL230" s="3"/>
    </row>
    <row r="231" spans="1:64" x14ac:dyDescent="0.3">
      <c r="A231">
        <v>184</v>
      </c>
      <c r="B231" s="1" t="s">
        <v>235</v>
      </c>
      <c r="C231" s="1" t="s">
        <v>32</v>
      </c>
      <c r="D231" s="2">
        <v>43403</v>
      </c>
      <c r="E231" s="3">
        <v>18.100000000000001</v>
      </c>
      <c r="F231" s="4">
        <f t="shared" si="242"/>
        <v>3936.5624606299216</v>
      </c>
      <c r="G231" s="7">
        <v>9.67</v>
      </c>
      <c r="H231" s="7">
        <v>178.41</v>
      </c>
      <c r="I231" s="7">
        <f t="shared" si="342"/>
        <v>168.74</v>
      </c>
      <c r="J231" s="7">
        <v>159.41999999999999</v>
      </c>
      <c r="K231" s="5">
        <f t="shared" si="244"/>
        <v>5.5232902690529935</v>
      </c>
      <c r="L231" s="4">
        <f t="shared" si="245"/>
        <v>3719.1346893067562</v>
      </c>
      <c r="M231" s="2">
        <v>43440</v>
      </c>
      <c r="N231" s="7">
        <v>8.09</v>
      </c>
      <c r="O231" s="7">
        <v>3.2</v>
      </c>
      <c r="P231" s="7">
        <v>5.6</v>
      </c>
      <c r="Q231" s="6">
        <f t="shared" si="246"/>
        <v>0.37314002453068218</v>
      </c>
      <c r="R231" s="6">
        <f t="shared" si="247"/>
        <v>0.49752003270757617</v>
      </c>
      <c r="S231" s="6">
        <f t="shared" si="248"/>
        <v>0.12933994276174166</v>
      </c>
      <c r="T231" s="4">
        <f t="shared" si="249"/>
        <v>1468.8890131260116</v>
      </c>
      <c r="U231" s="4">
        <f t="shared" si="250"/>
        <v>1958.5186841680152</v>
      </c>
      <c r="V231" s="4">
        <f t="shared" si="251"/>
        <v>3427.4076972940265</v>
      </c>
      <c r="W231" s="4">
        <f t="shared" si="252"/>
        <v>1387.7580092008341</v>
      </c>
      <c r="X231" s="4">
        <f t="shared" si="253"/>
        <v>1850.3440122677785</v>
      </c>
      <c r="Y231" s="4">
        <f t="shared" si="254"/>
        <v>3238.1020214686123</v>
      </c>
      <c r="Z231" s="10"/>
      <c r="AA231" s="4"/>
      <c r="AB231" s="5"/>
      <c r="AC231" s="4"/>
      <c r="AD231" s="4"/>
      <c r="AE231" s="4"/>
      <c r="AF231" s="4"/>
      <c r="AH231" t="s">
        <v>307</v>
      </c>
      <c r="AI231" t="str">
        <f>C231</f>
        <v>Machine</v>
      </c>
      <c r="AJ231" s="8">
        <f>D231</f>
        <v>43403</v>
      </c>
      <c r="AK231" s="3">
        <f>SUM(E231:E233)</f>
        <v>57.000000000000007</v>
      </c>
      <c r="AL231" s="3">
        <f>(AK231-3*$A$35)*$A$36/(3*$A$37)*$A$38</f>
        <v>4137.4644291338582</v>
      </c>
      <c r="AM231" s="7">
        <f>SUM(G231:G233)</f>
        <v>29.08</v>
      </c>
      <c r="AN231" s="7">
        <f>SUM(H231:H233)</f>
        <v>525.45000000000005</v>
      </c>
      <c r="AO231" s="7">
        <f>AN231-AM231</f>
        <v>496.37000000000006</v>
      </c>
      <c r="AP231" s="7">
        <f>SUM(J231:J233)</f>
        <v>465.15</v>
      </c>
      <c r="AQ231" s="7">
        <f>(AO231-AP231)/AO231*100</f>
        <v>6.2896629530390795</v>
      </c>
      <c r="AR231" s="3">
        <f>AL231*(1-AQ231/100)</f>
        <v>3877.2318617394562</v>
      </c>
      <c r="AS231" s="11">
        <f>M231</f>
        <v>43440</v>
      </c>
      <c r="AT231" s="7">
        <f>SUM(N231:N233)</f>
        <v>25.239999999999995</v>
      </c>
      <c r="AU231" s="7">
        <f>SUM(O231:O233)</f>
        <v>9.84</v>
      </c>
      <c r="AV231" s="7">
        <f>SUM(P231:P233)</f>
        <v>17.32</v>
      </c>
      <c r="AW231" s="9">
        <f>(AU231-3*$A$39)/(AT231-3*$A$35*$A$36)</f>
        <v>0.36818433555631774</v>
      </c>
      <c r="AX231" s="9">
        <f>(AV231-3*$A$40)/(AT231-3*$A$35*$A$36)</f>
        <v>0.49904013693505322</v>
      </c>
      <c r="AY231" s="9">
        <f>1-AW231-AX231</f>
        <v>0.13277552750862909</v>
      </c>
      <c r="AZ231" s="3">
        <f>AL231*AW231</f>
        <v>1523.3495917285491</v>
      </c>
      <c r="BA231" s="3">
        <f>AL231*AX231</f>
        <v>2064.7608152788725</v>
      </c>
      <c r="BB231" s="3">
        <f>AZ231+BA231</f>
        <v>3588.1104070074216</v>
      </c>
      <c r="BC231" s="3">
        <f>AR231*AW231</f>
        <v>1427.5360368123265</v>
      </c>
      <c r="BD231" s="3">
        <f>AR231*AX231</f>
        <v>1934.8943192114095</v>
      </c>
      <c r="BE231" s="3">
        <f>BC231+BD231</f>
        <v>3362.4303560237358</v>
      </c>
      <c r="BF231" s="11">
        <f>Z232</f>
        <v>43451</v>
      </c>
      <c r="BG231" s="3">
        <f>AVERAGE(AA231:AA233)</f>
        <v>45</v>
      </c>
      <c r="BH231" s="7">
        <f t="shared" ref="BH231" si="348">AVERAGE(AB231:AB233)</f>
        <v>1.05</v>
      </c>
      <c r="BI231" s="3">
        <f t="shared" ref="BI231" si="349">AVERAGE(AC231:AC233)</f>
        <v>77.5</v>
      </c>
      <c r="BJ231" s="3">
        <f t="shared" ref="BJ231" si="350">AVERAGE(AD231:AD233)</f>
        <v>27.9</v>
      </c>
      <c r="BK231" s="3">
        <f t="shared" ref="BK231" si="351">AVERAGE(AE231:AE233)</f>
        <v>6.3</v>
      </c>
      <c r="BL231" s="3">
        <f t="shared" ref="BL231" si="352">AVERAGE(AF231:AF233)</f>
        <v>13.3</v>
      </c>
    </row>
    <row r="232" spans="1:64" x14ac:dyDescent="0.3">
      <c r="A232">
        <v>185</v>
      </c>
      <c r="B232" s="1" t="s">
        <v>236</v>
      </c>
      <c r="C232" s="1" t="s">
        <v>32</v>
      </c>
      <c r="D232" s="2">
        <v>43403</v>
      </c>
      <c r="E232" s="3">
        <v>18.3</v>
      </c>
      <c r="F232" s="4">
        <f t="shared" si="242"/>
        <v>3981.2073425196854</v>
      </c>
      <c r="G232" s="7">
        <v>9.7200000000000006</v>
      </c>
      <c r="H232" s="7">
        <v>159.35</v>
      </c>
      <c r="I232" s="7">
        <f t="shared" si="342"/>
        <v>149.63</v>
      </c>
      <c r="J232" s="7">
        <v>139.86000000000001</v>
      </c>
      <c r="K232" s="5">
        <f t="shared" si="244"/>
        <v>6.5294392835661172</v>
      </c>
      <c r="L232" s="4">
        <f t="shared" si="245"/>
        <v>3721.2568263369863</v>
      </c>
      <c r="M232" s="2">
        <v>43440</v>
      </c>
      <c r="N232" s="7">
        <v>8.0299999999999994</v>
      </c>
      <c r="O232" s="7">
        <v>3.12</v>
      </c>
      <c r="P232" s="7">
        <v>5.54</v>
      </c>
      <c r="Q232" s="6">
        <f t="shared" si="246"/>
        <v>0.36577194534601837</v>
      </c>
      <c r="R232" s="6">
        <f t="shared" si="247"/>
        <v>0.49366423392854225</v>
      </c>
      <c r="S232" s="6">
        <f t="shared" si="248"/>
        <v>0.14056382072543933</v>
      </c>
      <c r="T232" s="4">
        <f t="shared" si="249"/>
        <v>1456.2139544992774</v>
      </c>
      <c r="U232" s="4">
        <f t="shared" si="250"/>
        <v>1965.3796728556681</v>
      </c>
      <c r="V232" s="4">
        <f t="shared" si="251"/>
        <v>3421.5936273549455</v>
      </c>
      <c r="W232" s="4">
        <f t="shared" si="252"/>
        <v>1361.13134850143</v>
      </c>
      <c r="X232" s="4">
        <f t="shared" si="253"/>
        <v>1837.0514004250067</v>
      </c>
      <c r="Y232" s="4">
        <f t="shared" si="254"/>
        <v>3198.1827489264369</v>
      </c>
      <c r="Z232" s="10">
        <v>43451</v>
      </c>
      <c r="AA232" s="4">
        <v>45</v>
      </c>
      <c r="AB232" s="5">
        <v>1.05</v>
      </c>
      <c r="AC232" s="4">
        <v>77.5</v>
      </c>
      <c r="AD232" s="4">
        <v>27.9</v>
      </c>
      <c r="AE232" s="4">
        <v>6.3</v>
      </c>
      <c r="AF232" s="4">
        <v>13.3</v>
      </c>
      <c r="AK232" s="3"/>
      <c r="AL232" s="3"/>
      <c r="AM232" s="7"/>
      <c r="AN232" s="7"/>
      <c r="AO232" s="7"/>
      <c r="AP232" s="7"/>
      <c r="AQ232" s="7"/>
      <c r="AR232" s="3"/>
      <c r="AS232" s="3"/>
      <c r="AT232" s="7"/>
      <c r="AU232" s="7"/>
      <c r="AV232" s="7"/>
      <c r="AW232" s="9"/>
      <c r="AX232" s="9"/>
      <c r="AY232" s="9"/>
      <c r="AZ232" s="3"/>
      <c r="BA232" s="3"/>
      <c r="BB232" s="3"/>
      <c r="BC232" s="3"/>
      <c r="BD232" s="3"/>
      <c r="BE232" s="3"/>
      <c r="BG232" s="3"/>
      <c r="BH232" s="7"/>
      <c r="BI232" s="3"/>
      <c r="BJ232" s="3"/>
      <c r="BK232" s="3"/>
      <c r="BL232" s="3"/>
    </row>
    <row r="233" spans="1:64" x14ac:dyDescent="0.3">
      <c r="A233">
        <v>186</v>
      </c>
      <c r="B233" s="1" t="s">
        <v>237</v>
      </c>
      <c r="C233" s="1" t="s">
        <v>32</v>
      </c>
      <c r="D233" s="2">
        <v>43403</v>
      </c>
      <c r="E233" s="3">
        <v>20.6</v>
      </c>
      <c r="F233" s="4">
        <f t="shared" si="242"/>
        <v>4494.623484251968</v>
      </c>
      <c r="G233" s="7">
        <v>9.69</v>
      </c>
      <c r="H233" s="7">
        <v>187.69</v>
      </c>
      <c r="I233" s="7">
        <f t="shared" si="342"/>
        <v>178</v>
      </c>
      <c r="J233" s="7">
        <v>165.87</v>
      </c>
      <c r="K233" s="5">
        <f t="shared" si="244"/>
        <v>6.8146067415730318</v>
      </c>
      <c r="L233" s="4">
        <f t="shared" si="245"/>
        <v>4188.3325692858089</v>
      </c>
      <c r="M233" s="2">
        <v>43440</v>
      </c>
      <c r="N233" s="7">
        <v>9.1199999999999992</v>
      </c>
      <c r="O233" s="7">
        <v>3.52</v>
      </c>
      <c r="P233" s="7">
        <v>6.18</v>
      </c>
      <c r="Q233" s="6">
        <f t="shared" si="246"/>
        <v>0.36591882691111444</v>
      </c>
      <c r="R233" s="6">
        <f t="shared" si="247"/>
        <v>0.50510267518405372</v>
      </c>
      <c r="S233" s="6">
        <f t="shared" si="248"/>
        <v>0.12897849790483185</v>
      </c>
      <c r="T233" s="4">
        <f t="shared" si="249"/>
        <v>1644.667352764626</v>
      </c>
      <c r="U233" s="4">
        <f t="shared" si="250"/>
        <v>2270.2463458407415</v>
      </c>
      <c r="V233" s="4">
        <f t="shared" si="251"/>
        <v>3914.9136986053672</v>
      </c>
      <c r="W233" s="4">
        <f t="shared" si="252"/>
        <v>1532.5897404666771</v>
      </c>
      <c r="X233" s="4">
        <f t="shared" si="253"/>
        <v>2115.5379853067629</v>
      </c>
      <c r="Y233" s="4">
        <f t="shared" si="254"/>
        <v>3648.12772577344</v>
      </c>
      <c r="Z233" s="10"/>
      <c r="AA233" s="4"/>
      <c r="AB233" s="5"/>
      <c r="AC233" s="4"/>
      <c r="AD233" s="4"/>
      <c r="AE233" s="4"/>
      <c r="AF233" s="4"/>
      <c r="AK233" s="3"/>
      <c r="AL233" s="3"/>
      <c r="AM233" s="7"/>
      <c r="AN233" s="7"/>
      <c r="AO233" s="7"/>
      <c r="AP233" s="7"/>
      <c r="AQ233" s="7"/>
      <c r="AR233" s="3"/>
      <c r="AS233" s="3"/>
      <c r="AT233" s="7"/>
      <c r="AU233" s="7"/>
      <c r="AV233" s="7"/>
      <c r="AW233" s="9"/>
      <c r="AX233" s="9"/>
      <c r="AY233" s="9"/>
      <c r="AZ233" s="3"/>
      <c r="BA233" s="3"/>
      <c r="BB233" s="3"/>
      <c r="BC233" s="3"/>
      <c r="BD233" s="3"/>
      <c r="BE233" s="3"/>
      <c r="BG233" s="3"/>
      <c r="BH233" s="7"/>
      <c r="BI233" s="3"/>
      <c r="BJ233" s="3"/>
      <c r="BK233" s="3"/>
      <c r="BL233" s="3"/>
    </row>
    <row r="234" spans="1:64" x14ac:dyDescent="0.3">
      <c r="A234">
        <v>187</v>
      </c>
      <c r="B234" s="1" t="s">
        <v>238</v>
      </c>
      <c r="C234" s="1" t="s">
        <v>32</v>
      </c>
      <c r="D234" s="2">
        <v>43403</v>
      </c>
      <c r="E234" s="3">
        <v>14.5</v>
      </c>
      <c r="F234" s="4">
        <f t="shared" si="242"/>
        <v>3132.9545866141734</v>
      </c>
      <c r="G234" s="7">
        <v>9.7100000000000009</v>
      </c>
      <c r="H234" s="7">
        <v>239.84</v>
      </c>
      <c r="I234" s="7">
        <f t="shared" si="342"/>
        <v>230.13</v>
      </c>
      <c r="J234" s="7">
        <v>213.46</v>
      </c>
      <c r="K234" s="5">
        <f t="shared" si="244"/>
        <v>7.2437318037630858</v>
      </c>
      <c r="L234" s="4">
        <f t="shared" si="245"/>
        <v>2906.0117588261483</v>
      </c>
      <c r="M234" s="2">
        <v>43440</v>
      </c>
      <c r="N234" s="7">
        <v>6.27</v>
      </c>
      <c r="O234" s="7">
        <v>2.54</v>
      </c>
      <c r="P234" s="7">
        <v>4.5999999999999996</v>
      </c>
      <c r="Q234" s="6">
        <f t="shared" si="246"/>
        <v>0.37629476840750337</v>
      </c>
      <c r="R234" s="6">
        <f t="shared" si="247"/>
        <v>0.48192137006574987</v>
      </c>
      <c r="S234" s="6">
        <f t="shared" si="248"/>
        <v>0.14178386152674682</v>
      </c>
      <c r="T234" s="4">
        <f t="shared" si="249"/>
        <v>1178.9144206012058</v>
      </c>
      <c r="U234" s="4">
        <f t="shared" si="250"/>
        <v>1509.8377667348775</v>
      </c>
      <c r="V234" s="4">
        <f t="shared" si="251"/>
        <v>2688.7521873360834</v>
      </c>
      <c r="W234" s="4">
        <f t="shared" si="252"/>
        <v>1093.5170217769669</v>
      </c>
      <c r="X234" s="4">
        <f t="shared" si="253"/>
        <v>1400.4691682406769</v>
      </c>
      <c r="Y234" s="4">
        <f t="shared" si="254"/>
        <v>2493.9861900176438</v>
      </c>
      <c r="Z234" s="10"/>
      <c r="AA234" s="4"/>
      <c r="AB234" s="5"/>
      <c r="AC234" s="4"/>
      <c r="AD234" s="4"/>
      <c r="AE234" s="4"/>
      <c r="AF234" s="4"/>
      <c r="AH234" t="s">
        <v>308</v>
      </c>
      <c r="AI234" t="str">
        <f>C234</f>
        <v>Machine</v>
      </c>
      <c r="AJ234" s="8">
        <f>D234</f>
        <v>43403</v>
      </c>
      <c r="AK234" s="3">
        <f>SUM(E234:E236)</f>
        <v>52.8</v>
      </c>
      <c r="AL234" s="3">
        <f>(AK234-3*$A$35)*$A$36/(3*$A$37)*$A$38</f>
        <v>3824.9502559055113</v>
      </c>
      <c r="AM234" s="7">
        <f>SUM(G234:G236)</f>
        <v>29.1</v>
      </c>
      <c r="AN234" s="7">
        <f>SUM(H234:H236)</f>
        <v>595.15</v>
      </c>
      <c r="AO234" s="7">
        <f>AN234-AM234</f>
        <v>566.04999999999995</v>
      </c>
      <c r="AP234" s="7">
        <f>SUM(J234:J236)</f>
        <v>530.08000000000004</v>
      </c>
      <c r="AQ234" s="7">
        <f>(AO234-AP234)/AO234*100</f>
        <v>6.3545623178164323</v>
      </c>
      <c r="AR234" s="3">
        <f>AL234*(1-AQ234/100)</f>
        <v>3581.8914082685164</v>
      </c>
      <c r="AS234" s="11">
        <f>M234</f>
        <v>43440</v>
      </c>
      <c r="AT234" s="7">
        <f>SUM(N234:N236)</f>
        <v>23.27</v>
      </c>
      <c r="AU234" s="7">
        <f>SUM(O234:O236)</f>
        <v>9.36</v>
      </c>
      <c r="AV234" s="7">
        <f>SUM(P234:P236)</f>
        <v>16.079999999999998</v>
      </c>
      <c r="AW234" s="9">
        <f>(AU234-3*$A$39)/(AT234-3*$A$35*$A$36)</f>
        <v>0.37902148487969589</v>
      </c>
      <c r="AX234" s="9">
        <f>(AV234-3*$A$40)/(AT234-3*$A$35*$A$36)</f>
        <v>0.4876919805445038</v>
      </c>
      <c r="AY234" s="9">
        <f>1-AW234-AX234</f>
        <v>0.13328653457580031</v>
      </c>
      <c r="AZ234" s="3">
        <f>AL234*AW234</f>
        <v>1449.7383255842797</v>
      </c>
      <c r="BA234" s="3">
        <f>AL234*AX234</f>
        <v>1865.3975657867654</v>
      </c>
      <c r="BB234" s="3">
        <f>AZ234+BA234</f>
        <v>3315.1358913710451</v>
      </c>
      <c r="BC234" s="3">
        <f>AR234*AW234</f>
        <v>1357.6138002397581</v>
      </c>
      <c r="BD234" s="3">
        <f>AR234*AX234</f>
        <v>1746.8597149938146</v>
      </c>
      <c r="BE234" s="3">
        <f>BC234+BD234</f>
        <v>3104.4735152335725</v>
      </c>
      <c r="BF234" s="11">
        <f>Z235</f>
        <v>43451</v>
      </c>
      <c r="BG234" s="3">
        <f>AVERAGE(AA234:AA236)</f>
        <v>51.208277935731971</v>
      </c>
      <c r="BH234" s="7">
        <f t="shared" ref="BH234" si="353">AVERAGE(AB234:AB236)</f>
        <v>1</v>
      </c>
      <c r="BI234" s="3">
        <f t="shared" ref="BI234" si="354">AVERAGE(AC234:AC236)</f>
        <v>78</v>
      </c>
      <c r="BJ234" s="3">
        <f t="shared" ref="BJ234" si="355">AVERAGE(AD234:AD236)</f>
        <v>25.295254629629628</v>
      </c>
      <c r="BK234" s="3">
        <f t="shared" ref="BK234" si="356">AVERAGE(AE234:AE236)</f>
        <v>6.3869212962962969</v>
      </c>
      <c r="BL234" s="3">
        <f t="shared" ref="BL234" si="357">AVERAGE(AF234:AF236)</f>
        <v>14.368884892086328</v>
      </c>
    </row>
    <row r="235" spans="1:64" x14ac:dyDescent="0.3">
      <c r="A235">
        <v>188</v>
      </c>
      <c r="B235" s="1" t="s">
        <v>239</v>
      </c>
      <c r="C235" s="1" t="s">
        <v>32</v>
      </c>
      <c r="D235" s="2">
        <v>43403</v>
      </c>
      <c r="E235" s="3">
        <v>18</v>
      </c>
      <c r="F235" s="4">
        <f t="shared" si="242"/>
        <v>3914.240019685039</v>
      </c>
      <c r="G235" s="7">
        <v>9.7100000000000009</v>
      </c>
      <c r="H235" s="7">
        <v>186.18</v>
      </c>
      <c r="I235" s="7">
        <f t="shared" si="342"/>
        <v>176.47</v>
      </c>
      <c r="J235" s="7">
        <v>165.51</v>
      </c>
      <c r="K235" s="5">
        <f t="shared" si="244"/>
        <v>6.2106873689579007</v>
      </c>
      <c r="L235" s="4">
        <f t="shared" si="245"/>
        <v>3671.1388091917652</v>
      </c>
      <c r="M235" s="2">
        <v>43440</v>
      </c>
      <c r="N235" s="7">
        <v>7.91</v>
      </c>
      <c r="O235" s="7">
        <v>3.2</v>
      </c>
      <c r="P235" s="7">
        <v>5.4</v>
      </c>
      <c r="Q235" s="6">
        <f t="shared" si="246"/>
        <v>0.38186382099184191</v>
      </c>
      <c r="R235" s="6">
        <f t="shared" si="247"/>
        <v>0.48317463064273874</v>
      </c>
      <c r="S235" s="6">
        <f t="shared" si="248"/>
        <v>0.13496154836541935</v>
      </c>
      <c r="T235" s="4">
        <f t="shared" si="249"/>
        <v>1494.7066501961115</v>
      </c>
      <c r="U235" s="4">
        <f t="shared" si="250"/>
        <v>1891.2614757583451</v>
      </c>
      <c r="V235" s="4">
        <f t="shared" si="251"/>
        <v>3385.9681259544568</v>
      </c>
      <c r="W235" s="4">
        <f t="shared" si="252"/>
        <v>1401.875093069408</v>
      </c>
      <c r="X235" s="4">
        <f t="shared" si="253"/>
        <v>1773.8011381694548</v>
      </c>
      <c r="Y235" s="4">
        <f t="shared" si="254"/>
        <v>3175.6762312388628</v>
      </c>
      <c r="Z235" s="10">
        <v>43451</v>
      </c>
      <c r="AA235" s="4">
        <v>51.208277935731971</v>
      </c>
      <c r="AB235" s="5">
        <v>1</v>
      </c>
      <c r="AC235" s="4">
        <v>78</v>
      </c>
      <c r="AD235" s="4">
        <v>25.295254629629628</v>
      </c>
      <c r="AE235" s="4">
        <v>6.3869212962962969</v>
      </c>
      <c r="AF235" s="4">
        <v>14.368884892086328</v>
      </c>
      <c r="AK235" s="3"/>
      <c r="AL235" s="3"/>
      <c r="AM235" s="7"/>
      <c r="AN235" s="7"/>
      <c r="AO235" s="7"/>
      <c r="AP235" s="7"/>
      <c r="AQ235" s="7"/>
      <c r="AR235" s="3"/>
      <c r="AS235" s="3"/>
      <c r="AT235" s="7"/>
      <c r="AU235" s="7"/>
      <c r="AV235" s="7"/>
      <c r="AW235" s="9"/>
      <c r="AX235" s="9"/>
      <c r="AY235" s="9"/>
      <c r="AZ235" s="3"/>
      <c r="BA235" s="3"/>
      <c r="BB235" s="3"/>
      <c r="BC235" s="3"/>
      <c r="BD235" s="3"/>
      <c r="BE235" s="3"/>
      <c r="BG235" s="3"/>
      <c r="BH235" s="7"/>
      <c r="BI235" s="3"/>
      <c r="BJ235" s="3"/>
      <c r="BK235" s="3"/>
      <c r="BL235" s="3"/>
    </row>
    <row r="236" spans="1:64" x14ac:dyDescent="0.3">
      <c r="A236">
        <v>189</v>
      </c>
      <c r="B236" s="1" t="s">
        <v>240</v>
      </c>
      <c r="C236" s="1" t="s">
        <v>32</v>
      </c>
      <c r="D236" s="2">
        <v>43403</v>
      </c>
      <c r="E236" s="3">
        <v>20.3</v>
      </c>
      <c r="F236" s="4">
        <f t="shared" si="242"/>
        <v>4427.6561614173224</v>
      </c>
      <c r="G236" s="7">
        <v>9.68</v>
      </c>
      <c r="H236" s="7">
        <v>169.13</v>
      </c>
      <c r="I236" s="7">
        <f t="shared" si="342"/>
        <v>159.44999999999999</v>
      </c>
      <c r="J236" s="7">
        <v>151.11000000000001</v>
      </c>
      <c r="K236" s="5">
        <f t="shared" si="244"/>
        <v>5.2304797742238796</v>
      </c>
      <c r="L236" s="4">
        <f t="shared" si="245"/>
        <v>4196.0685014222117</v>
      </c>
      <c r="M236" s="2">
        <v>43440</v>
      </c>
      <c r="N236" s="7">
        <v>9.09</v>
      </c>
      <c r="O236" s="7">
        <v>3.62</v>
      </c>
      <c r="P236" s="7">
        <v>6.08</v>
      </c>
      <c r="Q236" s="6">
        <f t="shared" si="246"/>
        <v>0.37841759573705014</v>
      </c>
      <c r="R236" s="6">
        <f t="shared" si="247"/>
        <v>0.49554685156042277</v>
      </c>
      <c r="S236" s="6">
        <f t="shared" si="248"/>
        <v>0.12603555270252709</v>
      </c>
      <c r="T236" s="4">
        <f t="shared" si="249"/>
        <v>1675.5029993538794</v>
      </c>
      <c r="U236" s="4">
        <f t="shared" si="250"/>
        <v>2194.1110705824613</v>
      </c>
      <c r="V236" s="4">
        <f t="shared" si="251"/>
        <v>3869.6140699363405</v>
      </c>
      <c r="W236" s="4">
        <f t="shared" si="252"/>
        <v>1587.8661538561603</v>
      </c>
      <c r="X236" s="4">
        <f t="shared" si="253"/>
        <v>2079.3485348116383</v>
      </c>
      <c r="Y236" s="4">
        <f t="shared" si="254"/>
        <v>3667.2146886677983</v>
      </c>
      <c r="Z236" s="10"/>
      <c r="AA236" s="4"/>
      <c r="AB236" s="5"/>
      <c r="AC236" s="4"/>
      <c r="AD236" s="4"/>
      <c r="AE236" s="4"/>
      <c r="AF236" s="4"/>
      <c r="AK236" s="3"/>
      <c r="AL236" s="3"/>
      <c r="AM236" s="7"/>
      <c r="AN236" s="7"/>
      <c r="AO236" s="7"/>
      <c r="AP236" s="7"/>
      <c r="AQ236" s="7"/>
      <c r="AR236" s="3"/>
      <c r="AS236" s="3"/>
      <c r="AT236" s="7"/>
      <c r="AU236" s="7"/>
      <c r="AV236" s="7"/>
      <c r="AW236" s="9"/>
      <c r="AX236" s="9"/>
      <c r="AY236" s="9"/>
      <c r="AZ236" s="3"/>
      <c r="BA236" s="3"/>
      <c r="BB236" s="3"/>
      <c r="BC236" s="3"/>
      <c r="BD236" s="3"/>
      <c r="BE236" s="3"/>
      <c r="BG236" s="3"/>
      <c r="BH236" s="7"/>
      <c r="BI236" s="3"/>
      <c r="BJ236" s="3"/>
      <c r="BK236" s="3"/>
      <c r="BL236" s="3"/>
    </row>
    <row r="237" spans="1:64" x14ac:dyDescent="0.3">
      <c r="A237">
        <v>190</v>
      </c>
      <c r="B237" s="1" t="s">
        <v>241</v>
      </c>
      <c r="C237" s="1" t="s">
        <v>32</v>
      </c>
      <c r="D237" s="2">
        <v>43403</v>
      </c>
      <c r="E237" s="3">
        <v>13.9</v>
      </c>
      <c r="F237" s="4">
        <f t="shared" si="242"/>
        <v>2999.0199409448819</v>
      </c>
      <c r="G237" s="7">
        <v>9.69</v>
      </c>
      <c r="H237" s="7">
        <v>275.72000000000003</v>
      </c>
      <c r="I237" s="7">
        <f t="shared" si="342"/>
        <v>266.03000000000003</v>
      </c>
      <c r="J237" s="7">
        <v>251.14</v>
      </c>
      <c r="K237" s="5">
        <f t="shared" si="244"/>
        <v>5.5971131075442777</v>
      </c>
      <c r="L237" s="4">
        <f t="shared" si="245"/>
        <v>2831.161402732389</v>
      </c>
      <c r="M237" s="2">
        <v>43440</v>
      </c>
      <c r="N237" s="7">
        <v>5.99</v>
      </c>
      <c r="O237" s="7">
        <v>2.44</v>
      </c>
      <c r="P237" s="7">
        <v>4.58</v>
      </c>
      <c r="Q237" s="6">
        <f t="shared" si="246"/>
        <v>0.37722269039749456</v>
      </c>
      <c r="R237" s="6">
        <f t="shared" si="247"/>
        <v>0.50181000098749284</v>
      </c>
      <c r="S237" s="6">
        <f t="shared" si="248"/>
        <v>0.12096730861501259</v>
      </c>
      <c r="T237" s="4">
        <f t="shared" si="249"/>
        <v>1131.2983706789637</v>
      </c>
      <c r="U237" s="4">
        <f t="shared" si="250"/>
        <v>1504.9381995270619</v>
      </c>
      <c r="V237" s="4">
        <f t="shared" si="251"/>
        <v>2636.2365702060256</v>
      </c>
      <c r="W237" s="4">
        <f t="shared" si="252"/>
        <v>1067.9783212882564</v>
      </c>
      <c r="X237" s="4">
        <f t="shared" si="253"/>
        <v>1420.7051063008917</v>
      </c>
      <c r="Y237" s="4">
        <f t="shared" si="254"/>
        <v>2488.6834275891479</v>
      </c>
      <c r="Z237" s="10"/>
      <c r="AA237" s="4"/>
      <c r="AB237" s="5"/>
      <c r="AC237" s="4"/>
      <c r="AD237" s="4"/>
      <c r="AE237" s="4"/>
      <c r="AF237" s="4"/>
      <c r="AH237" t="s">
        <v>309</v>
      </c>
      <c r="AI237" t="str">
        <f>C237</f>
        <v>Machine</v>
      </c>
      <c r="AJ237" s="8">
        <f>D237</f>
        <v>43403</v>
      </c>
      <c r="AK237" s="3">
        <f>SUM(E237:E239)</f>
        <v>43.7</v>
      </c>
      <c r="AL237" s="3">
        <f>(AK237-3*$A$35)*$A$36/(3*$A$37)*$A$38</f>
        <v>3147.8362139107608</v>
      </c>
      <c r="AM237" s="7">
        <f>SUM(G237:G239)</f>
        <v>29.19</v>
      </c>
      <c r="AN237" s="7">
        <f>SUM(H237:H239)</f>
        <v>681.23</v>
      </c>
      <c r="AO237" s="7">
        <f>AN237-AM237</f>
        <v>652.04</v>
      </c>
      <c r="AP237" s="7">
        <f>SUM(J237:J239)</f>
        <v>615.06999999999994</v>
      </c>
      <c r="AQ237" s="7">
        <f>(AO237-AP237)/AO237*100</f>
        <v>5.6698975522974093</v>
      </c>
      <c r="AR237" s="3">
        <f>AL237*(1-AQ237/100)</f>
        <v>2969.3571254679032</v>
      </c>
      <c r="AS237" s="11">
        <f>M237</f>
        <v>43440</v>
      </c>
      <c r="AT237" s="7">
        <f>SUM(N237:N239)</f>
        <v>18.990000000000002</v>
      </c>
      <c r="AU237" s="7">
        <f>SUM(O237:O239)</f>
        <v>7.6999999999999993</v>
      </c>
      <c r="AV237" s="7">
        <f>SUM(P237:P239)</f>
        <v>14.200000000000001</v>
      </c>
      <c r="AW237" s="9">
        <f>(AU237-3*$A$39)/(AT237-3*$A$35*$A$36)</f>
        <v>0.37696300297043134</v>
      </c>
      <c r="AX237" s="9">
        <f>(AV237-3*$A$40)/(AT237-3*$A$35*$A$36)</f>
        <v>0.49898570913427043</v>
      </c>
      <c r="AY237" s="9">
        <f>1-AW237-AX237</f>
        <v>0.12405128789529818</v>
      </c>
      <c r="AZ237" s="3">
        <f>AL237*AW237</f>
        <v>1186.6177920548735</v>
      </c>
      <c r="BA237" s="3">
        <f>AL237*AX237</f>
        <v>1570.725285436798</v>
      </c>
      <c r="BB237" s="3">
        <f>AZ237+BA237</f>
        <v>2757.3430774916715</v>
      </c>
      <c r="BC237" s="3">
        <f>AR237*AW237</f>
        <v>1119.3377789080287</v>
      </c>
      <c r="BD237" s="3">
        <f>AR237*AX237</f>
        <v>1481.6667709245005</v>
      </c>
      <c r="BE237" s="3">
        <f>BC237+BD237</f>
        <v>2601.0045498325289</v>
      </c>
      <c r="BF237" s="11">
        <f>Z238</f>
        <v>43451</v>
      </c>
      <c r="BG237" s="3">
        <f>AVERAGE(AA237:AA239)</f>
        <v>52.293929104706578</v>
      </c>
      <c r="BH237" s="7">
        <f t="shared" ref="BH237" si="358">AVERAGE(AB237:AB239)</f>
        <v>1.01</v>
      </c>
      <c r="BI237" s="3">
        <f t="shared" ref="BI237" si="359">AVERAGE(AC237:AC239)</f>
        <v>78.21782178217822</v>
      </c>
      <c r="BJ237" s="3">
        <f t="shared" ref="BJ237" si="360">AVERAGE(AD237:AD239)</f>
        <v>25.731481481481477</v>
      </c>
      <c r="BK237" s="3">
        <f t="shared" ref="BK237" si="361">AVERAGE(AE237:AE239)</f>
        <v>6.3648148148148156</v>
      </c>
      <c r="BL237" s="3">
        <f t="shared" ref="BL237" si="362">AVERAGE(AF237:AF239)</f>
        <v>14.069694244604314</v>
      </c>
    </row>
    <row r="238" spans="1:64" x14ac:dyDescent="0.3">
      <c r="A238">
        <v>191</v>
      </c>
      <c r="B238" s="1" t="s">
        <v>242</v>
      </c>
      <c r="C238" s="1" t="s">
        <v>32</v>
      </c>
      <c r="D238" s="2">
        <v>43403</v>
      </c>
      <c r="E238" s="3">
        <v>14.6</v>
      </c>
      <c r="F238" s="4">
        <f t="shared" si="242"/>
        <v>3155.2770275590547</v>
      </c>
      <c r="G238" s="7">
        <v>9.73</v>
      </c>
      <c r="H238" s="7">
        <v>230.5</v>
      </c>
      <c r="I238" s="7">
        <f t="shared" si="342"/>
        <v>220.77</v>
      </c>
      <c r="J238" s="7">
        <v>208.94</v>
      </c>
      <c r="K238" s="5">
        <f t="shared" si="244"/>
        <v>5.3585179145717321</v>
      </c>
      <c r="L238" s="4">
        <f t="shared" si="245"/>
        <v>2986.2009427829362</v>
      </c>
      <c r="M238" s="2">
        <v>43440</v>
      </c>
      <c r="N238" s="7">
        <v>6.32</v>
      </c>
      <c r="O238" s="7">
        <v>2.58</v>
      </c>
      <c r="P238" s="7">
        <v>4.72</v>
      </c>
      <c r="Q238" s="6">
        <f t="shared" si="246"/>
        <v>0.37976260031519121</v>
      </c>
      <c r="R238" s="6">
        <f t="shared" si="247"/>
        <v>0.49761995903369877</v>
      </c>
      <c r="S238" s="6">
        <f t="shared" si="248"/>
        <v>0.12261744065110997</v>
      </c>
      <c r="T238" s="4">
        <f t="shared" si="249"/>
        <v>1198.2562087006138</v>
      </c>
      <c r="U238" s="4">
        <f t="shared" si="250"/>
        <v>1570.1288251939077</v>
      </c>
      <c r="V238" s="4">
        <f t="shared" si="251"/>
        <v>2768.3850338945213</v>
      </c>
      <c r="W238" s="4">
        <f t="shared" si="252"/>
        <v>1134.0474350949235</v>
      </c>
      <c r="X238" s="4">
        <f t="shared" si="253"/>
        <v>1485.9931908140372</v>
      </c>
      <c r="Y238" s="4">
        <f t="shared" si="254"/>
        <v>2620.0406259089605</v>
      </c>
      <c r="Z238" s="10">
        <v>43451</v>
      </c>
      <c r="AA238" s="4">
        <v>52.293929104706578</v>
      </c>
      <c r="AB238" s="5">
        <v>1.01</v>
      </c>
      <c r="AC238" s="4">
        <v>78.21782178217822</v>
      </c>
      <c r="AD238" s="4">
        <v>25.731481481481477</v>
      </c>
      <c r="AE238" s="4">
        <v>6.3648148148148156</v>
      </c>
      <c r="AF238" s="4">
        <v>14.069694244604314</v>
      </c>
      <c r="AK238" s="3"/>
      <c r="AL238" s="3"/>
      <c r="AM238" s="7"/>
      <c r="AN238" s="7"/>
      <c r="AO238" s="7"/>
      <c r="AP238" s="7"/>
      <c r="AQ238" s="7"/>
      <c r="AR238" s="3"/>
      <c r="AS238" s="3"/>
      <c r="AT238" s="7"/>
      <c r="AU238" s="7"/>
      <c r="AV238" s="7"/>
      <c r="AW238" s="9"/>
      <c r="AX238" s="9"/>
      <c r="AY238" s="9"/>
      <c r="AZ238" s="3"/>
      <c r="BA238" s="3"/>
      <c r="BB238" s="3"/>
      <c r="BC238" s="3"/>
      <c r="BD238" s="3"/>
      <c r="BE238" s="3"/>
      <c r="BG238" s="3"/>
      <c r="BH238" s="7"/>
      <c r="BI238" s="3"/>
      <c r="BJ238" s="3"/>
      <c r="BK238" s="3"/>
      <c r="BL238" s="3"/>
    </row>
    <row r="239" spans="1:64" x14ac:dyDescent="0.3">
      <c r="A239">
        <v>192</v>
      </c>
      <c r="B239" s="1" t="s">
        <v>243</v>
      </c>
      <c r="C239" s="1" t="s">
        <v>32</v>
      </c>
      <c r="D239" s="2">
        <v>43403</v>
      </c>
      <c r="E239" s="3">
        <v>15.2</v>
      </c>
      <c r="F239" s="4">
        <f t="shared" si="242"/>
        <v>3289.2116732283462</v>
      </c>
      <c r="G239" s="7">
        <v>9.77</v>
      </c>
      <c r="H239" s="7">
        <v>175.01</v>
      </c>
      <c r="I239" s="7">
        <f t="shared" si="342"/>
        <v>165.23999999999998</v>
      </c>
      <c r="J239" s="7">
        <v>154.99</v>
      </c>
      <c r="K239" s="5">
        <f t="shared" si="244"/>
        <v>6.2030985233599445</v>
      </c>
      <c r="L239" s="4">
        <f t="shared" si="245"/>
        <v>3085.1786324961358</v>
      </c>
      <c r="M239" s="2">
        <v>43440</v>
      </c>
      <c r="N239" s="7">
        <v>6.68</v>
      </c>
      <c r="O239" s="7">
        <v>2.68</v>
      </c>
      <c r="P239" s="7">
        <v>4.9000000000000004</v>
      </c>
      <c r="Q239" s="6">
        <f t="shared" si="246"/>
        <v>0.37408721251621863</v>
      </c>
      <c r="R239" s="6">
        <f t="shared" si="247"/>
        <v>0.49775240673645627</v>
      </c>
      <c r="S239" s="6">
        <f t="shared" si="248"/>
        <v>0.12816038074732505</v>
      </c>
      <c r="T239" s="4">
        <f t="shared" si="249"/>
        <v>1230.4520262137994</v>
      </c>
      <c r="U239" s="4">
        <f t="shared" si="250"/>
        <v>1637.2130266150557</v>
      </c>
      <c r="V239" s="4">
        <f t="shared" si="251"/>
        <v>2867.6650528288551</v>
      </c>
      <c r="W239" s="4">
        <f t="shared" si="252"/>
        <v>1154.1258747450788</v>
      </c>
      <c r="X239" s="4">
        <f t="shared" si="253"/>
        <v>1535.6550895368405</v>
      </c>
      <c r="Y239" s="4">
        <f t="shared" si="254"/>
        <v>2689.7809642819193</v>
      </c>
      <c r="Z239" s="10"/>
      <c r="AA239" s="4"/>
      <c r="AB239" s="5"/>
      <c r="AC239" s="4"/>
      <c r="AD239" s="4"/>
      <c r="AE239" s="4"/>
      <c r="AF239" s="4"/>
      <c r="AK239" s="3"/>
      <c r="AL239" s="3"/>
      <c r="AM239" s="7"/>
      <c r="AN239" s="7"/>
      <c r="AO239" s="7"/>
      <c r="AP239" s="7"/>
      <c r="AQ239" s="7"/>
      <c r="AR239" s="3"/>
      <c r="AS239" s="3"/>
      <c r="AT239" s="7"/>
      <c r="AU239" s="7"/>
      <c r="AV239" s="7"/>
      <c r="AW239" s="9"/>
      <c r="AX239" s="9"/>
      <c r="AY239" s="9"/>
      <c r="AZ239" s="3"/>
      <c r="BA239" s="3"/>
      <c r="BB239" s="3"/>
      <c r="BC239" s="3"/>
      <c r="BD239" s="3"/>
      <c r="BE239" s="3"/>
      <c r="BG239" s="3"/>
      <c r="BH239" s="7"/>
      <c r="BI239" s="3"/>
      <c r="BJ239" s="3"/>
      <c r="BK239" s="3"/>
      <c r="BL2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AE71"/>
  <sheetViews>
    <sheetView workbookViewId="0"/>
  </sheetViews>
  <sheetFormatPr defaultRowHeight="14.4" x14ac:dyDescent="0.3"/>
  <cols>
    <col min="3" max="5" width="10.5546875" bestFit="1" customWidth="1"/>
    <col min="7" max="7" width="10.5546875" bestFit="1" customWidth="1"/>
    <col min="10" max="10" width="10.5546875" bestFit="1" customWidth="1"/>
    <col min="12" max="12" width="10.5546875" bestFit="1" customWidth="1"/>
    <col min="16" max="16" width="9.5546875" bestFit="1" customWidth="1"/>
    <col min="23" max="23" width="10.5546875" bestFit="1" customWidth="1"/>
    <col min="25" max="25" width="10.5546875" bestFit="1" customWidth="1"/>
  </cols>
  <sheetData>
    <row r="1" spans="1:31" x14ac:dyDescent="0.3">
      <c r="A1" s="1"/>
      <c r="B1" s="1" t="s">
        <v>0</v>
      </c>
      <c r="C1" s="1" t="s">
        <v>0</v>
      </c>
      <c r="D1" t="s">
        <v>0</v>
      </c>
      <c r="E1" s="1" t="s">
        <v>0</v>
      </c>
      <c r="F1" t="s">
        <v>38</v>
      </c>
      <c r="G1" t="s">
        <v>38</v>
      </c>
      <c r="H1" t="s">
        <v>38</v>
      </c>
      <c r="I1" t="s">
        <v>38</v>
      </c>
      <c r="J1" s="1" t="s">
        <v>38</v>
      </c>
      <c r="K1" s="1" t="s">
        <v>38</v>
      </c>
      <c r="L1" s="1" t="s">
        <v>7</v>
      </c>
      <c r="M1" t="s">
        <v>7</v>
      </c>
      <c r="N1" t="s">
        <v>7</v>
      </c>
      <c r="O1" t="s">
        <v>7</v>
      </c>
      <c r="P1" s="1" t="s">
        <v>7</v>
      </c>
      <c r="Q1" s="1" t="s">
        <v>7</v>
      </c>
      <c r="R1" s="1" t="s">
        <v>7</v>
      </c>
      <c r="S1" s="1" t="s">
        <v>16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310</v>
      </c>
      <c r="Z1" s="1" t="s">
        <v>310</v>
      </c>
      <c r="AA1" s="1" t="s">
        <v>310</v>
      </c>
      <c r="AB1" s="1" t="s">
        <v>310</v>
      </c>
      <c r="AC1" s="1" t="s">
        <v>310</v>
      </c>
      <c r="AD1" s="1" t="s">
        <v>310</v>
      </c>
      <c r="AE1" s="1" t="s">
        <v>310</v>
      </c>
    </row>
    <row r="2" spans="1:31" x14ac:dyDescent="0.3">
      <c r="A2" s="1"/>
      <c r="B2" s="1"/>
      <c r="C2" s="1"/>
      <c r="E2" s="1"/>
      <c r="G2" t="s">
        <v>41</v>
      </c>
      <c r="H2" t="s">
        <v>42</v>
      </c>
      <c r="I2" t="s">
        <v>43</v>
      </c>
      <c r="J2" s="1"/>
      <c r="K2" s="1"/>
      <c r="L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3">
      <c r="A3" s="1"/>
      <c r="B3" s="1"/>
      <c r="C3" s="1"/>
      <c r="D3" t="s">
        <v>1</v>
      </c>
      <c r="E3" s="1"/>
      <c r="F3" t="s">
        <v>39</v>
      </c>
      <c r="G3" t="s">
        <v>40</v>
      </c>
      <c r="H3" t="s">
        <v>8</v>
      </c>
      <c r="I3" t="s">
        <v>8</v>
      </c>
      <c r="J3" s="1"/>
      <c r="K3" s="1"/>
      <c r="L3" s="1" t="s">
        <v>24</v>
      </c>
      <c r="M3" t="s">
        <v>8</v>
      </c>
      <c r="N3" t="s">
        <v>10</v>
      </c>
      <c r="O3" t="s">
        <v>11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3">
      <c r="A4" s="1" t="s">
        <v>20</v>
      </c>
      <c r="B4" s="1" t="s">
        <v>21</v>
      </c>
      <c r="C4" s="1" t="s">
        <v>2</v>
      </c>
      <c r="D4" t="s">
        <v>34</v>
      </c>
      <c r="E4" s="1" t="s">
        <v>3</v>
      </c>
      <c r="F4" t="s">
        <v>40</v>
      </c>
      <c r="G4" t="s">
        <v>34</v>
      </c>
      <c r="H4" t="s">
        <v>37</v>
      </c>
      <c r="I4" t="s">
        <v>37</v>
      </c>
      <c r="J4" s="1" t="s">
        <v>44</v>
      </c>
      <c r="K4" s="1" t="s">
        <v>45</v>
      </c>
      <c r="L4" s="1" t="s">
        <v>25</v>
      </c>
      <c r="M4" t="s">
        <v>36</v>
      </c>
      <c r="N4" t="s">
        <v>36</v>
      </c>
      <c r="O4" t="s">
        <v>320</v>
      </c>
      <c r="P4" s="1" t="s">
        <v>12</v>
      </c>
      <c r="Q4" s="1" t="s">
        <v>13</v>
      </c>
      <c r="R4" s="1" t="s">
        <v>14</v>
      </c>
      <c r="S4" s="1" t="s">
        <v>17</v>
      </c>
      <c r="T4" s="1" t="s">
        <v>18</v>
      </c>
      <c r="U4" s="1" t="s">
        <v>19</v>
      </c>
      <c r="V4" s="1" t="s">
        <v>47</v>
      </c>
      <c r="W4" s="1" t="s">
        <v>48</v>
      </c>
      <c r="X4" s="1" t="s">
        <v>49</v>
      </c>
      <c r="Y4" s="1" t="s">
        <v>311</v>
      </c>
      <c r="Z4" s="1" t="s">
        <v>312</v>
      </c>
      <c r="AA4" s="1" t="s">
        <v>313</v>
      </c>
      <c r="AB4" s="1" t="s">
        <v>314</v>
      </c>
      <c r="AC4" s="1" t="s">
        <v>315</v>
      </c>
      <c r="AD4" s="1" t="s">
        <v>318</v>
      </c>
      <c r="AE4" s="1" t="s">
        <v>319</v>
      </c>
    </row>
    <row r="5" spans="1:31" x14ac:dyDescent="0.3">
      <c r="A5" s="1"/>
      <c r="B5" s="1"/>
      <c r="C5" s="1"/>
      <c r="D5" t="s">
        <v>33</v>
      </c>
      <c r="E5" s="1" t="s">
        <v>4</v>
      </c>
      <c r="F5" t="s">
        <v>9</v>
      </c>
      <c r="G5" t="s">
        <v>9</v>
      </c>
      <c r="H5" t="s">
        <v>9</v>
      </c>
      <c r="I5" t="s">
        <v>9</v>
      </c>
      <c r="J5" s="1" t="s">
        <v>46</v>
      </c>
      <c r="K5" s="5" t="s">
        <v>4</v>
      </c>
      <c r="L5" s="5"/>
      <c r="M5" s="7" t="s">
        <v>31</v>
      </c>
      <c r="N5" s="7" t="s">
        <v>31</v>
      </c>
      <c r="O5" s="7" t="s">
        <v>31</v>
      </c>
      <c r="P5" s="1" t="s">
        <v>15</v>
      </c>
      <c r="Q5" s="1" t="s">
        <v>15</v>
      </c>
      <c r="R5" s="1" t="s">
        <v>15</v>
      </c>
      <c r="S5" s="1" t="s">
        <v>4</v>
      </c>
      <c r="T5" s="1" t="s">
        <v>4</v>
      </c>
      <c r="U5" s="1" t="s">
        <v>4</v>
      </c>
      <c r="V5" s="1" t="s">
        <v>4</v>
      </c>
      <c r="W5" s="1" t="s">
        <v>4</v>
      </c>
      <c r="X5" s="1" t="s">
        <v>4</v>
      </c>
      <c r="Y5" s="1"/>
      <c r="Z5" s="1"/>
      <c r="AA5" s="1" t="s">
        <v>316</v>
      </c>
      <c r="AB5" s="1" t="s">
        <v>46</v>
      </c>
      <c r="AC5" s="1" t="s">
        <v>317</v>
      </c>
      <c r="AD5" s="1" t="s">
        <v>46</v>
      </c>
      <c r="AE5" s="1" t="s">
        <v>46</v>
      </c>
    </row>
    <row r="6" spans="1:31" x14ac:dyDescent="0.3">
      <c r="A6" s="1" t="s">
        <v>20</v>
      </c>
      <c r="B6" s="1" t="s">
        <v>21</v>
      </c>
      <c r="C6" s="1" t="s">
        <v>2</v>
      </c>
      <c r="E6" s="1" t="s">
        <v>3</v>
      </c>
      <c r="J6" s="1" t="s">
        <v>44</v>
      </c>
      <c r="K6" s="1" t="s">
        <v>45</v>
      </c>
      <c r="L6" s="1" t="s">
        <v>25</v>
      </c>
      <c r="P6" s="1" t="s">
        <v>12</v>
      </c>
      <c r="Q6" s="1" t="s">
        <v>13</v>
      </c>
      <c r="R6" s="1" t="s">
        <v>14</v>
      </c>
      <c r="S6" s="1" t="s">
        <v>17</v>
      </c>
      <c r="T6" s="1" t="s">
        <v>18</v>
      </c>
      <c r="U6" s="1" t="s">
        <v>19</v>
      </c>
      <c r="V6" s="1" t="s">
        <v>47</v>
      </c>
      <c r="W6" s="1" t="s">
        <v>48</v>
      </c>
      <c r="X6" s="1" t="s">
        <v>49</v>
      </c>
      <c r="Y6" s="1" t="s">
        <v>311</v>
      </c>
      <c r="Z6" s="1" t="s">
        <v>312</v>
      </c>
      <c r="AA6" s="1" t="s">
        <v>313</v>
      </c>
      <c r="AB6" s="1" t="s">
        <v>314</v>
      </c>
      <c r="AC6" s="1" t="s">
        <v>315</v>
      </c>
      <c r="AD6" s="1" t="s">
        <v>318</v>
      </c>
      <c r="AE6" s="1" t="s">
        <v>319</v>
      </c>
    </row>
    <row r="7" spans="1:31" x14ac:dyDescent="0.3">
      <c r="A7" s="1" t="s">
        <v>246</v>
      </c>
      <c r="B7" s="1" t="s">
        <v>32</v>
      </c>
      <c r="C7" s="10">
        <v>43403</v>
      </c>
      <c r="D7" s="3">
        <v>66.8</v>
      </c>
      <c r="E7" s="4">
        <v>4866.6641666666665</v>
      </c>
      <c r="F7" s="7">
        <v>28.490000000000002</v>
      </c>
      <c r="G7" s="7">
        <v>525.58000000000004</v>
      </c>
      <c r="H7" s="7">
        <v>497.09000000000003</v>
      </c>
      <c r="I7" s="7">
        <v>454.80999999999995</v>
      </c>
      <c r="J7" s="5">
        <v>8.5055020217666986</v>
      </c>
      <c r="K7" s="4">
        <v>4452.7299475782374</v>
      </c>
      <c r="L7" s="10">
        <v>43440</v>
      </c>
      <c r="M7" s="7">
        <v>28.8</v>
      </c>
      <c r="N7" s="7">
        <v>11.58</v>
      </c>
      <c r="O7" s="7">
        <v>18.510000000000002</v>
      </c>
      <c r="P7" s="6">
        <v>0.38342415948727293</v>
      </c>
      <c r="Q7" s="6">
        <v>0.47821513224940437</v>
      </c>
      <c r="R7" s="6">
        <v>0.1383607082633227</v>
      </c>
      <c r="S7" s="4">
        <v>1865.9966176109961</v>
      </c>
      <c r="T7" s="4">
        <v>2327.312448075937</v>
      </c>
      <c r="U7" s="4">
        <v>4193.3090656869335</v>
      </c>
      <c r="V7" s="4">
        <v>1707.2842375739945</v>
      </c>
      <c r="W7" s="4">
        <v>2129.36284075201</v>
      </c>
      <c r="X7" s="4">
        <v>3836.6470783260047</v>
      </c>
      <c r="Y7" s="10">
        <v>43451</v>
      </c>
      <c r="Z7" s="4">
        <v>47.9</v>
      </c>
      <c r="AA7" s="5">
        <v>1.08</v>
      </c>
      <c r="AB7" s="4">
        <v>79.099999999999994</v>
      </c>
      <c r="AC7" s="4">
        <v>29.6</v>
      </c>
      <c r="AD7" s="4">
        <v>6.3</v>
      </c>
      <c r="AE7" s="4">
        <v>10.9</v>
      </c>
    </row>
    <row r="8" spans="1:31" x14ac:dyDescent="0.3">
      <c r="A8" s="1" t="s">
        <v>247</v>
      </c>
      <c r="B8" s="1" t="s">
        <v>32</v>
      </c>
      <c r="C8" s="10">
        <v>43403</v>
      </c>
      <c r="D8" s="3">
        <v>69.8</v>
      </c>
      <c r="E8" s="4">
        <v>5089.8885761154852</v>
      </c>
      <c r="F8" s="7">
        <v>28.41</v>
      </c>
      <c r="G8" s="7">
        <v>574.32999999999993</v>
      </c>
      <c r="H8" s="7">
        <v>545.91999999999996</v>
      </c>
      <c r="I8" s="7">
        <v>503.96000000000004</v>
      </c>
      <c r="J8" s="5">
        <v>7.6861078546307011</v>
      </c>
      <c r="K8" s="4">
        <v>4698.6742504747226</v>
      </c>
      <c r="L8" s="10">
        <v>43440</v>
      </c>
      <c r="M8" s="7">
        <v>30.03</v>
      </c>
      <c r="N8" s="7">
        <v>12.1</v>
      </c>
      <c r="O8" s="7">
        <v>19.439999999999998</v>
      </c>
      <c r="P8" s="6">
        <v>0.38507017405235816</v>
      </c>
      <c r="Q8" s="6">
        <v>0.48984191752243439</v>
      </c>
      <c r="R8" s="6">
        <v>0.12508790842520751</v>
      </c>
      <c r="S8" s="4">
        <v>1959.9642799118994</v>
      </c>
      <c r="T8" s="4">
        <v>2493.2407800999426</v>
      </c>
      <c r="U8" s="4">
        <v>4453.2050600118419</v>
      </c>
      <c r="V8" s="4">
        <v>1809.3193114456349</v>
      </c>
      <c r="W8" s="4">
        <v>2301.6076046658254</v>
      </c>
      <c r="X8" s="4">
        <v>4110.9269161114607</v>
      </c>
      <c r="Y8" s="10">
        <v>43451</v>
      </c>
      <c r="Z8" s="4">
        <v>51.900000000000006</v>
      </c>
      <c r="AA8" s="5">
        <v>1.05</v>
      </c>
      <c r="AB8" s="4">
        <v>76.8</v>
      </c>
      <c r="AC8" s="4">
        <v>26.5</v>
      </c>
      <c r="AD8" s="4">
        <v>6.4</v>
      </c>
      <c r="AE8" s="4">
        <v>11.5</v>
      </c>
    </row>
    <row r="9" spans="1:31" x14ac:dyDescent="0.3">
      <c r="A9" s="1" t="s">
        <v>249</v>
      </c>
      <c r="B9" s="1" t="s">
        <v>32</v>
      </c>
      <c r="C9" s="10">
        <v>43403</v>
      </c>
      <c r="D9" s="3">
        <v>50.5</v>
      </c>
      <c r="E9" s="4">
        <v>3653.8115419947503</v>
      </c>
      <c r="F9" s="7">
        <v>28.490000000000002</v>
      </c>
      <c r="G9" s="7">
        <v>507.38</v>
      </c>
      <c r="H9" s="7">
        <v>478.89</v>
      </c>
      <c r="I9" s="7">
        <v>442.04999999999995</v>
      </c>
      <c r="J9" s="5">
        <v>7.6927895758942624</v>
      </c>
      <c r="K9" s="4">
        <v>3372.7315085693567</v>
      </c>
      <c r="L9" s="10">
        <v>43440</v>
      </c>
      <c r="M9" s="7">
        <v>21.71</v>
      </c>
      <c r="N9" s="7">
        <v>9</v>
      </c>
      <c r="O9" s="7">
        <v>15.16</v>
      </c>
      <c r="P9" s="6">
        <v>0.38999415139719845</v>
      </c>
      <c r="Q9" s="6">
        <v>0.48013878493183071</v>
      </c>
      <c r="R9" s="6">
        <v>0.12986706367097078</v>
      </c>
      <c r="S9" s="4">
        <v>1424.9651316855318</v>
      </c>
      <c r="T9" s="4">
        <v>1754.3366341432582</v>
      </c>
      <c r="U9" s="4">
        <v>3179.3017658287899</v>
      </c>
      <c r="V9" s="4">
        <v>1315.3455625750992</v>
      </c>
      <c r="W9" s="4">
        <v>1619.3792084257914</v>
      </c>
      <c r="X9" s="4">
        <v>2934.7247710008905</v>
      </c>
      <c r="Y9" s="10">
        <v>43451</v>
      </c>
      <c r="Z9" s="4">
        <v>51.900000000000006</v>
      </c>
      <c r="AA9" s="5">
        <v>0.98</v>
      </c>
      <c r="AB9" s="4">
        <v>76</v>
      </c>
      <c r="AC9" s="4">
        <v>24.3</v>
      </c>
      <c r="AD9" s="4">
        <v>6.6</v>
      </c>
      <c r="AE9" s="4">
        <v>15.6</v>
      </c>
    </row>
    <row r="10" spans="1:31" x14ac:dyDescent="0.3">
      <c r="A10" s="1" t="s">
        <v>250</v>
      </c>
      <c r="B10" s="1" t="s">
        <v>32</v>
      </c>
      <c r="C10" s="10">
        <v>43403</v>
      </c>
      <c r="D10" s="3">
        <v>57.599999999999994</v>
      </c>
      <c r="E10" s="4">
        <v>4182.1093110236216</v>
      </c>
      <c r="F10" s="7">
        <v>28.410000000000004</v>
      </c>
      <c r="G10" s="7">
        <v>508.15</v>
      </c>
      <c r="H10" s="7">
        <v>479.73999999999995</v>
      </c>
      <c r="I10" s="7">
        <v>446.38</v>
      </c>
      <c r="J10" s="5">
        <v>6.9537666235877689</v>
      </c>
      <c r="K10" s="4">
        <v>3891.2951895917049</v>
      </c>
      <c r="L10" s="10">
        <v>43440</v>
      </c>
      <c r="M10" s="7">
        <v>16.670000000000002</v>
      </c>
      <c r="N10" s="7">
        <v>6.8999999999999995</v>
      </c>
      <c r="O10" s="7">
        <v>11.2</v>
      </c>
      <c r="P10" s="6">
        <v>0.39265985932496478</v>
      </c>
      <c r="Q10" s="6">
        <v>0.48251619076923574</v>
      </c>
      <c r="R10" s="6">
        <v>0.12482394990579943</v>
      </c>
      <c r="S10" s="4">
        <v>1642.1464537481606</v>
      </c>
      <c r="T10" s="4">
        <v>2017.9354541356709</v>
      </c>
      <c r="U10" s="4">
        <v>3660.0819078838313</v>
      </c>
      <c r="V10" s="4">
        <v>1527.955421736991</v>
      </c>
      <c r="W10" s="4">
        <v>1877.6129320404405</v>
      </c>
      <c r="X10" s="4">
        <v>3405.5683537774312</v>
      </c>
      <c r="Y10" s="10">
        <v>43451</v>
      </c>
      <c r="Z10" s="4">
        <v>51.8</v>
      </c>
      <c r="AA10" s="5">
        <v>1.01</v>
      </c>
      <c r="AB10" s="4">
        <v>77</v>
      </c>
      <c r="AC10" s="4">
        <v>26.2</v>
      </c>
      <c r="AD10" s="4">
        <v>6.5</v>
      </c>
      <c r="AE10" s="4">
        <v>13.9</v>
      </c>
    </row>
    <row r="11" spans="1:31" x14ac:dyDescent="0.3">
      <c r="A11" s="1" t="s">
        <v>251</v>
      </c>
      <c r="B11" s="1" t="s">
        <v>32</v>
      </c>
      <c r="C11" s="10">
        <v>43403</v>
      </c>
      <c r="D11" s="3">
        <v>71.3</v>
      </c>
      <c r="E11" s="4">
        <v>5201.500780839895</v>
      </c>
      <c r="F11" s="7">
        <v>28.43</v>
      </c>
      <c r="G11" s="7">
        <v>547.03</v>
      </c>
      <c r="H11" s="7">
        <v>518.6</v>
      </c>
      <c r="I11" s="7">
        <v>478.85999999999996</v>
      </c>
      <c r="J11" s="5">
        <v>7.6629386810644169</v>
      </c>
      <c r="K11" s="4">
        <v>4802.9129655090474</v>
      </c>
      <c r="L11" s="10">
        <v>43440</v>
      </c>
      <c r="M11" s="7">
        <v>20.58</v>
      </c>
      <c r="N11" s="7">
        <v>8.3000000000000007</v>
      </c>
      <c r="O11" s="7">
        <v>13.100000000000001</v>
      </c>
      <c r="P11" s="6">
        <v>0.38594793454019838</v>
      </c>
      <c r="Q11" s="6">
        <v>0.48317903373027404</v>
      </c>
      <c r="R11" s="6">
        <v>0.13087303172952758</v>
      </c>
      <c r="S11" s="4">
        <v>2007.5084828743866</v>
      </c>
      <c r="T11" s="4">
        <v>2513.2561212334863</v>
      </c>
      <c r="U11" s="4">
        <v>4520.7646041078733</v>
      </c>
      <c r="V11" s="4">
        <v>1853.6743388145558</v>
      </c>
      <c r="W11" s="4">
        <v>2320.6668457652663</v>
      </c>
      <c r="X11" s="4">
        <v>4174.3411845798219</v>
      </c>
      <c r="Y11" s="10">
        <v>43451</v>
      </c>
      <c r="Z11" s="4">
        <v>46.8</v>
      </c>
      <c r="AA11" s="5">
        <v>1.1100000000000001</v>
      </c>
      <c r="AB11" s="4">
        <v>79.5</v>
      </c>
      <c r="AC11" s="4">
        <v>29.9</v>
      </c>
      <c r="AD11" s="4">
        <v>6.2</v>
      </c>
      <c r="AE11" s="4">
        <v>10.4</v>
      </c>
    </row>
    <row r="12" spans="1:31" x14ac:dyDescent="0.3">
      <c r="A12" s="1" t="s">
        <v>252</v>
      </c>
      <c r="B12" s="1" t="s">
        <v>32</v>
      </c>
      <c r="C12" s="10">
        <v>43403</v>
      </c>
      <c r="D12" s="3">
        <v>43.7</v>
      </c>
      <c r="E12" s="4">
        <v>3147.8362139107608</v>
      </c>
      <c r="F12" s="7">
        <v>28.46</v>
      </c>
      <c r="G12" s="7">
        <v>451.78999999999996</v>
      </c>
      <c r="H12" s="7">
        <v>423.33</v>
      </c>
      <c r="I12" s="7">
        <v>390.43</v>
      </c>
      <c r="J12" s="5">
        <v>7.7717147379113172</v>
      </c>
      <c r="K12" s="4">
        <v>2903.1953629489485</v>
      </c>
      <c r="L12" s="10">
        <v>43440</v>
      </c>
      <c r="M12" s="7">
        <v>18.66</v>
      </c>
      <c r="N12" s="7">
        <v>7.72</v>
      </c>
      <c r="O12" s="7">
        <v>13.600000000000001</v>
      </c>
      <c r="P12" s="6">
        <v>0.38497298107626587</v>
      </c>
      <c r="Q12" s="6">
        <v>0.47483699106813215</v>
      </c>
      <c r="R12" s="6">
        <v>0.14019002785560197</v>
      </c>
      <c r="S12" s="4">
        <v>1211.8318912090517</v>
      </c>
      <c r="T12" s="4">
        <v>1494.7090761886868</v>
      </c>
      <c r="U12" s="4">
        <v>2706.5409673977383</v>
      </c>
      <c r="V12" s="4">
        <v>1117.6517735212483</v>
      </c>
      <c r="W12" s="4">
        <v>1378.5445506256326</v>
      </c>
      <c r="X12" s="4">
        <v>2496.1963241468811</v>
      </c>
      <c r="Y12" s="10">
        <v>43451</v>
      </c>
      <c r="Z12" s="4">
        <v>49</v>
      </c>
      <c r="AA12" s="5">
        <v>1.01</v>
      </c>
      <c r="AB12" s="4">
        <v>76.400000000000006</v>
      </c>
      <c r="AC12" s="4">
        <v>26.7</v>
      </c>
      <c r="AD12" s="4">
        <v>6.2</v>
      </c>
      <c r="AE12" s="4">
        <v>14.3</v>
      </c>
    </row>
    <row r="13" spans="1:31" x14ac:dyDescent="0.3">
      <c r="A13" s="1" t="s">
        <v>253</v>
      </c>
      <c r="B13" s="1" t="s">
        <v>32</v>
      </c>
      <c r="C13" s="10">
        <v>43403</v>
      </c>
      <c r="D13" s="3">
        <v>60.7</v>
      </c>
      <c r="E13" s="4">
        <v>4412.7745341207346</v>
      </c>
      <c r="F13" s="7">
        <v>28.41</v>
      </c>
      <c r="G13" s="7">
        <v>510.03999999999996</v>
      </c>
      <c r="H13" s="7">
        <v>481.62999999999994</v>
      </c>
      <c r="I13" s="7">
        <v>445.09000000000003</v>
      </c>
      <c r="J13" s="5">
        <v>7.5867367066004849</v>
      </c>
      <c r="K13" s="4">
        <v>4077.9889487610785</v>
      </c>
      <c r="L13" s="10">
        <v>43440</v>
      </c>
      <c r="M13" s="7">
        <v>26.150000000000002</v>
      </c>
      <c r="N13" s="7">
        <v>10.68</v>
      </c>
      <c r="O13" s="7">
        <v>17.16</v>
      </c>
      <c r="P13" s="6">
        <v>0.38797300671613877</v>
      </c>
      <c r="Q13" s="6">
        <v>0.4749730142827881</v>
      </c>
      <c r="R13" s="6">
        <v>0.13705397900107313</v>
      </c>
      <c r="S13" s="4">
        <v>1712.03740396323</v>
      </c>
      <c r="T13" s="4">
        <v>2095.9488218216511</v>
      </c>
      <c r="U13" s="4">
        <v>3807.9862257848808</v>
      </c>
      <c r="V13" s="4">
        <v>1582.1496338060215</v>
      </c>
      <c r="W13" s="4">
        <v>1936.9347032049477</v>
      </c>
      <c r="X13" s="4">
        <v>3519.0843370109692</v>
      </c>
      <c r="Y13" s="10">
        <v>43451</v>
      </c>
      <c r="Z13" s="4">
        <v>49.900000000000006</v>
      </c>
      <c r="AA13" s="5">
        <v>1</v>
      </c>
      <c r="AB13" s="4">
        <v>76.5</v>
      </c>
      <c r="AC13" s="4">
        <v>26.1</v>
      </c>
      <c r="AD13" s="4">
        <v>6.3</v>
      </c>
      <c r="AE13" s="4">
        <v>14.7</v>
      </c>
    </row>
    <row r="14" spans="1:31" x14ac:dyDescent="0.3">
      <c r="A14" s="1" t="s">
        <v>254</v>
      </c>
      <c r="B14" s="1" t="s">
        <v>32</v>
      </c>
      <c r="C14" s="10">
        <v>43403</v>
      </c>
      <c r="D14" s="3">
        <v>53.900000000000006</v>
      </c>
      <c r="E14" s="4">
        <v>3906.7992060367451</v>
      </c>
      <c r="F14" s="7">
        <v>28.46</v>
      </c>
      <c r="G14" s="7">
        <v>526.37</v>
      </c>
      <c r="H14" s="7">
        <v>497.91</v>
      </c>
      <c r="I14" s="7">
        <v>463.14</v>
      </c>
      <c r="J14" s="5">
        <v>6.9831897330842994</v>
      </c>
      <c r="K14" s="4">
        <v>3633.9800049885685</v>
      </c>
      <c r="L14" s="10">
        <v>43440</v>
      </c>
      <c r="M14" s="7">
        <v>23.199999999999996</v>
      </c>
      <c r="N14" s="7">
        <v>9.4400000000000013</v>
      </c>
      <c r="O14" s="7">
        <v>16.04</v>
      </c>
      <c r="P14" s="6">
        <v>0.38374211123484203</v>
      </c>
      <c r="Q14" s="6">
        <v>0.48743224290799786</v>
      </c>
      <c r="R14" s="6">
        <v>0.12882564585716011</v>
      </c>
      <c r="S14" s="4">
        <v>1499.2033754951451</v>
      </c>
      <c r="T14" s="4">
        <v>1904.299899589676</v>
      </c>
      <c r="U14" s="4">
        <v>3403.5032750848213</v>
      </c>
      <c r="V14" s="4">
        <v>1394.5111592995149</v>
      </c>
      <c r="W14" s="4">
        <v>1771.3190245143951</v>
      </c>
      <c r="X14" s="4">
        <v>3165.83018381391</v>
      </c>
      <c r="Y14" s="10">
        <v>43451</v>
      </c>
      <c r="Z14" s="4">
        <v>49.1</v>
      </c>
      <c r="AA14" s="5">
        <v>0.99</v>
      </c>
      <c r="AB14" s="4">
        <v>76.900000000000006</v>
      </c>
      <c r="AC14" s="4">
        <v>26.9</v>
      </c>
      <c r="AD14" s="4">
        <v>6.2</v>
      </c>
      <c r="AE14" s="4">
        <v>14.9</v>
      </c>
    </row>
    <row r="15" spans="1:31" x14ac:dyDescent="0.3">
      <c r="A15" s="1" t="s">
        <v>255</v>
      </c>
      <c r="B15" s="1" t="s">
        <v>32</v>
      </c>
      <c r="C15" s="10">
        <v>43403</v>
      </c>
      <c r="D15" s="3">
        <v>45</v>
      </c>
      <c r="E15" s="4">
        <v>3244.5667913385823</v>
      </c>
      <c r="F15" s="7">
        <v>28.419999999999998</v>
      </c>
      <c r="G15" s="7">
        <v>487.37</v>
      </c>
      <c r="H15" s="7">
        <v>458.95</v>
      </c>
      <c r="I15" s="7">
        <v>423.5</v>
      </c>
      <c r="J15" s="5">
        <v>7.7241529578385428</v>
      </c>
      <c r="K15" s="4">
        <v>2993.9514895563561</v>
      </c>
      <c r="L15" s="10">
        <v>43440</v>
      </c>
      <c r="M15" s="7">
        <v>19.37</v>
      </c>
      <c r="N15" s="7">
        <v>7.96</v>
      </c>
      <c r="O15" s="7">
        <v>14.14</v>
      </c>
      <c r="P15" s="6">
        <v>0.38319412687690746</v>
      </c>
      <c r="Q15" s="6">
        <v>0.48566386554037028</v>
      </c>
      <c r="R15" s="6">
        <v>0.13114200758272226</v>
      </c>
      <c r="S15" s="4">
        <v>1243.2989387007972</v>
      </c>
      <c r="T15" s="4">
        <v>1575.7688498854118</v>
      </c>
      <c r="U15" s="4">
        <v>2819.0677885862087</v>
      </c>
      <c r="V15" s="4">
        <v>1147.2646269523643</v>
      </c>
      <c r="W15" s="4">
        <v>1454.0540536582894</v>
      </c>
      <c r="X15" s="4">
        <v>2601.3186806106537</v>
      </c>
      <c r="Y15" s="10">
        <v>43451</v>
      </c>
      <c r="Z15" s="4">
        <v>52.199999999999996</v>
      </c>
      <c r="AA15" s="5">
        <v>0.96</v>
      </c>
      <c r="AB15" s="4">
        <v>76.400000000000006</v>
      </c>
      <c r="AC15" s="4">
        <v>24.2</v>
      </c>
      <c r="AD15" s="4">
        <v>6.7</v>
      </c>
      <c r="AE15" s="4">
        <v>14.7</v>
      </c>
    </row>
    <row r="16" spans="1:31" x14ac:dyDescent="0.3">
      <c r="A16" s="1" t="s">
        <v>256</v>
      </c>
      <c r="B16" s="1" t="s">
        <v>32</v>
      </c>
      <c r="C16" s="10">
        <v>43403</v>
      </c>
      <c r="D16" s="3">
        <v>60.8</v>
      </c>
      <c r="E16" s="4">
        <v>4420.215347769029</v>
      </c>
      <c r="F16" s="7">
        <v>28.43</v>
      </c>
      <c r="G16" s="7">
        <v>524.76</v>
      </c>
      <c r="H16" s="7">
        <v>496.33</v>
      </c>
      <c r="I16" s="7">
        <v>456.19</v>
      </c>
      <c r="J16" s="5">
        <v>8.0873612314387575</v>
      </c>
      <c r="K16" s="4">
        <v>4062.7365653874504</v>
      </c>
      <c r="L16" s="10">
        <v>43440</v>
      </c>
      <c r="M16" s="7">
        <v>26.130000000000003</v>
      </c>
      <c r="N16" s="7">
        <v>10.66</v>
      </c>
      <c r="O16" s="7">
        <v>17.12</v>
      </c>
      <c r="P16" s="6">
        <v>0.3874929335682632</v>
      </c>
      <c r="Q16" s="6">
        <v>0.47377678517253241</v>
      </c>
      <c r="R16" s="6">
        <v>0.13873028125920439</v>
      </c>
      <c r="S16" s="4">
        <v>1712.8022121104818</v>
      </c>
      <c r="T16" s="4">
        <v>2094.195417236298</v>
      </c>
      <c r="U16" s="4">
        <v>3806.9976293467798</v>
      </c>
      <c r="V16" s="4">
        <v>1574.281710037033</v>
      </c>
      <c r="W16" s="4">
        <v>1924.8302689521622</v>
      </c>
      <c r="X16" s="4">
        <v>3499.1119789891954</v>
      </c>
      <c r="Y16" s="10">
        <v>43451</v>
      </c>
      <c r="Z16" s="4">
        <v>52.199999999999996</v>
      </c>
      <c r="AA16" s="5">
        <v>1</v>
      </c>
      <c r="AB16" s="4">
        <v>76.2</v>
      </c>
      <c r="AC16" s="4">
        <v>25.2</v>
      </c>
      <c r="AD16" s="4">
        <v>6.7</v>
      </c>
      <c r="AE16" s="4">
        <v>15.1</v>
      </c>
    </row>
    <row r="17" spans="1:31" x14ac:dyDescent="0.3">
      <c r="A17" s="1" t="s">
        <v>248</v>
      </c>
      <c r="B17" s="1" t="s">
        <v>32</v>
      </c>
      <c r="C17" s="10">
        <v>43403</v>
      </c>
      <c r="D17" s="3">
        <v>39.9</v>
      </c>
      <c r="E17" s="4">
        <v>2865.0852952755899</v>
      </c>
      <c r="F17" s="7">
        <v>28.449999999999996</v>
      </c>
      <c r="G17" s="7">
        <v>413.46000000000004</v>
      </c>
      <c r="H17" s="7">
        <v>385.01000000000005</v>
      </c>
      <c r="I17" s="7">
        <v>355.24</v>
      </c>
      <c r="J17" s="5">
        <v>7.7322666943715843</v>
      </c>
      <c r="K17" s="4">
        <v>2643.5492592236578</v>
      </c>
      <c r="L17" s="10">
        <v>43440</v>
      </c>
      <c r="M17" s="7">
        <v>16.5</v>
      </c>
      <c r="N17" s="7">
        <v>6.98</v>
      </c>
      <c r="O17" s="7">
        <v>12.48</v>
      </c>
      <c r="P17" s="6">
        <v>0.3907422039512512</v>
      </c>
      <c r="Q17" s="6">
        <v>0.46889064474150149</v>
      </c>
      <c r="R17" s="6">
        <v>0.14036715130724736</v>
      </c>
      <c r="S17" s="4">
        <v>1119.5097427843052</v>
      </c>
      <c r="T17" s="4">
        <v>1343.4116913411665</v>
      </c>
      <c r="U17" s="4">
        <v>2462.9214341254719</v>
      </c>
      <c r="V17" s="4">
        <v>1032.9462638027496</v>
      </c>
      <c r="W17" s="4">
        <v>1239.5355165632996</v>
      </c>
      <c r="X17" s="4">
        <v>2272.481780366049</v>
      </c>
      <c r="Y17" s="10">
        <v>43451</v>
      </c>
      <c r="Z17" s="4">
        <v>49.800000000000004</v>
      </c>
      <c r="AA17" s="5">
        <v>1</v>
      </c>
      <c r="AB17" s="4">
        <v>78.599999999999994</v>
      </c>
      <c r="AC17" s="4">
        <v>26.6</v>
      </c>
      <c r="AD17" s="4">
        <v>6.1</v>
      </c>
      <c r="AE17" s="4">
        <v>12.8</v>
      </c>
    </row>
    <row r="18" spans="1:31" x14ac:dyDescent="0.3">
      <c r="A18" s="1" t="s">
        <v>257</v>
      </c>
      <c r="B18" s="1" t="s">
        <v>32</v>
      </c>
      <c r="C18" s="10">
        <v>43403</v>
      </c>
      <c r="D18" s="3">
        <v>53</v>
      </c>
      <c r="E18" s="4">
        <v>3839.8318832020996</v>
      </c>
      <c r="F18" s="7">
        <v>28.44</v>
      </c>
      <c r="G18" s="7">
        <v>553.11</v>
      </c>
      <c r="H18" s="7">
        <v>524.66999999999996</v>
      </c>
      <c r="I18" s="7">
        <v>486.29999999999995</v>
      </c>
      <c r="J18" s="5">
        <v>7.3131682772028155</v>
      </c>
      <c r="K18" s="4">
        <v>3559.0185160218439</v>
      </c>
      <c r="L18" s="10">
        <v>43440</v>
      </c>
      <c r="M18" s="7">
        <v>22.93</v>
      </c>
      <c r="N18" s="7">
        <v>9.3800000000000008</v>
      </c>
      <c r="O18" s="7">
        <v>15.82</v>
      </c>
      <c r="P18" s="6">
        <v>0.38569797535418288</v>
      </c>
      <c r="Q18" s="6">
        <v>0.48346792724628967</v>
      </c>
      <c r="R18" s="6">
        <v>0.13083409739952739</v>
      </c>
      <c r="S18" s="4">
        <v>1481.0153830514889</v>
      </c>
      <c r="T18" s="4">
        <v>1856.4355615459363</v>
      </c>
      <c r="U18" s="4">
        <v>3337.4509445974254</v>
      </c>
      <c r="V18" s="4">
        <v>1372.7062358776736</v>
      </c>
      <c r="W18" s="4">
        <v>1720.6713049722466</v>
      </c>
      <c r="X18" s="4">
        <v>3093.3775408499205</v>
      </c>
      <c r="Y18" s="10">
        <v>43451</v>
      </c>
      <c r="Z18" s="4">
        <v>51.8</v>
      </c>
      <c r="AA18" s="5">
        <v>0.97</v>
      </c>
      <c r="AB18" s="4">
        <v>77.7</v>
      </c>
      <c r="AC18" s="4">
        <v>24.9</v>
      </c>
      <c r="AD18" s="4">
        <v>6.4</v>
      </c>
      <c r="AE18" s="4">
        <v>14.3</v>
      </c>
    </row>
    <row r="19" spans="1:31" x14ac:dyDescent="0.3">
      <c r="A19" s="1" t="s">
        <v>258</v>
      </c>
      <c r="B19" s="1" t="s">
        <v>32</v>
      </c>
      <c r="C19" s="10">
        <v>43403</v>
      </c>
      <c r="D19" s="3">
        <v>53.4</v>
      </c>
      <c r="E19" s="4">
        <v>3869.5951377952751</v>
      </c>
      <c r="F19" s="7">
        <v>28.34</v>
      </c>
      <c r="G19" s="7">
        <v>439.83</v>
      </c>
      <c r="H19" s="7">
        <v>411.49</v>
      </c>
      <c r="I19" s="7">
        <v>380.74</v>
      </c>
      <c r="J19" s="5">
        <v>7.4728425964178964</v>
      </c>
      <c r="K19" s="4">
        <v>3580.4263840291942</v>
      </c>
      <c r="L19" s="10">
        <v>43440</v>
      </c>
      <c r="M19" s="7">
        <v>23.12</v>
      </c>
      <c r="N19" s="7">
        <v>9.3800000000000008</v>
      </c>
      <c r="O19" s="7">
        <v>15.82</v>
      </c>
      <c r="P19" s="6">
        <v>0.3824391219753453</v>
      </c>
      <c r="Q19" s="6">
        <v>0.47938299242956067</v>
      </c>
      <c r="R19" s="6">
        <v>0.13817788559509397</v>
      </c>
      <c r="S19" s="4">
        <v>1479.8845668984902</v>
      </c>
      <c r="T19" s="4">
        <v>1855.0180966471771</v>
      </c>
      <c r="U19" s="4">
        <v>3334.9026635456676</v>
      </c>
      <c r="V19" s="4">
        <v>1369.2951226054854</v>
      </c>
      <c r="W19" s="4">
        <v>1716.3955141496665</v>
      </c>
      <c r="X19" s="4">
        <v>3085.6906367551519</v>
      </c>
      <c r="Y19" s="10">
        <v>43451</v>
      </c>
      <c r="Z19" s="4">
        <v>50</v>
      </c>
      <c r="AA19" s="5">
        <v>1.04</v>
      </c>
      <c r="AB19" s="4">
        <v>78.400000000000006</v>
      </c>
      <c r="AC19" s="4">
        <v>27.1</v>
      </c>
      <c r="AD19" s="4">
        <v>6.5</v>
      </c>
      <c r="AE19" s="4">
        <v>12.5</v>
      </c>
    </row>
    <row r="20" spans="1:31" x14ac:dyDescent="0.3">
      <c r="A20" s="1" t="s">
        <v>259</v>
      </c>
      <c r="B20" s="1" t="s">
        <v>32</v>
      </c>
      <c r="C20" s="10">
        <v>43403</v>
      </c>
      <c r="D20" s="3">
        <v>70.900000000000006</v>
      </c>
      <c r="E20" s="4">
        <v>5171.7375262467194</v>
      </c>
      <c r="F20" s="7">
        <v>28.419999999999998</v>
      </c>
      <c r="G20" s="7">
        <v>458.58</v>
      </c>
      <c r="H20" s="7">
        <v>430.15999999999997</v>
      </c>
      <c r="I20" s="7">
        <v>401.21000000000004</v>
      </c>
      <c r="J20" s="5">
        <v>6.7300539334201073</v>
      </c>
      <c r="K20" s="4">
        <v>4823.6768014353884</v>
      </c>
      <c r="L20" s="10">
        <v>43440</v>
      </c>
      <c r="M20" s="7">
        <v>31.009999999999998</v>
      </c>
      <c r="N20" s="7">
        <v>12.459999999999999</v>
      </c>
      <c r="O20" s="7">
        <v>19.98</v>
      </c>
      <c r="P20" s="6">
        <v>0.38449840482475234</v>
      </c>
      <c r="Q20" s="6">
        <v>0.49181559658234597</v>
      </c>
      <c r="R20" s="6">
        <v>0.12368599859290164</v>
      </c>
      <c r="S20" s="4">
        <v>1988.5248290141744</v>
      </c>
      <c r="T20" s="4">
        <v>2543.5411768383365</v>
      </c>
      <c r="U20" s="4">
        <v>4532.0660058525109</v>
      </c>
      <c r="V20" s="4">
        <v>1854.6960355420704</v>
      </c>
      <c r="W20" s="4">
        <v>2372.3594838183681</v>
      </c>
      <c r="X20" s="4">
        <v>4227.0555193604387</v>
      </c>
      <c r="Y20" s="10">
        <v>43451</v>
      </c>
      <c r="Z20" s="4">
        <v>48.4</v>
      </c>
      <c r="AA20" s="5">
        <v>1.0900000000000001</v>
      </c>
      <c r="AB20" s="4">
        <v>78.7</v>
      </c>
      <c r="AC20" s="4">
        <v>29.3</v>
      </c>
      <c r="AD20" s="4">
        <v>6.3</v>
      </c>
      <c r="AE20" s="4">
        <v>11.5</v>
      </c>
    </row>
    <row r="21" spans="1:31" x14ac:dyDescent="0.3">
      <c r="A21" s="1" t="s">
        <v>260</v>
      </c>
      <c r="B21" s="1" t="s">
        <v>32</v>
      </c>
      <c r="C21" s="10">
        <v>43403</v>
      </c>
      <c r="D21" s="3">
        <v>52.9</v>
      </c>
      <c r="E21" s="4">
        <v>3832.3910695538057</v>
      </c>
      <c r="F21" s="7">
        <v>28.4</v>
      </c>
      <c r="G21" s="7">
        <v>447.45</v>
      </c>
      <c r="H21" s="7">
        <v>419.05</v>
      </c>
      <c r="I21" s="7">
        <v>391.4</v>
      </c>
      <c r="J21" s="5">
        <v>6.5982579644433921</v>
      </c>
      <c r="K21" s="4">
        <v>3579.5200205783544</v>
      </c>
      <c r="L21" s="10">
        <v>43440</v>
      </c>
      <c r="M21" s="7">
        <v>23.029999999999998</v>
      </c>
      <c r="N21" s="7">
        <v>9.36</v>
      </c>
      <c r="O21" s="7">
        <v>16.100000000000001</v>
      </c>
      <c r="P21" s="6">
        <v>0.3830829299409062</v>
      </c>
      <c r="Q21" s="6">
        <v>0.49381086307067873</v>
      </c>
      <c r="R21" s="6">
        <v>0.12310620698841507</v>
      </c>
      <c r="S21" s="4">
        <v>1468.1235996040352</v>
      </c>
      <c r="T21" s="4">
        <v>1892.4763416807264</v>
      </c>
      <c r="U21" s="4">
        <v>3360.5999412847614</v>
      </c>
      <c r="V21" s="4">
        <v>1371.2530172652889</v>
      </c>
      <c r="W21" s="4">
        <v>1767.6058707405709</v>
      </c>
      <c r="X21" s="4">
        <v>3138.8588880058596</v>
      </c>
      <c r="Y21" s="10">
        <v>43451</v>
      </c>
      <c r="Z21" s="4">
        <v>44.5</v>
      </c>
      <c r="AA21" s="5">
        <v>1.06</v>
      </c>
      <c r="AB21" s="4">
        <v>78.400000000000006</v>
      </c>
      <c r="AC21" s="4">
        <v>29.1</v>
      </c>
      <c r="AD21" s="4">
        <v>6.3</v>
      </c>
      <c r="AE21" s="4">
        <v>12.4</v>
      </c>
    </row>
    <row r="22" spans="1:31" x14ac:dyDescent="0.3">
      <c r="A22" s="1" t="s">
        <v>261</v>
      </c>
      <c r="B22" s="1" t="s">
        <v>32</v>
      </c>
      <c r="C22" s="10">
        <v>43403</v>
      </c>
      <c r="D22" s="3">
        <v>48.3</v>
      </c>
      <c r="E22" s="4">
        <v>3490.1136417322832</v>
      </c>
      <c r="F22" s="7">
        <v>28.41</v>
      </c>
      <c r="G22" s="7">
        <v>642.17999999999995</v>
      </c>
      <c r="H22" s="7">
        <v>613.77</v>
      </c>
      <c r="I22" s="7">
        <v>568.55000000000007</v>
      </c>
      <c r="J22" s="5">
        <v>7.3675806898349405</v>
      </c>
      <c r="K22" s="4">
        <v>3232.9767030107205</v>
      </c>
      <c r="L22" s="10">
        <v>43440</v>
      </c>
      <c r="M22" s="7">
        <v>20.73</v>
      </c>
      <c r="N22" s="7">
        <v>8.5399999999999991</v>
      </c>
      <c r="O22" s="7">
        <v>14.78</v>
      </c>
      <c r="P22" s="6">
        <v>0.38612268770950919</v>
      </c>
      <c r="Q22" s="6">
        <v>0.48464368276940972</v>
      </c>
      <c r="R22" s="6">
        <v>0.12923362952108108</v>
      </c>
      <c r="S22" s="4">
        <v>1347.6120597572922</v>
      </c>
      <c r="T22" s="4">
        <v>1691.4615286128899</v>
      </c>
      <c r="U22" s="4">
        <v>3039.0735883701818</v>
      </c>
      <c r="V22" s="4">
        <v>1248.3256538687272</v>
      </c>
      <c r="W22" s="4">
        <v>1566.8417356548198</v>
      </c>
      <c r="X22" s="4">
        <v>2815.1673895235472</v>
      </c>
      <c r="Y22" s="10">
        <v>43451</v>
      </c>
      <c r="Z22" s="4">
        <v>53.6</v>
      </c>
      <c r="AA22" s="5">
        <v>0.99</v>
      </c>
      <c r="AB22" s="4">
        <v>76</v>
      </c>
      <c r="AC22" s="4">
        <v>25.6</v>
      </c>
      <c r="AD22" s="4">
        <v>6.5</v>
      </c>
      <c r="AE22" s="4">
        <v>15</v>
      </c>
    </row>
    <row r="23" spans="1:31" x14ac:dyDescent="0.3">
      <c r="A23" s="1" t="s">
        <v>262</v>
      </c>
      <c r="B23" s="1" t="s">
        <v>32</v>
      </c>
      <c r="C23" s="10">
        <v>43403</v>
      </c>
      <c r="D23" s="3">
        <v>36.200000000000003</v>
      </c>
      <c r="E23" s="4">
        <v>2589.7751902887139</v>
      </c>
      <c r="F23" s="7">
        <v>29.15</v>
      </c>
      <c r="G23" s="7">
        <v>444.43</v>
      </c>
      <c r="H23" s="7">
        <v>415.28000000000003</v>
      </c>
      <c r="I23" s="7">
        <v>381.56</v>
      </c>
      <c r="J23" s="5">
        <v>8.1198227701791623</v>
      </c>
      <c r="K23" s="4">
        <v>2379.4900346912</v>
      </c>
      <c r="L23" s="10">
        <v>43440</v>
      </c>
      <c r="M23" s="7">
        <v>10.75</v>
      </c>
      <c r="N23" s="7">
        <v>4.5199999999999996</v>
      </c>
      <c r="O23" s="7">
        <v>8.26</v>
      </c>
      <c r="P23" s="6">
        <v>0.3872906903923628</v>
      </c>
      <c r="Q23" s="6">
        <v>0.47443109573064457</v>
      </c>
      <c r="R23" s="6">
        <v>0.13827821387699268</v>
      </c>
      <c r="S23" s="4">
        <v>1002.9958214079288</v>
      </c>
      <c r="T23" s="4">
        <v>1228.6698812247132</v>
      </c>
      <c r="U23" s="4">
        <v>2231.665702632642</v>
      </c>
      <c r="V23" s="4">
        <v>921.55433831730215</v>
      </c>
      <c r="W23" s="4">
        <v>1128.9040644386955</v>
      </c>
      <c r="X23" s="4">
        <v>2050.4584027559977</v>
      </c>
      <c r="Y23" s="10">
        <v>43451</v>
      </c>
      <c r="Z23" s="4">
        <v>51.900000000000006</v>
      </c>
      <c r="AA23" s="5">
        <v>0.95</v>
      </c>
      <c r="AB23" s="4">
        <v>76.099999999999994</v>
      </c>
      <c r="AC23" s="4">
        <v>23.6</v>
      </c>
      <c r="AD23" s="4">
        <v>6.5</v>
      </c>
      <c r="AE23" s="4">
        <v>15.1</v>
      </c>
    </row>
    <row r="24" spans="1:31" x14ac:dyDescent="0.3">
      <c r="A24" s="1" t="s">
        <v>263</v>
      </c>
      <c r="B24" s="1" t="s">
        <v>32</v>
      </c>
      <c r="C24" s="10">
        <v>43403</v>
      </c>
      <c r="D24" s="3">
        <v>50.2</v>
      </c>
      <c r="E24" s="4">
        <v>3631.4891010498691</v>
      </c>
      <c r="F24" s="7">
        <v>29.130000000000003</v>
      </c>
      <c r="G24" s="7">
        <v>443.25</v>
      </c>
      <c r="H24" s="7">
        <v>414.12</v>
      </c>
      <c r="I24" s="7">
        <v>385.59000000000003</v>
      </c>
      <c r="J24" s="5">
        <v>6.8893074471167717</v>
      </c>
      <c r="K24" s="4">
        <v>3381.3046519700065</v>
      </c>
      <c r="L24" s="10">
        <v>43440</v>
      </c>
      <c r="M24" s="7">
        <v>21.79</v>
      </c>
      <c r="N24" s="7">
        <v>8.76</v>
      </c>
      <c r="O24" s="7">
        <v>15.42</v>
      </c>
      <c r="P24" s="6">
        <v>0.37717586588929969</v>
      </c>
      <c r="Q24" s="6">
        <v>0.4906122165326981</v>
      </c>
      <c r="R24" s="6">
        <v>0.13221191757800227</v>
      </c>
      <c r="S24" s="4">
        <v>1369.710046156039</v>
      </c>
      <c r="T24" s="4">
        <v>1781.6529171804116</v>
      </c>
      <c r="U24" s="4">
        <v>3151.3629633364508</v>
      </c>
      <c r="V24" s="4">
        <v>1275.3465099423042</v>
      </c>
      <c r="W24" s="4">
        <v>1658.9093700753283</v>
      </c>
      <c r="X24" s="4">
        <v>2934.2558800176325</v>
      </c>
      <c r="Y24" s="10">
        <v>43451</v>
      </c>
      <c r="Z24" s="4">
        <v>45.300000000000004</v>
      </c>
      <c r="AA24" s="5">
        <v>1.05</v>
      </c>
      <c r="AB24" s="4">
        <v>77.099999999999994</v>
      </c>
      <c r="AC24" s="4">
        <v>27.6</v>
      </c>
      <c r="AD24" s="4">
        <v>6.4</v>
      </c>
      <c r="AE24" s="4">
        <v>12.8</v>
      </c>
    </row>
    <row r="25" spans="1:31" x14ac:dyDescent="0.3">
      <c r="A25" s="1" t="s">
        <v>264</v>
      </c>
      <c r="B25" s="1" t="s">
        <v>32</v>
      </c>
      <c r="C25" s="10">
        <v>43403</v>
      </c>
      <c r="D25" s="3">
        <v>68.7</v>
      </c>
      <c r="E25" s="4">
        <v>5008.0396259842519</v>
      </c>
      <c r="F25" s="7">
        <v>29.089999999999996</v>
      </c>
      <c r="G25" s="7">
        <v>489.74</v>
      </c>
      <c r="H25" s="7">
        <v>460.65000000000003</v>
      </c>
      <c r="I25" s="7">
        <v>428.35</v>
      </c>
      <c r="J25" s="5">
        <v>7.0118311082166525</v>
      </c>
      <c r="K25" s="4">
        <v>4656.8843455776714</v>
      </c>
      <c r="L25" s="10">
        <v>43440</v>
      </c>
      <c r="M25" s="7">
        <v>29.96</v>
      </c>
      <c r="N25" s="7">
        <v>12.379999999999999</v>
      </c>
      <c r="O25" s="7">
        <v>19.14</v>
      </c>
      <c r="P25" s="6">
        <v>0.39553672054550121</v>
      </c>
      <c r="Q25" s="6">
        <v>0.48078170342168686</v>
      </c>
      <c r="R25" s="6">
        <v>0.12368157603281199</v>
      </c>
      <c r="S25" s="4">
        <v>1980.8635700237294</v>
      </c>
      <c r="T25" s="4">
        <v>2407.7738221840164</v>
      </c>
      <c r="U25" s="4">
        <v>4388.6373922077455</v>
      </c>
      <c r="V25" s="4">
        <v>1841.9687620094746</v>
      </c>
      <c r="W25" s="4">
        <v>2238.9447883046205</v>
      </c>
      <c r="X25" s="4">
        <v>4080.9135503140951</v>
      </c>
      <c r="Y25" s="10">
        <v>43451</v>
      </c>
      <c r="Z25" s="4">
        <v>51.6</v>
      </c>
      <c r="AA25" s="5">
        <v>1.07</v>
      </c>
      <c r="AB25" s="4">
        <v>78.2</v>
      </c>
      <c r="AC25" s="4">
        <v>27.3</v>
      </c>
      <c r="AD25" s="4">
        <v>6.3</v>
      </c>
      <c r="AE25" s="4">
        <v>12.1</v>
      </c>
    </row>
    <row r="26" spans="1:31" x14ac:dyDescent="0.3">
      <c r="A26" s="1" t="s">
        <v>265</v>
      </c>
      <c r="B26" s="1" t="s">
        <v>32</v>
      </c>
      <c r="C26" s="10">
        <v>43403</v>
      </c>
      <c r="D26" s="3">
        <v>48.6</v>
      </c>
      <c r="E26" s="4">
        <v>3512.4360826771654</v>
      </c>
      <c r="F26" s="7">
        <v>29.119999999999997</v>
      </c>
      <c r="G26" s="7">
        <v>532.79999999999995</v>
      </c>
      <c r="H26" s="7">
        <v>503.67999999999995</v>
      </c>
      <c r="I26" s="7">
        <v>463.83000000000004</v>
      </c>
      <c r="J26" s="5">
        <v>7.9117693773824476</v>
      </c>
      <c r="K26" s="4">
        <v>3234.5402402877817</v>
      </c>
      <c r="L26" s="10">
        <v>43440</v>
      </c>
      <c r="M26" s="7">
        <v>20.89</v>
      </c>
      <c r="N26" s="7">
        <v>8.6</v>
      </c>
      <c r="O26" s="7">
        <v>14.700000000000001</v>
      </c>
      <c r="P26" s="6">
        <v>0.38603483615089029</v>
      </c>
      <c r="Q26" s="6">
        <v>0.47686656230404101</v>
      </c>
      <c r="R26" s="6">
        <v>0.1370986015450687</v>
      </c>
      <c r="S26" s="4">
        <v>1355.9226876667544</v>
      </c>
      <c r="T26" s="4">
        <v>1674.9633200589321</v>
      </c>
      <c r="U26" s="4">
        <v>3030.8860077256868</v>
      </c>
      <c r="V26" s="4">
        <v>1248.6452116829551</v>
      </c>
      <c r="W26" s="4">
        <v>1542.4440850201213</v>
      </c>
      <c r="X26" s="4">
        <v>2791.0892967030763</v>
      </c>
      <c r="Y26" s="10">
        <v>43451</v>
      </c>
      <c r="Z26" s="4">
        <v>50.199999999999996</v>
      </c>
      <c r="AA26" s="5">
        <v>0.99</v>
      </c>
      <c r="AB26" s="4">
        <v>76.2</v>
      </c>
      <c r="AC26" s="4">
        <v>25.1</v>
      </c>
      <c r="AD26" s="4">
        <v>6.5</v>
      </c>
      <c r="AE26" s="4">
        <v>14.9</v>
      </c>
    </row>
    <row r="27" spans="1:31" x14ac:dyDescent="0.3">
      <c r="A27" s="1" t="s">
        <v>266</v>
      </c>
      <c r="B27" s="1" t="s">
        <v>32</v>
      </c>
      <c r="C27" s="10">
        <v>43403</v>
      </c>
      <c r="D27" s="3">
        <v>63.4</v>
      </c>
      <c r="E27" s="4">
        <v>4613.6765026246712</v>
      </c>
      <c r="F27" s="7">
        <v>29.05</v>
      </c>
      <c r="G27" s="7">
        <v>631.68000000000006</v>
      </c>
      <c r="H27" s="7">
        <v>602.63000000000011</v>
      </c>
      <c r="I27" s="7">
        <v>560.6</v>
      </c>
      <c r="J27" s="5">
        <v>6.9744287539618144</v>
      </c>
      <c r="K27" s="4">
        <v>4291.898922010836</v>
      </c>
      <c r="L27" s="10">
        <v>43440</v>
      </c>
      <c r="M27" s="7">
        <v>27.54</v>
      </c>
      <c r="N27" s="7">
        <v>11.08</v>
      </c>
      <c r="O27" s="7">
        <v>18.200000000000003</v>
      </c>
      <c r="P27" s="6">
        <v>0.38279661241915391</v>
      </c>
      <c r="Q27" s="6">
        <v>0.48908771062486084</v>
      </c>
      <c r="R27" s="6">
        <v>0.12811567695598519</v>
      </c>
      <c r="S27" s="4">
        <v>1766.0997360025738</v>
      </c>
      <c r="T27" s="4">
        <v>2256.4924782324151</v>
      </c>
      <c r="U27" s="4">
        <v>4022.5922142349891</v>
      </c>
      <c r="V27" s="4">
        <v>1642.9243681911664</v>
      </c>
      <c r="W27" s="4">
        <v>2099.115017999588</v>
      </c>
      <c r="X27" s="4">
        <v>3742.0393861907542</v>
      </c>
      <c r="Y27" s="10">
        <v>43451</v>
      </c>
      <c r="Z27" s="4">
        <v>50.4</v>
      </c>
      <c r="AA27" s="5">
        <v>1.02</v>
      </c>
      <c r="AB27" s="4">
        <v>78.400000000000006</v>
      </c>
      <c r="AC27" s="4">
        <v>26.5</v>
      </c>
      <c r="AD27" s="4">
        <v>6.4</v>
      </c>
      <c r="AE27" s="4">
        <v>13.2</v>
      </c>
    </row>
    <row r="28" spans="1:31" x14ac:dyDescent="0.3">
      <c r="A28" s="1" t="s">
        <v>267</v>
      </c>
      <c r="B28" s="1" t="s">
        <v>32</v>
      </c>
      <c r="C28" s="10">
        <v>43403</v>
      </c>
      <c r="D28" s="3">
        <v>59.2</v>
      </c>
      <c r="E28" s="4">
        <v>4301.1623293963248</v>
      </c>
      <c r="F28" s="7">
        <v>28.970000000000002</v>
      </c>
      <c r="G28" s="7">
        <v>519.62</v>
      </c>
      <c r="H28" s="7">
        <v>490.65</v>
      </c>
      <c r="I28" s="7">
        <v>455.75</v>
      </c>
      <c r="J28" s="5">
        <v>7.1130133496382308</v>
      </c>
      <c r="K28" s="4">
        <v>3995.2200787167535</v>
      </c>
      <c r="L28" s="10">
        <v>43440</v>
      </c>
      <c r="M28" s="7">
        <v>25.910000000000004</v>
      </c>
      <c r="N28" s="7">
        <v>10.44</v>
      </c>
      <c r="O28" s="7">
        <v>17.340000000000003</v>
      </c>
      <c r="P28" s="6">
        <v>0.38216198924471462</v>
      </c>
      <c r="Q28" s="6">
        <v>0.48660377512525788</v>
      </c>
      <c r="R28" s="6">
        <v>0.13123423563002756</v>
      </c>
      <c r="S28" s="4">
        <v>1643.74075186653</v>
      </c>
      <c r="T28" s="4">
        <v>2092.9618269107996</v>
      </c>
      <c r="U28" s="4">
        <v>3736.7025787773296</v>
      </c>
      <c r="V28" s="4">
        <v>1526.8212527528199</v>
      </c>
      <c r="W28" s="4">
        <v>1944.0891727598023</v>
      </c>
      <c r="X28" s="4">
        <v>3470.9104255126222</v>
      </c>
      <c r="Y28" s="10">
        <v>43451</v>
      </c>
      <c r="Z28" s="4">
        <v>46.2</v>
      </c>
      <c r="AA28" s="5">
        <v>1.06</v>
      </c>
      <c r="AB28" s="4">
        <v>76.5</v>
      </c>
      <c r="AC28" s="4">
        <v>27.6</v>
      </c>
      <c r="AD28" s="4">
        <v>6.2</v>
      </c>
      <c r="AE28" s="4">
        <v>13.6</v>
      </c>
    </row>
    <row r="29" spans="1:31" x14ac:dyDescent="0.3">
      <c r="A29" s="1" t="s">
        <v>268</v>
      </c>
      <c r="B29" s="1" t="s">
        <v>32</v>
      </c>
      <c r="C29" s="10">
        <v>43403</v>
      </c>
      <c r="D29" s="3">
        <v>59</v>
      </c>
      <c r="E29" s="4">
        <v>4286.280702099737</v>
      </c>
      <c r="F29" s="7">
        <v>29</v>
      </c>
      <c r="G29" s="7">
        <v>535.31999999999994</v>
      </c>
      <c r="H29" s="7">
        <v>506.31999999999994</v>
      </c>
      <c r="I29" s="7">
        <v>471.11999999999995</v>
      </c>
      <c r="J29" s="5">
        <v>6.9521251382524865</v>
      </c>
      <c r="K29" s="4">
        <v>3988.2931039129962</v>
      </c>
      <c r="L29" s="10">
        <v>43440</v>
      </c>
      <c r="M29" s="7">
        <v>25.61</v>
      </c>
      <c r="N29" s="7">
        <v>10.54</v>
      </c>
      <c r="O29" s="7">
        <v>17.14</v>
      </c>
      <c r="P29" s="6">
        <v>0.39075575717072164</v>
      </c>
      <c r="Q29" s="6">
        <v>0.48444105141042343</v>
      </c>
      <c r="R29" s="6">
        <v>0.12480319141885493</v>
      </c>
      <c r="S29" s="4">
        <v>1674.888861195235</v>
      </c>
      <c r="T29" s="4">
        <v>2076.4503299654048</v>
      </c>
      <c r="U29" s="4">
        <v>3751.3391911606395</v>
      </c>
      <c r="V29" s="4">
        <v>1558.4484916382905</v>
      </c>
      <c r="W29" s="4">
        <v>1932.0929045925529</v>
      </c>
      <c r="X29" s="4">
        <v>3490.5413962308435</v>
      </c>
      <c r="Y29" s="10">
        <v>43451</v>
      </c>
      <c r="Z29" s="4">
        <v>48.9</v>
      </c>
      <c r="AA29" s="5">
        <v>1.08</v>
      </c>
      <c r="AB29" s="4">
        <v>78.7</v>
      </c>
      <c r="AC29" s="4">
        <v>28.1</v>
      </c>
      <c r="AD29" s="4">
        <v>6.4</v>
      </c>
      <c r="AE29" s="4">
        <v>11.4</v>
      </c>
    </row>
    <row r="30" spans="1:31" x14ac:dyDescent="0.3">
      <c r="A30" s="1" t="s">
        <v>269</v>
      </c>
      <c r="B30" s="1" t="s">
        <v>32</v>
      </c>
      <c r="C30" s="10">
        <v>43403</v>
      </c>
      <c r="D30" s="3">
        <v>63.2</v>
      </c>
      <c r="E30" s="4">
        <v>4598.7948753280834</v>
      </c>
      <c r="F30" s="7">
        <v>29.04</v>
      </c>
      <c r="G30" s="7">
        <v>504.68</v>
      </c>
      <c r="H30" s="7">
        <v>475.64</v>
      </c>
      <c r="I30" s="7">
        <v>443.77</v>
      </c>
      <c r="J30" s="5">
        <v>6.7004457152468264</v>
      </c>
      <c r="K30" s="4">
        <v>4290.6551211511724</v>
      </c>
      <c r="L30" s="10">
        <v>43440</v>
      </c>
      <c r="M30" s="7">
        <v>27.589999999999996</v>
      </c>
      <c r="N30" s="7">
        <v>11.36</v>
      </c>
      <c r="O30" s="7">
        <v>18.18</v>
      </c>
      <c r="P30" s="6">
        <v>0.39247342567999094</v>
      </c>
      <c r="Q30" s="6">
        <v>0.48743864021125533</v>
      </c>
      <c r="R30" s="6">
        <v>0.12008793410875379</v>
      </c>
      <c r="S30" s="4">
        <v>1804.9047787195998</v>
      </c>
      <c r="T30" s="4">
        <v>2241.6303206404104</v>
      </c>
      <c r="U30" s="4">
        <v>4046.5350993600105</v>
      </c>
      <c r="V30" s="4">
        <v>1683.9681138095971</v>
      </c>
      <c r="W30" s="4">
        <v>2091.4310978693866</v>
      </c>
      <c r="X30" s="4">
        <v>3775.3992116789836</v>
      </c>
      <c r="Y30" s="10">
        <v>43451</v>
      </c>
      <c r="Z30" s="4">
        <v>51.900000000000006</v>
      </c>
      <c r="AA30" s="5">
        <v>1.02</v>
      </c>
      <c r="AB30" s="4">
        <v>78.3</v>
      </c>
      <c r="AC30" s="4">
        <v>25.8</v>
      </c>
      <c r="AD30" s="4">
        <v>6.4</v>
      </c>
      <c r="AE30" s="4">
        <v>12.9</v>
      </c>
    </row>
    <row r="31" spans="1:31" x14ac:dyDescent="0.3">
      <c r="A31" s="1" t="s">
        <v>270</v>
      </c>
      <c r="B31" s="1" t="s">
        <v>32</v>
      </c>
      <c r="C31" s="10">
        <v>43403</v>
      </c>
      <c r="D31" s="3">
        <v>54</v>
      </c>
      <c r="E31" s="4">
        <v>3914.240019685039</v>
      </c>
      <c r="F31" s="7">
        <v>29.18</v>
      </c>
      <c r="G31" s="7">
        <v>468.36</v>
      </c>
      <c r="H31" s="7">
        <v>439.18</v>
      </c>
      <c r="I31" s="7">
        <v>405.87</v>
      </c>
      <c r="J31" s="5">
        <v>7.5845894621795171</v>
      </c>
      <c r="K31" s="4">
        <v>3617.3609836275941</v>
      </c>
      <c r="L31" s="10">
        <v>43440</v>
      </c>
      <c r="M31" s="7">
        <v>23.46</v>
      </c>
      <c r="N31" s="7">
        <v>9.4600000000000009</v>
      </c>
      <c r="O31" s="7">
        <v>16.02</v>
      </c>
      <c r="P31" s="6">
        <v>0.38024747273029408</v>
      </c>
      <c r="Q31" s="6">
        <v>0.48100429154131663</v>
      </c>
      <c r="R31" s="6">
        <v>0.13874823572838935</v>
      </c>
      <c r="S31" s="4">
        <v>1488.3798751450126</v>
      </c>
      <c r="T31" s="4">
        <v>1882.7662475912714</v>
      </c>
      <c r="U31" s="4">
        <v>3371.1461227362843</v>
      </c>
      <c r="V31" s="4">
        <v>1375.4923719775634</v>
      </c>
      <c r="W31" s="4">
        <v>1739.9661571789911</v>
      </c>
      <c r="X31" s="4">
        <v>3115.4585291565545</v>
      </c>
      <c r="Y31" s="10">
        <v>43451</v>
      </c>
      <c r="Z31" s="4">
        <v>52.300000000000004</v>
      </c>
      <c r="AA31" s="5">
        <v>1.01</v>
      </c>
      <c r="AB31" s="4">
        <v>79.207920792079207</v>
      </c>
      <c r="AC31" s="4">
        <v>26.167708333333334</v>
      </c>
      <c r="AD31" s="4">
        <v>6.3427083333333343</v>
      </c>
      <c r="AE31" s="4">
        <v>14.069694244604314</v>
      </c>
    </row>
    <row r="32" spans="1:31" x14ac:dyDescent="0.3">
      <c r="A32" s="1" t="s">
        <v>271</v>
      </c>
      <c r="B32" s="1" t="s">
        <v>32</v>
      </c>
      <c r="C32" s="10">
        <v>43403</v>
      </c>
      <c r="D32" s="3">
        <v>65.599999999999994</v>
      </c>
      <c r="E32" s="4">
        <v>4777.3744028871388</v>
      </c>
      <c r="F32" s="7">
        <v>29.150000000000002</v>
      </c>
      <c r="G32" s="7">
        <v>469.69</v>
      </c>
      <c r="H32" s="7">
        <v>440.54</v>
      </c>
      <c r="I32" s="7">
        <v>408.62</v>
      </c>
      <c r="J32" s="5">
        <v>7.2456530621509998</v>
      </c>
      <c r="K32" s="4">
        <v>4431.2224281739291</v>
      </c>
      <c r="L32" s="10">
        <v>43440</v>
      </c>
      <c r="M32" s="7">
        <v>28.699999999999996</v>
      </c>
      <c r="N32" s="7">
        <v>11.440000000000001</v>
      </c>
      <c r="O32" s="7">
        <v>18.64</v>
      </c>
      <c r="P32" s="6">
        <v>0.37980222918369871</v>
      </c>
      <c r="Q32" s="6">
        <v>0.48455068638820847</v>
      </c>
      <c r="R32" s="6">
        <v>0.13564708442809287</v>
      </c>
      <c r="S32" s="4">
        <v>1814.4574478616769</v>
      </c>
      <c r="T32" s="4">
        <v>2314.8800460524208</v>
      </c>
      <c r="U32" s="4">
        <v>4129.3374939140976</v>
      </c>
      <c r="V32" s="4">
        <v>1682.9881562292605</v>
      </c>
      <c r="W32" s="4">
        <v>2147.1518691105011</v>
      </c>
      <c r="X32" s="4">
        <v>3830.1400253397615</v>
      </c>
      <c r="Y32" s="10">
        <v>43451</v>
      </c>
      <c r="Z32" s="4">
        <v>43.996772280062984</v>
      </c>
      <c r="AA32" s="5">
        <v>1.05</v>
      </c>
      <c r="AB32" s="4">
        <v>77.142857142857153</v>
      </c>
      <c r="AC32" s="4">
        <v>26.603935185185183</v>
      </c>
      <c r="AD32" s="4">
        <v>6.3206018518518521</v>
      </c>
      <c r="AE32" s="4">
        <v>12.872931654676254</v>
      </c>
    </row>
    <row r="33" spans="1:31" x14ac:dyDescent="0.3">
      <c r="A33" s="1" t="s">
        <v>272</v>
      </c>
      <c r="B33" s="1" t="s">
        <v>32</v>
      </c>
      <c r="C33" s="10">
        <v>43403</v>
      </c>
      <c r="D33" s="3">
        <v>67.800000000000011</v>
      </c>
      <c r="E33" s="4">
        <v>4941.0723031496073</v>
      </c>
      <c r="F33" s="7">
        <v>29.200000000000003</v>
      </c>
      <c r="G33" s="7">
        <v>430.33000000000004</v>
      </c>
      <c r="H33" s="7">
        <v>401.13000000000005</v>
      </c>
      <c r="I33" s="7">
        <v>374.85</v>
      </c>
      <c r="J33" s="5">
        <v>6.5514920350011288</v>
      </c>
      <c r="K33" s="4">
        <v>4617.3583447651135</v>
      </c>
      <c r="L33" s="10">
        <v>43440</v>
      </c>
      <c r="M33" s="7">
        <v>29.78</v>
      </c>
      <c r="N33" s="7">
        <v>12.16</v>
      </c>
      <c r="O33" s="7">
        <v>19.38</v>
      </c>
      <c r="P33" s="6">
        <v>0.39043148949823214</v>
      </c>
      <c r="Q33" s="6">
        <v>0.49198484704786011</v>
      </c>
      <c r="R33" s="6">
        <v>0.11758366345390775</v>
      </c>
      <c r="S33" s="4">
        <v>1929.1502190371616</v>
      </c>
      <c r="T33" s="4">
        <v>2430.9327013174775</v>
      </c>
      <c r="U33" s="4">
        <v>4360.0829203546391</v>
      </c>
      <c r="V33" s="4">
        <v>1802.762096093735</v>
      </c>
      <c r="W33" s="4">
        <v>2271.6703390144248</v>
      </c>
      <c r="X33" s="4">
        <v>4074.4324351081596</v>
      </c>
      <c r="Y33" s="10">
        <v>43451</v>
      </c>
      <c r="Z33" s="4">
        <v>50.099999999999994</v>
      </c>
      <c r="AA33" s="5">
        <v>1.04</v>
      </c>
      <c r="AB33" s="4">
        <v>77.400000000000006</v>
      </c>
      <c r="AC33" s="4">
        <v>27.5</v>
      </c>
      <c r="AD33" s="4">
        <v>6.5</v>
      </c>
      <c r="AE33" s="4">
        <v>13.7</v>
      </c>
    </row>
    <row r="34" spans="1:31" x14ac:dyDescent="0.3">
      <c r="A34" s="1" t="s">
        <v>273</v>
      </c>
      <c r="B34" s="1" t="s">
        <v>32</v>
      </c>
      <c r="C34" s="10">
        <v>43403</v>
      </c>
      <c r="D34" s="3">
        <v>67.8</v>
      </c>
      <c r="E34" s="4">
        <v>4941.0723031496063</v>
      </c>
      <c r="F34" s="7">
        <v>29</v>
      </c>
      <c r="G34" s="7">
        <v>464.93</v>
      </c>
      <c r="H34" s="7">
        <v>435.93</v>
      </c>
      <c r="I34" s="7">
        <v>406.59000000000003</v>
      </c>
      <c r="J34" s="5">
        <v>6.7304383731332944</v>
      </c>
      <c r="K34" s="4">
        <v>4608.516476814164</v>
      </c>
      <c r="L34" s="10">
        <v>43440</v>
      </c>
      <c r="M34" s="7">
        <v>29.740000000000002</v>
      </c>
      <c r="N34" s="7">
        <v>12.239999999999998</v>
      </c>
      <c r="O34" s="7">
        <v>19</v>
      </c>
      <c r="P34" s="6">
        <v>0.39371648877467769</v>
      </c>
      <c r="Q34" s="6">
        <v>0.4796057751565882</v>
      </c>
      <c r="R34" s="6">
        <v>0.12667773606873411</v>
      </c>
      <c r="S34" s="4">
        <v>1945.3816379778727</v>
      </c>
      <c r="T34" s="4">
        <v>2369.7668120568155</v>
      </c>
      <c r="U34" s="4">
        <v>4315.1484500346887</v>
      </c>
      <c r="V34" s="4">
        <v>1814.448925711521</v>
      </c>
      <c r="W34" s="4">
        <v>2210.2711171843657</v>
      </c>
      <c r="X34" s="4">
        <v>4024.7200428958868</v>
      </c>
      <c r="Y34" s="10">
        <v>43451</v>
      </c>
      <c r="Z34" s="4">
        <v>51.8</v>
      </c>
      <c r="AA34" s="5">
        <v>1.04</v>
      </c>
      <c r="AB34" s="4">
        <v>78.900000000000006</v>
      </c>
      <c r="AC34" s="4">
        <v>26.6</v>
      </c>
      <c r="AD34" s="4">
        <v>6.4</v>
      </c>
      <c r="AE34" s="4">
        <v>11.9</v>
      </c>
    </row>
    <row r="35" spans="1:31" x14ac:dyDescent="0.3">
      <c r="A35" s="1" t="s">
        <v>274</v>
      </c>
      <c r="B35" s="1" t="s">
        <v>32</v>
      </c>
      <c r="C35" s="10">
        <v>43403</v>
      </c>
      <c r="D35" s="3">
        <v>49.099999999999994</v>
      </c>
      <c r="E35" s="4">
        <v>3549.6401509186348</v>
      </c>
      <c r="F35" s="7">
        <v>29.08</v>
      </c>
      <c r="G35" s="7">
        <v>496.05000000000007</v>
      </c>
      <c r="H35" s="7">
        <v>466.97000000000008</v>
      </c>
      <c r="I35" s="7">
        <v>436.50000000000006</v>
      </c>
      <c r="J35" s="5">
        <v>6.525044435402708</v>
      </c>
      <c r="K35" s="4">
        <v>3318.0245537742985</v>
      </c>
      <c r="L35" s="10">
        <v>43440</v>
      </c>
      <c r="M35" s="7">
        <v>21.5</v>
      </c>
      <c r="N35" s="7">
        <v>8.58</v>
      </c>
      <c r="O35" s="7">
        <v>15.42</v>
      </c>
      <c r="P35" s="6">
        <v>0.37379166166608502</v>
      </c>
      <c r="Q35" s="6">
        <v>0.49743044206332848</v>
      </c>
      <c r="R35" s="6">
        <v>0.1287778962705865</v>
      </c>
      <c r="S35" s="4">
        <v>1326.8258903285293</v>
      </c>
      <c r="T35" s="4">
        <v>1765.6990694371966</v>
      </c>
      <c r="U35" s="4">
        <v>3092.5249597657257</v>
      </c>
      <c r="V35" s="4">
        <v>1240.2499114041652</v>
      </c>
      <c r="W35" s="4">
        <v>1650.4864205609276</v>
      </c>
      <c r="X35" s="4">
        <v>2890.7363319650931</v>
      </c>
      <c r="Y35" s="10">
        <v>43451</v>
      </c>
      <c r="Z35" s="4">
        <v>43.3</v>
      </c>
      <c r="AA35" s="5">
        <v>1.02</v>
      </c>
      <c r="AB35" s="4">
        <v>76.8</v>
      </c>
      <c r="AC35" s="4">
        <v>26.3</v>
      </c>
      <c r="AD35" s="4">
        <v>6.4</v>
      </c>
      <c r="AE35" s="4">
        <v>13.5</v>
      </c>
    </row>
    <row r="36" spans="1:31" x14ac:dyDescent="0.3">
      <c r="A36" s="1" t="s">
        <v>275</v>
      </c>
      <c r="B36" s="1" t="s">
        <v>32</v>
      </c>
      <c r="C36" s="10">
        <v>43403</v>
      </c>
      <c r="D36" s="3">
        <v>54.8</v>
      </c>
      <c r="E36" s="4">
        <v>3973.7665288713902</v>
      </c>
      <c r="F36" s="7">
        <v>29.169999999999998</v>
      </c>
      <c r="G36" s="7">
        <v>438.85999999999996</v>
      </c>
      <c r="H36" s="7">
        <v>409.68999999999994</v>
      </c>
      <c r="I36" s="7">
        <v>381.98</v>
      </c>
      <c r="J36" s="5">
        <v>6.7636505650613703</v>
      </c>
      <c r="K36" s="4">
        <v>3704.9948465871607</v>
      </c>
      <c r="L36" s="10">
        <v>43440</v>
      </c>
      <c r="M36" s="7">
        <v>24.05</v>
      </c>
      <c r="N36" s="7">
        <v>9.82</v>
      </c>
      <c r="O36" s="7">
        <v>16.28</v>
      </c>
      <c r="P36" s="6">
        <v>0.38604038410478447</v>
      </c>
      <c r="Q36" s="6">
        <v>0.47998826519223203</v>
      </c>
      <c r="R36" s="6">
        <v>0.13397135070298349</v>
      </c>
      <c r="S36" s="4">
        <v>1534.0343571482476</v>
      </c>
      <c r="T36" s="4">
        <v>1907.3613024719361</v>
      </c>
      <c r="U36" s="4">
        <v>3441.3956596201838</v>
      </c>
      <c r="V36" s="4">
        <v>1430.2776336827546</v>
      </c>
      <c r="W36" s="4">
        <v>1778.3540489595312</v>
      </c>
      <c r="X36" s="4">
        <v>3208.6316826422858</v>
      </c>
      <c r="Y36" s="10">
        <v>43451</v>
      </c>
      <c r="Z36" s="4">
        <v>46.478367321892442</v>
      </c>
      <c r="AA36" s="5">
        <v>0.99</v>
      </c>
      <c r="AB36" s="4">
        <v>78.787878787878796</v>
      </c>
      <c r="AC36" s="4">
        <v>25.295254629629628</v>
      </c>
      <c r="AD36" s="4">
        <v>6.3869212962962969</v>
      </c>
      <c r="AE36" s="4">
        <v>14.668075539568342</v>
      </c>
    </row>
    <row r="37" spans="1:31" x14ac:dyDescent="0.3">
      <c r="A37" s="1" t="s">
        <v>276</v>
      </c>
      <c r="B37" s="1" t="s">
        <v>32</v>
      </c>
      <c r="C37" s="10">
        <v>43403</v>
      </c>
      <c r="D37" s="3">
        <v>45.3</v>
      </c>
      <c r="E37" s="4">
        <v>3266.8892322834636</v>
      </c>
      <c r="F37" s="7">
        <v>29.07</v>
      </c>
      <c r="G37" s="7">
        <v>448.62</v>
      </c>
      <c r="H37" s="7">
        <v>419.55</v>
      </c>
      <c r="I37" s="7">
        <v>389.19000000000005</v>
      </c>
      <c r="J37" s="5">
        <v>7.2363246335359204</v>
      </c>
      <c r="K37" s="4">
        <v>3030.4865220174029</v>
      </c>
      <c r="L37" s="10">
        <v>43440</v>
      </c>
      <c r="M37" s="7">
        <v>19.79</v>
      </c>
      <c r="N37" s="7">
        <v>8.16</v>
      </c>
      <c r="O37" s="7">
        <v>14.18</v>
      </c>
      <c r="P37" s="6">
        <v>0.38523296276476615</v>
      </c>
      <c r="Q37" s="6">
        <v>0.47710423843766436</v>
      </c>
      <c r="R37" s="6">
        <v>0.13766279879756949</v>
      </c>
      <c r="S37" s="4">
        <v>1258.5134179768711</v>
      </c>
      <c r="T37" s="4">
        <v>1558.6466992288078</v>
      </c>
      <c r="U37" s="4">
        <v>2817.1601172056789</v>
      </c>
      <c r="V37" s="4">
        <v>1167.4433014954559</v>
      </c>
      <c r="W37" s="4">
        <v>1445.8579641827191</v>
      </c>
      <c r="X37" s="4">
        <v>2613.3012656781748</v>
      </c>
      <c r="Y37" s="10">
        <v>43451</v>
      </c>
      <c r="Z37" s="4">
        <v>50.7</v>
      </c>
      <c r="AA37" s="5">
        <v>0.98</v>
      </c>
      <c r="AB37" s="4">
        <v>77</v>
      </c>
      <c r="AC37" s="4">
        <v>25.6</v>
      </c>
      <c r="AD37" s="4">
        <v>6.4</v>
      </c>
      <c r="AE37" s="4">
        <v>13.1</v>
      </c>
    </row>
    <row r="38" spans="1:31" x14ac:dyDescent="0.3">
      <c r="A38" s="1" t="s">
        <v>277</v>
      </c>
      <c r="B38" s="1" t="s">
        <v>32</v>
      </c>
      <c r="C38" s="10">
        <v>43403</v>
      </c>
      <c r="D38" s="3">
        <v>47.2</v>
      </c>
      <c r="E38" s="4">
        <v>3408.2646916010499</v>
      </c>
      <c r="F38" s="7">
        <v>29.049999999999997</v>
      </c>
      <c r="G38" s="7">
        <v>489.77</v>
      </c>
      <c r="H38" s="7">
        <v>460.71999999999997</v>
      </c>
      <c r="I38" s="7">
        <v>429.27</v>
      </c>
      <c r="J38" s="5">
        <v>6.8262719222087149</v>
      </c>
      <c r="K38" s="4">
        <v>3175.6072759237341</v>
      </c>
      <c r="L38" s="10">
        <v>43440</v>
      </c>
      <c r="M38" s="7">
        <v>20.560000000000002</v>
      </c>
      <c r="N38" s="7">
        <v>8.4600000000000009</v>
      </c>
      <c r="O38" s="7">
        <v>14.599999999999998</v>
      </c>
      <c r="P38" s="6">
        <v>0.38540210905964756</v>
      </c>
      <c r="Q38" s="6">
        <v>0.47974533367320699</v>
      </c>
      <c r="R38" s="6">
        <v>0.13485255726714546</v>
      </c>
      <c r="S38" s="4">
        <v>1313.5524003765738</v>
      </c>
      <c r="T38" s="4">
        <v>1635.0990817187555</v>
      </c>
      <c r="U38" s="4">
        <v>2948.6514820953294</v>
      </c>
      <c r="V38" s="4">
        <v>1223.8857416861692</v>
      </c>
      <c r="W38" s="4">
        <v>1523.4827722030957</v>
      </c>
      <c r="X38" s="4">
        <v>2747.3685138892652</v>
      </c>
      <c r="Y38" s="10">
        <v>43451</v>
      </c>
      <c r="Z38" s="4">
        <v>53</v>
      </c>
      <c r="AA38" s="5">
        <v>0.97</v>
      </c>
      <c r="AB38" s="4">
        <v>76.099999999999994</v>
      </c>
      <c r="AC38" s="4">
        <v>24.7</v>
      </c>
      <c r="AD38" s="4">
        <v>6.5</v>
      </c>
      <c r="AE38" s="4">
        <v>14.9</v>
      </c>
    </row>
    <row r="39" spans="1:31" x14ac:dyDescent="0.3">
      <c r="A39" s="1" t="s">
        <v>278</v>
      </c>
      <c r="B39" s="1" t="s">
        <v>32</v>
      </c>
      <c r="C39" s="10">
        <v>43403</v>
      </c>
      <c r="D39" s="3">
        <v>47.5</v>
      </c>
      <c r="E39" s="4">
        <v>3430.587132545932</v>
      </c>
      <c r="F39" s="7">
        <v>29.17</v>
      </c>
      <c r="G39" s="7">
        <v>439.43000000000006</v>
      </c>
      <c r="H39" s="7">
        <v>410.26000000000005</v>
      </c>
      <c r="I39" s="7">
        <v>385.40999999999997</v>
      </c>
      <c r="J39" s="5">
        <v>6.0571345000731425</v>
      </c>
      <c r="K39" s="4">
        <v>3222.7918557854223</v>
      </c>
      <c r="L39" s="10">
        <v>43440</v>
      </c>
      <c r="M39" s="7">
        <v>20.9</v>
      </c>
      <c r="N39" s="7">
        <v>8.33</v>
      </c>
      <c r="O39" s="7">
        <v>15.180000000000001</v>
      </c>
      <c r="P39" s="6">
        <v>0.37252237171508268</v>
      </c>
      <c r="Q39" s="6">
        <v>0.50031481446237602</v>
      </c>
      <c r="R39" s="6">
        <v>0.12716281382254124</v>
      </c>
      <c r="S39" s="4">
        <v>1277.9704549912553</v>
      </c>
      <c r="T39" s="4">
        <v>1716.3735647167325</v>
      </c>
      <c r="U39" s="4">
        <v>2994.3440197079881</v>
      </c>
      <c r="V39" s="4">
        <v>1200.5620656612382</v>
      </c>
      <c r="W39" s="4">
        <v>1612.41050937814</v>
      </c>
      <c r="X39" s="4">
        <v>2812.9725750393782</v>
      </c>
      <c r="Y39" s="10">
        <v>43451</v>
      </c>
      <c r="Z39" s="4">
        <v>44.699999999999996</v>
      </c>
      <c r="AA39" s="5">
        <v>1.08</v>
      </c>
      <c r="AB39" s="4">
        <v>79.3</v>
      </c>
      <c r="AC39" s="4">
        <v>29</v>
      </c>
      <c r="AD39" s="4">
        <v>6.3</v>
      </c>
      <c r="AE39" s="4">
        <v>11.6</v>
      </c>
    </row>
    <row r="40" spans="1:31" x14ac:dyDescent="0.3">
      <c r="A40" s="1" t="s">
        <v>279</v>
      </c>
      <c r="B40" s="1" t="s">
        <v>32</v>
      </c>
      <c r="C40" s="10">
        <v>43403</v>
      </c>
      <c r="D40" s="3">
        <v>57.5</v>
      </c>
      <c r="E40" s="4">
        <v>4174.6684973753281</v>
      </c>
      <c r="F40" s="7">
        <v>29.05</v>
      </c>
      <c r="G40" s="7">
        <v>510.67</v>
      </c>
      <c r="H40" s="7">
        <v>481.62</v>
      </c>
      <c r="I40" s="7">
        <v>449.15999999999997</v>
      </c>
      <c r="J40" s="5">
        <v>6.7397533325028114</v>
      </c>
      <c r="K40" s="4">
        <v>3893.3061382025294</v>
      </c>
      <c r="L40" s="10">
        <v>43440</v>
      </c>
      <c r="M40" s="7">
        <v>25.299999999999997</v>
      </c>
      <c r="N40" s="7">
        <v>10.220000000000001</v>
      </c>
      <c r="O40" s="7">
        <v>16.920000000000002</v>
      </c>
      <c r="P40" s="6">
        <v>0.38269382068941687</v>
      </c>
      <c r="Q40" s="6">
        <v>0.48161044383371532</v>
      </c>
      <c r="R40" s="6">
        <v>0.13569573547686786</v>
      </c>
      <c r="S40" s="4">
        <v>1597.6198373723112</v>
      </c>
      <c r="T40" s="4">
        <v>2010.5639478795613</v>
      </c>
      <c r="U40" s="4">
        <v>3608.1837852518725</v>
      </c>
      <c r="V40" s="4">
        <v>1489.9442011422848</v>
      </c>
      <c r="W40" s="4">
        <v>1875.0568972002484</v>
      </c>
      <c r="X40" s="4">
        <v>3365.0010983425332</v>
      </c>
      <c r="Y40" s="10">
        <v>43451</v>
      </c>
      <c r="Z40" s="4">
        <v>49.1</v>
      </c>
      <c r="AA40" s="5">
        <v>1.02</v>
      </c>
      <c r="AB40" s="4">
        <v>77.7</v>
      </c>
      <c r="AC40" s="4">
        <v>27.8</v>
      </c>
      <c r="AD40" s="4">
        <v>6.4</v>
      </c>
      <c r="AE40" s="4">
        <v>13.9</v>
      </c>
    </row>
    <row r="41" spans="1:31" x14ac:dyDescent="0.3">
      <c r="A41" s="1" t="s">
        <v>280</v>
      </c>
      <c r="B41" s="1" t="s">
        <v>32</v>
      </c>
      <c r="C41" s="10">
        <v>43403</v>
      </c>
      <c r="D41" s="3">
        <v>35.800000000000004</v>
      </c>
      <c r="E41" s="4">
        <v>2560.0119356955379</v>
      </c>
      <c r="F41" s="7">
        <v>29.019999999999996</v>
      </c>
      <c r="G41" s="7">
        <v>397.35</v>
      </c>
      <c r="H41" s="7">
        <v>368.33000000000004</v>
      </c>
      <c r="I41" s="7">
        <v>342.38</v>
      </c>
      <c r="J41" s="5">
        <v>7.0453126272636073</v>
      </c>
      <c r="K41" s="4">
        <v>2379.6510915305244</v>
      </c>
      <c r="L41" s="10">
        <v>43440</v>
      </c>
      <c r="M41" s="7">
        <v>15.54</v>
      </c>
      <c r="N41" s="7">
        <v>6.5399999999999991</v>
      </c>
      <c r="O41" s="7">
        <v>12.2</v>
      </c>
      <c r="P41" s="6">
        <v>0.38638945402147817</v>
      </c>
      <c r="Q41" s="6">
        <v>0.48030355742947639</v>
      </c>
      <c r="R41" s="6">
        <v>0.13330698854904544</v>
      </c>
      <c r="S41" s="4">
        <v>989.16161412186636</v>
      </c>
      <c r="T41" s="4">
        <v>1229.5828397764867</v>
      </c>
      <c r="U41" s="4">
        <v>2218.7444538983532</v>
      </c>
      <c r="V41" s="4">
        <v>919.47208601809393</v>
      </c>
      <c r="W41" s="4">
        <v>1142.9548847030474</v>
      </c>
      <c r="X41" s="4">
        <v>2062.4269707211415</v>
      </c>
      <c r="Y41" s="10">
        <v>43451</v>
      </c>
      <c r="Z41" s="4">
        <v>49.6</v>
      </c>
      <c r="AA41" s="5">
        <v>0.97</v>
      </c>
      <c r="AB41" s="4">
        <v>77.099999999999994</v>
      </c>
      <c r="AC41" s="4">
        <v>25.7</v>
      </c>
      <c r="AD41" s="4">
        <v>6.4</v>
      </c>
      <c r="AE41" s="4">
        <v>14.1</v>
      </c>
    </row>
    <row r="42" spans="1:31" x14ac:dyDescent="0.3">
      <c r="A42" s="1" t="s">
        <v>281</v>
      </c>
      <c r="B42" s="1" t="s">
        <v>32</v>
      </c>
      <c r="C42" s="10">
        <v>43403</v>
      </c>
      <c r="D42" s="3">
        <v>35.799999999999997</v>
      </c>
      <c r="E42" s="4">
        <v>2560.0119356955374</v>
      </c>
      <c r="F42" s="7">
        <v>28.990000000000002</v>
      </c>
      <c r="G42" s="7">
        <v>458.73</v>
      </c>
      <c r="H42" s="7">
        <v>429.74</v>
      </c>
      <c r="I42" s="7">
        <v>401.04999999999995</v>
      </c>
      <c r="J42" s="5">
        <v>6.6761297528738437</v>
      </c>
      <c r="K42" s="4">
        <v>2389.1022171794461</v>
      </c>
      <c r="L42" s="10">
        <v>43440</v>
      </c>
      <c r="M42" s="7">
        <v>15.470000000000002</v>
      </c>
      <c r="N42" s="7">
        <v>6.46</v>
      </c>
      <c r="O42" s="7">
        <v>12.280000000000001</v>
      </c>
      <c r="P42" s="6">
        <v>0.38282054624507372</v>
      </c>
      <c r="Q42" s="6">
        <v>0.48796140049548137</v>
      </c>
      <c r="R42" s="6">
        <v>0.12921805325944485</v>
      </c>
      <c r="S42" s="4">
        <v>980.02516761687423</v>
      </c>
      <c r="T42" s="4">
        <v>1249.1870094271426</v>
      </c>
      <c r="U42" s="4">
        <v>2229.2121770440167</v>
      </c>
      <c r="V42" s="4">
        <v>914.59741581595233</v>
      </c>
      <c r="W42" s="4">
        <v>1165.7896638217421</v>
      </c>
      <c r="X42" s="4">
        <v>2080.3870796376946</v>
      </c>
      <c r="Y42" s="10">
        <v>43451</v>
      </c>
      <c r="Z42" s="4">
        <v>51.900000000000006</v>
      </c>
      <c r="AA42" s="5">
        <v>0.99</v>
      </c>
      <c r="AB42" s="4">
        <v>77.5</v>
      </c>
      <c r="AC42" s="4">
        <v>24.5</v>
      </c>
      <c r="AD42" s="4">
        <v>6.1</v>
      </c>
      <c r="AE42" s="4">
        <v>13.1</v>
      </c>
    </row>
    <row r="43" spans="1:31" x14ac:dyDescent="0.3">
      <c r="A43" s="1" t="s">
        <v>282</v>
      </c>
      <c r="B43" s="1" t="s">
        <v>32</v>
      </c>
      <c r="C43" s="10">
        <v>43403</v>
      </c>
      <c r="D43" s="3">
        <v>60.2</v>
      </c>
      <c r="E43" s="4">
        <v>4375.5704658792647</v>
      </c>
      <c r="F43" s="7">
        <v>29.160000000000004</v>
      </c>
      <c r="G43" s="7">
        <v>563.09</v>
      </c>
      <c r="H43" s="7">
        <v>533.93000000000006</v>
      </c>
      <c r="I43" s="7">
        <v>500.76</v>
      </c>
      <c r="J43" s="5">
        <v>6.2124248496994117</v>
      </c>
      <c r="K43" s="4">
        <v>4103.7414389408732</v>
      </c>
      <c r="L43" s="10">
        <v>43440</v>
      </c>
      <c r="M43" s="7">
        <v>26.28</v>
      </c>
      <c r="N43" s="7">
        <v>10.5</v>
      </c>
      <c r="O43" s="7">
        <v>17.380000000000003</v>
      </c>
      <c r="P43" s="6">
        <v>0.37898816084498976</v>
      </c>
      <c r="Q43" s="6">
        <v>0.48114340584641713</v>
      </c>
      <c r="R43" s="6">
        <v>0.13986843330859311</v>
      </c>
      <c r="S43" s="4">
        <v>1658.2894035112377</v>
      </c>
      <c r="T43" s="4">
        <v>2105.2768764741436</v>
      </c>
      <c r="U43" s="4">
        <v>3763.5662799853812</v>
      </c>
      <c r="V43" s="4">
        <v>1555.2694205275734</v>
      </c>
      <c r="W43" s="4">
        <v>1974.4881326450884</v>
      </c>
      <c r="X43" s="4">
        <v>3529.7575531726616</v>
      </c>
      <c r="Y43" s="10">
        <v>43451</v>
      </c>
      <c r="Z43" s="4">
        <v>47.800000000000004</v>
      </c>
      <c r="AA43" s="5">
        <v>1.03</v>
      </c>
      <c r="AB43" s="4">
        <v>77.5</v>
      </c>
      <c r="AC43" s="4">
        <v>26.3</v>
      </c>
      <c r="AD43" s="4">
        <v>6.4</v>
      </c>
      <c r="AE43" s="4">
        <v>13.5</v>
      </c>
    </row>
    <row r="44" spans="1:31" x14ac:dyDescent="0.3">
      <c r="A44" s="1" t="s">
        <v>283</v>
      </c>
      <c r="B44" s="1" t="s">
        <v>32</v>
      </c>
      <c r="C44" s="10">
        <v>43403</v>
      </c>
      <c r="D44" s="3">
        <v>52.7</v>
      </c>
      <c r="E44" s="4">
        <v>3817.5094422572174</v>
      </c>
      <c r="F44" s="7">
        <v>29.1</v>
      </c>
      <c r="G44" s="7">
        <v>467.94</v>
      </c>
      <c r="H44" s="7">
        <v>438.84</v>
      </c>
      <c r="I44" s="7">
        <v>411.39</v>
      </c>
      <c r="J44" s="5">
        <v>6.2551271534044268</v>
      </c>
      <c r="K44" s="4">
        <v>3578.7193725508082</v>
      </c>
      <c r="L44" s="10">
        <v>43440</v>
      </c>
      <c r="M44" s="7">
        <v>23.03</v>
      </c>
      <c r="N44" s="7">
        <v>9.32</v>
      </c>
      <c r="O44" s="7">
        <v>15.64</v>
      </c>
      <c r="P44" s="6">
        <v>0.38129699553558727</v>
      </c>
      <c r="Q44" s="6">
        <v>0.47327261740951115</v>
      </c>
      <c r="R44" s="6">
        <v>0.14543038705490158</v>
      </c>
      <c r="S44" s="4">
        <v>1455.6048807614125</v>
      </c>
      <c r="T44" s="4">
        <v>1806.7226857225965</v>
      </c>
      <c r="U44" s="4">
        <v>3262.3275664840089</v>
      </c>
      <c r="V44" s="4">
        <v>1364.5549446186251</v>
      </c>
      <c r="W44" s="4">
        <v>1693.7098844212444</v>
      </c>
      <c r="X44" s="4">
        <v>3058.2648290398693</v>
      </c>
      <c r="Y44" s="10">
        <v>43451</v>
      </c>
      <c r="Z44" s="4">
        <v>51.6</v>
      </c>
      <c r="AA44" s="5">
        <v>0.97</v>
      </c>
      <c r="AB44" s="4">
        <v>75</v>
      </c>
      <c r="AC44" s="4">
        <v>24.2</v>
      </c>
      <c r="AD44" s="4">
        <v>6.7</v>
      </c>
      <c r="AE44" s="4">
        <v>16.100000000000001</v>
      </c>
    </row>
    <row r="45" spans="1:31" x14ac:dyDescent="0.3">
      <c r="A45" s="1" t="s">
        <v>284</v>
      </c>
      <c r="B45" s="1" t="s">
        <v>32</v>
      </c>
      <c r="C45" s="10">
        <v>43403</v>
      </c>
      <c r="D45" s="3">
        <v>47.3</v>
      </c>
      <c r="E45" s="4">
        <v>3415.7055052493429</v>
      </c>
      <c r="F45" s="7">
        <v>29.13</v>
      </c>
      <c r="G45" s="7">
        <v>464.78</v>
      </c>
      <c r="H45" s="7">
        <v>435.65</v>
      </c>
      <c r="I45" s="7">
        <v>404.46</v>
      </c>
      <c r="J45" s="5">
        <v>7.159416963158499</v>
      </c>
      <c r="K45" s="4">
        <v>3171.160905894983</v>
      </c>
      <c r="L45" s="10">
        <v>43440</v>
      </c>
      <c r="M45" s="7">
        <v>20.57</v>
      </c>
      <c r="N45" s="7">
        <v>8.44</v>
      </c>
      <c r="O45" s="7">
        <v>14.559999999999999</v>
      </c>
      <c r="P45" s="6">
        <v>0.384205653477249</v>
      </c>
      <c r="Q45" s="6">
        <v>0.47749841006571941</v>
      </c>
      <c r="R45" s="6">
        <v>0.13829593645703159</v>
      </c>
      <c r="S45" s="4">
        <v>1312.3333657301607</v>
      </c>
      <c r="T45" s="4">
        <v>1630.993948009286</v>
      </c>
      <c r="U45" s="4">
        <v>2943.3273137394467</v>
      </c>
      <c r="V45" s="4">
        <v>1218.3779481308868</v>
      </c>
      <c r="W45" s="4">
        <v>1514.2242906274209</v>
      </c>
      <c r="X45" s="4">
        <v>2732.602238758308</v>
      </c>
      <c r="Y45" s="10">
        <v>43451</v>
      </c>
      <c r="Z45" s="4">
        <v>49.192495244328981</v>
      </c>
      <c r="AA45" s="5">
        <v>0.97</v>
      </c>
      <c r="AB45" s="4">
        <v>77.319587628865989</v>
      </c>
      <c r="AC45" s="4">
        <v>23.986574074074074</v>
      </c>
      <c r="AD45" s="4">
        <v>6.4532407407407408</v>
      </c>
      <c r="AE45" s="4">
        <v>15.266456834532374</v>
      </c>
    </row>
    <row r="46" spans="1:31" x14ac:dyDescent="0.3">
      <c r="A46" s="1" t="s">
        <v>285</v>
      </c>
      <c r="B46" s="1" t="s">
        <v>32</v>
      </c>
      <c r="C46" s="10">
        <v>43403</v>
      </c>
      <c r="D46" s="3">
        <v>41.300000000000004</v>
      </c>
      <c r="E46" s="4">
        <v>2969.2566863517063</v>
      </c>
      <c r="F46" s="7">
        <v>29.159999999999997</v>
      </c>
      <c r="G46" s="7">
        <v>456.53</v>
      </c>
      <c r="H46" s="7">
        <v>427.37</v>
      </c>
      <c r="I46" s="7">
        <v>400.41</v>
      </c>
      <c r="J46" s="5">
        <v>6.3083510775206451</v>
      </c>
      <c r="K46" s="4">
        <v>2781.9455501838847</v>
      </c>
      <c r="L46" s="10">
        <v>43440</v>
      </c>
      <c r="M46" s="7">
        <v>17.64</v>
      </c>
      <c r="N46" s="7">
        <v>7.24</v>
      </c>
      <c r="O46" s="7">
        <v>13.120000000000001</v>
      </c>
      <c r="P46" s="6">
        <v>0.37983825235982627</v>
      </c>
      <c r="Q46" s="6">
        <v>0.47509180790516981</v>
      </c>
      <c r="R46" s="6">
        <v>0.14506993973500393</v>
      </c>
      <c r="S46" s="4">
        <v>1127.837270551561</v>
      </c>
      <c r="T46" s="4">
        <v>1410.6695272533459</v>
      </c>
      <c r="U46" s="4">
        <v>2538.5067978049069</v>
      </c>
      <c r="V46" s="4">
        <v>1056.6893359420421</v>
      </c>
      <c r="W46" s="4">
        <v>1321.6795409306042</v>
      </c>
      <c r="X46" s="4">
        <v>2378.3688768726461</v>
      </c>
      <c r="Y46" s="10">
        <v>43451</v>
      </c>
      <c r="Z46" s="4">
        <v>52.5</v>
      </c>
      <c r="AA46" s="5">
        <v>1</v>
      </c>
      <c r="AB46" s="4">
        <v>77.900000000000006</v>
      </c>
      <c r="AC46" s="4">
        <v>25.4</v>
      </c>
      <c r="AD46" s="4">
        <v>6.2</v>
      </c>
      <c r="AE46" s="4">
        <v>13.6</v>
      </c>
    </row>
    <row r="47" spans="1:31" x14ac:dyDescent="0.3">
      <c r="A47" s="1" t="s">
        <v>286</v>
      </c>
      <c r="B47" s="1" t="s">
        <v>32</v>
      </c>
      <c r="C47" s="10">
        <v>43403</v>
      </c>
      <c r="D47" s="3">
        <v>57.800000000000004</v>
      </c>
      <c r="E47" s="4">
        <v>4196.9909383202103</v>
      </c>
      <c r="F47" s="7">
        <v>29.1</v>
      </c>
      <c r="G47" s="7">
        <v>480.07</v>
      </c>
      <c r="H47" s="7">
        <v>450.96999999999997</v>
      </c>
      <c r="I47" s="7">
        <v>420.44000000000005</v>
      </c>
      <c r="J47" s="5">
        <v>6.7698516531032924</v>
      </c>
      <c r="K47" s="4">
        <v>3912.8608779017445</v>
      </c>
      <c r="L47" s="10">
        <v>43440</v>
      </c>
      <c r="M47" s="7">
        <v>25.28</v>
      </c>
      <c r="N47" s="7">
        <v>9.86</v>
      </c>
      <c r="O47" s="7">
        <v>16.96</v>
      </c>
      <c r="P47" s="6">
        <v>0.36839825917443647</v>
      </c>
      <c r="Q47" s="6">
        <v>0.4836241464052074</v>
      </c>
      <c r="R47" s="6">
        <v>0.14797759442035613</v>
      </c>
      <c r="S47" s="4">
        <v>1546.1641554480502</v>
      </c>
      <c r="T47" s="4">
        <v>2029.7661600155022</v>
      </c>
      <c r="U47" s="4">
        <v>3575.9303154635527</v>
      </c>
      <c r="V47" s="4">
        <v>1441.4911358107599</v>
      </c>
      <c r="W47" s="4">
        <v>1892.3540020775617</v>
      </c>
      <c r="X47" s="4">
        <v>3333.8451378883219</v>
      </c>
      <c r="Y47" s="10">
        <v>43451</v>
      </c>
      <c r="Z47" s="4">
        <v>44.699999999999996</v>
      </c>
      <c r="AA47" s="5">
        <v>1.07</v>
      </c>
      <c r="AB47" s="4">
        <v>77.3</v>
      </c>
      <c r="AC47" s="4">
        <v>28.7</v>
      </c>
      <c r="AD47" s="4">
        <v>6.4</v>
      </c>
      <c r="AE47" s="4">
        <v>12.2</v>
      </c>
    </row>
    <row r="48" spans="1:31" x14ac:dyDescent="0.3">
      <c r="A48" s="1" t="s">
        <v>287</v>
      </c>
      <c r="B48" s="1" t="s">
        <v>32</v>
      </c>
      <c r="C48" s="10">
        <v>43403</v>
      </c>
      <c r="D48" s="3">
        <v>55.300000000000004</v>
      </c>
      <c r="E48" s="4">
        <v>4010.9705971128606</v>
      </c>
      <c r="F48" s="7">
        <v>29.1</v>
      </c>
      <c r="G48" s="7">
        <v>441.71</v>
      </c>
      <c r="H48" s="7">
        <v>412.60999999999996</v>
      </c>
      <c r="I48" s="7">
        <v>385.17000000000007</v>
      </c>
      <c r="J48" s="5">
        <v>6.6503477860449065</v>
      </c>
      <c r="K48" s="4">
        <v>3744.227102808853</v>
      </c>
      <c r="L48" s="10">
        <v>43440</v>
      </c>
      <c r="M48" s="7">
        <v>24.4</v>
      </c>
      <c r="N48" s="7">
        <v>9.6</v>
      </c>
      <c r="O48" s="7">
        <v>16.579999999999998</v>
      </c>
      <c r="P48" s="6">
        <v>0.3710990553267105</v>
      </c>
      <c r="Q48" s="6">
        <v>0.48554230141385929</v>
      </c>
      <c r="R48" s="6">
        <v>0.14335864325943021</v>
      </c>
      <c r="S48" s="4">
        <v>1488.4673995317944</v>
      </c>
      <c r="T48" s="4">
        <v>1947.4958946254997</v>
      </c>
      <c r="U48" s="4">
        <v>3435.9632941572941</v>
      </c>
      <c r="V48" s="4">
        <v>1389.4791407810314</v>
      </c>
      <c r="W48" s="4">
        <v>1817.9806445139573</v>
      </c>
      <c r="X48" s="4">
        <v>3207.4597852949887</v>
      </c>
      <c r="Y48" s="10">
        <v>43451</v>
      </c>
      <c r="Z48" s="4">
        <v>48.5</v>
      </c>
      <c r="AA48" s="5">
        <v>1.06</v>
      </c>
      <c r="AB48" s="4">
        <v>77.8</v>
      </c>
      <c r="AC48" s="4">
        <v>28.3</v>
      </c>
      <c r="AD48" s="4">
        <v>6.2</v>
      </c>
      <c r="AE48" s="4">
        <v>12.3</v>
      </c>
    </row>
    <row r="49" spans="1:31" x14ac:dyDescent="0.3">
      <c r="A49" s="1" t="s">
        <v>288</v>
      </c>
      <c r="B49" s="1" t="s">
        <v>32</v>
      </c>
      <c r="C49" s="10">
        <v>43403</v>
      </c>
      <c r="D49" s="3">
        <v>58.2</v>
      </c>
      <c r="E49" s="4">
        <v>4226.7541929133859</v>
      </c>
      <c r="F49" s="7">
        <v>29.099999999999998</v>
      </c>
      <c r="G49" s="7">
        <v>457.79000000000008</v>
      </c>
      <c r="H49" s="7">
        <v>428.69000000000005</v>
      </c>
      <c r="I49" s="7">
        <v>403.24</v>
      </c>
      <c r="J49" s="5">
        <v>5.9366908488651573</v>
      </c>
      <c r="K49" s="4">
        <v>3975.8248635386726</v>
      </c>
      <c r="L49" s="10">
        <v>43440</v>
      </c>
      <c r="M49" s="7">
        <v>25.72</v>
      </c>
      <c r="N49" s="7">
        <v>10.48</v>
      </c>
      <c r="O49" s="7">
        <v>17.22</v>
      </c>
      <c r="P49" s="6">
        <v>0.38665075651154279</v>
      </c>
      <c r="Q49" s="6">
        <v>0.48550579528975163</v>
      </c>
      <c r="R49" s="6">
        <v>0.12784344819870558</v>
      </c>
      <c r="S49" s="4">
        <v>1634.2777062782961</v>
      </c>
      <c r="T49" s="4">
        <v>2052.1136559247057</v>
      </c>
      <c r="U49" s="4">
        <v>3686.3913622030018</v>
      </c>
      <c r="V49" s="4">
        <v>1537.2556912446291</v>
      </c>
      <c r="W49" s="4">
        <v>1930.2860123051114</v>
      </c>
      <c r="X49" s="4">
        <v>3467.5417035497403</v>
      </c>
      <c r="Y49" s="10">
        <v>43451</v>
      </c>
      <c r="Z49" s="4">
        <v>50.7</v>
      </c>
      <c r="AA49" s="5">
        <v>1.01</v>
      </c>
      <c r="AB49" s="4">
        <v>76.900000000000006</v>
      </c>
      <c r="AC49" s="4">
        <v>27.3</v>
      </c>
      <c r="AD49" s="4">
        <v>6.2</v>
      </c>
      <c r="AE49" s="4">
        <v>14.3</v>
      </c>
    </row>
    <row r="50" spans="1:31" x14ac:dyDescent="0.3">
      <c r="A50" s="1" t="s">
        <v>289</v>
      </c>
      <c r="B50" s="1" t="s">
        <v>32</v>
      </c>
      <c r="C50" s="10">
        <v>43403</v>
      </c>
      <c r="D50" s="3">
        <v>44.900000000000006</v>
      </c>
      <c r="E50" s="4">
        <v>3237.1259776902889</v>
      </c>
      <c r="F50" s="7">
        <v>29.11</v>
      </c>
      <c r="G50" s="7">
        <v>541.76</v>
      </c>
      <c r="H50" s="7">
        <v>512.65</v>
      </c>
      <c r="I50" s="7">
        <v>477.60999999999996</v>
      </c>
      <c r="J50" s="5">
        <v>6.8350726616600062</v>
      </c>
      <c r="K50" s="4">
        <v>3015.8660649656858</v>
      </c>
      <c r="L50" s="10">
        <v>43440</v>
      </c>
      <c r="M50" s="7">
        <v>19.78</v>
      </c>
      <c r="N50" s="7">
        <v>7.96</v>
      </c>
      <c r="O50" s="7">
        <v>14.600000000000001</v>
      </c>
      <c r="P50" s="6">
        <v>0.3749887876785678</v>
      </c>
      <c r="Q50" s="6">
        <v>0.49928869222940242</v>
      </c>
      <c r="R50" s="6">
        <v>0.12572252009202978</v>
      </c>
      <c r="S50" s="4">
        <v>1213.88594593688</v>
      </c>
      <c r="T50" s="4">
        <v>1616.26039598281</v>
      </c>
      <c r="U50" s="4">
        <v>2830.1463419196898</v>
      </c>
      <c r="V50" s="4">
        <v>1130.9159595024153</v>
      </c>
      <c r="W50" s="4">
        <v>1505.7878235157514</v>
      </c>
      <c r="X50" s="4">
        <v>2636.7037830181666</v>
      </c>
      <c r="Y50" s="10">
        <v>43451</v>
      </c>
      <c r="Z50" s="4">
        <v>49.502041358996905</v>
      </c>
      <c r="AA50" s="5">
        <v>0.99</v>
      </c>
      <c r="AB50" s="4">
        <v>78.787878787878796</v>
      </c>
      <c r="AC50" s="4">
        <v>25.295254629629628</v>
      </c>
      <c r="AD50" s="4">
        <v>6.3869212962962969</v>
      </c>
      <c r="AE50" s="4">
        <v>14.668075539568342</v>
      </c>
    </row>
    <row r="51" spans="1:31" x14ac:dyDescent="0.3">
      <c r="A51" s="1" t="s">
        <v>291</v>
      </c>
      <c r="B51" s="1" t="s">
        <v>32</v>
      </c>
      <c r="C51" s="10">
        <v>43403</v>
      </c>
      <c r="D51" s="3">
        <v>58.1</v>
      </c>
      <c r="E51" s="4">
        <v>4219.3133792650915</v>
      </c>
      <c r="F51" s="7">
        <v>29.14</v>
      </c>
      <c r="G51" s="7">
        <v>540.51</v>
      </c>
      <c r="H51" s="7">
        <v>511.37</v>
      </c>
      <c r="I51" s="7">
        <v>475.24</v>
      </c>
      <c r="J51" s="5">
        <v>7.0653342980620675</v>
      </c>
      <c r="K51" s="4">
        <v>3921.2047839371535</v>
      </c>
      <c r="L51" s="10">
        <v>43440</v>
      </c>
      <c r="M51" s="7">
        <v>25.53</v>
      </c>
      <c r="N51" s="7">
        <v>9.98</v>
      </c>
      <c r="O51" s="7">
        <v>17.22</v>
      </c>
      <c r="P51" s="6">
        <v>0.36951888283182643</v>
      </c>
      <c r="Q51" s="6">
        <v>0.48921086879257014</v>
      </c>
      <c r="R51" s="6">
        <v>0.14127024837560342</v>
      </c>
      <c r="S51" s="4">
        <v>1559.1159662234149</v>
      </c>
      <c r="T51" s="4">
        <v>2064.1339639783905</v>
      </c>
      <c r="U51" s="4">
        <v>3623.2499302018055</v>
      </c>
      <c r="V51" s="4">
        <v>1448.9592111152704</v>
      </c>
      <c r="W51" s="4">
        <v>1918.2959990634772</v>
      </c>
      <c r="X51" s="4">
        <v>3367.2552101787478</v>
      </c>
      <c r="Y51" s="10">
        <v>43451</v>
      </c>
      <c r="Z51" s="4">
        <v>49.900000000000006</v>
      </c>
      <c r="AA51" s="5">
        <v>1.04</v>
      </c>
      <c r="AB51" s="4">
        <v>76.7</v>
      </c>
      <c r="AC51" s="4">
        <v>26.8</v>
      </c>
      <c r="AD51" s="4">
        <v>6.3</v>
      </c>
      <c r="AE51" s="4">
        <v>13.8</v>
      </c>
    </row>
    <row r="52" spans="1:31" x14ac:dyDescent="0.3">
      <c r="A52" s="1" t="s">
        <v>292</v>
      </c>
      <c r="B52" s="1" t="s">
        <v>32</v>
      </c>
      <c r="C52" s="10">
        <v>43403</v>
      </c>
      <c r="D52" s="3">
        <v>63.099999999999994</v>
      </c>
      <c r="E52" s="4">
        <v>4591.3540616797891</v>
      </c>
      <c r="F52" s="7">
        <v>29.19</v>
      </c>
      <c r="G52" s="7">
        <v>498.78999999999996</v>
      </c>
      <c r="H52" s="7">
        <v>469.59999999999997</v>
      </c>
      <c r="I52" s="7">
        <v>438.22999999999996</v>
      </c>
      <c r="J52" s="5">
        <v>6.6801533219761513</v>
      </c>
      <c r="K52" s="4">
        <v>4284.6445708047995</v>
      </c>
      <c r="L52" s="10">
        <v>43440</v>
      </c>
      <c r="M52" s="7">
        <v>27.78</v>
      </c>
      <c r="N52" s="7">
        <v>10.9</v>
      </c>
      <c r="O52" s="7">
        <v>18.18</v>
      </c>
      <c r="P52" s="6">
        <v>0.3727819223293718</v>
      </c>
      <c r="Q52" s="6">
        <v>0.48402712049485624</v>
      </c>
      <c r="R52" s="6">
        <v>0.14319095717577196</v>
      </c>
      <c r="S52" s="4">
        <v>1711.5737932077609</v>
      </c>
      <c r="T52" s="4">
        <v>2222.3398856472309</v>
      </c>
      <c r="U52" s="4">
        <v>3933.9136788549918</v>
      </c>
      <c r="V52" s="4">
        <v>1597.2380396027193</v>
      </c>
      <c r="W52" s="4">
        <v>2073.8841739505665</v>
      </c>
      <c r="X52" s="4">
        <v>3671.1222135532857</v>
      </c>
      <c r="Y52" s="10">
        <v>43451</v>
      </c>
      <c r="Z52" s="4">
        <v>46.012928266072123</v>
      </c>
      <c r="AA52" s="5">
        <v>1.08</v>
      </c>
      <c r="AB52" s="4">
        <v>78.703703703703695</v>
      </c>
      <c r="AC52" s="4">
        <v>28.348842592592586</v>
      </c>
      <c r="AD52" s="4">
        <v>6.2321759259259268</v>
      </c>
      <c r="AE52" s="4">
        <v>11.975359712230208</v>
      </c>
    </row>
    <row r="53" spans="1:31" x14ac:dyDescent="0.3">
      <c r="A53" s="1" t="s">
        <v>293</v>
      </c>
      <c r="B53" s="1" t="s">
        <v>32</v>
      </c>
      <c r="C53" s="10">
        <v>43403</v>
      </c>
      <c r="D53" s="3">
        <v>62.1</v>
      </c>
      <c r="E53" s="4">
        <v>4516.9459251968501</v>
      </c>
      <c r="F53" s="7">
        <v>29.17</v>
      </c>
      <c r="G53" s="7">
        <v>470.83</v>
      </c>
      <c r="H53" s="7">
        <v>441.65999999999997</v>
      </c>
      <c r="I53" s="7">
        <v>414.31999999999994</v>
      </c>
      <c r="J53" s="5">
        <v>6.1902821174659319</v>
      </c>
      <c r="K53" s="4">
        <v>4237.3342293337837</v>
      </c>
      <c r="L53" s="10">
        <v>43440</v>
      </c>
      <c r="M53" s="7">
        <v>27.52</v>
      </c>
      <c r="N53" s="7">
        <v>11.059999999999999</v>
      </c>
      <c r="O53" s="7">
        <v>18.2</v>
      </c>
      <c r="P53" s="6">
        <v>0.3823375073515729</v>
      </c>
      <c r="Q53" s="6">
        <v>0.48945151719325874</v>
      </c>
      <c r="R53" s="6">
        <v>0.12821097545516835</v>
      </c>
      <c r="S53" s="4">
        <v>1726.9978458816079</v>
      </c>
      <c r="T53" s="4">
        <v>2210.8260361675061</v>
      </c>
      <c r="U53" s="4">
        <v>3937.8238820491142</v>
      </c>
      <c r="V53" s="4">
        <v>1620.0918070589771</v>
      </c>
      <c r="W53" s="4">
        <v>2073.969667402348</v>
      </c>
      <c r="X53" s="4">
        <v>3694.0614744613249</v>
      </c>
      <c r="Y53" s="10">
        <v>43451</v>
      </c>
      <c r="Z53" s="4">
        <v>45.4</v>
      </c>
      <c r="AA53" s="5">
        <v>1.07</v>
      </c>
      <c r="AB53" s="4">
        <v>77.5</v>
      </c>
      <c r="AC53" s="4">
        <v>29.8</v>
      </c>
      <c r="AD53" s="4">
        <v>6.2</v>
      </c>
      <c r="AE53" s="4">
        <v>12.2</v>
      </c>
    </row>
    <row r="54" spans="1:31" x14ac:dyDescent="0.3">
      <c r="A54" s="1" t="s">
        <v>294</v>
      </c>
      <c r="B54" s="1" t="s">
        <v>32</v>
      </c>
      <c r="C54" s="10">
        <v>43403</v>
      </c>
      <c r="D54" s="3">
        <v>50.699999999999996</v>
      </c>
      <c r="E54" s="4">
        <v>3668.6931692913381</v>
      </c>
      <c r="F54" s="7">
        <v>29.1</v>
      </c>
      <c r="G54" s="7">
        <v>489.84</v>
      </c>
      <c r="H54" s="7">
        <v>460.73999999999995</v>
      </c>
      <c r="I54" s="7">
        <v>429.38</v>
      </c>
      <c r="J54" s="5">
        <v>6.8064418109996874</v>
      </c>
      <c r="K54" s="4">
        <v>3418.9857034994029</v>
      </c>
      <c r="L54" s="10">
        <v>43440</v>
      </c>
      <c r="M54" s="7">
        <v>22.41</v>
      </c>
      <c r="N54" s="7">
        <v>9.120000000000001</v>
      </c>
      <c r="O54" s="7">
        <v>15.5</v>
      </c>
      <c r="P54" s="6">
        <v>0.38296865542620057</v>
      </c>
      <c r="Q54" s="6">
        <v>0.48031800188945534</v>
      </c>
      <c r="R54" s="6">
        <v>0.13671334268434404</v>
      </c>
      <c r="S54" s="4">
        <v>1404.9944902147902</v>
      </c>
      <c r="T54" s="4">
        <v>1762.1393726195088</v>
      </c>
      <c r="U54" s="4">
        <v>3167.1338628342992</v>
      </c>
      <c r="V54" s="4">
        <v>1309.3643577905689</v>
      </c>
      <c r="W54" s="4">
        <v>1642.200381593447</v>
      </c>
      <c r="X54" s="4">
        <v>2951.5647393840159</v>
      </c>
      <c r="Y54" s="10">
        <v>43451</v>
      </c>
      <c r="Z54" s="4">
        <v>52.300000000000004</v>
      </c>
      <c r="AA54" s="5">
        <v>0.98</v>
      </c>
      <c r="AB54" s="4">
        <v>76.5</v>
      </c>
      <c r="AC54" s="4">
        <v>25.9</v>
      </c>
      <c r="AD54" s="4">
        <v>6.3</v>
      </c>
      <c r="AE54" s="4">
        <v>14.8</v>
      </c>
    </row>
    <row r="55" spans="1:31" x14ac:dyDescent="0.3">
      <c r="A55" s="1" t="s">
        <v>295</v>
      </c>
      <c r="B55" s="1" t="s">
        <v>32</v>
      </c>
      <c r="C55" s="10">
        <v>43403</v>
      </c>
      <c r="D55" s="3">
        <v>56.699999999999996</v>
      </c>
      <c r="E55" s="4">
        <v>4115.141988188976</v>
      </c>
      <c r="F55" s="7">
        <v>29.119999999999997</v>
      </c>
      <c r="G55" s="7">
        <v>464.96</v>
      </c>
      <c r="H55" s="7">
        <v>435.84</v>
      </c>
      <c r="I55" s="7">
        <v>407.59000000000003</v>
      </c>
      <c r="J55" s="5">
        <v>6.481736417033761</v>
      </c>
      <c r="K55" s="4">
        <v>3848.409331327884</v>
      </c>
      <c r="L55" s="10">
        <v>43440</v>
      </c>
      <c r="M55" s="7">
        <v>25.060000000000002</v>
      </c>
      <c r="N55" s="7">
        <v>10</v>
      </c>
      <c r="O55" s="7">
        <v>16.920000000000002</v>
      </c>
      <c r="P55" s="6">
        <v>0.37744748555530167</v>
      </c>
      <c r="Q55" s="6">
        <v>0.48634231327516103</v>
      </c>
      <c r="R55" s="6">
        <v>0.13621020116953736</v>
      </c>
      <c r="S55" s="4">
        <v>1553.2499961449739</v>
      </c>
      <c r="T55" s="4">
        <v>2001.367673991572</v>
      </c>
      <c r="U55" s="4">
        <v>3554.6176701365457</v>
      </c>
      <c r="V55" s="4">
        <v>1452.5724254972697</v>
      </c>
      <c r="W55" s="4">
        <v>1871.6442966277189</v>
      </c>
      <c r="X55" s="4">
        <v>3324.2167221249883</v>
      </c>
      <c r="Y55" s="10">
        <v>43451</v>
      </c>
      <c r="Z55" s="4">
        <v>48.6</v>
      </c>
      <c r="AA55" s="5">
        <v>1</v>
      </c>
      <c r="AB55" s="4">
        <v>77.400000000000006</v>
      </c>
      <c r="AC55" s="4">
        <v>26</v>
      </c>
      <c r="AD55" s="4">
        <v>6.5</v>
      </c>
      <c r="AE55" s="4">
        <v>14</v>
      </c>
    </row>
    <row r="56" spans="1:31" x14ac:dyDescent="0.3">
      <c r="A56" s="1" t="s">
        <v>296</v>
      </c>
      <c r="B56" s="1" t="s">
        <v>32</v>
      </c>
      <c r="C56" s="10">
        <v>43403</v>
      </c>
      <c r="D56" s="3">
        <v>67.400000000000006</v>
      </c>
      <c r="E56" s="4">
        <v>4911.3090485564317</v>
      </c>
      <c r="F56" s="7">
        <v>29.04</v>
      </c>
      <c r="G56" s="7">
        <v>506.26</v>
      </c>
      <c r="H56" s="7">
        <v>477.21999999999997</v>
      </c>
      <c r="I56" s="7">
        <v>447.33</v>
      </c>
      <c r="J56" s="5">
        <v>6.2633586186664409</v>
      </c>
      <c r="K56" s="4">
        <v>4603.6961499743275</v>
      </c>
      <c r="L56" s="10">
        <v>43440</v>
      </c>
      <c r="M56" s="7">
        <v>29.73</v>
      </c>
      <c r="N56" s="7">
        <v>11.58</v>
      </c>
      <c r="O56" s="7">
        <v>19.259999999999998</v>
      </c>
      <c r="P56" s="6">
        <v>0.37116923501274202</v>
      </c>
      <c r="Q56" s="6">
        <v>0.48870615943344359</v>
      </c>
      <c r="R56" s="6">
        <v>0.1401246055538144</v>
      </c>
      <c r="S56" s="4">
        <v>1822.9268224638486</v>
      </c>
      <c r="T56" s="4">
        <v>2400.1869829107336</v>
      </c>
      <c r="U56" s="4">
        <v>4223.1138053745817</v>
      </c>
      <c r="V56" s="4">
        <v>1708.7503782170768</v>
      </c>
      <c r="W56" s="4">
        <v>2249.8546646524842</v>
      </c>
      <c r="X56" s="4">
        <v>3958.6050428695607</v>
      </c>
      <c r="Y56" s="10">
        <v>43451</v>
      </c>
      <c r="Z56" s="4">
        <v>47.800000000000004</v>
      </c>
      <c r="AA56" s="5">
        <v>1.08</v>
      </c>
      <c r="AB56" s="4">
        <v>79.599999999999994</v>
      </c>
      <c r="AC56" s="4">
        <v>28.5</v>
      </c>
      <c r="AD56" s="4">
        <v>6.1</v>
      </c>
      <c r="AE56" s="4">
        <v>11</v>
      </c>
    </row>
    <row r="57" spans="1:31" x14ac:dyDescent="0.3">
      <c r="A57" s="1" t="s">
        <v>297</v>
      </c>
      <c r="B57" s="1" t="s">
        <v>32</v>
      </c>
      <c r="C57" s="10">
        <v>43403</v>
      </c>
      <c r="D57" s="3">
        <v>62.5</v>
      </c>
      <c r="E57" s="4">
        <v>4546.7091797900257</v>
      </c>
      <c r="F57" s="7">
        <v>29.159999999999997</v>
      </c>
      <c r="G57" s="7">
        <v>521.79</v>
      </c>
      <c r="H57" s="7">
        <v>492.63</v>
      </c>
      <c r="I57" s="7">
        <v>462.37</v>
      </c>
      <c r="J57" s="5">
        <v>6.1425410551529529</v>
      </c>
      <c r="K57" s="4">
        <v>4267.4257017630152</v>
      </c>
      <c r="L57" s="10">
        <v>43440</v>
      </c>
      <c r="M57" s="7">
        <v>27.669999999999998</v>
      </c>
      <c r="N57" s="7">
        <v>11.08</v>
      </c>
      <c r="O57" s="7">
        <v>18.16</v>
      </c>
      <c r="P57" s="6">
        <v>0.3809560561656104</v>
      </c>
      <c r="Q57" s="6">
        <v>0.48525664630027271</v>
      </c>
      <c r="R57" s="6">
        <v>0.13378729753411683</v>
      </c>
      <c r="S57" s="4">
        <v>1732.0963976647854</v>
      </c>
      <c r="T57" s="4">
        <v>2206.3208482875716</v>
      </c>
      <c r="U57" s="4">
        <v>3938.417245952357</v>
      </c>
      <c r="V57" s="4">
        <v>1625.7016653234007</v>
      </c>
      <c r="W57" s="4">
        <v>2070.7966843731087</v>
      </c>
      <c r="X57" s="4">
        <v>3696.4983496965096</v>
      </c>
      <c r="Y57" s="10">
        <v>43451</v>
      </c>
      <c r="Z57" s="4">
        <v>51.7</v>
      </c>
      <c r="AA57" s="5">
        <v>1.02</v>
      </c>
      <c r="AB57" s="4">
        <v>77.2</v>
      </c>
      <c r="AC57" s="4">
        <v>24.7</v>
      </c>
      <c r="AD57" s="4">
        <v>6.5</v>
      </c>
      <c r="AE57" s="4">
        <v>13.4</v>
      </c>
    </row>
    <row r="58" spans="1:31" x14ac:dyDescent="0.3">
      <c r="A58" s="1" t="s">
        <v>298</v>
      </c>
      <c r="B58" s="1" t="s">
        <v>32</v>
      </c>
      <c r="C58" s="10">
        <v>43403</v>
      </c>
      <c r="D58" s="3">
        <v>55</v>
      </c>
      <c r="E58" s="4">
        <v>3988.6481561679789</v>
      </c>
      <c r="F58" s="7">
        <v>29.1</v>
      </c>
      <c r="G58" s="7">
        <v>501.25</v>
      </c>
      <c r="H58" s="7">
        <v>472.15</v>
      </c>
      <c r="I58" s="7">
        <v>441.42999999999995</v>
      </c>
      <c r="J58" s="5">
        <v>6.5064068622259938</v>
      </c>
      <c r="K58" s="4">
        <v>3729.130478825015</v>
      </c>
      <c r="L58" s="10">
        <v>43440</v>
      </c>
      <c r="M58" s="7">
        <v>24.41</v>
      </c>
      <c r="N58" s="7">
        <v>9.68</v>
      </c>
      <c r="O58" s="7">
        <v>16.599999999999998</v>
      </c>
      <c r="P58" s="6">
        <v>0.37430754429102525</v>
      </c>
      <c r="Q58" s="6">
        <v>0.48617923730384843</v>
      </c>
      <c r="R58" s="6">
        <v>0.13951321840512626</v>
      </c>
      <c r="S58" s="4">
        <v>1492.981096376162</v>
      </c>
      <c r="T58" s="4">
        <v>1939.1979184391494</v>
      </c>
      <c r="U58" s="4">
        <v>3432.1790148153113</v>
      </c>
      <c r="V58" s="4">
        <v>1395.8416718698065</v>
      </c>
      <c r="W58" s="4">
        <v>1813.0258120016808</v>
      </c>
      <c r="X58" s="4">
        <v>3208.8674838714874</v>
      </c>
      <c r="Y58" s="10">
        <v>43451</v>
      </c>
      <c r="Z58" s="4">
        <v>49.6</v>
      </c>
      <c r="AA58" s="5">
        <v>1.08</v>
      </c>
      <c r="AB58" s="4">
        <v>79.599999999999994</v>
      </c>
      <c r="AC58" s="4">
        <v>27.4</v>
      </c>
      <c r="AD58" s="4">
        <v>6.1</v>
      </c>
      <c r="AE58" s="4">
        <v>11.4</v>
      </c>
    </row>
    <row r="59" spans="1:31" x14ac:dyDescent="0.3">
      <c r="A59" s="1" t="s">
        <v>299</v>
      </c>
      <c r="B59" s="1" t="s">
        <v>32</v>
      </c>
      <c r="C59" s="10">
        <v>43403</v>
      </c>
      <c r="D59" s="3">
        <v>53.900000000000006</v>
      </c>
      <c r="E59" s="4">
        <v>3906.7992060367451</v>
      </c>
      <c r="F59" s="7">
        <v>29.16</v>
      </c>
      <c r="G59" s="7">
        <v>411.52000000000004</v>
      </c>
      <c r="H59" s="7">
        <v>382.36</v>
      </c>
      <c r="I59" s="7">
        <v>356.9</v>
      </c>
      <c r="J59" s="5">
        <v>6.6586463019144349</v>
      </c>
      <c r="K59" s="4">
        <v>3646.6592651807568</v>
      </c>
      <c r="L59" s="10">
        <v>43440</v>
      </c>
      <c r="M59" s="7">
        <v>23.74</v>
      </c>
      <c r="N59" s="7">
        <v>9.4600000000000009</v>
      </c>
      <c r="O59" s="7">
        <v>16.239999999999998</v>
      </c>
      <c r="P59" s="6">
        <v>0.37563985640593517</v>
      </c>
      <c r="Q59" s="6">
        <v>0.48469658891088396</v>
      </c>
      <c r="R59" s="6">
        <v>0.13966355468318092</v>
      </c>
      <c r="S59" s="4">
        <v>1467.5494927624645</v>
      </c>
      <c r="T59" s="4">
        <v>1893.6122487257601</v>
      </c>
      <c r="U59" s="4">
        <v>3361.1617414882248</v>
      </c>
      <c r="V59" s="4">
        <v>1369.8305627338725</v>
      </c>
      <c r="W59" s="4">
        <v>1767.5233067533834</v>
      </c>
      <c r="X59" s="4">
        <v>3137.3538694872559</v>
      </c>
      <c r="Y59" s="10">
        <v>43451</v>
      </c>
      <c r="Z59" s="4">
        <v>50.4</v>
      </c>
      <c r="AA59" s="5">
        <v>1</v>
      </c>
      <c r="AB59" s="4">
        <v>76.3</v>
      </c>
      <c r="AC59" s="4">
        <v>25.9</v>
      </c>
      <c r="AD59" s="4">
        <v>6.5</v>
      </c>
      <c r="AE59" s="4">
        <v>14.3</v>
      </c>
    </row>
    <row r="60" spans="1:31" x14ac:dyDescent="0.3">
      <c r="A60" s="1" t="s">
        <v>300</v>
      </c>
      <c r="B60" s="1" t="s">
        <v>32</v>
      </c>
      <c r="C60" s="10">
        <v>43403</v>
      </c>
      <c r="D60" s="3">
        <v>45.4</v>
      </c>
      <c r="E60" s="4">
        <v>3274.3300459317579</v>
      </c>
      <c r="F60" s="7">
        <v>29.200000000000003</v>
      </c>
      <c r="G60" s="7">
        <v>408.55</v>
      </c>
      <c r="H60" s="7">
        <v>379.35</v>
      </c>
      <c r="I60" s="7">
        <v>354.76</v>
      </c>
      <c r="J60" s="5">
        <v>6.4821405034928254</v>
      </c>
      <c r="K60" s="4">
        <v>3062.08337180638</v>
      </c>
      <c r="L60" s="10">
        <v>43440</v>
      </c>
      <c r="M60" s="7">
        <v>20.100000000000001</v>
      </c>
      <c r="N60" s="7">
        <v>8.06</v>
      </c>
      <c r="O60" s="7">
        <v>14.52</v>
      </c>
      <c r="P60" s="6">
        <v>0.3739616049387457</v>
      </c>
      <c r="Q60" s="6">
        <v>0.4869719800575974</v>
      </c>
      <c r="R60" s="6">
        <v>0.13906641500365685</v>
      </c>
      <c r="S60" s="4">
        <v>1224.4737190757971</v>
      </c>
      <c r="T60" s="4">
        <v>1594.5069858294719</v>
      </c>
      <c r="U60" s="4">
        <v>2818.9807049052688</v>
      </c>
      <c r="V60" s="4">
        <v>1145.1016121769599</v>
      </c>
      <c r="W60" s="4">
        <v>1491.1488026699972</v>
      </c>
      <c r="X60" s="4">
        <v>2636.250414846957</v>
      </c>
      <c r="Y60" s="10">
        <v>43451</v>
      </c>
      <c r="Z60" s="4">
        <v>51.900000000000006</v>
      </c>
      <c r="AA60" s="5">
        <v>0.95</v>
      </c>
      <c r="AB60" s="4">
        <v>74.400000000000006</v>
      </c>
      <c r="AC60" s="4">
        <v>24.1</v>
      </c>
      <c r="AD60" s="4">
        <v>6.4</v>
      </c>
      <c r="AE60" s="4">
        <v>16.899999999999999</v>
      </c>
    </row>
    <row r="61" spans="1:31" x14ac:dyDescent="0.3">
      <c r="A61" s="1" t="s">
        <v>301</v>
      </c>
      <c r="B61" s="1" t="s">
        <v>32</v>
      </c>
      <c r="C61" s="10">
        <v>43403</v>
      </c>
      <c r="D61" s="3">
        <v>66.099999999999994</v>
      </c>
      <c r="E61" s="4">
        <v>4814.5784711286078</v>
      </c>
      <c r="F61" s="7">
        <v>29.23</v>
      </c>
      <c r="G61" s="7">
        <v>514.57000000000005</v>
      </c>
      <c r="H61" s="7">
        <v>485.34000000000003</v>
      </c>
      <c r="I61" s="7">
        <v>457.75</v>
      </c>
      <c r="J61" s="5">
        <v>5.6846746610623544</v>
      </c>
      <c r="K61" s="4">
        <v>4540.8853487433971</v>
      </c>
      <c r="L61" s="10">
        <v>43440</v>
      </c>
      <c r="M61" s="7">
        <v>29.25</v>
      </c>
      <c r="N61" s="7">
        <v>11.78</v>
      </c>
      <c r="O61" s="7">
        <v>19.12</v>
      </c>
      <c r="P61" s="6">
        <v>0.38438369049154636</v>
      </c>
      <c r="Q61" s="6">
        <v>0.49201112382917939</v>
      </c>
      <c r="R61" s="6">
        <v>0.12360518567927431</v>
      </c>
      <c r="S61" s="4">
        <v>1850.6454408935613</v>
      </c>
      <c r="T61" s="4">
        <v>2368.8261643437586</v>
      </c>
      <c r="U61" s="4">
        <v>4219.4716052373196</v>
      </c>
      <c r="V61" s="4">
        <v>1745.4422684489796</v>
      </c>
      <c r="W61" s="4">
        <v>2234.1661036146938</v>
      </c>
      <c r="X61" s="4">
        <v>3979.6083720636734</v>
      </c>
      <c r="Y61" s="10">
        <v>43451</v>
      </c>
      <c r="Z61" s="4">
        <v>53.099999999999994</v>
      </c>
      <c r="AA61" s="5">
        <v>1.03</v>
      </c>
      <c r="AB61" s="4">
        <v>77</v>
      </c>
      <c r="AC61" s="4">
        <v>27.2</v>
      </c>
      <c r="AD61" s="4">
        <v>6.3</v>
      </c>
      <c r="AE61" s="4">
        <v>13.5</v>
      </c>
    </row>
    <row r="62" spans="1:31" x14ac:dyDescent="0.3">
      <c r="A62" s="1" t="s">
        <v>302</v>
      </c>
      <c r="B62" s="1" t="s">
        <v>32</v>
      </c>
      <c r="C62" s="10">
        <v>43403</v>
      </c>
      <c r="D62" s="3">
        <v>49.8</v>
      </c>
      <c r="E62" s="4">
        <v>3601.7258464566926</v>
      </c>
      <c r="F62" s="7">
        <v>29.259999999999998</v>
      </c>
      <c r="G62" s="7">
        <v>496.13</v>
      </c>
      <c r="H62" s="7">
        <v>466.87</v>
      </c>
      <c r="I62" s="7">
        <v>434.91</v>
      </c>
      <c r="J62" s="5">
        <v>6.8455887077773214</v>
      </c>
      <c r="K62" s="4">
        <v>3355.1665086265562</v>
      </c>
      <c r="L62" s="10">
        <v>43440</v>
      </c>
      <c r="M62" s="7">
        <v>21.82</v>
      </c>
      <c r="N62" s="7">
        <v>8.76</v>
      </c>
      <c r="O62" s="7">
        <v>15.260000000000002</v>
      </c>
      <c r="P62" s="6">
        <v>0.37664180499107552</v>
      </c>
      <c r="Q62" s="6">
        <v>0.48236582042716708</v>
      </c>
      <c r="R62" s="6">
        <v>0.14099237458175734</v>
      </c>
      <c r="S62" s="4">
        <v>1356.5605238924579</v>
      </c>
      <c r="T62" s="4">
        <v>1737.3494428798153</v>
      </c>
      <c r="U62" s="4">
        <v>3093.909966772273</v>
      </c>
      <c r="V62" s="4">
        <v>1263.6959698547112</v>
      </c>
      <c r="W62" s="4">
        <v>1618.4176456034024</v>
      </c>
      <c r="X62" s="4">
        <v>2882.1136154581136</v>
      </c>
      <c r="Y62" s="10">
        <v>43451</v>
      </c>
      <c r="Z62" s="4">
        <v>53.301820450408073</v>
      </c>
      <c r="AA62" s="5">
        <v>1.01</v>
      </c>
      <c r="AB62" s="4">
        <v>78.21782178217822</v>
      </c>
      <c r="AC62" s="4">
        <v>25.731481481481477</v>
      </c>
      <c r="AD62" s="4">
        <v>6.3648148148148156</v>
      </c>
      <c r="AE62" s="4">
        <v>14.069694244604314</v>
      </c>
    </row>
    <row r="63" spans="1:31" x14ac:dyDescent="0.3">
      <c r="A63" s="1" t="s">
        <v>290</v>
      </c>
      <c r="B63" s="1" t="s">
        <v>32</v>
      </c>
      <c r="C63" s="10">
        <v>43403</v>
      </c>
      <c r="D63" s="3">
        <v>52.8</v>
      </c>
      <c r="E63" s="4">
        <v>3824.9502559055113</v>
      </c>
      <c r="F63" s="7">
        <v>29.180000000000003</v>
      </c>
      <c r="G63" s="7">
        <v>460.58000000000004</v>
      </c>
      <c r="H63" s="7">
        <v>431.40000000000003</v>
      </c>
      <c r="I63" s="7">
        <v>405.09</v>
      </c>
      <c r="J63" s="5">
        <v>6.0987482614742827</v>
      </c>
      <c r="K63" s="4">
        <v>3591.6761686712175</v>
      </c>
      <c r="L63" s="10">
        <v>43440</v>
      </c>
      <c r="M63" s="7">
        <v>23.33</v>
      </c>
      <c r="N63" s="7">
        <v>9.16</v>
      </c>
      <c r="O63" s="7">
        <v>16.080000000000002</v>
      </c>
      <c r="P63" s="6">
        <v>0.36920789973294715</v>
      </c>
      <c r="Q63" s="6">
        <v>0.48640277005390659</v>
      </c>
      <c r="R63" s="6">
        <v>0.14438933021314632</v>
      </c>
      <c r="S63" s="4">
        <v>1412.2018505658725</v>
      </c>
      <c r="T63" s="4">
        <v>1860.4663997908397</v>
      </c>
      <c r="U63" s="4">
        <v>3272.6682503567122</v>
      </c>
      <c r="V63" s="4">
        <v>1326.0752147559785</v>
      </c>
      <c r="W63" s="4">
        <v>1747.0012375782824</v>
      </c>
      <c r="X63" s="4">
        <v>3073.0764523342609</v>
      </c>
      <c r="Y63" s="10">
        <v>43451</v>
      </c>
      <c r="Z63" s="4">
        <v>45.4</v>
      </c>
      <c r="AA63" s="5">
        <v>1.02</v>
      </c>
      <c r="AB63" s="4">
        <v>76.7</v>
      </c>
      <c r="AC63" s="4">
        <v>27.4</v>
      </c>
      <c r="AD63" s="4">
        <v>6.4</v>
      </c>
      <c r="AE63" s="4">
        <v>13.9</v>
      </c>
    </row>
    <row r="64" spans="1:31" x14ac:dyDescent="0.3">
      <c r="A64" s="1" t="s">
        <v>303</v>
      </c>
      <c r="B64" s="1" t="s">
        <v>32</v>
      </c>
      <c r="C64" s="10">
        <v>43403</v>
      </c>
      <c r="D64" s="3">
        <v>61.8</v>
      </c>
      <c r="E64" s="4">
        <v>4494.623484251968</v>
      </c>
      <c r="F64" s="7">
        <v>29.14</v>
      </c>
      <c r="G64" s="7">
        <v>513.95000000000005</v>
      </c>
      <c r="H64" s="7">
        <v>484.81000000000006</v>
      </c>
      <c r="I64" s="7">
        <v>453.48</v>
      </c>
      <c r="J64" s="5">
        <v>6.4623254470823701</v>
      </c>
      <c r="K64" s="4">
        <v>4204.1662870786122</v>
      </c>
      <c r="L64" s="10">
        <v>43440</v>
      </c>
      <c r="M64" s="7">
        <v>27.240000000000002</v>
      </c>
      <c r="N64" s="7">
        <v>10.62</v>
      </c>
      <c r="O64" s="7">
        <v>18.02</v>
      </c>
      <c r="P64" s="6">
        <v>0.36982416480071956</v>
      </c>
      <c r="Q64" s="6">
        <v>0.487837160478998</v>
      </c>
      <c r="R64" s="6">
        <v>0.14233867472028244</v>
      </c>
      <c r="S64" s="4">
        <v>1662.2203761571841</v>
      </c>
      <c r="T64" s="4">
        <v>2192.6443579797005</v>
      </c>
      <c r="U64" s="4">
        <v>3854.8647341368846</v>
      </c>
      <c r="V64" s="4">
        <v>1554.80228580219</v>
      </c>
      <c r="W64" s="4">
        <v>2050.948543669962</v>
      </c>
      <c r="X64" s="4">
        <v>3605.750829472152</v>
      </c>
      <c r="Y64" s="10">
        <v>43451</v>
      </c>
      <c r="Z64" s="4">
        <v>45.237569800977724</v>
      </c>
      <c r="AA64" s="5">
        <v>1.06</v>
      </c>
      <c r="AB64" s="4">
        <v>78.301886792452819</v>
      </c>
      <c r="AC64" s="4">
        <v>27.476388888888881</v>
      </c>
      <c r="AD64" s="4">
        <v>6.2763888888888895</v>
      </c>
      <c r="AE64" s="4">
        <v>12.57374100719424</v>
      </c>
    </row>
    <row r="65" spans="1:31" x14ac:dyDescent="0.3">
      <c r="A65" s="1" t="s">
        <v>304</v>
      </c>
      <c r="B65" s="1" t="s">
        <v>32</v>
      </c>
      <c r="C65" s="10">
        <v>43403</v>
      </c>
      <c r="D65" s="3">
        <v>42.099999999999994</v>
      </c>
      <c r="E65" s="4">
        <v>3028.7831955380566</v>
      </c>
      <c r="F65" s="7">
        <v>29.160000000000004</v>
      </c>
      <c r="G65" s="7">
        <v>466.21</v>
      </c>
      <c r="H65" s="7">
        <v>437.04999999999995</v>
      </c>
      <c r="I65" s="7">
        <v>410.71000000000004</v>
      </c>
      <c r="J65" s="5">
        <v>6.0267703924035976</v>
      </c>
      <c r="K65" s="4">
        <v>2846.2453866592732</v>
      </c>
      <c r="L65" s="10">
        <v>43440</v>
      </c>
      <c r="M65" s="7">
        <v>18.450000000000003</v>
      </c>
      <c r="N65" s="7">
        <v>7.58</v>
      </c>
      <c r="O65" s="7">
        <v>13.66</v>
      </c>
      <c r="P65" s="6">
        <v>0.38165284413233408</v>
      </c>
      <c r="Q65" s="6">
        <v>0.48380110535598825</v>
      </c>
      <c r="R65" s="6">
        <v>0.13454605051167762</v>
      </c>
      <c r="S65" s="4">
        <v>1155.9437208373186</v>
      </c>
      <c r="T65" s="4">
        <v>1465.3286578849541</v>
      </c>
      <c r="U65" s="4">
        <v>2621.2723787222726</v>
      </c>
      <c r="V65" s="4">
        <v>1086.2776469170465</v>
      </c>
      <c r="W65" s="4">
        <v>1377.0166641801386</v>
      </c>
      <c r="X65" s="4">
        <v>2463.2943110971851</v>
      </c>
      <c r="Y65" s="10">
        <v>43451</v>
      </c>
      <c r="Z65" s="4">
        <v>49.1</v>
      </c>
      <c r="AA65" s="5">
        <v>1</v>
      </c>
      <c r="AB65" s="4">
        <v>77</v>
      </c>
      <c r="AC65" s="4">
        <v>25.2</v>
      </c>
      <c r="AD65" s="4">
        <v>6.4</v>
      </c>
      <c r="AE65" s="4">
        <v>14.3</v>
      </c>
    </row>
    <row r="66" spans="1:31" x14ac:dyDescent="0.3">
      <c r="A66" s="1" t="s">
        <v>305</v>
      </c>
      <c r="B66" s="1" t="s">
        <v>32</v>
      </c>
      <c r="C66" s="10">
        <v>43403</v>
      </c>
      <c r="D66" s="3">
        <v>56.499999999999993</v>
      </c>
      <c r="E66" s="4">
        <v>4100.2603608923873</v>
      </c>
      <c r="F66" s="7">
        <v>29.099999999999998</v>
      </c>
      <c r="G66" s="7">
        <v>487.96</v>
      </c>
      <c r="H66" s="7">
        <v>458.85999999999996</v>
      </c>
      <c r="I66" s="7">
        <v>433.53</v>
      </c>
      <c r="J66" s="5">
        <v>5.5202022403347391</v>
      </c>
      <c r="K66" s="4">
        <v>3873.9176965908487</v>
      </c>
      <c r="L66" s="10">
        <v>43440</v>
      </c>
      <c r="M66" s="7">
        <v>25.2</v>
      </c>
      <c r="N66" s="7">
        <v>10.120000000000001</v>
      </c>
      <c r="O66" s="7">
        <v>17.18</v>
      </c>
      <c r="P66" s="6">
        <v>0.38018109968202068</v>
      </c>
      <c r="Q66" s="6">
        <v>0.49415402035757283</v>
      </c>
      <c r="R66" s="6">
        <v>0.12566487996040643</v>
      </c>
      <c r="S66" s="4">
        <v>1558.8414929866667</v>
      </c>
      <c r="T66" s="4">
        <v>2026.1601418477658</v>
      </c>
      <c r="U66" s="4">
        <v>3585.0016348344325</v>
      </c>
      <c r="V66" s="4">
        <v>1472.7902899675494</v>
      </c>
      <c r="W66" s="4">
        <v>1914.3120043047159</v>
      </c>
      <c r="X66" s="4">
        <v>3387.1022942722652</v>
      </c>
      <c r="Y66" s="10">
        <v>43451</v>
      </c>
      <c r="Z66" s="4">
        <v>51.8</v>
      </c>
      <c r="AA66" s="5">
        <v>1.03</v>
      </c>
      <c r="AB66" s="4">
        <v>77.400000000000006</v>
      </c>
      <c r="AC66" s="4">
        <v>27.2</v>
      </c>
      <c r="AD66" s="4">
        <v>6.3</v>
      </c>
      <c r="AE66" s="4">
        <v>13.8</v>
      </c>
    </row>
    <row r="67" spans="1:31" x14ac:dyDescent="0.3">
      <c r="A67" s="1" t="s">
        <v>306</v>
      </c>
      <c r="B67" s="1" t="s">
        <v>32</v>
      </c>
      <c r="C67" s="10">
        <v>43403</v>
      </c>
      <c r="D67" s="3">
        <v>58</v>
      </c>
      <c r="E67" s="4">
        <v>4211.8725656167981</v>
      </c>
      <c r="F67" s="7">
        <v>29.15</v>
      </c>
      <c r="G67" s="7">
        <v>544.43000000000006</v>
      </c>
      <c r="H67" s="7">
        <v>515.28000000000009</v>
      </c>
      <c r="I67" s="7">
        <v>483.70000000000005</v>
      </c>
      <c r="J67" s="5">
        <v>6.1287067225586158</v>
      </c>
      <c r="K67" s="4">
        <v>3953.7392485422392</v>
      </c>
      <c r="L67" s="10">
        <v>43440</v>
      </c>
      <c r="M67" s="7">
        <v>25.62</v>
      </c>
      <c r="N67" s="7">
        <v>10.039999999999999</v>
      </c>
      <c r="O67" s="7">
        <v>17.46</v>
      </c>
      <c r="P67" s="6">
        <v>0.37058916115965168</v>
      </c>
      <c r="Q67" s="6">
        <v>0.49705371291607714</v>
      </c>
      <c r="R67" s="6">
        <v>0.13235712592427118</v>
      </c>
      <c r="S67" s="4">
        <v>1560.8743210032792</v>
      </c>
      <c r="T67" s="4">
        <v>2093.5268970691932</v>
      </c>
      <c r="U67" s="4">
        <v>3654.4012180724721</v>
      </c>
      <c r="V67" s="4">
        <v>1465.2129115612599</v>
      </c>
      <c r="W67" s="4">
        <v>1965.2207733899406</v>
      </c>
      <c r="X67" s="4">
        <v>3430.4336849512006</v>
      </c>
      <c r="Y67" s="10">
        <v>43451</v>
      </c>
      <c r="Z67" s="4">
        <v>44.307064983943221</v>
      </c>
      <c r="AA67" s="5">
        <v>1</v>
      </c>
      <c r="AB67" s="4">
        <v>79</v>
      </c>
      <c r="AC67" s="4">
        <v>25.731481481481477</v>
      </c>
      <c r="AD67" s="4">
        <v>6.3648148148148156</v>
      </c>
      <c r="AE67" s="4">
        <v>14.368884892086328</v>
      </c>
    </row>
    <row r="68" spans="1:31" x14ac:dyDescent="0.3">
      <c r="A68" s="1" t="s">
        <v>307</v>
      </c>
      <c r="B68" s="1" t="s">
        <v>32</v>
      </c>
      <c r="C68" s="10">
        <v>43403</v>
      </c>
      <c r="D68" s="3">
        <v>57.000000000000007</v>
      </c>
      <c r="E68" s="4">
        <v>4137.4644291338582</v>
      </c>
      <c r="F68" s="7">
        <v>29.08</v>
      </c>
      <c r="G68" s="7">
        <v>525.45000000000005</v>
      </c>
      <c r="H68" s="7">
        <v>496.37000000000006</v>
      </c>
      <c r="I68" s="7">
        <v>465.15</v>
      </c>
      <c r="J68" s="5">
        <v>6.2896629530390795</v>
      </c>
      <c r="K68" s="4">
        <v>3877.2318617394562</v>
      </c>
      <c r="L68" s="10">
        <v>43440</v>
      </c>
      <c r="M68" s="7">
        <v>25.239999999999995</v>
      </c>
      <c r="N68" s="7">
        <v>9.84</v>
      </c>
      <c r="O68" s="7">
        <v>17.32</v>
      </c>
      <c r="P68" s="6">
        <v>0.36818433555631774</v>
      </c>
      <c r="Q68" s="6">
        <v>0.49904013693505322</v>
      </c>
      <c r="R68" s="6">
        <v>0.13277552750862909</v>
      </c>
      <c r="S68" s="4">
        <v>1523.3495917285491</v>
      </c>
      <c r="T68" s="4">
        <v>2064.7608152788725</v>
      </c>
      <c r="U68" s="4">
        <v>3588.1104070074216</v>
      </c>
      <c r="V68" s="4">
        <v>1427.5360368123265</v>
      </c>
      <c r="W68" s="4">
        <v>1934.8943192114095</v>
      </c>
      <c r="X68" s="4">
        <v>3362.4303560237358</v>
      </c>
      <c r="Y68" s="10">
        <v>43451</v>
      </c>
      <c r="Z68" s="4">
        <v>45</v>
      </c>
      <c r="AA68" s="5">
        <v>1.05</v>
      </c>
      <c r="AB68" s="4">
        <v>77.5</v>
      </c>
      <c r="AC68" s="4">
        <v>27.9</v>
      </c>
      <c r="AD68" s="4">
        <v>6.3</v>
      </c>
      <c r="AE68" s="4">
        <v>13.3</v>
      </c>
    </row>
    <row r="69" spans="1:31" x14ac:dyDescent="0.3">
      <c r="A69" s="1" t="s">
        <v>308</v>
      </c>
      <c r="B69" s="1" t="s">
        <v>32</v>
      </c>
      <c r="C69" s="10">
        <v>43403</v>
      </c>
      <c r="D69" s="3">
        <v>52.8</v>
      </c>
      <c r="E69" s="4">
        <v>3824.9502559055113</v>
      </c>
      <c r="F69" s="7">
        <v>29.1</v>
      </c>
      <c r="G69" s="7">
        <v>595.15</v>
      </c>
      <c r="H69" s="7">
        <v>566.04999999999995</v>
      </c>
      <c r="I69" s="7">
        <v>530.08000000000004</v>
      </c>
      <c r="J69" s="5">
        <v>6.3545623178164323</v>
      </c>
      <c r="K69" s="4">
        <v>3581.8914082685164</v>
      </c>
      <c r="L69" s="10">
        <v>43440</v>
      </c>
      <c r="M69" s="7">
        <v>23.27</v>
      </c>
      <c r="N69" s="7">
        <v>9.36</v>
      </c>
      <c r="O69" s="7">
        <v>16.079999999999998</v>
      </c>
      <c r="P69" s="6">
        <v>0.37902148487969589</v>
      </c>
      <c r="Q69" s="6">
        <v>0.4876919805445038</v>
      </c>
      <c r="R69" s="6">
        <v>0.13328653457580031</v>
      </c>
      <c r="S69" s="4">
        <v>1449.7383255842797</v>
      </c>
      <c r="T69" s="4">
        <v>1865.3975657867654</v>
      </c>
      <c r="U69" s="4">
        <v>3315.1358913710451</v>
      </c>
      <c r="V69" s="4">
        <v>1357.6138002397581</v>
      </c>
      <c r="W69" s="4">
        <v>1746.8597149938146</v>
      </c>
      <c r="X69" s="4">
        <v>3104.4735152335725</v>
      </c>
      <c r="Y69" s="10">
        <v>43451</v>
      </c>
      <c r="Z69" s="4">
        <v>51.208277935731971</v>
      </c>
      <c r="AA69" s="5">
        <v>1</v>
      </c>
      <c r="AB69" s="4">
        <v>78</v>
      </c>
      <c r="AC69" s="4">
        <v>25.295254629629628</v>
      </c>
      <c r="AD69" s="4">
        <v>6.3869212962962969</v>
      </c>
      <c r="AE69" s="4">
        <v>14.368884892086328</v>
      </c>
    </row>
    <row r="70" spans="1:31" x14ac:dyDescent="0.3">
      <c r="A70" s="1" t="s">
        <v>309</v>
      </c>
      <c r="B70" s="1" t="s">
        <v>32</v>
      </c>
      <c r="C70" s="10">
        <v>43403</v>
      </c>
      <c r="D70" s="3">
        <v>43.7</v>
      </c>
      <c r="E70" s="4">
        <v>3147.8362139107608</v>
      </c>
      <c r="F70" s="7">
        <v>29.19</v>
      </c>
      <c r="G70" s="7">
        <v>681.23</v>
      </c>
      <c r="H70" s="7">
        <v>652.04</v>
      </c>
      <c r="I70" s="7">
        <v>615.06999999999994</v>
      </c>
      <c r="J70" s="5">
        <v>5.6698975522974093</v>
      </c>
      <c r="K70" s="4">
        <v>2969.3571254679032</v>
      </c>
      <c r="L70" s="10">
        <v>43440</v>
      </c>
      <c r="M70" s="7">
        <v>18.990000000000002</v>
      </c>
      <c r="N70" s="7">
        <v>7.6999999999999993</v>
      </c>
      <c r="O70" s="7">
        <v>14.200000000000001</v>
      </c>
      <c r="P70" s="6">
        <v>0.37696300297043134</v>
      </c>
      <c r="Q70" s="6">
        <v>0.49898570913427043</v>
      </c>
      <c r="R70" s="6">
        <v>0.12405128789529818</v>
      </c>
      <c r="S70" s="4">
        <v>1186.6177920548735</v>
      </c>
      <c r="T70" s="4">
        <v>1570.725285436798</v>
      </c>
      <c r="U70" s="4">
        <v>2757.3430774916715</v>
      </c>
      <c r="V70" s="4">
        <v>1119.3377789080287</v>
      </c>
      <c r="W70" s="4">
        <v>1481.6667709245005</v>
      </c>
      <c r="X70" s="4">
        <v>2601.0045498325289</v>
      </c>
      <c r="Y70" s="10">
        <v>43451</v>
      </c>
      <c r="Z70" s="4">
        <v>52.293929104706578</v>
      </c>
      <c r="AA70" s="5">
        <v>1.01</v>
      </c>
      <c r="AB70" s="4">
        <v>78.21782178217822</v>
      </c>
      <c r="AC70" s="4">
        <v>25.731481481481477</v>
      </c>
      <c r="AD70" s="4">
        <v>6.3648148148148156</v>
      </c>
      <c r="AE70" s="4">
        <v>14.069694244604314</v>
      </c>
    </row>
    <row r="71" spans="1:31" x14ac:dyDescent="0.3">
      <c r="M71" s="7"/>
      <c r="N71" s="7"/>
      <c r="O7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1FE4-90AE-4056-9E9C-7B7AF5765130}">
  <dimension ref="A1:M197"/>
  <sheetViews>
    <sheetView workbookViewId="0"/>
  </sheetViews>
  <sheetFormatPr defaultRowHeight="14.4" x14ac:dyDescent="0.3"/>
  <sheetData>
    <row r="1" spans="1:13" x14ac:dyDescent="0.3">
      <c r="B1" t="s">
        <v>340</v>
      </c>
      <c r="C1" t="s">
        <v>340</v>
      </c>
    </row>
    <row r="2" spans="1:13" x14ac:dyDescent="0.3">
      <c r="B2" t="s">
        <v>341</v>
      </c>
      <c r="C2" t="s">
        <v>341</v>
      </c>
    </row>
    <row r="4" spans="1:13" x14ac:dyDescent="0.3">
      <c r="B4" t="s">
        <v>338</v>
      </c>
      <c r="C4" t="s">
        <v>339</v>
      </c>
    </row>
    <row r="5" spans="1:13" x14ac:dyDescent="0.3">
      <c r="A5" t="s">
        <v>27</v>
      </c>
      <c r="B5" t="s">
        <v>4</v>
      </c>
      <c r="C5" t="s">
        <v>4</v>
      </c>
    </row>
    <row r="6" spans="1:13" x14ac:dyDescent="0.3">
      <c r="A6" t="s">
        <v>52</v>
      </c>
      <c r="B6">
        <v>1549.0023513806509</v>
      </c>
      <c r="C6">
        <v>1841.8015763367493</v>
      </c>
    </row>
    <row r="7" spans="1:13" x14ac:dyDescent="0.3">
      <c r="A7" t="s">
        <v>53</v>
      </c>
      <c r="B7">
        <v>1877.3740755322929</v>
      </c>
      <c r="C7">
        <v>2356.1044647930285</v>
      </c>
      <c r="M7">
        <v>0</v>
      </c>
    </row>
    <row r="8" spans="1:13" x14ac:dyDescent="0.3">
      <c r="A8" t="s">
        <v>54</v>
      </c>
      <c r="B8">
        <v>1811.4905937384563</v>
      </c>
      <c r="C8">
        <v>2157.6654977774815</v>
      </c>
      <c r="M8">
        <v>3000</v>
      </c>
    </row>
    <row r="9" spans="1:13" x14ac:dyDescent="0.3">
      <c r="A9" t="s">
        <v>55</v>
      </c>
      <c r="B9">
        <v>1904.3272263392653</v>
      </c>
      <c r="C9">
        <v>2451.1142517238068</v>
      </c>
    </row>
    <row r="10" spans="1:13" x14ac:dyDescent="0.3">
      <c r="A10" t="s">
        <v>56</v>
      </c>
      <c r="B10">
        <v>1843.687995090308</v>
      </c>
      <c r="C10">
        <v>2229.8006642191681</v>
      </c>
    </row>
    <row r="11" spans="1:13" x14ac:dyDescent="0.3">
      <c r="A11" t="s">
        <v>57</v>
      </c>
      <c r="B11">
        <v>1792.8517496328725</v>
      </c>
      <c r="C11">
        <v>2183.8460141804671</v>
      </c>
    </row>
    <row r="12" spans="1:13" x14ac:dyDescent="0.3">
      <c r="A12" t="s">
        <v>58</v>
      </c>
      <c r="B12">
        <v>1308.6820226515013</v>
      </c>
      <c r="C12">
        <v>1562.8864443176203</v>
      </c>
    </row>
    <row r="13" spans="1:13" x14ac:dyDescent="0.3">
      <c r="A13" t="s">
        <v>59</v>
      </c>
      <c r="B13">
        <v>1324.164102800094</v>
      </c>
      <c r="C13">
        <v>1602.4304722290992</v>
      </c>
    </row>
    <row r="14" spans="1:13" x14ac:dyDescent="0.3">
      <c r="A14" t="s">
        <v>60</v>
      </c>
      <c r="B14">
        <v>1427.6577033698211</v>
      </c>
      <c r="C14">
        <v>1657.6159911609329</v>
      </c>
    </row>
    <row r="15" spans="1:13" x14ac:dyDescent="0.3">
      <c r="A15" t="s">
        <v>61</v>
      </c>
      <c r="B15">
        <v>1921.5889187962798</v>
      </c>
      <c r="C15">
        <v>2288.5254962548661</v>
      </c>
    </row>
    <row r="16" spans="1:13" x14ac:dyDescent="0.3">
      <c r="A16" t="s">
        <v>62</v>
      </c>
      <c r="B16">
        <v>1170.5390992071136</v>
      </c>
      <c r="C16">
        <v>1444.2942111184552</v>
      </c>
    </row>
    <row r="17" spans="1:13" x14ac:dyDescent="0.3">
      <c r="A17" t="s">
        <v>63</v>
      </c>
      <c r="B17">
        <v>1223.8583736731291</v>
      </c>
      <c r="C17">
        <v>1459.2157532256545</v>
      </c>
    </row>
    <row r="18" spans="1:13" x14ac:dyDescent="0.3">
      <c r="A18" t="s">
        <v>64</v>
      </c>
      <c r="B18">
        <v>2007.0545061040207</v>
      </c>
      <c r="C18">
        <v>2463.6356259760264</v>
      </c>
    </row>
    <row r="19" spans="1:13" x14ac:dyDescent="0.3">
      <c r="A19" t="s">
        <v>65</v>
      </c>
      <c r="B19">
        <v>2184.7393846825794</v>
      </c>
      <c r="C19">
        <v>2617.9204695765397</v>
      </c>
    </row>
    <row r="20" spans="1:13" x14ac:dyDescent="0.3">
      <c r="A20" t="s">
        <v>66</v>
      </c>
      <c r="B20">
        <v>1791.0364601200565</v>
      </c>
      <c r="C20">
        <v>2172.1080473796428</v>
      </c>
    </row>
    <row r="21" spans="1:13" x14ac:dyDescent="0.3">
      <c r="A21" t="s">
        <v>67</v>
      </c>
      <c r="B21">
        <v>1103.1640114272127</v>
      </c>
      <c r="C21">
        <v>1314.2040831785057</v>
      </c>
    </row>
    <row r="22" spans="1:13" x14ac:dyDescent="0.3">
      <c r="A22" t="s">
        <v>68</v>
      </c>
      <c r="B22">
        <v>1059.6197216481371</v>
      </c>
      <c r="C22">
        <v>1260.0883176356226</v>
      </c>
      <c r="M22">
        <v>0</v>
      </c>
    </row>
    <row r="23" spans="1:13" x14ac:dyDescent="0.3">
      <c r="A23" t="s">
        <v>69</v>
      </c>
      <c r="B23">
        <v>1304.2175344403295</v>
      </c>
      <c r="C23">
        <v>1524.7837351177384</v>
      </c>
      <c r="M23">
        <v>3000</v>
      </c>
    </row>
    <row r="24" spans="1:13" x14ac:dyDescent="0.3">
      <c r="A24" t="s">
        <v>70</v>
      </c>
      <c r="B24">
        <v>1540.5550575878951</v>
      </c>
      <c r="C24">
        <v>1827.6150062067582</v>
      </c>
    </row>
    <row r="25" spans="1:13" x14ac:dyDescent="0.3">
      <c r="A25" t="s">
        <v>71</v>
      </c>
      <c r="B25">
        <v>1620.1428807370462</v>
      </c>
      <c r="C25">
        <v>1877.4596912070479</v>
      </c>
    </row>
    <row r="26" spans="1:13" x14ac:dyDescent="0.3">
      <c r="A26" t="s">
        <v>72</v>
      </c>
      <c r="B26">
        <v>1702.466166611212</v>
      </c>
      <c r="C26">
        <v>2073.3945492806947</v>
      </c>
    </row>
    <row r="27" spans="1:13" x14ac:dyDescent="0.3">
      <c r="A27" t="s">
        <v>73</v>
      </c>
      <c r="B27">
        <v>2018.9876362711209</v>
      </c>
      <c r="C27">
        <v>2526.1267107847202</v>
      </c>
    </row>
    <row r="28" spans="1:13" x14ac:dyDescent="0.3">
      <c r="A28" t="s">
        <v>74</v>
      </c>
      <c r="B28">
        <v>1212.793732487487</v>
      </c>
      <c r="C28">
        <v>1424.5513683186355</v>
      </c>
    </row>
    <row r="29" spans="1:13" x14ac:dyDescent="0.3">
      <c r="A29" t="s">
        <v>75</v>
      </c>
      <c r="B29">
        <v>1072.0091305605622</v>
      </c>
      <c r="C29">
        <v>1332.7681082644833</v>
      </c>
    </row>
    <row r="30" spans="1:13" x14ac:dyDescent="0.3">
      <c r="A30" t="s">
        <v>76</v>
      </c>
      <c r="B30">
        <v>1299.1968105786784</v>
      </c>
      <c r="C30">
        <v>1621.6252161237521</v>
      </c>
    </row>
    <row r="31" spans="1:13" x14ac:dyDescent="0.3">
      <c r="A31" t="s">
        <v>77</v>
      </c>
      <c r="B31">
        <v>1095.328886184853</v>
      </c>
      <c r="C31">
        <v>1297.0999967978523</v>
      </c>
    </row>
    <row r="32" spans="1:13" x14ac:dyDescent="0.3">
      <c r="A32" t="s">
        <v>78</v>
      </c>
      <c r="B32">
        <v>1164.3201300607871</v>
      </c>
      <c r="C32">
        <v>1410.4365803175392</v>
      </c>
    </row>
    <row r="33" spans="1:3" x14ac:dyDescent="0.3">
      <c r="A33" t="s">
        <v>79</v>
      </c>
      <c r="B33">
        <v>1462.0588824922349</v>
      </c>
      <c r="C33">
        <v>1718.3938813707432</v>
      </c>
    </row>
    <row r="34" spans="1:3" x14ac:dyDescent="0.3">
      <c r="A34" t="s">
        <v>80</v>
      </c>
      <c r="B34">
        <v>1687.2541541295718</v>
      </c>
      <c r="C34">
        <v>1981.1017877139357</v>
      </c>
    </row>
    <row r="35" spans="1:3" x14ac:dyDescent="0.3">
      <c r="A35" t="s">
        <v>81</v>
      </c>
      <c r="B35">
        <v>1688.2623877170881</v>
      </c>
      <c r="C35">
        <v>2041.1759941890216</v>
      </c>
    </row>
    <row r="36" spans="1:3" x14ac:dyDescent="0.3">
      <c r="A36" t="s">
        <v>82</v>
      </c>
      <c r="B36">
        <v>1181.6503257271659</v>
      </c>
      <c r="C36">
        <v>1364.1816768557524</v>
      </c>
    </row>
    <row r="37" spans="1:3" x14ac:dyDescent="0.3">
      <c r="A37" t="s">
        <v>83</v>
      </c>
      <c r="B37">
        <v>1040.520484704917</v>
      </c>
      <c r="C37">
        <v>1198.1751035996015</v>
      </c>
    </row>
    <row r="38" spans="1:3" x14ac:dyDescent="0.3">
      <c r="A38" t="s">
        <v>84</v>
      </c>
      <c r="B38">
        <v>996.18754570285284</v>
      </c>
      <c r="C38">
        <v>1121.9199543837956</v>
      </c>
    </row>
    <row r="39" spans="1:3" x14ac:dyDescent="0.3">
      <c r="A39" t="s">
        <v>85</v>
      </c>
      <c r="B39">
        <v>1654.4476852300713</v>
      </c>
      <c r="C39">
        <v>2046.5422233481811</v>
      </c>
    </row>
    <row r="40" spans="1:3" x14ac:dyDescent="0.3">
      <c r="A40" t="s">
        <v>86</v>
      </c>
      <c r="B40">
        <v>1364.9443941589795</v>
      </c>
      <c r="C40">
        <v>1630.3502485787817</v>
      </c>
    </row>
    <row r="41" spans="1:3" x14ac:dyDescent="0.3">
      <c r="A41" t="s">
        <v>87</v>
      </c>
      <c r="B41">
        <v>1218.4252876715354</v>
      </c>
      <c r="C41">
        <v>1456.3989766698824</v>
      </c>
    </row>
    <row r="42" spans="1:3" x14ac:dyDescent="0.3">
      <c r="A42" t="s">
        <v>88</v>
      </c>
      <c r="B42">
        <v>1431.0406138422179</v>
      </c>
      <c r="C42">
        <v>1772.215859526455</v>
      </c>
    </row>
    <row r="43" spans="1:3" x14ac:dyDescent="0.3">
      <c r="A43" t="s">
        <v>89</v>
      </c>
      <c r="B43">
        <v>1393.9247318907981</v>
      </c>
      <c r="C43">
        <v>1667.0586320585899</v>
      </c>
    </row>
    <row r="44" spans="1:3" x14ac:dyDescent="0.3">
      <c r="A44" t="s">
        <v>90</v>
      </c>
      <c r="B44">
        <v>1397.6079581897156</v>
      </c>
      <c r="C44">
        <v>1675.2150183780843</v>
      </c>
    </row>
    <row r="45" spans="1:3" x14ac:dyDescent="0.3">
      <c r="A45" t="s">
        <v>91</v>
      </c>
      <c r="B45">
        <v>1807.33002390109</v>
      </c>
      <c r="C45">
        <v>2285.4596598537591</v>
      </c>
    </row>
    <row r="46" spans="1:3" x14ac:dyDescent="0.3">
      <c r="A46" t="s">
        <v>92</v>
      </c>
      <c r="B46">
        <v>1932.1339712291685</v>
      </c>
      <c r="C46">
        <v>2375.1110280475632</v>
      </c>
    </row>
    <row r="47" spans="1:3" x14ac:dyDescent="0.3">
      <c r="A47" t="s">
        <v>93</v>
      </c>
      <c r="B47">
        <v>1938.9650557269833</v>
      </c>
      <c r="C47">
        <v>2421.3417281273551</v>
      </c>
    </row>
    <row r="48" spans="1:3" x14ac:dyDescent="0.3">
      <c r="A48" t="s">
        <v>94</v>
      </c>
      <c r="B48">
        <v>1440.2249959064316</v>
      </c>
      <c r="C48">
        <v>1766.6759949785562</v>
      </c>
    </row>
    <row r="49" spans="1:3" x14ac:dyDescent="0.3">
      <c r="A49" t="s">
        <v>95</v>
      </c>
      <c r="B49">
        <v>1488.6731911339662</v>
      </c>
      <c r="C49">
        <v>1846.7085155839072</v>
      </c>
    </row>
    <row r="50" spans="1:3" x14ac:dyDescent="0.3">
      <c r="A50" t="s">
        <v>96</v>
      </c>
      <c r="B50">
        <v>1298.3783200972584</v>
      </c>
      <c r="C50">
        <v>1651.6135983590132</v>
      </c>
    </row>
    <row r="51" spans="1:3" x14ac:dyDescent="0.3">
      <c r="A51" t="s">
        <v>97</v>
      </c>
      <c r="B51">
        <v>1335.2761667144061</v>
      </c>
      <c r="C51">
        <v>1602.331400057288</v>
      </c>
    </row>
    <row r="52" spans="1:3" x14ac:dyDescent="0.3">
      <c r="A52" t="s">
        <v>98</v>
      </c>
      <c r="B52">
        <v>1498.7068581841231</v>
      </c>
      <c r="C52">
        <v>1825.3480965063045</v>
      </c>
    </row>
    <row r="53" spans="1:3" x14ac:dyDescent="0.3">
      <c r="A53" t="s">
        <v>99</v>
      </c>
      <c r="B53">
        <v>1026.4375847098599</v>
      </c>
      <c r="C53">
        <v>1237.4808264259059</v>
      </c>
    </row>
    <row r="54" spans="1:3" x14ac:dyDescent="0.3">
      <c r="A54" t="s">
        <v>100</v>
      </c>
      <c r="B54">
        <v>1072.9136032995873</v>
      </c>
      <c r="C54">
        <v>1262.8098162729659</v>
      </c>
    </row>
    <row r="55" spans="1:3" x14ac:dyDescent="0.3">
      <c r="A55" t="s">
        <v>101</v>
      </c>
      <c r="B55">
        <v>934.62106558974313</v>
      </c>
      <c r="C55">
        <v>1079.1500963510437</v>
      </c>
    </row>
    <row r="56" spans="1:3" x14ac:dyDescent="0.3">
      <c r="A56" t="s">
        <v>102</v>
      </c>
      <c r="B56">
        <v>652.05454339779521</v>
      </c>
      <c r="C56">
        <v>765.45533355393343</v>
      </c>
    </row>
    <row r="57" spans="1:3" x14ac:dyDescent="0.3">
      <c r="A57" t="s">
        <v>103</v>
      </c>
      <c r="B57">
        <v>1148.783839534301</v>
      </c>
      <c r="C57">
        <v>1386.1358724959332</v>
      </c>
    </row>
    <row r="58" spans="1:3" x14ac:dyDescent="0.3">
      <c r="A58" t="s">
        <v>104</v>
      </c>
      <c r="B58">
        <v>1380.7874117647057</v>
      </c>
      <c r="C58">
        <v>1745.1618676470587</v>
      </c>
    </row>
    <row r="59" spans="1:3" x14ac:dyDescent="0.3">
      <c r="A59" t="s">
        <v>105</v>
      </c>
      <c r="B59">
        <v>1411.788743822992</v>
      </c>
      <c r="C59">
        <v>1809.7426179207484</v>
      </c>
    </row>
    <row r="60" spans="1:3" x14ac:dyDescent="0.3">
      <c r="A60" t="s">
        <v>106</v>
      </c>
      <c r="B60">
        <v>1754.1216948259544</v>
      </c>
      <c r="C60">
        <v>2059.186337404381</v>
      </c>
    </row>
    <row r="61" spans="1:3" x14ac:dyDescent="0.3">
      <c r="A61" t="s">
        <v>107</v>
      </c>
      <c r="B61">
        <v>1910.4756896977951</v>
      </c>
      <c r="C61">
        <v>2263.9136922918869</v>
      </c>
    </row>
    <row r="62" spans="1:3" x14ac:dyDescent="0.3">
      <c r="A62" t="s">
        <v>108</v>
      </c>
      <c r="B62">
        <v>1978.2897898506242</v>
      </c>
      <c r="C62">
        <v>2362.6968106272857</v>
      </c>
    </row>
    <row r="63" spans="1:3" x14ac:dyDescent="0.3">
      <c r="A63" t="s">
        <v>109</v>
      </c>
      <c r="B63">
        <v>1385.9608029806643</v>
      </c>
      <c r="C63">
        <v>1632.775740497769</v>
      </c>
    </row>
    <row r="64" spans="1:3" x14ac:dyDescent="0.3">
      <c r="A64" t="s">
        <v>110</v>
      </c>
      <c r="B64">
        <v>1248.0642791651476</v>
      </c>
      <c r="C64">
        <v>1495.7716933505978</v>
      </c>
    </row>
    <row r="65" spans="1:3" x14ac:dyDescent="0.3">
      <c r="A65" t="s">
        <v>111</v>
      </c>
      <c r="B65">
        <v>1226.5204370215129</v>
      </c>
      <c r="C65">
        <v>1464.2181961342089</v>
      </c>
    </row>
    <row r="66" spans="1:3" x14ac:dyDescent="0.3">
      <c r="A66" t="s">
        <v>112</v>
      </c>
      <c r="B66">
        <v>1619.7553657491737</v>
      </c>
      <c r="C66">
        <v>2048.5141390357198</v>
      </c>
    </row>
    <row r="67" spans="1:3" x14ac:dyDescent="0.3">
      <c r="A67" t="s">
        <v>113</v>
      </c>
      <c r="B67">
        <v>1743.3201191786516</v>
      </c>
      <c r="C67">
        <v>2124.3736971411977</v>
      </c>
    </row>
    <row r="68" spans="1:3" x14ac:dyDescent="0.3">
      <c r="A68" t="s">
        <v>114</v>
      </c>
      <c r="B68">
        <v>1679.6718289472374</v>
      </c>
      <c r="C68">
        <v>2087.7276969965665</v>
      </c>
    </row>
    <row r="69" spans="1:3" x14ac:dyDescent="0.3">
      <c r="A69" t="s">
        <v>115</v>
      </c>
      <c r="B69">
        <v>1561.3285422636277</v>
      </c>
      <c r="C69">
        <v>1942.3670555541564</v>
      </c>
    </row>
    <row r="70" spans="1:3" x14ac:dyDescent="0.3">
      <c r="A70" t="s">
        <v>116</v>
      </c>
      <c r="B70">
        <v>1621.5497650610614</v>
      </c>
      <c r="C70">
        <v>1989.2267466737449</v>
      </c>
    </row>
    <row r="71" spans="1:3" x14ac:dyDescent="0.3">
      <c r="A71" t="s">
        <v>117</v>
      </c>
      <c r="B71">
        <v>1507.4126959180958</v>
      </c>
      <c r="C71">
        <v>1860.4144031900555</v>
      </c>
    </row>
    <row r="72" spans="1:3" x14ac:dyDescent="0.3">
      <c r="A72" t="s">
        <v>118</v>
      </c>
      <c r="B72">
        <v>1497.2671369399229</v>
      </c>
      <c r="C72">
        <v>1800.5111140416805</v>
      </c>
    </row>
    <row r="73" spans="1:3" x14ac:dyDescent="0.3">
      <c r="A73" t="s">
        <v>119</v>
      </c>
      <c r="B73">
        <v>1544.4685312553777</v>
      </c>
      <c r="C73">
        <v>1851.4436430576891</v>
      </c>
    </row>
    <row r="74" spans="1:3" x14ac:dyDescent="0.3">
      <c r="A74" t="s">
        <v>120</v>
      </c>
      <c r="B74">
        <v>1754.8260784451954</v>
      </c>
      <c r="C74">
        <v>2117.2358120371382</v>
      </c>
    </row>
    <row r="75" spans="1:3" x14ac:dyDescent="0.3">
      <c r="A75" t="s">
        <v>121</v>
      </c>
      <c r="B75">
        <v>1574.0551591973995</v>
      </c>
      <c r="C75">
        <v>1932.2233990147718</v>
      </c>
    </row>
    <row r="76" spans="1:3" x14ac:dyDescent="0.3">
      <c r="A76" t="s">
        <v>122</v>
      </c>
      <c r="B76">
        <v>2060.7482030923916</v>
      </c>
      <c r="C76">
        <v>2426.6754541087976</v>
      </c>
    </row>
    <row r="77" spans="1:3" x14ac:dyDescent="0.3">
      <c r="A77" t="s">
        <v>123</v>
      </c>
      <c r="B77">
        <v>1535.4144532760452</v>
      </c>
      <c r="C77">
        <v>1883.9441144491352</v>
      </c>
    </row>
    <row r="78" spans="1:3" x14ac:dyDescent="0.3">
      <c r="A78" t="s">
        <v>124</v>
      </c>
      <c r="B78">
        <v>1551.297019268254</v>
      </c>
      <c r="C78">
        <v>1920.2030177527781</v>
      </c>
    </row>
    <row r="79" spans="1:3" x14ac:dyDescent="0.3">
      <c r="A79" t="s">
        <v>125</v>
      </c>
      <c r="B79">
        <v>1358.7211204429848</v>
      </c>
      <c r="C79">
        <v>1653.269055643912</v>
      </c>
    </row>
    <row r="80" spans="1:3" x14ac:dyDescent="0.3">
      <c r="A80" t="s">
        <v>126</v>
      </c>
      <c r="B80">
        <v>1330.9532073036198</v>
      </c>
      <c r="C80">
        <v>1612.140504621286</v>
      </c>
    </row>
    <row r="81" spans="1:3" x14ac:dyDescent="0.3">
      <c r="A81" t="s">
        <v>127</v>
      </c>
      <c r="B81">
        <v>1558.9006845570691</v>
      </c>
      <c r="C81">
        <v>1946.2638849621592</v>
      </c>
    </row>
    <row r="82" spans="1:3" x14ac:dyDescent="0.3">
      <c r="A82" t="s">
        <v>128</v>
      </c>
      <c r="B82">
        <v>1696.4219671664862</v>
      </c>
      <c r="C82">
        <v>2108.811837637897</v>
      </c>
    </row>
    <row r="83" spans="1:3" x14ac:dyDescent="0.3">
      <c r="A83" t="s">
        <v>129</v>
      </c>
      <c r="B83">
        <v>1911.5372095857842</v>
      </c>
      <c r="C83">
        <v>2356.300817756734</v>
      </c>
    </row>
    <row r="84" spans="1:3" x14ac:dyDescent="0.3">
      <c r="A84" t="s">
        <v>130</v>
      </c>
      <c r="B84">
        <v>1923.0048299273456</v>
      </c>
      <c r="C84">
        <v>2394.3295431448328</v>
      </c>
    </row>
    <row r="85" spans="1:3" x14ac:dyDescent="0.3">
      <c r="A85" t="s">
        <v>131</v>
      </c>
      <c r="B85">
        <v>1837.6926883877863</v>
      </c>
      <c r="C85">
        <v>2282.9068963992613</v>
      </c>
    </row>
    <row r="86" spans="1:3" x14ac:dyDescent="0.3">
      <c r="A86" t="s">
        <v>132</v>
      </c>
      <c r="B86">
        <v>1761.2704078602612</v>
      </c>
      <c r="C86">
        <v>2102.1614545428924</v>
      </c>
    </row>
    <row r="87" spans="1:3" x14ac:dyDescent="0.3">
      <c r="A87" t="s">
        <v>133</v>
      </c>
      <c r="B87">
        <v>1811.3194159648704</v>
      </c>
      <c r="C87">
        <v>2105.3031955193783</v>
      </c>
    </row>
    <row r="88" spans="1:3" x14ac:dyDescent="0.3">
      <c r="A88" t="s">
        <v>134</v>
      </c>
      <c r="B88">
        <v>1845.0827866017864</v>
      </c>
      <c r="C88">
        <v>2225.5122271382374</v>
      </c>
    </row>
    <row r="89" spans="1:3" x14ac:dyDescent="0.3">
      <c r="A89" t="s">
        <v>135</v>
      </c>
      <c r="B89">
        <v>1896.8387283190173</v>
      </c>
      <c r="C89">
        <v>2261.2560209517351</v>
      </c>
    </row>
    <row r="90" spans="1:3" x14ac:dyDescent="0.3">
      <c r="A90" t="s">
        <v>136</v>
      </c>
      <c r="B90">
        <v>1396.6036154286855</v>
      </c>
      <c r="C90">
        <v>1805.1339247037436</v>
      </c>
    </row>
    <row r="91" spans="1:3" x14ac:dyDescent="0.3">
      <c r="A91" t="s">
        <v>137</v>
      </c>
      <c r="B91">
        <v>1153.1993468993398</v>
      </c>
      <c r="C91">
        <v>1467.7082596900689</v>
      </c>
    </row>
    <row r="92" spans="1:3" x14ac:dyDescent="0.3">
      <c r="A92" t="s">
        <v>138</v>
      </c>
      <c r="B92">
        <v>1286.3156401207461</v>
      </c>
      <c r="C92">
        <v>1643.103919862267</v>
      </c>
    </row>
    <row r="93" spans="1:3" x14ac:dyDescent="0.3">
      <c r="A93" t="s">
        <v>139</v>
      </c>
      <c r="B93">
        <v>1457.1333175220439</v>
      </c>
      <c r="C93">
        <v>1769.3761712767678</v>
      </c>
    </row>
    <row r="94" spans="1:3" x14ac:dyDescent="0.3">
      <c r="A94" t="s">
        <v>140</v>
      </c>
      <c r="B94">
        <v>1385.9798523042616</v>
      </c>
      <c r="C94">
        <v>1680.2632456017418</v>
      </c>
    </row>
    <row r="95" spans="1:3" x14ac:dyDescent="0.3">
      <c r="A95" t="s">
        <v>141</v>
      </c>
      <c r="B95">
        <v>1562.3739215128132</v>
      </c>
      <c r="C95">
        <v>1852.3954279014192</v>
      </c>
    </row>
    <row r="96" spans="1:3" x14ac:dyDescent="0.3">
      <c r="A96" t="s">
        <v>142</v>
      </c>
      <c r="B96">
        <v>1228.2487239495861</v>
      </c>
      <c r="C96">
        <v>1437.7174985766474</v>
      </c>
    </row>
    <row r="97" spans="1:3" x14ac:dyDescent="0.3">
      <c r="A97" t="s">
        <v>143</v>
      </c>
      <c r="B97">
        <v>1131.1622596590134</v>
      </c>
      <c r="C97">
        <v>1347.9683594269911</v>
      </c>
    </row>
    <row r="98" spans="1:3" x14ac:dyDescent="0.3">
      <c r="A98" t="s">
        <v>144</v>
      </c>
      <c r="B98">
        <v>1255.0788262769972</v>
      </c>
      <c r="C98">
        <v>1515.3914717270416</v>
      </c>
    </row>
    <row r="99" spans="1:3" x14ac:dyDescent="0.3">
      <c r="A99" t="s">
        <v>145</v>
      </c>
      <c r="B99">
        <v>1236.2398068396474</v>
      </c>
      <c r="C99">
        <v>1472.1634340991225</v>
      </c>
    </row>
    <row r="100" spans="1:3" x14ac:dyDescent="0.3">
      <c r="A100" t="s">
        <v>146</v>
      </c>
      <c r="B100">
        <v>1222.3227419567022</v>
      </c>
      <c r="C100">
        <v>1470.6070489166577</v>
      </c>
    </row>
    <row r="101" spans="1:3" x14ac:dyDescent="0.3">
      <c r="A101" t="s">
        <v>147</v>
      </c>
      <c r="B101">
        <v>1328.5910859768735</v>
      </c>
      <c r="C101">
        <v>1594.3093031722485</v>
      </c>
    </row>
    <row r="102" spans="1:3" x14ac:dyDescent="0.3">
      <c r="A102" t="s">
        <v>148</v>
      </c>
      <c r="B102">
        <v>1064.6700568338879</v>
      </c>
      <c r="C102">
        <v>1366.1695419549892</v>
      </c>
    </row>
    <row r="103" spans="1:3" x14ac:dyDescent="0.3">
      <c r="A103" t="s">
        <v>149</v>
      </c>
      <c r="B103">
        <v>1271.5116594168082</v>
      </c>
      <c r="C103">
        <v>1663.8368182703218</v>
      </c>
    </row>
    <row r="104" spans="1:3" x14ac:dyDescent="0.3">
      <c r="A104" t="s">
        <v>150</v>
      </c>
      <c r="B104">
        <v>1380.4779970187406</v>
      </c>
      <c r="C104">
        <v>1770.8200513481786</v>
      </c>
    </row>
    <row r="105" spans="1:3" x14ac:dyDescent="0.3">
      <c r="A105" t="s">
        <v>151</v>
      </c>
      <c r="B105">
        <v>1412.3477758087304</v>
      </c>
      <c r="C105">
        <v>1723.0642864866513</v>
      </c>
    </row>
    <row r="106" spans="1:3" x14ac:dyDescent="0.3">
      <c r="A106" t="s">
        <v>152</v>
      </c>
      <c r="B106">
        <v>1681.4613880735205</v>
      </c>
      <c r="C106">
        <v>2032.9533166538608</v>
      </c>
    </row>
    <row r="107" spans="1:3" x14ac:dyDescent="0.3">
      <c r="A107" t="s">
        <v>153</v>
      </c>
      <c r="B107">
        <v>1494.1224837435286</v>
      </c>
      <c r="C107">
        <v>1839.6383081092197</v>
      </c>
    </row>
    <row r="108" spans="1:3" x14ac:dyDescent="0.3">
      <c r="A108" t="s">
        <v>154</v>
      </c>
      <c r="B108">
        <v>1032.1228044137354</v>
      </c>
      <c r="C108">
        <v>1219.7814961253237</v>
      </c>
    </row>
    <row r="109" spans="1:3" x14ac:dyDescent="0.3">
      <c r="A109" t="s">
        <v>155</v>
      </c>
      <c r="B109">
        <v>1000.3518600178502</v>
      </c>
      <c r="C109">
        <v>1183.1084498288035</v>
      </c>
    </row>
    <row r="110" spans="1:3" x14ac:dyDescent="0.3">
      <c r="A110" t="s">
        <v>156</v>
      </c>
      <c r="B110">
        <v>840.51383694487401</v>
      </c>
      <c r="C110">
        <v>991.61744808103117</v>
      </c>
    </row>
    <row r="111" spans="1:3" x14ac:dyDescent="0.3">
      <c r="A111" t="s">
        <v>157</v>
      </c>
      <c r="B111">
        <v>1096.5907563777625</v>
      </c>
      <c r="C111">
        <v>1296.837764064137</v>
      </c>
    </row>
    <row r="112" spans="1:3" x14ac:dyDescent="0.3">
      <c r="A112" t="s">
        <v>158</v>
      </c>
      <c r="B112">
        <v>996.84987523424797</v>
      </c>
      <c r="C112">
        <v>1196.2198502810979</v>
      </c>
    </row>
    <row r="113" spans="1:3" x14ac:dyDescent="0.3">
      <c r="A113" t="s">
        <v>159</v>
      </c>
      <c r="B113">
        <v>763.3314614494908</v>
      </c>
      <c r="C113">
        <v>966.24235626517827</v>
      </c>
    </row>
    <row r="114" spans="1:3" x14ac:dyDescent="0.3">
      <c r="A114" t="s">
        <v>160</v>
      </c>
      <c r="B114">
        <v>1734.0876262381328</v>
      </c>
      <c r="C114">
        <v>2155.8927245122736</v>
      </c>
    </row>
    <row r="115" spans="1:3" x14ac:dyDescent="0.3">
      <c r="A115" t="s">
        <v>161</v>
      </c>
      <c r="B115">
        <v>1386.2618564510392</v>
      </c>
      <c r="C115">
        <v>1718.1837094041052</v>
      </c>
    </row>
    <row r="116" spans="1:3" x14ac:dyDescent="0.3">
      <c r="A116" t="s">
        <v>162</v>
      </c>
      <c r="B116">
        <v>1660.9615782989802</v>
      </c>
      <c r="C116">
        <v>2014.154557592442</v>
      </c>
    </row>
    <row r="117" spans="1:3" x14ac:dyDescent="0.3">
      <c r="A117" t="s">
        <v>163</v>
      </c>
      <c r="B117">
        <v>1407.1690356346589</v>
      </c>
      <c r="C117">
        <v>1723.0641252669298</v>
      </c>
    </row>
    <row r="118" spans="1:3" x14ac:dyDescent="0.3">
      <c r="A118" t="s">
        <v>164</v>
      </c>
      <c r="B118">
        <v>1327.3254051339984</v>
      </c>
      <c r="C118">
        <v>1573.8286946588837</v>
      </c>
    </row>
    <row r="119" spans="1:3" x14ac:dyDescent="0.3">
      <c r="A119" t="s">
        <v>165</v>
      </c>
      <c r="B119">
        <v>1473.8993619446596</v>
      </c>
      <c r="C119">
        <v>1749.661178050435</v>
      </c>
    </row>
    <row r="120" spans="1:3" x14ac:dyDescent="0.3">
      <c r="A120" t="s">
        <v>166</v>
      </c>
      <c r="B120">
        <v>1194.1135466304836</v>
      </c>
      <c r="C120">
        <v>1410.3703306659254</v>
      </c>
    </row>
    <row r="121" spans="1:3" x14ac:dyDescent="0.3">
      <c r="A121" t="s">
        <v>167</v>
      </c>
      <c r="B121">
        <v>1222.291843404744</v>
      </c>
      <c r="C121">
        <v>1432.3732539899343</v>
      </c>
    </row>
    <row r="122" spans="1:3" x14ac:dyDescent="0.3">
      <c r="A122" t="s">
        <v>168</v>
      </c>
      <c r="B122">
        <v>1352.8977783691582</v>
      </c>
      <c r="C122">
        <v>1665.1049579928101</v>
      </c>
    </row>
    <row r="123" spans="1:3" x14ac:dyDescent="0.3">
      <c r="A123" t="s">
        <v>169</v>
      </c>
      <c r="B123">
        <v>1088.3385285282914</v>
      </c>
      <c r="C123">
        <v>1292.4020026273463</v>
      </c>
    </row>
    <row r="124" spans="1:3" x14ac:dyDescent="0.3">
      <c r="A124" t="s">
        <v>170</v>
      </c>
      <c r="B124">
        <v>1269.9254222871855</v>
      </c>
      <c r="C124">
        <v>1560.7480380781444</v>
      </c>
    </row>
    <row r="125" spans="1:3" x14ac:dyDescent="0.3">
      <c r="A125" t="s">
        <v>171</v>
      </c>
      <c r="B125">
        <v>931.84463534394195</v>
      </c>
      <c r="C125">
        <v>1078.9779988193011</v>
      </c>
    </row>
    <row r="126" spans="1:3" x14ac:dyDescent="0.3">
      <c r="A126" t="s">
        <v>172</v>
      </c>
      <c r="B126">
        <v>1378.131302597523</v>
      </c>
      <c r="C126">
        <v>1717.9445004982822</v>
      </c>
    </row>
    <row r="127" spans="1:3" x14ac:dyDescent="0.3">
      <c r="A127" t="s">
        <v>173</v>
      </c>
      <c r="B127">
        <v>1526.6028191956952</v>
      </c>
      <c r="C127">
        <v>1920.2551184851513</v>
      </c>
    </row>
    <row r="128" spans="1:3" x14ac:dyDescent="0.3">
      <c r="A128" t="s">
        <v>174</v>
      </c>
      <c r="B128">
        <v>1534.2921715614257</v>
      </c>
      <c r="C128">
        <v>2002.0641750862503</v>
      </c>
    </row>
    <row r="129" spans="1:3" x14ac:dyDescent="0.3">
      <c r="A129" t="s">
        <v>175</v>
      </c>
      <c r="B129">
        <v>1321.885692730154</v>
      </c>
      <c r="C129">
        <v>1684.9388055222389</v>
      </c>
    </row>
    <row r="130" spans="1:3" x14ac:dyDescent="0.3">
      <c r="A130" t="s">
        <v>176</v>
      </c>
      <c r="B130">
        <v>1524.8469097652908</v>
      </c>
      <c r="C130">
        <v>1906.0586372066132</v>
      </c>
    </row>
    <row r="131" spans="1:3" x14ac:dyDescent="0.3">
      <c r="A131" t="s">
        <v>177</v>
      </c>
      <c r="B131">
        <v>1436.2876645418121</v>
      </c>
      <c r="C131">
        <v>1828.0024821441241</v>
      </c>
    </row>
    <row r="132" spans="1:3" x14ac:dyDescent="0.3">
      <c r="A132" t="s">
        <v>178</v>
      </c>
      <c r="B132">
        <v>1538.4498167827994</v>
      </c>
      <c r="C132">
        <v>1887.6684868500604</v>
      </c>
    </row>
    <row r="133" spans="1:3" x14ac:dyDescent="0.3">
      <c r="A133" t="s">
        <v>179</v>
      </c>
      <c r="B133">
        <v>1714.6305959943527</v>
      </c>
      <c r="C133">
        <v>2057.5567151932237</v>
      </c>
    </row>
    <row r="134" spans="1:3" x14ac:dyDescent="0.3">
      <c r="A134" t="s">
        <v>180</v>
      </c>
      <c r="B134">
        <v>1474.2518501306363</v>
      </c>
      <c r="C134">
        <v>1812.2968603516745</v>
      </c>
    </row>
    <row r="135" spans="1:3" x14ac:dyDescent="0.3">
      <c r="A135" t="s">
        <v>181</v>
      </c>
      <c r="B135">
        <v>1281.392095626695</v>
      </c>
      <c r="C135">
        <v>1601.7401195333691</v>
      </c>
    </row>
    <row r="136" spans="1:3" x14ac:dyDescent="0.3">
      <c r="A136" t="s">
        <v>182</v>
      </c>
      <c r="B136">
        <v>844.56275174400878</v>
      </c>
      <c r="C136">
        <v>1065.3007436771018</v>
      </c>
    </row>
    <row r="137" spans="1:3" x14ac:dyDescent="0.3">
      <c r="A137" t="s">
        <v>183</v>
      </c>
      <c r="B137">
        <v>1371.9623342996026</v>
      </c>
      <c r="C137">
        <v>1801.8438657134782</v>
      </c>
    </row>
    <row r="138" spans="1:3" x14ac:dyDescent="0.3">
      <c r="A138" t="s">
        <v>184</v>
      </c>
      <c r="B138">
        <v>1526.7863331049389</v>
      </c>
      <c r="C138">
        <v>2010.8893167723586</v>
      </c>
    </row>
    <row r="139" spans="1:3" x14ac:dyDescent="0.3">
      <c r="A139" t="s">
        <v>185</v>
      </c>
      <c r="B139">
        <v>1306.5198711447276</v>
      </c>
      <c r="C139">
        <v>1637.8836065799846</v>
      </c>
    </row>
    <row r="140" spans="1:3" x14ac:dyDescent="0.3">
      <c r="A140" t="s">
        <v>186</v>
      </c>
      <c r="B140">
        <v>1631.1278028593006</v>
      </c>
      <c r="C140">
        <v>2074.2665701100932</v>
      </c>
    </row>
    <row r="141" spans="1:3" x14ac:dyDescent="0.3">
      <c r="A141" t="s">
        <v>187</v>
      </c>
      <c r="B141">
        <v>1451.7537694656266</v>
      </c>
      <c r="C141">
        <v>1845.1322102240547</v>
      </c>
    </row>
    <row r="142" spans="1:3" x14ac:dyDescent="0.3">
      <c r="A142" t="s">
        <v>188</v>
      </c>
      <c r="B142">
        <v>1661.9834587786188</v>
      </c>
      <c r="C142">
        <v>2098.8476822289986</v>
      </c>
    </row>
    <row r="143" spans="1:3" x14ac:dyDescent="0.3">
      <c r="A143" t="s">
        <v>189</v>
      </c>
      <c r="B143">
        <v>1792.3689479513121</v>
      </c>
      <c r="C143">
        <v>2242.8072175935272</v>
      </c>
    </row>
    <row r="144" spans="1:3" x14ac:dyDescent="0.3">
      <c r="A144" t="s">
        <v>190</v>
      </c>
      <c r="B144">
        <v>1478.4625689732384</v>
      </c>
      <c r="C144">
        <v>1813.2088110049151</v>
      </c>
    </row>
    <row r="145" spans="1:3" x14ac:dyDescent="0.3">
      <c r="A145" t="s">
        <v>191</v>
      </c>
      <c r="B145">
        <v>1752.3445612431863</v>
      </c>
      <c r="C145">
        <v>2159.6462700726843</v>
      </c>
    </row>
    <row r="146" spans="1:3" x14ac:dyDescent="0.3">
      <c r="A146" t="s">
        <v>192</v>
      </c>
      <c r="B146">
        <v>1746.006661702728</v>
      </c>
      <c r="C146">
        <v>2217.9003540548165</v>
      </c>
    </row>
    <row r="147" spans="1:3" x14ac:dyDescent="0.3">
      <c r="A147" t="s">
        <v>193</v>
      </c>
      <c r="B147">
        <v>1341.109602068236</v>
      </c>
      <c r="C147">
        <v>1605.5537489549308</v>
      </c>
    </row>
    <row r="148" spans="1:3" x14ac:dyDescent="0.3">
      <c r="A148" t="s">
        <v>194</v>
      </c>
      <c r="B148">
        <v>1524.6521633588434</v>
      </c>
      <c r="C148">
        <v>1863.4637552163642</v>
      </c>
    </row>
    <row r="149" spans="1:3" x14ac:dyDescent="0.3">
      <c r="A149" t="s">
        <v>195</v>
      </c>
      <c r="B149">
        <v>1173.1675770420038</v>
      </c>
      <c r="C149">
        <v>1420.6326128243013</v>
      </c>
    </row>
    <row r="150" spans="1:3" x14ac:dyDescent="0.3">
      <c r="A150" t="s">
        <v>196</v>
      </c>
      <c r="B150">
        <v>1603.2523317471794</v>
      </c>
      <c r="C150">
        <v>2001.7485760542818</v>
      </c>
    </row>
    <row r="151" spans="1:3" x14ac:dyDescent="0.3">
      <c r="A151" t="s">
        <v>197</v>
      </c>
      <c r="B151">
        <v>1294.1014241897367</v>
      </c>
      <c r="C151">
        <v>1589.0804252918097</v>
      </c>
    </row>
    <row r="152" spans="1:3" x14ac:dyDescent="0.3">
      <c r="A152" t="s">
        <v>198</v>
      </c>
      <c r="B152">
        <v>1572.1822739821966</v>
      </c>
      <c r="C152">
        <v>1986.4099389834942</v>
      </c>
    </row>
    <row r="153" spans="1:3" x14ac:dyDescent="0.3">
      <c r="A153" t="s">
        <v>199</v>
      </c>
      <c r="B153">
        <v>1671.3838004639706</v>
      </c>
      <c r="C153">
        <v>2124.6404243186066</v>
      </c>
    </row>
    <row r="154" spans="1:3" x14ac:dyDescent="0.3">
      <c r="A154" t="s">
        <v>200</v>
      </c>
      <c r="B154">
        <v>1745.8867206880896</v>
      </c>
      <c r="C154">
        <v>2239.2894895782019</v>
      </c>
    </row>
    <row r="155" spans="1:3" x14ac:dyDescent="0.3">
      <c r="A155" t="s">
        <v>201</v>
      </c>
      <c r="B155">
        <v>1822.2166240835884</v>
      </c>
      <c r="C155">
        <v>2348.217299076789</v>
      </c>
    </row>
    <row r="156" spans="1:3" x14ac:dyDescent="0.3">
      <c r="A156" t="s">
        <v>202</v>
      </c>
      <c r="B156">
        <v>1647.2711448778589</v>
      </c>
      <c r="C156">
        <v>2059.0889310973243</v>
      </c>
    </row>
    <row r="157" spans="1:3" x14ac:dyDescent="0.3">
      <c r="A157" t="s">
        <v>203</v>
      </c>
      <c r="B157">
        <v>1750.5490368037656</v>
      </c>
      <c r="C157">
        <v>2159.6447356220374</v>
      </c>
    </row>
    <row r="158" spans="1:3" x14ac:dyDescent="0.3">
      <c r="A158" t="s">
        <v>204</v>
      </c>
      <c r="B158">
        <v>1594.7493162330991</v>
      </c>
      <c r="C158">
        <v>1960.6035711336337</v>
      </c>
    </row>
    <row r="159" spans="1:3" x14ac:dyDescent="0.3">
      <c r="A159" t="s">
        <v>205</v>
      </c>
      <c r="B159">
        <v>1409.4184172972468</v>
      </c>
      <c r="C159">
        <v>1764.1064958223819</v>
      </c>
    </row>
    <row r="160" spans="1:3" x14ac:dyDescent="0.3">
      <c r="A160" t="s">
        <v>206</v>
      </c>
      <c r="B160">
        <v>1598.5638003084894</v>
      </c>
      <c r="C160">
        <v>2005.2989684343183</v>
      </c>
    </row>
    <row r="161" spans="1:3" x14ac:dyDescent="0.3">
      <c r="A161" t="s">
        <v>207</v>
      </c>
      <c r="B161">
        <v>1294.0650459867468</v>
      </c>
      <c r="C161">
        <v>1636.06795099753</v>
      </c>
    </row>
    <row r="162" spans="1:3" x14ac:dyDescent="0.3">
      <c r="A162" t="s">
        <v>208</v>
      </c>
      <c r="B162">
        <v>1376.8342500060194</v>
      </c>
      <c r="C162">
        <v>1776.860417237498</v>
      </c>
    </row>
    <row r="163" spans="1:3" x14ac:dyDescent="0.3">
      <c r="A163" t="s">
        <v>209</v>
      </c>
      <c r="B163">
        <v>1477.4974001889066</v>
      </c>
      <c r="C163">
        <v>1825.6974244372475</v>
      </c>
    </row>
    <row r="164" spans="1:3" x14ac:dyDescent="0.3">
      <c r="A164" t="s">
        <v>210</v>
      </c>
      <c r="B164">
        <v>1366.7529715289716</v>
      </c>
      <c r="C164">
        <v>1660.984514010903</v>
      </c>
    </row>
    <row r="165" spans="1:3" x14ac:dyDescent="0.3">
      <c r="A165" t="s">
        <v>211</v>
      </c>
      <c r="B165">
        <v>1196.8460863006076</v>
      </c>
      <c r="C165">
        <v>1441.8696945196302</v>
      </c>
    </row>
    <row r="166" spans="1:3" x14ac:dyDescent="0.3">
      <c r="A166" t="s">
        <v>212</v>
      </c>
      <c r="B166">
        <v>935.37221277881963</v>
      </c>
      <c r="C166">
        <v>1150.5078217179484</v>
      </c>
    </row>
    <row r="167" spans="1:3" x14ac:dyDescent="0.3">
      <c r="A167" t="s">
        <v>213</v>
      </c>
      <c r="B167">
        <v>1421.0929806197003</v>
      </c>
      <c r="C167">
        <v>1851.1605931756617</v>
      </c>
    </row>
    <row r="168" spans="1:3" x14ac:dyDescent="0.3">
      <c r="A168" t="s">
        <v>214</v>
      </c>
      <c r="B168">
        <v>1744.4631779012502</v>
      </c>
      <c r="C168">
        <v>2197.0806510864395</v>
      </c>
    </row>
    <row r="169" spans="1:3" x14ac:dyDescent="0.3">
      <c r="A169" t="s">
        <v>215</v>
      </c>
      <c r="B169">
        <v>1788.6101009517038</v>
      </c>
      <c r="C169">
        <v>2180.7652567753394</v>
      </c>
    </row>
    <row r="170" spans="1:3" x14ac:dyDescent="0.3">
      <c r="A170" t="s">
        <v>216</v>
      </c>
      <c r="B170">
        <v>1818.3812199113811</v>
      </c>
      <c r="C170">
        <v>2289.4644375050034</v>
      </c>
    </row>
    <row r="171" spans="1:3" x14ac:dyDescent="0.3">
      <c r="A171" t="s">
        <v>217</v>
      </c>
      <c r="B171">
        <v>1318.2355076212225</v>
      </c>
      <c r="C171">
        <v>1652.4360588491384</v>
      </c>
    </row>
    <row r="172" spans="1:3" x14ac:dyDescent="0.3">
      <c r="A172" t="s">
        <v>218</v>
      </c>
      <c r="B172">
        <v>1509.7517552682878</v>
      </c>
      <c r="C172">
        <v>1832.591753250186</v>
      </c>
    </row>
    <row r="173" spans="1:3" x14ac:dyDescent="0.3">
      <c r="A173" t="s">
        <v>219</v>
      </c>
      <c r="B173">
        <v>1077.2024651046377</v>
      </c>
      <c r="C173">
        <v>1334.5871249084012</v>
      </c>
    </row>
    <row r="174" spans="1:3" x14ac:dyDescent="0.3">
      <c r="A174" t="s">
        <v>220</v>
      </c>
      <c r="B174">
        <v>1385.9587919456058</v>
      </c>
      <c r="C174">
        <v>1772.5187271141085</v>
      </c>
    </row>
    <row r="175" spans="1:3" x14ac:dyDescent="0.3">
      <c r="A175" t="s">
        <v>221</v>
      </c>
      <c r="B175">
        <v>1395.3983049057031</v>
      </c>
      <c r="C175">
        <v>1749.0266424502991</v>
      </c>
    </row>
    <row r="176" spans="1:3" x14ac:dyDescent="0.3">
      <c r="A176" t="s">
        <v>222</v>
      </c>
      <c r="B176">
        <v>1311.4032274385304</v>
      </c>
      <c r="C176">
        <v>1683.4325118182553</v>
      </c>
    </row>
    <row r="177" spans="1:3" x14ac:dyDescent="0.3">
      <c r="A177" t="s">
        <v>223</v>
      </c>
      <c r="B177">
        <v>1476.5181719945567</v>
      </c>
      <c r="C177">
        <v>1906.3905511828459</v>
      </c>
    </row>
    <row r="178" spans="1:3" x14ac:dyDescent="0.3">
      <c r="A178" t="s">
        <v>224</v>
      </c>
      <c r="B178">
        <v>1642.4103509151767</v>
      </c>
      <c r="C178">
        <v>2060.1332147317539</v>
      </c>
    </row>
    <row r="179" spans="1:3" x14ac:dyDescent="0.3">
      <c r="A179" t="s">
        <v>225</v>
      </c>
      <c r="B179">
        <v>1661.3885887637762</v>
      </c>
      <c r="C179">
        <v>2152.2533990803468</v>
      </c>
    </row>
    <row r="180" spans="1:3" x14ac:dyDescent="0.3">
      <c r="A180" t="s">
        <v>226</v>
      </c>
      <c r="B180">
        <v>1045.1445159118862</v>
      </c>
      <c r="C180">
        <v>1273.1760466562982</v>
      </c>
    </row>
    <row r="181" spans="1:3" x14ac:dyDescent="0.3">
      <c r="A181" t="s">
        <v>227</v>
      </c>
      <c r="B181">
        <v>1170.8666700261078</v>
      </c>
      <c r="C181">
        <v>1420.3956324906883</v>
      </c>
    </row>
    <row r="182" spans="1:3" x14ac:dyDescent="0.3">
      <c r="A182" t="s">
        <v>228</v>
      </c>
      <c r="B182">
        <v>1159.9547912502856</v>
      </c>
      <c r="C182">
        <v>1405.1484869617282</v>
      </c>
    </row>
    <row r="183" spans="1:3" x14ac:dyDescent="0.3">
      <c r="A183" t="s">
        <v>229</v>
      </c>
      <c r="B183">
        <v>1537.5034751423862</v>
      </c>
      <c r="C183">
        <v>1980.8326980362031</v>
      </c>
    </row>
    <row r="184" spans="1:3" x14ac:dyDescent="0.3">
      <c r="A184" t="s">
        <v>230</v>
      </c>
      <c r="B184">
        <v>1644.7279303590676</v>
      </c>
      <c r="C184">
        <v>2032.2787645241353</v>
      </c>
    </row>
    <row r="185" spans="1:3" x14ac:dyDescent="0.3">
      <c r="A185" t="s">
        <v>231</v>
      </c>
      <c r="B185">
        <v>1351.1765089200169</v>
      </c>
      <c r="C185">
        <v>1695.9594801616768</v>
      </c>
    </row>
    <row r="186" spans="1:3" x14ac:dyDescent="0.3">
      <c r="A186" t="s">
        <v>232</v>
      </c>
      <c r="B186">
        <v>1724.4806334249929</v>
      </c>
      <c r="C186">
        <v>2246.4855819212075</v>
      </c>
    </row>
    <row r="187" spans="1:3" x14ac:dyDescent="0.3">
      <c r="A187" t="s">
        <v>233</v>
      </c>
      <c r="B187">
        <v>1222.9206585636516</v>
      </c>
      <c r="C187">
        <v>1566.867093784678</v>
      </c>
    </row>
    <row r="188" spans="1:3" x14ac:dyDescent="0.3">
      <c r="A188" t="s">
        <v>234</v>
      </c>
      <c r="B188">
        <v>1561.5762874440047</v>
      </c>
      <c r="C188">
        <v>2044.2453217448794</v>
      </c>
    </row>
    <row r="189" spans="1:3" x14ac:dyDescent="0.3">
      <c r="A189" t="s">
        <v>235</v>
      </c>
      <c r="B189">
        <v>1425.7464634921234</v>
      </c>
      <c r="C189">
        <v>1838.462545029317</v>
      </c>
    </row>
    <row r="190" spans="1:3" x14ac:dyDescent="0.3">
      <c r="A190" t="s">
        <v>236</v>
      </c>
      <c r="B190">
        <v>1399.6086665765542</v>
      </c>
      <c r="C190">
        <v>1825.1653557383445</v>
      </c>
    </row>
    <row r="191" spans="1:3" x14ac:dyDescent="0.3">
      <c r="A191" t="s">
        <v>237</v>
      </c>
      <c r="B191">
        <v>1570.6247134821785</v>
      </c>
      <c r="C191">
        <v>2103.5152412707748</v>
      </c>
    </row>
    <row r="192" spans="1:3" x14ac:dyDescent="0.3">
      <c r="A192" t="s">
        <v>238</v>
      </c>
      <c r="B192">
        <v>1131.9653004920185</v>
      </c>
      <c r="C192">
        <v>1388.7977636288631</v>
      </c>
    </row>
    <row r="193" spans="1:3" x14ac:dyDescent="0.3">
      <c r="A193" t="s">
        <v>239</v>
      </c>
      <c r="B193">
        <v>1440.0338038636087</v>
      </c>
      <c r="C193">
        <v>1762.1466284120479</v>
      </c>
    </row>
    <row r="194" spans="1:3" x14ac:dyDescent="0.3">
      <c r="A194" t="s">
        <v>240</v>
      </c>
      <c r="B194">
        <v>1625.8003376171168</v>
      </c>
      <c r="C194">
        <v>2067.4917588194553</v>
      </c>
    </row>
    <row r="195" spans="1:3" x14ac:dyDescent="0.3">
      <c r="A195" t="s">
        <v>241</v>
      </c>
      <c r="B195">
        <v>1107.2123496106085</v>
      </c>
      <c r="C195">
        <v>1408.2964095924408</v>
      </c>
    </row>
    <row r="196" spans="1:3" x14ac:dyDescent="0.3">
      <c r="A196" t="s">
        <v>242</v>
      </c>
      <c r="B196">
        <v>1173.1503703790106</v>
      </c>
      <c r="C196">
        <v>1473.7095561785918</v>
      </c>
    </row>
    <row r="197" spans="1:3" x14ac:dyDescent="0.3">
      <c r="A197" t="s">
        <v>243</v>
      </c>
      <c r="B197">
        <v>1192.4310051978932</v>
      </c>
      <c r="C197">
        <v>1523.661839975086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Scale</vt:lpstr>
      <vt:lpstr>Plot Scale</vt:lpstr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2023-10-05T16:11:21Z</dcterms:modified>
</cp:coreProperties>
</file>