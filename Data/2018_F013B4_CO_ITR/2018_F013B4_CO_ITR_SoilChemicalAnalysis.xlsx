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8_F013B4_CO_ITR\"/>
    </mc:Choice>
  </mc:AlternateContent>
  <xr:revisionPtr revIDLastSave="0" documentId="13_ncr:1_{935B2E7F-68ED-437F-8D52-9D6E6C864EED}" xr6:coauthVersionLast="47" xr6:coauthVersionMax="47" xr10:uidLastSave="{00000000-0000-0000-0000-000000000000}"/>
  <bookViews>
    <workbookView xWindow="-1575" yWindow="-27240" windowWidth="17910" windowHeight="25080" xr2:uid="{F9B51D2C-8C96-4B74-8D27-89EE8CEDA5FE}"/>
  </bookViews>
  <sheets>
    <sheet name="SoilChemDF" sheetId="2" r:id="rId1"/>
    <sheet name="F13 soil May 22 2018 R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G9" i="3" s="1"/>
  <c r="E9" i="3"/>
  <c r="D10" i="3"/>
  <c r="E10" i="3"/>
  <c r="D11" i="3"/>
  <c r="E11" i="3"/>
  <c r="D12" i="3"/>
  <c r="E12" i="3"/>
  <c r="D13" i="3"/>
  <c r="E13" i="3"/>
  <c r="D14" i="3"/>
  <c r="E14" i="3"/>
  <c r="D15" i="3"/>
  <c r="G14" i="3" s="1"/>
  <c r="E15" i="3"/>
  <c r="D16" i="3"/>
  <c r="E16" i="3"/>
  <c r="D17" i="3"/>
  <c r="E17" i="3"/>
  <c r="D18" i="3"/>
  <c r="E18" i="3"/>
  <c r="D19" i="3"/>
  <c r="E19" i="3"/>
  <c r="D20" i="3"/>
  <c r="G19" i="3" s="1"/>
  <c r="E20" i="3"/>
  <c r="D21" i="3"/>
  <c r="E21" i="3"/>
  <c r="D22" i="3"/>
  <c r="E22" i="3"/>
  <c r="D23" i="3"/>
  <c r="E23" i="3"/>
  <c r="D24" i="3"/>
  <c r="E24" i="3"/>
  <c r="D25" i="3"/>
  <c r="G24" i="3" s="1"/>
  <c r="E25" i="3"/>
  <c r="D26" i="3"/>
  <c r="E26" i="3"/>
  <c r="D27" i="3"/>
  <c r="E27" i="3"/>
  <c r="D28" i="3"/>
  <c r="E28" i="3"/>
  <c r="D29" i="3"/>
  <c r="E29" i="3"/>
  <c r="G29" i="3"/>
  <c r="D30" i="3"/>
  <c r="E30" i="3"/>
  <c r="D31" i="3"/>
  <c r="E31" i="3"/>
  <c r="D32" i="3"/>
  <c r="E32" i="3"/>
  <c r="D33" i="3"/>
  <c r="E33" i="3"/>
  <c r="D34" i="3"/>
  <c r="E34" i="3"/>
  <c r="D35" i="3"/>
  <c r="G34" i="3" s="1"/>
  <c r="E35" i="3"/>
  <c r="D36" i="3"/>
  <c r="E36" i="3"/>
  <c r="D37" i="3"/>
  <c r="E37" i="3"/>
  <c r="D38" i="3"/>
  <c r="E38" i="3"/>
  <c r="D39" i="3"/>
  <c r="E39" i="3"/>
  <c r="D40" i="3"/>
  <c r="G39" i="3" s="1"/>
  <c r="E40" i="3"/>
  <c r="D41" i="3"/>
  <c r="E41" i="3"/>
  <c r="D42" i="3"/>
  <c r="E42" i="3"/>
  <c r="D43" i="3"/>
  <c r="E43" i="3"/>
  <c r="D44" i="3"/>
  <c r="G44" i="3" s="1"/>
  <c r="E44" i="3"/>
  <c r="D45" i="3"/>
  <c r="E45" i="3"/>
  <c r="D46" i="3"/>
  <c r="E46" i="3"/>
  <c r="D47" i="3"/>
  <c r="E47" i="3"/>
  <c r="D48" i="3"/>
  <c r="E48" i="3"/>
  <c r="E51" i="3"/>
  <c r="H51" i="3" s="1"/>
  <c r="E52" i="3"/>
  <c r="H55" i="3" s="1"/>
  <c r="E53" i="3"/>
  <c r="H57" i="3" s="1"/>
  <c r="E54" i="3"/>
  <c r="H58" i="3" s="1"/>
  <c r="E55" i="3"/>
  <c r="H60" i="3" s="1"/>
  <c r="H53" i="3" l="1"/>
  <c r="H52" i="3"/>
  <c r="H54" i="3"/>
  <c r="H59" i="3"/>
  <c r="H56" i="3"/>
</calcChain>
</file>

<file path=xl/sharedStrings.xml><?xml version="1.0" encoding="utf-8"?>
<sst xmlns="http://schemas.openxmlformats.org/spreadsheetml/2006/main" count="147" uniqueCount="77">
  <si>
    <t>p15-2</t>
  </si>
  <si>
    <t>p12-1</t>
  </si>
  <si>
    <t>p10-4</t>
  </si>
  <si>
    <t>p08-2</t>
  </si>
  <si>
    <t>p06-2</t>
  </si>
  <si>
    <t>p02-2</t>
  </si>
  <si>
    <t>p01-4</t>
  </si>
  <si>
    <t>SNO3</t>
  </si>
  <si>
    <t>Depth</t>
  </si>
  <si>
    <t>Plot</t>
  </si>
  <si>
    <t>SOIL_DATE</t>
  </si>
  <si>
    <t>DOY</t>
  </si>
  <si>
    <t>Year</t>
  </si>
  <si>
    <t>E</t>
  </si>
  <si>
    <t>160-200cm</t>
  </si>
  <si>
    <t>D</t>
  </si>
  <si>
    <t>120-160cm</t>
  </si>
  <si>
    <t>C</t>
  </si>
  <si>
    <t>80-120cm</t>
  </si>
  <si>
    <t>B</t>
  </si>
  <si>
    <t>40-80cm</t>
  </si>
  <si>
    <t>A</t>
  </si>
  <si>
    <t>0-40cm</t>
  </si>
  <si>
    <t>NO3</t>
  </si>
  <si>
    <t>16-2E</t>
  </si>
  <si>
    <t>16-2D</t>
  </si>
  <si>
    <t>16-2C</t>
  </si>
  <si>
    <t>16-2B</t>
  </si>
  <si>
    <t>16-2A</t>
  </si>
  <si>
    <t>15-2E</t>
  </si>
  <si>
    <t>15-2D</t>
  </si>
  <si>
    <t>15-2C</t>
  </si>
  <si>
    <t>15-2B</t>
  </si>
  <si>
    <t>15-2A</t>
  </si>
  <si>
    <t>12-1E</t>
  </si>
  <si>
    <t>12-1D</t>
  </si>
  <si>
    <t>12-1C</t>
  </si>
  <si>
    <t>12-1B</t>
  </si>
  <si>
    <t>12-1A</t>
  </si>
  <si>
    <t>10-4E</t>
  </si>
  <si>
    <t>10-4D</t>
  </si>
  <si>
    <t>10-4C</t>
  </si>
  <si>
    <t>10-4B</t>
  </si>
  <si>
    <t>10-4A</t>
  </si>
  <si>
    <t>8-2E</t>
  </si>
  <si>
    <t>8-2D</t>
  </si>
  <si>
    <t>8-2C</t>
  </si>
  <si>
    <t>8-2B</t>
  </si>
  <si>
    <t>8-2A</t>
  </si>
  <si>
    <t>6-2E</t>
  </si>
  <si>
    <t>6-2D</t>
  </si>
  <si>
    <t>6-2C</t>
  </si>
  <si>
    <t>6-2B</t>
  </si>
  <si>
    <t>6-2A</t>
  </si>
  <si>
    <t>2-2E</t>
  </si>
  <si>
    <t>2-2D</t>
  </si>
  <si>
    <t>2-2C</t>
  </si>
  <si>
    <t>2-2B</t>
  </si>
  <si>
    <t>2-2A</t>
  </si>
  <si>
    <t>1-4E</t>
  </si>
  <si>
    <t>1-4D</t>
  </si>
  <si>
    <t>1-4C</t>
  </si>
  <si>
    <t>1-4B</t>
  </si>
  <si>
    <t>1-4A</t>
  </si>
  <si>
    <t>NO3_N_lb_ac_0_36</t>
  </si>
  <si>
    <t>kg dry soil</t>
  </si>
  <si>
    <t>hectare</t>
  </si>
  <si>
    <t>wt. gms.</t>
  </si>
  <si>
    <t>ppm in extract</t>
  </si>
  <si>
    <t>site</t>
  </si>
  <si>
    <t>mg N per</t>
  </si>
  <si>
    <t>kg N per</t>
  </si>
  <si>
    <t>dry soil</t>
  </si>
  <si>
    <t>NO3 N</t>
  </si>
  <si>
    <t>7/11/2018</t>
  </si>
  <si>
    <t>F13 soil May 22 2018 R1.RUN</t>
  </si>
  <si>
    <t>nit amm.ANL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</si>
</sst>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m/dd/yyyy"/>
    <numFmt numFmtId="166" formatCode="0.000"/>
    <numFmt numFmtId="167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1" fillId="0" borderId="0" xfId="1" applyNumberFormat="1" applyFont="1" applyAlignment="1">
      <alignment horizontal="center"/>
    </xf>
    <xf numFmtId="167" fontId="1" fillId="0" borderId="0" xfId="1" applyNumberFormat="1" applyFont="1" applyAlignment="1">
      <alignment horizontal="center"/>
    </xf>
    <xf numFmtId="166" fontId="3" fillId="0" borderId="0" xfId="1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66" fontId="4" fillId="0" borderId="0" xfId="1" applyNumberFormat="1" applyFont="1" applyAlignment="1">
      <alignment horizontal="center"/>
    </xf>
    <xf numFmtId="0" fontId="1" fillId="0" borderId="0" xfId="1" applyFont="1"/>
    <xf numFmtId="0" fontId="2" fillId="0" borderId="0" xfId="1"/>
    <xf numFmtId="166" fontId="2" fillId="0" borderId="0" xfId="1" applyNumberFormat="1" applyAlignment="1">
      <alignment horizontal="center"/>
    </xf>
  </cellXfs>
  <cellStyles count="2">
    <cellStyle name="Normal" xfId="0" builtinId="0"/>
    <cellStyle name="Normal 2" xfId="1" xr:uid="{68E40BD4-F750-4405-AFF6-A1FCA89C34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1957-74D6-43C3-8F8B-15BF15A90A89}">
  <dimension ref="A1:F36"/>
  <sheetViews>
    <sheetView tabSelected="1" workbookViewId="0"/>
  </sheetViews>
  <sheetFormatPr defaultRowHeight="15" x14ac:dyDescent="0.25"/>
  <cols>
    <col min="3" max="3" width="10.7109375" bestFit="1" customWidth="1"/>
  </cols>
  <sheetData>
    <row r="1" spans="1:6" x14ac:dyDescent="0.25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</row>
    <row r="2" spans="1:6" x14ac:dyDescent="0.25">
      <c r="A2">
        <v>2018</v>
      </c>
      <c r="B2">
        <v>142</v>
      </c>
      <c r="C2" s="2">
        <v>43242</v>
      </c>
      <c r="D2" t="s">
        <v>6</v>
      </c>
      <c r="E2">
        <v>20</v>
      </c>
      <c r="F2" s="1">
        <v>3.1939691514159598</v>
      </c>
    </row>
    <row r="3" spans="1:6" x14ac:dyDescent="0.25">
      <c r="A3">
        <v>2018</v>
      </c>
      <c r="B3">
        <v>142</v>
      </c>
      <c r="C3" s="2">
        <v>43242</v>
      </c>
      <c r="D3" t="s">
        <v>6</v>
      </c>
      <c r="E3">
        <v>60</v>
      </c>
      <c r="F3" s="1">
        <v>1.4382740711146622</v>
      </c>
    </row>
    <row r="4" spans="1:6" x14ac:dyDescent="0.25">
      <c r="A4">
        <v>2018</v>
      </c>
      <c r="B4">
        <v>142</v>
      </c>
      <c r="C4" s="2">
        <v>43242</v>
      </c>
      <c r="D4" t="s">
        <v>6</v>
      </c>
      <c r="E4">
        <v>100</v>
      </c>
      <c r="F4" s="1">
        <v>1.614671583773547</v>
      </c>
    </row>
    <row r="5" spans="1:6" x14ac:dyDescent="0.25">
      <c r="A5">
        <v>2018</v>
      </c>
      <c r="B5">
        <v>142</v>
      </c>
      <c r="C5" s="2">
        <v>43242</v>
      </c>
      <c r="D5" t="s">
        <v>6</v>
      </c>
      <c r="E5">
        <v>140</v>
      </c>
      <c r="F5" s="1">
        <v>3.0239520958083834</v>
      </c>
    </row>
    <row r="6" spans="1:6" x14ac:dyDescent="0.25">
      <c r="A6">
        <v>2018</v>
      </c>
      <c r="B6">
        <v>142</v>
      </c>
      <c r="C6" s="2">
        <v>43242</v>
      </c>
      <c r="D6" t="s">
        <v>6</v>
      </c>
      <c r="E6">
        <v>180</v>
      </c>
      <c r="F6" s="1">
        <v>5.4550874403815586</v>
      </c>
    </row>
    <row r="7" spans="1:6" x14ac:dyDescent="0.25">
      <c r="A7">
        <v>2018</v>
      </c>
      <c r="B7">
        <v>142</v>
      </c>
      <c r="C7" s="2">
        <v>43242</v>
      </c>
      <c r="D7" t="s">
        <v>5</v>
      </c>
      <c r="E7">
        <v>20</v>
      </c>
      <c r="F7" s="1">
        <v>5.8491226316052582</v>
      </c>
    </row>
    <row r="8" spans="1:6" x14ac:dyDescent="0.25">
      <c r="A8">
        <v>2018</v>
      </c>
      <c r="B8">
        <v>142</v>
      </c>
      <c r="C8" s="2">
        <v>43242</v>
      </c>
      <c r="D8" t="s">
        <v>5</v>
      </c>
      <c r="E8">
        <v>60</v>
      </c>
      <c r="F8" s="1">
        <v>1.0952745360627509</v>
      </c>
    </row>
    <row r="9" spans="1:6" x14ac:dyDescent="0.25">
      <c r="A9">
        <v>2018</v>
      </c>
      <c r="B9">
        <v>142</v>
      </c>
      <c r="C9" s="2">
        <v>43242</v>
      </c>
      <c r="D9" t="s">
        <v>5</v>
      </c>
      <c r="E9">
        <v>100</v>
      </c>
      <c r="F9" s="1">
        <v>0.61878776067043462</v>
      </c>
    </row>
    <row r="10" spans="1:6" x14ac:dyDescent="0.25">
      <c r="A10">
        <v>2018</v>
      </c>
      <c r="B10">
        <v>142</v>
      </c>
      <c r="C10" s="2">
        <v>43242</v>
      </c>
      <c r="D10" t="s">
        <v>5</v>
      </c>
      <c r="E10">
        <v>140</v>
      </c>
      <c r="F10" s="1">
        <v>0.76533147798429579</v>
      </c>
    </row>
    <row r="11" spans="1:6" x14ac:dyDescent="0.25">
      <c r="A11">
        <v>2018</v>
      </c>
      <c r="B11">
        <v>142</v>
      </c>
      <c r="C11" s="2">
        <v>43242</v>
      </c>
      <c r="D11" t="s">
        <v>5</v>
      </c>
      <c r="E11">
        <v>180</v>
      </c>
      <c r="F11" s="1">
        <v>2.0576540755467194</v>
      </c>
    </row>
    <row r="12" spans="1:6" x14ac:dyDescent="0.25">
      <c r="A12">
        <v>2018</v>
      </c>
      <c r="B12">
        <v>142</v>
      </c>
      <c r="C12" s="2">
        <v>43242</v>
      </c>
      <c r="D12" t="s">
        <v>4</v>
      </c>
      <c r="E12">
        <v>20</v>
      </c>
      <c r="F12" s="1">
        <v>10.373692077727952</v>
      </c>
    </row>
    <row r="13" spans="1:6" x14ac:dyDescent="0.25">
      <c r="A13">
        <v>2018</v>
      </c>
      <c r="B13">
        <v>142</v>
      </c>
      <c r="C13" s="2">
        <v>43242</v>
      </c>
      <c r="D13" t="s">
        <v>4</v>
      </c>
      <c r="E13">
        <v>60</v>
      </c>
      <c r="F13" s="1">
        <v>7.3776223776223784</v>
      </c>
    </row>
    <row r="14" spans="1:6" x14ac:dyDescent="0.25">
      <c r="A14">
        <v>2018</v>
      </c>
      <c r="B14">
        <v>142</v>
      </c>
      <c r="C14" s="2">
        <v>43242</v>
      </c>
      <c r="D14" t="s">
        <v>4</v>
      </c>
      <c r="E14">
        <v>100</v>
      </c>
      <c r="F14" s="1">
        <v>4.1685410106462735</v>
      </c>
    </row>
    <row r="15" spans="1:6" x14ac:dyDescent="0.25">
      <c r="A15">
        <v>2018</v>
      </c>
      <c r="B15">
        <v>142</v>
      </c>
      <c r="C15" s="2">
        <v>43242</v>
      </c>
      <c r="D15" t="s">
        <v>4</v>
      </c>
      <c r="E15">
        <v>140</v>
      </c>
      <c r="F15" s="1">
        <v>3.4924911440403128</v>
      </c>
    </row>
    <row r="16" spans="1:6" x14ac:dyDescent="0.25">
      <c r="A16">
        <v>2018</v>
      </c>
      <c r="B16">
        <v>142</v>
      </c>
      <c r="C16" s="2">
        <v>43242</v>
      </c>
      <c r="D16" t="s">
        <v>4</v>
      </c>
      <c r="E16">
        <v>180</v>
      </c>
      <c r="F16" s="1">
        <v>3.6361820088906649</v>
      </c>
    </row>
    <row r="17" spans="1:6" x14ac:dyDescent="0.25">
      <c r="A17">
        <v>2018</v>
      </c>
      <c r="B17">
        <v>142</v>
      </c>
      <c r="C17" s="2">
        <v>43242</v>
      </c>
      <c r="D17" t="s">
        <v>3</v>
      </c>
      <c r="E17">
        <v>20</v>
      </c>
      <c r="F17" s="1">
        <v>5.8800079728921659</v>
      </c>
    </row>
    <row r="18" spans="1:6" x14ac:dyDescent="0.25">
      <c r="A18">
        <v>2018</v>
      </c>
      <c r="B18">
        <v>142</v>
      </c>
      <c r="C18" s="2">
        <v>43242</v>
      </c>
      <c r="D18" t="s">
        <v>3</v>
      </c>
      <c r="E18">
        <v>60</v>
      </c>
      <c r="F18" s="1">
        <v>3.6441693290734825</v>
      </c>
    </row>
    <row r="19" spans="1:6" x14ac:dyDescent="0.25">
      <c r="A19">
        <v>2018</v>
      </c>
      <c r="B19">
        <v>142</v>
      </c>
      <c r="C19" s="2">
        <v>43242</v>
      </c>
      <c r="D19" t="s">
        <v>3</v>
      </c>
      <c r="E19">
        <v>100</v>
      </c>
      <c r="F19" s="1">
        <v>1.3948870687515513</v>
      </c>
    </row>
    <row r="20" spans="1:6" x14ac:dyDescent="0.25">
      <c r="A20">
        <v>2018</v>
      </c>
      <c r="B20">
        <v>142</v>
      </c>
      <c r="C20" s="2">
        <v>43242</v>
      </c>
      <c r="D20" t="s">
        <v>3</v>
      </c>
      <c r="E20">
        <v>140</v>
      </c>
      <c r="F20" s="1">
        <v>7.0008988315190237</v>
      </c>
    </row>
    <row r="21" spans="1:6" x14ac:dyDescent="0.25">
      <c r="A21">
        <v>2018</v>
      </c>
      <c r="B21">
        <v>142</v>
      </c>
      <c r="C21" s="2">
        <v>43242</v>
      </c>
      <c r="D21" t="s">
        <v>3</v>
      </c>
      <c r="E21">
        <v>180</v>
      </c>
      <c r="F21" s="1">
        <v>7.6486272960695239</v>
      </c>
    </row>
    <row r="22" spans="1:6" x14ac:dyDescent="0.25">
      <c r="A22">
        <v>2018</v>
      </c>
      <c r="B22">
        <v>142</v>
      </c>
      <c r="C22" s="2">
        <v>43242</v>
      </c>
      <c r="D22" t="s">
        <v>2</v>
      </c>
      <c r="E22">
        <v>20</v>
      </c>
      <c r="F22" s="1">
        <v>7.0515053495894504</v>
      </c>
    </row>
    <row r="23" spans="1:6" x14ac:dyDescent="0.25">
      <c r="A23">
        <v>2018</v>
      </c>
      <c r="B23">
        <v>142</v>
      </c>
      <c r="C23" s="2">
        <v>43242</v>
      </c>
      <c r="D23" t="s">
        <v>2</v>
      </c>
      <c r="E23">
        <v>60</v>
      </c>
      <c r="F23" s="1">
        <v>1.2851046938572988</v>
      </c>
    </row>
    <row r="24" spans="1:6" x14ac:dyDescent="0.25">
      <c r="A24">
        <v>2018</v>
      </c>
      <c r="B24">
        <v>142</v>
      </c>
      <c r="C24" s="2">
        <v>43242</v>
      </c>
      <c r="D24" t="s">
        <v>2</v>
      </c>
      <c r="E24">
        <v>100</v>
      </c>
      <c r="F24" s="1">
        <v>1.1225035230088924</v>
      </c>
    </row>
    <row r="25" spans="1:6" x14ac:dyDescent="0.25">
      <c r="A25">
        <v>2018</v>
      </c>
      <c r="B25">
        <v>142</v>
      </c>
      <c r="C25" s="2">
        <v>43242</v>
      </c>
      <c r="D25" t="s">
        <v>2</v>
      </c>
      <c r="E25">
        <v>140</v>
      </c>
      <c r="F25" s="1">
        <v>4.6076961519240385</v>
      </c>
    </row>
    <row r="26" spans="1:6" x14ac:dyDescent="0.25">
      <c r="A26">
        <v>2018</v>
      </c>
      <c r="B26">
        <v>142</v>
      </c>
      <c r="C26" s="2">
        <v>43242</v>
      </c>
      <c r="D26" t="s">
        <v>2</v>
      </c>
      <c r="E26">
        <v>180</v>
      </c>
      <c r="F26" s="1">
        <v>2.0507232019021195</v>
      </c>
    </row>
    <row r="27" spans="1:6" x14ac:dyDescent="0.25">
      <c r="A27">
        <v>2018</v>
      </c>
      <c r="B27">
        <v>142</v>
      </c>
      <c r="C27" s="2">
        <v>43242</v>
      </c>
      <c r="D27" t="s">
        <v>1</v>
      </c>
      <c r="E27">
        <v>20</v>
      </c>
      <c r="F27" s="1">
        <v>10.152806347340583</v>
      </c>
    </row>
    <row r="28" spans="1:6" x14ac:dyDescent="0.25">
      <c r="A28">
        <v>2018</v>
      </c>
      <c r="B28">
        <v>142</v>
      </c>
      <c r="C28" s="2">
        <v>43242</v>
      </c>
      <c r="D28" t="s">
        <v>1</v>
      </c>
      <c r="E28">
        <v>60</v>
      </c>
      <c r="F28" s="1">
        <v>3.3890713645864441</v>
      </c>
    </row>
    <row r="29" spans="1:6" x14ac:dyDescent="0.25">
      <c r="A29">
        <v>2018</v>
      </c>
      <c r="B29">
        <v>142</v>
      </c>
      <c r="C29" s="2">
        <v>43242</v>
      </c>
      <c r="D29" t="s">
        <v>1</v>
      </c>
      <c r="E29">
        <v>100</v>
      </c>
      <c r="F29" s="1">
        <v>2.2344139650872821</v>
      </c>
    </row>
    <row r="30" spans="1:6" x14ac:dyDescent="0.25">
      <c r="A30">
        <v>2018</v>
      </c>
      <c r="B30">
        <v>142</v>
      </c>
      <c r="C30" s="2">
        <v>43242</v>
      </c>
      <c r="D30" t="s">
        <v>1</v>
      </c>
      <c r="E30">
        <v>140</v>
      </c>
      <c r="F30" s="1">
        <v>8.3420281214289247</v>
      </c>
    </row>
    <row r="31" spans="1:6" x14ac:dyDescent="0.25">
      <c r="A31">
        <v>2018</v>
      </c>
      <c r="B31">
        <v>142</v>
      </c>
      <c r="C31" s="2">
        <v>43242</v>
      </c>
      <c r="D31" t="s">
        <v>1</v>
      </c>
      <c r="E31">
        <v>180</v>
      </c>
      <c r="F31" s="1">
        <v>14.888089528377298</v>
      </c>
    </row>
    <row r="32" spans="1:6" x14ac:dyDescent="0.25">
      <c r="A32">
        <v>2018</v>
      </c>
      <c r="B32">
        <v>142</v>
      </c>
      <c r="C32" s="2">
        <v>43242</v>
      </c>
      <c r="D32" t="s">
        <v>0</v>
      </c>
      <c r="E32">
        <v>20</v>
      </c>
      <c r="F32" s="1">
        <v>9.4301980438908082</v>
      </c>
    </row>
    <row r="33" spans="1:6" x14ac:dyDescent="0.25">
      <c r="A33">
        <v>2018</v>
      </c>
      <c r="B33">
        <v>142</v>
      </c>
      <c r="C33" s="2">
        <v>43242</v>
      </c>
      <c r="D33" t="s">
        <v>0</v>
      </c>
      <c r="E33">
        <v>60</v>
      </c>
      <c r="F33" s="1">
        <v>7.8746824724809485</v>
      </c>
    </row>
    <row r="34" spans="1:6" x14ac:dyDescent="0.25">
      <c r="A34">
        <v>2018</v>
      </c>
      <c r="B34">
        <v>142</v>
      </c>
      <c r="C34" s="2">
        <v>43242</v>
      </c>
      <c r="D34" t="s">
        <v>0</v>
      </c>
      <c r="E34">
        <v>100</v>
      </c>
      <c r="F34" s="1">
        <v>6.5509155316070435</v>
      </c>
    </row>
    <row r="35" spans="1:6" x14ac:dyDescent="0.25">
      <c r="A35">
        <v>2018</v>
      </c>
      <c r="B35">
        <v>142</v>
      </c>
      <c r="C35" s="2">
        <v>43242</v>
      </c>
      <c r="D35" t="s">
        <v>0</v>
      </c>
      <c r="E35">
        <v>140</v>
      </c>
      <c r="F35" s="1">
        <v>4.3632949547857889</v>
      </c>
    </row>
    <row r="36" spans="1:6" x14ac:dyDescent="0.25">
      <c r="A36">
        <v>2018</v>
      </c>
      <c r="B36">
        <v>142</v>
      </c>
      <c r="C36" s="2">
        <v>43242</v>
      </c>
      <c r="D36" t="s">
        <v>0</v>
      </c>
      <c r="E36">
        <v>180</v>
      </c>
      <c r="F36" s="1">
        <v>1.0137795275590551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B1E5-66CE-4E39-894F-2BBEDA958264}">
  <dimension ref="A1:K60"/>
  <sheetViews>
    <sheetView workbookViewId="0">
      <selection activeCell="E9" sqref="E9:E43"/>
    </sheetView>
  </sheetViews>
  <sheetFormatPr defaultRowHeight="15" x14ac:dyDescent="0.25"/>
  <cols>
    <col min="2" max="2" width="14.5703125" customWidth="1"/>
  </cols>
  <sheetData>
    <row r="1" spans="1:11" x14ac:dyDescent="0.25">
      <c r="A1" t="s">
        <v>76</v>
      </c>
    </row>
    <row r="2" spans="1:11" x14ac:dyDescent="0.25">
      <c r="A2" t="s">
        <v>75</v>
      </c>
    </row>
    <row r="3" spans="1:11" x14ac:dyDescent="0.25">
      <c r="A3" t="s">
        <v>74</v>
      </c>
    </row>
    <row r="6" spans="1:11" x14ac:dyDescent="0.25">
      <c r="A6" s="10"/>
      <c r="B6" s="11"/>
      <c r="C6" s="7"/>
      <c r="D6" s="6" t="s">
        <v>23</v>
      </c>
      <c r="E6" s="4" t="s">
        <v>23</v>
      </c>
      <c r="F6" s="11"/>
      <c r="G6" s="11"/>
      <c r="H6" s="11"/>
      <c r="I6" s="5"/>
      <c r="J6" s="4"/>
      <c r="K6" s="4"/>
    </row>
    <row r="7" spans="1:11" x14ac:dyDescent="0.25">
      <c r="A7" s="10"/>
      <c r="B7" s="8" t="s">
        <v>73</v>
      </c>
      <c r="C7" s="7" t="s">
        <v>72</v>
      </c>
      <c r="D7" s="6" t="s">
        <v>71</v>
      </c>
      <c r="E7" s="4" t="s">
        <v>70</v>
      </c>
      <c r="F7" s="4"/>
      <c r="G7" s="4"/>
      <c r="H7" s="4"/>
      <c r="I7" s="5"/>
      <c r="J7" s="4"/>
      <c r="K7" s="4"/>
    </row>
    <row r="8" spans="1:11" x14ac:dyDescent="0.25">
      <c r="A8" s="9" t="s">
        <v>69</v>
      </c>
      <c r="B8" s="8" t="s">
        <v>68</v>
      </c>
      <c r="C8" s="7" t="s">
        <v>67</v>
      </c>
      <c r="D8" s="6" t="s">
        <v>66</v>
      </c>
      <c r="E8" s="4" t="s">
        <v>65</v>
      </c>
      <c r="F8" s="4"/>
      <c r="G8" s="4" t="s">
        <v>64</v>
      </c>
      <c r="H8" s="4"/>
      <c r="I8" s="5"/>
      <c r="J8" s="4"/>
      <c r="K8" s="4"/>
    </row>
    <row r="9" spans="1:11" x14ac:dyDescent="0.25">
      <c r="A9" t="s">
        <v>63</v>
      </c>
      <c r="B9">
        <v>0.64400000000000002</v>
      </c>
      <c r="C9">
        <v>2.0163000000000002</v>
      </c>
      <c r="D9">
        <f>B9*(10/C9)*1.6*30*(1/1000000000)*(10000)*(10000)</f>
        <v>15.331051926796611</v>
      </c>
      <c r="E9">
        <f>(10/C9)*B9</f>
        <v>3.1939691514159598</v>
      </c>
      <c r="F9" t="s">
        <v>21</v>
      </c>
      <c r="G9">
        <f>SUM(D9:D11)/1.12</f>
        <v>26.772492027017869</v>
      </c>
    </row>
    <row r="10" spans="1:11" x14ac:dyDescent="0.25">
      <c r="A10" t="s">
        <v>62</v>
      </c>
      <c r="B10">
        <v>0.28799999999999998</v>
      </c>
      <c r="C10">
        <v>2.0024000000000002</v>
      </c>
      <c r="D10">
        <f>B10*(10/C10)*1.6*30*(1/1000000000)*(10000)*(10000)</f>
        <v>6.9037155413503779</v>
      </c>
      <c r="E10">
        <f>(10/C10)*B10</f>
        <v>1.4382740711146622</v>
      </c>
      <c r="F10" t="s">
        <v>19</v>
      </c>
    </row>
    <row r="11" spans="1:11" x14ac:dyDescent="0.25">
      <c r="A11" t="s">
        <v>61</v>
      </c>
      <c r="B11">
        <v>0.32400000000000001</v>
      </c>
      <c r="C11">
        <v>2.0066000000000002</v>
      </c>
      <c r="D11">
        <f>B11*(10/C11)*1.6*30*(1/1000000000)*(10000)*(10000)</f>
        <v>7.7504236021130248</v>
      </c>
      <c r="E11">
        <f>(10/C11)*B11</f>
        <v>1.614671583773547</v>
      </c>
      <c r="F11" t="s">
        <v>17</v>
      </c>
    </row>
    <row r="12" spans="1:11" x14ac:dyDescent="0.25">
      <c r="A12" t="s">
        <v>60</v>
      </c>
      <c r="B12">
        <v>0.60599999999999998</v>
      </c>
      <c r="C12">
        <v>2.004</v>
      </c>
      <c r="D12">
        <f>B12*(10/C12)*1.6*30*(1/1000000000)*(10000)*(10000)</f>
        <v>14.514970059880243</v>
      </c>
      <c r="E12">
        <f>(10/C12)*B12</f>
        <v>3.0239520958083834</v>
      </c>
      <c r="F12" t="s">
        <v>15</v>
      </c>
    </row>
    <row r="13" spans="1:11" x14ac:dyDescent="0.25">
      <c r="A13" t="s">
        <v>59</v>
      </c>
      <c r="B13">
        <v>1.0980000000000001</v>
      </c>
      <c r="C13">
        <v>2.0127999999999999</v>
      </c>
      <c r="D13">
        <f>B13*(10/C13)*1.6*30*(1/1000000000)*(10000)*(10000)</f>
        <v>26.184419713831488</v>
      </c>
      <c r="E13">
        <f>(10/C13)*B13</f>
        <v>5.4550874403815586</v>
      </c>
      <c r="F13" t="s">
        <v>13</v>
      </c>
    </row>
    <row r="14" spans="1:11" x14ac:dyDescent="0.25">
      <c r="A14" t="s">
        <v>58</v>
      </c>
      <c r="B14">
        <v>1.17</v>
      </c>
      <c r="C14">
        <v>2.0003000000000002</v>
      </c>
      <c r="D14">
        <f>B14*(10/C14)*1.6*30*(1/1000000000)*(10000)*(10000)</f>
        <v>28.07578863170524</v>
      </c>
      <c r="E14">
        <f>(10/C14)*B14</f>
        <v>5.8491226316052582</v>
      </c>
      <c r="F14" t="s">
        <v>21</v>
      </c>
      <c r="G14">
        <f>SUM(D14:D16)/1.12</f>
        <v>32.413649692879041</v>
      </c>
    </row>
    <row r="15" spans="1:11" x14ac:dyDescent="0.25">
      <c r="A15" t="s">
        <v>57</v>
      </c>
      <c r="B15">
        <v>0.22900000000000001</v>
      </c>
      <c r="C15">
        <v>2.0908000000000002</v>
      </c>
      <c r="D15">
        <f>B15*(10/C15)*1.6*30*(1/1000000000)*(10000)*(10000)</f>
        <v>5.2573177731012048</v>
      </c>
      <c r="E15">
        <f>(10/C15)*B15</f>
        <v>1.0952745360627509</v>
      </c>
      <c r="F15" t="s">
        <v>19</v>
      </c>
    </row>
    <row r="16" spans="1:11" x14ac:dyDescent="0.25">
      <c r="A16" t="s">
        <v>56</v>
      </c>
      <c r="B16">
        <v>0.127</v>
      </c>
      <c r="C16">
        <v>2.0524</v>
      </c>
      <c r="D16">
        <f>B16*(10/C16)*1.6*30*(1/1000000000)*(10000)*(10000)</f>
        <v>2.9701812512180865</v>
      </c>
      <c r="E16">
        <f>(10/C16)*B16</f>
        <v>0.61878776067043462</v>
      </c>
      <c r="F16" t="s">
        <v>17</v>
      </c>
    </row>
    <row r="17" spans="1:7" x14ac:dyDescent="0.25">
      <c r="A17" t="s">
        <v>55</v>
      </c>
      <c r="B17">
        <v>0.154</v>
      </c>
      <c r="C17">
        <v>2.0122</v>
      </c>
      <c r="D17">
        <f>B17*(10/C17)*1.6*30*(1/1000000000)*(10000)*(10000)</f>
        <v>3.6735910943246202</v>
      </c>
      <c r="E17">
        <f>(10/C17)*B17</f>
        <v>0.76533147798429579</v>
      </c>
      <c r="F17" t="s">
        <v>15</v>
      </c>
    </row>
    <row r="18" spans="1:7" x14ac:dyDescent="0.25">
      <c r="A18" t="s">
        <v>54</v>
      </c>
      <c r="B18">
        <v>0.41399999999999998</v>
      </c>
      <c r="C18">
        <v>2.012</v>
      </c>
      <c r="D18">
        <f>B18*(10/C18)*1.6*30*(1/1000000000)*(10000)*(10000)</f>
        <v>9.8767395626242553</v>
      </c>
      <c r="E18">
        <f>(10/C18)*B18</f>
        <v>2.0576540755467194</v>
      </c>
      <c r="F18" t="s">
        <v>13</v>
      </c>
    </row>
    <row r="19" spans="1:7" x14ac:dyDescent="0.25">
      <c r="A19" t="s">
        <v>53</v>
      </c>
      <c r="B19">
        <v>2.0819999999999999</v>
      </c>
      <c r="C19">
        <v>2.0070000000000001</v>
      </c>
      <c r="D19">
        <f>B19*(10/C19)*1.6*30*(1/1000000000)*(10000)*(10000)</f>
        <v>49.793721973094172</v>
      </c>
      <c r="E19">
        <f>(10/C19)*B19</f>
        <v>10.373692077727952</v>
      </c>
      <c r="F19" t="s">
        <v>21</v>
      </c>
      <c r="G19">
        <f>SUM(D19:D21)/1.12</f>
        <v>93.942237711414009</v>
      </c>
    </row>
    <row r="20" spans="1:7" x14ac:dyDescent="0.25">
      <c r="A20" t="s">
        <v>52</v>
      </c>
      <c r="B20">
        <v>1.4770000000000001</v>
      </c>
      <c r="C20">
        <v>2.0019999999999998</v>
      </c>
      <c r="D20">
        <f>B20*(10/C20)*1.6*30*(1/1000000000)*(10000)*(10000)</f>
        <v>35.41258741258742</v>
      </c>
      <c r="E20">
        <f>(10/C20)*B20</f>
        <v>7.3776223776223784</v>
      </c>
      <c r="F20" t="s">
        <v>19</v>
      </c>
    </row>
    <row r="21" spans="1:7" x14ac:dyDescent="0.25">
      <c r="A21" t="s">
        <v>51</v>
      </c>
      <c r="B21">
        <v>0.83399999999999996</v>
      </c>
      <c r="C21">
        <v>2.0007000000000001</v>
      </c>
      <c r="D21">
        <f>B21*(10/C21)*1.6*30*(1/1000000000)*(10000)*(10000)</f>
        <v>20.008996851102115</v>
      </c>
      <c r="E21">
        <f>(10/C21)*B21</f>
        <v>4.1685410106462735</v>
      </c>
      <c r="F21" t="s">
        <v>17</v>
      </c>
    </row>
    <row r="22" spans="1:7" x14ac:dyDescent="0.25">
      <c r="A22" t="s">
        <v>50</v>
      </c>
      <c r="B22">
        <v>0.7</v>
      </c>
      <c r="C22">
        <v>2.0043000000000002</v>
      </c>
      <c r="D22">
        <f>B22*(10/C22)*1.6*30*(1/1000000000)*(10000)*(10000)</f>
        <v>16.763957491393501</v>
      </c>
      <c r="E22">
        <f>(10/C22)*B22</f>
        <v>3.4924911440403128</v>
      </c>
      <c r="F22" t="s">
        <v>15</v>
      </c>
    </row>
    <row r="23" spans="1:7" x14ac:dyDescent="0.25">
      <c r="A23" t="s">
        <v>49</v>
      </c>
      <c r="B23">
        <v>0.72799999999999998</v>
      </c>
      <c r="C23">
        <v>2.0021</v>
      </c>
      <c r="D23">
        <f>B23*(10/C23)*1.6*30*(1/1000000000)*(10000)*(10000)</f>
        <v>17.453673642675195</v>
      </c>
      <c r="E23">
        <f>(10/C23)*B23</f>
        <v>3.6361820088906649</v>
      </c>
      <c r="F23" t="s">
        <v>13</v>
      </c>
    </row>
    <row r="24" spans="1:7" x14ac:dyDescent="0.25">
      <c r="A24" t="s">
        <v>48</v>
      </c>
      <c r="B24">
        <v>1.18</v>
      </c>
      <c r="C24">
        <v>2.0068000000000001</v>
      </c>
      <c r="D24">
        <f>B24*(10/C24)*1.6*30*(1/1000000000)*(10000)*(10000)</f>
        <v>28.224038269882399</v>
      </c>
      <c r="E24">
        <f>(10/C24)*B24</f>
        <v>5.8800079728921659</v>
      </c>
      <c r="F24" t="s">
        <v>21</v>
      </c>
      <c r="G24">
        <f>SUM(D24:D26)/1.12</f>
        <v>46.795990160216576</v>
      </c>
    </row>
    <row r="25" spans="1:7" x14ac:dyDescent="0.25">
      <c r="A25" t="s">
        <v>47</v>
      </c>
      <c r="B25">
        <v>0.73</v>
      </c>
      <c r="C25">
        <v>2.0032000000000001</v>
      </c>
      <c r="D25">
        <f>B25*(10/C25)*1.6*30*(1/1000000000)*(10000)*(10000)</f>
        <v>17.49201277955272</v>
      </c>
      <c r="E25">
        <f>(10/C25)*B25</f>
        <v>3.6441693290734825</v>
      </c>
      <c r="F25" t="s">
        <v>19</v>
      </c>
    </row>
    <row r="26" spans="1:7" x14ac:dyDescent="0.25">
      <c r="A26" t="s">
        <v>46</v>
      </c>
      <c r="B26">
        <v>0.28100000000000003</v>
      </c>
      <c r="C26">
        <v>2.0145</v>
      </c>
      <c r="D26">
        <f>B26*(10/C26)*1.6*30*(1/1000000000)*(10000)*(10000)</f>
        <v>6.6954579300074473</v>
      </c>
      <c r="E26">
        <f>(10/C26)*B26</f>
        <v>1.3948870687515513</v>
      </c>
      <c r="F26" t="s">
        <v>17</v>
      </c>
    </row>
    <row r="27" spans="1:7" x14ac:dyDescent="0.25">
      <c r="A27" t="s">
        <v>45</v>
      </c>
      <c r="B27">
        <v>1.4019999999999999</v>
      </c>
      <c r="C27">
        <v>2.0026000000000002</v>
      </c>
      <c r="D27">
        <f>B27*(10/C27)*1.6*30*(1/1000000000)*(10000)*(10000)</f>
        <v>33.604314391291318</v>
      </c>
      <c r="E27">
        <f>(10/C27)*B27</f>
        <v>7.0008988315190237</v>
      </c>
      <c r="F27" t="s">
        <v>15</v>
      </c>
    </row>
    <row r="28" spans="1:7" x14ac:dyDescent="0.25">
      <c r="A28" t="s">
        <v>44</v>
      </c>
      <c r="B28">
        <v>1.5489999999999999</v>
      </c>
      <c r="C28">
        <v>2.0251999999999999</v>
      </c>
      <c r="D28">
        <f>B28*(10/C28)*1.6*30*(1/1000000000)*(10000)*(10000)</f>
        <v>36.713411021133723</v>
      </c>
      <c r="E28">
        <f>(10/C28)*B28</f>
        <v>7.6486272960695239</v>
      </c>
      <c r="F28" t="s">
        <v>13</v>
      </c>
    </row>
    <row r="29" spans="1:7" x14ac:dyDescent="0.25">
      <c r="A29" t="s">
        <v>43</v>
      </c>
      <c r="B29">
        <v>1.417</v>
      </c>
      <c r="C29">
        <v>2.0095000000000001</v>
      </c>
      <c r="D29">
        <f>B29*(10/C29)*1.6*30*(1/1000000000)*(10000)*(10000)</f>
        <v>33.847225678029375</v>
      </c>
      <c r="E29">
        <f>(10/C29)*B29</f>
        <v>7.0515053495894504</v>
      </c>
      <c r="F29" t="s">
        <v>21</v>
      </c>
      <c r="G29">
        <f>SUM(D29:D31)/1.12</f>
        <v>40.539058141952758</v>
      </c>
    </row>
    <row r="30" spans="1:7" x14ac:dyDescent="0.25">
      <c r="A30" t="s">
        <v>42</v>
      </c>
      <c r="B30">
        <v>0.25900000000000001</v>
      </c>
      <c r="C30">
        <v>2.0154000000000001</v>
      </c>
      <c r="D30">
        <f>B30*(10/C30)*1.6*30*(1/1000000000)*(10000)*(10000)</f>
        <v>6.1685025305150338</v>
      </c>
      <c r="E30">
        <f>(10/C30)*B30</f>
        <v>1.2851046938572988</v>
      </c>
      <c r="F30" t="s">
        <v>19</v>
      </c>
    </row>
    <row r="31" spans="1:7" x14ac:dyDescent="0.25">
      <c r="A31" t="s">
        <v>41</v>
      </c>
      <c r="B31">
        <v>0.23100000000000001</v>
      </c>
      <c r="C31">
        <v>2.0579000000000001</v>
      </c>
      <c r="D31">
        <f>B31*(10/C31)*1.6*30*(1/1000000000)*(10000)*(10000)</f>
        <v>5.3880169104426843</v>
      </c>
      <c r="E31">
        <f>(10/C31)*B31</f>
        <v>1.1225035230088924</v>
      </c>
      <c r="F31" t="s">
        <v>17</v>
      </c>
    </row>
    <row r="32" spans="1:7" x14ac:dyDescent="0.25">
      <c r="A32" t="s">
        <v>40</v>
      </c>
      <c r="B32">
        <v>0.92200000000000004</v>
      </c>
      <c r="C32">
        <v>2.0009999999999999</v>
      </c>
      <c r="D32">
        <f>B32*(10/C32)*1.6*30*(1/1000000000)*(10000)*(10000)</f>
        <v>22.11694152923539</v>
      </c>
      <c r="E32">
        <f>(10/C32)*B32</f>
        <v>4.6076961519240385</v>
      </c>
      <c r="F32" t="s">
        <v>15</v>
      </c>
    </row>
    <row r="33" spans="1:7" x14ac:dyDescent="0.25">
      <c r="A33" t="s">
        <v>39</v>
      </c>
      <c r="B33">
        <v>0.41399999999999998</v>
      </c>
      <c r="C33">
        <v>2.0188000000000001</v>
      </c>
      <c r="D33">
        <f>B33*(10/C33)*1.6*30*(1/1000000000)*(10000)*(10000)</f>
        <v>9.8434713691301745</v>
      </c>
      <c r="E33">
        <f>(10/C33)*B33</f>
        <v>2.0507232019021195</v>
      </c>
      <c r="F33" t="s">
        <v>13</v>
      </c>
    </row>
    <row r="34" spans="1:7" x14ac:dyDescent="0.25">
      <c r="A34" t="s">
        <v>38</v>
      </c>
      <c r="B34">
        <v>2.073</v>
      </c>
      <c r="C34">
        <v>2.0417999999999998</v>
      </c>
      <c r="D34">
        <f>B34*(10/C34)*1.6*30*(1/1000000000)*(10000)*(10000)</f>
        <v>48.733470467234802</v>
      </c>
      <c r="E34">
        <f>(10/C34)*B34</f>
        <v>10.152806347340583</v>
      </c>
      <c r="F34" t="s">
        <v>21</v>
      </c>
      <c r="G34">
        <f>SUM(D34:D36)/1.12</f>
        <v>67.612678615775607</v>
      </c>
    </row>
    <row r="35" spans="1:7" x14ac:dyDescent="0.25">
      <c r="A35" t="s">
        <v>37</v>
      </c>
      <c r="B35">
        <v>0.68100000000000005</v>
      </c>
      <c r="C35">
        <v>2.0093999999999999</v>
      </c>
      <c r="D35">
        <f>B35*(10/C35)*1.6*30*(1/1000000000)*(10000)*(10000)</f>
        <v>16.267542550014934</v>
      </c>
      <c r="E35">
        <f>(10/C35)*B35</f>
        <v>3.3890713645864441</v>
      </c>
      <c r="F35" t="s">
        <v>19</v>
      </c>
    </row>
    <row r="36" spans="1:7" x14ac:dyDescent="0.25">
      <c r="A36" t="s">
        <v>36</v>
      </c>
      <c r="B36">
        <v>0.44800000000000001</v>
      </c>
      <c r="C36">
        <v>2.0049999999999999</v>
      </c>
      <c r="D36">
        <f>B36*(10/C36)*1.6*30*(1/1000000000)*(10000)*(10000)</f>
        <v>10.725187032418955</v>
      </c>
      <c r="E36">
        <f>(10/C36)*B36</f>
        <v>2.2344139650872821</v>
      </c>
      <c r="F36" t="s">
        <v>17</v>
      </c>
    </row>
    <row r="37" spans="1:7" x14ac:dyDescent="0.25">
      <c r="A37" t="s">
        <v>35</v>
      </c>
      <c r="B37">
        <v>1.679</v>
      </c>
      <c r="C37">
        <v>2.0127000000000002</v>
      </c>
      <c r="D37">
        <f>B37*(10/C37)*1.6*30*(1/1000000000)*(10000)*(10000)</f>
        <v>40.041734982858848</v>
      </c>
      <c r="E37">
        <f>(10/C37)*B37</f>
        <v>8.3420281214289247</v>
      </c>
      <c r="F37" t="s">
        <v>15</v>
      </c>
    </row>
    <row r="38" spans="1:7" x14ac:dyDescent="0.25">
      <c r="A38" t="s">
        <v>34</v>
      </c>
      <c r="B38">
        <v>2.98</v>
      </c>
      <c r="C38">
        <v>2.0015999999999998</v>
      </c>
      <c r="D38">
        <f>B38*(10/C38)*1.6*30*(1/1000000000)*(10000)*(10000)</f>
        <v>71.462829736211049</v>
      </c>
      <c r="E38">
        <f>(10/C38)*B38</f>
        <v>14.888089528377298</v>
      </c>
      <c r="F38" t="s">
        <v>13</v>
      </c>
    </row>
    <row r="39" spans="1:7" x14ac:dyDescent="0.25">
      <c r="A39" t="s">
        <v>33</v>
      </c>
      <c r="B39">
        <v>1.9379999999999999</v>
      </c>
      <c r="C39">
        <v>2.0550999999999999</v>
      </c>
      <c r="D39">
        <f>B39*(10/C39)*1.6*30*(1/1000000000)*(10000)*(10000)</f>
        <v>45.264950610675889</v>
      </c>
      <c r="E39">
        <f>(10/C39)*B39</f>
        <v>9.4301980438908082</v>
      </c>
      <c r="F39" t="s">
        <v>21</v>
      </c>
      <c r="G39">
        <f>SUM(D39:D41)/1.12</f>
        <v>102.23912591990916</v>
      </c>
    </row>
    <row r="40" spans="1:7" x14ac:dyDescent="0.25">
      <c r="A40" t="s">
        <v>32</v>
      </c>
      <c r="B40">
        <v>1.581</v>
      </c>
      <c r="C40">
        <v>2.0076999999999998</v>
      </c>
      <c r="D40">
        <f>B40*(10/C40)*1.6*30*(1/1000000000)*(10000)*(10000)</f>
        <v>37.798475867908557</v>
      </c>
      <c r="E40">
        <f>(10/C40)*B40</f>
        <v>7.8746824724809485</v>
      </c>
      <c r="F40" t="s">
        <v>19</v>
      </c>
    </row>
    <row r="41" spans="1:7" x14ac:dyDescent="0.25">
      <c r="A41" t="s">
        <v>31</v>
      </c>
      <c r="B41">
        <v>1.3129999999999999</v>
      </c>
      <c r="C41">
        <v>2.0043000000000002</v>
      </c>
      <c r="D41">
        <f>B41*(10/C41)*1.6*30*(1/1000000000)*(10000)*(10000)</f>
        <v>31.444394551713813</v>
      </c>
      <c r="E41">
        <f>(10/C41)*B41</f>
        <v>6.5509155316070435</v>
      </c>
      <c r="F41" t="s">
        <v>17</v>
      </c>
    </row>
    <row r="42" spans="1:7" x14ac:dyDescent="0.25">
      <c r="A42" t="s">
        <v>30</v>
      </c>
      <c r="B42">
        <v>0.88300000000000001</v>
      </c>
      <c r="C42">
        <v>2.0236999999999998</v>
      </c>
      <c r="D42">
        <f>B42*(10/C42)*1.6*30*(1/1000000000)*(10000)*(10000)</f>
        <v>20.943815782971789</v>
      </c>
      <c r="E42">
        <f>(10/C42)*B42</f>
        <v>4.3632949547857889</v>
      </c>
      <c r="F42" t="s">
        <v>15</v>
      </c>
    </row>
    <row r="43" spans="1:7" x14ac:dyDescent="0.25">
      <c r="A43" t="s">
        <v>29</v>
      </c>
      <c r="B43">
        <v>0.20599999999999999</v>
      </c>
      <c r="C43">
        <v>2.032</v>
      </c>
      <c r="D43">
        <f>B43*(10/C43)*1.6*30*(1/1000000000)*(10000)*(10000)</f>
        <v>4.8661417322834648</v>
      </c>
      <c r="E43">
        <f>(10/C43)*B43</f>
        <v>1.0137795275590551</v>
      </c>
      <c r="F43" t="s">
        <v>13</v>
      </c>
    </row>
    <row r="44" spans="1:7" x14ac:dyDescent="0.25">
      <c r="A44" t="s">
        <v>28</v>
      </c>
      <c r="B44">
        <v>1.7190000000000001</v>
      </c>
      <c r="C44">
        <v>2.0015999999999998</v>
      </c>
      <c r="D44">
        <f>B44*(10/C44)*1.6*30*(1/1000000000)*(10000)*(10000)</f>
        <v>41.223021582733821</v>
      </c>
      <c r="E44">
        <f>(10/C44)*B44</f>
        <v>8.5881294964028783</v>
      </c>
      <c r="F44" t="s">
        <v>21</v>
      </c>
      <c r="G44">
        <f>SUM(D44:D46)/1.12</f>
        <v>36.806269270298053</v>
      </c>
    </row>
    <row r="45" spans="1:7" x14ac:dyDescent="0.25">
      <c r="A45" t="s">
        <v>27</v>
      </c>
      <c r="B45">
        <v>0</v>
      </c>
      <c r="C45">
        <v>2.0074999999999998</v>
      </c>
      <c r="D45">
        <f>B45*(10/C45)*1.6*30*(1/1000000000)*(10000)*(10000)</f>
        <v>0</v>
      </c>
      <c r="E45">
        <f>(10/C45)*B45</f>
        <v>0</v>
      </c>
      <c r="F45" t="s">
        <v>19</v>
      </c>
    </row>
    <row r="46" spans="1:7" x14ac:dyDescent="0.25">
      <c r="A46" t="s">
        <v>26</v>
      </c>
      <c r="B46">
        <v>0</v>
      </c>
      <c r="C46">
        <v>2.0057</v>
      </c>
      <c r="D46">
        <f>B46*(10/C46)*1.6*30*(1/1000000000)*(10000)*(10000)</f>
        <v>0</v>
      </c>
      <c r="E46">
        <f>(10/C46)*B46</f>
        <v>0</v>
      </c>
      <c r="F46" t="s">
        <v>17</v>
      </c>
    </row>
    <row r="47" spans="1:7" x14ac:dyDescent="0.25">
      <c r="A47" t="s">
        <v>25</v>
      </c>
      <c r="B47">
        <v>-2.5999999999999999E-2</v>
      </c>
      <c r="C47">
        <v>2.0021</v>
      </c>
      <c r="D47">
        <f>B47*(10/C47)*1.6*30*(1/1000000000)*(10000)*(10000)</f>
        <v>-0.62334548723839966</v>
      </c>
      <c r="E47">
        <f>(10/C47)*B47</f>
        <v>-0.12986364317466659</v>
      </c>
      <c r="F47" t="s">
        <v>15</v>
      </c>
    </row>
    <row r="48" spans="1:7" x14ac:dyDescent="0.25">
      <c r="A48" t="s">
        <v>24</v>
      </c>
      <c r="B48">
        <v>5.9080000000000004</v>
      </c>
      <c r="C48">
        <v>2.0005999999999999</v>
      </c>
      <c r="D48">
        <f>B48*(10/C48)*1.6*30*(1/1000000000)*(10000)*(10000)</f>
        <v>141.74947515745274</v>
      </c>
      <c r="E48">
        <f>(10/C48)*B48</f>
        <v>29.531140657802659</v>
      </c>
      <c r="F48" t="s">
        <v>13</v>
      </c>
    </row>
    <row r="50" spans="3:8" x14ac:dyDescent="0.25">
      <c r="H50" t="s">
        <v>23</v>
      </c>
    </row>
    <row r="51" spans="3:8" x14ac:dyDescent="0.25">
      <c r="C51" t="s">
        <v>22</v>
      </c>
      <c r="D51" t="s">
        <v>21</v>
      </c>
      <c r="E51">
        <f>AVERAGEIFS($E$9:$E$44,$F$9:$F$44,D51)</f>
        <v>7.5649288838581326</v>
      </c>
      <c r="G51">
        <v>5</v>
      </c>
      <c r="H51" s="3">
        <f>E51</f>
        <v>7.5649288838581326</v>
      </c>
    </row>
    <row r="52" spans="3:8" x14ac:dyDescent="0.25">
      <c r="C52" t="s">
        <v>20</v>
      </c>
      <c r="D52" t="s">
        <v>19</v>
      </c>
      <c r="E52">
        <f>AVERAGEIFS($E$9:$E$44,$F$9:$F$44,D52)</f>
        <v>3.7291712635425669</v>
      </c>
      <c r="G52">
        <v>15</v>
      </c>
      <c r="H52" s="3">
        <f>E51</f>
        <v>7.5649288838581326</v>
      </c>
    </row>
    <row r="53" spans="3:8" x14ac:dyDescent="0.25">
      <c r="C53" t="s">
        <v>18</v>
      </c>
      <c r="D53" t="s">
        <v>17</v>
      </c>
      <c r="E53">
        <f>AVERAGEIFS($E$9:$E$44,$F$9:$F$44,D53)</f>
        <v>2.5292457776492894</v>
      </c>
      <c r="G53">
        <v>30</v>
      </c>
      <c r="H53" s="3">
        <f>E51</f>
        <v>7.5649288838581326</v>
      </c>
    </row>
    <row r="54" spans="3:8" x14ac:dyDescent="0.25">
      <c r="C54" t="s">
        <v>16</v>
      </c>
      <c r="D54" t="s">
        <v>15</v>
      </c>
      <c r="E54">
        <f>AVERAGEIFS($E$9:$E$44,$F$9:$F$44,D54)</f>
        <v>4.5136703967843959</v>
      </c>
      <c r="G54">
        <v>45</v>
      </c>
      <c r="H54" s="3">
        <f>(5*E52+10*E51)/15</f>
        <v>6.2863430104196105</v>
      </c>
    </row>
    <row r="55" spans="3:8" x14ac:dyDescent="0.25">
      <c r="C55" t="s">
        <v>14</v>
      </c>
      <c r="D55" t="s">
        <v>13</v>
      </c>
      <c r="E55">
        <f>AVERAGEIFS($E$9:$E$44,$F$9:$F$44,D55)</f>
        <v>5.250020439818134</v>
      </c>
      <c r="G55">
        <v>60</v>
      </c>
      <c r="H55" s="3">
        <f>E52</f>
        <v>3.7291712635425669</v>
      </c>
    </row>
    <row r="56" spans="3:8" x14ac:dyDescent="0.25">
      <c r="G56">
        <v>90</v>
      </c>
      <c r="H56" s="3">
        <f>(20*E52+10*E53)/30</f>
        <v>3.3291961015781411</v>
      </c>
    </row>
    <row r="57" spans="3:8" x14ac:dyDescent="0.25">
      <c r="G57">
        <v>120</v>
      </c>
      <c r="H57" s="3">
        <f>E53</f>
        <v>2.5292457776492894</v>
      </c>
    </row>
    <row r="58" spans="3:8" x14ac:dyDescent="0.25">
      <c r="G58">
        <v>150</v>
      </c>
      <c r="H58" s="3">
        <f>E54</f>
        <v>4.5136703967843959</v>
      </c>
    </row>
    <row r="59" spans="3:8" x14ac:dyDescent="0.25">
      <c r="G59">
        <v>180</v>
      </c>
      <c r="H59" s="3">
        <f>(10*E54+20*E55)/30</f>
        <v>5.0045704254735544</v>
      </c>
    </row>
    <row r="60" spans="3:8" x14ac:dyDescent="0.25">
      <c r="G60">
        <v>210</v>
      </c>
      <c r="H60" s="3">
        <f>E55</f>
        <v>5.250020439818134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SoilChemDF</vt:lpstr>
      <vt:lpstr>F13 soil May 22 2018 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2025-07-03T16:38:18Z</dcterms:created>
  <dcterms:modified xsi:type="dcterms:W3CDTF">2025-07-03T16:40:08Z</dcterms:modified>
</cp:coreProperties>
</file>