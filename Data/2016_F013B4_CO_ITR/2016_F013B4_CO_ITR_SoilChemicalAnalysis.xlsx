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8_{0161908F-FDAC-4D62-849E-83229E54E7FF}" xr6:coauthVersionLast="47" xr6:coauthVersionMax="47" xr10:uidLastSave="{00000000-0000-0000-0000-000000000000}"/>
  <bookViews>
    <workbookView xWindow="-1575" yWindow="-25680" windowWidth="17910" windowHeight="25080" xr2:uid="{C31CD9BA-665E-488F-8B46-118D6887BE47}"/>
  </bookViews>
  <sheets>
    <sheet name="SoilChemDF" sheetId="2" r:id="rId1"/>
    <sheet name="F13 Mar 2016 Thorp 1st R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E11" i="3"/>
  <c r="D12" i="3"/>
  <c r="F11" i="3" s="1"/>
  <c r="E12" i="3"/>
  <c r="D13" i="3"/>
  <c r="E13" i="3"/>
  <c r="D14" i="3"/>
  <c r="E14" i="3"/>
  <c r="D15" i="3"/>
  <c r="E15" i="3"/>
  <c r="E140" i="3" s="1"/>
  <c r="F15" i="3"/>
  <c r="D16" i="3"/>
  <c r="E16" i="3"/>
  <c r="D17" i="3"/>
  <c r="E17" i="3"/>
  <c r="D18" i="3"/>
  <c r="E18" i="3"/>
  <c r="D19" i="3"/>
  <c r="E19" i="3"/>
  <c r="D20" i="3"/>
  <c r="F19" i="3" s="1"/>
  <c r="E20" i="3"/>
  <c r="D21" i="3"/>
  <c r="E21" i="3"/>
  <c r="D22" i="3"/>
  <c r="E22" i="3"/>
  <c r="D23" i="3"/>
  <c r="E23" i="3"/>
  <c r="D24" i="3"/>
  <c r="F23" i="3" s="1"/>
  <c r="E24" i="3"/>
  <c r="E141" i="3" s="1"/>
  <c r="D25" i="3"/>
  <c r="E25" i="3"/>
  <c r="D26" i="3"/>
  <c r="E26" i="3"/>
  <c r="D27" i="3"/>
  <c r="E27" i="3"/>
  <c r="D28" i="3"/>
  <c r="F27" i="3" s="1"/>
  <c r="E28" i="3"/>
  <c r="D29" i="3"/>
  <c r="E29" i="3"/>
  <c r="E142" i="3" s="1"/>
  <c r="D30" i="3"/>
  <c r="E30" i="3"/>
  <c r="D31" i="3"/>
  <c r="E31" i="3"/>
  <c r="D32" i="3"/>
  <c r="F31" i="3" s="1"/>
  <c r="E32" i="3"/>
  <c r="D33" i="3"/>
  <c r="E33" i="3"/>
  <c r="D34" i="3"/>
  <c r="E34" i="3"/>
  <c r="D35" i="3"/>
  <c r="E35" i="3"/>
  <c r="D36" i="3"/>
  <c r="F35" i="3" s="1"/>
  <c r="E36" i="3"/>
  <c r="D37" i="3"/>
  <c r="E37" i="3"/>
  <c r="D38" i="3"/>
  <c r="E38" i="3"/>
  <c r="D39" i="3"/>
  <c r="F39" i="3" s="1"/>
  <c r="E39" i="3"/>
  <c r="D40" i="3"/>
  <c r="E40" i="3"/>
  <c r="D41" i="3"/>
  <c r="E41" i="3"/>
  <c r="D42" i="3"/>
  <c r="E42" i="3"/>
  <c r="D43" i="3"/>
  <c r="E43" i="3"/>
  <c r="D44" i="3"/>
  <c r="F43" i="3" s="1"/>
  <c r="E44" i="3"/>
  <c r="D45" i="3"/>
  <c r="E45" i="3"/>
  <c r="D46" i="3"/>
  <c r="E46" i="3"/>
  <c r="D47" i="3"/>
  <c r="E47" i="3"/>
  <c r="D48" i="3"/>
  <c r="F47" i="3" s="1"/>
  <c r="E48" i="3"/>
  <c r="D49" i="3"/>
  <c r="E49" i="3"/>
  <c r="D50" i="3"/>
  <c r="E50" i="3"/>
  <c r="D51" i="3"/>
  <c r="E51" i="3"/>
  <c r="D52" i="3"/>
  <c r="F51" i="3" s="1"/>
  <c r="E52" i="3"/>
  <c r="D53" i="3"/>
  <c r="E53" i="3"/>
  <c r="D54" i="3"/>
  <c r="E54" i="3"/>
  <c r="D55" i="3"/>
  <c r="E55" i="3"/>
  <c r="D56" i="3"/>
  <c r="F55" i="3" s="1"/>
  <c r="E56" i="3"/>
  <c r="D57" i="3"/>
  <c r="E57" i="3"/>
  <c r="D58" i="3"/>
  <c r="E58" i="3"/>
  <c r="E143" i="3" s="1"/>
  <c r="D59" i="3"/>
  <c r="E59" i="3"/>
  <c r="D60" i="3"/>
  <c r="F59" i="3" s="1"/>
  <c r="E60" i="3"/>
  <c r="D61" i="3"/>
  <c r="E61" i="3"/>
  <c r="D62" i="3"/>
  <c r="E62" i="3"/>
  <c r="D63" i="3"/>
  <c r="E63" i="3"/>
  <c r="D64" i="3"/>
  <c r="F63" i="3" s="1"/>
  <c r="E64" i="3"/>
  <c r="D65" i="3"/>
  <c r="E65" i="3"/>
  <c r="D66" i="3"/>
  <c r="E66" i="3"/>
  <c r="D67" i="3"/>
  <c r="F67" i="3" s="1"/>
  <c r="E67" i="3"/>
  <c r="D68" i="3"/>
  <c r="E68" i="3"/>
  <c r="D69" i="3"/>
  <c r="E69" i="3"/>
  <c r="D70" i="3"/>
  <c r="E70" i="3"/>
  <c r="D71" i="3"/>
  <c r="E71" i="3"/>
  <c r="D72" i="3"/>
  <c r="F71" i="3" s="1"/>
  <c r="E72" i="3"/>
  <c r="D73" i="3"/>
  <c r="E73" i="3"/>
  <c r="D74" i="3"/>
  <c r="E74" i="3"/>
  <c r="D75" i="3"/>
  <c r="E75" i="3"/>
  <c r="D76" i="3"/>
  <c r="F75" i="3" s="1"/>
  <c r="E76" i="3"/>
  <c r="D77" i="3"/>
  <c r="E77" i="3"/>
  <c r="D78" i="3"/>
  <c r="E78" i="3"/>
  <c r="D79" i="3"/>
  <c r="E79" i="3"/>
  <c r="D80" i="3"/>
  <c r="F79" i="3" s="1"/>
  <c r="E80" i="3"/>
  <c r="D81" i="3"/>
  <c r="E81" i="3"/>
  <c r="D82" i="3"/>
  <c r="E82" i="3"/>
  <c r="D83" i="3"/>
  <c r="E83" i="3"/>
  <c r="D84" i="3"/>
  <c r="F83" i="3" s="1"/>
  <c r="E84" i="3"/>
  <c r="D85" i="3"/>
  <c r="E85" i="3"/>
  <c r="D86" i="3"/>
  <c r="E86" i="3"/>
  <c r="D87" i="3"/>
  <c r="F87" i="3" s="1"/>
  <c r="E87" i="3"/>
  <c r="D88" i="3"/>
  <c r="E88" i="3"/>
  <c r="D89" i="3"/>
  <c r="E89" i="3"/>
  <c r="D90" i="3"/>
  <c r="E90" i="3"/>
  <c r="D91" i="3"/>
  <c r="E91" i="3"/>
  <c r="D92" i="3"/>
  <c r="F91" i="3" s="1"/>
  <c r="E92" i="3"/>
  <c r="D93" i="3"/>
  <c r="E93" i="3"/>
  <c r="D94" i="3"/>
  <c r="E94" i="3"/>
  <c r="D95" i="3"/>
  <c r="E95" i="3"/>
  <c r="F95" i="3"/>
  <c r="D96" i="3"/>
  <c r="E96" i="3"/>
  <c r="D97" i="3"/>
  <c r="E97" i="3"/>
  <c r="D98" i="3"/>
  <c r="E98" i="3"/>
  <c r="D99" i="3"/>
  <c r="E99" i="3"/>
  <c r="D100" i="3"/>
  <c r="F99" i="3" s="1"/>
  <c r="E100" i="3"/>
  <c r="D101" i="3"/>
  <c r="E101" i="3"/>
  <c r="D102" i="3"/>
  <c r="E102" i="3"/>
  <c r="D103" i="3"/>
  <c r="E103" i="3"/>
  <c r="D104" i="3"/>
  <c r="F103" i="3" s="1"/>
  <c r="E104" i="3"/>
  <c r="D105" i="3"/>
  <c r="E105" i="3"/>
  <c r="D106" i="3"/>
  <c r="E106" i="3"/>
  <c r="D107" i="3"/>
  <c r="E107" i="3"/>
  <c r="D108" i="3"/>
  <c r="F107" i="3" s="1"/>
  <c r="E108" i="3"/>
  <c r="D109" i="3"/>
  <c r="E109" i="3"/>
  <c r="D110" i="3"/>
  <c r="E110" i="3"/>
  <c r="D111" i="3"/>
  <c r="E111" i="3"/>
  <c r="D112" i="3"/>
  <c r="F111" i="3" s="1"/>
  <c r="E112" i="3"/>
  <c r="D113" i="3"/>
  <c r="E113" i="3"/>
  <c r="D114" i="3"/>
  <c r="E114" i="3"/>
  <c r="D115" i="3"/>
  <c r="F115" i="3" s="1"/>
  <c r="E115" i="3"/>
  <c r="D116" i="3"/>
  <c r="E116" i="3"/>
  <c r="D117" i="3"/>
  <c r="E117" i="3"/>
  <c r="D118" i="3"/>
  <c r="E118" i="3"/>
  <c r="D119" i="3"/>
  <c r="E119" i="3"/>
  <c r="D120" i="3"/>
  <c r="F119" i="3" s="1"/>
  <c r="E120" i="3"/>
  <c r="D121" i="3"/>
  <c r="E121" i="3"/>
  <c r="D122" i="3"/>
  <c r="E122" i="3"/>
  <c r="D123" i="3"/>
  <c r="E123" i="3"/>
  <c r="D124" i="3"/>
  <c r="F123" i="3" s="1"/>
  <c r="E124" i="3"/>
  <c r="D125" i="3"/>
  <c r="E125" i="3"/>
  <c r="D126" i="3"/>
  <c r="E126" i="3"/>
  <c r="D127" i="3"/>
  <c r="E127" i="3"/>
  <c r="D128" i="3"/>
  <c r="F127" i="3" s="1"/>
  <c r="E128" i="3"/>
  <c r="D129" i="3"/>
  <c r="E129" i="3"/>
  <c r="D130" i="3"/>
  <c r="E130" i="3"/>
  <c r="D131" i="3"/>
  <c r="E131" i="3"/>
  <c r="D132" i="3"/>
  <c r="F131" i="3" s="1"/>
  <c r="E132" i="3"/>
  <c r="D133" i="3"/>
  <c r="E133" i="3"/>
  <c r="D134" i="3"/>
  <c r="E134" i="3"/>
  <c r="D135" i="3"/>
  <c r="E135" i="3"/>
  <c r="D136" i="3"/>
  <c r="F135" i="3" s="1"/>
  <c r="E136" i="3"/>
  <c r="D137" i="3"/>
  <c r="E137" i="3"/>
  <c r="D138" i="3"/>
  <c r="E138" i="3"/>
  <c r="L142" i="3" l="1"/>
  <c r="I143" i="3"/>
  <c r="I144" i="3"/>
  <c r="L145" i="3"/>
  <c r="L146" i="3" s="1"/>
  <c r="L147" i="3" s="1"/>
  <c r="L148" i="3" s="1"/>
  <c r="L149" i="3" s="1"/>
  <c r="I146" i="3"/>
  <c r="I147" i="3" s="1"/>
  <c r="I148" i="3" s="1"/>
  <c r="I149" i="3" s="1"/>
  <c r="L143" i="3"/>
  <c r="L144" i="3"/>
  <c r="I145" i="3"/>
  <c r="I142" i="3"/>
  <c r="I140" i="3"/>
  <c r="I141" i="3"/>
  <c r="L141" i="3"/>
  <c r="L14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Thorp, Kelly</author>
  </authors>
  <commentList>
    <comment ref="E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Thorp, Kelly:</t>
        </r>
        <r>
          <rPr>
            <sz val="9"/>
            <color indexed="81"/>
            <rFont val="Tahoma"/>
            <family val="2"/>
          </rPr>
          <t xml:space="preserve">
(ppm N in solution)/(g soil)
(mg N / L solution)/(g soil) *(1000 g soil)/(1 kg soil) * (1 L solution / 1000 ml solution) * 10 ml solution = mg N / kg soil = ppm N in soil</t>
        </r>
      </text>
    </comment>
  </commentList>
</comments>
</file>

<file path=xl/sharedStrings.xml><?xml version="1.0" encoding="utf-8"?>
<sst xmlns="http://schemas.openxmlformats.org/spreadsheetml/2006/main" count="416" uniqueCount="189">
  <si>
    <t>N64</t>
  </si>
  <si>
    <t>N62</t>
  </si>
  <si>
    <t>N60</t>
  </si>
  <si>
    <t>N58</t>
  </si>
  <si>
    <t>N56</t>
  </si>
  <si>
    <t>N54</t>
  </si>
  <si>
    <t>N52</t>
  </si>
  <si>
    <t>N50</t>
  </si>
  <si>
    <t>N47</t>
  </si>
  <si>
    <t>N45</t>
  </si>
  <si>
    <t>N43</t>
  </si>
  <si>
    <t>N41</t>
  </si>
  <si>
    <t>N39</t>
  </si>
  <si>
    <t>N37</t>
  </si>
  <si>
    <t>N35</t>
  </si>
  <si>
    <t>N33</t>
  </si>
  <si>
    <t>N32</t>
  </si>
  <si>
    <t>N30</t>
  </si>
  <si>
    <t>N28</t>
  </si>
  <si>
    <t>N26</t>
  </si>
  <si>
    <t>N24</t>
  </si>
  <si>
    <t>N22</t>
  </si>
  <si>
    <t>N20</t>
  </si>
  <si>
    <t>N18</t>
  </si>
  <si>
    <t>N15</t>
  </si>
  <si>
    <t>N13</t>
  </si>
  <si>
    <t>N11</t>
  </si>
  <si>
    <t>N9</t>
  </si>
  <si>
    <t>N7</t>
  </si>
  <si>
    <t>N5</t>
  </si>
  <si>
    <t>N3</t>
  </si>
  <si>
    <t>N1</t>
  </si>
  <si>
    <t>SNO3</t>
  </si>
  <si>
    <t>Depth</t>
  </si>
  <si>
    <t>Sample</t>
  </si>
  <si>
    <t>SOIL_DATE</t>
  </si>
  <si>
    <t>DOY</t>
  </si>
  <si>
    <t>Year</t>
  </si>
  <si>
    <t>D</t>
  </si>
  <si>
    <t>90-120cm</t>
  </si>
  <si>
    <t>C</t>
  </si>
  <si>
    <t>60-90cm</t>
  </si>
  <si>
    <t>B</t>
  </si>
  <si>
    <t>30-60cm</t>
  </si>
  <si>
    <t>A</t>
  </si>
  <si>
    <t>0-30cm</t>
  </si>
  <si>
    <t>64D</t>
  </si>
  <si>
    <t>64C</t>
  </si>
  <si>
    <t>64B</t>
  </si>
  <si>
    <t>64A</t>
  </si>
  <si>
    <t>62D</t>
  </si>
  <si>
    <t>62C</t>
  </si>
  <si>
    <t>62B</t>
  </si>
  <si>
    <t>62A</t>
  </si>
  <si>
    <t>60D</t>
  </si>
  <si>
    <t>60C</t>
  </si>
  <si>
    <t>60B</t>
  </si>
  <si>
    <t>60A</t>
  </si>
  <si>
    <t>58D</t>
  </si>
  <si>
    <t>58C</t>
  </si>
  <si>
    <t>58B</t>
  </si>
  <si>
    <t>58A</t>
  </si>
  <si>
    <t>56D</t>
  </si>
  <si>
    <t>56C</t>
  </si>
  <si>
    <t>56B</t>
  </si>
  <si>
    <t>56A</t>
  </si>
  <si>
    <t>54D</t>
  </si>
  <si>
    <t>54C</t>
  </si>
  <si>
    <t>54B</t>
  </si>
  <si>
    <t>54A</t>
  </si>
  <si>
    <t>52D</t>
  </si>
  <si>
    <t>52C</t>
  </si>
  <si>
    <t>52B</t>
  </si>
  <si>
    <t>52A</t>
  </si>
  <si>
    <t>50D</t>
  </si>
  <si>
    <t>50C</t>
  </si>
  <si>
    <t>50B</t>
  </si>
  <si>
    <t>50A</t>
  </si>
  <si>
    <t>47D</t>
  </si>
  <si>
    <t>47C</t>
  </si>
  <si>
    <t>47B</t>
  </si>
  <si>
    <t>47A</t>
  </si>
  <si>
    <t>45D</t>
  </si>
  <si>
    <t>45C</t>
  </si>
  <si>
    <t>45B</t>
  </si>
  <si>
    <t>45A</t>
  </si>
  <si>
    <t>43D</t>
  </si>
  <si>
    <t>43C</t>
  </si>
  <si>
    <t>43B</t>
  </si>
  <si>
    <t>43A</t>
  </si>
  <si>
    <t>41D</t>
  </si>
  <si>
    <t>41C</t>
  </si>
  <si>
    <t>41B</t>
  </si>
  <si>
    <t>41A</t>
  </si>
  <si>
    <t>39D</t>
  </si>
  <si>
    <t>39C</t>
  </si>
  <si>
    <t>39B</t>
  </si>
  <si>
    <t>39A</t>
  </si>
  <si>
    <t>37D</t>
  </si>
  <si>
    <t>37C</t>
  </si>
  <si>
    <t>37B</t>
  </si>
  <si>
    <t>37A</t>
  </si>
  <si>
    <t>35D</t>
  </si>
  <si>
    <t>35C</t>
  </si>
  <si>
    <t>35B</t>
  </si>
  <si>
    <t>35A</t>
  </si>
  <si>
    <t>33D</t>
  </si>
  <si>
    <t>33C</t>
  </si>
  <si>
    <t>33B</t>
  </si>
  <si>
    <t>33A</t>
  </si>
  <si>
    <t>32D</t>
  </si>
  <si>
    <t>32C</t>
  </si>
  <si>
    <t>32B</t>
  </si>
  <si>
    <t>32A</t>
  </si>
  <si>
    <t>30D</t>
  </si>
  <si>
    <t>30C</t>
  </si>
  <si>
    <t>30B</t>
  </si>
  <si>
    <t>30A</t>
  </si>
  <si>
    <t>28D</t>
  </si>
  <si>
    <t>28C</t>
  </si>
  <si>
    <t>28B</t>
  </si>
  <si>
    <t>28A</t>
  </si>
  <si>
    <t>26D</t>
  </si>
  <si>
    <t>26C</t>
  </si>
  <si>
    <t>26B</t>
  </si>
  <si>
    <t>26A</t>
  </si>
  <si>
    <t>24D</t>
  </si>
  <si>
    <t>24C</t>
  </si>
  <si>
    <t>24B</t>
  </si>
  <si>
    <t>24A</t>
  </si>
  <si>
    <t>22D</t>
  </si>
  <si>
    <t>22C</t>
  </si>
  <si>
    <t>22B</t>
  </si>
  <si>
    <t>22A</t>
  </si>
  <si>
    <t>20D</t>
  </si>
  <si>
    <t>20C</t>
  </si>
  <si>
    <t>20B</t>
  </si>
  <si>
    <t>20A</t>
  </si>
  <si>
    <t>18D</t>
  </si>
  <si>
    <t>18C</t>
  </si>
  <si>
    <t>18B</t>
  </si>
  <si>
    <t>18A</t>
  </si>
  <si>
    <t>15D</t>
  </si>
  <si>
    <t>15C</t>
  </si>
  <si>
    <t>15B</t>
  </si>
  <si>
    <t>15A</t>
  </si>
  <si>
    <t>13D</t>
  </si>
  <si>
    <t>13C</t>
  </si>
  <si>
    <t>13B</t>
  </si>
  <si>
    <t>13A</t>
  </si>
  <si>
    <t>11D</t>
  </si>
  <si>
    <t>11C</t>
  </si>
  <si>
    <t>11B</t>
  </si>
  <si>
    <t>11A</t>
  </si>
  <si>
    <t>9D</t>
  </si>
  <si>
    <t>9C</t>
  </si>
  <si>
    <t>9B</t>
  </si>
  <si>
    <t>9A</t>
  </si>
  <si>
    <t>7D</t>
  </si>
  <si>
    <t>7C</t>
  </si>
  <si>
    <t>7B</t>
  </si>
  <si>
    <t>7A</t>
  </si>
  <si>
    <t>5D</t>
  </si>
  <si>
    <t>5C</t>
  </si>
  <si>
    <t>5B</t>
  </si>
  <si>
    <t>5A</t>
  </si>
  <si>
    <t>3D</t>
  </si>
  <si>
    <t>3C</t>
  </si>
  <si>
    <t>3B</t>
  </si>
  <si>
    <t>3A</t>
  </si>
  <si>
    <t>1D</t>
  </si>
  <si>
    <t>1C</t>
  </si>
  <si>
    <t>1B</t>
  </si>
  <si>
    <t>1A</t>
  </si>
  <si>
    <t>hectare (0-90 cm)</t>
  </si>
  <si>
    <t>kg dry soil</t>
  </si>
  <si>
    <t>hectare</t>
  </si>
  <si>
    <t>wt. gms.</t>
  </si>
  <si>
    <t>ppm (mg/L) in extract (10 mL of solution)</t>
  </si>
  <si>
    <t>site</t>
  </si>
  <si>
    <t>kg N per</t>
  </si>
  <si>
    <t>mg N per</t>
  </si>
  <si>
    <t>dry soil</t>
  </si>
  <si>
    <t>NO3 N</t>
  </si>
  <si>
    <t>NO3</t>
  </si>
  <si>
    <t>3/16/2016</t>
  </si>
  <si>
    <t>F13 Mar 2016 Thorp 1st R1.RUN</t>
  </si>
  <si>
    <t>nit amm</t>
  </si>
  <si>
    <t>Field 13 soil of March 1, 2016  Kelly Thorp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</si>
</sst>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dd/yyyy"/>
    <numFmt numFmtId="166" formatCode="0.000"/>
    <numFmt numFmtId="167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" fillId="0" borderId="0" xfId="0" applyFont="1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EABF-4C73-4381-BD02-E7C092D2DD2E}">
  <dimension ref="A1:F129"/>
  <sheetViews>
    <sheetView tabSelected="1" workbookViewId="0"/>
  </sheetViews>
  <sheetFormatPr defaultRowHeight="15" x14ac:dyDescent="0.25"/>
  <cols>
    <col min="3" max="3" width="10.7109375" bestFit="1" customWidth="1"/>
  </cols>
  <sheetData>
    <row r="1" spans="1:6" x14ac:dyDescent="0.2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</row>
    <row r="2" spans="1:6" x14ac:dyDescent="0.25">
      <c r="A2">
        <v>2016</v>
      </c>
      <c r="B2">
        <v>61</v>
      </c>
      <c r="C2" s="2">
        <v>42430</v>
      </c>
      <c r="D2" t="s">
        <v>31</v>
      </c>
      <c r="E2">
        <v>15</v>
      </c>
      <c r="F2" s="1">
        <v>0.93746883414780102</v>
      </c>
    </row>
    <row r="3" spans="1:6" x14ac:dyDescent="0.25">
      <c r="A3">
        <v>2016</v>
      </c>
      <c r="B3">
        <v>61</v>
      </c>
      <c r="C3" s="2">
        <v>42430</v>
      </c>
      <c r="D3" t="s">
        <v>31</v>
      </c>
      <c r="E3">
        <v>45</v>
      </c>
      <c r="F3" s="1">
        <v>1.2643106022896964</v>
      </c>
    </row>
    <row r="4" spans="1:6" x14ac:dyDescent="0.25">
      <c r="A4">
        <v>2016</v>
      </c>
      <c r="B4">
        <v>61</v>
      </c>
      <c r="C4" s="2">
        <v>42430</v>
      </c>
      <c r="D4" t="s">
        <v>31</v>
      </c>
      <c r="E4">
        <v>75</v>
      </c>
      <c r="F4" s="1">
        <v>1.7456982793117246</v>
      </c>
    </row>
    <row r="5" spans="1:6" x14ac:dyDescent="0.25">
      <c r="A5">
        <v>2016</v>
      </c>
      <c r="B5">
        <v>61</v>
      </c>
      <c r="C5" s="2">
        <v>42430</v>
      </c>
      <c r="D5" t="s">
        <v>31</v>
      </c>
      <c r="E5">
        <v>105</v>
      </c>
      <c r="F5" s="1">
        <v>1.9714952574862195</v>
      </c>
    </row>
    <row r="6" spans="1:6" x14ac:dyDescent="0.25">
      <c r="A6">
        <v>2016</v>
      </c>
      <c r="B6">
        <v>61</v>
      </c>
      <c r="C6" s="2">
        <v>42430</v>
      </c>
      <c r="D6" t="s">
        <v>30</v>
      </c>
      <c r="E6">
        <v>15</v>
      </c>
      <c r="F6" s="1">
        <v>1.1842967293252029</v>
      </c>
    </row>
    <row r="7" spans="1:6" x14ac:dyDescent="0.25">
      <c r="A7">
        <v>2016</v>
      </c>
      <c r="B7">
        <v>61</v>
      </c>
      <c r="C7" s="2">
        <v>42430</v>
      </c>
      <c r="D7" t="s">
        <v>30</v>
      </c>
      <c r="E7">
        <v>45</v>
      </c>
      <c r="F7" s="1">
        <v>5.5671850079744809</v>
      </c>
    </row>
    <row r="8" spans="1:6" x14ac:dyDescent="0.25">
      <c r="A8">
        <v>2016</v>
      </c>
      <c r="B8">
        <v>61</v>
      </c>
      <c r="C8" s="2">
        <v>42430</v>
      </c>
      <c r="D8" t="s">
        <v>30</v>
      </c>
      <c r="E8">
        <v>75</v>
      </c>
      <c r="F8" s="1">
        <v>0.84618465852193081</v>
      </c>
    </row>
    <row r="9" spans="1:6" x14ac:dyDescent="0.25">
      <c r="A9">
        <v>2016</v>
      </c>
      <c r="B9">
        <v>61</v>
      </c>
      <c r="C9" s="2">
        <v>42430</v>
      </c>
      <c r="D9" t="s">
        <v>30</v>
      </c>
      <c r="E9">
        <v>105</v>
      </c>
      <c r="F9" s="1">
        <v>1.2411259494613514</v>
      </c>
    </row>
    <row r="10" spans="1:6" x14ac:dyDescent="0.25">
      <c r="A10">
        <v>2016</v>
      </c>
      <c r="B10">
        <v>61</v>
      </c>
      <c r="C10" s="2">
        <v>42430</v>
      </c>
      <c r="D10" t="s">
        <v>29</v>
      </c>
      <c r="E10">
        <v>15</v>
      </c>
      <c r="F10" s="1">
        <v>3.46060850292162</v>
      </c>
    </row>
    <row r="11" spans="1:6" x14ac:dyDescent="0.25">
      <c r="A11">
        <v>2016</v>
      </c>
      <c r="B11">
        <v>61</v>
      </c>
      <c r="C11" s="2">
        <v>42430</v>
      </c>
      <c r="D11" t="s">
        <v>29</v>
      </c>
      <c r="E11">
        <v>45</v>
      </c>
      <c r="F11" s="1">
        <v>5.730788548468106</v>
      </c>
    </row>
    <row r="12" spans="1:6" x14ac:dyDescent="0.25">
      <c r="A12">
        <v>2016</v>
      </c>
      <c r="B12">
        <v>61</v>
      </c>
      <c r="C12" s="2">
        <v>42430</v>
      </c>
      <c r="D12" t="s">
        <v>29</v>
      </c>
      <c r="E12">
        <v>75</v>
      </c>
      <c r="F12" s="1">
        <v>2.363271450075263</v>
      </c>
    </row>
    <row r="13" spans="1:6" x14ac:dyDescent="0.25">
      <c r="A13">
        <v>2016</v>
      </c>
      <c r="B13">
        <v>61</v>
      </c>
      <c r="C13" s="2">
        <v>42430</v>
      </c>
      <c r="D13" t="s">
        <v>29</v>
      </c>
      <c r="E13">
        <v>105</v>
      </c>
      <c r="F13" s="1">
        <v>2.2746716320265712</v>
      </c>
    </row>
    <row r="14" spans="1:6" x14ac:dyDescent="0.25">
      <c r="A14">
        <v>2016</v>
      </c>
      <c r="B14">
        <v>61</v>
      </c>
      <c r="C14" s="2">
        <v>42430</v>
      </c>
      <c r="D14" t="s">
        <v>28</v>
      </c>
      <c r="E14">
        <v>15</v>
      </c>
      <c r="F14" s="1">
        <v>10.012093117000907</v>
      </c>
    </row>
    <row r="15" spans="1:6" x14ac:dyDescent="0.25">
      <c r="A15">
        <v>2016</v>
      </c>
      <c r="B15">
        <v>61</v>
      </c>
      <c r="C15" s="2">
        <v>42430</v>
      </c>
      <c r="D15" t="s">
        <v>28</v>
      </c>
      <c r="E15">
        <v>45</v>
      </c>
      <c r="F15" s="1">
        <v>2.5865099693636679</v>
      </c>
    </row>
    <row r="16" spans="1:6" x14ac:dyDescent="0.25">
      <c r="A16">
        <v>2016</v>
      </c>
      <c r="B16">
        <v>61</v>
      </c>
      <c r="C16" s="2">
        <v>42430</v>
      </c>
      <c r="D16" t="s">
        <v>28</v>
      </c>
      <c r="E16">
        <v>75</v>
      </c>
      <c r="F16" s="1">
        <v>0.87610750878582377</v>
      </c>
    </row>
    <row r="17" spans="1:6" x14ac:dyDescent="0.25">
      <c r="A17">
        <v>2016</v>
      </c>
      <c r="B17">
        <v>61</v>
      </c>
      <c r="C17" s="2">
        <v>42430</v>
      </c>
      <c r="D17" t="s">
        <v>28</v>
      </c>
      <c r="E17">
        <v>105</v>
      </c>
      <c r="F17" s="1">
        <v>0.46174469986594513</v>
      </c>
    </row>
    <row r="18" spans="1:6" x14ac:dyDescent="0.25">
      <c r="A18">
        <v>2016</v>
      </c>
      <c r="B18">
        <v>61</v>
      </c>
      <c r="C18" s="2">
        <v>42430</v>
      </c>
      <c r="D18" t="s">
        <v>27</v>
      </c>
      <c r="E18">
        <v>15</v>
      </c>
      <c r="F18" s="1">
        <v>4.5979329468111922</v>
      </c>
    </row>
    <row r="19" spans="1:6" x14ac:dyDescent="0.25">
      <c r="A19">
        <v>2016</v>
      </c>
      <c r="B19">
        <v>61</v>
      </c>
      <c r="C19" s="2">
        <v>42430</v>
      </c>
      <c r="D19" t="s">
        <v>27</v>
      </c>
      <c r="E19">
        <v>45</v>
      </c>
      <c r="F19" s="1">
        <v>8.5063165717116682</v>
      </c>
    </row>
    <row r="20" spans="1:6" x14ac:dyDescent="0.25">
      <c r="A20">
        <v>2016</v>
      </c>
      <c r="B20">
        <v>61</v>
      </c>
      <c r="C20" s="2">
        <v>42430</v>
      </c>
      <c r="D20" t="s">
        <v>27</v>
      </c>
      <c r="E20">
        <v>75</v>
      </c>
      <c r="F20" s="1">
        <v>4.9450825016299715</v>
      </c>
    </row>
    <row r="21" spans="1:6" x14ac:dyDescent="0.25">
      <c r="A21">
        <v>2016</v>
      </c>
      <c r="B21">
        <v>61</v>
      </c>
      <c r="C21" s="2">
        <v>42430</v>
      </c>
      <c r="D21" t="s">
        <v>27</v>
      </c>
      <c r="E21">
        <v>105</v>
      </c>
      <c r="F21" s="1">
        <v>3.0362340660443641</v>
      </c>
    </row>
    <row r="22" spans="1:6" x14ac:dyDescent="0.25">
      <c r="A22">
        <v>2016</v>
      </c>
      <c r="B22">
        <v>61</v>
      </c>
      <c r="C22" s="2">
        <v>42430</v>
      </c>
      <c r="D22" t="s">
        <v>26</v>
      </c>
      <c r="E22">
        <v>15</v>
      </c>
      <c r="F22" s="1">
        <v>19.244720496894409</v>
      </c>
    </row>
    <row r="23" spans="1:6" x14ac:dyDescent="0.25">
      <c r="A23">
        <v>2016</v>
      </c>
      <c r="B23">
        <v>61</v>
      </c>
      <c r="C23" s="2">
        <v>42430</v>
      </c>
      <c r="D23" t="s">
        <v>26</v>
      </c>
      <c r="E23">
        <v>45</v>
      </c>
      <c r="F23" s="1">
        <v>22.177722152690862</v>
      </c>
    </row>
    <row r="24" spans="1:6" x14ac:dyDescent="0.25">
      <c r="A24">
        <v>2016</v>
      </c>
      <c r="B24">
        <v>61</v>
      </c>
      <c r="C24" s="2">
        <v>42430</v>
      </c>
      <c r="D24" t="s">
        <v>26</v>
      </c>
      <c r="E24">
        <v>75</v>
      </c>
      <c r="F24" s="1">
        <v>13.990157678015468</v>
      </c>
    </row>
    <row r="25" spans="1:6" x14ac:dyDescent="0.25">
      <c r="A25">
        <v>2016</v>
      </c>
      <c r="B25">
        <v>61</v>
      </c>
      <c r="C25" s="2">
        <v>42430</v>
      </c>
      <c r="D25" t="s">
        <v>26</v>
      </c>
      <c r="E25">
        <v>105</v>
      </c>
      <c r="F25" s="1">
        <v>1.7474661740476309</v>
      </c>
    </row>
    <row r="26" spans="1:6" x14ac:dyDescent="0.25">
      <c r="A26">
        <v>2016</v>
      </c>
      <c r="B26">
        <v>61</v>
      </c>
      <c r="C26" s="2">
        <v>42430</v>
      </c>
      <c r="D26" t="s">
        <v>25</v>
      </c>
      <c r="E26">
        <v>15</v>
      </c>
      <c r="F26" s="1">
        <v>5.0457347385166029</v>
      </c>
    </row>
    <row r="27" spans="1:6" x14ac:dyDescent="0.25">
      <c r="A27">
        <v>2016</v>
      </c>
      <c r="B27">
        <v>61</v>
      </c>
      <c r="C27" s="2">
        <v>42430</v>
      </c>
      <c r="D27" t="s">
        <v>25</v>
      </c>
      <c r="E27">
        <v>45</v>
      </c>
      <c r="F27" s="1">
        <v>4.1954167715940569</v>
      </c>
    </row>
    <row r="28" spans="1:6" x14ac:dyDescent="0.25">
      <c r="A28">
        <v>2016</v>
      </c>
      <c r="B28">
        <v>61</v>
      </c>
      <c r="C28" s="2">
        <v>42430</v>
      </c>
      <c r="D28" t="s">
        <v>25</v>
      </c>
      <c r="E28">
        <v>75</v>
      </c>
      <c r="F28" s="1">
        <v>1.407960199004975</v>
      </c>
    </row>
    <row r="29" spans="1:6" x14ac:dyDescent="0.25">
      <c r="A29">
        <v>2016</v>
      </c>
      <c r="B29">
        <v>61</v>
      </c>
      <c r="C29" s="2">
        <v>42430</v>
      </c>
      <c r="D29" t="s">
        <v>25</v>
      </c>
      <c r="E29">
        <v>105</v>
      </c>
      <c r="F29" s="1">
        <v>1.4259175578651402</v>
      </c>
    </row>
    <row r="30" spans="1:6" x14ac:dyDescent="0.25">
      <c r="A30">
        <v>2016</v>
      </c>
      <c r="B30">
        <v>61</v>
      </c>
      <c r="C30" s="2">
        <v>42430</v>
      </c>
      <c r="D30" t="s">
        <v>24</v>
      </c>
      <c r="E30">
        <v>15</v>
      </c>
      <c r="F30" s="1">
        <v>14.881842656296742</v>
      </c>
    </row>
    <row r="31" spans="1:6" x14ac:dyDescent="0.25">
      <c r="A31">
        <v>2016</v>
      </c>
      <c r="B31">
        <v>61</v>
      </c>
      <c r="C31" s="2">
        <v>42430</v>
      </c>
      <c r="D31" t="s">
        <v>24</v>
      </c>
      <c r="E31">
        <v>45</v>
      </c>
      <c r="F31" s="1">
        <v>3.1649331352154526</v>
      </c>
    </row>
    <row r="32" spans="1:6" x14ac:dyDescent="0.25">
      <c r="A32">
        <v>2016</v>
      </c>
      <c r="B32">
        <v>61</v>
      </c>
      <c r="C32" s="2">
        <v>42430</v>
      </c>
      <c r="D32" t="s">
        <v>24</v>
      </c>
      <c r="E32">
        <v>75</v>
      </c>
      <c r="F32" s="1">
        <v>0.71075713277548136</v>
      </c>
    </row>
    <row r="33" spans="1:6" x14ac:dyDescent="0.25">
      <c r="A33">
        <v>2016</v>
      </c>
      <c r="B33">
        <v>61</v>
      </c>
      <c r="C33" s="2">
        <v>42430</v>
      </c>
      <c r="D33" t="s">
        <v>24</v>
      </c>
      <c r="E33">
        <v>105</v>
      </c>
      <c r="F33" s="1">
        <v>1.5981280493876331</v>
      </c>
    </row>
    <row r="34" spans="1:6" x14ac:dyDescent="0.25">
      <c r="A34">
        <v>2016</v>
      </c>
      <c r="B34">
        <v>61</v>
      </c>
      <c r="C34" s="2">
        <v>42430</v>
      </c>
      <c r="D34" t="s">
        <v>23</v>
      </c>
      <c r="E34">
        <v>15</v>
      </c>
      <c r="F34" s="1">
        <v>5.9090909090909083</v>
      </c>
    </row>
    <row r="35" spans="1:6" x14ac:dyDescent="0.25">
      <c r="A35">
        <v>2016</v>
      </c>
      <c r="B35">
        <v>61</v>
      </c>
      <c r="C35" s="2">
        <v>42430</v>
      </c>
      <c r="D35" t="s">
        <v>23</v>
      </c>
      <c r="E35">
        <v>45</v>
      </c>
      <c r="F35" s="1">
        <v>0.52636806038335482</v>
      </c>
    </row>
    <row r="36" spans="1:6" x14ac:dyDescent="0.25">
      <c r="A36">
        <v>2016</v>
      </c>
      <c r="B36">
        <v>61</v>
      </c>
      <c r="C36" s="2">
        <v>42430</v>
      </c>
      <c r="D36" t="s">
        <v>23</v>
      </c>
      <c r="E36">
        <v>75</v>
      </c>
      <c r="F36" s="1">
        <v>0.23677581863979846</v>
      </c>
    </row>
    <row r="37" spans="1:6" x14ac:dyDescent="0.25">
      <c r="A37">
        <v>2016</v>
      </c>
      <c r="B37">
        <v>61</v>
      </c>
      <c r="C37" s="2">
        <v>42430</v>
      </c>
      <c r="D37" t="s">
        <v>23</v>
      </c>
      <c r="E37">
        <v>105</v>
      </c>
      <c r="F37" s="1">
        <v>0.17050298380221657</v>
      </c>
    </row>
    <row r="38" spans="1:6" x14ac:dyDescent="0.25">
      <c r="A38">
        <v>2016</v>
      </c>
      <c r="B38">
        <v>61</v>
      </c>
      <c r="C38" s="2">
        <v>42430</v>
      </c>
      <c r="D38" t="s">
        <v>22</v>
      </c>
      <c r="E38">
        <v>15</v>
      </c>
      <c r="F38" s="1">
        <v>0.52015604681404415</v>
      </c>
    </row>
    <row r="39" spans="1:6" x14ac:dyDescent="0.25">
      <c r="A39">
        <v>2016</v>
      </c>
      <c r="B39">
        <v>61</v>
      </c>
      <c r="C39" s="2">
        <v>42430</v>
      </c>
      <c r="D39" t="s">
        <v>22</v>
      </c>
      <c r="E39">
        <v>45</v>
      </c>
      <c r="F39" s="1">
        <v>0.31415179016655032</v>
      </c>
    </row>
    <row r="40" spans="1:6" x14ac:dyDescent="0.25">
      <c r="A40">
        <v>2016</v>
      </c>
      <c r="B40">
        <v>61</v>
      </c>
      <c r="C40" s="2">
        <v>42430</v>
      </c>
      <c r="D40" t="s">
        <v>22</v>
      </c>
      <c r="E40">
        <v>75</v>
      </c>
      <c r="F40" s="1">
        <v>0.70422535211267612</v>
      </c>
    </row>
    <row r="41" spans="1:6" x14ac:dyDescent="0.25">
      <c r="A41">
        <v>2016</v>
      </c>
      <c r="B41">
        <v>61</v>
      </c>
      <c r="C41" s="2">
        <v>42430</v>
      </c>
      <c r="D41" t="s">
        <v>22</v>
      </c>
      <c r="E41">
        <v>105</v>
      </c>
      <c r="F41" s="1">
        <v>1.3855780691299169</v>
      </c>
    </row>
    <row r="42" spans="1:6" x14ac:dyDescent="0.25">
      <c r="A42">
        <v>2016</v>
      </c>
      <c r="B42">
        <v>61</v>
      </c>
      <c r="C42" s="2">
        <v>42430</v>
      </c>
      <c r="D42" t="s">
        <v>21</v>
      </c>
      <c r="E42">
        <v>15</v>
      </c>
      <c r="F42" s="1">
        <v>6.6703473198152974</v>
      </c>
    </row>
    <row r="43" spans="1:6" x14ac:dyDescent="0.25">
      <c r="A43">
        <v>2016</v>
      </c>
      <c r="B43">
        <v>61</v>
      </c>
      <c r="C43" s="2">
        <v>42430</v>
      </c>
      <c r="D43" t="s">
        <v>21</v>
      </c>
      <c r="E43">
        <v>45</v>
      </c>
      <c r="F43" s="1">
        <v>5.3875755909840572</v>
      </c>
    </row>
    <row r="44" spans="1:6" x14ac:dyDescent="0.25">
      <c r="A44">
        <v>2016</v>
      </c>
      <c r="B44">
        <v>61</v>
      </c>
      <c r="C44" s="2">
        <v>42430</v>
      </c>
      <c r="D44" t="s">
        <v>21</v>
      </c>
      <c r="E44">
        <v>75</v>
      </c>
      <c r="F44" s="1">
        <v>0.7661290322580645</v>
      </c>
    </row>
    <row r="45" spans="1:6" x14ac:dyDescent="0.25">
      <c r="A45">
        <v>2016</v>
      </c>
      <c r="B45">
        <v>61</v>
      </c>
      <c r="C45" s="2">
        <v>42430</v>
      </c>
      <c r="D45" t="s">
        <v>21</v>
      </c>
      <c r="E45">
        <v>105</v>
      </c>
      <c r="F45" s="1">
        <v>0.67100549921800112</v>
      </c>
    </row>
    <row r="46" spans="1:6" x14ac:dyDescent="0.25">
      <c r="A46">
        <v>2016</v>
      </c>
      <c r="B46">
        <v>61</v>
      </c>
      <c r="C46" s="2">
        <v>42430</v>
      </c>
      <c r="D46" t="s">
        <v>20</v>
      </c>
      <c r="E46">
        <v>15</v>
      </c>
      <c r="F46" s="1">
        <v>2.5240503818308047</v>
      </c>
    </row>
    <row r="47" spans="1:6" x14ac:dyDescent="0.25">
      <c r="A47">
        <v>2016</v>
      </c>
      <c r="B47">
        <v>61</v>
      </c>
      <c r="C47" s="2">
        <v>42430</v>
      </c>
      <c r="D47" t="s">
        <v>20</v>
      </c>
      <c r="E47">
        <v>45</v>
      </c>
      <c r="F47" s="1">
        <v>8.7205823693657774</v>
      </c>
    </row>
    <row r="48" spans="1:6" x14ac:dyDescent="0.25">
      <c r="A48">
        <v>2016</v>
      </c>
      <c r="B48">
        <v>61</v>
      </c>
      <c r="C48" s="2">
        <v>42430</v>
      </c>
      <c r="D48" t="s">
        <v>20</v>
      </c>
      <c r="E48">
        <v>75</v>
      </c>
      <c r="F48" s="1">
        <v>2.5339771991835511</v>
      </c>
    </row>
    <row r="49" spans="1:6" x14ac:dyDescent="0.25">
      <c r="A49">
        <v>2016</v>
      </c>
      <c r="B49">
        <v>61</v>
      </c>
      <c r="C49" s="2">
        <v>42430</v>
      </c>
      <c r="D49" t="s">
        <v>20</v>
      </c>
      <c r="E49">
        <v>105</v>
      </c>
      <c r="F49" s="1">
        <v>1.7792338709677418</v>
      </c>
    </row>
    <row r="50" spans="1:6" x14ac:dyDescent="0.25">
      <c r="A50">
        <v>2016</v>
      </c>
      <c r="B50">
        <v>61</v>
      </c>
      <c r="C50" s="2">
        <v>42430</v>
      </c>
      <c r="D50" t="s">
        <v>19</v>
      </c>
      <c r="E50">
        <v>15</v>
      </c>
      <c r="F50" s="1">
        <v>1.7393458870168483</v>
      </c>
    </row>
    <row r="51" spans="1:6" x14ac:dyDescent="0.25">
      <c r="A51">
        <v>2016</v>
      </c>
      <c r="B51">
        <v>61</v>
      </c>
      <c r="C51" s="2">
        <v>42430</v>
      </c>
      <c r="D51" t="s">
        <v>19</v>
      </c>
      <c r="E51">
        <v>45</v>
      </c>
      <c r="F51" s="1">
        <v>2.5940466133280324</v>
      </c>
    </row>
    <row r="52" spans="1:6" x14ac:dyDescent="0.25">
      <c r="A52">
        <v>2016</v>
      </c>
      <c r="B52">
        <v>61</v>
      </c>
      <c r="C52" s="2">
        <v>42430</v>
      </c>
      <c r="D52" t="s">
        <v>19</v>
      </c>
      <c r="E52">
        <v>75</v>
      </c>
      <c r="F52" s="1">
        <v>1.1997809528550802</v>
      </c>
    </row>
    <row r="53" spans="1:6" x14ac:dyDescent="0.25">
      <c r="A53">
        <v>2016</v>
      </c>
      <c r="B53">
        <v>61</v>
      </c>
      <c r="C53" s="2">
        <v>42430</v>
      </c>
      <c r="D53" t="s">
        <v>19</v>
      </c>
      <c r="E53">
        <v>105</v>
      </c>
      <c r="F53" s="1">
        <v>2.2334618658921328</v>
      </c>
    </row>
    <row r="54" spans="1:6" x14ac:dyDescent="0.25">
      <c r="A54">
        <v>2016</v>
      </c>
      <c r="B54">
        <v>61</v>
      </c>
      <c r="C54" s="2">
        <v>42430</v>
      </c>
      <c r="D54" t="s">
        <v>18</v>
      </c>
      <c r="E54">
        <v>15</v>
      </c>
      <c r="F54" s="1">
        <v>2.0398934833944633</v>
      </c>
    </row>
    <row r="55" spans="1:6" x14ac:dyDescent="0.25">
      <c r="A55">
        <v>2016</v>
      </c>
      <c r="B55">
        <v>61</v>
      </c>
      <c r="C55" s="2">
        <v>42430</v>
      </c>
      <c r="D55" t="s">
        <v>18</v>
      </c>
      <c r="E55">
        <v>45</v>
      </c>
      <c r="F55" s="1">
        <v>4.4270047288459606</v>
      </c>
    </row>
    <row r="56" spans="1:6" x14ac:dyDescent="0.25">
      <c r="A56">
        <v>2016</v>
      </c>
      <c r="B56">
        <v>61</v>
      </c>
      <c r="C56" s="2">
        <v>42430</v>
      </c>
      <c r="D56" t="s">
        <v>18</v>
      </c>
      <c r="E56">
        <v>75</v>
      </c>
      <c r="F56" s="1">
        <v>2.3148380617624906</v>
      </c>
    </row>
    <row r="57" spans="1:6" x14ac:dyDescent="0.25">
      <c r="A57">
        <v>2016</v>
      </c>
      <c r="B57">
        <v>61</v>
      </c>
      <c r="C57" s="2">
        <v>42430</v>
      </c>
      <c r="D57" t="s">
        <v>18</v>
      </c>
      <c r="E57">
        <v>105</v>
      </c>
      <c r="F57" s="1">
        <v>2.1124275270985629</v>
      </c>
    </row>
    <row r="58" spans="1:6" x14ac:dyDescent="0.25">
      <c r="A58">
        <v>2016</v>
      </c>
      <c r="B58">
        <v>61</v>
      </c>
      <c r="C58" s="2">
        <v>42430</v>
      </c>
      <c r="D58" t="s">
        <v>17</v>
      </c>
      <c r="E58">
        <v>15</v>
      </c>
      <c r="F58" s="1">
        <v>0.25488530161427353</v>
      </c>
    </row>
    <row r="59" spans="1:6" x14ac:dyDescent="0.25">
      <c r="A59">
        <v>2016</v>
      </c>
      <c r="B59">
        <v>61</v>
      </c>
      <c r="C59" s="2">
        <v>42430</v>
      </c>
      <c r="D59" t="s">
        <v>17</v>
      </c>
      <c r="E59">
        <v>45</v>
      </c>
      <c r="F59" s="1">
        <v>1.234753802138232</v>
      </c>
    </row>
    <row r="60" spans="1:6" x14ac:dyDescent="0.25">
      <c r="A60">
        <v>2016</v>
      </c>
      <c r="B60">
        <v>61</v>
      </c>
      <c r="C60" s="2">
        <v>42430</v>
      </c>
      <c r="D60" t="s">
        <v>17</v>
      </c>
      <c r="E60">
        <v>75</v>
      </c>
      <c r="F60" s="1">
        <v>3.1227964138208923</v>
      </c>
    </row>
    <row r="61" spans="1:6" x14ac:dyDescent="0.25">
      <c r="A61">
        <v>2016</v>
      </c>
      <c r="B61">
        <v>61</v>
      </c>
      <c r="C61" s="2">
        <v>42430</v>
      </c>
      <c r="D61" t="s">
        <v>17</v>
      </c>
      <c r="E61">
        <v>105</v>
      </c>
      <c r="F61" s="1">
        <v>5.2917778560998947</v>
      </c>
    </row>
    <row r="62" spans="1:6" x14ac:dyDescent="0.25">
      <c r="A62">
        <v>2016</v>
      </c>
      <c r="B62">
        <v>61</v>
      </c>
      <c r="C62" s="2">
        <v>42430</v>
      </c>
      <c r="D62" t="s">
        <v>16</v>
      </c>
      <c r="E62">
        <v>15</v>
      </c>
      <c r="F62" s="1">
        <v>2.7875793930839805</v>
      </c>
    </row>
    <row r="63" spans="1:6" x14ac:dyDescent="0.25">
      <c r="A63">
        <v>2016</v>
      </c>
      <c r="B63">
        <v>61</v>
      </c>
      <c r="C63" s="2">
        <v>42430</v>
      </c>
      <c r="D63" t="s">
        <v>16</v>
      </c>
      <c r="E63">
        <v>45</v>
      </c>
      <c r="F63" s="1">
        <v>4.8665225478859782</v>
      </c>
    </row>
    <row r="64" spans="1:6" x14ac:dyDescent="0.25">
      <c r="A64">
        <v>2016</v>
      </c>
      <c r="B64">
        <v>61</v>
      </c>
      <c r="C64" s="2">
        <v>42430</v>
      </c>
      <c r="D64" t="s">
        <v>16</v>
      </c>
      <c r="E64">
        <v>75</v>
      </c>
      <c r="F64" s="1">
        <v>3.4118765320926512</v>
      </c>
    </row>
    <row r="65" spans="1:6" x14ac:dyDescent="0.25">
      <c r="A65">
        <v>2016</v>
      </c>
      <c r="B65">
        <v>61</v>
      </c>
      <c r="C65" s="2">
        <v>42430</v>
      </c>
      <c r="D65" t="s">
        <v>16</v>
      </c>
      <c r="E65">
        <v>105</v>
      </c>
      <c r="F65" s="1">
        <v>3.9593552908199023</v>
      </c>
    </row>
    <row r="66" spans="1:6" x14ac:dyDescent="0.25">
      <c r="A66">
        <v>2016</v>
      </c>
      <c r="B66">
        <v>61</v>
      </c>
      <c r="C66" s="2">
        <v>42430</v>
      </c>
      <c r="D66" t="s">
        <v>15</v>
      </c>
      <c r="E66">
        <v>15</v>
      </c>
      <c r="F66" s="1">
        <v>5.7088295894266041</v>
      </c>
    </row>
    <row r="67" spans="1:6" x14ac:dyDescent="0.25">
      <c r="A67">
        <v>2016</v>
      </c>
      <c r="B67">
        <v>61</v>
      </c>
      <c r="C67" s="2">
        <v>42430</v>
      </c>
      <c r="D67" t="s">
        <v>15</v>
      </c>
      <c r="E67">
        <v>45</v>
      </c>
      <c r="F67" s="1">
        <v>1.9788519637462236</v>
      </c>
    </row>
    <row r="68" spans="1:6" x14ac:dyDescent="0.25">
      <c r="A68">
        <v>2016</v>
      </c>
      <c r="B68">
        <v>61</v>
      </c>
      <c r="C68" s="2">
        <v>42430</v>
      </c>
      <c r="D68" t="s">
        <v>15</v>
      </c>
      <c r="E68">
        <v>75</v>
      </c>
      <c r="F68" s="1">
        <v>0.26732673267326734</v>
      </c>
    </row>
    <row r="69" spans="1:6" x14ac:dyDescent="0.25">
      <c r="A69">
        <v>2016</v>
      </c>
      <c r="B69">
        <v>61</v>
      </c>
      <c r="C69" s="2">
        <v>42430</v>
      </c>
      <c r="D69" t="s">
        <v>15</v>
      </c>
      <c r="E69">
        <v>105</v>
      </c>
      <c r="F69" s="1">
        <v>0.93833107531737669</v>
      </c>
    </row>
    <row r="70" spans="1:6" x14ac:dyDescent="0.25">
      <c r="A70">
        <v>2016</v>
      </c>
      <c r="B70">
        <v>61</v>
      </c>
      <c r="C70" s="2">
        <v>42430</v>
      </c>
      <c r="D70" t="s">
        <v>14</v>
      </c>
      <c r="E70">
        <v>15</v>
      </c>
      <c r="F70" s="1">
        <v>-5.0459178524573621E-3</v>
      </c>
    </row>
    <row r="71" spans="1:6" x14ac:dyDescent="0.25">
      <c r="A71">
        <v>2016</v>
      </c>
      <c r="B71">
        <v>61</v>
      </c>
      <c r="C71" s="2">
        <v>42430</v>
      </c>
      <c r="D71" t="s">
        <v>14</v>
      </c>
      <c r="E71">
        <v>45</v>
      </c>
      <c r="F71" s="1">
        <v>0.29631861784942992</v>
      </c>
    </row>
    <row r="72" spans="1:6" x14ac:dyDescent="0.25">
      <c r="A72">
        <v>2016</v>
      </c>
      <c r="B72">
        <v>61</v>
      </c>
      <c r="C72" s="2">
        <v>42430</v>
      </c>
      <c r="D72" t="s">
        <v>14</v>
      </c>
      <c r="E72">
        <v>75</v>
      </c>
      <c r="F72" s="1">
        <v>1.0920986411675893</v>
      </c>
    </row>
    <row r="73" spans="1:6" x14ac:dyDescent="0.25">
      <c r="A73">
        <v>2016</v>
      </c>
      <c r="B73">
        <v>61</v>
      </c>
      <c r="C73" s="2">
        <v>42430</v>
      </c>
      <c r="D73" t="s">
        <v>14</v>
      </c>
      <c r="E73">
        <v>105</v>
      </c>
      <c r="F73" s="1">
        <v>0.4505857614899369</v>
      </c>
    </row>
    <row r="74" spans="1:6" x14ac:dyDescent="0.25">
      <c r="A74">
        <v>2016</v>
      </c>
      <c r="B74">
        <v>61</v>
      </c>
      <c r="C74" s="2">
        <v>42430</v>
      </c>
      <c r="D74" t="s">
        <v>13</v>
      </c>
      <c r="E74">
        <v>15</v>
      </c>
      <c r="F74" s="1">
        <v>15.763546798029557</v>
      </c>
    </row>
    <row r="75" spans="1:6" x14ac:dyDescent="0.25">
      <c r="A75">
        <v>2016</v>
      </c>
      <c r="B75">
        <v>61</v>
      </c>
      <c r="C75" s="2">
        <v>42430</v>
      </c>
      <c r="D75" t="s">
        <v>13</v>
      </c>
      <c r="E75">
        <v>45</v>
      </c>
      <c r="F75" s="1">
        <v>2.9240353697749195</v>
      </c>
    </row>
    <row r="76" spans="1:6" x14ac:dyDescent="0.25">
      <c r="A76">
        <v>2016</v>
      </c>
      <c r="B76">
        <v>61</v>
      </c>
      <c r="C76" s="2">
        <v>42430</v>
      </c>
      <c r="D76" t="s">
        <v>13</v>
      </c>
      <c r="E76">
        <v>75</v>
      </c>
      <c r="F76" s="1">
        <v>0.82765581630078233</v>
      </c>
    </row>
    <row r="77" spans="1:6" x14ac:dyDescent="0.25">
      <c r="A77">
        <v>2016</v>
      </c>
      <c r="B77">
        <v>61</v>
      </c>
      <c r="C77" s="2">
        <v>42430</v>
      </c>
      <c r="D77" t="s">
        <v>13</v>
      </c>
      <c r="E77">
        <v>105</v>
      </c>
      <c r="F77" s="1">
        <v>3.5737427104620445</v>
      </c>
    </row>
    <row r="78" spans="1:6" x14ac:dyDescent="0.25">
      <c r="A78">
        <v>2016</v>
      </c>
      <c r="B78">
        <v>61</v>
      </c>
      <c r="C78" s="2">
        <v>42430</v>
      </c>
      <c r="D78" t="s">
        <v>12</v>
      </c>
      <c r="E78">
        <v>15</v>
      </c>
      <c r="F78" s="1">
        <v>9.9286862193652077</v>
      </c>
    </row>
    <row r="79" spans="1:6" x14ac:dyDescent="0.25">
      <c r="A79">
        <v>2016</v>
      </c>
      <c r="B79">
        <v>61</v>
      </c>
      <c r="C79" s="2">
        <v>42430</v>
      </c>
      <c r="D79" t="s">
        <v>12</v>
      </c>
      <c r="E79">
        <v>45</v>
      </c>
      <c r="F79" s="1">
        <v>1.9706668010684947</v>
      </c>
    </row>
    <row r="80" spans="1:6" x14ac:dyDescent="0.25">
      <c r="A80">
        <v>2016</v>
      </c>
      <c r="B80">
        <v>61</v>
      </c>
      <c r="C80" s="2">
        <v>42430</v>
      </c>
      <c r="D80" t="s">
        <v>12</v>
      </c>
      <c r="E80">
        <v>75</v>
      </c>
      <c r="F80" s="1">
        <v>0.97283129189979334</v>
      </c>
    </row>
    <row r="81" spans="1:6" x14ac:dyDescent="0.25">
      <c r="A81">
        <v>2016</v>
      </c>
      <c r="B81">
        <v>61</v>
      </c>
      <c r="C81" s="2">
        <v>42430</v>
      </c>
      <c r="D81" t="s">
        <v>12</v>
      </c>
      <c r="E81">
        <v>105</v>
      </c>
      <c r="F81" s="1">
        <v>0.91312808742078722</v>
      </c>
    </row>
    <row r="82" spans="1:6" x14ac:dyDescent="0.25">
      <c r="A82">
        <v>2016</v>
      </c>
      <c r="B82">
        <v>61</v>
      </c>
      <c r="C82" s="2">
        <v>42430</v>
      </c>
      <c r="D82" t="s">
        <v>11</v>
      </c>
      <c r="E82">
        <v>15</v>
      </c>
      <c r="F82" s="1">
        <v>0.38001900095004748</v>
      </c>
    </row>
    <row r="83" spans="1:6" x14ac:dyDescent="0.25">
      <c r="A83">
        <v>2016</v>
      </c>
      <c r="B83">
        <v>61</v>
      </c>
      <c r="C83" s="2">
        <v>42430</v>
      </c>
      <c r="D83" t="s">
        <v>11</v>
      </c>
      <c r="E83">
        <v>45</v>
      </c>
      <c r="F83" s="1">
        <v>1.3959958269163892</v>
      </c>
    </row>
    <row r="84" spans="1:6" x14ac:dyDescent="0.25">
      <c r="A84">
        <v>2016</v>
      </c>
      <c r="B84">
        <v>61</v>
      </c>
      <c r="C84" s="2">
        <v>42430</v>
      </c>
      <c r="D84" t="s">
        <v>11</v>
      </c>
      <c r="E84">
        <v>75</v>
      </c>
      <c r="F84" s="1">
        <v>3.5411970949161033</v>
      </c>
    </row>
    <row r="85" spans="1:6" x14ac:dyDescent="0.25">
      <c r="A85">
        <v>2016</v>
      </c>
      <c r="B85">
        <v>61</v>
      </c>
      <c r="C85" s="2">
        <v>42430</v>
      </c>
      <c r="D85" t="s">
        <v>11</v>
      </c>
      <c r="E85">
        <v>105</v>
      </c>
      <c r="F85" s="1">
        <v>1.3733519776268477</v>
      </c>
    </row>
    <row r="86" spans="1:6" x14ac:dyDescent="0.25">
      <c r="A86">
        <v>2016</v>
      </c>
      <c r="B86">
        <v>61</v>
      </c>
      <c r="C86" s="2">
        <v>42430</v>
      </c>
      <c r="D86" t="s">
        <v>10</v>
      </c>
      <c r="E86">
        <v>15</v>
      </c>
      <c r="F86" s="1">
        <v>1.063937071399758</v>
      </c>
    </row>
    <row r="87" spans="1:6" x14ac:dyDescent="0.25">
      <c r="A87">
        <v>2016</v>
      </c>
      <c r="B87">
        <v>61</v>
      </c>
      <c r="C87" s="2">
        <v>42430</v>
      </c>
      <c r="D87" t="s">
        <v>10</v>
      </c>
      <c r="E87">
        <v>45</v>
      </c>
      <c r="F87" s="1">
        <v>2.999701522236593</v>
      </c>
    </row>
    <row r="88" spans="1:6" x14ac:dyDescent="0.25">
      <c r="A88">
        <v>2016</v>
      </c>
      <c r="B88">
        <v>61</v>
      </c>
      <c r="C88" s="2">
        <v>42430</v>
      </c>
      <c r="D88" t="s">
        <v>10</v>
      </c>
      <c r="E88">
        <v>75</v>
      </c>
      <c r="F88" s="1">
        <v>4.8321946840871686</v>
      </c>
    </row>
    <row r="89" spans="1:6" x14ac:dyDescent="0.25">
      <c r="A89">
        <v>2016</v>
      </c>
      <c r="B89">
        <v>61</v>
      </c>
      <c r="C89" s="2">
        <v>42430</v>
      </c>
      <c r="D89" t="s">
        <v>10</v>
      </c>
      <c r="E89">
        <v>105</v>
      </c>
      <c r="F89" s="1">
        <v>1.9147653030455323</v>
      </c>
    </row>
    <row r="90" spans="1:6" x14ac:dyDescent="0.25">
      <c r="A90">
        <v>2016</v>
      </c>
      <c r="B90">
        <v>61</v>
      </c>
      <c r="C90" s="2">
        <v>42430</v>
      </c>
      <c r="D90" t="s">
        <v>9</v>
      </c>
      <c r="E90">
        <v>15</v>
      </c>
      <c r="F90" s="1">
        <v>0.85660526836997419</v>
      </c>
    </row>
    <row r="91" spans="1:6" x14ac:dyDescent="0.25">
      <c r="A91">
        <v>2016</v>
      </c>
      <c r="B91">
        <v>61</v>
      </c>
      <c r="C91" s="2">
        <v>42430</v>
      </c>
      <c r="D91" t="s">
        <v>9</v>
      </c>
      <c r="E91">
        <v>45</v>
      </c>
      <c r="F91" s="1">
        <v>1.1015183090205418</v>
      </c>
    </row>
    <row r="92" spans="1:6" x14ac:dyDescent="0.25">
      <c r="A92">
        <v>2016</v>
      </c>
      <c r="B92">
        <v>61</v>
      </c>
      <c r="C92" s="2">
        <v>42430</v>
      </c>
      <c r="D92" t="s">
        <v>9</v>
      </c>
      <c r="E92">
        <v>75</v>
      </c>
      <c r="F92" s="1">
        <v>1.2511982241057464</v>
      </c>
    </row>
    <row r="93" spans="1:6" x14ac:dyDescent="0.25">
      <c r="A93">
        <v>2016</v>
      </c>
      <c r="B93">
        <v>61</v>
      </c>
      <c r="C93" s="2">
        <v>42430</v>
      </c>
      <c r="D93" t="s">
        <v>9</v>
      </c>
      <c r="E93">
        <v>105</v>
      </c>
      <c r="F93" s="1">
        <v>1.2219352274985098</v>
      </c>
    </row>
    <row r="94" spans="1:6" x14ac:dyDescent="0.25">
      <c r="A94">
        <v>2016</v>
      </c>
      <c r="B94">
        <v>61</v>
      </c>
      <c r="C94" s="2">
        <v>42430</v>
      </c>
      <c r="D94" t="s">
        <v>8</v>
      </c>
      <c r="E94">
        <v>15</v>
      </c>
      <c r="F94" s="1">
        <v>1.5719164323021293</v>
      </c>
    </row>
    <row r="95" spans="1:6" x14ac:dyDescent="0.25">
      <c r="A95">
        <v>2016</v>
      </c>
      <c r="B95">
        <v>61</v>
      </c>
      <c r="C95" s="2">
        <v>42430</v>
      </c>
      <c r="D95" t="s">
        <v>8</v>
      </c>
      <c r="E95">
        <v>45</v>
      </c>
      <c r="F95" s="1">
        <v>5.7405740574057402</v>
      </c>
    </row>
    <row r="96" spans="1:6" x14ac:dyDescent="0.25">
      <c r="A96">
        <v>2016</v>
      </c>
      <c r="B96">
        <v>61</v>
      </c>
      <c r="C96" s="2">
        <v>42430</v>
      </c>
      <c r="D96" t="s">
        <v>8</v>
      </c>
      <c r="E96">
        <v>75</v>
      </c>
      <c r="F96" s="1">
        <v>2.4828682093554475</v>
      </c>
    </row>
    <row r="97" spans="1:6" x14ac:dyDescent="0.25">
      <c r="A97">
        <v>2016</v>
      </c>
      <c r="B97">
        <v>61</v>
      </c>
      <c r="C97" s="2">
        <v>42430</v>
      </c>
      <c r="D97" t="s">
        <v>8</v>
      </c>
      <c r="E97">
        <v>105</v>
      </c>
      <c r="F97" s="1">
        <v>2.8755602558291784</v>
      </c>
    </row>
    <row r="98" spans="1:6" x14ac:dyDescent="0.25">
      <c r="A98">
        <v>2016</v>
      </c>
      <c r="B98">
        <v>61</v>
      </c>
      <c r="C98" s="2">
        <v>42430</v>
      </c>
      <c r="D98" t="s">
        <v>7</v>
      </c>
      <c r="E98">
        <v>15</v>
      </c>
      <c r="F98" s="1">
        <v>1.5945444516873089</v>
      </c>
    </row>
    <row r="99" spans="1:6" x14ac:dyDescent="0.25">
      <c r="A99">
        <v>2016</v>
      </c>
      <c r="B99">
        <v>61</v>
      </c>
      <c r="C99" s="2">
        <v>42430</v>
      </c>
      <c r="D99" t="s">
        <v>7</v>
      </c>
      <c r="E99">
        <v>45</v>
      </c>
      <c r="F99" s="1">
        <v>3.947766461631542</v>
      </c>
    </row>
    <row r="100" spans="1:6" x14ac:dyDescent="0.25">
      <c r="A100">
        <v>2016</v>
      </c>
      <c r="B100">
        <v>61</v>
      </c>
      <c r="C100" s="2">
        <v>42430</v>
      </c>
      <c r="D100" t="s">
        <v>7</v>
      </c>
      <c r="E100">
        <v>75</v>
      </c>
      <c r="F100" s="1">
        <v>2.9651482574128702</v>
      </c>
    </row>
    <row r="101" spans="1:6" x14ac:dyDescent="0.25">
      <c r="A101">
        <v>2016</v>
      </c>
      <c r="B101">
        <v>61</v>
      </c>
      <c r="C101" s="2">
        <v>42430</v>
      </c>
      <c r="D101" t="s">
        <v>7</v>
      </c>
      <c r="E101">
        <v>105</v>
      </c>
      <c r="F101" s="1">
        <v>0.51722406347293359</v>
      </c>
    </row>
    <row r="102" spans="1:6" x14ac:dyDescent="0.25">
      <c r="A102">
        <v>2016</v>
      </c>
      <c r="B102">
        <v>61</v>
      </c>
      <c r="C102" s="2">
        <v>42430</v>
      </c>
      <c r="D102" t="s">
        <v>6</v>
      </c>
      <c r="E102">
        <v>15</v>
      </c>
      <c r="F102" s="1">
        <v>0.2665861878175142</v>
      </c>
    </row>
    <row r="103" spans="1:6" x14ac:dyDescent="0.25">
      <c r="A103">
        <v>2016</v>
      </c>
      <c r="B103">
        <v>61</v>
      </c>
      <c r="C103" s="2">
        <v>42430</v>
      </c>
      <c r="D103" t="s">
        <v>6</v>
      </c>
      <c r="E103">
        <v>45</v>
      </c>
      <c r="F103" s="1">
        <v>0.19830449655445936</v>
      </c>
    </row>
    <row r="104" spans="1:6" x14ac:dyDescent="0.25">
      <c r="A104">
        <v>2016</v>
      </c>
      <c r="B104">
        <v>61</v>
      </c>
      <c r="C104" s="2">
        <v>42430</v>
      </c>
      <c r="D104" t="s">
        <v>6</v>
      </c>
      <c r="E104">
        <v>75</v>
      </c>
      <c r="F104" s="1">
        <v>0.65949323151683448</v>
      </c>
    </row>
    <row r="105" spans="1:6" x14ac:dyDescent="0.25">
      <c r="A105">
        <v>2016</v>
      </c>
      <c r="B105">
        <v>61</v>
      </c>
      <c r="C105" s="2">
        <v>42430</v>
      </c>
      <c r="D105" t="s">
        <v>6</v>
      </c>
      <c r="E105">
        <v>105</v>
      </c>
      <c r="F105" s="1">
        <v>2.1592170315810715</v>
      </c>
    </row>
    <row r="106" spans="1:6" x14ac:dyDescent="0.25">
      <c r="A106">
        <v>2016</v>
      </c>
      <c r="B106">
        <v>61</v>
      </c>
      <c r="C106" s="2">
        <v>42430</v>
      </c>
      <c r="D106" t="s">
        <v>5</v>
      </c>
      <c r="E106">
        <v>15</v>
      </c>
      <c r="F106" s="1">
        <v>8.7871162556618003</v>
      </c>
    </row>
    <row r="107" spans="1:6" x14ac:dyDescent="0.25">
      <c r="A107">
        <v>2016</v>
      </c>
      <c r="B107">
        <v>61</v>
      </c>
      <c r="C107" s="2">
        <v>42430</v>
      </c>
      <c r="D107" t="s">
        <v>5</v>
      </c>
      <c r="E107">
        <v>45</v>
      </c>
      <c r="F107" s="1">
        <v>10.726212430842846</v>
      </c>
    </row>
    <row r="108" spans="1:6" x14ac:dyDescent="0.25">
      <c r="A108">
        <v>2016</v>
      </c>
      <c r="B108">
        <v>61</v>
      </c>
      <c r="C108" s="2">
        <v>42430</v>
      </c>
      <c r="D108" t="s">
        <v>5</v>
      </c>
      <c r="E108">
        <v>75</v>
      </c>
      <c r="F108" s="1">
        <v>2.2631684358101345</v>
      </c>
    </row>
    <row r="109" spans="1:6" x14ac:dyDescent="0.25">
      <c r="A109">
        <v>2016</v>
      </c>
      <c r="B109">
        <v>61</v>
      </c>
      <c r="C109" s="2">
        <v>42430</v>
      </c>
      <c r="D109" t="s">
        <v>5</v>
      </c>
      <c r="E109">
        <v>105</v>
      </c>
      <c r="F109" s="1">
        <v>2.1803418375018797</v>
      </c>
    </row>
    <row r="110" spans="1:6" x14ac:dyDescent="0.25">
      <c r="A110">
        <v>2016</v>
      </c>
      <c r="B110">
        <v>61</v>
      </c>
      <c r="C110" s="2">
        <v>42430</v>
      </c>
      <c r="D110" t="s">
        <v>4</v>
      </c>
      <c r="E110">
        <v>15</v>
      </c>
      <c r="F110" s="1">
        <v>4.1377925077834687</v>
      </c>
    </row>
    <row r="111" spans="1:6" x14ac:dyDescent="0.25">
      <c r="A111">
        <v>2016</v>
      </c>
      <c r="B111">
        <v>61</v>
      </c>
      <c r="C111" s="2">
        <v>42430</v>
      </c>
      <c r="D111" t="s">
        <v>4</v>
      </c>
      <c r="E111">
        <v>45</v>
      </c>
      <c r="F111" s="1">
        <v>7.3885926969117808</v>
      </c>
    </row>
    <row r="112" spans="1:6" x14ac:dyDescent="0.25">
      <c r="A112">
        <v>2016</v>
      </c>
      <c r="B112">
        <v>61</v>
      </c>
      <c r="C112" s="2">
        <v>42430</v>
      </c>
      <c r="D112" t="s">
        <v>4</v>
      </c>
      <c r="E112">
        <v>75</v>
      </c>
      <c r="F112" s="1">
        <v>2.2853395217435173</v>
      </c>
    </row>
    <row r="113" spans="1:6" x14ac:dyDescent="0.25">
      <c r="A113">
        <v>2016</v>
      </c>
      <c r="B113">
        <v>61</v>
      </c>
      <c r="C113" s="2">
        <v>42430</v>
      </c>
      <c r="D113" t="s">
        <v>4</v>
      </c>
      <c r="E113">
        <v>105</v>
      </c>
      <c r="F113" s="1">
        <v>1.4354789966757326</v>
      </c>
    </row>
    <row r="114" spans="1:6" x14ac:dyDescent="0.25">
      <c r="A114">
        <v>2016</v>
      </c>
      <c r="B114">
        <v>61</v>
      </c>
      <c r="C114" s="2">
        <v>42430</v>
      </c>
      <c r="D114" t="s">
        <v>3</v>
      </c>
      <c r="E114">
        <v>15</v>
      </c>
      <c r="F114" s="1">
        <v>0.38122586394692543</v>
      </c>
    </row>
    <row r="115" spans="1:6" x14ac:dyDescent="0.25">
      <c r="A115">
        <v>2016</v>
      </c>
      <c r="B115">
        <v>61</v>
      </c>
      <c r="C115" s="2">
        <v>42430</v>
      </c>
      <c r="D115" t="s">
        <v>3</v>
      </c>
      <c r="E115">
        <v>45</v>
      </c>
      <c r="F115" s="1">
        <v>3.2799198798197291</v>
      </c>
    </row>
    <row r="116" spans="1:6" x14ac:dyDescent="0.25">
      <c r="A116">
        <v>2016</v>
      </c>
      <c r="B116">
        <v>61</v>
      </c>
      <c r="C116" s="2">
        <v>42430</v>
      </c>
      <c r="D116" t="s">
        <v>3</v>
      </c>
      <c r="E116">
        <v>75</v>
      </c>
      <c r="F116" s="1">
        <v>5.0160998188770369</v>
      </c>
    </row>
    <row r="117" spans="1:6" x14ac:dyDescent="0.25">
      <c r="A117">
        <v>2016</v>
      </c>
      <c r="B117">
        <v>61</v>
      </c>
      <c r="C117" s="2">
        <v>42430</v>
      </c>
      <c r="D117" t="s">
        <v>3</v>
      </c>
      <c r="E117">
        <v>105</v>
      </c>
      <c r="F117" s="1">
        <v>0.97558535121072643</v>
      </c>
    </row>
    <row r="118" spans="1:6" x14ac:dyDescent="0.25">
      <c r="A118">
        <v>2016</v>
      </c>
      <c r="B118">
        <v>61</v>
      </c>
      <c r="C118" s="2">
        <v>42430</v>
      </c>
      <c r="D118" t="s">
        <v>2</v>
      </c>
      <c r="E118">
        <v>15</v>
      </c>
      <c r="F118" s="1">
        <v>0.73621475434466865</v>
      </c>
    </row>
    <row r="119" spans="1:6" x14ac:dyDescent="0.25">
      <c r="A119">
        <v>2016</v>
      </c>
      <c r="B119">
        <v>61</v>
      </c>
      <c r="C119" s="2">
        <v>42430</v>
      </c>
      <c r="D119" t="s">
        <v>2</v>
      </c>
      <c r="E119">
        <v>45</v>
      </c>
      <c r="F119" s="1">
        <v>3.9451806318335265</v>
      </c>
    </row>
    <row r="120" spans="1:6" x14ac:dyDescent="0.25">
      <c r="A120">
        <v>2016</v>
      </c>
      <c r="B120">
        <v>61</v>
      </c>
      <c r="C120" s="2">
        <v>42430</v>
      </c>
      <c r="D120" t="s">
        <v>2</v>
      </c>
      <c r="E120">
        <v>75</v>
      </c>
      <c r="F120" s="1">
        <v>4.523160762942779</v>
      </c>
    </row>
    <row r="121" spans="1:6" x14ac:dyDescent="0.25">
      <c r="A121">
        <v>2016</v>
      </c>
      <c r="B121">
        <v>61</v>
      </c>
      <c r="C121" s="2">
        <v>42430</v>
      </c>
      <c r="D121" t="s">
        <v>2</v>
      </c>
      <c r="E121">
        <v>105</v>
      </c>
      <c r="F121" s="1">
        <v>7.0649454618232763</v>
      </c>
    </row>
    <row r="122" spans="1:6" x14ac:dyDescent="0.25">
      <c r="A122">
        <v>2016</v>
      </c>
      <c r="B122">
        <v>61</v>
      </c>
      <c r="C122" s="2">
        <v>42430</v>
      </c>
      <c r="D122" t="s">
        <v>1</v>
      </c>
      <c r="E122">
        <v>15</v>
      </c>
      <c r="F122" s="1">
        <v>1.8810497954295979</v>
      </c>
    </row>
    <row r="123" spans="1:6" x14ac:dyDescent="0.25">
      <c r="A123">
        <v>2016</v>
      </c>
      <c r="B123">
        <v>61</v>
      </c>
      <c r="C123" s="2">
        <v>42430</v>
      </c>
      <c r="D123" t="s">
        <v>1</v>
      </c>
      <c r="E123">
        <v>45</v>
      </c>
      <c r="F123" s="1">
        <v>9.2740117240342688</v>
      </c>
    </row>
    <row r="124" spans="1:6" x14ac:dyDescent="0.25">
      <c r="A124">
        <v>2016</v>
      </c>
      <c r="B124">
        <v>61</v>
      </c>
      <c r="C124" s="2">
        <v>42430</v>
      </c>
      <c r="D124" t="s">
        <v>1</v>
      </c>
      <c r="E124">
        <v>75</v>
      </c>
      <c r="F124" s="1">
        <v>6.2905415598129428</v>
      </c>
    </row>
    <row r="125" spans="1:6" x14ac:dyDescent="0.25">
      <c r="A125">
        <v>2016</v>
      </c>
      <c r="B125">
        <v>61</v>
      </c>
      <c r="C125" s="2">
        <v>42430</v>
      </c>
      <c r="D125" t="s">
        <v>1</v>
      </c>
      <c r="E125">
        <v>105</v>
      </c>
      <c r="F125" s="1">
        <v>3.2528856243441759</v>
      </c>
    </row>
    <row r="126" spans="1:6" x14ac:dyDescent="0.25">
      <c r="A126">
        <v>2016</v>
      </c>
      <c r="B126">
        <v>61</v>
      </c>
      <c r="C126" s="2">
        <v>42430</v>
      </c>
      <c r="D126" t="s">
        <v>0</v>
      </c>
      <c r="E126">
        <v>15</v>
      </c>
      <c r="F126" s="1">
        <v>0.37154189888035344</v>
      </c>
    </row>
    <row r="127" spans="1:6" x14ac:dyDescent="0.25">
      <c r="A127">
        <v>2016</v>
      </c>
      <c r="B127">
        <v>61</v>
      </c>
      <c r="C127" s="2">
        <v>42430</v>
      </c>
      <c r="D127" t="s">
        <v>0</v>
      </c>
      <c r="E127">
        <v>45</v>
      </c>
      <c r="F127" s="1">
        <v>1.3486513486513489</v>
      </c>
    </row>
    <row r="128" spans="1:6" x14ac:dyDescent="0.25">
      <c r="A128">
        <v>2016</v>
      </c>
      <c r="B128">
        <v>61</v>
      </c>
      <c r="C128" s="2">
        <v>42430</v>
      </c>
      <c r="D128" t="s">
        <v>0</v>
      </c>
      <c r="E128">
        <v>75</v>
      </c>
      <c r="F128" s="1">
        <v>3.7682902385247545</v>
      </c>
    </row>
    <row r="129" spans="1:6" x14ac:dyDescent="0.25">
      <c r="A129">
        <v>2016</v>
      </c>
      <c r="B129">
        <v>61</v>
      </c>
      <c r="C129" s="2">
        <v>42430</v>
      </c>
      <c r="D129" t="s">
        <v>0</v>
      </c>
      <c r="E129">
        <v>105</v>
      </c>
      <c r="F129" s="1">
        <v>2.2097790220977904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B4F3-3F82-44D3-AD3D-31A5639C941F}">
  <dimension ref="A1:L149"/>
  <sheetViews>
    <sheetView workbookViewId="0"/>
  </sheetViews>
  <sheetFormatPr defaultRowHeight="15" x14ac:dyDescent="0.25"/>
  <sheetData>
    <row r="1" spans="1:11" x14ac:dyDescent="0.25">
      <c r="A1" s="11" t="s">
        <v>188</v>
      </c>
      <c r="B1" s="11"/>
      <c r="C1" s="11"/>
      <c r="D1" s="11"/>
    </row>
    <row r="3" spans="1:11" x14ac:dyDescent="0.25">
      <c r="A3" t="s">
        <v>187</v>
      </c>
    </row>
    <row r="4" spans="1:11" x14ac:dyDescent="0.25">
      <c r="A4" t="s">
        <v>186</v>
      </c>
    </row>
    <row r="5" spans="1:11" x14ac:dyDescent="0.25">
      <c r="A5" t="s">
        <v>185</v>
      </c>
    </row>
    <row r="8" spans="1:11" x14ac:dyDescent="0.25">
      <c r="B8" s="12"/>
      <c r="C8" s="9"/>
      <c r="D8" s="8" t="s">
        <v>184</v>
      </c>
      <c r="E8" s="6" t="s">
        <v>184</v>
      </c>
      <c r="F8" s="8" t="s">
        <v>184</v>
      </c>
      <c r="H8" s="12"/>
      <c r="I8" s="7"/>
      <c r="J8" s="6"/>
      <c r="K8" s="6"/>
    </row>
    <row r="9" spans="1:11" x14ac:dyDescent="0.25">
      <c r="B9" s="10" t="s">
        <v>183</v>
      </c>
      <c r="C9" s="9" t="s">
        <v>182</v>
      </c>
      <c r="D9" s="8" t="s">
        <v>180</v>
      </c>
      <c r="E9" s="6" t="s">
        <v>181</v>
      </c>
      <c r="F9" s="8" t="s">
        <v>180</v>
      </c>
      <c r="H9" s="6"/>
      <c r="I9" s="7"/>
      <c r="J9" s="6"/>
      <c r="K9" s="6"/>
    </row>
    <row r="10" spans="1:11" x14ac:dyDescent="0.25">
      <c r="A10" s="11" t="s">
        <v>179</v>
      </c>
      <c r="B10" s="10" t="s">
        <v>178</v>
      </c>
      <c r="C10" s="9" t="s">
        <v>177</v>
      </c>
      <c r="D10" s="8" t="s">
        <v>176</v>
      </c>
      <c r="E10" s="6" t="s">
        <v>175</v>
      </c>
      <c r="F10" s="8" t="s">
        <v>174</v>
      </c>
      <c r="H10" s="6"/>
      <c r="I10" s="7"/>
      <c r="J10" s="6"/>
      <c r="K10" s="6"/>
    </row>
    <row r="11" spans="1:11" x14ac:dyDescent="0.25">
      <c r="A11" t="s">
        <v>173</v>
      </c>
      <c r="B11">
        <v>0.188</v>
      </c>
      <c r="C11" s="5">
        <v>2.0053999999999998</v>
      </c>
      <c r="D11">
        <f>B11*(10/C11)*1.6*30*(1/1000000000)*(10000)*(10000)</f>
        <v>4.4998504039094449</v>
      </c>
      <c r="E11">
        <f>(10/C11)*B11</f>
        <v>0.93746883414780102</v>
      </c>
      <c r="F11">
        <f>SUM(D11:D13)</f>
        <v>18.947893035596266</v>
      </c>
      <c r="G11" t="s">
        <v>44</v>
      </c>
      <c r="I11" s="5"/>
    </row>
    <row r="12" spans="1:11" x14ac:dyDescent="0.25">
      <c r="A12" t="s">
        <v>172</v>
      </c>
      <c r="B12">
        <v>0.254</v>
      </c>
      <c r="C12" s="5">
        <v>2.0089999999999999</v>
      </c>
      <c r="D12">
        <f>B12*(10/C12)*1.6*30*(1/1000000000)*(10000)*(10000)</f>
        <v>6.0686908909905428</v>
      </c>
      <c r="E12">
        <f>(10/C12)*B12</f>
        <v>1.2643106022896964</v>
      </c>
      <c r="G12" t="s">
        <v>42</v>
      </c>
      <c r="I12" s="5"/>
    </row>
    <row r="13" spans="1:11" x14ac:dyDescent="0.25">
      <c r="A13" t="s">
        <v>171</v>
      </c>
      <c r="B13">
        <v>0.34899999999999998</v>
      </c>
      <c r="C13" s="5">
        <v>1.9992000000000001</v>
      </c>
      <c r="D13">
        <f>B13*(10/C13)*1.6*30*(1/1000000000)*(10000)*(10000)</f>
        <v>8.3793517406962792</v>
      </c>
      <c r="E13">
        <f>(10/C13)*B13</f>
        <v>1.7456982793117246</v>
      </c>
      <c r="G13" t="s">
        <v>40</v>
      </c>
      <c r="I13" s="5"/>
    </row>
    <row r="14" spans="1:11" x14ac:dyDescent="0.25">
      <c r="A14" t="s">
        <v>170</v>
      </c>
      <c r="B14">
        <v>0.39700000000000002</v>
      </c>
      <c r="C14" s="5">
        <v>2.0137</v>
      </c>
      <c r="D14">
        <f>B14*(10/C14)*1.6*30*(1/1000000000)*(10000)*(10000)</f>
        <v>9.4631772359338555</v>
      </c>
      <c r="E14">
        <f>(10/C14)*B14</f>
        <v>1.9714952574862195</v>
      </c>
      <c r="G14" t="s">
        <v>38</v>
      </c>
      <c r="I14" s="5"/>
    </row>
    <row r="15" spans="1:11" x14ac:dyDescent="0.25">
      <c r="A15" t="s">
        <v>169</v>
      </c>
      <c r="B15">
        <v>0.23499999999999999</v>
      </c>
      <c r="C15" s="5">
        <v>1.9843</v>
      </c>
      <c r="D15">
        <f>B15*(10/C15)*1.6*30*(1/1000000000)*(10000)*(10000)</f>
        <v>5.6846243007609738</v>
      </c>
      <c r="E15">
        <f>(10/C15)*B15</f>
        <v>1.1842967293252029</v>
      </c>
      <c r="F15">
        <f>SUM(D15:D17)</f>
        <v>36.468798699943754</v>
      </c>
      <c r="G15" t="s">
        <v>44</v>
      </c>
      <c r="I15" s="5"/>
    </row>
    <row r="16" spans="1:11" x14ac:dyDescent="0.25">
      <c r="A16" t="s">
        <v>168</v>
      </c>
      <c r="B16">
        <v>1.117</v>
      </c>
      <c r="C16" s="5">
        <v>2.0064000000000002</v>
      </c>
      <c r="D16">
        <f>B16*(10/C16)*1.6*30*(1/1000000000)*(10000)*(10000)</f>
        <v>26.722488038277508</v>
      </c>
      <c r="E16">
        <f>(10/C16)*B16</f>
        <v>5.5671850079744809</v>
      </c>
      <c r="G16" t="s">
        <v>42</v>
      </c>
      <c r="I16" s="5"/>
    </row>
    <row r="17" spans="1:9" x14ac:dyDescent="0.25">
      <c r="A17" t="s">
        <v>167</v>
      </c>
      <c r="B17">
        <v>0.16900000000000001</v>
      </c>
      <c r="C17" s="5">
        <v>1.9972000000000001</v>
      </c>
      <c r="D17">
        <f>B17*(10/C17)*1.6*30*(1/1000000000)*(10000)*(10000)</f>
        <v>4.0616863609052682</v>
      </c>
      <c r="E17">
        <f>(10/C17)*B17</f>
        <v>0.84618465852193081</v>
      </c>
      <c r="G17" t="s">
        <v>40</v>
      </c>
      <c r="I17" s="5"/>
    </row>
    <row r="18" spans="1:9" x14ac:dyDescent="0.25">
      <c r="A18" t="s">
        <v>166</v>
      </c>
      <c r="B18">
        <v>0.25</v>
      </c>
      <c r="C18" s="5">
        <v>2.0143</v>
      </c>
      <c r="D18">
        <f>B18*(10/C18)*1.6*30*(1/1000000000)*(10000)*(10000)</f>
        <v>5.9574045574144865</v>
      </c>
      <c r="E18">
        <f>(10/C18)*B18</f>
        <v>1.2411259494613514</v>
      </c>
      <c r="G18" t="s">
        <v>38</v>
      </c>
      <c r="I18" s="5"/>
    </row>
    <row r="19" spans="1:9" x14ac:dyDescent="0.25">
      <c r="A19" t="s">
        <v>165</v>
      </c>
      <c r="B19">
        <v>0.68700000000000006</v>
      </c>
      <c r="C19" s="5">
        <v>1.9852000000000001</v>
      </c>
      <c r="D19">
        <f>B19*(10/C19)*1.6*30*(1/1000000000)*(10000)*(10000)</f>
        <v>16.610920814023778</v>
      </c>
      <c r="E19">
        <f>(10/C19)*B19</f>
        <v>3.46060850292162</v>
      </c>
      <c r="F19">
        <f>SUM(D19:D21)</f>
        <v>55.462408807031956</v>
      </c>
      <c r="G19" t="s">
        <v>44</v>
      </c>
      <c r="I19" s="5"/>
    </row>
    <row r="20" spans="1:9" x14ac:dyDescent="0.25">
      <c r="A20" t="s">
        <v>164</v>
      </c>
      <c r="B20">
        <v>1.141</v>
      </c>
      <c r="C20" s="5">
        <v>1.9910000000000001</v>
      </c>
      <c r="D20">
        <f>B20*(10/C20)*1.6*30*(1/1000000000)*(10000)*(10000)</f>
        <v>27.507785032646915</v>
      </c>
      <c r="E20">
        <f>(10/C20)*B20</f>
        <v>5.730788548468106</v>
      </c>
      <c r="G20" t="s">
        <v>42</v>
      </c>
      <c r="I20" s="5"/>
    </row>
    <row r="21" spans="1:9" x14ac:dyDescent="0.25">
      <c r="A21" t="s">
        <v>163</v>
      </c>
      <c r="B21">
        <v>0.47099999999999997</v>
      </c>
      <c r="C21" s="5">
        <v>1.9930000000000001</v>
      </c>
      <c r="D21">
        <f>B21*(10/C21)*1.6*30*(1/1000000000)*(10000)*(10000)</f>
        <v>11.343702960361265</v>
      </c>
      <c r="E21">
        <f>(10/C21)*B21</f>
        <v>2.363271450075263</v>
      </c>
      <c r="G21" t="s">
        <v>40</v>
      </c>
      <c r="I21" s="5"/>
    </row>
    <row r="22" spans="1:9" x14ac:dyDescent="0.25">
      <c r="A22" t="s">
        <v>162</v>
      </c>
      <c r="B22">
        <v>0.45200000000000001</v>
      </c>
      <c r="C22" s="5">
        <v>1.9871000000000001</v>
      </c>
      <c r="D22">
        <f>B22*(10/C22)*1.6*30*(1/1000000000)*(10000)*(10000)</f>
        <v>10.918423833727543</v>
      </c>
      <c r="E22">
        <f>(10/C22)*B22</f>
        <v>2.2746716320265712</v>
      </c>
      <c r="G22" t="s">
        <v>38</v>
      </c>
      <c r="I22" s="5"/>
    </row>
    <row r="23" spans="1:9" x14ac:dyDescent="0.25">
      <c r="A23" t="s">
        <v>161</v>
      </c>
      <c r="B23">
        <v>1.9870000000000001</v>
      </c>
      <c r="C23" s="5">
        <v>1.9845999999999999</v>
      </c>
      <c r="D23">
        <f>B23*(10/C23)*1.6*30*(1/1000000000)*(10000)*(10000)</f>
        <v>48.058046961604354</v>
      </c>
      <c r="E23">
        <f>(10/C23)*B23</f>
        <v>10.012093117000907</v>
      </c>
      <c r="F23">
        <f>SUM(D23:D25)</f>
        <v>64.678610856721917</v>
      </c>
      <c r="G23" t="s">
        <v>44</v>
      </c>
      <c r="I23" s="5"/>
    </row>
    <row r="24" spans="1:9" x14ac:dyDescent="0.25">
      <c r="A24" t="s">
        <v>160</v>
      </c>
      <c r="B24">
        <v>0.51500000000000001</v>
      </c>
      <c r="C24" s="5">
        <v>1.9911000000000001</v>
      </c>
      <c r="D24">
        <f>B24*(10/C24)*1.6*30*(1/1000000000)*(10000)*(10000)</f>
        <v>12.415247852945607</v>
      </c>
      <c r="E24">
        <f>(10/C24)*B24</f>
        <v>2.5865099693636679</v>
      </c>
      <c r="G24" t="s">
        <v>42</v>
      </c>
      <c r="I24" s="5"/>
    </row>
    <row r="25" spans="1:9" x14ac:dyDescent="0.25">
      <c r="A25" t="s">
        <v>159</v>
      </c>
      <c r="B25">
        <v>0.17699999999999999</v>
      </c>
      <c r="C25" s="5">
        <v>2.0203000000000002</v>
      </c>
      <c r="D25">
        <f>B25*(10/C25)*1.6*30*(1/1000000000)*(10000)*(10000)</f>
        <v>4.2053160421719555</v>
      </c>
      <c r="E25">
        <f>(10/C25)*B25</f>
        <v>0.87610750878582377</v>
      </c>
      <c r="G25" t="s">
        <v>40</v>
      </c>
      <c r="I25" s="5"/>
    </row>
    <row r="26" spans="1:9" x14ac:dyDescent="0.25">
      <c r="A26" t="s">
        <v>158</v>
      </c>
      <c r="B26">
        <v>9.2999999999999999E-2</v>
      </c>
      <c r="C26" s="5">
        <v>2.0141</v>
      </c>
      <c r="D26">
        <f>B26*(10/C26)*1.6*30*(1/1000000000)*(10000)*(10000)</f>
        <v>2.2163745593565376</v>
      </c>
      <c r="E26">
        <f>(10/C26)*B26</f>
        <v>0.46174469986594513</v>
      </c>
      <c r="G26" t="s">
        <v>38</v>
      </c>
      <c r="I26" s="5"/>
    </row>
    <row r="27" spans="1:9" x14ac:dyDescent="0.25">
      <c r="A27" t="s">
        <v>157</v>
      </c>
      <c r="B27">
        <v>0.91200000000000003</v>
      </c>
      <c r="C27">
        <v>1.9835</v>
      </c>
      <c r="D27">
        <f>B27*(10/C27)*1.6*30*(1/1000000000)*(10000)*(10000)</f>
        <v>22.070078144693724</v>
      </c>
      <c r="E27">
        <f>(10/C27)*B27</f>
        <v>4.5979329468111922</v>
      </c>
      <c r="F27">
        <f>SUM(D27:D29)</f>
        <v>86.636793696733605</v>
      </c>
      <c r="G27" t="s">
        <v>44</v>
      </c>
    </row>
    <row r="28" spans="1:9" x14ac:dyDescent="0.25">
      <c r="A28" t="s">
        <v>156</v>
      </c>
      <c r="B28">
        <v>1.7170000000000001</v>
      </c>
      <c r="C28">
        <v>2.0185</v>
      </c>
      <c r="D28">
        <f>B28*(10/C28)*1.6*30*(1/1000000000)*(10000)*(10000)</f>
        <v>40.83031954421601</v>
      </c>
      <c r="E28">
        <f>(10/C28)*B28</f>
        <v>8.5063165717116682</v>
      </c>
      <c r="G28" t="s">
        <v>42</v>
      </c>
    </row>
    <row r="29" spans="1:9" x14ac:dyDescent="0.25">
      <c r="A29" t="s">
        <v>155</v>
      </c>
      <c r="B29">
        <v>0.98599999999999999</v>
      </c>
      <c r="C29">
        <v>1.9939</v>
      </c>
      <c r="D29">
        <f>B29*(10/C29)*1.6*30*(1/1000000000)*(10000)*(10000)</f>
        <v>23.736396007823863</v>
      </c>
      <c r="E29">
        <f>(10/C29)*B29</f>
        <v>4.9450825016299715</v>
      </c>
      <c r="G29" t="s">
        <v>40</v>
      </c>
    </row>
    <row r="30" spans="1:9" x14ac:dyDescent="0.25">
      <c r="A30" t="s">
        <v>154</v>
      </c>
      <c r="B30">
        <v>0.60499999999999998</v>
      </c>
      <c r="C30">
        <v>1.9925999999999999</v>
      </c>
      <c r="D30">
        <f>B30*(10/C30)*1.6*30*(1/1000000000)*(10000)*(10000)</f>
        <v>14.573923517012949</v>
      </c>
      <c r="E30">
        <f>(10/C30)*B30</f>
        <v>3.0362340660443641</v>
      </c>
      <c r="G30" t="s">
        <v>38</v>
      </c>
    </row>
    <row r="31" spans="1:9" x14ac:dyDescent="0.25">
      <c r="A31" t="s">
        <v>153</v>
      </c>
      <c r="B31">
        <v>3.8730000000000002</v>
      </c>
      <c r="C31">
        <v>2.0125000000000002</v>
      </c>
      <c r="D31">
        <f>B31*(10/C31)*1.6*30*(1/1000000000)*(10000)*(10000)</f>
        <v>92.374658385093156</v>
      </c>
      <c r="E31">
        <f>(10/C31)*B31</f>
        <v>19.244720496894409</v>
      </c>
      <c r="F31">
        <f>SUM(D31:D33)</f>
        <v>265.98048157248354</v>
      </c>
      <c r="G31" t="s">
        <v>44</v>
      </c>
    </row>
    <row r="32" spans="1:9" x14ac:dyDescent="0.25">
      <c r="A32" t="s">
        <v>152</v>
      </c>
      <c r="B32">
        <v>4.43</v>
      </c>
      <c r="C32">
        <v>1.9975000000000001</v>
      </c>
      <c r="D32">
        <f>B32*(10/C32)*1.6*30*(1/1000000000)*(10000)*(10000)</f>
        <v>106.45306633291614</v>
      </c>
      <c r="E32">
        <f>(10/C32)*B32</f>
        <v>22.177722152690862</v>
      </c>
      <c r="G32" t="s">
        <v>42</v>
      </c>
    </row>
    <row r="33" spans="1:9" x14ac:dyDescent="0.25">
      <c r="A33" t="s">
        <v>151</v>
      </c>
      <c r="B33">
        <v>2.786</v>
      </c>
      <c r="C33">
        <v>1.9914000000000001</v>
      </c>
      <c r="D33">
        <f>B33*(10/C33)*1.6*30*(1/1000000000)*(10000)*(10000)</f>
        <v>67.152756854474262</v>
      </c>
      <c r="E33">
        <f>(10/C33)*B33</f>
        <v>13.990157678015468</v>
      </c>
      <c r="G33" t="s">
        <v>40</v>
      </c>
    </row>
    <row r="34" spans="1:9" x14ac:dyDescent="0.25">
      <c r="A34" t="s">
        <v>150</v>
      </c>
      <c r="B34">
        <v>0.35</v>
      </c>
      <c r="C34">
        <v>2.0028999999999999</v>
      </c>
      <c r="D34">
        <f>B34*(10/C34)*1.6*30*(1/1000000000)*(10000)*(10000)</f>
        <v>8.3878376354286281</v>
      </c>
      <c r="E34">
        <f>(10/C34)*B34</f>
        <v>1.7474661740476309</v>
      </c>
      <c r="G34" t="s">
        <v>38</v>
      </c>
    </row>
    <row r="35" spans="1:9" x14ac:dyDescent="0.25">
      <c r="A35" t="s">
        <v>149</v>
      </c>
      <c r="B35">
        <v>1.0149999999999999</v>
      </c>
      <c r="C35">
        <v>2.0116000000000001</v>
      </c>
      <c r="D35">
        <f>B35*(10/C35)*1.6*30*(1/1000000000)*(10000)*(10000)</f>
        <v>24.21952674487969</v>
      </c>
      <c r="E35">
        <f>(10/C35)*B35</f>
        <v>5.0457347385166029</v>
      </c>
      <c r="F35">
        <f>SUM(D35:D37)</f>
        <v>51.115736203755048</v>
      </c>
      <c r="G35" t="s">
        <v>44</v>
      </c>
    </row>
    <row r="36" spans="1:9" x14ac:dyDescent="0.25">
      <c r="A36" t="s">
        <v>148</v>
      </c>
      <c r="B36">
        <v>0.83299999999999996</v>
      </c>
      <c r="C36">
        <v>1.9855</v>
      </c>
      <c r="D36">
        <f>B36*(10/C36)*1.6*30*(1/1000000000)*(10000)*(10000)</f>
        <v>20.138000503651476</v>
      </c>
      <c r="E36">
        <f>(10/C36)*B36</f>
        <v>4.1954167715940569</v>
      </c>
      <c r="G36" t="s">
        <v>42</v>
      </c>
    </row>
    <row r="37" spans="1:9" x14ac:dyDescent="0.25">
      <c r="A37" t="s">
        <v>147</v>
      </c>
      <c r="B37">
        <v>0.28299999999999997</v>
      </c>
      <c r="C37">
        <v>2.0099999999999998</v>
      </c>
      <c r="D37">
        <f>B37*(10/C37)*1.6*30*(1/1000000000)*(10000)*(10000)</f>
        <v>6.7582089552238802</v>
      </c>
      <c r="E37">
        <f>(10/C37)*B37</f>
        <v>1.407960199004975</v>
      </c>
      <c r="G37" t="s">
        <v>40</v>
      </c>
    </row>
    <row r="38" spans="1:9" x14ac:dyDescent="0.25">
      <c r="A38" t="s">
        <v>146</v>
      </c>
      <c r="B38">
        <v>0.28399999999999997</v>
      </c>
      <c r="C38">
        <v>1.9917</v>
      </c>
      <c r="D38">
        <f>B38*(10/C38)*1.6*30*(1/1000000000)*(10000)*(10000)</f>
        <v>6.8444042777526741</v>
      </c>
      <c r="E38">
        <f>(10/C38)*B38</f>
        <v>1.4259175578651402</v>
      </c>
      <c r="G38" t="s">
        <v>38</v>
      </c>
    </row>
    <row r="39" spans="1:9" x14ac:dyDescent="0.25">
      <c r="A39" t="s">
        <v>145</v>
      </c>
      <c r="B39">
        <v>2.9849999999999999</v>
      </c>
      <c r="C39">
        <v>2.0057999999999998</v>
      </c>
      <c r="D39">
        <f>B39*(10/C39)*1.6*30*(1/1000000000)*(10000)*(10000)</f>
        <v>71.432844750224376</v>
      </c>
      <c r="E39">
        <f>(10/C39)*B39</f>
        <v>14.881842656296742</v>
      </c>
      <c r="F39">
        <f>SUM(D39:D41)</f>
        <v>90.036158036580872</v>
      </c>
      <c r="G39" t="s">
        <v>44</v>
      </c>
    </row>
    <row r="40" spans="1:9" x14ac:dyDescent="0.25">
      <c r="A40" t="s">
        <v>144</v>
      </c>
      <c r="B40">
        <v>0.63900000000000001</v>
      </c>
      <c r="C40">
        <v>2.0190000000000001</v>
      </c>
      <c r="D40">
        <f>B40*(10/C40)*1.6*30*(1/1000000000)*(10000)*(10000)</f>
        <v>15.191679049034176</v>
      </c>
      <c r="E40">
        <f>(10/C40)*B40</f>
        <v>3.1649331352154526</v>
      </c>
      <c r="G40" t="s">
        <v>42</v>
      </c>
    </row>
    <row r="41" spans="1:9" x14ac:dyDescent="0.25">
      <c r="A41" t="s">
        <v>143</v>
      </c>
      <c r="B41">
        <v>0.14099999999999999</v>
      </c>
      <c r="C41">
        <v>1.9838</v>
      </c>
      <c r="D41">
        <f>B41*(10/C41)*1.6*30*(1/1000000000)*(10000)*(10000)</f>
        <v>3.4116342373223105</v>
      </c>
      <c r="E41">
        <f>(10/C41)*B41</f>
        <v>0.71075713277548136</v>
      </c>
      <c r="G41" t="s">
        <v>40</v>
      </c>
    </row>
    <row r="42" spans="1:9" x14ac:dyDescent="0.25">
      <c r="A42" t="s">
        <v>142</v>
      </c>
      <c r="B42">
        <v>0.32100000000000001</v>
      </c>
      <c r="C42">
        <v>2.0085999999999999</v>
      </c>
      <c r="D42">
        <f>B42*(10/C42)*1.6*30*(1/1000000000)*(10000)*(10000)</f>
        <v>7.6710146370606402</v>
      </c>
      <c r="E42">
        <f>(10/C42)*B42</f>
        <v>1.5981280493876331</v>
      </c>
      <c r="G42" t="s">
        <v>38</v>
      </c>
    </row>
    <row r="43" spans="1:9" x14ac:dyDescent="0.25">
      <c r="A43" t="s">
        <v>141</v>
      </c>
      <c r="B43">
        <v>1.17</v>
      </c>
      <c r="C43" s="5">
        <v>1.98</v>
      </c>
      <c r="D43">
        <f>B43*(10/C43)*1.6*30*(1/1000000000)*(10000)*(10000)</f>
        <v>28.363636363636363</v>
      </c>
      <c r="E43">
        <f>(10/C43)*B43</f>
        <v>5.9090909090909083</v>
      </c>
      <c r="F43">
        <f>SUM(D43:D45)</f>
        <v>32.026726982947501</v>
      </c>
      <c r="G43" t="s">
        <v>44</v>
      </c>
      <c r="I43" s="5"/>
    </row>
    <row r="44" spans="1:9" x14ac:dyDescent="0.25">
      <c r="A44" t="s">
        <v>140</v>
      </c>
      <c r="B44">
        <v>0.106</v>
      </c>
      <c r="C44" s="5">
        <v>2.0137999999999998</v>
      </c>
      <c r="D44">
        <f>B44*(10/C44)*1.6*30*(1/1000000000)*(10000)*(10000)</f>
        <v>2.5265666898401031</v>
      </c>
      <c r="E44">
        <f>(10/C44)*B44</f>
        <v>0.52636806038335482</v>
      </c>
      <c r="G44" t="s">
        <v>42</v>
      </c>
      <c r="I44" s="5"/>
    </row>
    <row r="45" spans="1:9" x14ac:dyDescent="0.25">
      <c r="A45" t="s">
        <v>139</v>
      </c>
      <c r="B45">
        <v>4.7E-2</v>
      </c>
      <c r="C45" s="5">
        <v>1.9850000000000001</v>
      </c>
      <c r="D45">
        <f>B45*(10/C45)*1.6*30*(1/1000000000)*(10000)*(10000)</f>
        <v>1.1365239294710328</v>
      </c>
      <c r="E45">
        <f>(10/C45)*B45</f>
        <v>0.23677581863979846</v>
      </c>
      <c r="G45" t="s">
        <v>40</v>
      </c>
      <c r="I45" s="5"/>
    </row>
    <row r="46" spans="1:9" x14ac:dyDescent="0.25">
      <c r="A46" t="s">
        <v>138</v>
      </c>
      <c r="B46">
        <v>3.4000000000000002E-2</v>
      </c>
      <c r="C46" s="5">
        <v>1.9941</v>
      </c>
      <c r="D46">
        <f>B46*(10/C46)*1.6*30*(1/1000000000)*(10000)*(10000)</f>
        <v>0.8184143222506397</v>
      </c>
      <c r="E46">
        <f>(10/C46)*B46</f>
        <v>0.17050298380221657</v>
      </c>
      <c r="G46" t="s">
        <v>38</v>
      </c>
      <c r="I46" s="5"/>
    </row>
    <row r="47" spans="1:9" x14ac:dyDescent="0.25">
      <c r="A47" t="s">
        <v>137</v>
      </c>
      <c r="B47">
        <v>0.104</v>
      </c>
      <c r="C47" s="5">
        <v>1.9994000000000001</v>
      </c>
      <c r="D47">
        <f>B47*(10/C47)*1.6*30*(1/1000000000)*(10000)*(10000)</f>
        <v>2.4967490247074124</v>
      </c>
      <c r="E47">
        <f>(10/C47)*B47</f>
        <v>0.52015604681404415</v>
      </c>
      <c r="F47">
        <f>SUM(D47:D49)</f>
        <v>7.3849593076476996</v>
      </c>
      <c r="G47" t="s">
        <v>44</v>
      </c>
      <c r="I47" s="5"/>
    </row>
    <row r="48" spans="1:9" x14ac:dyDescent="0.25">
      <c r="A48" t="s">
        <v>136</v>
      </c>
      <c r="B48">
        <v>6.3E-2</v>
      </c>
      <c r="C48" s="5">
        <v>2.0053999999999998</v>
      </c>
      <c r="D48">
        <f>B48*(10/C48)*1.6*30*(1/1000000000)*(10000)*(10000)</f>
        <v>1.5079285927994417</v>
      </c>
      <c r="E48">
        <f>(10/C48)*B48</f>
        <v>0.31415179016655032</v>
      </c>
      <c r="G48" t="s">
        <v>42</v>
      </c>
      <c r="I48" s="5"/>
    </row>
    <row r="49" spans="1:9" x14ac:dyDescent="0.25">
      <c r="A49" t="s">
        <v>135</v>
      </c>
      <c r="B49">
        <v>0.14000000000000001</v>
      </c>
      <c r="C49" s="5">
        <v>1.988</v>
      </c>
      <c r="D49">
        <f>B49*(10/C49)*1.6*30*(1/1000000000)*(10000)*(10000)</f>
        <v>3.3802816901408455</v>
      </c>
      <c r="E49">
        <f>(10/C49)*B49</f>
        <v>0.70422535211267612</v>
      </c>
      <c r="G49" t="s">
        <v>40</v>
      </c>
      <c r="I49" s="5"/>
    </row>
    <row r="50" spans="1:9" x14ac:dyDescent="0.25">
      <c r="A50" t="s">
        <v>134</v>
      </c>
      <c r="B50">
        <v>0.27900000000000003</v>
      </c>
      <c r="C50" s="5">
        <v>2.0135999999999998</v>
      </c>
      <c r="D50">
        <f>B50*(10/C50)*1.6*30*(1/1000000000)*(10000)*(10000)</f>
        <v>6.6507747318236019</v>
      </c>
      <c r="E50">
        <f>(10/C50)*B50</f>
        <v>1.3855780691299169</v>
      </c>
      <c r="G50" t="s">
        <v>38</v>
      </c>
      <c r="I50" s="5"/>
    </row>
    <row r="51" spans="1:9" x14ac:dyDescent="0.25">
      <c r="A51" t="s">
        <v>133</v>
      </c>
      <c r="B51">
        <v>1.329</v>
      </c>
      <c r="C51" s="5">
        <v>1.9923999999999999</v>
      </c>
      <c r="D51">
        <f>B51*(10/C51)*1.6*30*(1/1000000000)*(10000)*(10000)</f>
        <v>32.017667135113427</v>
      </c>
      <c r="E51">
        <f>(10/C51)*B51</f>
        <v>6.6703473198152974</v>
      </c>
      <c r="F51">
        <f>SUM(D51:D53)</f>
        <v>61.555449326675614</v>
      </c>
      <c r="G51" t="s">
        <v>44</v>
      </c>
      <c r="I51" s="5"/>
    </row>
    <row r="52" spans="1:9" x14ac:dyDescent="0.25">
      <c r="A52" t="s">
        <v>132</v>
      </c>
      <c r="B52">
        <v>1.0780000000000001</v>
      </c>
      <c r="C52" s="5">
        <v>2.0009000000000001</v>
      </c>
      <c r="D52">
        <f>B52*(10/C52)*1.6*30*(1/1000000000)*(10000)*(10000)</f>
        <v>25.860362836723475</v>
      </c>
      <c r="E52">
        <f>(10/C52)*B52</f>
        <v>5.3875755909840572</v>
      </c>
      <c r="G52" t="s">
        <v>42</v>
      </c>
      <c r="I52" s="5"/>
    </row>
    <row r="53" spans="1:9" x14ac:dyDescent="0.25">
      <c r="A53" t="s">
        <v>131</v>
      </c>
      <c r="B53">
        <v>0.152</v>
      </c>
      <c r="C53" s="5">
        <v>1.984</v>
      </c>
      <c r="D53">
        <f>B53*(10/C53)*1.6*30*(1/1000000000)*(10000)*(10000)</f>
        <v>3.6774193548387095</v>
      </c>
      <c r="E53">
        <f>(10/C53)*B53</f>
        <v>0.7661290322580645</v>
      </c>
      <c r="G53" t="s">
        <v>40</v>
      </c>
      <c r="I53" s="5"/>
    </row>
    <row r="54" spans="1:9" x14ac:dyDescent="0.25">
      <c r="A54" t="s">
        <v>130</v>
      </c>
      <c r="B54">
        <v>0.13300000000000001</v>
      </c>
      <c r="C54" s="5">
        <v>1.9821</v>
      </c>
      <c r="D54">
        <f>B54*(10/C54)*1.6*30*(1/1000000000)*(10000)*(10000)</f>
        <v>3.2208263962464065</v>
      </c>
      <c r="E54">
        <f>(10/C54)*B54</f>
        <v>0.67100549921800112</v>
      </c>
      <c r="G54" t="s">
        <v>38</v>
      </c>
      <c r="I54" s="5"/>
    </row>
    <row r="55" spans="1:9" x14ac:dyDescent="0.25">
      <c r="A55" t="s">
        <v>129</v>
      </c>
      <c r="B55">
        <v>0.50900000000000001</v>
      </c>
      <c r="C55" s="5">
        <v>2.0165999999999999</v>
      </c>
      <c r="D55">
        <f>B55*(10/C55)*1.6*30*(1/1000000000)*(10000)*(10000)</f>
        <v>12.115441832787862</v>
      </c>
      <c r="E55">
        <f>(10/C55)*B55</f>
        <v>2.5240503818308047</v>
      </c>
      <c r="F55">
        <f>SUM(D55:D57)</f>
        <v>66.137327761824636</v>
      </c>
      <c r="G55" t="s">
        <v>44</v>
      </c>
      <c r="I55" s="5"/>
    </row>
    <row r="56" spans="1:9" x14ac:dyDescent="0.25">
      <c r="A56" t="s">
        <v>128</v>
      </c>
      <c r="B56">
        <v>1.7490000000000001</v>
      </c>
      <c r="C56" s="5">
        <v>2.0055999999999998</v>
      </c>
      <c r="D56">
        <f>B56*(10/C56)*1.6*30*(1/1000000000)*(10000)*(10000)</f>
        <v>41.858795372955733</v>
      </c>
      <c r="E56">
        <f>(10/C56)*B56</f>
        <v>8.7205823693657774</v>
      </c>
      <c r="G56" t="s">
        <v>42</v>
      </c>
      <c r="I56" s="5"/>
    </row>
    <row r="57" spans="1:9" x14ac:dyDescent="0.25">
      <c r="A57" t="s">
        <v>127</v>
      </c>
      <c r="B57">
        <v>0.50900000000000001</v>
      </c>
      <c r="C57" s="5">
        <v>2.0087000000000002</v>
      </c>
      <c r="D57">
        <f>B57*(10/C57)*1.6*30*(1/1000000000)*(10000)*(10000)</f>
        <v>12.163090556081048</v>
      </c>
      <c r="E57">
        <f>(10/C57)*B57</f>
        <v>2.5339771991835511</v>
      </c>
      <c r="G57" t="s">
        <v>40</v>
      </c>
      <c r="I57" s="5"/>
    </row>
    <row r="58" spans="1:9" x14ac:dyDescent="0.25">
      <c r="A58" t="s">
        <v>126</v>
      </c>
      <c r="B58">
        <v>0.35299999999999998</v>
      </c>
      <c r="C58" s="5">
        <v>1.984</v>
      </c>
      <c r="D58">
        <f>B58*(10/C58)*1.6*30*(1/1000000000)*(10000)*(10000)</f>
        <v>8.5403225806451619</v>
      </c>
      <c r="E58">
        <f>(10/C58)*B58</f>
        <v>1.7792338709677418</v>
      </c>
      <c r="G58" t="s">
        <v>38</v>
      </c>
      <c r="I58" s="5"/>
    </row>
    <row r="59" spans="1:9" x14ac:dyDescent="0.25">
      <c r="A59" t="s">
        <v>125</v>
      </c>
      <c r="B59">
        <v>0.35099999999999998</v>
      </c>
      <c r="C59">
        <v>2.0179999999999998</v>
      </c>
      <c r="D59">
        <f>B59*(10/C59)*1.6*30*(1/1000000000)*(10000)*(10000)</f>
        <v>8.3488602576808741</v>
      </c>
      <c r="E59">
        <f>(10/C59)*B59</f>
        <v>1.7393458870168483</v>
      </c>
      <c r="F59">
        <f>SUM(D59:D61)</f>
        <v>26.559232575359818</v>
      </c>
      <c r="G59" t="s">
        <v>44</v>
      </c>
    </row>
    <row r="60" spans="1:9" x14ac:dyDescent="0.25">
      <c r="A60" t="s">
        <v>124</v>
      </c>
      <c r="B60">
        <v>0.52200000000000002</v>
      </c>
      <c r="C60">
        <v>2.0123000000000002</v>
      </c>
      <c r="D60">
        <f>B60*(10/C60)*1.6*30*(1/1000000000)*(10000)*(10000)</f>
        <v>12.451423743974559</v>
      </c>
      <c r="E60">
        <f>(10/C60)*B60</f>
        <v>2.5940466133280324</v>
      </c>
      <c r="G60" t="s">
        <v>42</v>
      </c>
    </row>
    <row r="61" spans="1:9" x14ac:dyDescent="0.25">
      <c r="A61" t="s">
        <v>123</v>
      </c>
      <c r="B61">
        <v>0.24099999999999999</v>
      </c>
      <c r="C61">
        <v>2.0087000000000002</v>
      </c>
      <c r="D61">
        <f>B61*(10/C61)*1.6*30*(1/1000000000)*(10000)*(10000)</f>
        <v>5.7589485737043846</v>
      </c>
      <c r="E61">
        <f>(10/C61)*B61</f>
        <v>1.1997809528550802</v>
      </c>
      <c r="G61" t="s">
        <v>40</v>
      </c>
    </row>
    <row r="62" spans="1:9" x14ac:dyDescent="0.25">
      <c r="A62" t="s">
        <v>122</v>
      </c>
      <c r="B62">
        <v>0.44600000000000001</v>
      </c>
      <c r="C62">
        <v>1.9968999999999999</v>
      </c>
      <c r="D62">
        <f>B62*(10/C62)*1.6*30*(1/1000000000)*(10000)*(10000)</f>
        <v>10.720616956282239</v>
      </c>
      <c r="E62">
        <f>(10/C62)*B62</f>
        <v>2.2334618658921328</v>
      </c>
      <c r="G62" t="s">
        <v>38</v>
      </c>
    </row>
    <row r="63" spans="1:9" x14ac:dyDescent="0.25">
      <c r="A63" t="s">
        <v>121</v>
      </c>
      <c r="B63">
        <v>0.40600000000000003</v>
      </c>
      <c r="C63">
        <v>1.9903</v>
      </c>
      <c r="D63">
        <f>B63*(10/C63)*1.6*30*(1/1000000000)*(10000)*(10000)</f>
        <v>9.791488720293426</v>
      </c>
      <c r="E63">
        <f>(10/C63)*B63</f>
        <v>2.0398934833944633</v>
      </c>
      <c r="F63">
        <f>SUM(D63:D65)</f>
        <v>42.152334115213996</v>
      </c>
      <c r="G63" t="s">
        <v>44</v>
      </c>
    </row>
    <row r="64" spans="1:9" x14ac:dyDescent="0.25">
      <c r="A64" t="s">
        <v>120</v>
      </c>
      <c r="B64">
        <v>0.88</v>
      </c>
      <c r="C64">
        <v>1.9878</v>
      </c>
      <c r="D64">
        <f>B64*(10/C64)*1.6*30*(1/1000000000)*(10000)*(10000)</f>
        <v>21.249622698460616</v>
      </c>
      <c r="E64">
        <f>(10/C64)*B64</f>
        <v>4.4270047288459606</v>
      </c>
      <c r="G64" t="s">
        <v>42</v>
      </c>
    </row>
    <row r="65" spans="1:9" x14ac:dyDescent="0.25">
      <c r="A65" t="s">
        <v>119</v>
      </c>
      <c r="B65">
        <v>0.46100000000000002</v>
      </c>
      <c r="C65">
        <v>1.9915</v>
      </c>
      <c r="D65">
        <f>B65*(10/C65)*1.6*30*(1/1000000000)*(10000)*(10000)</f>
        <v>11.111222696459956</v>
      </c>
      <c r="E65">
        <f>(10/C65)*B65</f>
        <v>2.3148380617624906</v>
      </c>
      <c r="G65" t="s">
        <v>40</v>
      </c>
    </row>
    <row r="66" spans="1:9" x14ac:dyDescent="0.25">
      <c r="A66" t="s">
        <v>118</v>
      </c>
      <c r="B66">
        <v>0.41899999999999998</v>
      </c>
      <c r="C66">
        <v>1.9835</v>
      </c>
      <c r="D66">
        <f>B66*(10/C66)*1.6*30*(1/1000000000)*(10000)*(10000)</f>
        <v>10.139652130073102</v>
      </c>
      <c r="E66">
        <f>(10/C66)*B66</f>
        <v>2.1124275270985629</v>
      </c>
      <c r="G66" t="s">
        <v>38</v>
      </c>
    </row>
    <row r="67" spans="1:9" x14ac:dyDescent="0.25">
      <c r="A67" t="s">
        <v>117</v>
      </c>
      <c r="B67">
        <v>5.0999999999999997E-2</v>
      </c>
      <c r="C67">
        <v>2.0009000000000001</v>
      </c>
      <c r="D67">
        <f>B67*(10/C67)*1.6*30*(1/1000000000)*(10000)*(10000)</f>
        <v>1.2234494477485129</v>
      </c>
      <c r="E67">
        <f>(10/C67)*B67</f>
        <v>0.25488530161427353</v>
      </c>
      <c r="F67">
        <f>SUM(D67:D69)</f>
        <v>22.139690484352315</v>
      </c>
      <c r="G67" t="s">
        <v>44</v>
      </c>
    </row>
    <row r="68" spans="1:9" x14ac:dyDescent="0.25">
      <c r="A68" t="s">
        <v>116</v>
      </c>
      <c r="B68">
        <v>0.246</v>
      </c>
      <c r="C68">
        <v>1.9923</v>
      </c>
      <c r="D68">
        <f>B68*(10/C68)*1.6*30*(1/1000000000)*(10000)*(10000)</f>
        <v>5.9268182502635147</v>
      </c>
      <c r="E68">
        <f>(10/C68)*B68</f>
        <v>1.234753802138232</v>
      </c>
      <c r="G68" t="s">
        <v>42</v>
      </c>
    </row>
    <row r="69" spans="1:9" x14ac:dyDescent="0.25">
      <c r="A69" t="s">
        <v>115</v>
      </c>
      <c r="B69">
        <v>0.62</v>
      </c>
      <c r="C69">
        <v>1.9854000000000001</v>
      </c>
      <c r="D69">
        <f>B69*(10/C69)*1.6*30*(1/1000000000)*(10000)*(10000)</f>
        <v>14.989422786340285</v>
      </c>
      <c r="E69">
        <f>(10/C69)*B69</f>
        <v>3.1227964138208923</v>
      </c>
      <c r="G69" t="s">
        <v>40</v>
      </c>
    </row>
    <row r="70" spans="1:9" x14ac:dyDescent="0.25">
      <c r="A70" t="s">
        <v>114</v>
      </c>
      <c r="B70">
        <v>1.0509999999999999</v>
      </c>
      <c r="C70">
        <v>1.9861</v>
      </c>
      <c r="D70">
        <f>B70*(10/C70)*1.6*30*(1/1000000000)*(10000)*(10000)</f>
        <v>25.400533709279504</v>
      </c>
      <c r="E70">
        <f>(10/C70)*B70</f>
        <v>5.2917778560998947</v>
      </c>
      <c r="G70" t="s">
        <v>38</v>
      </c>
    </row>
    <row r="71" spans="1:9" x14ac:dyDescent="0.25">
      <c r="A71" t="s">
        <v>113</v>
      </c>
      <c r="B71">
        <v>0.55300000000000005</v>
      </c>
      <c r="C71">
        <v>1.9838</v>
      </c>
      <c r="D71">
        <f>B71*(10/C71)*1.6*30*(1/1000000000)*(10000)*(10000)</f>
        <v>13.380381086803109</v>
      </c>
      <c r="E71">
        <f>(10/C71)*B71</f>
        <v>2.7875793930839805</v>
      </c>
      <c r="F71">
        <f>SUM(D71:D73)</f>
        <v>53.116696670700534</v>
      </c>
      <c r="G71" t="s">
        <v>44</v>
      </c>
    </row>
    <row r="72" spans="1:9" x14ac:dyDescent="0.25">
      <c r="A72" t="s">
        <v>112</v>
      </c>
      <c r="B72">
        <v>0.96799999999999997</v>
      </c>
      <c r="C72">
        <v>1.9891000000000001</v>
      </c>
      <c r="D72">
        <f>B72*(10/C72)*1.6*30*(1/1000000000)*(10000)*(10000)</f>
        <v>23.359308229852697</v>
      </c>
      <c r="E72">
        <f>(10/C72)*B72</f>
        <v>4.8665225478859782</v>
      </c>
      <c r="G72" t="s">
        <v>42</v>
      </c>
    </row>
    <row r="73" spans="1:9" x14ac:dyDescent="0.25">
      <c r="A73" t="s">
        <v>111</v>
      </c>
      <c r="B73">
        <v>0.68200000000000005</v>
      </c>
      <c r="C73">
        <v>1.9988999999999999</v>
      </c>
      <c r="D73">
        <f>B73*(10/C73)*1.6*30*(1/1000000000)*(10000)*(10000)</f>
        <v>16.377007354044729</v>
      </c>
      <c r="E73">
        <f>(10/C73)*B73</f>
        <v>3.4118765320926512</v>
      </c>
      <c r="G73" t="s">
        <v>40</v>
      </c>
    </row>
    <row r="74" spans="1:9" x14ac:dyDescent="0.25">
      <c r="A74" t="s">
        <v>110</v>
      </c>
      <c r="B74">
        <v>0.79100000000000004</v>
      </c>
      <c r="C74">
        <v>1.9978</v>
      </c>
      <c r="D74">
        <f>B74*(10/C74)*1.6*30*(1/1000000000)*(10000)*(10000)</f>
        <v>19.004905395935534</v>
      </c>
      <c r="E74">
        <f>(10/C74)*B74</f>
        <v>3.9593552908199023</v>
      </c>
      <c r="G74" t="s">
        <v>38</v>
      </c>
    </row>
    <row r="75" spans="1:9" x14ac:dyDescent="0.25">
      <c r="A75" t="s">
        <v>109</v>
      </c>
      <c r="B75">
        <v>1.1359999999999999</v>
      </c>
      <c r="C75" s="4">
        <v>1.9899</v>
      </c>
      <c r="D75">
        <f>B75*(10/C75)*1.6*30*(1/1000000000)*(10000)*(10000)</f>
        <v>27.402382029247701</v>
      </c>
      <c r="E75">
        <f>(10/C75)*B75</f>
        <v>5.7088295894266041</v>
      </c>
      <c r="F75">
        <f>SUM(D75:D77)</f>
        <v>38.184039772061261</v>
      </c>
      <c r="G75" t="s">
        <v>44</v>
      </c>
      <c r="I75" s="4"/>
    </row>
    <row r="76" spans="1:9" x14ac:dyDescent="0.25">
      <c r="A76" t="s">
        <v>108</v>
      </c>
      <c r="B76">
        <v>0.39300000000000002</v>
      </c>
      <c r="C76" s="4">
        <v>1.986</v>
      </c>
      <c r="D76">
        <f>B76*(10/C76)*1.6*30*(1/1000000000)*(10000)*(10000)</f>
        <v>9.4984894259818748</v>
      </c>
      <c r="E76">
        <f>(10/C76)*B76</f>
        <v>1.9788519637462236</v>
      </c>
      <c r="G76" t="s">
        <v>42</v>
      </c>
      <c r="I76" s="4"/>
    </row>
    <row r="77" spans="1:9" x14ac:dyDescent="0.25">
      <c r="A77" t="s">
        <v>107</v>
      </c>
      <c r="B77">
        <v>5.3999999999999999E-2</v>
      </c>
      <c r="C77" s="4">
        <v>2.02</v>
      </c>
      <c r="D77">
        <f>B77*(10/C77)*1.6*30*(1/1000000000)*(10000)*(10000)</f>
        <v>1.2831683168316834</v>
      </c>
      <c r="E77">
        <f>(10/C77)*B77</f>
        <v>0.26732673267326734</v>
      </c>
      <c r="G77" t="s">
        <v>40</v>
      </c>
      <c r="I77" s="4"/>
    </row>
    <row r="78" spans="1:9" x14ac:dyDescent="0.25">
      <c r="A78" t="s">
        <v>106</v>
      </c>
      <c r="B78">
        <v>0.187</v>
      </c>
      <c r="C78" s="4">
        <v>1.9928999999999999</v>
      </c>
      <c r="D78">
        <f>B78*(10/C78)*1.6*30*(1/1000000000)*(10000)*(10000)</f>
        <v>4.5039891615234078</v>
      </c>
      <c r="E78">
        <f>(10/C78)*B78</f>
        <v>0.93833107531737669</v>
      </c>
      <c r="G78" t="s">
        <v>38</v>
      </c>
      <c r="I78" s="4"/>
    </row>
    <row r="79" spans="1:9" x14ac:dyDescent="0.25">
      <c r="A79" t="s">
        <v>105</v>
      </c>
      <c r="B79">
        <v>-1E-3</v>
      </c>
      <c r="C79" s="4">
        <v>1.9818</v>
      </c>
      <c r="D79">
        <f>B79*(10/C79)*1.6*30*(1/1000000000)*(10000)*(10000)</f>
        <v>-2.422040569179534E-2</v>
      </c>
      <c r="E79">
        <f>(10/C79)*B79</f>
        <v>-5.0459178524573621E-3</v>
      </c>
      <c r="F79">
        <f>SUM(D79:D81)</f>
        <v>6.6401824375898979</v>
      </c>
      <c r="G79" t="s">
        <v>44</v>
      </c>
      <c r="I79" s="4"/>
    </row>
    <row r="80" spans="1:9" x14ac:dyDescent="0.25">
      <c r="A80" t="s">
        <v>104</v>
      </c>
      <c r="B80">
        <v>5.8999999999999997E-2</v>
      </c>
      <c r="C80" s="4">
        <v>1.9911000000000001</v>
      </c>
      <c r="D80">
        <f>B80*(10/C80)*1.6*30*(1/1000000000)*(10000)*(10000)</f>
        <v>1.4223293656772638</v>
      </c>
      <c r="E80">
        <f>(10/C80)*B80</f>
        <v>0.29631861784942992</v>
      </c>
      <c r="G80" t="s">
        <v>42</v>
      </c>
      <c r="I80" s="4"/>
    </row>
    <row r="81" spans="1:9" x14ac:dyDescent="0.25">
      <c r="A81" t="s">
        <v>103</v>
      </c>
      <c r="B81">
        <v>0.217</v>
      </c>
      <c r="C81" s="4">
        <v>1.9870000000000001</v>
      </c>
      <c r="D81">
        <f>B81*(10/C81)*1.6*30*(1/1000000000)*(10000)*(10000)</f>
        <v>5.2420734776044293</v>
      </c>
      <c r="E81">
        <f>(10/C81)*B81</f>
        <v>1.0920986411675893</v>
      </c>
      <c r="G81" t="s">
        <v>40</v>
      </c>
      <c r="I81" s="4"/>
    </row>
    <row r="82" spans="1:9" x14ac:dyDescent="0.25">
      <c r="A82" t="s">
        <v>102</v>
      </c>
      <c r="B82">
        <v>0.09</v>
      </c>
      <c r="C82" s="4">
        <v>1.9974000000000001</v>
      </c>
      <c r="D82">
        <f>B82*(10/C82)*1.6*30*(1/1000000000)*(10000)*(10000)</f>
        <v>2.1628116551516978</v>
      </c>
      <c r="E82">
        <f>(10/C82)*B82</f>
        <v>0.4505857614899369</v>
      </c>
      <c r="G82" t="s">
        <v>38</v>
      </c>
      <c r="I82" s="4"/>
    </row>
    <row r="83" spans="1:9" x14ac:dyDescent="0.25">
      <c r="A83" t="s">
        <v>101</v>
      </c>
      <c r="B83">
        <v>3.1360000000000001</v>
      </c>
      <c r="C83" s="4">
        <v>1.9894000000000001</v>
      </c>
      <c r="D83">
        <f>B83*(10/C83)*1.6*30*(1/1000000000)*(10000)*(10000)</f>
        <v>75.665024630541865</v>
      </c>
      <c r="E83">
        <f>(10/C83)*B83</f>
        <v>15.763546798029557</v>
      </c>
      <c r="F83">
        <f>SUM(D83:D85)</f>
        <v>93.673142323705235</v>
      </c>
      <c r="G83" t="s">
        <v>44</v>
      </c>
      <c r="I83" s="4"/>
    </row>
    <row r="84" spans="1:9" x14ac:dyDescent="0.25">
      <c r="A84" t="s">
        <v>100</v>
      </c>
      <c r="B84">
        <v>0.58199999999999996</v>
      </c>
      <c r="C84" s="4">
        <v>1.9903999999999999</v>
      </c>
      <c r="D84">
        <f>B84*(10/C84)*1.6*30*(1/1000000000)*(10000)*(10000)</f>
        <v>14.035369774919614</v>
      </c>
      <c r="E84">
        <f>(10/C84)*B84</f>
        <v>2.9240353697749195</v>
      </c>
      <c r="G84" t="s">
        <v>42</v>
      </c>
      <c r="I84" s="4"/>
    </row>
    <row r="85" spans="1:9" x14ac:dyDescent="0.25">
      <c r="A85" t="s">
        <v>99</v>
      </c>
      <c r="B85">
        <v>0.16400000000000001</v>
      </c>
      <c r="C85" s="4">
        <v>1.9815</v>
      </c>
      <c r="D85">
        <f>B85*(10/C85)*1.6*30*(1/1000000000)*(10000)*(10000)</f>
        <v>3.9727479182437557</v>
      </c>
      <c r="E85">
        <f>(10/C85)*B85</f>
        <v>0.82765581630078233</v>
      </c>
      <c r="G85" t="s">
        <v>40</v>
      </c>
      <c r="I85" s="4"/>
    </row>
    <row r="86" spans="1:9" x14ac:dyDescent="0.25">
      <c r="A86" t="s">
        <v>98</v>
      </c>
      <c r="B86">
        <v>0.71699999999999997</v>
      </c>
      <c r="C86" s="4">
        <v>2.0063</v>
      </c>
      <c r="D86">
        <f>B86*(10/C86)*1.6*30*(1/1000000000)*(10000)*(10000)</f>
        <v>17.153965010217814</v>
      </c>
      <c r="E86">
        <f>(10/C86)*B86</f>
        <v>3.5737427104620445</v>
      </c>
      <c r="G86" t="s">
        <v>38</v>
      </c>
      <c r="I86" s="4"/>
    </row>
    <row r="87" spans="1:9" x14ac:dyDescent="0.25">
      <c r="A87" t="s">
        <v>97</v>
      </c>
      <c r="B87">
        <v>1.9770000000000001</v>
      </c>
      <c r="C87" s="4">
        <v>1.9912000000000001</v>
      </c>
      <c r="D87">
        <f>B87*(10/C87)*1.6*30*(1/1000000000)*(10000)*(10000)</f>
        <v>47.657693852953003</v>
      </c>
      <c r="E87">
        <f>(10/C87)*B87</f>
        <v>9.9286862193652077</v>
      </c>
      <c r="F87">
        <f>SUM(D87:D89)</f>
        <v>61.786484699200784</v>
      </c>
      <c r="G87" t="s">
        <v>44</v>
      </c>
      <c r="I87" s="4"/>
    </row>
    <row r="88" spans="1:9" x14ac:dyDescent="0.25">
      <c r="A88" t="s">
        <v>96</v>
      </c>
      <c r="B88">
        <v>0.39100000000000001</v>
      </c>
      <c r="C88" s="4">
        <v>1.9841</v>
      </c>
      <c r="D88">
        <f>B88*(10/C88)*1.6*30*(1/1000000000)*(10000)*(10000)</f>
        <v>9.4592006451287745</v>
      </c>
      <c r="E88">
        <f>(10/C88)*B88</f>
        <v>1.9706668010684947</v>
      </c>
      <c r="G88" t="s">
        <v>42</v>
      </c>
      <c r="I88" s="4"/>
    </row>
    <row r="89" spans="1:9" x14ac:dyDescent="0.25">
      <c r="A89" t="s">
        <v>95</v>
      </c>
      <c r="B89">
        <v>0.193</v>
      </c>
      <c r="C89" s="4">
        <v>1.9839</v>
      </c>
      <c r="D89">
        <f>B89*(10/C89)*1.6*30*(1/1000000000)*(10000)*(10000)</f>
        <v>4.669590201119008</v>
      </c>
      <c r="E89">
        <f>(10/C89)*B89</f>
        <v>0.97283129189979334</v>
      </c>
      <c r="G89" t="s">
        <v>40</v>
      </c>
      <c r="I89" s="4"/>
    </row>
    <row r="90" spans="1:9" x14ac:dyDescent="0.25">
      <c r="A90" t="s">
        <v>94</v>
      </c>
      <c r="B90">
        <v>0.183</v>
      </c>
      <c r="C90" s="4">
        <v>2.0041000000000002</v>
      </c>
      <c r="D90">
        <f>B90*(10/C90)*1.6*30*(1/1000000000)*(10000)*(10000)</f>
        <v>4.3830148196197793</v>
      </c>
      <c r="E90">
        <f>(10/C90)*B90</f>
        <v>0.91312808742078722</v>
      </c>
      <c r="G90" t="s">
        <v>38</v>
      </c>
      <c r="I90" s="4"/>
    </row>
    <row r="91" spans="1:9" x14ac:dyDescent="0.25">
      <c r="A91" t="s">
        <v>93</v>
      </c>
      <c r="B91">
        <v>7.5999999999999998E-2</v>
      </c>
      <c r="C91" s="4">
        <v>1.9999</v>
      </c>
      <c r="D91">
        <f>B91*(10/C91)*1.6*30*(1/1000000000)*(10000)*(10000)</f>
        <v>1.8240912045602284</v>
      </c>
      <c r="E91">
        <f>(10/C91)*B91</f>
        <v>0.38001900095004748</v>
      </c>
      <c r="F91">
        <f>SUM(D91:D93)</f>
        <v>25.522617229356193</v>
      </c>
      <c r="G91" t="s">
        <v>44</v>
      </c>
      <c r="I91" s="4"/>
    </row>
    <row r="92" spans="1:9" x14ac:dyDescent="0.25">
      <c r="A92" t="s">
        <v>92</v>
      </c>
      <c r="B92">
        <v>0.28100000000000003</v>
      </c>
      <c r="C92" s="4">
        <v>2.0129000000000001</v>
      </c>
      <c r="D92">
        <f>B92*(10/C92)*1.6*30*(1/1000000000)*(10000)*(10000)</f>
        <v>6.7007799691986687</v>
      </c>
      <c r="E92">
        <f>(10/C92)*B92</f>
        <v>1.3959958269163892</v>
      </c>
      <c r="G92" t="s">
        <v>42</v>
      </c>
      <c r="I92" s="4"/>
    </row>
    <row r="93" spans="1:9" x14ac:dyDescent="0.25">
      <c r="A93" t="s">
        <v>91</v>
      </c>
      <c r="B93">
        <v>0.70699999999999996</v>
      </c>
      <c r="C93" s="4">
        <v>1.9964999999999999</v>
      </c>
      <c r="D93">
        <f>B93*(10/C93)*1.6*30*(1/1000000000)*(10000)*(10000)</f>
        <v>16.997746055597297</v>
      </c>
      <c r="E93">
        <f>(10/C93)*B93</f>
        <v>3.5411970949161033</v>
      </c>
      <c r="G93" t="s">
        <v>40</v>
      </c>
      <c r="I93" s="4"/>
    </row>
    <row r="94" spans="1:9" x14ac:dyDescent="0.25">
      <c r="A94" t="s">
        <v>90</v>
      </c>
      <c r="B94">
        <v>0.27500000000000002</v>
      </c>
      <c r="C94" s="4">
        <v>2.0024000000000002</v>
      </c>
      <c r="D94">
        <f>B94*(10/C94)*1.6*30*(1/1000000000)*(10000)*(10000)</f>
        <v>6.5920894926088698</v>
      </c>
      <c r="E94">
        <f>(10/C94)*B94</f>
        <v>1.3733519776268477</v>
      </c>
      <c r="G94" t="s">
        <v>38</v>
      </c>
      <c r="I94" s="4"/>
    </row>
    <row r="95" spans="1:9" x14ac:dyDescent="0.25">
      <c r="A95" t="s">
        <v>89</v>
      </c>
      <c r="B95">
        <v>0.21099999999999999</v>
      </c>
      <c r="C95" s="4">
        <v>1.9832000000000001</v>
      </c>
      <c r="D95">
        <f>B95*(10/C95)*1.6*30*(1/1000000000)*(10000)*(10000)</f>
        <v>5.106897942718839</v>
      </c>
      <c r="E95">
        <f>(10/C95)*B95</f>
        <v>1.063937071399758</v>
      </c>
      <c r="F95">
        <f>SUM(D95:D97)</f>
        <v>42.6999997330729</v>
      </c>
      <c r="G95" t="s">
        <v>44</v>
      </c>
      <c r="I95" s="4"/>
    </row>
    <row r="96" spans="1:9" x14ac:dyDescent="0.25">
      <c r="A96" t="s">
        <v>88</v>
      </c>
      <c r="B96">
        <v>0.60299999999999998</v>
      </c>
      <c r="C96" s="4">
        <v>2.0102000000000002</v>
      </c>
      <c r="D96">
        <f>B96*(10/C96)*1.6*30*(1/1000000000)*(10000)*(10000)</f>
        <v>14.398567306735647</v>
      </c>
      <c r="E96">
        <f>(10/C96)*B96</f>
        <v>2.999701522236593</v>
      </c>
      <c r="G96" t="s">
        <v>42</v>
      </c>
      <c r="I96" s="4"/>
    </row>
    <row r="97" spans="1:9" x14ac:dyDescent="0.25">
      <c r="A97" t="s">
        <v>87</v>
      </c>
      <c r="B97">
        <v>0.96899999999999997</v>
      </c>
      <c r="C97" s="4">
        <v>2.0053000000000001</v>
      </c>
      <c r="D97">
        <f>B97*(10/C97)*1.6*30*(1/1000000000)*(10000)*(10000)</f>
        <v>23.194534483618412</v>
      </c>
      <c r="E97">
        <f>(10/C97)*B97</f>
        <v>4.8321946840871686</v>
      </c>
      <c r="G97" t="s">
        <v>40</v>
      </c>
      <c r="I97" s="4"/>
    </row>
    <row r="98" spans="1:9" x14ac:dyDescent="0.25">
      <c r="A98" t="s">
        <v>86</v>
      </c>
      <c r="B98">
        <v>0.38100000000000001</v>
      </c>
      <c r="C98" s="4">
        <v>1.9898</v>
      </c>
      <c r="D98">
        <f>B98*(10/C98)*1.6*30*(1/1000000000)*(10000)*(10000)</f>
        <v>9.1908734546185578</v>
      </c>
      <c r="E98">
        <f>(10/C98)*B98</f>
        <v>1.9147653030455323</v>
      </c>
      <c r="G98" t="s">
        <v>38</v>
      </c>
      <c r="I98" s="4"/>
    </row>
    <row r="99" spans="1:9" x14ac:dyDescent="0.25">
      <c r="A99" t="s">
        <v>85</v>
      </c>
      <c r="B99">
        <v>0.17299999999999999</v>
      </c>
      <c r="C99" s="4">
        <v>2.0196000000000001</v>
      </c>
      <c r="D99">
        <f>B99*(10/C99)*1.6*30*(1/1000000000)*(10000)*(10000)</f>
        <v>4.1117052881758767</v>
      </c>
      <c r="E99">
        <f>(10/C99)*B99</f>
        <v>0.85660526836997419</v>
      </c>
      <c r="F99">
        <f>SUM(D99:D101)</f>
        <v>15.40474464718206</v>
      </c>
      <c r="G99" t="s">
        <v>44</v>
      </c>
      <c r="I99" s="4"/>
    </row>
    <row r="100" spans="1:9" x14ac:dyDescent="0.25">
      <c r="A100" t="s">
        <v>84</v>
      </c>
      <c r="B100">
        <v>0.222</v>
      </c>
      <c r="C100" s="4">
        <v>2.0154000000000001</v>
      </c>
      <c r="D100">
        <f>B100*(10/C100)*1.6*30*(1/1000000000)*(10000)*(10000)</f>
        <v>5.2872878832986014</v>
      </c>
      <c r="E100">
        <f>(10/C100)*B100</f>
        <v>1.1015183090205418</v>
      </c>
      <c r="G100" t="s">
        <v>42</v>
      </c>
      <c r="I100" s="4"/>
    </row>
    <row r="101" spans="1:9" x14ac:dyDescent="0.25">
      <c r="A101" t="s">
        <v>83</v>
      </c>
      <c r="B101">
        <v>0.248</v>
      </c>
      <c r="C101" s="4">
        <v>1.9821</v>
      </c>
      <c r="D101">
        <f>B101*(10/C101)*1.6*30*(1/1000000000)*(10000)*(10000)</f>
        <v>6.0057514757075827</v>
      </c>
      <c r="E101">
        <f>(10/C101)*B101</f>
        <v>1.2511982241057464</v>
      </c>
      <c r="G101" t="s">
        <v>40</v>
      </c>
      <c r="I101" s="4"/>
    </row>
    <row r="102" spans="1:9" x14ac:dyDescent="0.25">
      <c r="A102" t="s">
        <v>82</v>
      </c>
      <c r="B102">
        <v>0.246</v>
      </c>
      <c r="C102" s="4">
        <v>2.0131999999999999</v>
      </c>
      <c r="D102">
        <f>B102*(10/C102)*1.6*30*(1/1000000000)*(10000)*(10000)</f>
        <v>5.8652890919928478</v>
      </c>
      <c r="E102">
        <f>(10/C102)*B102</f>
        <v>1.2219352274985098</v>
      </c>
      <c r="G102" t="s">
        <v>38</v>
      </c>
      <c r="I102" s="4"/>
    </row>
    <row r="103" spans="1:9" x14ac:dyDescent="0.25">
      <c r="A103" t="s">
        <v>81</v>
      </c>
      <c r="B103">
        <v>0.313</v>
      </c>
      <c r="C103" s="4">
        <v>1.9912000000000001</v>
      </c>
      <c r="D103">
        <f>B103*(10/C103)*1.6*30*(1/1000000000)*(10000)*(10000)</f>
        <v>7.5451988750502217</v>
      </c>
      <c r="E103">
        <f>(10/C103)*B103</f>
        <v>1.5719164323021293</v>
      </c>
      <c r="F103">
        <f>SUM(D103:D105)</f>
        <v>47.017721755503935</v>
      </c>
      <c r="G103" t="s">
        <v>44</v>
      </c>
      <c r="I103" s="4"/>
    </row>
    <row r="104" spans="1:9" x14ac:dyDescent="0.25">
      <c r="A104" t="s">
        <v>80</v>
      </c>
      <c r="B104">
        <v>1.1479999999999999</v>
      </c>
      <c r="C104" s="4">
        <v>1.9998</v>
      </c>
      <c r="D104">
        <f>B104*(10/C104)*1.6*30*(1/1000000000)*(10000)*(10000)</f>
        <v>27.554755475547559</v>
      </c>
      <c r="E104">
        <f>(10/C104)*B104</f>
        <v>5.7405740574057402</v>
      </c>
      <c r="G104" t="s">
        <v>42</v>
      </c>
      <c r="I104" s="4"/>
    </row>
    <row r="105" spans="1:9" x14ac:dyDescent="0.25">
      <c r="A105" t="s">
        <v>79</v>
      </c>
      <c r="B105">
        <v>0.5</v>
      </c>
      <c r="C105" s="4">
        <v>2.0137999999999998</v>
      </c>
      <c r="D105">
        <f>B105*(10/C105)*1.6*30*(1/1000000000)*(10000)*(10000)</f>
        <v>11.917767404906151</v>
      </c>
      <c r="E105">
        <f>(10/C105)*B105</f>
        <v>2.4828682093554475</v>
      </c>
      <c r="G105" t="s">
        <v>40</v>
      </c>
      <c r="I105" s="4"/>
    </row>
    <row r="106" spans="1:9" x14ac:dyDescent="0.25">
      <c r="A106" t="s">
        <v>78</v>
      </c>
      <c r="B106">
        <v>0.57099999999999995</v>
      </c>
      <c r="C106" s="4">
        <v>1.9857</v>
      </c>
      <c r="D106">
        <f>B106*(10/C106)*1.6*30*(1/1000000000)*(10000)*(10000)</f>
        <v>13.802689227980061</v>
      </c>
      <c r="E106">
        <f>(10/C106)*B106</f>
        <v>2.8755602558291784</v>
      </c>
      <c r="G106" t="s">
        <v>38</v>
      </c>
      <c r="I106" s="4"/>
    </row>
    <row r="107" spans="1:9" x14ac:dyDescent="0.25">
      <c r="A107" t="s">
        <v>77</v>
      </c>
      <c r="B107">
        <v>0.318</v>
      </c>
      <c r="C107" s="4">
        <v>1.9943</v>
      </c>
      <c r="D107">
        <f>B107*(10/C107)*1.6*30*(1/1000000000)*(10000)*(10000)</f>
        <v>7.6538133680990832</v>
      </c>
      <c r="E107">
        <f>(10/C107)*B107</f>
        <v>1.5945444516873089</v>
      </c>
      <c r="F107">
        <f>SUM(D107:D109)</f>
        <v>40.83580401951226</v>
      </c>
      <c r="G107" t="s">
        <v>44</v>
      </c>
      <c r="I107" s="4"/>
    </row>
    <row r="108" spans="1:9" x14ac:dyDescent="0.25">
      <c r="A108" t="s">
        <v>76</v>
      </c>
      <c r="B108">
        <v>0.78300000000000003</v>
      </c>
      <c r="C108" s="4">
        <v>1.9834000000000001</v>
      </c>
      <c r="D108">
        <f>B108*(10/C108)*1.6*30*(1/1000000000)*(10000)*(10000)</f>
        <v>18.949279015831401</v>
      </c>
      <c r="E108">
        <f>(10/C108)*B108</f>
        <v>3.947766461631542</v>
      </c>
      <c r="G108" t="s">
        <v>42</v>
      </c>
      <c r="I108" s="4"/>
    </row>
    <row r="109" spans="1:9" x14ac:dyDescent="0.25">
      <c r="A109" t="s">
        <v>75</v>
      </c>
      <c r="B109">
        <v>0.59299999999999997</v>
      </c>
      <c r="C109" s="4">
        <v>1.9999</v>
      </c>
      <c r="D109">
        <f>B109*(10/C109)*1.6*30*(1/1000000000)*(10000)*(10000)</f>
        <v>14.232711635581778</v>
      </c>
      <c r="E109">
        <f>(10/C109)*B109</f>
        <v>2.9651482574128702</v>
      </c>
      <c r="G109" t="s">
        <v>40</v>
      </c>
      <c r="I109" s="4"/>
    </row>
    <row r="110" spans="1:9" x14ac:dyDescent="0.25">
      <c r="A110" t="s">
        <v>74</v>
      </c>
      <c r="B110">
        <v>0.10299999999999999</v>
      </c>
      <c r="C110" s="4">
        <v>1.9914000000000001</v>
      </c>
      <c r="D110">
        <f>B110*(10/C110)*1.6*30*(1/1000000000)*(10000)*(10000)</f>
        <v>2.4826755046700812</v>
      </c>
      <c r="E110">
        <f>(10/C110)*B110</f>
        <v>0.51722406347293359</v>
      </c>
      <c r="G110" t="s">
        <v>38</v>
      </c>
      <c r="I110" s="4"/>
    </row>
    <row r="111" spans="1:9" x14ac:dyDescent="0.25">
      <c r="A111" t="s">
        <v>73</v>
      </c>
      <c r="B111">
        <v>5.2999999999999999E-2</v>
      </c>
      <c r="C111" s="4">
        <v>1.9881</v>
      </c>
      <c r="D111">
        <f>B111*(10/C111)*1.6*30*(1/1000000000)*(10000)*(10000)</f>
        <v>1.2796137015240683</v>
      </c>
      <c r="E111">
        <f>(10/C111)*B111</f>
        <v>0.2665861878175142</v>
      </c>
      <c r="F111">
        <f>SUM(D111:D113)</f>
        <v>5.3970427962662786</v>
      </c>
      <c r="G111" t="s">
        <v>44</v>
      </c>
      <c r="I111" s="4"/>
    </row>
    <row r="112" spans="1:9" x14ac:dyDescent="0.25">
      <c r="A112" t="s">
        <v>72</v>
      </c>
      <c r="B112">
        <v>0.04</v>
      </c>
      <c r="C112" s="4">
        <v>2.0171000000000001</v>
      </c>
      <c r="D112">
        <f>B112*(10/C112)*1.6*30*(1/1000000000)*(10000)*(10000)</f>
        <v>0.95186158346140504</v>
      </c>
      <c r="E112">
        <f>(10/C112)*B112</f>
        <v>0.19830449655445936</v>
      </c>
      <c r="G112" t="s">
        <v>42</v>
      </c>
      <c r="I112" s="4"/>
    </row>
    <row r="113" spans="1:9" x14ac:dyDescent="0.25">
      <c r="A113" t="s">
        <v>71</v>
      </c>
      <c r="B113">
        <v>0.13300000000000001</v>
      </c>
      <c r="C113" s="4">
        <v>2.0167000000000002</v>
      </c>
      <c r="D113">
        <f>B113*(10/C113)*1.6*30*(1/1000000000)*(10000)*(10000)</f>
        <v>3.1655675112808055</v>
      </c>
      <c r="E113">
        <f>(10/C113)*B113</f>
        <v>0.65949323151683448</v>
      </c>
      <c r="G113" t="s">
        <v>40</v>
      </c>
      <c r="I113" s="4"/>
    </row>
    <row r="114" spans="1:9" x14ac:dyDescent="0.25">
      <c r="A114" t="s">
        <v>70</v>
      </c>
      <c r="B114">
        <v>0.42799999999999999</v>
      </c>
      <c r="C114" s="4">
        <v>1.9822</v>
      </c>
      <c r="D114">
        <f>B114*(10/C114)*1.6*30*(1/1000000000)*(10000)*(10000)</f>
        <v>10.364241751589145</v>
      </c>
      <c r="E114">
        <f>(10/C114)*B114</f>
        <v>2.1592170315810715</v>
      </c>
      <c r="G114" t="s">
        <v>38</v>
      </c>
      <c r="I114" s="4"/>
    </row>
    <row r="115" spans="1:9" x14ac:dyDescent="0.25">
      <c r="A115" t="s">
        <v>69</v>
      </c>
      <c r="B115">
        <v>1.746</v>
      </c>
      <c r="C115" s="4">
        <v>1.9870000000000001</v>
      </c>
      <c r="D115">
        <f>B115*(10/C115)*1.6*30*(1/1000000000)*(10000)*(10000)</f>
        <v>42.178158027176657</v>
      </c>
      <c r="E115">
        <f>(10/C115)*B115</f>
        <v>8.7871162556618021</v>
      </c>
      <c r="F115">
        <f>SUM(D115:D117)</f>
        <v>104.52718618711097</v>
      </c>
      <c r="G115" t="s">
        <v>44</v>
      </c>
      <c r="I115" s="4"/>
    </row>
    <row r="116" spans="1:9" x14ac:dyDescent="0.25">
      <c r="A116" t="s">
        <v>68</v>
      </c>
      <c r="B116">
        <v>2.1520000000000001</v>
      </c>
      <c r="C116" s="4">
        <v>2.0063</v>
      </c>
      <c r="D116">
        <f>B116*(10/C116)*1.6*30*(1/1000000000)*(10000)*(10000)</f>
        <v>51.485819668045671</v>
      </c>
      <c r="E116">
        <f>(10/C116)*B116</f>
        <v>10.726212430842846</v>
      </c>
      <c r="G116" t="s">
        <v>42</v>
      </c>
      <c r="I116" s="4"/>
    </row>
    <row r="117" spans="1:9" x14ac:dyDescent="0.25">
      <c r="A117" t="s">
        <v>67</v>
      </c>
      <c r="B117">
        <v>0.45200000000000001</v>
      </c>
      <c r="C117" s="4">
        <v>1.9972000000000001</v>
      </c>
      <c r="D117">
        <f>B117*(10/C117)*1.6*30*(1/1000000000)*(10000)*(10000)</f>
        <v>10.863208491888644</v>
      </c>
      <c r="E117">
        <f>(10/C117)*B117</f>
        <v>2.2631684358101345</v>
      </c>
      <c r="G117" t="s">
        <v>40</v>
      </c>
      <c r="I117" s="4"/>
    </row>
    <row r="118" spans="1:9" x14ac:dyDescent="0.25">
      <c r="A118" t="s">
        <v>66</v>
      </c>
      <c r="B118">
        <v>0.435</v>
      </c>
      <c r="C118" s="4">
        <v>1.9951000000000001</v>
      </c>
      <c r="D118">
        <f>B118*(10/C118)*1.6*30*(1/1000000000)*(10000)*(10000)</f>
        <v>10.465640820009025</v>
      </c>
      <c r="E118">
        <f>(10/C118)*B118</f>
        <v>2.1803418375018797</v>
      </c>
      <c r="G118" t="s">
        <v>38</v>
      </c>
      <c r="I118" s="4"/>
    </row>
    <row r="119" spans="1:9" x14ac:dyDescent="0.25">
      <c r="A119" t="s">
        <v>65</v>
      </c>
      <c r="B119">
        <v>0.82399999999999995</v>
      </c>
      <c r="C119" s="4">
        <v>1.9914000000000001</v>
      </c>
      <c r="D119">
        <f>B119*(10/C119)*1.6*30*(1/1000000000)*(10000)*(10000)</f>
        <v>19.86140403736065</v>
      </c>
      <c r="E119">
        <f>(10/C119)*B119</f>
        <v>4.1377925077834687</v>
      </c>
      <c r="F119">
        <f>SUM(D119:D121)</f>
        <v>66.296278686906078</v>
      </c>
      <c r="G119" t="s">
        <v>44</v>
      </c>
      <c r="I119" s="4"/>
    </row>
    <row r="120" spans="1:9" x14ac:dyDescent="0.25">
      <c r="A120" t="s">
        <v>64</v>
      </c>
      <c r="B120">
        <v>1.4690000000000001</v>
      </c>
      <c r="C120" s="4">
        <v>1.9882</v>
      </c>
      <c r="D120">
        <f>B120*(10/C120)*1.6*30*(1/1000000000)*(10000)*(10000)</f>
        <v>35.465244945176551</v>
      </c>
      <c r="E120">
        <f>(10/C120)*B120</f>
        <v>7.3885926969117808</v>
      </c>
      <c r="G120" t="s">
        <v>42</v>
      </c>
      <c r="I120" s="4"/>
    </row>
    <row r="121" spans="1:9" x14ac:dyDescent="0.25">
      <c r="A121" t="s">
        <v>63</v>
      </c>
      <c r="B121">
        <v>0.45300000000000001</v>
      </c>
      <c r="C121" s="4">
        <v>1.9822</v>
      </c>
      <c r="D121">
        <f>B121*(10/C121)*1.6*30*(1/1000000000)*(10000)*(10000)</f>
        <v>10.969629704368883</v>
      </c>
      <c r="E121">
        <f>(10/C121)*B121</f>
        <v>2.2853395217435173</v>
      </c>
      <c r="G121" t="s">
        <v>40</v>
      </c>
      <c r="I121" s="4"/>
    </row>
    <row r="122" spans="1:9" x14ac:dyDescent="0.25">
      <c r="A122" t="s">
        <v>62</v>
      </c>
      <c r="B122">
        <v>0.28499999999999998</v>
      </c>
      <c r="C122" s="4">
        <v>1.9854000000000001</v>
      </c>
      <c r="D122">
        <f>B122*(10/C122)*1.6*30*(1/1000000000)*(10000)*(10000)</f>
        <v>6.8902991840435179</v>
      </c>
      <c r="E122">
        <f>(10/C122)*B122</f>
        <v>1.4354789966757326</v>
      </c>
      <c r="G122" t="s">
        <v>38</v>
      </c>
      <c r="I122" s="4"/>
    </row>
    <row r="123" spans="1:9" x14ac:dyDescent="0.25">
      <c r="A123" t="s">
        <v>61</v>
      </c>
      <c r="B123">
        <v>7.6999999999999999E-2</v>
      </c>
      <c r="C123" s="4">
        <v>2.0198</v>
      </c>
      <c r="D123">
        <f>B123*(10/C123)*1.6*30*(1/1000000000)*(10000)*(10000)</f>
        <v>1.829884146945242</v>
      </c>
      <c r="E123">
        <f>(10/C123)*B123</f>
        <v>0.38122586394692543</v>
      </c>
      <c r="F123">
        <f>SUM(D123:D125)</f>
        <v>41.650778700689727</v>
      </c>
      <c r="G123" t="s">
        <v>44</v>
      </c>
      <c r="I123" s="4"/>
    </row>
    <row r="124" spans="1:9" x14ac:dyDescent="0.25">
      <c r="A124" t="s">
        <v>60</v>
      </c>
      <c r="B124">
        <v>0.65500000000000003</v>
      </c>
      <c r="C124" s="4">
        <v>1.9970000000000001</v>
      </c>
      <c r="D124">
        <f>B124*(10/C124)*1.6*30*(1/1000000000)*(10000)*(10000)</f>
        <v>15.743615423134703</v>
      </c>
      <c r="E124">
        <f>(10/C124)*B124</f>
        <v>3.2799198798197291</v>
      </c>
      <c r="G124" t="s">
        <v>42</v>
      </c>
      <c r="I124" s="4"/>
    </row>
    <row r="125" spans="1:9" x14ac:dyDescent="0.25">
      <c r="A125" t="s">
        <v>59</v>
      </c>
      <c r="B125">
        <v>0.997</v>
      </c>
      <c r="C125" s="4">
        <v>1.9876</v>
      </c>
      <c r="D125">
        <f>B125*(10/C125)*1.6*30*(1/1000000000)*(10000)*(10000)</f>
        <v>24.077279130609778</v>
      </c>
      <c r="E125">
        <f>(10/C125)*B125</f>
        <v>5.0160998188770369</v>
      </c>
      <c r="G125" t="s">
        <v>40</v>
      </c>
      <c r="I125" s="4"/>
    </row>
    <row r="126" spans="1:9" x14ac:dyDescent="0.25">
      <c r="A126" t="s">
        <v>58</v>
      </c>
      <c r="B126">
        <v>0.19500000000000001</v>
      </c>
      <c r="C126" s="4">
        <v>1.9987999999999999</v>
      </c>
      <c r="D126">
        <f>B126*(10/C126)*1.6*30*(1/1000000000)*(10000)*(10000)</f>
        <v>4.6828096858114874</v>
      </c>
      <c r="E126">
        <f>(10/C126)*B126</f>
        <v>0.97558535121072643</v>
      </c>
      <c r="G126" t="s">
        <v>38</v>
      </c>
      <c r="I126" s="4"/>
    </row>
    <row r="127" spans="1:9" x14ac:dyDescent="0.25">
      <c r="A127" t="s">
        <v>57</v>
      </c>
      <c r="B127">
        <v>0.14699999999999999</v>
      </c>
      <c r="C127" s="4">
        <v>1.9966999999999999</v>
      </c>
      <c r="D127">
        <f>B127*(10/C127)*1.6*30*(1/1000000000)*(10000)*(10000)</f>
        <v>3.5338308208544094</v>
      </c>
      <c r="E127">
        <f>(10/C127)*B127</f>
        <v>0.73621475434466865</v>
      </c>
      <c r="F127">
        <f>SUM(D127:D129)</f>
        <v>44.181869515780683</v>
      </c>
      <c r="G127" t="s">
        <v>44</v>
      </c>
      <c r="I127" s="4"/>
    </row>
    <row r="128" spans="1:9" x14ac:dyDescent="0.25">
      <c r="A128" t="s">
        <v>56</v>
      </c>
      <c r="B128">
        <v>0.78300000000000003</v>
      </c>
      <c r="C128" s="4">
        <v>1.9846999999999999</v>
      </c>
      <c r="D128">
        <f>B128*(10/C128)*1.6*30*(1/1000000000)*(10000)*(10000)</f>
        <v>18.936867032800929</v>
      </c>
      <c r="E128">
        <f>(10/C128)*B128</f>
        <v>3.9451806318335265</v>
      </c>
      <c r="G128" t="s">
        <v>42</v>
      </c>
      <c r="I128" s="4"/>
    </row>
    <row r="129" spans="1:12" x14ac:dyDescent="0.25">
      <c r="A129" t="s">
        <v>55</v>
      </c>
      <c r="B129">
        <v>0.91300000000000003</v>
      </c>
      <c r="C129" s="4">
        <v>2.0185</v>
      </c>
      <c r="D129">
        <f>B129*(10/C129)*1.6*30*(1/1000000000)*(10000)*(10000)</f>
        <v>21.711171662125345</v>
      </c>
      <c r="E129">
        <f>(10/C129)*B129</f>
        <v>4.523160762942779</v>
      </c>
      <c r="G129" t="s">
        <v>40</v>
      </c>
      <c r="I129" s="4"/>
    </row>
    <row r="130" spans="1:12" x14ac:dyDescent="0.25">
      <c r="A130" t="s">
        <v>54</v>
      </c>
      <c r="B130">
        <v>1.4119999999999999</v>
      </c>
      <c r="C130" s="4">
        <v>1.9985999999999999</v>
      </c>
      <c r="D130">
        <f>B130*(10/C130)*1.6*30*(1/1000000000)*(10000)*(10000)</f>
        <v>33.911738216751729</v>
      </c>
      <c r="E130">
        <f>(10/C130)*B130</f>
        <v>7.0649454618232763</v>
      </c>
      <c r="G130" t="s">
        <v>38</v>
      </c>
      <c r="I130" s="4"/>
    </row>
    <row r="131" spans="1:12" x14ac:dyDescent="0.25">
      <c r="A131" t="s">
        <v>53</v>
      </c>
      <c r="B131">
        <v>0.377</v>
      </c>
      <c r="C131" s="4">
        <v>2.0042</v>
      </c>
      <c r="D131">
        <f>B131*(10/C131)*1.6*30*(1/1000000000)*(10000)*(10000)</f>
        <v>9.0290390180620701</v>
      </c>
      <c r="E131">
        <f>(10/C131)*B131</f>
        <v>1.8810497954295979</v>
      </c>
      <c r="F131">
        <f>SUM(D131:D133)</f>
        <v>83.738894780528696</v>
      </c>
      <c r="G131" t="s">
        <v>44</v>
      </c>
      <c r="I131" s="4"/>
    </row>
    <row r="132" spans="1:12" x14ac:dyDescent="0.25">
      <c r="A132" t="s">
        <v>52</v>
      </c>
      <c r="B132">
        <v>1.851</v>
      </c>
      <c r="C132" s="4">
        <v>1.9959</v>
      </c>
      <c r="D132">
        <f>B132*(10/C132)*1.6*30*(1/1000000000)*(10000)*(10000)</f>
        <v>44.515256275364493</v>
      </c>
      <c r="E132">
        <f>(10/C132)*B132</f>
        <v>9.2740117240342688</v>
      </c>
      <c r="G132" t="s">
        <v>42</v>
      </c>
      <c r="I132" s="4"/>
    </row>
    <row r="133" spans="1:12" x14ac:dyDescent="0.25">
      <c r="A133" t="s">
        <v>51</v>
      </c>
      <c r="B133">
        <v>1.2509999999999999</v>
      </c>
      <c r="C133" s="4">
        <v>1.9886999999999999</v>
      </c>
      <c r="D133">
        <f>B133*(10/C133)*1.6*30*(1/1000000000)*(10000)*(10000)</f>
        <v>30.194599487102128</v>
      </c>
      <c r="E133">
        <f>(10/C133)*B133</f>
        <v>6.2905415598129428</v>
      </c>
      <c r="G133" t="s">
        <v>40</v>
      </c>
      <c r="I133" s="4"/>
    </row>
    <row r="134" spans="1:12" x14ac:dyDescent="0.25">
      <c r="A134" t="s">
        <v>50</v>
      </c>
      <c r="B134">
        <v>0.65100000000000002</v>
      </c>
      <c r="C134" s="4">
        <v>2.0013000000000001</v>
      </c>
      <c r="D134">
        <f>B134*(10/C134)*1.6*30*(1/1000000000)*(10000)*(10000)</f>
        <v>15.613850996852046</v>
      </c>
      <c r="E134">
        <f>(10/C134)*B134</f>
        <v>3.2528856243441759</v>
      </c>
      <c r="G134" t="s">
        <v>38</v>
      </c>
      <c r="I134" s="4"/>
    </row>
    <row r="135" spans="1:12" x14ac:dyDescent="0.25">
      <c r="A135" t="s">
        <v>49</v>
      </c>
      <c r="B135">
        <v>7.3999999999999996E-2</v>
      </c>
      <c r="C135" s="4">
        <v>1.9917</v>
      </c>
      <c r="D135">
        <f>B135*(10/C135)*1.6*30*(1/1000000000)*(10000)*(10000)</f>
        <v>1.7834011146256967</v>
      </c>
      <c r="E135">
        <f>(10/C135)*B135</f>
        <v>0.37154189888035344</v>
      </c>
      <c r="F135">
        <f>SUM(D135:D137)</f>
        <v>26.344720733070993</v>
      </c>
      <c r="G135" t="s">
        <v>44</v>
      </c>
      <c r="I135" s="4"/>
    </row>
    <row r="136" spans="1:12" x14ac:dyDescent="0.25">
      <c r="A136" t="s">
        <v>48</v>
      </c>
      <c r="B136">
        <v>0.27</v>
      </c>
      <c r="C136" s="4">
        <v>2.0019999999999998</v>
      </c>
      <c r="D136">
        <f>B136*(10/C136)*1.6*30*(1/1000000000)*(10000)*(10000)</f>
        <v>6.4735264735264755</v>
      </c>
      <c r="E136">
        <f>(10/C136)*B136</f>
        <v>1.3486513486513489</v>
      </c>
      <c r="G136" t="s">
        <v>42</v>
      </c>
      <c r="I136" s="4"/>
    </row>
    <row r="137" spans="1:12" x14ac:dyDescent="0.25">
      <c r="A137" t="s">
        <v>47</v>
      </c>
      <c r="B137">
        <v>0.752</v>
      </c>
      <c r="C137" s="4">
        <v>1.9956</v>
      </c>
      <c r="D137">
        <f>B137*(10/C137)*1.6*30*(1/1000000000)*(10000)*(10000)</f>
        <v>18.087793144918823</v>
      </c>
      <c r="E137">
        <f>(10/C137)*B137</f>
        <v>3.7682902385247545</v>
      </c>
      <c r="G137" t="s">
        <v>40</v>
      </c>
      <c r="I137" s="4"/>
    </row>
    <row r="138" spans="1:12" x14ac:dyDescent="0.25">
      <c r="A138" t="s">
        <v>46</v>
      </c>
      <c r="B138">
        <v>0.442</v>
      </c>
      <c r="C138" s="4">
        <v>2.0002</v>
      </c>
      <c r="D138">
        <f>B138*(10/C138)*1.6*30*(1/1000000000)*(10000)*(10000)</f>
        <v>10.606939306069398</v>
      </c>
      <c r="E138">
        <f>(10/C138)*B138</f>
        <v>2.2097790220977904</v>
      </c>
      <c r="G138" t="s">
        <v>38</v>
      </c>
      <c r="I138" s="4"/>
    </row>
    <row r="140" spans="1:12" x14ac:dyDescent="0.25">
      <c r="C140" t="s">
        <v>45</v>
      </c>
      <c r="D140" t="s">
        <v>44</v>
      </c>
      <c r="E140">
        <f>AVERAGEIFS($E$11:$E$138,$G$11:$G$138,D140)</f>
        <v>4.2260816538161734</v>
      </c>
      <c r="H140">
        <v>5</v>
      </c>
      <c r="I140" s="3">
        <f>E140</f>
        <v>4.2260816538161734</v>
      </c>
      <c r="K140">
        <v>20</v>
      </c>
      <c r="L140" s="3">
        <f>E140</f>
        <v>4.2260816538161734</v>
      </c>
    </row>
    <row r="141" spans="1:12" x14ac:dyDescent="0.25">
      <c r="C141" t="s">
        <v>43</v>
      </c>
      <c r="D141" t="s">
        <v>42</v>
      </c>
      <c r="E141">
        <f>AVERAGEIFS($E$11:$E$138,$G$11:$G$138,D141)</f>
        <v>4.3681403250219928</v>
      </c>
      <c r="H141">
        <v>15</v>
      </c>
      <c r="I141" s="3">
        <f>E140</f>
        <v>4.2260816538161734</v>
      </c>
      <c r="K141">
        <v>40</v>
      </c>
      <c r="L141" s="3">
        <f>AVERAGE(E140:E141)</f>
        <v>4.2971109894190835</v>
      </c>
    </row>
    <row r="142" spans="1:12" x14ac:dyDescent="0.25">
      <c r="C142" t="s">
        <v>41</v>
      </c>
      <c r="D142" t="s">
        <v>40</v>
      </c>
      <c r="E142">
        <f>AVERAGEIFS($E$11:$E$138,$G$11:$G$138,D142)</f>
        <v>2.6316947278747693</v>
      </c>
      <c r="H142">
        <v>30</v>
      </c>
      <c r="I142" s="3">
        <f>E140</f>
        <v>4.2260816538161734</v>
      </c>
      <c r="K142">
        <v>60</v>
      </c>
      <c r="L142" s="3">
        <f>E141</f>
        <v>4.3681403250219928</v>
      </c>
    </row>
    <row r="143" spans="1:12" x14ac:dyDescent="0.25">
      <c r="C143" t="s">
        <v>39</v>
      </c>
      <c r="D143" t="s">
        <v>38</v>
      </c>
      <c r="E143">
        <f>AVERAGEIFS($E$11:$E$138,$G$11:$G$138,D143)</f>
        <v>2.0130307542690944</v>
      </c>
      <c r="H143">
        <v>45</v>
      </c>
      <c r="I143" s="3">
        <f>E141</f>
        <v>4.3681403250219928</v>
      </c>
      <c r="K143">
        <v>80</v>
      </c>
      <c r="L143" s="3">
        <f>E142</f>
        <v>2.6316947278747693</v>
      </c>
    </row>
    <row r="144" spans="1:12" x14ac:dyDescent="0.25">
      <c r="H144">
        <v>60</v>
      </c>
      <c r="I144" s="3">
        <f>E141</f>
        <v>4.3681403250219928</v>
      </c>
      <c r="K144">
        <v>100</v>
      </c>
      <c r="L144" s="3">
        <f>AVERAGE(E142:E143)</f>
        <v>2.3223627410719319</v>
      </c>
    </row>
    <row r="145" spans="8:12" x14ac:dyDescent="0.25">
      <c r="H145">
        <v>90</v>
      </c>
      <c r="I145" s="3">
        <f>E142</f>
        <v>2.6316947278747693</v>
      </c>
      <c r="K145">
        <v>120</v>
      </c>
      <c r="L145" s="3">
        <f>E143</f>
        <v>2.0130307542690944</v>
      </c>
    </row>
    <row r="146" spans="8:12" x14ac:dyDescent="0.25">
      <c r="H146">
        <v>120</v>
      </c>
      <c r="I146" s="3">
        <f>E143</f>
        <v>2.0130307542690944</v>
      </c>
      <c r="K146">
        <v>140</v>
      </c>
      <c r="L146" s="3">
        <f>L145</f>
        <v>2.0130307542690944</v>
      </c>
    </row>
    <row r="147" spans="8:12" x14ac:dyDescent="0.25">
      <c r="H147">
        <v>150</v>
      </c>
      <c r="I147" s="3">
        <f>I146</f>
        <v>2.0130307542690944</v>
      </c>
      <c r="K147">
        <v>160</v>
      </c>
      <c r="L147" s="3">
        <f>L146</f>
        <v>2.0130307542690944</v>
      </c>
    </row>
    <row r="148" spans="8:12" x14ac:dyDescent="0.25">
      <c r="H148">
        <v>180</v>
      </c>
      <c r="I148" s="3">
        <f>I147</f>
        <v>2.0130307542690944</v>
      </c>
      <c r="K148">
        <v>180</v>
      </c>
      <c r="L148" s="3">
        <f>L147</f>
        <v>2.0130307542690944</v>
      </c>
    </row>
    <row r="149" spans="8:12" x14ac:dyDescent="0.25">
      <c r="H149">
        <v>210</v>
      </c>
      <c r="I149" s="3">
        <f>I148</f>
        <v>2.0130307542690944</v>
      </c>
      <c r="K149">
        <v>200</v>
      </c>
      <c r="L149" s="3">
        <f>L148</f>
        <v>2.0130307542690944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F13 Mar 2016 Thorp 1st 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2025-07-03T16:42:34Z</dcterms:created>
  <dcterms:modified xsi:type="dcterms:W3CDTF">2025-07-03T16:43:36Z</dcterms:modified>
</cp:coreProperties>
</file>