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tool\tool\Data\2016_F013B4_CO_ITR\"/>
    </mc:Choice>
  </mc:AlternateContent>
  <xr:revisionPtr revIDLastSave="0" documentId="13_ncr:1_{B9E22C15-32A4-4A0F-BD45-52E8B4BEC83E}" xr6:coauthVersionLast="47" xr6:coauthVersionMax="47" xr10:uidLastSave="{00000000-0000-0000-0000-000000000000}"/>
  <bookViews>
    <workbookView xWindow="-4590" yWindow="-28920" windowWidth="18240" windowHeight="29040" xr2:uid="{5485CBB2-C13A-4C0B-BAC8-38661C175E52}"/>
  </bookViews>
  <sheets>
    <sheet name="Raw Scale" sheetId="1" r:id="rId1"/>
    <sheet name="Plot Scale" sheetId="2" r:id="rId2"/>
    <sheet name="Compa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21" i="1" l="1"/>
  <c r="AT176" i="1"/>
  <c r="AR176" i="1"/>
  <c r="AQ176" i="1"/>
  <c r="AS176" i="1" s="1"/>
  <c r="AU176" i="1" s="1"/>
  <c r="AP176" i="1"/>
  <c r="AK176" i="1"/>
  <c r="AI176" i="1"/>
  <c r="BH233" i="1"/>
  <c r="BG233" i="1"/>
  <c r="BF233" i="1"/>
  <c r="BE233" i="1"/>
  <c r="BD233" i="1"/>
  <c r="BC233" i="1"/>
  <c r="BB233" i="1"/>
  <c r="BH230" i="1"/>
  <c r="BG230" i="1"/>
  <c r="BF230" i="1"/>
  <c r="BE230" i="1"/>
  <c r="BD230" i="1"/>
  <c r="BC230" i="1"/>
  <c r="BB230" i="1"/>
  <c r="BH227" i="1"/>
  <c r="BG227" i="1"/>
  <c r="BF227" i="1"/>
  <c r="BE227" i="1"/>
  <c r="BD227" i="1"/>
  <c r="BC227" i="1"/>
  <c r="BB227" i="1"/>
  <c r="BH224" i="1"/>
  <c r="BG224" i="1"/>
  <c r="BF224" i="1"/>
  <c r="BE224" i="1"/>
  <c r="BD224" i="1"/>
  <c r="BC224" i="1"/>
  <c r="BB224" i="1"/>
  <c r="BH221" i="1"/>
  <c r="BG221" i="1"/>
  <c r="BF221" i="1"/>
  <c r="BE221" i="1"/>
  <c r="BD221" i="1"/>
  <c r="BC221" i="1"/>
  <c r="BB221" i="1"/>
  <c r="BH218" i="1"/>
  <c r="BG218" i="1"/>
  <c r="BF218" i="1"/>
  <c r="BE218" i="1"/>
  <c r="BD218" i="1"/>
  <c r="BC218" i="1"/>
  <c r="BB218" i="1"/>
  <c r="BH215" i="1"/>
  <c r="BG215" i="1"/>
  <c r="BF215" i="1"/>
  <c r="BE215" i="1"/>
  <c r="BD215" i="1"/>
  <c r="BC215" i="1"/>
  <c r="BB215" i="1"/>
  <c r="BH212" i="1"/>
  <c r="BG212" i="1"/>
  <c r="BF212" i="1"/>
  <c r="BE212" i="1"/>
  <c r="BD212" i="1"/>
  <c r="BC212" i="1"/>
  <c r="BB212" i="1"/>
  <c r="BH209" i="1"/>
  <c r="BG209" i="1"/>
  <c r="BF209" i="1"/>
  <c r="BE209" i="1"/>
  <c r="BD209" i="1"/>
  <c r="BC209" i="1"/>
  <c r="BB209" i="1"/>
  <c r="BH206" i="1"/>
  <c r="BG206" i="1"/>
  <c r="BF206" i="1"/>
  <c r="BE206" i="1"/>
  <c r="BD206" i="1"/>
  <c r="BC206" i="1"/>
  <c r="BB206" i="1"/>
  <c r="BH203" i="1"/>
  <c r="BG203" i="1"/>
  <c r="BF203" i="1"/>
  <c r="BE203" i="1"/>
  <c r="BD203" i="1"/>
  <c r="BC203" i="1"/>
  <c r="BB203" i="1"/>
  <c r="BH200" i="1"/>
  <c r="BG200" i="1"/>
  <c r="BF200" i="1"/>
  <c r="BE200" i="1"/>
  <c r="BD200" i="1"/>
  <c r="BC200" i="1"/>
  <c r="BB200" i="1"/>
  <c r="BH197" i="1"/>
  <c r="BG197" i="1"/>
  <c r="BF197" i="1"/>
  <c r="BE197" i="1"/>
  <c r="BD197" i="1"/>
  <c r="BC197" i="1"/>
  <c r="BB197" i="1"/>
  <c r="BH194" i="1"/>
  <c r="BG194" i="1"/>
  <c r="BF194" i="1"/>
  <c r="BE194" i="1"/>
  <c r="BD194" i="1"/>
  <c r="BC194" i="1"/>
  <c r="BB194" i="1"/>
  <c r="BH191" i="1"/>
  <c r="BG191" i="1"/>
  <c r="BF191" i="1"/>
  <c r="BE191" i="1"/>
  <c r="BD191" i="1"/>
  <c r="BC191" i="1"/>
  <c r="BB191" i="1"/>
  <c r="BH188" i="1"/>
  <c r="BG188" i="1"/>
  <c r="BF188" i="1"/>
  <c r="BE188" i="1"/>
  <c r="BD188" i="1"/>
  <c r="BC188" i="1"/>
  <c r="BB188" i="1"/>
  <c r="BH185" i="1"/>
  <c r="BG185" i="1"/>
  <c r="BF185" i="1"/>
  <c r="BE185" i="1"/>
  <c r="BD185" i="1"/>
  <c r="BC185" i="1"/>
  <c r="BB185" i="1"/>
  <c r="BH182" i="1"/>
  <c r="BG182" i="1"/>
  <c r="BF182" i="1"/>
  <c r="BE182" i="1"/>
  <c r="BD182" i="1"/>
  <c r="BC182" i="1"/>
  <c r="BB182" i="1"/>
  <c r="BH179" i="1"/>
  <c r="BG179" i="1"/>
  <c r="BF179" i="1"/>
  <c r="BE179" i="1"/>
  <c r="BD179" i="1"/>
  <c r="BC179" i="1"/>
  <c r="BB179" i="1"/>
  <c r="BH176" i="1"/>
  <c r="BG176" i="1"/>
  <c r="BF176" i="1"/>
  <c r="BE176" i="1"/>
  <c r="BD176" i="1"/>
  <c r="BC176" i="1"/>
  <c r="BB176" i="1"/>
  <c r="BH173" i="1"/>
  <c r="BG173" i="1"/>
  <c r="BF173" i="1"/>
  <c r="BE173" i="1"/>
  <c r="BD173" i="1"/>
  <c r="BC173" i="1"/>
  <c r="BB173" i="1"/>
  <c r="BH170" i="1"/>
  <c r="BG170" i="1"/>
  <c r="BF170" i="1"/>
  <c r="BE170" i="1"/>
  <c r="BD170" i="1"/>
  <c r="BC170" i="1"/>
  <c r="BB170" i="1"/>
  <c r="BH167" i="1"/>
  <c r="BG167" i="1"/>
  <c r="BF167" i="1"/>
  <c r="BE167" i="1"/>
  <c r="BD167" i="1"/>
  <c r="BC167" i="1"/>
  <c r="BB167" i="1"/>
  <c r="BH164" i="1"/>
  <c r="BG164" i="1"/>
  <c r="BF164" i="1"/>
  <c r="BE164" i="1"/>
  <c r="BD164" i="1"/>
  <c r="BC164" i="1"/>
  <c r="BB164" i="1"/>
  <c r="BH161" i="1"/>
  <c r="BG161" i="1"/>
  <c r="BF161" i="1"/>
  <c r="BE161" i="1"/>
  <c r="BD161" i="1"/>
  <c r="BC161" i="1"/>
  <c r="BB161" i="1"/>
  <c r="BH158" i="1"/>
  <c r="BG158" i="1"/>
  <c r="BF158" i="1"/>
  <c r="BE158" i="1"/>
  <c r="BD158" i="1"/>
  <c r="BC158" i="1"/>
  <c r="BB158" i="1"/>
  <c r="BH155" i="1"/>
  <c r="BG155" i="1"/>
  <c r="BF155" i="1"/>
  <c r="BE155" i="1"/>
  <c r="BD155" i="1"/>
  <c r="BC155" i="1"/>
  <c r="BB155" i="1"/>
  <c r="BH152" i="1"/>
  <c r="BG152" i="1"/>
  <c r="BF152" i="1"/>
  <c r="BE152" i="1"/>
  <c r="BD152" i="1"/>
  <c r="BC152" i="1"/>
  <c r="BB152" i="1"/>
  <c r="BH149" i="1"/>
  <c r="BG149" i="1"/>
  <c r="BF149" i="1"/>
  <c r="BE149" i="1"/>
  <c r="BD149" i="1"/>
  <c r="BC149" i="1"/>
  <c r="BB149" i="1"/>
  <c r="BH146" i="1"/>
  <c r="BG146" i="1"/>
  <c r="BF146" i="1"/>
  <c r="BE146" i="1"/>
  <c r="BD146" i="1"/>
  <c r="BC146" i="1"/>
  <c r="BB146" i="1"/>
  <c r="BH143" i="1"/>
  <c r="BG143" i="1"/>
  <c r="BF143" i="1"/>
  <c r="BE143" i="1"/>
  <c r="BD143" i="1"/>
  <c r="BC143" i="1"/>
  <c r="BB143" i="1"/>
  <c r="BH140" i="1"/>
  <c r="BG140" i="1"/>
  <c r="BF140" i="1"/>
  <c r="BE140" i="1"/>
  <c r="BD140" i="1"/>
  <c r="BC140" i="1"/>
  <c r="BB140" i="1"/>
  <c r="BH137" i="1"/>
  <c r="BG137" i="1"/>
  <c r="BF137" i="1"/>
  <c r="BE137" i="1"/>
  <c r="BD137" i="1"/>
  <c r="BC137" i="1"/>
  <c r="BB137" i="1"/>
  <c r="BH134" i="1"/>
  <c r="BG134" i="1"/>
  <c r="BF134" i="1"/>
  <c r="BE134" i="1"/>
  <c r="BD134" i="1"/>
  <c r="BC134" i="1"/>
  <c r="BB134" i="1"/>
  <c r="BH131" i="1"/>
  <c r="BG131" i="1"/>
  <c r="BF131" i="1"/>
  <c r="BE131" i="1"/>
  <c r="BD131" i="1"/>
  <c r="BC131" i="1"/>
  <c r="BB131" i="1"/>
  <c r="BH128" i="1"/>
  <c r="BG128" i="1"/>
  <c r="BF128" i="1"/>
  <c r="BE128" i="1"/>
  <c r="BD128" i="1"/>
  <c r="BC128" i="1"/>
  <c r="BB128" i="1"/>
  <c r="BH125" i="1"/>
  <c r="BG125" i="1"/>
  <c r="BF125" i="1"/>
  <c r="BE125" i="1"/>
  <c r="BD125" i="1"/>
  <c r="BC125" i="1"/>
  <c r="BB125" i="1"/>
  <c r="BH122" i="1"/>
  <c r="BG122" i="1"/>
  <c r="BF122" i="1"/>
  <c r="BE122" i="1"/>
  <c r="BD122" i="1"/>
  <c r="BC122" i="1"/>
  <c r="BB122" i="1"/>
  <c r="BH119" i="1"/>
  <c r="BG119" i="1"/>
  <c r="BF119" i="1"/>
  <c r="BE119" i="1"/>
  <c r="BD119" i="1"/>
  <c r="BC119" i="1"/>
  <c r="BB119" i="1"/>
  <c r="BH116" i="1"/>
  <c r="BG116" i="1"/>
  <c r="BF116" i="1"/>
  <c r="BE116" i="1"/>
  <c r="BD116" i="1"/>
  <c r="BC116" i="1"/>
  <c r="BB116" i="1"/>
  <c r="BH113" i="1"/>
  <c r="BG113" i="1"/>
  <c r="BF113" i="1"/>
  <c r="BE113" i="1"/>
  <c r="BD113" i="1"/>
  <c r="BC113" i="1"/>
  <c r="BB113" i="1"/>
  <c r="BH110" i="1"/>
  <c r="BG110" i="1"/>
  <c r="BF110" i="1"/>
  <c r="BE110" i="1"/>
  <c r="BD110" i="1"/>
  <c r="BC110" i="1"/>
  <c r="BB110" i="1"/>
  <c r="BH107" i="1"/>
  <c r="BG107" i="1"/>
  <c r="BF107" i="1"/>
  <c r="BE107" i="1"/>
  <c r="BD107" i="1"/>
  <c r="BC107" i="1"/>
  <c r="BB107" i="1"/>
  <c r="BH104" i="1"/>
  <c r="BG104" i="1"/>
  <c r="BF104" i="1"/>
  <c r="BE104" i="1"/>
  <c r="BD104" i="1"/>
  <c r="BC104" i="1"/>
  <c r="BB104" i="1"/>
  <c r="BH101" i="1"/>
  <c r="BG101" i="1"/>
  <c r="BF101" i="1"/>
  <c r="BE101" i="1"/>
  <c r="BD101" i="1"/>
  <c r="BC101" i="1"/>
  <c r="BB101" i="1"/>
  <c r="BH98" i="1"/>
  <c r="BG98" i="1"/>
  <c r="BF98" i="1"/>
  <c r="BE98" i="1"/>
  <c r="BD98" i="1"/>
  <c r="BC98" i="1"/>
  <c r="BB98" i="1"/>
  <c r="BH95" i="1"/>
  <c r="BG95" i="1"/>
  <c r="BF95" i="1"/>
  <c r="BE95" i="1"/>
  <c r="BD95" i="1"/>
  <c r="BC95" i="1"/>
  <c r="BB95" i="1"/>
  <c r="BH92" i="1"/>
  <c r="BG92" i="1"/>
  <c r="BF92" i="1"/>
  <c r="BE92" i="1"/>
  <c r="BD92" i="1"/>
  <c r="BC92" i="1"/>
  <c r="BB92" i="1"/>
  <c r="BH89" i="1"/>
  <c r="BG89" i="1"/>
  <c r="BF89" i="1"/>
  <c r="BE89" i="1"/>
  <c r="BD89" i="1"/>
  <c r="BC89" i="1"/>
  <c r="BB89" i="1"/>
  <c r="BH86" i="1"/>
  <c r="BG86" i="1"/>
  <c r="BF86" i="1"/>
  <c r="BE86" i="1"/>
  <c r="BD86" i="1"/>
  <c r="BC86" i="1"/>
  <c r="BB86" i="1"/>
  <c r="BH83" i="1"/>
  <c r="BG83" i="1"/>
  <c r="BF83" i="1"/>
  <c r="BE83" i="1"/>
  <c r="BD83" i="1"/>
  <c r="BC83" i="1"/>
  <c r="BB83" i="1"/>
  <c r="BH80" i="1"/>
  <c r="BG80" i="1"/>
  <c r="BF80" i="1"/>
  <c r="BE80" i="1"/>
  <c r="BD80" i="1"/>
  <c r="BC80" i="1"/>
  <c r="BB80" i="1"/>
  <c r="BH77" i="1"/>
  <c r="BG77" i="1"/>
  <c r="BF77" i="1"/>
  <c r="BE77" i="1"/>
  <c r="BD77" i="1"/>
  <c r="BC77" i="1"/>
  <c r="BB77" i="1"/>
  <c r="BH74" i="1"/>
  <c r="BG74" i="1"/>
  <c r="BF74" i="1"/>
  <c r="BE74" i="1"/>
  <c r="BD74" i="1"/>
  <c r="BC74" i="1"/>
  <c r="BB74" i="1"/>
  <c r="BH71" i="1"/>
  <c r="BG71" i="1"/>
  <c r="BF71" i="1"/>
  <c r="BE71" i="1"/>
  <c r="BD71" i="1"/>
  <c r="BC71" i="1"/>
  <c r="BB71" i="1"/>
  <c r="BH68" i="1"/>
  <c r="BG68" i="1"/>
  <c r="BF68" i="1"/>
  <c r="BE68" i="1"/>
  <c r="BD68" i="1"/>
  <c r="BC68" i="1"/>
  <c r="BB68" i="1"/>
  <c r="BH65" i="1"/>
  <c r="BG65" i="1"/>
  <c r="BF65" i="1"/>
  <c r="BE65" i="1"/>
  <c r="BD65" i="1"/>
  <c r="BC65" i="1"/>
  <c r="BB65" i="1"/>
  <c r="BH62" i="1"/>
  <c r="BG62" i="1"/>
  <c r="BF62" i="1"/>
  <c r="BE62" i="1"/>
  <c r="BD62" i="1"/>
  <c r="BC62" i="1"/>
  <c r="BB62" i="1"/>
  <c r="BH59" i="1"/>
  <c r="BG59" i="1"/>
  <c r="BF59" i="1"/>
  <c r="BE59" i="1"/>
  <c r="BD59" i="1"/>
  <c r="BC59" i="1"/>
  <c r="BB59" i="1"/>
  <c r="BH56" i="1"/>
  <c r="BG56" i="1"/>
  <c r="BF56" i="1"/>
  <c r="BE56" i="1"/>
  <c r="BD56" i="1"/>
  <c r="BC56" i="1"/>
  <c r="BB56" i="1"/>
  <c r="BH53" i="1"/>
  <c r="BG53" i="1"/>
  <c r="BF53" i="1"/>
  <c r="BE53" i="1"/>
  <c r="BD53" i="1"/>
  <c r="BC53" i="1"/>
  <c r="BB53" i="1"/>
  <c r="BH50" i="1"/>
  <c r="BG50" i="1"/>
  <c r="BF50" i="1"/>
  <c r="BE50" i="1"/>
  <c r="BD50" i="1"/>
  <c r="BC50" i="1"/>
  <c r="BB50" i="1"/>
  <c r="BH47" i="1"/>
  <c r="BG47" i="1"/>
  <c r="BF47" i="1"/>
  <c r="BE47" i="1"/>
  <c r="BD47" i="1"/>
  <c r="BC47" i="1"/>
  <c r="BB47" i="1"/>
  <c r="BD44" i="1"/>
  <c r="BE44" i="1"/>
  <c r="BF44" i="1"/>
  <c r="BG44" i="1"/>
  <c r="BH44" i="1"/>
  <c r="BC44" i="1"/>
  <c r="BB44" i="1"/>
  <c r="AR233" i="1" l="1"/>
  <c r="AQ233" i="1"/>
  <c r="AP233" i="1"/>
  <c r="AO233" i="1"/>
  <c r="AL233" i="1"/>
  <c r="AK233" i="1"/>
  <c r="AI233" i="1"/>
  <c r="AH233" i="1"/>
  <c r="AR230" i="1"/>
  <c r="AQ230" i="1"/>
  <c r="AP230" i="1"/>
  <c r="AO230" i="1"/>
  <c r="AL230" i="1"/>
  <c r="AK230" i="1"/>
  <c r="AI230" i="1"/>
  <c r="AH230" i="1"/>
  <c r="AR227" i="1"/>
  <c r="AQ227" i="1"/>
  <c r="AP227" i="1"/>
  <c r="AO227" i="1"/>
  <c r="AL227" i="1"/>
  <c r="AK227" i="1"/>
  <c r="AI227" i="1"/>
  <c r="AH227" i="1"/>
  <c r="AR224" i="1"/>
  <c r="AQ224" i="1"/>
  <c r="AP224" i="1"/>
  <c r="AO224" i="1"/>
  <c r="AL224" i="1"/>
  <c r="AK224" i="1"/>
  <c r="AI224" i="1"/>
  <c r="AH224" i="1"/>
  <c r="AR221" i="1"/>
  <c r="AQ221" i="1"/>
  <c r="AP221" i="1"/>
  <c r="AO221" i="1"/>
  <c r="AL221" i="1"/>
  <c r="AK221" i="1"/>
  <c r="AH221" i="1"/>
  <c r="AR218" i="1"/>
  <c r="AQ218" i="1"/>
  <c r="AP218" i="1"/>
  <c r="AO218" i="1"/>
  <c r="AL218" i="1"/>
  <c r="AK218" i="1"/>
  <c r="AI218" i="1"/>
  <c r="AH218" i="1"/>
  <c r="AR215" i="1"/>
  <c r="AQ215" i="1"/>
  <c r="AP215" i="1"/>
  <c r="AO215" i="1"/>
  <c r="AL215" i="1"/>
  <c r="AK215" i="1"/>
  <c r="AI215" i="1"/>
  <c r="AH215" i="1"/>
  <c r="AR212" i="1"/>
  <c r="AQ212" i="1"/>
  <c r="AP212" i="1"/>
  <c r="AO212" i="1"/>
  <c r="AL212" i="1"/>
  <c r="AK212" i="1"/>
  <c r="AI212" i="1"/>
  <c r="AH212" i="1"/>
  <c r="AR209" i="1"/>
  <c r="AQ209" i="1"/>
  <c r="AP209" i="1"/>
  <c r="AO209" i="1"/>
  <c r="AL209" i="1"/>
  <c r="AK209" i="1"/>
  <c r="AI209" i="1"/>
  <c r="AH209" i="1"/>
  <c r="AR206" i="1"/>
  <c r="AQ206" i="1"/>
  <c r="AP206" i="1"/>
  <c r="AO206" i="1"/>
  <c r="AL206" i="1"/>
  <c r="AK206" i="1"/>
  <c r="AM206" i="1" s="1"/>
  <c r="AI206" i="1"/>
  <c r="AH206" i="1"/>
  <c r="AR203" i="1"/>
  <c r="AQ203" i="1"/>
  <c r="AP203" i="1"/>
  <c r="AO203" i="1"/>
  <c r="AL203" i="1"/>
  <c r="AK203" i="1"/>
  <c r="AI203" i="1"/>
  <c r="AH203" i="1"/>
  <c r="AR200" i="1"/>
  <c r="AQ200" i="1"/>
  <c r="AP200" i="1"/>
  <c r="AO200" i="1"/>
  <c r="AL200" i="1"/>
  <c r="AK200" i="1"/>
  <c r="AI200" i="1"/>
  <c r="AH200" i="1"/>
  <c r="AR197" i="1"/>
  <c r="AQ197" i="1"/>
  <c r="AP197" i="1"/>
  <c r="AO197" i="1"/>
  <c r="AL197" i="1"/>
  <c r="AK197" i="1"/>
  <c r="AI197" i="1"/>
  <c r="AH197" i="1"/>
  <c r="AR194" i="1"/>
  <c r="AQ194" i="1"/>
  <c r="AP194" i="1"/>
  <c r="AO194" i="1"/>
  <c r="AL194" i="1"/>
  <c r="AK194" i="1"/>
  <c r="AM194" i="1" s="1"/>
  <c r="AI194" i="1"/>
  <c r="AH194" i="1"/>
  <c r="AR191" i="1"/>
  <c r="AQ191" i="1"/>
  <c r="AP191" i="1"/>
  <c r="AO191" i="1"/>
  <c r="AL191" i="1"/>
  <c r="AK191" i="1"/>
  <c r="AI191" i="1"/>
  <c r="AH191" i="1"/>
  <c r="AR188" i="1"/>
  <c r="AQ188" i="1"/>
  <c r="AP188" i="1"/>
  <c r="AO188" i="1"/>
  <c r="AL188" i="1"/>
  <c r="AK188" i="1"/>
  <c r="AM188" i="1" s="1"/>
  <c r="AI188" i="1"/>
  <c r="AH188" i="1"/>
  <c r="AR185" i="1"/>
  <c r="AQ185" i="1"/>
  <c r="AP185" i="1"/>
  <c r="AO185" i="1"/>
  <c r="AL185" i="1"/>
  <c r="AK185" i="1"/>
  <c r="AI185" i="1"/>
  <c r="AH185" i="1"/>
  <c r="AR182" i="1"/>
  <c r="AQ182" i="1"/>
  <c r="AP182" i="1"/>
  <c r="AO182" i="1"/>
  <c r="AL182" i="1"/>
  <c r="AK182" i="1"/>
  <c r="AM182" i="1" s="1"/>
  <c r="AI182" i="1"/>
  <c r="AH182" i="1"/>
  <c r="AR179" i="1"/>
  <c r="AQ179" i="1"/>
  <c r="AP179" i="1"/>
  <c r="AO179" i="1"/>
  <c r="AL179" i="1"/>
  <c r="AK179" i="1"/>
  <c r="AI179" i="1"/>
  <c r="AH179" i="1"/>
  <c r="AO176" i="1"/>
  <c r="AL176" i="1"/>
  <c r="AM176" i="1" s="1"/>
  <c r="AH176" i="1"/>
  <c r="AR173" i="1"/>
  <c r="AQ173" i="1"/>
  <c r="AP173" i="1"/>
  <c r="AO173" i="1"/>
  <c r="AL173" i="1"/>
  <c r="AK173" i="1"/>
  <c r="AI173" i="1"/>
  <c r="AH173" i="1"/>
  <c r="AR170" i="1"/>
  <c r="AQ170" i="1"/>
  <c r="AP170" i="1"/>
  <c r="AO170" i="1"/>
  <c r="AL170" i="1"/>
  <c r="AK170" i="1"/>
  <c r="AM170" i="1" s="1"/>
  <c r="AI170" i="1"/>
  <c r="AH170" i="1"/>
  <c r="AR167" i="1"/>
  <c r="AQ167" i="1"/>
  <c r="AP167" i="1"/>
  <c r="AO167" i="1"/>
  <c r="AL167" i="1"/>
  <c r="AK167" i="1"/>
  <c r="AM167" i="1" s="1"/>
  <c r="AI167" i="1"/>
  <c r="AH167" i="1"/>
  <c r="AR164" i="1"/>
  <c r="AQ164" i="1"/>
  <c r="AP164" i="1"/>
  <c r="AO164" i="1"/>
  <c r="AL164" i="1"/>
  <c r="AK164" i="1"/>
  <c r="AM164" i="1" s="1"/>
  <c r="AI164" i="1"/>
  <c r="AH164" i="1"/>
  <c r="AR161" i="1"/>
  <c r="AQ161" i="1"/>
  <c r="AP161" i="1"/>
  <c r="AO161" i="1"/>
  <c r="AL161" i="1"/>
  <c r="AK161" i="1"/>
  <c r="AI161" i="1"/>
  <c r="AH161" i="1"/>
  <c r="AR158" i="1"/>
  <c r="AQ158" i="1"/>
  <c r="AP158" i="1"/>
  <c r="AO158" i="1"/>
  <c r="AL158" i="1"/>
  <c r="AK158" i="1"/>
  <c r="AI158" i="1"/>
  <c r="AH158" i="1"/>
  <c r="AR155" i="1"/>
  <c r="AQ155" i="1"/>
  <c r="AP155" i="1"/>
  <c r="AO155" i="1"/>
  <c r="AL155" i="1"/>
  <c r="AK155" i="1"/>
  <c r="AI155" i="1"/>
  <c r="AH155" i="1"/>
  <c r="AR152" i="1"/>
  <c r="AQ152" i="1"/>
  <c r="AP152" i="1"/>
  <c r="AO152" i="1"/>
  <c r="AL152" i="1"/>
  <c r="AK152" i="1"/>
  <c r="AI152" i="1"/>
  <c r="AH152" i="1"/>
  <c r="AR149" i="1"/>
  <c r="AQ149" i="1"/>
  <c r="AP149" i="1"/>
  <c r="AO149" i="1"/>
  <c r="AL149" i="1"/>
  <c r="AK149" i="1"/>
  <c r="AI149" i="1"/>
  <c r="AH149" i="1"/>
  <c r="AR146" i="1"/>
  <c r="AQ146" i="1"/>
  <c r="AP146" i="1"/>
  <c r="AO146" i="1"/>
  <c r="AL146" i="1"/>
  <c r="AK146" i="1"/>
  <c r="AM146" i="1" s="1"/>
  <c r="AI146" i="1"/>
  <c r="AH146" i="1"/>
  <c r="AR143" i="1"/>
  <c r="AQ143" i="1"/>
  <c r="AP143" i="1"/>
  <c r="AO143" i="1"/>
  <c r="AL143" i="1"/>
  <c r="AK143" i="1"/>
  <c r="AM143" i="1" s="1"/>
  <c r="AI143" i="1"/>
  <c r="AH143" i="1"/>
  <c r="AR140" i="1"/>
  <c r="AQ140" i="1"/>
  <c r="AP140" i="1"/>
  <c r="AO140" i="1"/>
  <c r="AL140" i="1"/>
  <c r="AK140" i="1"/>
  <c r="AM140" i="1" s="1"/>
  <c r="AI140" i="1"/>
  <c r="AH140" i="1"/>
  <c r="AR137" i="1"/>
  <c r="AQ137" i="1"/>
  <c r="AP137" i="1"/>
  <c r="AO137" i="1"/>
  <c r="AL137" i="1"/>
  <c r="AK137" i="1"/>
  <c r="AI137" i="1"/>
  <c r="AH137" i="1"/>
  <c r="AR134" i="1"/>
  <c r="AQ134" i="1"/>
  <c r="AP134" i="1"/>
  <c r="AO134" i="1"/>
  <c r="AL134" i="1"/>
  <c r="AK134" i="1"/>
  <c r="AM134" i="1" s="1"/>
  <c r="AI134" i="1"/>
  <c r="AH134" i="1"/>
  <c r="AR131" i="1"/>
  <c r="AQ131" i="1"/>
  <c r="AP131" i="1"/>
  <c r="AO131" i="1"/>
  <c r="AL131" i="1"/>
  <c r="AK131" i="1"/>
  <c r="AM131" i="1" s="1"/>
  <c r="AI131" i="1"/>
  <c r="AH131" i="1"/>
  <c r="AR128" i="1"/>
  <c r="AQ128" i="1"/>
  <c r="AP128" i="1"/>
  <c r="AO128" i="1"/>
  <c r="AL128" i="1"/>
  <c r="AK128" i="1"/>
  <c r="AM128" i="1" s="1"/>
  <c r="AI128" i="1"/>
  <c r="AH128" i="1"/>
  <c r="AR125" i="1"/>
  <c r="AQ125" i="1"/>
  <c r="AP125" i="1"/>
  <c r="AO125" i="1"/>
  <c r="AL125" i="1"/>
  <c r="AK125" i="1"/>
  <c r="AI125" i="1"/>
  <c r="AH125" i="1"/>
  <c r="AR122" i="1"/>
  <c r="AQ122" i="1"/>
  <c r="AP122" i="1"/>
  <c r="AO122" i="1"/>
  <c r="AL122" i="1"/>
  <c r="AK122" i="1"/>
  <c r="AI122" i="1"/>
  <c r="AH122" i="1"/>
  <c r="AR119" i="1"/>
  <c r="AQ119" i="1"/>
  <c r="AP119" i="1"/>
  <c r="AO119" i="1"/>
  <c r="AL119" i="1"/>
  <c r="AK119" i="1"/>
  <c r="AI119" i="1"/>
  <c r="AH119" i="1"/>
  <c r="AR116" i="1"/>
  <c r="AQ116" i="1"/>
  <c r="AP116" i="1"/>
  <c r="AO116" i="1"/>
  <c r="AL116" i="1"/>
  <c r="AK116" i="1"/>
  <c r="AI116" i="1"/>
  <c r="AH116" i="1"/>
  <c r="AR113" i="1"/>
  <c r="AQ113" i="1"/>
  <c r="AP113" i="1"/>
  <c r="AO113" i="1"/>
  <c r="AL113" i="1"/>
  <c r="AK113" i="1"/>
  <c r="AI113" i="1"/>
  <c r="AH113" i="1"/>
  <c r="AR110" i="1"/>
  <c r="AQ110" i="1"/>
  <c r="AP110" i="1"/>
  <c r="AO110" i="1"/>
  <c r="AL110" i="1"/>
  <c r="AK110" i="1"/>
  <c r="AI110" i="1"/>
  <c r="AH110" i="1"/>
  <c r="AR107" i="1"/>
  <c r="AQ107" i="1"/>
  <c r="AP107" i="1"/>
  <c r="AO107" i="1"/>
  <c r="AL107" i="1"/>
  <c r="AK107" i="1"/>
  <c r="AI107" i="1"/>
  <c r="AH107" i="1"/>
  <c r="AR104" i="1"/>
  <c r="AQ104" i="1"/>
  <c r="AP104" i="1"/>
  <c r="AO104" i="1"/>
  <c r="AL104" i="1"/>
  <c r="AK104" i="1"/>
  <c r="AI104" i="1"/>
  <c r="AH104" i="1"/>
  <c r="AR101" i="1"/>
  <c r="AQ101" i="1"/>
  <c r="AP101" i="1"/>
  <c r="AO101" i="1"/>
  <c r="AL101" i="1"/>
  <c r="AK101" i="1"/>
  <c r="AI101" i="1"/>
  <c r="AH101" i="1"/>
  <c r="AR98" i="1"/>
  <c r="AQ98" i="1"/>
  <c r="AP98" i="1"/>
  <c r="AO98" i="1"/>
  <c r="AL98" i="1"/>
  <c r="AK98" i="1"/>
  <c r="AI98" i="1"/>
  <c r="AH98" i="1"/>
  <c r="AR95" i="1"/>
  <c r="AQ95" i="1"/>
  <c r="AP95" i="1"/>
  <c r="AO95" i="1"/>
  <c r="AL95" i="1"/>
  <c r="AK95" i="1"/>
  <c r="AM95" i="1" s="1"/>
  <c r="AI95" i="1"/>
  <c r="AH95" i="1"/>
  <c r="AR92" i="1"/>
  <c r="AQ92" i="1"/>
  <c r="AP92" i="1"/>
  <c r="AO92" i="1"/>
  <c r="AL92" i="1"/>
  <c r="AK92" i="1"/>
  <c r="AI92" i="1"/>
  <c r="AH92" i="1"/>
  <c r="AR89" i="1"/>
  <c r="AQ89" i="1"/>
  <c r="AP89" i="1"/>
  <c r="AO89" i="1"/>
  <c r="AL89" i="1"/>
  <c r="AK89" i="1"/>
  <c r="AI89" i="1"/>
  <c r="AH89" i="1"/>
  <c r="AR86" i="1"/>
  <c r="AQ86" i="1"/>
  <c r="AP86" i="1"/>
  <c r="AO86" i="1"/>
  <c r="AL86" i="1"/>
  <c r="AK86" i="1"/>
  <c r="AM86" i="1" s="1"/>
  <c r="AI86" i="1"/>
  <c r="AH86" i="1"/>
  <c r="AR83" i="1"/>
  <c r="AQ83" i="1"/>
  <c r="AP83" i="1"/>
  <c r="AO83" i="1"/>
  <c r="AL83" i="1"/>
  <c r="AK83" i="1"/>
  <c r="AI83" i="1"/>
  <c r="AH83" i="1"/>
  <c r="AR80" i="1"/>
  <c r="AQ80" i="1"/>
  <c r="AP80" i="1"/>
  <c r="AO80" i="1"/>
  <c r="AL80" i="1"/>
  <c r="AK80" i="1"/>
  <c r="AM80" i="1" s="1"/>
  <c r="AI80" i="1"/>
  <c r="AH80" i="1"/>
  <c r="AR77" i="1"/>
  <c r="AQ77" i="1"/>
  <c r="AP77" i="1"/>
  <c r="AO77" i="1"/>
  <c r="AL77" i="1"/>
  <c r="AK77" i="1"/>
  <c r="AI77" i="1"/>
  <c r="AH77" i="1"/>
  <c r="AR74" i="1"/>
  <c r="AQ74" i="1"/>
  <c r="AP74" i="1"/>
  <c r="AO74" i="1"/>
  <c r="AL74" i="1"/>
  <c r="AK74" i="1"/>
  <c r="AI74" i="1"/>
  <c r="AH74" i="1"/>
  <c r="AR71" i="1"/>
  <c r="AQ71" i="1"/>
  <c r="AP71" i="1"/>
  <c r="AO71" i="1"/>
  <c r="AL71" i="1"/>
  <c r="AK71" i="1"/>
  <c r="AI71" i="1"/>
  <c r="AH71" i="1"/>
  <c r="AR68" i="1"/>
  <c r="AQ68" i="1"/>
  <c r="AP68" i="1"/>
  <c r="AO68" i="1"/>
  <c r="AL68" i="1"/>
  <c r="AK68" i="1"/>
  <c r="AI68" i="1"/>
  <c r="AH68" i="1"/>
  <c r="AR65" i="1"/>
  <c r="AQ65" i="1"/>
  <c r="AP65" i="1"/>
  <c r="AO65" i="1"/>
  <c r="AL65" i="1"/>
  <c r="AK65" i="1"/>
  <c r="AI65" i="1"/>
  <c r="AH65" i="1"/>
  <c r="AR62" i="1"/>
  <c r="AQ62" i="1"/>
  <c r="AP62" i="1"/>
  <c r="AO62" i="1"/>
  <c r="AL62" i="1"/>
  <c r="AK62" i="1"/>
  <c r="AM62" i="1" s="1"/>
  <c r="AI62" i="1"/>
  <c r="AH62" i="1"/>
  <c r="AR59" i="1"/>
  <c r="AQ59" i="1"/>
  <c r="AP59" i="1"/>
  <c r="AO59" i="1"/>
  <c r="AL59" i="1"/>
  <c r="AK59" i="1"/>
  <c r="AI59" i="1"/>
  <c r="AH59" i="1"/>
  <c r="AR56" i="1"/>
  <c r="AQ56" i="1"/>
  <c r="AP56" i="1"/>
  <c r="AO56" i="1"/>
  <c r="AL56" i="1"/>
  <c r="AK56" i="1"/>
  <c r="AM56" i="1" s="1"/>
  <c r="AI56" i="1"/>
  <c r="AH56" i="1"/>
  <c r="AR53" i="1"/>
  <c r="AQ53" i="1"/>
  <c r="AP53" i="1"/>
  <c r="AO53" i="1"/>
  <c r="AL53" i="1"/>
  <c r="AK53" i="1"/>
  <c r="AM53" i="1" s="1"/>
  <c r="AI53" i="1"/>
  <c r="AH53" i="1"/>
  <c r="AR50" i="1"/>
  <c r="AQ50" i="1"/>
  <c r="AP50" i="1"/>
  <c r="AO50" i="1"/>
  <c r="AL50" i="1"/>
  <c r="AK50" i="1"/>
  <c r="AI50" i="1"/>
  <c r="AH50" i="1"/>
  <c r="AR47" i="1"/>
  <c r="AQ47" i="1"/>
  <c r="AP47" i="1"/>
  <c r="AO47" i="1"/>
  <c r="AL47" i="1"/>
  <c r="AK47" i="1"/>
  <c r="AI47" i="1"/>
  <c r="AH47" i="1"/>
  <c r="AQ44" i="1"/>
  <c r="AR44" i="1"/>
  <c r="AP44" i="1"/>
  <c r="AO44" i="1"/>
  <c r="AL44" i="1"/>
  <c r="AK44" i="1"/>
  <c r="AI44" i="1"/>
  <c r="AH44" i="1"/>
  <c r="AG224" i="1"/>
  <c r="AG212" i="1"/>
  <c r="AG200" i="1"/>
  <c r="AG188" i="1"/>
  <c r="AG176" i="1"/>
  <c r="AG164" i="1"/>
  <c r="AG152" i="1"/>
  <c r="AG140" i="1"/>
  <c r="AG128" i="1"/>
  <c r="AG116" i="1"/>
  <c r="AG104" i="1"/>
  <c r="AG92" i="1"/>
  <c r="AG80" i="1"/>
  <c r="AG68" i="1"/>
  <c r="AG56" i="1"/>
  <c r="AS221" i="1" l="1"/>
  <c r="AM224" i="1"/>
  <c r="AT44" i="1"/>
  <c r="AS50" i="1"/>
  <c r="AS53" i="1"/>
  <c r="AS56" i="1"/>
  <c r="AS80" i="1"/>
  <c r="AS83" i="1"/>
  <c r="AS101" i="1"/>
  <c r="AS104" i="1"/>
  <c r="AS107" i="1"/>
  <c r="AS137" i="1"/>
  <c r="AU137" i="1" s="1"/>
  <c r="AS140" i="1"/>
  <c r="AU140" i="1" s="1"/>
  <c r="AS146" i="1"/>
  <c r="AS170" i="1"/>
  <c r="AS44" i="1"/>
  <c r="AT47" i="1"/>
  <c r="AT50" i="1"/>
  <c r="AT53" i="1"/>
  <c r="AT56" i="1"/>
  <c r="AS173" i="1"/>
  <c r="AS200" i="1"/>
  <c r="AS203" i="1"/>
  <c r="AS206" i="1"/>
  <c r="AS209" i="1"/>
  <c r="AS224" i="1"/>
  <c r="AT59" i="1"/>
  <c r="AT65" i="1"/>
  <c r="AT77" i="1"/>
  <c r="AT80" i="1"/>
  <c r="AT83" i="1"/>
  <c r="AT95" i="1"/>
  <c r="AT104" i="1"/>
  <c r="AT107" i="1"/>
  <c r="AT113" i="1"/>
  <c r="AT125" i="1"/>
  <c r="AT137" i="1"/>
  <c r="AT140" i="1"/>
  <c r="AT161" i="1"/>
  <c r="AT170" i="1"/>
  <c r="AT173" i="1"/>
  <c r="AT179" i="1"/>
  <c r="AT185" i="1"/>
  <c r="AT194" i="1"/>
  <c r="AT197" i="1"/>
  <c r="AT203" i="1"/>
  <c r="AT206" i="1"/>
  <c r="AT209" i="1"/>
  <c r="AS59" i="1"/>
  <c r="AT215" i="1"/>
  <c r="AT221" i="1"/>
  <c r="AS227" i="1"/>
  <c r="AT227" i="1"/>
  <c r="AT233" i="1"/>
  <c r="AM203" i="1"/>
  <c r="AM98" i="1"/>
  <c r="AM104" i="1"/>
  <c r="AM152" i="1"/>
  <c r="AM221" i="1"/>
  <c r="AT116" i="1"/>
  <c r="AT119" i="1"/>
  <c r="AT122" i="1"/>
  <c r="AS191" i="1"/>
  <c r="AM47" i="1"/>
  <c r="AM50" i="1"/>
  <c r="AM71" i="1"/>
  <c r="AM77" i="1"/>
  <c r="AT230" i="1"/>
  <c r="AS47" i="1"/>
  <c r="AM122" i="1"/>
  <c r="AM155" i="1"/>
  <c r="AM158" i="1"/>
  <c r="AM161" i="1"/>
  <c r="AS233" i="1"/>
  <c r="AT68" i="1"/>
  <c r="AT71" i="1"/>
  <c r="AT74" i="1"/>
  <c r="AT89" i="1"/>
  <c r="AM185" i="1"/>
  <c r="AM212" i="1"/>
  <c r="AS230" i="1"/>
  <c r="AT131" i="1"/>
  <c r="AT155" i="1"/>
  <c r="AM230" i="1"/>
  <c r="AS65" i="1"/>
  <c r="AS110" i="1"/>
  <c r="AS116" i="1"/>
  <c r="AT143" i="1"/>
  <c r="AT146" i="1"/>
  <c r="AS149" i="1"/>
  <c r="AS152" i="1"/>
  <c r="AS155" i="1"/>
  <c r="AM191" i="1"/>
  <c r="AT212" i="1"/>
  <c r="AS74" i="1"/>
  <c r="AS77" i="1"/>
  <c r="AM92" i="1"/>
  <c r="AM101" i="1"/>
  <c r="AS122" i="1"/>
  <c r="AS125" i="1"/>
  <c r="AM137" i="1"/>
  <c r="AT149" i="1"/>
  <c r="AT152" i="1"/>
  <c r="AS158" i="1"/>
  <c r="AS161" i="1"/>
  <c r="AM173" i="1"/>
  <c r="AS182" i="1"/>
  <c r="AS185" i="1"/>
  <c r="AM197" i="1"/>
  <c r="AM200" i="1"/>
  <c r="AS218" i="1"/>
  <c r="AM233" i="1"/>
  <c r="AT182" i="1"/>
  <c r="AT218" i="1"/>
  <c r="AT62" i="1"/>
  <c r="AS71" i="1"/>
  <c r="AM59" i="1"/>
  <c r="AS86" i="1"/>
  <c r="AS89" i="1"/>
  <c r="AT92" i="1"/>
  <c r="AM107" i="1"/>
  <c r="AS128" i="1"/>
  <c r="AS131" i="1"/>
  <c r="AS164" i="1"/>
  <c r="AS167" i="1"/>
  <c r="AS188" i="1"/>
  <c r="AM209" i="1"/>
  <c r="AT224" i="1"/>
  <c r="AS119" i="1"/>
  <c r="AT158" i="1"/>
  <c r="AM65" i="1"/>
  <c r="AM68" i="1"/>
  <c r="AT86" i="1"/>
  <c r="AS92" i="1"/>
  <c r="AS95" i="1"/>
  <c r="AT98" i="1"/>
  <c r="AT101" i="1"/>
  <c r="AM110" i="1"/>
  <c r="AM113" i="1"/>
  <c r="AM116" i="1"/>
  <c r="AM119" i="1"/>
  <c r="AT128" i="1"/>
  <c r="AT134" i="1"/>
  <c r="AM149" i="1"/>
  <c r="AT164" i="1"/>
  <c r="AT167" i="1"/>
  <c r="AM179" i="1"/>
  <c r="AT188" i="1"/>
  <c r="AS194" i="1"/>
  <c r="AS197" i="1"/>
  <c r="AT200" i="1"/>
  <c r="AM215" i="1"/>
  <c r="AM44" i="1"/>
  <c r="AS62" i="1"/>
  <c r="AS68" i="1"/>
  <c r="AM89" i="1"/>
  <c r="AT110" i="1"/>
  <c r="AM74" i="1"/>
  <c r="AM125" i="1"/>
  <c r="AT191" i="1"/>
  <c r="AM218" i="1"/>
  <c r="AM83" i="1"/>
  <c r="AS113" i="1"/>
  <c r="AS143" i="1"/>
  <c r="AS179" i="1"/>
  <c r="AS212" i="1"/>
  <c r="AS215" i="1"/>
  <c r="AM227" i="1"/>
  <c r="AS134" i="1"/>
  <c r="AS98" i="1"/>
  <c r="AU53" i="1"/>
  <c r="O144" i="1"/>
  <c r="P144" i="1"/>
  <c r="O145" i="1"/>
  <c r="P145" i="1"/>
  <c r="O146" i="1"/>
  <c r="P146" i="1"/>
  <c r="O147" i="1"/>
  <c r="P147" i="1"/>
  <c r="O148" i="1"/>
  <c r="P148" i="1"/>
  <c r="O149" i="1"/>
  <c r="P149" i="1"/>
  <c r="O150" i="1"/>
  <c r="P150" i="1"/>
  <c r="O151" i="1"/>
  <c r="P151" i="1"/>
  <c r="O152" i="1"/>
  <c r="P152" i="1"/>
  <c r="O153" i="1"/>
  <c r="P153" i="1"/>
  <c r="O154" i="1"/>
  <c r="P154" i="1"/>
  <c r="O155" i="1"/>
  <c r="P155" i="1"/>
  <c r="O156" i="1"/>
  <c r="P156" i="1"/>
  <c r="O157" i="1"/>
  <c r="P157" i="1"/>
  <c r="O158" i="1"/>
  <c r="P158" i="1"/>
  <c r="O159" i="1"/>
  <c r="P159" i="1"/>
  <c r="O160" i="1"/>
  <c r="P160" i="1"/>
  <c r="O161" i="1"/>
  <c r="P161" i="1"/>
  <c r="O162" i="1"/>
  <c r="P162" i="1"/>
  <c r="O163" i="1"/>
  <c r="P163" i="1"/>
  <c r="O164" i="1"/>
  <c r="P164" i="1"/>
  <c r="O165" i="1"/>
  <c r="P165" i="1"/>
  <c r="O166" i="1"/>
  <c r="P166" i="1"/>
  <c r="O167" i="1"/>
  <c r="P167" i="1"/>
  <c r="O168" i="1"/>
  <c r="P168" i="1"/>
  <c r="O169" i="1"/>
  <c r="P169" i="1"/>
  <c r="O170" i="1"/>
  <c r="P170" i="1"/>
  <c r="O171" i="1"/>
  <c r="P171" i="1"/>
  <c r="O172" i="1"/>
  <c r="P172" i="1"/>
  <c r="O173" i="1"/>
  <c r="P173" i="1"/>
  <c r="O174" i="1"/>
  <c r="P174" i="1"/>
  <c r="O175" i="1"/>
  <c r="P175" i="1"/>
  <c r="O176" i="1"/>
  <c r="P176" i="1"/>
  <c r="O177" i="1"/>
  <c r="P177" i="1"/>
  <c r="O179" i="1"/>
  <c r="P179" i="1"/>
  <c r="O180" i="1"/>
  <c r="P180" i="1"/>
  <c r="O181" i="1"/>
  <c r="P181" i="1"/>
  <c r="O182" i="1"/>
  <c r="P182" i="1"/>
  <c r="O183" i="1"/>
  <c r="P183" i="1"/>
  <c r="O184" i="1"/>
  <c r="P184" i="1"/>
  <c r="O185" i="1"/>
  <c r="P185" i="1"/>
  <c r="O186" i="1"/>
  <c r="P186" i="1"/>
  <c r="O187" i="1"/>
  <c r="P187" i="1"/>
  <c r="O188" i="1"/>
  <c r="P188" i="1"/>
  <c r="O189" i="1"/>
  <c r="P189" i="1"/>
  <c r="O190" i="1"/>
  <c r="P190" i="1"/>
  <c r="O191" i="1"/>
  <c r="P191" i="1"/>
  <c r="O192" i="1"/>
  <c r="P192" i="1"/>
  <c r="O193" i="1"/>
  <c r="P193" i="1"/>
  <c r="O194" i="1"/>
  <c r="P194" i="1"/>
  <c r="O195" i="1"/>
  <c r="P195" i="1"/>
  <c r="O196" i="1"/>
  <c r="P196" i="1"/>
  <c r="O197" i="1"/>
  <c r="P197" i="1"/>
  <c r="O198" i="1"/>
  <c r="P198" i="1"/>
  <c r="O199" i="1"/>
  <c r="P199" i="1"/>
  <c r="O200" i="1"/>
  <c r="P200" i="1"/>
  <c r="O201" i="1"/>
  <c r="P201" i="1"/>
  <c r="O202" i="1"/>
  <c r="P202" i="1"/>
  <c r="O203" i="1"/>
  <c r="P203" i="1"/>
  <c r="O204" i="1"/>
  <c r="P204" i="1"/>
  <c r="O205" i="1"/>
  <c r="P205" i="1"/>
  <c r="O206" i="1"/>
  <c r="P206" i="1"/>
  <c r="O207" i="1"/>
  <c r="P207" i="1"/>
  <c r="O208" i="1"/>
  <c r="P208" i="1"/>
  <c r="O209" i="1"/>
  <c r="P209" i="1"/>
  <c r="O210" i="1"/>
  <c r="P210" i="1"/>
  <c r="O211" i="1"/>
  <c r="P211" i="1"/>
  <c r="O212" i="1"/>
  <c r="P212" i="1"/>
  <c r="O213" i="1"/>
  <c r="P213" i="1"/>
  <c r="O214" i="1"/>
  <c r="P214" i="1"/>
  <c r="O215" i="1"/>
  <c r="P215" i="1"/>
  <c r="O216" i="1"/>
  <c r="P216" i="1"/>
  <c r="O217" i="1"/>
  <c r="P217" i="1"/>
  <c r="O218" i="1"/>
  <c r="P218" i="1"/>
  <c r="O219" i="1"/>
  <c r="P219" i="1"/>
  <c r="O220" i="1"/>
  <c r="P220" i="1"/>
  <c r="O221" i="1"/>
  <c r="P221" i="1"/>
  <c r="O222" i="1"/>
  <c r="P222" i="1"/>
  <c r="O224" i="1"/>
  <c r="P224" i="1"/>
  <c r="O225" i="1"/>
  <c r="P225" i="1"/>
  <c r="O226" i="1"/>
  <c r="P226" i="1"/>
  <c r="O227" i="1"/>
  <c r="P227" i="1"/>
  <c r="O228" i="1"/>
  <c r="P228" i="1"/>
  <c r="O229" i="1"/>
  <c r="P229" i="1"/>
  <c r="O230" i="1"/>
  <c r="P230" i="1"/>
  <c r="O231" i="1"/>
  <c r="P231" i="1"/>
  <c r="O232" i="1"/>
  <c r="P232" i="1"/>
  <c r="O233" i="1"/>
  <c r="P233" i="1"/>
  <c r="O234" i="1"/>
  <c r="P234" i="1"/>
  <c r="O235" i="1"/>
  <c r="P235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86" i="1"/>
  <c r="P86" i="1"/>
  <c r="O87" i="1"/>
  <c r="P87" i="1"/>
  <c r="O88" i="1"/>
  <c r="P88" i="1"/>
  <c r="O89" i="1"/>
  <c r="P89" i="1"/>
  <c r="O90" i="1"/>
  <c r="P90" i="1"/>
  <c r="O91" i="1"/>
  <c r="P91" i="1"/>
  <c r="O92" i="1"/>
  <c r="P92" i="1"/>
  <c r="O93" i="1"/>
  <c r="P93" i="1"/>
  <c r="O94" i="1"/>
  <c r="P94" i="1"/>
  <c r="O95" i="1"/>
  <c r="P95" i="1"/>
  <c r="O96" i="1"/>
  <c r="P96" i="1"/>
  <c r="O97" i="1"/>
  <c r="P97" i="1"/>
  <c r="O98" i="1"/>
  <c r="P98" i="1"/>
  <c r="O99" i="1"/>
  <c r="P99" i="1"/>
  <c r="O100" i="1"/>
  <c r="P100" i="1"/>
  <c r="O101" i="1"/>
  <c r="P101" i="1"/>
  <c r="O102" i="1"/>
  <c r="P102" i="1"/>
  <c r="O103" i="1"/>
  <c r="P103" i="1"/>
  <c r="O104" i="1"/>
  <c r="P104" i="1"/>
  <c r="O105" i="1"/>
  <c r="P105" i="1"/>
  <c r="O106" i="1"/>
  <c r="P106" i="1"/>
  <c r="O107" i="1"/>
  <c r="P107" i="1"/>
  <c r="O108" i="1"/>
  <c r="P108" i="1"/>
  <c r="O109" i="1"/>
  <c r="P109" i="1"/>
  <c r="O110" i="1"/>
  <c r="P110" i="1"/>
  <c r="O111" i="1"/>
  <c r="P111" i="1"/>
  <c r="O112" i="1"/>
  <c r="P112" i="1"/>
  <c r="O113" i="1"/>
  <c r="P113" i="1"/>
  <c r="O114" i="1"/>
  <c r="P114" i="1"/>
  <c r="O115" i="1"/>
  <c r="P115" i="1"/>
  <c r="O116" i="1"/>
  <c r="P116" i="1"/>
  <c r="O117" i="1"/>
  <c r="P117" i="1"/>
  <c r="O118" i="1"/>
  <c r="P118" i="1"/>
  <c r="O119" i="1"/>
  <c r="P119" i="1"/>
  <c r="O120" i="1"/>
  <c r="P120" i="1"/>
  <c r="O121" i="1"/>
  <c r="P121" i="1"/>
  <c r="O122" i="1"/>
  <c r="P122" i="1"/>
  <c r="O123" i="1"/>
  <c r="P123" i="1"/>
  <c r="O124" i="1"/>
  <c r="P124" i="1"/>
  <c r="O125" i="1"/>
  <c r="P125" i="1"/>
  <c r="O126" i="1"/>
  <c r="P126" i="1"/>
  <c r="O127" i="1"/>
  <c r="P127" i="1"/>
  <c r="O128" i="1"/>
  <c r="P128" i="1"/>
  <c r="O129" i="1"/>
  <c r="P129" i="1"/>
  <c r="O130" i="1"/>
  <c r="P130" i="1"/>
  <c r="O131" i="1"/>
  <c r="P131" i="1"/>
  <c r="O132" i="1"/>
  <c r="P132" i="1"/>
  <c r="O133" i="1"/>
  <c r="P133" i="1"/>
  <c r="O134" i="1"/>
  <c r="P134" i="1"/>
  <c r="O135" i="1"/>
  <c r="P135" i="1"/>
  <c r="O136" i="1"/>
  <c r="P136" i="1"/>
  <c r="O137" i="1"/>
  <c r="P137" i="1"/>
  <c r="O138" i="1"/>
  <c r="P138" i="1"/>
  <c r="O139" i="1"/>
  <c r="P139" i="1"/>
  <c r="O140" i="1"/>
  <c r="P140" i="1"/>
  <c r="O141" i="1"/>
  <c r="P141" i="1"/>
  <c r="O142" i="1"/>
  <c r="P142" i="1"/>
  <c r="O143" i="1"/>
  <c r="P143" i="1"/>
  <c r="P44" i="1"/>
  <c r="O44" i="1"/>
  <c r="I47" i="1"/>
  <c r="I44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45" i="1"/>
  <c r="I46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AU170" i="1" l="1"/>
  <c r="AU200" i="1"/>
  <c r="AU50" i="1"/>
  <c r="AU209" i="1"/>
  <c r="AU206" i="1"/>
  <c r="AU44" i="1"/>
  <c r="AU83" i="1"/>
  <c r="AU203" i="1"/>
  <c r="AU80" i="1"/>
  <c r="AU173" i="1"/>
  <c r="AU101" i="1"/>
  <c r="AU89" i="1"/>
  <c r="AU77" i="1"/>
  <c r="AU107" i="1"/>
  <c r="AU113" i="1"/>
  <c r="AU197" i="1"/>
  <c r="AU227" i="1"/>
  <c r="AU185" i="1"/>
  <c r="AU161" i="1"/>
  <c r="AU56" i="1"/>
  <c r="AU95" i="1"/>
  <c r="AU146" i="1"/>
  <c r="AU104" i="1"/>
  <c r="AU47" i="1"/>
  <c r="AU224" i="1"/>
  <c r="AU59" i="1"/>
  <c r="AU215" i="1"/>
  <c r="AU65" i="1"/>
  <c r="AU194" i="1"/>
  <c r="AU221" i="1"/>
  <c r="AU179" i="1"/>
  <c r="AU125" i="1"/>
  <c r="AU143" i="1"/>
  <c r="AU191" i="1"/>
  <c r="AU233" i="1"/>
  <c r="AU230" i="1"/>
  <c r="AU149" i="1"/>
  <c r="AU68" i="1"/>
  <c r="Q86" i="1"/>
  <c r="Q82" i="1"/>
  <c r="AU164" i="1"/>
  <c r="AU74" i="1"/>
  <c r="AU188" i="1"/>
  <c r="Q93" i="1"/>
  <c r="Q208" i="1"/>
  <c r="Q204" i="1"/>
  <c r="Q172" i="1"/>
  <c r="Q144" i="1"/>
  <c r="AU71" i="1"/>
  <c r="AU116" i="1"/>
  <c r="Q69" i="1"/>
  <c r="AU119" i="1"/>
  <c r="Q180" i="1"/>
  <c r="AU122" i="1"/>
  <c r="AU152" i="1"/>
  <c r="AU155" i="1"/>
  <c r="AU86" i="1"/>
  <c r="AU167" i="1"/>
  <c r="AU131" i="1"/>
  <c r="AU218" i="1"/>
  <c r="Q70" i="1"/>
  <c r="AU110" i="1"/>
  <c r="AU92" i="1"/>
  <c r="AU98" i="1"/>
  <c r="AU158" i="1"/>
  <c r="Q234" i="1"/>
  <c r="AU128" i="1"/>
  <c r="AU62" i="1"/>
  <c r="Q100" i="1"/>
  <c r="Q97" i="1"/>
  <c r="Q62" i="1"/>
  <c r="Q54" i="1"/>
  <c r="Q50" i="1"/>
  <c r="Q46" i="1"/>
  <c r="AU134" i="1"/>
  <c r="Q96" i="1"/>
  <c r="AU212" i="1"/>
  <c r="AU182" i="1"/>
  <c r="Q219" i="1"/>
  <c r="Q191" i="1"/>
  <c r="Q175" i="1"/>
  <c r="Q139" i="1"/>
  <c r="Q135" i="1"/>
  <c r="Q199" i="1"/>
  <c r="Q179" i="1"/>
  <c r="Q215" i="1"/>
  <c r="Q183" i="1"/>
  <c r="Q187" i="1"/>
  <c r="Q195" i="1"/>
  <c r="Q134" i="1"/>
  <c r="Q130" i="1"/>
  <c r="Q126" i="1"/>
  <c r="Q118" i="1"/>
  <c r="Q114" i="1"/>
  <c r="Q110" i="1"/>
  <c r="Q102" i="1"/>
  <c r="Q174" i="1"/>
  <c r="Q109" i="1"/>
  <c r="Q73" i="1"/>
  <c r="Q112" i="1"/>
  <c r="Q125" i="1"/>
  <c r="Q72" i="1"/>
  <c r="Q231" i="1"/>
  <c r="Q133" i="1"/>
  <c r="Q222" i="1"/>
  <c r="Q171" i="1"/>
  <c r="Q167" i="1"/>
  <c r="Q147" i="1"/>
  <c r="Q61" i="1"/>
  <c r="Q141" i="1"/>
  <c r="Q113" i="1"/>
  <c r="Q182" i="1"/>
  <c r="Q64" i="1"/>
  <c r="Q48" i="1"/>
  <c r="Q228" i="1"/>
  <c r="Q220" i="1"/>
  <c r="Q212" i="1"/>
  <c r="Q193" i="1"/>
  <c r="Q181" i="1"/>
  <c r="Q75" i="1"/>
  <c r="Q71" i="1"/>
  <c r="Q173" i="1"/>
  <c r="Q146" i="1"/>
  <c r="Q211" i="1"/>
  <c r="Q207" i="1"/>
  <c r="Q176" i="1"/>
  <c r="Q145" i="1"/>
  <c r="Q101" i="1"/>
  <c r="Q164" i="1"/>
  <c r="Q156" i="1"/>
  <c r="Q152" i="1"/>
  <c r="Q85" i="1"/>
  <c r="Q77" i="1"/>
  <c r="Q49" i="1"/>
  <c r="Q132" i="1"/>
  <c r="Q128" i="1"/>
  <c r="Q117" i="1"/>
  <c r="Q105" i="1"/>
  <c r="Q94" i="1"/>
  <c r="Q56" i="1"/>
  <c r="Q53" i="1"/>
  <c r="Q217" i="1"/>
  <c r="Q213" i="1"/>
  <c r="Q210" i="1"/>
  <c r="Q206" i="1"/>
  <c r="Q203" i="1"/>
  <c r="Q170" i="1"/>
  <c r="Q158" i="1"/>
  <c r="Q150" i="1"/>
  <c r="Q225" i="1"/>
  <c r="Q196" i="1"/>
  <c r="Q163" i="1"/>
  <c r="Q188" i="1"/>
  <c r="Q151" i="1"/>
  <c r="Q142" i="1"/>
  <c r="Q78" i="1"/>
  <c r="Q235" i="1"/>
  <c r="Q155" i="1"/>
  <c r="Q81" i="1"/>
  <c r="Q227" i="1"/>
  <c r="Q153" i="1"/>
  <c r="Q149" i="1"/>
  <c r="Q159" i="1"/>
  <c r="Q44" i="1"/>
  <c r="Q129" i="1"/>
  <c r="Q107" i="1"/>
  <c r="Q103" i="1"/>
  <c r="Q80" i="1"/>
  <c r="Q65" i="1"/>
  <c r="Q214" i="1"/>
  <c r="Q148" i="1"/>
  <c r="Q108" i="1"/>
  <c r="Q76" i="1"/>
  <c r="Q58" i="1"/>
  <c r="Q51" i="1"/>
  <c r="Q184" i="1"/>
  <c r="Q121" i="1"/>
  <c r="Q89" i="1"/>
  <c r="Q57" i="1"/>
  <c r="Q224" i="1"/>
  <c r="Q197" i="1"/>
  <c r="Q194" i="1"/>
  <c r="Q190" i="1"/>
  <c r="Q177" i="1"/>
  <c r="Q136" i="1"/>
  <c r="Q115" i="1"/>
  <c r="Q90" i="1"/>
  <c r="Q47" i="1"/>
  <c r="Q221" i="1"/>
  <c r="Q201" i="1"/>
  <c r="Q68" i="1"/>
  <c r="Q230" i="1"/>
  <c r="Q200" i="1"/>
  <c r="Q104" i="1"/>
  <c r="Q143" i="1"/>
  <c r="Q122" i="1"/>
  <c r="Q218" i="1"/>
  <c r="Q138" i="1"/>
  <c r="Q131" i="1"/>
  <c r="Q127" i="1"/>
  <c r="Q124" i="1"/>
  <c r="Q120" i="1"/>
  <c r="Q106" i="1"/>
  <c r="Q99" i="1"/>
  <c r="Q95" i="1"/>
  <c r="Q92" i="1"/>
  <c r="Q88" i="1"/>
  <c r="Q74" i="1"/>
  <c r="Q67" i="1"/>
  <c r="Q63" i="1"/>
  <c r="Q60" i="1"/>
  <c r="Q233" i="1"/>
  <c r="Q216" i="1"/>
  <c r="Q189" i="1"/>
  <c r="Q186" i="1"/>
  <c r="Q169" i="1"/>
  <c r="Q162" i="1"/>
  <c r="Q140" i="1"/>
  <c r="Q111" i="1"/>
  <c r="Q79" i="1"/>
  <c r="Q137" i="1"/>
  <c r="Q45" i="1"/>
  <c r="Q229" i="1"/>
  <c r="Q226" i="1"/>
  <c r="Q209" i="1"/>
  <c r="Q192" i="1"/>
  <c r="Q165" i="1"/>
  <c r="Q83" i="1"/>
  <c r="Q123" i="1"/>
  <c r="Q119" i="1"/>
  <c r="Q116" i="1"/>
  <c r="Q98" i="1"/>
  <c r="Q91" i="1"/>
  <c r="Q87" i="1"/>
  <c r="Q84" i="1"/>
  <c r="Q66" i="1"/>
  <c r="Q59" i="1"/>
  <c r="Q55" i="1"/>
  <c r="Q52" i="1"/>
  <c r="Q232" i="1"/>
  <c r="Q205" i="1"/>
  <c r="Q202" i="1"/>
  <c r="Q198" i="1"/>
  <c r="Q185" i="1"/>
  <c r="Q168" i="1"/>
  <c r="Q161" i="1"/>
  <c r="Q157" i="1"/>
  <c r="Q154" i="1"/>
  <c r="Q160" i="1"/>
  <c r="Q166" i="1"/>
  <c r="A35" i="1" l="1"/>
  <c r="F44" i="1" l="1"/>
  <c r="AJ176" i="1"/>
  <c r="AJ221" i="1"/>
  <c r="F232" i="1"/>
  <c r="R232" i="1" s="1"/>
  <c r="F224" i="1"/>
  <c r="F192" i="1"/>
  <c r="J192" i="1" s="1"/>
  <c r="F168" i="1"/>
  <c r="S168" i="1" s="1"/>
  <c r="AJ188" i="1"/>
  <c r="AJ170" i="1"/>
  <c r="AJ101" i="1"/>
  <c r="AJ173" i="1"/>
  <c r="AJ59" i="1"/>
  <c r="AJ212" i="1"/>
  <c r="AJ50" i="1"/>
  <c r="AJ167" i="1"/>
  <c r="AJ164" i="1"/>
  <c r="AJ47" i="1"/>
  <c r="AJ65" i="1"/>
  <c r="AJ56" i="1"/>
  <c r="AJ68" i="1"/>
  <c r="AJ185" i="1"/>
  <c r="AJ197" i="1"/>
  <c r="AJ140" i="1"/>
  <c r="AJ89" i="1"/>
  <c r="AJ215" i="1"/>
  <c r="AJ116" i="1"/>
  <c r="AJ104" i="1"/>
  <c r="AJ122" i="1"/>
  <c r="AJ86" i="1"/>
  <c r="AJ218" i="1"/>
  <c r="AJ137" i="1"/>
  <c r="AJ191" i="1"/>
  <c r="AJ62" i="1"/>
  <c r="AJ119" i="1"/>
  <c r="AJ182" i="1"/>
  <c r="AJ74" i="1"/>
  <c r="AJ158" i="1"/>
  <c r="AJ80" i="1"/>
  <c r="AJ134" i="1"/>
  <c r="AJ107" i="1"/>
  <c r="AJ125" i="1"/>
  <c r="AJ227" i="1"/>
  <c r="AJ92" i="1"/>
  <c r="AJ200" i="1"/>
  <c r="AJ95" i="1"/>
  <c r="AJ110" i="1"/>
  <c r="AJ77" i="1"/>
  <c r="AJ161" i="1"/>
  <c r="AJ83" i="1"/>
  <c r="AJ230" i="1"/>
  <c r="AJ53" i="1"/>
  <c r="AJ152" i="1"/>
  <c r="AJ194" i="1"/>
  <c r="AJ203" i="1"/>
  <c r="AJ206" i="1"/>
  <c r="AJ146" i="1"/>
  <c r="AJ71" i="1"/>
  <c r="AJ143" i="1"/>
  <c r="AJ233" i="1"/>
  <c r="AJ209" i="1"/>
  <c r="AJ179" i="1"/>
  <c r="AJ131" i="1"/>
  <c r="AJ149" i="1"/>
  <c r="AJ224" i="1"/>
  <c r="AJ128" i="1"/>
  <c r="AJ98" i="1"/>
  <c r="AJ155" i="1"/>
  <c r="AJ113" i="1"/>
  <c r="F146" i="1"/>
  <c r="S146" i="1" s="1"/>
  <c r="AJ44" i="1"/>
  <c r="F135" i="1"/>
  <c r="J135" i="1" s="1"/>
  <c r="F142" i="1"/>
  <c r="S142" i="1" s="1"/>
  <c r="F141" i="1"/>
  <c r="J141" i="1" s="1"/>
  <c r="F138" i="1"/>
  <c r="J138" i="1" s="1"/>
  <c r="F120" i="1"/>
  <c r="R120" i="1" s="1"/>
  <c r="F116" i="1"/>
  <c r="S116" i="1" s="1"/>
  <c r="F124" i="1"/>
  <c r="S124" i="1" s="1"/>
  <c r="F143" i="1"/>
  <c r="J143" i="1" s="1"/>
  <c r="F114" i="1"/>
  <c r="S114" i="1" s="1"/>
  <c r="F104" i="1"/>
  <c r="J232" i="1"/>
  <c r="R146" i="1"/>
  <c r="F97" i="1"/>
  <c r="J224" i="1"/>
  <c r="R224" i="1"/>
  <c r="S224" i="1"/>
  <c r="J168" i="1"/>
  <c r="F105" i="1"/>
  <c r="F130" i="1"/>
  <c r="F127" i="1"/>
  <c r="F125" i="1"/>
  <c r="F90" i="1"/>
  <c r="F65" i="1"/>
  <c r="F53" i="1"/>
  <c r="F103" i="1"/>
  <c r="F47" i="1"/>
  <c r="F167" i="1"/>
  <c r="F152" i="1"/>
  <c r="F79" i="1"/>
  <c r="F207" i="1"/>
  <c r="F134" i="1"/>
  <c r="F133" i="1"/>
  <c r="F113" i="1"/>
  <c r="F77" i="1"/>
  <c r="F206" i="1"/>
  <c r="F109" i="1"/>
  <c r="F72" i="1"/>
  <c r="F199" i="1"/>
  <c r="F93" i="1"/>
  <c r="F66" i="1"/>
  <c r="F231" i="1"/>
  <c r="F193" i="1"/>
  <c r="F151" i="1"/>
  <c r="F89" i="1"/>
  <c r="F64" i="1"/>
  <c r="F220" i="1"/>
  <c r="F185" i="1"/>
  <c r="F85" i="1"/>
  <c r="F58" i="1"/>
  <c r="F217" i="1"/>
  <c r="F182" i="1"/>
  <c r="F80" i="1"/>
  <c r="F55" i="1"/>
  <c r="F212" i="1"/>
  <c r="F180" i="1"/>
  <c r="F230" i="1"/>
  <c r="F204" i="1"/>
  <c r="F177" i="1"/>
  <c r="F166" i="1"/>
  <c r="F140" i="1"/>
  <c r="F132" i="1"/>
  <c r="F122" i="1"/>
  <c r="F112" i="1"/>
  <c r="F101" i="1"/>
  <c r="F88" i="1"/>
  <c r="F74" i="1"/>
  <c r="F63" i="1"/>
  <c r="F49" i="1"/>
  <c r="F228" i="1"/>
  <c r="F215" i="1"/>
  <c r="F201" i="1"/>
  <c r="F190" i="1"/>
  <c r="F176" i="1"/>
  <c r="F161" i="1"/>
  <c r="F145" i="1"/>
  <c r="F50" i="1"/>
  <c r="F216" i="1"/>
  <c r="F191" i="1"/>
  <c r="F150" i="1"/>
  <c r="F139" i="1"/>
  <c r="F131" i="1"/>
  <c r="F121" i="1"/>
  <c r="F111" i="1"/>
  <c r="F98" i="1"/>
  <c r="F87" i="1"/>
  <c r="F73" i="1"/>
  <c r="F61" i="1"/>
  <c r="F48" i="1"/>
  <c r="F225" i="1"/>
  <c r="F214" i="1"/>
  <c r="F200" i="1"/>
  <c r="F188" i="1"/>
  <c r="F175" i="1"/>
  <c r="F160" i="1"/>
  <c r="F144" i="1"/>
  <c r="F174" i="1"/>
  <c r="F159" i="1"/>
  <c r="F137" i="1"/>
  <c r="F129" i="1"/>
  <c r="F119" i="1"/>
  <c r="F108" i="1"/>
  <c r="F96" i="1"/>
  <c r="F82" i="1"/>
  <c r="F71" i="1"/>
  <c r="F57" i="1"/>
  <c r="F45" i="1"/>
  <c r="F223" i="1"/>
  <c r="F209" i="1"/>
  <c r="F198" i="1"/>
  <c r="F184" i="1"/>
  <c r="F172" i="1"/>
  <c r="F158" i="1"/>
  <c r="F136" i="1"/>
  <c r="F128" i="1"/>
  <c r="F117" i="1"/>
  <c r="F106" i="1"/>
  <c r="F95" i="1"/>
  <c r="F81" i="1"/>
  <c r="F69" i="1"/>
  <c r="F56" i="1"/>
  <c r="F233" i="1"/>
  <c r="F222" i="1"/>
  <c r="F208" i="1"/>
  <c r="F196" i="1"/>
  <c r="F183" i="1"/>
  <c r="F169" i="1"/>
  <c r="F153" i="1"/>
  <c r="F126" i="1"/>
  <c r="F118" i="1"/>
  <c r="F110" i="1"/>
  <c r="F102" i="1"/>
  <c r="F94" i="1"/>
  <c r="F86" i="1"/>
  <c r="F78" i="1"/>
  <c r="F70" i="1"/>
  <c r="F62" i="1"/>
  <c r="F54" i="1"/>
  <c r="F46" i="1"/>
  <c r="F229" i="1"/>
  <c r="F221" i="1"/>
  <c r="F213" i="1"/>
  <c r="F205" i="1"/>
  <c r="F197" i="1"/>
  <c r="F189" i="1"/>
  <c r="F181" i="1"/>
  <c r="F173" i="1"/>
  <c r="F165" i="1"/>
  <c r="F157" i="1"/>
  <c r="F149" i="1"/>
  <c r="F164" i="1"/>
  <c r="F156" i="1"/>
  <c r="F148" i="1"/>
  <c r="F100" i="1"/>
  <c r="F92" i="1"/>
  <c r="F84" i="1"/>
  <c r="F76" i="1"/>
  <c r="F68" i="1"/>
  <c r="F60" i="1"/>
  <c r="F52" i="1"/>
  <c r="F235" i="1"/>
  <c r="F227" i="1"/>
  <c r="F219" i="1"/>
  <c r="F211" i="1"/>
  <c r="F203" i="1"/>
  <c r="F195" i="1"/>
  <c r="F187" i="1"/>
  <c r="F179" i="1"/>
  <c r="F171" i="1"/>
  <c r="F163" i="1"/>
  <c r="F155" i="1"/>
  <c r="F147" i="1"/>
  <c r="F123" i="1"/>
  <c r="F115" i="1"/>
  <c r="F107" i="1"/>
  <c r="F99" i="1"/>
  <c r="F91" i="1"/>
  <c r="F83" i="1"/>
  <c r="F75" i="1"/>
  <c r="F67" i="1"/>
  <c r="F59" i="1"/>
  <c r="F51" i="1"/>
  <c r="F234" i="1"/>
  <c r="F226" i="1"/>
  <c r="F218" i="1"/>
  <c r="F210" i="1"/>
  <c r="F202" i="1"/>
  <c r="F194" i="1"/>
  <c r="F186" i="1"/>
  <c r="F178" i="1"/>
  <c r="F170" i="1"/>
  <c r="F162" i="1"/>
  <c r="F154" i="1"/>
  <c r="S192" i="1" l="1"/>
  <c r="T192" i="1" s="1"/>
  <c r="S232" i="1"/>
  <c r="R192" i="1"/>
  <c r="AW176" i="1"/>
  <c r="AN176" i="1"/>
  <c r="AV176" i="1"/>
  <c r="AX176" i="1" s="1"/>
  <c r="J146" i="1"/>
  <c r="R168" i="1"/>
  <c r="T168" i="1" s="1"/>
  <c r="S135" i="1"/>
  <c r="T135" i="1" s="1"/>
  <c r="R135" i="1"/>
  <c r="S141" i="1"/>
  <c r="R141" i="1"/>
  <c r="AV113" i="1"/>
  <c r="AN113" i="1"/>
  <c r="AW113" i="1"/>
  <c r="AW152" i="1"/>
  <c r="AV152" i="1"/>
  <c r="AN152" i="1"/>
  <c r="AV80" i="1"/>
  <c r="AN80" i="1"/>
  <c r="AW80" i="1"/>
  <c r="AW218" i="1"/>
  <c r="AV218" i="1"/>
  <c r="AN218" i="1"/>
  <c r="AV155" i="1"/>
  <c r="AN155" i="1"/>
  <c r="AW155" i="1"/>
  <c r="AN53" i="1"/>
  <c r="AW53" i="1"/>
  <c r="AV53" i="1"/>
  <c r="AW158" i="1"/>
  <c r="AN158" i="1"/>
  <c r="AV158" i="1"/>
  <c r="AW212" i="1"/>
  <c r="AV212" i="1"/>
  <c r="AN212" i="1"/>
  <c r="AN98" i="1"/>
  <c r="AW98" i="1"/>
  <c r="AV98" i="1"/>
  <c r="AN143" i="1"/>
  <c r="AV143" i="1"/>
  <c r="AW143" i="1"/>
  <c r="AW230" i="1"/>
  <c r="AV230" i="1"/>
  <c r="AN230" i="1"/>
  <c r="AN74" i="1"/>
  <c r="AV74" i="1"/>
  <c r="AW74" i="1"/>
  <c r="AV122" i="1"/>
  <c r="AW122" i="1"/>
  <c r="AN122" i="1"/>
  <c r="AW68" i="1"/>
  <c r="AV68" i="1"/>
  <c r="AN68" i="1"/>
  <c r="AW59" i="1"/>
  <c r="AV59" i="1"/>
  <c r="AN59" i="1"/>
  <c r="AN209" i="1"/>
  <c r="AW209" i="1"/>
  <c r="AV209" i="1"/>
  <c r="AV200" i="1"/>
  <c r="AN200" i="1"/>
  <c r="AW200" i="1"/>
  <c r="AV197" i="1"/>
  <c r="AW197" i="1"/>
  <c r="AN197" i="1"/>
  <c r="AW233" i="1"/>
  <c r="AN233" i="1"/>
  <c r="AV233" i="1"/>
  <c r="AW92" i="1"/>
  <c r="AV92" i="1"/>
  <c r="AN92" i="1"/>
  <c r="AN86" i="1"/>
  <c r="AV86" i="1"/>
  <c r="AW86" i="1"/>
  <c r="AW185" i="1"/>
  <c r="AV185" i="1"/>
  <c r="AN185" i="1"/>
  <c r="AW128" i="1"/>
  <c r="AV128" i="1"/>
  <c r="AN128" i="1"/>
  <c r="AN71" i="1"/>
  <c r="AW71" i="1"/>
  <c r="AV71" i="1"/>
  <c r="AW83" i="1"/>
  <c r="AN83" i="1"/>
  <c r="AV83" i="1"/>
  <c r="AN227" i="1"/>
  <c r="AW227" i="1"/>
  <c r="AV227" i="1"/>
  <c r="AW182" i="1"/>
  <c r="AV182" i="1"/>
  <c r="AN182" i="1"/>
  <c r="AW104" i="1"/>
  <c r="AN104" i="1"/>
  <c r="AV104" i="1"/>
  <c r="AV56" i="1"/>
  <c r="AN56" i="1"/>
  <c r="AW56" i="1"/>
  <c r="AW173" i="1"/>
  <c r="AV173" i="1"/>
  <c r="AN173" i="1"/>
  <c r="AW50" i="1"/>
  <c r="AV50" i="1"/>
  <c r="AN50" i="1"/>
  <c r="S143" i="1"/>
  <c r="AW224" i="1"/>
  <c r="AV224" i="1"/>
  <c r="AN224" i="1"/>
  <c r="AW146" i="1"/>
  <c r="AN146" i="1"/>
  <c r="AV146" i="1"/>
  <c r="AW161" i="1"/>
  <c r="AV161" i="1"/>
  <c r="AN161" i="1"/>
  <c r="AW125" i="1"/>
  <c r="AV125" i="1"/>
  <c r="AN125" i="1"/>
  <c r="AW119" i="1"/>
  <c r="AN119" i="1"/>
  <c r="AV119" i="1"/>
  <c r="AW116" i="1"/>
  <c r="AV116" i="1"/>
  <c r="AN116" i="1"/>
  <c r="AN65" i="1"/>
  <c r="AW65" i="1"/>
  <c r="AV65" i="1"/>
  <c r="AW101" i="1"/>
  <c r="AV101" i="1"/>
  <c r="AN101" i="1"/>
  <c r="AN149" i="1"/>
  <c r="AW149" i="1"/>
  <c r="AV149" i="1"/>
  <c r="AW206" i="1"/>
  <c r="AV206" i="1"/>
  <c r="AN206" i="1"/>
  <c r="AW77" i="1"/>
  <c r="AV77" i="1"/>
  <c r="AN77" i="1"/>
  <c r="AN221" i="1"/>
  <c r="AV221" i="1"/>
  <c r="AW221" i="1"/>
  <c r="AN62" i="1"/>
  <c r="AV62" i="1"/>
  <c r="AW62" i="1"/>
  <c r="AW215" i="1"/>
  <c r="AV215" i="1"/>
  <c r="AN215" i="1"/>
  <c r="AN47" i="1"/>
  <c r="AW47" i="1"/>
  <c r="AV47" i="1"/>
  <c r="AN170" i="1"/>
  <c r="AW170" i="1"/>
  <c r="AV170" i="1"/>
  <c r="AN131" i="1"/>
  <c r="AW131" i="1"/>
  <c r="AV131" i="1"/>
  <c r="AW203" i="1"/>
  <c r="AV203" i="1"/>
  <c r="AN203" i="1"/>
  <c r="AW110" i="1"/>
  <c r="AV110" i="1"/>
  <c r="AN110" i="1"/>
  <c r="AV107" i="1"/>
  <c r="AN107" i="1"/>
  <c r="AW107" i="1"/>
  <c r="AN191" i="1"/>
  <c r="AW191" i="1"/>
  <c r="AV191" i="1"/>
  <c r="AN89" i="1"/>
  <c r="AV89" i="1"/>
  <c r="AW89" i="1"/>
  <c r="AN164" i="1"/>
  <c r="AV164" i="1"/>
  <c r="AW164" i="1"/>
  <c r="AW188" i="1"/>
  <c r="AV188" i="1"/>
  <c r="AN188" i="1"/>
  <c r="AV179" i="1"/>
  <c r="AN179" i="1"/>
  <c r="AW179" i="1"/>
  <c r="AW194" i="1"/>
  <c r="AV194" i="1"/>
  <c r="AN194" i="1"/>
  <c r="AN95" i="1"/>
  <c r="AW95" i="1"/>
  <c r="AV95" i="1"/>
  <c r="AN134" i="1"/>
  <c r="AV134" i="1"/>
  <c r="AW134" i="1"/>
  <c r="AN137" i="1"/>
  <c r="AW137" i="1"/>
  <c r="AV137" i="1"/>
  <c r="AN140" i="1"/>
  <c r="AV140" i="1"/>
  <c r="AW140" i="1"/>
  <c r="AW167" i="1"/>
  <c r="AV167" i="1"/>
  <c r="AN167" i="1"/>
  <c r="R138" i="1"/>
  <c r="J142" i="1"/>
  <c r="U142" i="1" s="1"/>
  <c r="AV44" i="1"/>
  <c r="AW44" i="1"/>
  <c r="AN44" i="1"/>
  <c r="R143" i="1"/>
  <c r="J120" i="1"/>
  <c r="U120" i="1" s="1"/>
  <c r="R116" i="1"/>
  <c r="T116" i="1" s="1"/>
  <c r="R124" i="1"/>
  <c r="T124" i="1" s="1"/>
  <c r="J116" i="1"/>
  <c r="U116" i="1" s="1"/>
  <c r="J124" i="1"/>
  <c r="U124" i="1" s="1"/>
  <c r="T232" i="1"/>
  <c r="R142" i="1"/>
  <c r="T142" i="1" s="1"/>
  <c r="R114" i="1"/>
  <c r="T114" i="1" s="1"/>
  <c r="J114" i="1"/>
  <c r="V114" i="1" s="1"/>
  <c r="S138" i="1"/>
  <c r="S120" i="1"/>
  <c r="T120" i="1" s="1"/>
  <c r="J76" i="1"/>
  <c r="R76" i="1"/>
  <c r="S76" i="1"/>
  <c r="J196" i="1"/>
  <c r="R196" i="1"/>
  <c r="S196" i="1"/>
  <c r="J216" i="1"/>
  <c r="R216" i="1"/>
  <c r="S216" i="1"/>
  <c r="J79" i="1"/>
  <c r="R79" i="1"/>
  <c r="S79" i="1"/>
  <c r="J84" i="1"/>
  <c r="R84" i="1"/>
  <c r="S84" i="1"/>
  <c r="J208" i="1"/>
  <c r="R208" i="1"/>
  <c r="S208" i="1"/>
  <c r="J49" i="1"/>
  <c r="S49" i="1"/>
  <c r="R49" i="1"/>
  <c r="J109" i="1"/>
  <c r="R109" i="1"/>
  <c r="S109" i="1"/>
  <c r="J202" i="1"/>
  <c r="R202" i="1"/>
  <c r="S202" i="1"/>
  <c r="J75" i="1"/>
  <c r="R75" i="1"/>
  <c r="S75" i="1"/>
  <c r="J155" i="1"/>
  <c r="R155" i="1"/>
  <c r="S155" i="1"/>
  <c r="J219" i="1"/>
  <c r="R219" i="1"/>
  <c r="S219" i="1"/>
  <c r="J92" i="1"/>
  <c r="S92" i="1"/>
  <c r="R92" i="1"/>
  <c r="J173" i="1"/>
  <c r="R173" i="1"/>
  <c r="S173" i="1"/>
  <c r="J46" i="1"/>
  <c r="S46" i="1"/>
  <c r="R46" i="1"/>
  <c r="J110" i="1"/>
  <c r="R110" i="1"/>
  <c r="S110" i="1"/>
  <c r="J222" i="1"/>
  <c r="R222" i="1"/>
  <c r="S222" i="1"/>
  <c r="J128" i="1"/>
  <c r="R128" i="1"/>
  <c r="S128" i="1"/>
  <c r="J223" i="1"/>
  <c r="J129" i="1"/>
  <c r="R129" i="1"/>
  <c r="S129" i="1"/>
  <c r="J200" i="1"/>
  <c r="R200" i="1"/>
  <c r="S200" i="1"/>
  <c r="J111" i="1"/>
  <c r="R111" i="1"/>
  <c r="S111" i="1"/>
  <c r="J145" i="1"/>
  <c r="R145" i="1"/>
  <c r="S145" i="1"/>
  <c r="J63" i="1"/>
  <c r="R63" i="1"/>
  <c r="S63" i="1"/>
  <c r="J166" i="1"/>
  <c r="R166" i="1"/>
  <c r="S166" i="1"/>
  <c r="J182" i="1"/>
  <c r="R182" i="1"/>
  <c r="S182" i="1"/>
  <c r="J151" i="1"/>
  <c r="R151" i="1"/>
  <c r="S151" i="1"/>
  <c r="J206" i="1"/>
  <c r="R206" i="1"/>
  <c r="S206" i="1"/>
  <c r="J167" i="1"/>
  <c r="R167" i="1"/>
  <c r="S167" i="1"/>
  <c r="J130" i="1"/>
  <c r="R130" i="1"/>
  <c r="S130" i="1"/>
  <c r="J104" i="1"/>
  <c r="R104" i="1"/>
  <c r="S104" i="1"/>
  <c r="J123" i="1"/>
  <c r="R123" i="1"/>
  <c r="S123" i="1"/>
  <c r="J94" i="1"/>
  <c r="R94" i="1"/>
  <c r="S94" i="1"/>
  <c r="J175" i="1"/>
  <c r="R175" i="1"/>
  <c r="S175" i="1"/>
  <c r="J72" i="1"/>
  <c r="R72" i="1"/>
  <c r="S72" i="1"/>
  <c r="J147" i="1"/>
  <c r="R147" i="1"/>
  <c r="S147" i="1"/>
  <c r="J102" i="1"/>
  <c r="R102" i="1"/>
  <c r="S102" i="1"/>
  <c r="J188" i="1"/>
  <c r="S188" i="1"/>
  <c r="R188" i="1"/>
  <c r="J80" i="1"/>
  <c r="R80" i="1"/>
  <c r="S80" i="1"/>
  <c r="V192" i="1"/>
  <c r="U192" i="1"/>
  <c r="J210" i="1"/>
  <c r="R210" i="1"/>
  <c r="S210" i="1"/>
  <c r="J83" i="1"/>
  <c r="R83" i="1"/>
  <c r="S83" i="1"/>
  <c r="J163" i="1"/>
  <c r="R163" i="1"/>
  <c r="S163" i="1"/>
  <c r="J227" i="1"/>
  <c r="R227" i="1"/>
  <c r="S227" i="1"/>
  <c r="J100" i="1"/>
  <c r="R100" i="1"/>
  <c r="S100" i="1"/>
  <c r="J181" i="1"/>
  <c r="R181" i="1"/>
  <c r="S181" i="1"/>
  <c r="J54" i="1"/>
  <c r="R54" i="1"/>
  <c r="S54" i="1"/>
  <c r="J118" i="1"/>
  <c r="R118" i="1"/>
  <c r="S118" i="1"/>
  <c r="J233" i="1"/>
  <c r="R233" i="1"/>
  <c r="S233" i="1"/>
  <c r="J136" i="1"/>
  <c r="R136" i="1"/>
  <c r="S136" i="1"/>
  <c r="J45" i="1"/>
  <c r="R45" i="1"/>
  <c r="S45" i="1"/>
  <c r="J137" i="1"/>
  <c r="R137" i="1"/>
  <c r="S137" i="1"/>
  <c r="J214" i="1"/>
  <c r="R214" i="1"/>
  <c r="S214" i="1"/>
  <c r="J121" i="1"/>
  <c r="R121" i="1"/>
  <c r="S121" i="1"/>
  <c r="J161" i="1"/>
  <c r="R161" i="1"/>
  <c r="S161" i="1"/>
  <c r="J74" i="1"/>
  <c r="R74" i="1"/>
  <c r="S74" i="1"/>
  <c r="J177" i="1"/>
  <c r="R177" i="1"/>
  <c r="S177" i="1"/>
  <c r="J217" i="1"/>
  <c r="R217" i="1"/>
  <c r="S217" i="1"/>
  <c r="J193" i="1"/>
  <c r="R193" i="1"/>
  <c r="S193" i="1"/>
  <c r="J77" i="1"/>
  <c r="R77" i="1"/>
  <c r="S77" i="1"/>
  <c r="J47" i="1"/>
  <c r="R47" i="1"/>
  <c r="S47" i="1"/>
  <c r="J105" i="1"/>
  <c r="R105" i="1"/>
  <c r="S105" i="1"/>
  <c r="T224" i="1"/>
  <c r="U138" i="1"/>
  <c r="V138" i="1"/>
  <c r="J186" i="1"/>
  <c r="R186" i="1"/>
  <c r="S186" i="1"/>
  <c r="J221" i="1"/>
  <c r="R221" i="1"/>
  <c r="S221" i="1"/>
  <c r="J87" i="1"/>
  <c r="R87" i="1"/>
  <c r="S87" i="1"/>
  <c r="J64" i="1"/>
  <c r="S64" i="1"/>
  <c r="R64" i="1"/>
  <c r="U146" i="1"/>
  <c r="V146" i="1"/>
  <c r="J165" i="1"/>
  <c r="S165" i="1"/>
  <c r="R165" i="1"/>
  <c r="J117" i="1"/>
  <c r="R117" i="1"/>
  <c r="S117" i="1"/>
  <c r="J50" i="1"/>
  <c r="R50" i="1"/>
  <c r="S50" i="1"/>
  <c r="J140" i="1"/>
  <c r="R140" i="1"/>
  <c r="S140" i="1"/>
  <c r="J152" i="1"/>
  <c r="R152" i="1"/>
  <c r="S152" i="1"/>
  <c r="J127" i="1"/>
  <c r="R127" i="1"/>
  <c r="S127" i="1"/>
  <c r="J154" i="1"/>
  <c r="R154" i="1"/>
  <c r="S154" i="1"/>
  <c r="J218" i="1"/>
  <c r="R218" i="1"/>
  <c r="S218" i="1"/>
  <c r="J91" i="1"/>
  <c r="R91" i="1"/>
  <c r="S91" i="1"/>
  <c r="J171" i="1"/>
  <c r="R171" i="1"/>
  <c r="S171" i="1"/>
  <c r="J235" i="1"/>
  <c r="R235" i="1"/>
  <c r="S235" i="1"/>
  <c r="J148" i="1"/>
  <c r="R148" i="1"/>
  <c r="S148" i="1"/>
  <c r="J189" i="1"/>
  <c r="R189" i="1"/>
  <c r="S189" i="1"/>
  <c r="J62" i="1"/>
  <c r="R62" i="1"/>
  <c r="S62" i="1"/>
  <c r="J126" i="1"/>
  <c r="R126" i="1"/>
  <c r="S126" i="1"/>
  <c r="J56" i="1"/>
  <c r="R56" i="1"/>
  <c r="S56" i="1"/>
  <c r="J44" i="1"/>
  <c r="S44" i="1"/>
  <c r="R44" i="1"/>
  <c r="J57" i="1"/>
  <c r="R57" i="1"/>
  <c r="S57" i="1"/>
  <c r="J159" i="1"/>
  <c r="S159" i="1"/>
  <c r="R159" i="1"/>
  <c r="J225" i="1"/>
  <c r="R225" i="1"/>
  <c r="S225" i="1"/>
  <c r="J131" i="1"/>
  <c r="R131" i="1"/>
  <c r="S131" i="1"/>
  <c r="J176" i="1"/>
  <c r="R176" i="1"/>
  <c r="S176" i="1"/>
  <c r="J88" i="1"/>
  <c r="R88" i="1"/>
  <c r="S88" i="1"/>
  <c r="J204" i="1"/>
  <c r="R204" i="1"/>
  <c r="S204" i="1"/>
  <c r="J58" i="1"/>
  <c r="R58" i="1"/>
  <c r="S58" i="1"/>
  <c r="J231" i="1"/>
  <c r="R231" i="1"/>
  <c r="S231" i="1"/>
  <c r="J113" i="1"/>
  <c r="R113" i="1"/>
  <c r="S113" i="1"/>
  <c r="J103" i="1"/>
  <c r="S103" i="1"/>
  <c r="R103" i="1"/>
  <c r="V224" i="1"/>
  <c r="U224" i="1"/>
  <c r="J59" i="1"/>
  <c r="R59" i="1"/>
  <c r="S59" i="1"/>
  <c r="J198" i="1"/>
  <c r="R198" i="1"/>
  <c r="S198" i="1"/>
  <c r="J132" i="1"/>
  <c r="R132" i="1"/>
  <c r="S132" i="1"/>
  <c r="J67" i="1"/>
  <c r="S67" i="1"/>
  <c r="R67" i="1"/>
  <c r="J119" i="1"/>
  <c r="R119" i="1"/>
  <c r="S119" i="1"/>
  <c r="J162" i="1"/>
  <c r="S162" i="1"/>
  <c r="R162" i="1"/>
  <c r="J226" i="1"/>
  <c r="S226" i="1"/>
  <c r="R226" i="1"/>
  <c r="J99" i="1"/>
  <c r="R99" i="1"/>
  <c r="S99" i="1"/>
  <c r="J179" i="1"/>
  <c r="R179" i="1"/>
  <c r="S179" i="1"/>
  <c r="J52" i="1"/>
  <c r="S52" i="1"/>
  <c r="R52" i="1"/>
  <c r="J156" i="1"/>
  <c r="S156" i="1"/>
  <c r="R156" i="1"/>
  <c r="J197" i="1"/>
  <c r="S197" i="1"/>
  <c r="R197" i="1"/>
  <c r="J70" i="1"/>
  <c r="S70" i="1"/>
  <c r="R70" i="1"/>
  <c r="J153" i="1"/>
  <c r="R153" i="1"/>
  <c r="S153" i="1"/>
  <c r="J69" i="1"/>
  <c r="R69" i="1"/>
  <c r="S69" i="1"/>
  <c r="J158" i="1"/>
  <c r="R158" i="1"/>
  <c r="S158" i="1"/>
  <c r="J71" i="1"/>
  <c r="R71" i="1"/>
  <c r="S71" i="1"/>
  <c r="J174" i="1"/>
  <c r="R174" i="1"/>
  <c r="S174" i="1"/>
  <c r="J48" i="1"/>
  <c r="R48" i="1"/>
  <c r="S48" i="1"/>
  <c r="J139" i="1"/>
  <c r="R139" i="1"/>
  <c r="S139" i="1"/>
  <c r="J190" i="1"/>
  <c r="R190" i="1"/>
  <c r="S190" i="1"/>
  <c r="J101" i="1"/>
  <c r="R101" i="1"/>
  <c r="S101" i="1"/>
  <c r="J230" i="1"/>
  <c r="R230" i="1"/>
  <c r="S230" i="1"/>
  <c r="J85" i="1"/>
  <c r="R85" i="1"/>
  <c r="S85" i="1"/>
  <c r="J66" i="1"/>
  <c r="R66" i="1"/>
  <c r="S66" i="1"/>
  <c r="J133" i="1"/>
  <c r="R133" i="1"/>
  <c r="S133" i="1"/>
  <c r="J53" i="1"/>
  <c r="R53" i="1"/>
  <c r="S53" i="1"/>
  <c r="J97" i="1"/>
  <c r="R97" i="1"/>
  <c r="S97" i="1"/>
  <c r="V135" i="1"/>
  <c r="U135" i="1"/>
  <c r="J203" i="1"/>
  <c r="R203" i="1"/>
  <c r="S203" i="1"/>
  <c r="J106" i="1"/>
  <c r="R106" i="1"/>
  <c r="S106" i="1"/>
  <c r="J228" i="1"/>
  <c r="R228" i="1"/>
  <c r="S228" i="1"/>
  <c r="J125" i="1"/>
  <c r="R125" i="1"/>
  <c r="S125" i="1"/>
  <c r="J211" i="1"/>
  <c r="R211" i="1"/>
  <c r="S211" i="1"/>
  <c r="J98" i="1"/>
  <c r="R98" i="1"/>
  <c r="S98" i="1"/>
  <c r="U232" i="1"/>
  <c r="V232" i="1"/>
  <c r="J170" i="1"/>
  <c r="R170" i="1"/>
  <c r="S170" i="1"/>
  <c r="J234" i="1"/>
  <c r="R234" i="1"/>
  <c r="S234" i="1"/>
  <c r="J107" i="1"/>
  <c r="R107" i="1"/>
  <c r="S107" i="1"/>
  <c r="J187" i="1"/>
  <c r="R187" i="1"/>
  <c r="S187" i="1"/>
  <c r="J60" i="1"/>
  <c r="R60" i="1"/>
  <c r="S60" i="1"/>
  <c r="J164" i="1"/>
  <c r="R164" i="1"/>
  <c r="S164" i="1"/>
  <c r="J205" i="1"/>
  <c r="R205" i="1"/>
  <c r="S205" i="1"/>
  <c r="J78" i="1"/>
  <c r="R78" i="1"/>
  <c r="S78" i="1"/>
  <c r="J169" i="1"/>
  <c r="R169" i="1"/>
  <c r="S169" i="1"/>
  <c r="J81" i="1"/>
  <c r="R81" i="1"/>
  <c r="S81" i="1"/>
  <c r="J172" i="1"/>
  <c r="R172" i="1"/>
  <c r="S172" i="1"/>
  <c r="J82" i="1"/>
  <c r="R82" i="1"/>
  <c r="S82" i="1"/>
  <c r="J144" i="1"/>
  <c r="R144" i="1"/>
  <c r="S144" i="1"/>
  <c r="J61" i="1"/>
  <c r="R61" i="1"/>
  <c r="S61" i="1"/>
  <c r="J150" i="1"/>
  <c r="R150" i="1"/>
  <c r="S150" i="1"/>
  <c r="J201" i="1"/>
  <c r="R201" i="1"/>
  <c r="S201" i="1"/>
  <c r="J112" i="1"/>
  <c r="R112" i="1"/>
  <c r="S112" i="1"/>
  <c r="J180" i="1"/>
  <c r="R180" i="1"/>
  <c r="S180" i="1"/>
  <c r="J185" i="1"/>
  <c r="R185" i="1"/>
  <c r="S185" i="1"/>
  <c r="J93" i="1"/>
  <c r="R93" i="1"/>
  <c r="S93" i="1"/>
  <c r="J134" i="1"/>
  <c r="S134" i="1"/>
  <c r="R134" i="1"/>
  <c r="J65" i="1"/>
  <c r="R65" i="1"/>
  <c r="S65" i="1"/>
  <c r="U168" i="1"/>
  <c r="V168" i="1"/>
  <c r="U141" i="1"/>
  <c r="V141" i="1"/>
  <c r="J157" i="1"/>
  <c r="R157" i="1"/>
  <c r="S157" i="1"/>
  <c r="J108" i="1"/>
  <c r="S108" i="1"/>
  <c r="R108" i="1"/>
  <c r="J55" i="1"/>
  <c r="R55" i="1"/>
  <c r="S55" i="1"/>
  <c r="J194" i="1"/>
  <c r="S194" i="1"/>
  <c r="R194" i="1"/>
  <c r="J229" i="1"/>
  <c r="S229" i="1"/>
  <c r="R229" i="1"/>
  <c r="J209" i="1"/>
  <c r="R209" i="1"/>
  <c r="S209" i="1"/>
  <c r="J89" i="1"/>
  <c r="R89" i="1"/>
  <c r="S89" i="1"/>
  <c r="U143" i="1"/>
  <c r="V143" i="1"/>
  <c r="J178" i="1"/>
  <c r="J51" i="1"/>
  <c r="R51" i="1"/>
  <c r="S51" i="1"/>
  <c r="J115" i="1"/>
  <c r="R115" i="1"/>
  <c r="S115" i="1"/>
  <c r="J195" i="1"/>
  <c r="R195" i="1"/>
  <c r="S195" i="1"/>
  <c r="J68" i="1"/>
  <c r="R68" i="1"/>
  <c r="S68" i="1"/>
  <c r="J149" i="1"/>
  <c r="R149" i="1"/>
  <c r="S149" i="1"/>
  <c r="J213" i="1"/>
  <c r="R213" i="1"/>
  <c r="S213" i="1"/>
  <c r="J86" i="1"/>
  <c r="R86" i="1"/>
  <c r="S86" i="1"/>
  <c r="J183" i="1"/>
  <c r="R183" i="1"/>
  <c r="S183" i="1"/>
  <c r="J95" i="1"/>
  <c r="S95" i="1"/>
  <c r="R95" i="1"/>
  <c r="J184" i="1"/>
  <c r="R184" i="1"/>
  <c r="S184" i="1"/>
  <c r="J96" i="1"/>
  <c r="R96" i="1"/>
  <c r="S96" i="1"/>
  <c r="J160" i="1"/>
  <c r="R160" i="1"/>
  <c r="S160" i="1"/>
  <c r="J73" i="1"/>
  <c r="S73" i="1"/>
  <c r="R73" i="1"/>
  <c r="J191" i="1"/>
  <c r="S191" i="1"/>
  <c r="R191" i="1"/>
  <c r="J215" i="1"/>
  <c r="R215" i="1"/>
  <c r="S215" i="1"/>
  <c r="J122" i="1"/>
  <c r="S122" i="1"/>
  <c r="R122" i="1"/>
  <c r="J212" i="1"/>
  <c r="R212" i="1"/>
  <c r="S212" i="1"/>
  <c r="J220" i="1"/>
  <c r="S220" i="1"/>
  <c r="R220" i="1"/>
  <c r="J199" i="1"/>
  <c r="R199" i="1"/>
  <c r="S199" i="1"/>
  <c r="J207" i="1"/>
  <c r="R207" i="1"/>
  <c r="S207" i="1"/>
  <c r="J90" i="1"/>
  <c r="R90" i="1"/>
  <c r="S90" i="1"/>
  <c r="T146" i="1"/>
  <c r="AZ176" i="1" l="1"/>
  <c r="AY176" i="1"/>
  <c r="BA176" i="1" s="1"/>
  <c r="T52" i="1"/>
  <c r="AX131" i="1"/>
  <c r="AX149" i="1"/>
  <c r="AX125" i="1"/>
  <c r="AX173" i="1"/>
  <c r="AX185" i="1"/>
  <c r="T141" i="1"/>
  <c r="V116" i="1"/>
  <c r="W116" i="1" s="1"/>
  <c r="T230" i="1"/>
  <c r="T69" i="1"/>
  <c r="AX137" i="1"/>
  <c r="AX188" i="1"/>
  <c r="AX191" i="1"/>
  <c r="AX101" i="1"/>
  <c r="AX230" i="1"/>
  <c r="AX203" i="1"/>
  <c r="AX47" i="1"/>
  <c r="AX206" i="1"/>
  <c r="AX65" i="1"/>
  <c r="AX92" i="1"/>
  <c r="AX194" i="1"/>
  <c r="AX83" i="1"/>
  <c r="AX158" i="1"/>
  <c r="AX152" i="1"/>
  <c r="AX86" i="1"/>
  <c r="AX119" i="1"/>
  <c r="AX56" i="1"/>
  <c r="AX122" i="1"/>
  <c r="T185" i="1"/>
  <c r="AX146" i="1"/>
  <c r="AX104" i="1"/>
  <c r="AX128" i="1"/>
  <c r="AX80" i="1"/>
  <c r="V142" i="1"/>
  <c r="W142" i="1" s="1"/>
  <c r="T55" i="1"/>
  <c r="AX167" i="1"/>
  <c r="AX68" i="1"/>
  <c r="AX140" i="1"/>
  <c r="AX179" i="1"/>
  <c r="AX89" i="1"/>
  <c r="AX53" i="1"/>
  <c r="T138" i="1"/>
  <c r="AX113" i="1"/>
  <c r="AY80" i="1"/>
  <c r="AZ80" i="1"/>
  <c r="AZ59" i="1"/>
  <c r="AY59" i="1"/>
  <c r="T207" i="1"/>
  <c r="AZ194" i="1"/>
  <c r="AY194" i="1"/>
  <c r="AZ203" i="1"/>
  <c r="AY203" i="1"/>
  <c r="AZ170" i="1"/>
  <c r="AY170" i="1"/>
  <c r="AX62" i="1"/>
  <c r="AZ206" i="1"/>
  <c r="AY206" i="1"/>
  <c r="AZ119" i="1"/>
  <c r="AY119" i="1"/>
  <c r="AX50" i="1"/>
  <c r="AZ227" i="1"/>
  <c r="AY227" i="1"/>
  <c r="AY92" i="1"/>
  <c r="AZ92" i="1"/>
  <c r="AX197" i="1"/>
  <c r="AX59" i="1"/>
  <c r="AX212" i="1"/>
  <c r="AZ167" i="1"/>
  <c r="AY167" i="1"/>
  <c r="AZ137" i="1"/>
  <c r="AY137" i="1"/>
  <c r="AZ191" i="1"/>
  <c r="AY191" i="1"/>
  <c r="AZ62" i="1"/>
  <c r="AY62" i="1"/>
  <c r="AY146" i="1"/>
  <c r="AZ146" i="1"/>
  <c r="AY104" i="1"/>
  <c r="AZ104" i="1"/>
  <c r="AX74" i="1"/>
  <c r="AZ155" i="1"/>
  <c r="AY155" i="1"/>
  <c r="AZ152" i="1"/>
  <c r="AY152" i="1"/>
  <c r="W143" i="1"/>
  <c r="AZ50" i="1"/>
  <c r="AY50" i="1"/>
  <c r="AZ86" i="1"/>
  <c r="AY86" i="1"/>
  <c r="T68" i="1"/>
  <c r="T143" i="1"/>
  <c r="AX164" i="1"/>
  <c r="AZ125" i="1"/>
  <c r="AY125" i="1"/>
  <c r="AZ173" i="1"/>
  <c r="AY173" i="1"/>
  <c r="AY83" i="1"/>
  <c r="AZ83" i="1"/>
  <c r="AZ185" i="1"/>
  <c r="AY185" i="1"/>
  <c r="AY200" i="1"/>
  <c r="AZ200" i="1"/>
  <c r="AY68" i="1"/>
  <c r="AZ68" i="1"/>
  <c r="AZ74" i="1"/>
  <c r="AY74" i="1"/>
  <c r="AX143" i="1"/>
  <c r="AX155" i="1"/>
  <c r="AZ95" i="1"/>
  <c r="AY95" i="1"/>
  <c r="T160" i="1"/>
  <c r="AX134" i="1"/>
  <c r="AY164" i="1"/>
  <c r="AZ164" i="1"/>
  <c r="AZ107" i="1"/>
  <c r="AY107" i="1"/>
  <c r="AZ47" i="1"/>
  <c r="AY47" i="1"/>
  <c r="AX221" i="1"/>
  <c r="AZ65" i="1"/>
  <c r="AY65" i="1"/>
  <c r="AY224" i="1"/>
  <c r="AZ224" i="1"/>
  <c r="AZ182" i="1"/>
  <c r="AY182" i="1"/>
  <c r="AX233" i="1"/>
  <c r="AX200" i="1"/>
  <c r="AZ143" i="1"/>
  <c r="AY143" i="1"/>
  <c r="AZ158" i="1"/>
  <c r="AY158" i="1"/>
  <c r="AZ218" i="1"/>
  <c r="AY218" i="1"/>
  <c r="AZ128" i="1"/>
  <c r="AY128" i="1"/>
  <c r="AZ212" i="1"/>
  <c r="AY212" i="1"/>
  <c r="AZ134" i="1"/>
  <c r="AY134" i="1"/>
  <c r="AZ179" i="1"/>
  <c r="AY179" i="1"/>
  <c r="AX107" i="1"/>
  <c r="AY215" i="1"/>
  <c r="AZ215" i="1"/>
  <c r="AZ221" i="1"/>
  <c r="AY221" i="1"/>
  <c r="AZ116" i="1"/>
  <c r="AY116" i="1"/>
  <c r="AX224" i="1"/>
  <c r="AX182" i="1"/>
  <c r="AX71" i="1"/>
  <c r="AZ233" i="1"/>
  <c r="AY233" i="1"/>
  <c r="AX209" i="1"/>
  <c r="AX98" i="1"/>
  <c r="AX218" i="1"/>
  <c r="AZ53" i="1"/>
  <c r="AY53" i="1"/>
  <c r="AX95" i="1"/>
  <c r="AZ110" i="1"/>
  <c r="AY110" i="1"/>
  <c r="AZ131" i="1"/>
  <c r="AY131" i="1"/>
  <c r="AX215" i="1"/>
  <c r="AZ77" i="1"/>
  <c r="AY77" i="1"/>
  <c r="AZ149" i="1"/>
  <c r="AY149" i="1"/>
  <c r="AX116" i="1"/>
  <c r="AY161" i="1"/>
  <c r="AZ161" i="1"/>
  <c r="AY122" i="1"/>
  <c r="AZ122" i="1"/>
  <c r="AZ113" i="1"/>
  <c r="AY113" i="1"/>
  <c r="AZ140" i="1"/>
  <c r="AY140" i="1"/>
  <c r="AZ188" i="1"/>
  <c r="AY188" i="1"/>
  <c r="AZ89" i="1"/>
  <c r="AY89" i="1"/>
  <c r="AX110" i="1"/>
  <c r="AX170" i="1"/>
  <c r="AX77" i="1"/>
  <c r="AZ101" i="1"/>
  <c r="AY101" i="1"/>
  <c r="AX161" i="1"/>
  <c r="AZ56" i="1"/>
  <c r="AY56" i="1"/>
  <c r="AX227" i="1"/>
  <c r="AZ71" i="1"/>
  <c r="AY71" i="1"/>
  <c r="AY197" i="1"/>
  <c r="AZ197" i="1"/>
  <c r="AZ209" i="1"/>
  <c r="AY209" i="1"/>
  <c r="AZ230" i="1"/>
  <c r="AY230" i="1"/>
  <c r="AZ98" i="1"/>
  <c r="AY98" i="1"/>
  <c r="T88" i="1"/>
  <c r="T126" i="1"/>
  <c r="T154" i="1"/>
  <c r="T105" i="1"/>
  <c r="T67" i="1"/>
  <c r="T191" i="1"/>
  <c r="T134" i="1"/>
  <c r="V120" i="1"/>
  <c r="W120" i="1" s="1"/>
  <c r="AZ44" i="1"/>
  <c r="AY44" i="1"/>
  <c r="U114" i="1"/>
  <c r="W114" i="1" s="1"/>
  <c r="T184" i="1"/>
  <c r="T115" i="1"/>
  <c r="T157" i="1"/>
  <c r="AX44" i="1"/>
  <c r="T112" i="1"/>
  <c r="V124" i="1"/>
  <c r="W124" i="1" s="1"/>
  <c r="T186" i="1"/>
  <c r="T156" i="1"/>
  <c r="T159" i="1"/>
  <c r="T169" i="1"/>
  <c r="T170" i="1"/>
  <c r="T211" i="1"/>
  <c r="T190" i="1"/>
  <c r="T119" i="1"/>
  <c r="W224" i="1"/>
  <c r="T131" i="1"/>
  <c r="T64" i="1"/>
  <c r="T188" i="1"/>
  <c r="T90" i="1"/>
  <c r="T149" i="1"/>
  <c r="T209" i="1"/>
  <c r="W168" i="1"/>
  <c r="T93" i="1"/>
  <c r="T82" i="1"/>
  <c r="T187" i="1"/>
  <c r="T85" i="1"/>
  <c r="T158" i="1"/>
  <c r="T99" i="1"/>
  <c r="T204" i="1"/>
  <c r="T56" i="1"/>
  <c r="T218" i="1"/>
  <c r="W146" i="1"/>
  <c r="T221" i="1"/>
  <c r="W138" i="1"/>
  <c r="T161" i="1"/>
  <c r="T54" i="1"/>
  <c r="T147" i="1"/>
  <c r="T145" i="1"/>
  <c r="T189" i="1"/>
  <c r="T95" i="1"/>
  <c r="T172" i="1"/>
  <c r="T107" i="1"/>
  <c r="T197" i="1"/>
  <c r="T103" i="1"/>
  <c r="T44" i="1"/>
  <c r="T165" i="1"/>
  <c r="W192" i="1"/>
  <c r="T194" i="1"/>
  <c r="T108" i="1"/>
  <c r="W141" i="1"/>
  <c r="T162" i="1"/>
  <c r="T92" i="1"/>
  <c r="T140" i="1"/>
  <c r="T193" i="1"/>
  <c r="T45" i="1"/>
  <c r="T163" i="1"/>
  <c r="T123" i="1"/>
  <c r="T151" i="1"/>
  <c r="T155" i="1"/>
  <c r="T216" i="1"/>
  <c r="U106" i="1"/>
  <c r="V106" i="1"/>
  <c r="U174" i="1"/>
  <c r="V174" i="1"/>
  <c r="U55" i="1"/>
  <c r="V55" i="1"/>
  <c r="T125" i="1"/>
  <c r="T139" i="1"/>
  <c r="U126" i="1"/>
  <c r="V126" i="1"/>
  <c r="U181" i="1"/>
  <c r="V181" i="1"/>
  <c r="U130" i="1"/>
  <c r="V130" i="1"/>
  <c r="U173" i="1"/>
  <c r="V173" i="1"/>
  <c r="U208" i="1"/>
  <c r="V208" i="1"/>
  <c r="U95" i="1"/>
  <c r="V95" i="1"/>
  <c r="T89" i="1"/>
  <c r="U201" i="1"/>
  <c r="V201" i="1"/>
  <c r="T60" i="1"/>
  <c r="T66" i="1"/>
  <c r="T71" i="1"/>
  <c r="U197" i="1"/>
  <c r="V197" i="1"/>
  <c r="U103" i="1"/>
  <c r="V103" i="1"/>
  <c r="T91" i="1"/>
  <c r="T74" i="1"/>
  <c r="T118" i="1"/>
  <c r="U163" i="1"/>
  <c r="V163" i="1"/>
  <c r="T102" i="1"/>
  <c r="U123" i="1"/>
  <c r="V123" i="1"/>
  <c r="V151" i="1"/>
  <c r="U151" i="1"/>
  <c r="T63" i="1"/>
  <c r="U155" i="1"/>
  <c r="V155" i="1"/>
  <c r="T109" i="1"/>
  <c r="U216" i="1"/>
  <c r="V216" i="1"/>
  <c r="U52" i="1"/>
  <c r="V52" i="1"/>
  <c r="V198" i="1"/>
  <c r="U198" i="1"/>
  <c r="U231" i="1"/>
  <c r="V231" i="1"/>
  <c r="T212" i="1"/>
  <c r="T51" i="1"/>
  <c r="T78" i="1"/>
  <c r="T97" i="1"/>
  <c r="T225" i="1"/>
  <c r="U154" i="1"/>
  <c r="V154" i="1"/>
  <c r="T213" i="1"/>
  <c r="U51" i="1"/>
  <c r="V51" i="1"/>
  <c r="T144" i="1"/>
  <c r="U78" i="1"/>
  <c r="V78" i="1"/>
  <c r="V125" i="1"/>
  <c r="U125" i="1"/>
  <c r="U97" i="1"/>
  <c r="V97" i="1"/>
  <c r="U139" i="1"/>
  <c r="V139" i="1"/>
  <c r="T179" i="1"/>
  <c r="U67" i="1"/>
  <c r="V67" i="1"/>
  <c r="T58" i="1"/>
  <c r="U225" i="1"/>
  <c r="V225" i="1"/>
  <c r="U148" i="1"/>
  <c r="V148" i="1"/>
  <c r="T87" i="1"/>
  <c r="U193" i="1"/>
  <c r="V193" i="1"/>
  <c r="U45" i="1"/>
  <c r="V45" i="1"/>
  <c r="T110" i="1"/>
  <c r="T199" i="1"/>
  <c r="T122" i="1"/>
  <c r="U191" i="1"/>
  <c r="V191" i="1"/>
  <c r="T96" i="1"/>
  <c r="U213" i="1"/>
  <c r="V213" i="1"/>
  <c r="T195" i="1"/>
  <c r="U89" i="1"/>
  <c r="V89" i="1"/>
  <c r="U134" i="1"/>
  <c r="V134" i="1"/>
  <c r="T180" i="1"/>
  <c r="U144" i="1"/>
  <c r="V144" i="1"/>
  <c r="T81" i="1"/>
  <c r="U60" i="1"/>
  <c r="V60" i="1"/>
  <c r="T234" i="1"/>
  <c r="T98" i="1"/>
  <c r="U203" i="1"/>
  <c r="V203" i="1"/>
  <c r="U66" i="1"/>
  <c r="V66" i="1"/>
  <c r="T101" i="1"/>
  <c r="V71" i="1"/>
  <c r="U71" i="1"/>
  <c r="T153" i="1"/>
  <c r="U179" i="1"/>
  <c r="V179" i="1"/>
  <c r="U59" i="1"/>
  <c r="V59" i="1"/>
  <c r="U58" i="1"/>
  <c r="V58" i="1"/>
  <c r="T176" i="1"/>
  <c r="U44" i="1"/>
  <c r="V44" i="1"/>
  <c r="T62" i="1"/>
  <c r="U91" i="1"/>
  <c r="V91" i="1"/>
  <c r="T127" i="1"/>
  <c r="U165" i="1"/>
  <c r="V165" i="1"/>
  <c r="U87" i="1"/>
  <c r="V87" i="1"/>
  <c r="T47" i="1"/>
  <c r="U74" i="1"/>
  <c r="V74" i="1"/>
  <c r="T214" i="1"/>
  <c r="U118" i="1"/>
  <c r="V118" i="1"/>
  <c r="T100" i="1"/>
  <c r="U102" i="1"/>
  <c r="V102" i="1"/>
  <c r="T175" i="1"/>
  <c r="T167" i="1"/>
  <c r="U63" i="1"/>
  <c r="V63" i="1"/>
  <c r="T200" i="1"/>
  <c r="U110" i="1"/>
  <c r="V110" i="1"/>
  <c r="V109" i="1"/>
  <c r="U109" i="1"/>
  <c r="T84" i="1"/>
  <c r="U61" i="1"/>
  <c r="V61" i="1"/>
  <c r="U133" i="1"/>
  <c r="V133" i="1"/>
  <c r="V160" i="1"/>
  <c r="U160" i="1"/>
  <c r="U229" i="1"/>
  <c r="V229" i="1"/>
  <c r="T201" i="1"/>
  <c r="U107" i="1"/>
  <c r="V107" i="1"/>
  <c r="T148" i="1"/>
  <c r="U105" i="1"/>
  <c r="V105" i="1"/>
  <c r="U72" i="1"/>
  <c r="V72" i="1"/>
  <c r="U212" i="1"/>
  <c r="V212" i="1"/>
  <c r="T203" i="1"/>
  <c r="T59" i="1"/>
  <c r="U140" i="1"/>
  <c r="V140" i="1"/>
  <c r="U199" i="1"/>
  <c r="V199" i="1"/>
  <c r="T73" i="1"/>
  <c r="V96" i="1"/>
  <c r="U96" i="1"/>
  <c r="T183" i="1"/>
  <c r="U195" i="1"/>
  <c r="V195" i="1"/>
  <c r="U194" i="1"/>
  <c r="V194" i="1"/>
  <c r="U108" i="1"/>
  <c r="V108" i="1"/>
  <c r="U180" i="1"/>
  <c r="V180" i="1"/>
  <c r="T150" i="1"/>
  <c r="U81" i="1"/>
  <c r="V81" i="1"/>
  <c r="T205" i="1"/>
  <c r="U234" i="1"/>
  <c r="V234" i="1"/>
  <c r="U98" i="1"/>
  <c r="V98" i="1"/>
  <c r="T228" i="1"/>
  <c r="T53" i="1"/>
  <c r="U101" i="1"/>
  <c r="V101" i="1"/>
  <c r="T48" i="1"/>
  <c r="U153" i="1"/>
  <c r="V153" i="1"/>
  <c r="U162" i="1"/>
  <c r="V162" i="1"/>
  <c r="T132" i="1"/>
  <c r="T113" i="1"/>
  <c r="U176" i="1"/>
  <c r="V176" i="1"/>
  <c r="V62" i="1"/>
  <c r="U62" i="1"/>
  <c r="T235" i="1"/>
  <c r="U127" i="1"/>
  <c r="V127" i="1"/>
  <c r="T50" i="1"/>
  <c r="V47" i="1"/>
  <c r="U47" i="1"/>
  <c r="T217" i="1"/>
  <c r="U214" i="1"/>
  <c r="V214" i="1"/>
  <c r="T136" i="1"/>
  <c r="U100" i="1"/>
  <c r="V100" i="1"/>
  <c r="T83" i="1"/>
  <c r="T80" i="1"/>
  <c r="U175" i="1"/>
  <c r="V175" i="1"/>
  <c r="T104" i="1"/>
  <c r="U167" i="1"/>
  <c r="V167" i="1"/>
  <c r="T182" i="1"/>
  <c r="U200" i="1"/>
  <c r="V200" i="1"/>
  <c r="T128" i="1"/>
  <c r="T46" i="1"/>
  <c r="U92" i="1"/>
  <c r="V92" i="1"/>
  <c r="T75" i="1"/>
  <c r="T49" i="1"/>
  <c r="U84" i="1"/>
  <c r="V84" i="1"/>
  <c r="T196" i="1"/>
  <c r="V215" i="1"/>
  <c r="U215" i="1"/>
  <c r="U86" i="1"/>
  <c r="V86" i="1"/>
  <c r="V65" i="1"/>
  <c r="U65" i="1"/>
  <c r="U164" i="1"/>
  <c r="V164" i="1"/>
  <c r="U207" i="1"/>
  <c r="V207" i="1"/>
  <c r="U185" i="1"/>
  <c r="V185" i="1"/>
  <c r="W232" i="1"/>
  <c r="V230" i="1"/>
  <c r="U230" i="1"/>
  <c r="U226" i="1"/>
  <c r="V226" i="1"/>
  <c r="U186" i="1"/>
  <c r="V186" i="1"/>
  <c r="U121" i="1"/>
  <c r="V121" i="1"/>
  <c r="U111" i="1"/>
  <c r="V111" i="1"/>
  <c r="T220" i="1"/>
  <c r="U122" i="1"/>
  <c r="V122" i="1"/>
  <c r="V183" i="1"/>
  <c r="U183" i="1"/>
  <c r="U150" i="1"/>
  <c r="V150" i="1"/>
  <c r="U205" i="1"/>
  <c r="V205" i="1"/>
  <c r="U228" i="1"/>
  <c r="V228" i="1"/>
  <c r="W135" i="1"/>
  <c r="U53" i="1"/>
  <c r="V53" i="1"/>
  <c r="U48" i="1"/>
  <c r="V48" i="1"/>
  <c r="T70" i="1"/>
  <c r="U156" i="1"/>
  <c r="V156" i="1"/>
  <c r="U132" i="1"/>
  <c r="V132" i="1"/>
  <c r="U113" i="1"/>
  <c r="V113" i="1"/>
  <c r="U159" i="1"/>
  <c r="V159" i="1"/>
  <c r="V235" i="1"/>
  <c r="U235" i="1"/>
  <c r="V50" i="1"/>
  <c r="U50" i="1"/>
  <c r="U217" i="1"/>
  <c r="V217" i="1"/>
  <c r="U136" i="1"/>
  <c r="V136" i="1"/>
  <c r="U83" i="1"/>
  <c r="V83" i="1"/>
  <c r="U80" i="1"/>
  <c r="V80" i="1"/>
  <c r="V104" i="1"/>
  <c r="U104" i="1"/>
  <c r="U182" i="1"/>
  <c r="V182" i="1"/>
  <c r="U128" i="1"/>
  <c r="V128" i="1"/>
  <c r="U75" i="1"/>
  <c r="V75" i="1"/>
  <c r="U196" i="1"/>
  <c r="V196" i="1"/>
  <c r="U218" i="1"/>
  <c r="V218" i="1"/>
  <c r="T152" i="1"/>
  <c r="V221" i="1"/>
  <c r="U221" i="1"/>
  <c r="T77" i="1"/>
  <c r="U161" i="1"/>
  <c r="V161" i="1"/>
  <c r="T137" i="1"/>
  <c r="U54" i="1"/>
  <c r="V54" i="1"/>
  <c r="T227" i="1"/>
  <c r="U147" i="1"/>
  <c r="V147" i="1"/>
  <c r="T94" i="1"/>
  <c r="T206" i="1"/>
  <c r="U145" i="1"/>
  <c r="V145" i="1"/>
  <c r="T129" i="1"/>
  <c r="U46" i="1"/>
  <c r="V46" i="1"/>
  <c r="T219" i="1"/>
  <c r="U49" i="1"/>
  <c r="V49" i="1"/>
  <c r="T79" i="1"/>
  <c r="U57" i="1"/>
  <c r="V57" i="1"/>
  <c r="V68" i="1"/>
  <c r="U68" i="1"/>
  <c r="U172" i="1"/>
  <c r="V172" i="1"/>
  <c r="U69" i="1"/>
  <c r="V69" i="1"/>
  <c r="U88" i="1"/>
  <c r="V88" i="1"/>
  <c r="V90" i="1"/>
  <c r="U90" i="1"/>
  <c r="U73" i="1"/>
  <c r="V73" i="1"/>
  <c r="U149" i="1"/>
  <c r="V149" i="1"/>
  <c r="U209" i="1"/>
  <c r="V209" i="1"/>
  <c r="V93" i="1"/>
  <c r="U93" i="1"/>
  <c r="U82" i="1"/>
  <c r="V82" i="1"/>
  <c r="U187" i="1"/>
  <c r="V187" i="1"/>
  <c r="U85" i="1"/>
  <c r="V85" i="1"/>
  <c r="U158" i="1"/>
  <c r="V158" i="1"/>
  <c r="U99" i="1"/>
  <c r="V99" i="1"/>
  <c r="V204" i="1"/>
  <c r="U204" i="1"/>
  <c r="U56" i="1"/>
  <c r="V56" i="1"/>
  <c r="U220" i="1"/>
  <c r="V220" i="1"/>
  <c r="T215" i="1"/>
  <c r="U184" i="1"/>
  <c r="V184" i="1"/>
  <c r="T86" i="1"/>
  <c r="U115" i="1"/>
  <c r="V115" i="1"/>
  <c r="T229" i="1"/>
  <c r="V157" i="1"/>
  <c r="U157" i="1"/>
  <c r="T65" i="1"/>
  <c r="U112" i="1"/>
  <c r="V112" i="1"/>
  <c r="T61" i="1"/>
  <c r="U169" i="1"/>
  <c r="V169" i="1"/>
  <c r="T164" i="1"/>
  <c r="U170" i="1"/>
  <c r="V170" i="1"/>
  <c r="U211" i="1"/>
  <c r="V211" i="1"/>
  <c r="T106" i="1"/>
  <c r="T133" i="1"/>
  <c r="U190" i="1"/>
  <c r="V190" i="1"/>
  <c r="T174" i="1"/>
  <c r="U70" i="1"/>
  <c r="V70" i="1"/>
  <c r="T226" i="1"/>
  <c r="U119" i="1"/>
  <c r="V119" i="1"/>
  <c r="T198" i="1"/>
  <c r="T231" i="1"/>
  <c r="U131" i="1"/>
  <c r="V131" i="1"/>
  <c r="T57" i="1"/>
  <c r="V189" i="1"/>
  <c r="U189" i="1"/>
  <c r="T171" i="1"/>
  <c r="U152" i="1"/>
  <c r="V152" i="1"/>
  <c r="T117" i="1"/>
  <c r="U77" i="1"/>
  <c r="V77" i="1"/>
  <c r="T177" i="1"/>
  <c r="U137" i="1"/>
  <c r="V137" i="1"/>
  <c r="T233" i="1"/>
  <c r="U227" i="1"/>
  <c r="V227" i="1"/>
  <c r="T210" i="1"/>
  <c r="U94" i="1"/>
  <c r="V94" i="1"/>
  <c r="U206" i="1"/>
  <c r="V206" i="1"/>
  <c r="T166" i="1"/>
  <c r="U129" i="1"/>
  <c r="V129" i="1"/>
  <c r="T222" i="1"/>
  <c r="U219" i="1"/>
  <c r="V219" i="1"/>
  <c r="T202" i="1"/>
  <c r="U79" i="1"/>
  <c r="V79" i="1"/>
  <c r="T76" i="1"/>
  <c r="U171" i="1"/>
  <c r="V171" i="1"/>
  <c r="U117" i="1"/>
  <c r="V117" i="1"/>
  <c r="U64" i="1"/>
  <c r="V64" i="1"/>
  <c r="U177" i="1"/>
  <c r="V177" i="1"/>
  <c r="T121" i="1"/>
  <c r="U233" i="1"/>
  <c r="V233" i="1"/>
  <c r="T181" i="1"/>
  <c r="U210" i="1"/>
  <c r="V210" i="1"/>
  <c r="U188" i="1"/>
  <c r="V188" i="1"/>
  <c r="T72" i="1"/>
  <c r="T130" i="1"/>
  <c r="V166" i="1"/>
  <c r="U166" i="1"/>
  <c r="T111" i="1"/>
  <c r="U222" i="1"/>
  <c r="V222" i="1"/>
  <c r="T173" i="1"/>
  <c r="U202" i="1"/>
  <c r="V202" i="1"/>
  <c r="T208" i="1"/>
  <c r="U76" i="1"/>
  <c r="V76" i="1"/>
  <c r="BA197" i="1" l="1"/>
  <c r="BA230" i="1"/>
  <c r="BA77" i="1"/>
  <c r="BA53" i="1"/>
  <c r="BA173" i="1"/>
  <c r="BA140" i="1"/>
  <c r="BA110" i="1"/>
  <c r="BA134" i="1"/>
  <c r="BA158" i="1"/>
  <c r="BA62" i="1"/>
  <c r="BA119" i="1"/>
  <c r="BA164" i="1"/>
  <c r="BA83" i="1"/>
  <c r="W189" i="1"/>
  <c r="BA122" i="1"/>
  <c r="BA104" i="1"/>
  <c r="W104" i="1"/>
  <c r="W113" i="1"/>
  <c r="W62" i="1"/>
  <c r="W133" i="1"/>
  <c r="BA209" i="1"/>
  <c r="BA47" i="1"/>
  <c r="BA95" i="1"/>
  <c r="BA125" i="1"/>
  <c r="BA227" i="1"/>
  <c r="BA170" i="1"/>
  <c r="BA161" i="1"/>
  <c r="BA146" i="1"/>
  <c r="BA80" i="1"/>
  <c r="W97" i="1"/>
  <c r="BA113" i="1"/>
  <c r="BA233" i="1"/>
  <c r="BA212" i="1"/>
  <c r="BA143" i="1"/>
  <c r="BA65" i="1"/>
  <c r="BA86" i="1"/>
  <c r="BA191" i="1"/>
  <c r="BA206" i="1"/>
  <c r="BA98" i="1"/>
  <c r="BA71" i="1"/>
  <c r="BA149" i="1"/>
  <c r="BA221" i="1"/>
  <c r="BA224" i="1"/>
  <c r="BA74" i="1"/>
  <c r="BA155" i="1"/>
  <c r="BA194" i="1"/>
  <c r="BA56" i="1"/>
  <c r="BA89" i="1"/>
  <c r="BA215" i="1"/>
  <c r="BA128" i="1"/>
  <c r="BA68" i="1"/>
  <c r="BA50" i="1"/>
  <c r="BA137" i="1"/>
  <c r="BA92" i="1"/>
  <c r="BA59" i="1"/>
  <c r="BA188" i="1"/>
  <c r="BA131" i="1"/>
  <c r="BA179" i="1"/>
  <c r="BA218" i="1"/>
  <c r="BA182" i="1"/>
  <c r="BA200" i="1"/>
  <c r="BA167" i="1"/>
  <c r="W129" i="1"/>
  <c r="W157" i="1"/>
  <c r="W50" i="1"/>
  <c r="BA101" i="1"/>
  <c r="BA116" i="1"/>
  <c r="BA107" i="1"/>
  <c r="BA185" i="1"/>
  <c r="BA152" i="1"/>
  <c r="BA203" i="1"/>
  <c r="W119" i="1"/>
  <c r="W115" i="1"/>
  <c r="W56" i="1"/>
  <c r="W85" i="1"/>
  <c r="W209" i="1"/>
  <c r="W88" i="1"/>
  <c r="W57" i="1"/>
  <c r="W54" i="1"/>
  <c r="W185" i="1"/>
  <c r="W105" i="1"/>
  <c r="W160" i="1"/>
  <c r="BA44" i="1"/>
  <c r="W93" i="1"/>
  <c r="W90" i="1"/>
  <c r="W68" i="1"/>
  <c r="W221" i="1"/>
  <c r="W65" i="1"/>
  <c r="W101" i="1"/>
  <c r="W86" i="1"/>
  <c r="W167" i="1"/>
  <c r="W127" i="1"/>
  <c r="W109" i="1"/>
  <c r="W91" i="1"/>
  <c r="W59" i="1"/>
  <c r="W66" i="1"/>
  <c r="W51" i="1"/>
  <c r="W216" i="1"/>
  <c r="W173" i="1"/>
  <c r="W230" i="1"/>
  <c r="W47" i="1"/>
  <c r="W71" i="1"/>
  <c r="W52" i="1"/>
  <c r="W79" i="1"/>
  <c r="W166" i="1"/>
  <c r="W117" i="1"/>
  <c r="W204" i="1"/>
  <c r="W215" i="1"/>
  <c r="W99" i="1"/>
  <c r="W82" i="1"/>
  <c r="W53" i="1"/>
  <c r="W164" i="1"/>
  <c r="W234" i="1"/>
  <c r="W108" i="1"/>
  <c r="W107" i="1"/>
  <c r="W134" i="1"/>
  <c r="W191" i="1"/>
  <c r="W193" i="1"/>
  <c r="W67" i="1"/>
  <c r="W197" i="1"/>
  <c r="W95" i="1"/>
  <c r="W171" i="1"/>
  <c r="W147" i="1"/>
  <c r="W75" i="1"/>
  <c r="W111" i="1"/>
  <c r="W235" i="1"/>
  <c r="W121" i="1"/>
  <c r="W208" i="1"/>
  <c r="W126" i="1"/>
  <c r="W210" i="1"/>
  <c r="W159" i="1"/>
  <c r="W213" i="1"/>
  <c r="W219" i="1"/>
  <c r="W112" i="1"/>
  <c r="W149" i="1"/>
  <c r="W69" i="1"/>
  <c r="W48" i="1"/>
  <c r="W122" i="1"/>
  <c r="W207" i="1"/>
  <c r="W214" i="1"/>
  <c r="W98" i="1"/>
  <c r="W180" i="1"/>
  <c r="W110" i="1"/>
  <c r="W179" i="1"/>
  <c r="W203" i="1"/>
  <c r="W45" i="1"/>
  <c r="W231" i="1"/>
  <c r="W123" i="1"/>
  <c r="W103" i="1"/>
  <c r="W130" i="1"/>
  <c r="W55" i="1"/>
  <c r="W205" i="1"/>
  <c r="W162" i="1"/>
  <c r="W233" i="1"/>
  <c r="W77" i="1"/>
  <c r="W70" i="1"/>
  <c r="W184" i="1"/>
  <c r="W49" i="1"/>
  <c r="W161" i="1"/>
  <c r="W196" i="1"/>
  <c r="W217" i="1"/>
  <c r="W150" i="1"/>
  <c r="W226" i="1"/>
  <c r="W175" i="1"/>
  <c r="W153" i="1"/>
  <c r="W96" i="1"/>
  <c r="W118" i="1"/>
  <c r="W87" i="1"/>
  <c r="W44" i="1"/>
  <c r="W125" i="1"/>
  <c r="W154" i="1"/>
  <c r="W198" i="1"/>
  <c r="W155" i="1"/>
  <c r="W76" i="1"/>
  <c r="W206" i="1"/>
  <c r="W136" i="1"/>
  <c r="W92" i="1"/>
  <c r="W195" i="1"/>
  <c r="W131" i="1"/>
  <c r="W170" i="1"/>
  <c r="W73" i="1"/>
  <c r="W172" i="1"/>
  <c r="W181" i="1"/>
  <c r="W64" i="1"/>
  <c r="W182" i="1"/>
  <c r="W186" i="1"/>
  <c r="W140" i="1"/>
  <c r="W201" i="1"/>
  <c r="W227" i="1"/>
  <c r="W80" i="1"/>
  <c r="W132" i="1"/>
  <c r="W84" i="1"/>
  <c r="W200" i="1"/>
  <c r="W176" i="1"/>
  <c r="W212" i="1"/>
  <c r="W61" i="1"/>
  <c r="W63" i="1"/>
  <c r="W165" i="1"/>
  <c r="W89" i="1"/>
  <c r="W78" i="1"/>
  <c r="W163" i="1"/>
  <c r="W174" i="1"/>
  <c r="W145" i="1"/>
  <c r="W218" i="1"/>
  <c r="W102" i="1"/>
  <c r="W144" i="1"/>
  <c r="W225" i="1"/>
  <c r="W94" i="1"/>
  <c r="W211" i="1"/>
  <c r="W187" i="1"/>
  <c r="W202" i="1"/>
  <c r="W222" i="1"/>
  <c r="W188" i="1"/>
  <c r="W177" i="1"/>
  <c r="W152" i="1"/>
  <c r="W190" i="1"/>
  <c r="W220" i="1"/>
  <c r="W158" i="1"/>
  <c r="W46" i="1"/>
  <c r="W194" i="1"/>
  <c r="W58" i="1"/>
  <c r="W60" i="1"/>
  <c r="W137" i="1"/>
  <c r="W169" i="1"/>
  <c r="W128" i="1"/>
  <c r="W83" i="1"/>
  <c r="W156" i="1"/>
  <c r="W228" i="1"/>
  <c r="W183" i="1"/>
  <c r="W100" i="1"/>
  <c r="W81" i="1"/>
  <c r="W199" i="1"/>
  <c r="W72" i="1"/>
  <c r="W229" i="1"/>
  <c r="W74" i="1"/>
  <c r="W148" i="1"/>
  <c r="W139" i="1"/>
  <c r="W151" i="1"/>
  <c r="W106" i="1"/>
  <c r="AG44" i="1"/>
</calcChain>
</file>

<file path=xl/sharedStrings.xml><?xml version="1.0" encoding="utf-8"?>
<sst xmlns="http://schemas.openxmlformats.org/spreadsheetml/2006/main" count="1199" uniqueCount="344">
  <si>
    <t>Harvest</t>
  </si>
  <si>
    <t>Field wt</t>
  </si>
  <si>
    <t>HADAT</t>
  </si>
  <si>
    <t>WBWAH</t>
  </si>
  <si>
    <t>(kg/ha)</t>
  </si>
  <si>
    <t>Parameters</t>
  </si>
  <si>
    <t>m2 per ha</t>
  </si>
  <si>
    <t>Ginning</t>
  </si>
  <si>
    <t>Sample</t>
  </si>
  <si>
    <t>Fiber</t>
  </si>
  <si>
    <t>Seed</t>
  </si>
  <si>
    <t>FFRAC</t>
  </si>
  <si>
    <t>SFRAC</t>
  </si>
  <si>
    <t>TFRAC</t>
  </si>
  <si>
    <t>(g/g)</t>
  </si>
  <si>
    <t>Compute</t>
  </si>
  <si>
    <t>WFWAH</t>
  </si>
  <si>
    <t>WSWAH</t>
  </si>
  <si>
    <t>WSCWAH</t>
  </si>
  <si>
    <t>PID</t>
  </si>
  <si>
    <t>HARM</t>
  </si>
  <si>
    <t>Column C - Harvest method (HARM)</t>
  </si>
  <si>
    <t>Column F - Wet bulk weight at harvest (fiber + seed + trash) (WBWAH, kg/ha)</t>
  </si>
  <si>
    <t>Date</t>
  </si>
  <si>
    <t>GNDAT</t>
  </si>
  <si>
    <t>Column D - Harvest date (HADAT, mm/dd/yyyy)</t>
  </si>
  <si>
    <t>HID</t>
  </si>
  <si>
    <t>ID</t>
  </si>
  <si>
    <t>Column A - ID (ID)</t>
  </si>
  <si>
    <t>Column B - Harvest Area ID (HID)</t>
  </si>
  <si>
    <t>Machine</t>
  </si>
  <si>
    <t>(lbs)</t>
  </si>
  <si>
    <t>in bag</t>
  </si>
  <si>
    <t>kg per lb</t>
  </si>
  <si>
    <t>Weight</t>
  </si>
  <si>
    <t>Moisture</t>
  </si>
  <si>
    <t>Wet</t>
  </si>
  <si>
    <t>Dry</t>
  </si>
  <si>
    <t>BWCAH</t>
  </si>
  <si>
    <t>DBWAH</t>
  </si>
  <si>
    <t>(%)</t>
  </si>
  <si>
    <t>wt no bag</t>
  </si>
  <si>
    <t>wt no bin</t>
  </si>
  <si>
    <t>DFWAH</t>
  </si>
  <si>
    <t>DSWAH</t>
  </si>
  <si>
    <t>DSCWAH</t>
  </si>
  <si>
    <t>01-1A</t>
  </si>
  <si>
    <t>01-1B</t>
  </si>
  <si>
    <t>01-1C</t>
  </si>
  <si>
    <t>01-2A</t>
  </si>
  <si>
    <t>01-2B</t>
  </si>
  <si>
    <t>01-2C</t>
  </si>
  <si>
    <t>01-3A</t>
  </si>
  <si>
    <t>01-3B</t>
  </si>
  <si>
    <t>01-3C</t>
  </si>
  <si>
    <t>01-4A</t>
  </si>
  <si>
    <t>01-4B</t>
  </si>
  <si>
    <t>01-4C</t>
  </si>
  <si>
    <t>02-1A</t>
  </si>
  <si>
    <t>02-1B</t>
  </si>
  <si>
    <t>02-1C</t>
  </si>
  <si>
    <t>02-2A</t>
  </si>
  <si>
    <t>02-2B</t>
  </si>
  <si>
    <t>02-2C</t>
  </si>
  <si>
    <t>02-3A</t>
  </si>
  <si>
    <t>02-3B</t>
  </si>
  <si>
    <t>02-3C</t>
  </si>
  <si>
    <t>02-4A</t>
  </si>
  <si>
    <t>02-4B</t>
  </si>
  <si>
    <t>02-4C</t>
  </si>
  <si>
    <t>03-1A</t>
  </si>
  <si>
    <t>03-1B</t>
  </si>
  <si>
    <t>03-1C</t>
  </si>
  <si>
    <t>03-2A</t>
  </si>
  <si>
    <t>03-2B</t>
  </si>
  <si>
    <t>03-2C</t>
  </si>
  <si>
    <t>03-3A</t>
  </si>
  <si>
    <t>03-3B</t>
  </si>
  <si>
    <t>03-3C</t>
  </si>
  <si>
    <t>03-4A</t>
  </si>
  <si>
    <t>03-4B</t>
  </si>
  <si>
    <t>03-4C</t>
  </si>
  <si>
    <t>04-1A</t>
  </si>
  <si>
    <t>04-1B</t>
  </si>
  <si>
    <t>04-1C</t>
  </si>
  <si>
    <t>04-2A</t>
  </si>
  <si>
    <t>04-2B</t>
  </si>
  <si>
    <t>04-2C</t>
  </si>
  <si>
    <t>04-3A</t>
  </si>
  <si>
    <t>04-3B</t>
  </si>
  <si>
    <t>04-3C</t>
  </si>
  <si>
    <t>04-4A</t>
  </si>
  <si>
    <t>04-4B</t>
  </si>
  <si>
    <t>04-4C</t>
  </si>
  <si>
    <t>05-1A</t>
  </si>
  <si>
    <t>05-1B</t>
  </si>
  <si>
    <t>05-1C</t>
  </si>
  <si>
    <t>05-2A</t>
  </si>
  <si>
    <t>05-2B</t>
  </si>
  <si>
    <t>05-2C</t>
  </si>
  <si>
    <t>05-3A</t>
  </si>
  <si>
    <t>05-3B</t>
  </si>
  <si>
    <t>05-3C</t>
  </si>
  <si>
    <t>05-4A</t>
  </si>
  <si>
    <t>05-4B</t>
  </si>
  <si>
    <t>05-4C</t>
  </si>
  <si>
    <t>06-1A</t>
  </si>
  <si>
    <t>06-1B</t>
  </si>
  <si>
    <t>06-1C</t>
  </si>
  <si>
    <t>06-2A</t>
  </si>
  <si>
    <t>06-2B</t>
  </si>
  <si>
    <t>06-2C</t>
  </si>
  <si>
    <t>06-3A</t>
  </si>
  <si>
    <t>06-3B</t>
  </si>
  <si>
    <t>06-3C</t>
  </si>
  <si>
    <t>06-4A</t>
  </si>
  <si>
    <t>06-4B</t>
  </si>
  <si>
    <t>06-4C</t>
  </si>
  <si>
    <t>07-1A</t>
  </si>
  <si>
    <t>07-1B</t>
  </si>
  <si>
    <t>07-1C</t>
  </si>
  <si>
    <t>07-2A</t>
  </si>
  <si>
    <t>07-2B</t>
  </si>
  <si>
    <t>07-2C</t>
  </si>
  <si>
    <t>07-3A</t>
  </si>
  <si>
    <t>07-3B</t>
  </si>
  <si>
    <t>07-3C</t>
  </si>
  <si>
    <t>07-4A</t>
  </si>
  <si>
    <t>07-4B</t>
  </si>
  <si>
    <t>07-4C</t>
  </si>
  <si>
    <t>08-1A</t>
  </si>
  <si>
    <t>08-1B</t>
  </si>
  <si>
    <t>08-1C</t>
  </si>
  <si>
    <t>08-2A</t>
  </si>
  <si>
    <t>08-2B</t>
  </si>
  <si>
    <t>08-2C</t>
  </si>
  <si>
    <t>08-3A</t>
  </si>
  <si>
    <t>08-3B</t>
  </si>
  <si>
    <t>08-3C</t>
  </si>
  <si>
    <t>08-4A</t>
  </si>
  <si>
    <t>08-4B</t>
  </si>
  <si>
    <t>08-4C</t>
  </si>
  <si>
    <t>09-1A</t>
  </si>
  <si>
    <t>09-1B</t>
  </si>
  <si>
    <t>09-1C</t>
  </si>
  <si>
    <t>09-2A</t>
  </si>
  <si>
    <t>09-2B</t>
  </si>
  <si>
    <t>09-2C</t>
  </si>
  <si>
    <t>09-3A</t>
  </si>
  <si>
    <t>09-3B</t>
  </si>
  <si>
    <t>09-3C</t>
  </si>
  <si>
    <t>09-4A</t>
  </si>
  <si>
    <t>09-4B</t>
  </si>
  <si>
    <t>09-4C</t>
  </si>
  <si>
    <t>10-1A</t>
  </si>
  <si>
    <t>10-1B</t>
  </si>
  <si>
    <t>10-1C</t>
  </si>
  <si>
    <t>10-2A</t>
  </si>
  <si>
    <t>10-2B</t>
  </si>
  <si>
    <t>10-2C</t>
  </si>
  <si>
    <t>10-3A</t>
  </si>
  <si>
    <t>10-3B</t>
  </si>
  <si>
    <t>10-3C</t>
  </si>
  <si>
    <t>10-4A</t>
  </si>
  <si>
    <t>10-4B</t>
  </si>
  <si>
    <t>10-4C</t>
  </si>
  <si>
    <t>11-1A</t>
  </si>
  <si>
    <t>11-1B</t>
  </si>
  <si>
    <t>11-1C</t>
  </si>
  <si>
    <t>11-2A</t>
  </si>
  <si>
    <t>11-2B</t>
  </si>
  <si>
    <t>11-2C</t>
  </si>
  <si>
    <t>11-3A</t>
  </si>
  <si>
    <t>11-3B</t>
  </si>
  <si>
    <t>11-3C</t>
  </si>
  <si>
    <t>11-4A</t>
  </si>
  <si>
    <t>11-4B</t>
  </si>
  <si>
    <t>11-4C</t>
  </si>
  <si>
    <t>12-1A</t>
  </si>
  <si>
    <t>12-1B</t>
  </si>
  <si>
    <t>12-1C</t>
  </si>
  <si>
    <t>12-2A</t>
  </si>
  <si>
    <t>12-2B</t>
  </si>
  <si>
    <t>12-2C</t>
  </si>
  <si>
    <t>12-3A</t>
  </si>
  <si>
    <t>12-3B</t>
  </si>
  <si>
    <t>12-3C</t>
  </si>
  <si>
    <t>12-4A</t>
  </si>
  <si>
    <t>12-4B</t>
  </si>
  <si>
    <t>12-4C</t>
  </si>
  <si>
    <t>13-1A</t>
  </si>
  <si>
    <t>13-1B</t>
  </si>
  <si>
    <t>13-1C</t>
  </si>
  <si>
    <t>13-2A</t>
  </si>
  <si>
    <t>13-2B</t>
  </si>
  <si>
    <t>13-2C</t>
  </si>
  <si>
    <t>13-3A</t>
  </si>
  <si>
    <t>13-3B</t>
  </si>
  <si>
    <t>13-3C</t>
  </si>
  <si>
    <t>13-4A</t>
  </si>
  <si>
    <t>13-4B</t>
  </si>
  <si>
    <t>13-4C</t>
  </si>
  <si>
    <t>14-1A</t>
  </si>
  <si>
    <t>14-1B</t>
  </si>
  <si>
    <t>14-1C</t>
  </si>
  <si>
    <t>14-2A</t>
  </si>
  <si>
    <t>14-2B</t>
  </si>
  <si>
    <t>14-2C</t>
  </si>
  <si>
    <t>14-3A</t>
  </si>
  <si>
    <t>14-3B</t>
  </si>
  <si>
    <t>14-3C</t>
  </si>
  <si>
    <t>14-4A</t>
  </si>
  <si>
    <t>14-4B</t>
  </si>
  <si>
    <t>14-4C</t>
  </si>
  <si>
    <t>15-1A</t>
  </si>
  <si>
    <t>15-1B</t>
  </si>
  <si>
    <t>15-1C</t>
  </si>
  <si>
    <t>15-2A</t>
  </si>
  <si>
    <t>15-2B</t>
  </si>
  <si>
    <t>15-2C</t>
  </si>
  <si>
    <t>15-3A</t>
  </si>
  <si>
    <t>15-3B</t>
  </si>
  <si>
    <t>15-3C</t>
  </si>
  <si>
    <t>15-4A</t>
  </si>
  <si>
    <t>15-4B</t>
  </si>
  <si>
    <t>15-4C</t>
  </si>
  <si>
    <t>16-1A</t>
  </si>
  <si>
    <t>16-1B</t>
  </si>
  <si>
    <t>16-1C</t>
  </si>
  <si>
    <t>16-2A</t>
  </si>
  <si>
    <t>16-2B</t>
  </si>
  <si>
    <t>16-2C</t>
  </si>
  <si>
    <t>16-3A</t>
  </si>
  <si>
    <t>16-3B</t>
  </si>
  <si>
    <t>16-3C</t>
  </si>
  <si>
    <t>16-4A</t>
  </si>
  <si>
    <t>16-4B</t>
  </si>
  <si>
    <t>16-4C</t>
  </si>
  <si>
    <t>Weight of a single mesh harvest bag (lbs)</t>
  </si>
  <si>
    <t>Size of harvest area (2 40-inch rows by 10 m) (m2)</t>
  </si>
  <si>
    <t>Column G - Wet weight of bulk subsample prior to oven drying (lbs)</t>
  </si>
  <si>
    <t>Column H - Dry weight of bulk subsample after oven drying (lbs)</t>
  </si>
  <si>
    <t>Column I - Bulk water content at harvest (BWCAH, %)</t>
  </si>
  <si>
    <t>Column J - Dry bulk weight at harvest (fiber + seed + trash) (0% water content) (DBWAH, kg/ha)</t>
  </si>
  <si>
    <t>Column L - Weight of bulk cotton subsample prior to ginning, no bag (lbs)</t>
  </si>
  <si>
    <t>Column M - Weight of fiber after ginning, no bag (lbs)</t>
  </si>
  <si>
    <t>Column O - Fiber fraction after ginning (FFRAC, g/g)</t>
  </si>
  <si>
    <t>Column P - Seed fraction after ginning (SFRAC, g/g)</t>
  </si>
  <si>
    <t>Column Q - Trash fraction after ginning (TFRAC, g/g)</t>
  </si>
  <si>
    <t>Column R - Wet fiber weight at harvest (WFWAH, kg/ha)</t>
  </si>
  <si>
    <t>Column S - Wet seed weight at harvest (WSWAH, kg/ha)</t>
  </si>
  <si>
    <t>Column T - Wet seed cotton weight at harvest (fiber + seed) (WSCWAH, kg/ha)</t>
  </si>
  <si>
    <t>Column U - Dry fiber weight at harvest (DFWAH, kg/ha)</t>
  </si>
  <si>
    <t>Column V - Dry seed weight at harvest (DSWAH, kg/ha)</t>
  </si>
  <si>
    <t>Column W - Dry seed cotton weight at harvest (fiber + seed) (DSCWAH, kg/ha)</t>
  </si>
  <si>
    <t>p01-1</t>
  </si>
  <si>
    <t>p01-2</t>
  </si>
  <si>
    <t>p03-3</t>
  </si>
  <si>
    <t>p01-3</t>
  </si>
  <si>
    <t>p01-4</t>
  </si>
  <si>
    <t>p02-1</t>
  </si>
  <si>
    <t>p02-2</t>
  </si>
  <si>
    <t>p02-3</t>
  </si>
  <si>
    <t>p02-4</t>
  </si>
  <si>
    <t>p03-1</t>
  </si>
  <si>
    <t>p03-2</t>
  </si>
  <si>
    <t>p03-4</t>
  </si>
  <si>
    <t>p04-1</t>
  </si>
  <si>
    <t>p04-2</t>
  </si>
  <si>
    <t>p04-3</t>
  </si>
  <si>
    <t>p04-4</t>
  </si>
  <si>
    <t>p05-1</t>
  </si>
  <si>
    <t>p05-2</t>
  </si>
  <si>
    <t>p05-3</t>
  </si>
  <si>
    <t>p05-4</t>
  </si>
  <si>
    <t>p06-1</t>
  </si>
  <si>
    <t>p06-2</t>
  </si>
  <si>
    <t>p06-3</t>
  </si>
  <si>
    <t>p06-4</t>
  </si>
  <si>
    <t>p07-1</t>
  </si>
  <si>
    <t>p07-2</t>
  </si>
  <si>
    <t>p07-3</t>
  </si>
  <si>
    <t>p07-4</t>
  </si>
  <si>
    <t>p08-1</t>
  </si>
  <si>
    <t>p08-2</t>
  </si>
  <si>
    <t>p08-3</t>
  </si>
  <si>
    <t>p08-4</t>
  </si>
  <si>
    <t>p09-1</t>
  </si>
  <si>
    <t>p09-2</t>
  </si>
  <si>
    <t>p09-3</t>
  </si>
  <si>
    <t>p09-4</t>
  </si>
  <si>
    <t>p10-1</t>
  </si>
  <si>
    <t>p10-2</t>
  </si>
  <si>
    <t>p10-3</t>
  </si>
  <si>
    <t>p10-4</t>
  </si>
  <si>
    <t>p11-1</t>
  </si>
  <si>
    <t>p11-2</t>
  </si>
  <si>
    <t>p11-3</t>
  </si>
  <si>
    <t>p11-4</t>
  </si>
  <si>
    <t>p15-1</t>
  </si>
  <si>
    <t>p12-1</t>
  </si>
  <si>
    <t>p12-2</t>
  </si>
  <si>
    <t>p12-3</t>
  </si>
  <si>
    <t>p12-4</t>
  </si>
  <si>
    <t>p13-1</t>
  </si>
  <si>
    <t>p13-2</t>
  </si>
  <si>
    <t>p13-3</t>
  </si>
  <si>
    <t>p13-4</t>
  </si>
  <si>
    <t>p14-1</t>
  </si>
  <si>
    <t>p14-2</t>
  </si>
  <si>
    <t>p14-3</t>
  </si>
  <si>
    <t>p14-4</t>
  </si>
  <si>
    <t>p15-2</t>
  </si>
  <si>
    <t>p15-3</t>
  </si>
  <si>
    <t>p15-4</t>
  </si>
  <si>
    <t>p16-1</t>
  </si>
  <si>
    <t>p16-2</t>
  </si>
  <si>
    <t>p16-3</t>
  </si>
  <si>
    <t>p16-4</t>
  </si>
  <si>
    <t>Quality</t>
  </si>
  <si>
    <t>QLDAT</t>
  </si>
  <si>
    <t>FBMIC</t>
  </si>
  <si>
    <t>FBLTH</t>
  </si>
  <si>
    <t>FBUNI</t>
  </si>
  <si>
    <t>FBSTR</t>
  </si>
  <si>
    <t>(inches)</t>
  </si>
  <si>
    <t>(g/tex)</t>
  </si>
  <si>
    <t>FBELO</t>
  </si>
  <si>
    <t>FBSFI</t>
  </si>
  <si>
    <t>Column X - Quality measurement date (QLDAT, mm/dd/yyyy)</t>
  </si>
  <si>
    <t>Column Y - Micronaire (FBMIC)</t>
  </si>
  <si>
    <t>Column Z - Upper half mean fiber length (FBLTH, inches)</t>
  </si>
  <si>
    <t>Column AA - Fiber uniformity (FBUNI, %)</t>
  </si>
  <si>
    <t>Column AB - Fiber strength (FBSTR, g/tex)</t>
  </si>
  <si>
    <t>Column AC - Fiber elongation to failure (FBELO, %)</t>
  </si>
  <si>
    <t>Column AD - Short fiber index (FBSFI, %)</t>
  </si>
  <si>
    <t>Fiber Wt</t>
  </si>
  <si>
    <t>Seed Wt</t>
  </si>
  <si>
    <t>Original</t>
  </si>
  <si>
    <t>Spreadsheet</t>
  </si>
  <si>
    <t>Column E - Weight of machine-picked cotton in bag (lbs). Machine harvest 2 rows by 10 m into mesh bags. Weigh in lab using "New Crops" scale.</t>
  </si>
  <si>
    <t>Column K - Ginning Date (GNDAT, mm/dd/yyyy). Ginned using MAC small white gin.</t>
  </si>
  <si>
    <t>Column N - Weight of fuzzy seed after ginning, no bag (lbs)</t>
  </si>
  <si>
    <t>Plot-scale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</si>
</sst>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mm/dd/yyyy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2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166" fontId="0" fillId="0" borderId="0" xfId="0" applyNumberFormat="1"/>
    <xf numFmtId="1" fontId="0" fillId="2" borderId="0" xfId="0" applyNumberFormat="1" applyFill="1"/>
    <xf numFmtId="1" fontId="0" fillId="0" borderId="0" xfId="0" applyNumberFormat="1"/>
  </cellXfs>
  <cellStyles count="2">
    <cellStyle name="Normal" xfId="0" builtinId="0"/>
    <cellStyle name="Normal 2" xfId="1" xr:uid="{DBA18AE1-F80B-4EBD-A939-B01D5DD0C7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DFWAH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Compare!$M$5:$M$6</c:f>
              <c:numCache>
                <c:formatCode>General</c:formatCode>
                <c:ptCount val="2"/>
                <c:pt idx="0">
                  <c:v>0</c:v>
                </c:pt>
                <c:pt idx="1">
                  <c:v>3500</c:v>
                </c:pt>
              </c:numCache>
            </c:numRef>
          </c:xVal>
          <c:yVal>
            <c:numRef>
              <c:f>Compare!$M$5:$M$6</c:f>
              <c:numCache>
                <c:formatCode>General</c:formatCode>
                <c:ptCount val="2"/>
                <c:pt idx="0">
                  <c:v>0</c:v>
                </c:pt>
                <c:pt idx="1">
                  <c:v>3500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10-4044-8B81-209134BD5D4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Compare!$B$6:$B$197</c:f>
              <c:numCache>
                <c:formatCode>General</c:formatCode>
                <c:ptCount val="192"/>
                <c:pt idx="0">
                  <c:v>2231.7080000000001</c:v>
                </c:pt>
                <c:pt idx="1">
                  <c:v>2185.0309999999999</c:v>
                </c:pt>
                <c:pt idx="2">
                  <c:v>1998.9590000000001</c:v>
                </c:pt>
                <c:pt idx="3">
                  <c:v>2344.1489999999999</c:v>
                </c:pt>
                <c:pt idx="4">
                  <c:v>1962.4059999999999</c:v>
                </c:pt>
                <c:pt idx="5">
                  <c:v>2297.6640000000002</c:v>
                </c:pt>
                <c:pt idx="6">
                  <c:v>2286.9029999999998</c:v>
                </c:pt>
                <c:pt idx="7">
                  <c:v>2418.1210000000001</c:v>
                </c:pt>
                <c:pt idx="8">
                  <c:v>2195.616</c:v>
                </c:pt>
                <c:pt idx="9">
                  <c:v>2159.951</c:v>
                </c:pt>
                <c:pt idx="10">
                  <c:v>2362.607</c:v>
                </c:pt>
                <c:pt idx="11">
                  <c:v>2133.645</c:v>
                </c:pt>
                <c:pt idx="12">
                  <c:v>1875.655</c:v>
                </c:pt>
                <c:pt idx="13">
                  <c:v>2029.54</c:v>
                </c:pt>
                <c:pt idx="14">
                  <c:v>1714.26</c:v>
                </c:pt>
                <c:pt idx="15">
                  <c:v>2032.35</c:v>
                </c:pt>
                <c:pt idx="16">
                  <c:v>2096.3679999999999</c:v>
                </c:pt>
                <c:pt idx="17">
                  <c:v>2143.0720000000001</c:v>
                </c:pt>
                <c:pt idx="18">
                  <c:v>1901.33</c:v>
                </c:pt>
                <c:pt idx="19">
                  <c:v>1878.6569999999999</c:v>
                </c:pt>
                <c:pt idx="20">
                  <c:v>1843.453</c:v>
                </c:pt>
                <c:pt idx="21">
                  <c:v>1488.6</c:v>
                </c:pt>
                <c:pt idx="22">
                  <c:v>1905.921</c:v>
                </c:pt>
                <c:pt idx="23">
                  <c:v>2039.894</c:v>
                </c:pt>
                <c:pt idx="24">
                  <c:v>2011.0650000000001</c:v>
                </c:pt>
                <c:pt idx="25">
                  <c:v>2235.9</c:v>
                </c:pt>
                <c:pt idx="26">
                  <c:v>1852.3720000000001</c:v>
                </c:pt>
                <c:pt idx="27">
                  <c:v>2189.223</c:v>
                </c:pt>
                <c:pt idx="28">
                  <c:v>1956.61</c:v>
                </c:pt>
                <c:pt idx="29">
                  <c:v>1879.9780000000001</c:v>
                </c:pt>
                <c:pt idx="30">
                  <c:v>1547.605</c:v>
                </c:pt>
                <c:pt idx="31">
                  <c:v>1704.0889999999999</c:v>
                </c:pt>
                <c:pt idx="32">
                  <c:v>1840.337</c:v>
                </c:pt>
                <c:pt idx="33">
                  <c:v>1985.8040000000001</c:v>
                </c:pt>
                <c:pt idx="34">
                  <c:v>1820.9960000000001</c:v>
                </c:pt>
                <c:pt idx="35">
                  <c:v>1857.2270000000001</c:v>
                </c:pt>
                <c:pt idx="36">
                  <c:v>2046.2940000000001</c:v>
                </c:pt>
                <c:pt idx="37">
                  <c:v>1799.01</c:v>
                </c:pt>
                <c:pt idx="38">
                  <c:v>1898.867</c:v>
                </c:pt>
                <c:pt idx="39">
                  <c:v>1906.9580000000001</c:v>
                </c:pt>
                <c:pt idx="40">
                  <c:v>1766.8810000000001</c:v>
                </c:pt>
                <c:pt idx="41">
                  <c:v>1766.6310000000001</c:v>
                </c:pt>
                <c:pt idx="42">
                  <c:v>1931.4259999999999</c:v>
                </c:pt>
                <c:pt idx="43">
                  <c:v>2171.431</c:v>
                </c:pt>
                <c:pt idx="44">
                  <c:v>2176.8519999999999</c:v>
                </c:pt>
                <c:pt idx="45">
                  <c:v>2323.2930000000001</c:v>
                </c:pt>
                <c:pt idx="46">
                  <c:v>2612.6179999999999</c:v>
                </c:pt>
                <c:pt idx="47">
                  <c:v>2144.6</c:v>
                </c:pt>
                <c:pt idx="48">
                  <c:v>2040.252</c:v>
                </c:pt>
                <c:pt idx="49">
                  <c:v>1915.941</c:v>
                </c:pt>
                <c:pt idx="50">
                  <c:v>1731.912</c:v>
                </c:pt>
                <c:pt idx="51">
                  <c:v>1990.174</c:v>
                </c:pt>
                <c:pt idx="52">
                  <c:v>1950.5050000000001</c:v>
                </c:pt>
                <c:pt idx="53">
                  <c:v>2192.1680000000001</c:v>
                </c:pt>
                <c:pt idx="54">
                  <c:v>1830.5619999999999</c:v>
                </c:pt>
                <c:pt idx="55">
                  <c:v>2223.1460000000002</c:v>
                </c:pt>
                <c:pt idx="56">
                  <c:v>2317.4540000000002</c:v>
                </c:pt>
                <c:pt idx="57">
                  <c:v>2031.2570000000001</c:v>
                </c:pt>
                <c:pt idx="58">
                  <c:v>1710.47</c:v>
                </c:pt>
                <c:pt idx="59">
                  <c:v>2122.9639999999999</c:v>
                </c:pt>
                <c:pt idx="60">
                  <c:v>1954.258</c:v>
                </c:pt>
                <c:pt idx="61">
                  <c:v>1799.8109999999999</c:v>
                </c:pt>
                <c:pt idx="62">
                  <c:v>1691.819</c:v>
                </c:pt>
                <c:pt idx="63">
                  <c:v>1959.2950000000001</c:v>
                </c:pt>
                <c:pt idx="64">
                  <c:v>1892.0419999999999</c:v>
                </c:pt>
                <c:pt idx="65">
                  <c:v>2144.0239999999999</c:v>
                </c:pt>
                <c:pt idx="66">
                  <c:v>2126.8820000000001</c:v>
                </c:pt>
                <c:pt idx="67">
                  <c:v>1921.8209999999999</c:v>
                </c:pt>
                <c:pt idx="68">
                  <c:v>2148.1660000000002</c:v>
                </c:pt>
                <c:pt idx="69">
                  <c:v>2078.6660000000002</c:v>
                </c:pt>
                <c:pt idx="70">
                  <c:v>1951.5450000000001</c:v>
                </c:pt>
                <c:pt idx="71">
                  <c:v>2095.2809999999999</c:v>
                </c:pt>
                <c:pt idx="72">
                  <c:v>1448.508</c:v>
                </c:pt>
                <c:pt idx="73">
                  <c:v>1296.577</c:v>
                </c:pt>
                <c:pt idx="74">
                  <c:v>1387.4570000000001</c:v>
                </c:pt>
                <c:pt idx="75">
                  <c:v>1556.7139999999999</c:v>
                </c:pt>
                <c:pt idx="76">
                  <c:v>1357.434</c:v>
                </c:pt>
                <c:pt idx="77">
                  <c:v>1278.778</c:v>
                </c:pt>
                <c:pt idx="78">
                  <c:v>1845.7909999999999</c:v>
                </c:pt>
                <c:pt idx="79">
                  <c:v>2031.43</c:v>
                </c:pt>
                <c:pt idx="80">
                  <c:v>1901.473</c:v>
                </c:pt>
                <c:pt idx="81">
                  <c:v>1365.8530000000001</c:v>
                </c:pt>
                <c:pt idx="82">
                  <c:v>1197.4169999999999</c:v>
                </c:pt>
                <c:pt idx="83">
                  <c:v>1130.1880000000001</c:v>
                </c:pt>
                <c:pt idx="84">
                  <c:v>1436.5029999999999</c:v>
                </c:pt>
                <c:pt idx="85">
                  <c:v>1449.9559999999999</c:v>
                </c:pt>
                <c:pt idx="86">
                  <c:v>1246.8679999999999</c:v>
                </c:pt>
                <c:pt idx="87">
                  <c:v>1516.5730000000001</c:v>
                </c:pt>
                <c:pt idx="88">
                  <c:v>1441.106</c:v>
                </c:pt>
                <c:pt idx="89">
                  <c:v>1648.704</c:v>
                </c:pt>
                <c:pt idx="90">
                  <c:v>1883.3869999999999</c:v>
                </c:pt>
                <c:pt idx="91">
                  <c:v>2139.9140000000002</c:v>
                </c:pt>
                <c:pt idx="92">
                  <c:v>1819.729</c:v>
                </c:pt>
                <c:pt idx="93">
                  <c:v>2294.9879999999998</c:v>
                </c:pt>
                <c:pt idx="94">
                  <c:v>2266.904</c:v>
                </c:pt>
                <c:pt idx="95">
                  <c:v>2205.8670000000002</c:v>
                </c:pt>
                <c:pt idx="96">
                  <c:v>1621.1859999999999</c:v>
                </c:pt>
                <c:pt idx="97">
                  <c:v>1773.183</c:v>
                </c:pt>
                <c:pt idx="98">
                  <c:v>1751.211</c:v>
                </c:pt>
                <c:pt idx="99">
                  <c:v>1691.451</c:v>
                </c:pt>
                <c:pt idx="100">
                  <c:v>1619.865</c:v>
                </c:pt>
                <c:pt idx="101">
                  <c:v>1698.3910000000001</c:v>
                </c:pt>
                <c:pt idx="102">
                  <c:v>1659.634</c:v>
                </c:pt>
                <c:pt idx="103">
                  <c:v>1874.7629999999999</c:v>
                </c:pt>
                <c:pt idx="104">
                  <c:v>1645.5840000000001</c:v>
                </c:pt>
                <c:pt idx="105">
                  <c:v>2172.9490000000001</c:v>
                </c:pt>
                <c:pt idx="106">
                  <c:v>2161.9740000000002</c:v>
                </c:pt>
                <c:pt idx="107">
                  <c:v>1930.566</c:v>
                </c:pt>
                <c:pt idx="108">
                  <c:v>1685.0640000000001</c:v>
                </c:pt>
                <c:pt idx="109">
                  <c:v>1443.2940000000001</c:v>
                </c:pt>
                <c:pt idx="110">
                  <c:v>1229.329</c:v>
                </c:pt>
                <c:pt idx="111">
                  <c:v>1573.6510000000001</c:v>
                </c:pt>
                <c:pt idx="112">
                  <c:v>1765.579</c:v>
                </c:pt>
                <c:pt idx="113">
                  <c:v>1671.4659999999999</c:v>
                </c:pt>
                <c:pt idx="114">
                  <c:v>2235.0340000000001</c:v>
                </c:pt>
                <c:pt idx="115">
                  <c:v>2299.6640000000002</c:v>
                </c:pt>
                <c:pt idx="116">
                  <c:v>2132.4459999999999</c:v>
                </c:pt>
                <c:pt idx="117">
                  <c:v>2023.3530000000001</c:v>
                </c:pt>
                <c:pt idx="118">
                  <c:v>1811.5519999999999</c:v>
                </c:pt>
                <c:pt idx="119">
                  <c:v>1978.4949999999999</c:v>
                </c:pt>
                <c:pt idx="120">
                  <c:v>1537.4069999999999</c:v>
                </c:pt>
                <c:pt idx="121">
                  <c:v>1447.175</c:v>
                </c:pt>
                <c:pt idx="122">
                  <c:v>1328.8779999999999</c:v>
                </c:pt>
                <c:pt idx="123">
                  <c:v>1629.1079999999999</c:v>
                </c:pt>
                <c:pt idx="124">
                  <c:v>1631.6559999999999</c:v>
                </c:pt>
                <c:pt idx="125">
                  <c:v>1548.1690000000001</c:v>
                </c:pt>
                <c:pt idx="126">
                  <c:v>1824.5930000000001</c:v>
                </c:pt>
                <c:pt idx="127">
                  <c:v>1912.9639999999999</c:v>
                </c:pt>
                <c:pt idx="128">
                  <c:v>1860.0170000000001</c:v>
                </c:pt>
                <c:pt idx="129">
                  <c:v>2066.6669999999999</c:v>
                </c:pt>
                <c:pt idx="130">
                  <c:v>2018.703</c:v>
                </c:pt>
                <c:pt idx="131">
                  <c:v>2387.6329999999998</c:v>
                </c:pt>
                <c:pt idx="132">
                  <c:v>1778.259</c:v>
                </c:pt>
                <c:pt idx="133">
                  <c:v>1872.5719999999999</c:v>
                </c:pt>
                <c:pt idx="134">
                  <c:v>2330.172</c:v>
                </c:pt>
                <c:pt idx="135">
                  <c:v>1814.633</c:v>
                </c:pt>
                <c:pt idx="136">
                  <c:v>2021.7840000000001</c:v>
                </c:pt>
                <c:pt idx="137">
                  <c:v>2156.8110000000001</c:v>
                </c:pt>
                <c:pt idx="138">
                  <c:v>2038.039</c:v>
                </c:pt>
                <c:pt idx="139">
                  <c:v>1969.143</c:v>
                </c:pt>
                <c:pt idx="140">
                  <c:v>1791.5830000000001</c:v>
                </c:pt>
                <c:pt idx="141">
                  <c:v>2407.252</c:v>
                </c:pt>
                <c:pt idx="142">
                  <c:v>2179.6179999999999</c:v>
                </c:pt>
                <c:pt idx="143">
                  <c:v>1934.4770000000001</c:v>
                </c:pt>
                <c:pt idx="144">
                  <c:v>2161.37</c:v>
                </c:pt>
                <c:pt idx="145">
                  <c:v>1849.664</c:v>
                </c:pt>
                <c:pt idx="146">
                  <c:v>2218.5740000000001</c:v>
                </c:pt>
                <c:pt idx="147">
                  <c:v>2012.3679999999999</c:v>
                </c:pt>
                <c:pt idx="148">
                  <c:v>1672.405</c:v>
                </c:pt>
                <c:pt idx="149">
                  <c:v>1845.374</c:v>
                </c:pt>
                <c:pt idx="150">
                  <c:v>1780.4010000000001</c:v>
                </c:pt>
                <c:pt idx="151">
                  <c:v>2016.1130000000001</c:v>
                </c:pt>
                <c:pt idx="152">
                  <c:v>1869.9280000000001</c:v>
                </c:pt>
                <c:pt idx="153">
                  <c:v>1930.614</c:v>
                </c:pt>
                <c:pt idx="154">
                  <c:v>2036.5260000000001</c:v>
                </c:pt>
                <c:pt idx="155">
                  <c:v>2136.0859999999998</c:v>
                </c:pt>
                <c:pt idx="156">
                  <c:v>1806.539</c:v>
                </c:pt>
                <c:pt idx="157">
                  <c:v>1950.5830000000001</c:v>
                </c:pt>
                <c:pt idx="158">
                  <c:v>1932.7380000000001</c:v>
                </c:pt>
                <c:pt idx="159">
                  <c:v>1911.165</c:v>
                </c:pt>
                <c:pt idx="160">
                  <c:v>1756.836</c:v>
                </c:pt>
                <c:pt idx="161">
                  <c:v>2026.3820000000001</c:v>
                </c:pt>
                <c:pt idx="162">
                  <c:v>2064.145</c:v>
                </c:pt>
                <c:pt idx="163">
                  <c:v>2254.1779999999999</c:v>
                </c:pt>
                <c:pt idx="164">
                  <c:v>1983.9559999999999</c:v>
                </c:pt>
                <c:pt idx="165">
                  <c:v>2148.1819999999998</c:v>
                </c:pt>
                <c:pt idx="166">
                  <c:v>1925.789</c:v>
                </c:pt>
                <c:pt idx="167">
                  <c:v>2064.5070000000001</c:v>
                </c:pt>
                <c:pt idx="168">
                  <c:v>1422.788</c:v>
                </c:pt>
                <c:pt idx="169">
                  <c:v>1468.817</c:v>
                </c:pt>
                <c:pt idx="170">
                  <c:v>1269.723</c:v>
                </c:pt>
                <c:pt idx="171">
                  <c:v>1778.7370000000001</c:v>
                </c:pt>
                <c:pt idx="172">
                  <c:v>1705.8209999999999</c:v>
                </c:pt>
                <c:pt idx="173">
                  <c:v>1687.3040000000001</c:v>
                </c:pt>
                <c:pt idx="174">
                  <c:v>1834.2349999999999</c:v>
                </c:pt>
                <c:pt idx="175">
                  <c:v>2008.1559999999999</c:v>
                </c:pt>
                <c:pt idx="176">
                  <c:v>1912.249</c:v>
                </c:pt>
                <c:pt idx="177">
                  <c:v>1869.9179999999999</c:v>
                </c:pt>
                <c:pt idx="178">
                  <c:v>1955.806</c:v>
                </c:pt>
                <c:pt idx="179">
                  <c:v>1473.4110000000001</c:v>
                </c:pt>
                <c:pt idx="180">
                  <c:v>2004.8409999999999</c:v>
                </c:pt>
                <c:pt idx="181">
                  <c:v>1824.4110000000001</c:v>
                </c:pt>
                <c:pt idx="182">
                  <c:v>1752.855</c:v>
                </c:pt>
                <c:pt idx="183">
                  <c:v>1536.614</c:v>
                </c:pt>
                <c:pt idx="184">
                  <c:v>1233.326</c:v>
                </c:pt>
                <c:pt idx="185">
                  <c:v>1382.421</c:v>
                </c:pt>
                <c:pt idx="186">
                  <c:v>1942.0519999999999</c:v>
                </c:pt>
                <c:pt idx="187">
                  <c:v>2205.4969999999998</c:v>
                </c:pt>
                <c:pt idx="188">
                  <c:v>2179.337</c:v>
                </c:pt>
                <c:pt idx="189">
                  <c:v>2305.66</c:v>
                </c:pt>
                <c:pt idx="190">
                  <c:v>2178.8429999999998</c:v>
                </c:pt>
                <c:pt idx="191">
                  <c:v>2327.6970000000001</c:v>
                </c:pt>
              </c:numCache>
            </c:numRef>
          </c:xVal>
          <c:yVal>
            <c:numRef>
              <c:f>'Raw Scale'!$U$44:$U$235</c:f>
              <c:numCache>
                <c:formatCode>0.0</c:formatCode>
                <c:ptCount val="192"/>
                <c:pt idx="0">
                  <c:v>2231.7075894697714</c:v>
                </c:pt>
                <c:pt idx="1">
                  <c:v>2185.0306029554522</c:v>
                </c:pt>
                <c:pt idx="2">
                  <c:v>1998.9588665853385</c:v>
                </c:pt>
                <c:pt idx="3">
                  <c:v>2344.1487329367674</c:v>
                </c:pt>
                <c:pt idx="4">
                  <c:v>1962.4057494068697</c:v>
                </c:pt>
                <c:pt idx="5">
                  <c:v>2297.6637280839896</c:v>
                </c:pt>
                <c:pt idx="6">
                  <c:v>2286.9027816616376</c:v>
                </c:pt>
                <c:pt idx="7">
                  <c:v>2418.1205331674337</c:v>
                </c:pt>
                <c:pt idx="8">
                  <c:v>2195.6158805203695</c:v>
                </c:pt>
                <c:pt idx="9">
                  <c:v>2159.9507155684487</c:v>
                </c:pt>
                <c:pt idx="10">
                  <c:v>2362.6071496062987</c:v>
                </c:pt>
                <c:pt idx="11">
                  <c:v>2133.6449719289571</c:v>
                </c:pt>
                <c:pt idx="12">
                  <c:v>1875.6549740325013</c:v>
                </c:pt>
                <c:pt idx="13">
                  <c:v>2029.5399472657664</c:v>
                </c:pt>
                <c:pt idx="14">
                  <c:v>1714.2596392602084</c:v>
                </c:pt>
                <c:pt idx="15">
                  <c:v>2032.3502362204724</c:v>
                </c:pt>
                <c:pt idx="16">
                  <c:v>2096.3683669976031</c:v>
                </c:pt>
                <c:pt idx="17">
                  <c:v>2143.0718172399502</c:v>
                </c:pt>
                <c:pt idx="18">
                  <c:v>1901.3301616848864</c:v>
                </c:pt>
                <c:pt idx="19">
                  <c:v>1878.6566299212598</c:v>
                </c:pt>
                <c:pt idx="20">
                  <c:v>1843.4527652349136</c:v>
                </c:pt>
                <c:pt idx="21">
                  <c:v>1488.5996214693346</c:v>
                </c:pt>
                <c:pt idx="22">
                  <c:v>1905.9211554660321</c:v>
                </c:pt>
                <c:pt idx="23">
                  <c:v>2039.8935088337837</c:v>
                </c:pt>
                <c:pt idx="24">
                  <c:v>2011.0650893197826</c:v>
                </c:pt>
                <c:pt idx="25">
                  <c:v>2235.9003563670922</c:v>
                </c:pt>
                <c:pt idx="26">
                  <c:v>1852.3716985376825</c:v>
                </c:pt>
                <c:pt idx="27">
                  <c:v>2189.2226628489616</c:v>
                </c:pt>
                <c:pt idx="28">
                  <c:v>1956.6104758644301</c:v>
                </c:pt>
                <c:pt idx="29">
                  <c:v>1879.9776291662176</c:v>
                </c:pt>
                <c:pt idx="30">
                  <c:v>1547.6053986913607</c:v>
                </c:pt>
                <c:pt idx="31">
                  <c:v>1704.0890259950384</c:v>
                </c:pt>
                <c:pt idx="32">
                  <c:v>1840.3368061750903</c:v>
                </c:pt>
                <c:pt idx="33">
                  <c:v>1985.8043464566929</c:v>
                </c:pt>
                <c:pt idx="34">
                  <c:v>1820.9960478497881</c:v>
                </c:pt>
                <c:pt idx="35">
                  <c:v>1857.2270866141735</c:v>
                </c:pt>
                <c:pt idx="36">
                  <c:v>2046.293949636012</c:v>
                </c:pt>
                <c:pt idx="37">
                  <c:v>1799.0101606299218</c:v>
                </c:pt>
                <c:pt idx="38">
                  <c:v>1898.8674314288912</c:v>
                </c:pt>
                <c:pt idx="39">
                  <c:v>1906.9583754456066</c:v>
                </c:pt>
                <c:pt idx="40">
                  <c:v>1766.8805116208302</c:v>
                </c:pt>
                <c:pt idx="41">
                  <c:v>1766.6306433647014</c:v>
                </c:pt>
                <c:pt idx="42">
                  <c:v>1931.4256227126536</c:v>
                </c:pt>
                <c:pt idx="43">
                  <c:v>2171.4305256437542</c:v>
                </c:pt>
                <c:pt idx="44">
                  <c:v>2176.8521188584464</c:v>
                </c:pt>
                <c:pt idx="45">
                  <c:v>2323.2925960391317</c:v>
                </c:pt>
                <c:pt idx="46">
                  <c:v>2612.6184881889762</c:v>
                </c:pt>
                <c:pt idx="47">
                  <c:v>2144.6001377952757</c:v>
                </c:pt>
                <c:pt idx="48">
                  <c:v>2040.2519414686897</c:v>
                </c:pt>
                <c:pt idx="49">
                  <c:v>1915.9412500902986</c:v>
                </c:pt>
                <c:pt idx="50">
                  <c:v>1731.9121887036845</c:v>
                </c:pt>
                <c:pt idx="51">
                  <c:v>1990.1740136575845</c:v>
                </c:pt>
                <c:pt idx="52">
                  <c:v>1950.5045485819123</c:v>
                </c:pt>
                <c:pt idx="53">
                  <c:v>2192.1675260941215</c:v>
                </c:pt>
                <c:pt idx="54">
                  <c:v>1830.5624722252182</c:v>
                </c:pt>
                <c:pt idx="55">
                  <c:v>2223.1455805840728</c:v>
                </c:pt>
                <c:pt idx="56">
                  <c:v>2317.4542397502037</c:v>
                </c:pt>
                <c:pt idx="57">
                  <c:v>2031.2566812342232</c:v>
                </c:pt>
                <c:pt idx="58">
                  <c:v>1710.470261596447</c:v>
                </c:pt>
                <c:pt idx="59">
                  <c:v>2122.9640850863789</c:v>
                </c:pt>
                <c:pt idx="60">
                  <c:v>1954.257851373729</c:v>
                </c:pt>
                <c:pt idx="61">
                  <c:v>1799.8111928376743</c:v>
                </c:pt>
                <c:pt idx="62">
                  <c:v>1691.8188092777996</c:v>
                </c:pt>
                <c:pt idx="63">
                  <c:v>1959.294523486288</c:v>
                </c:pt>
                <c:pt idx="64">
                  <c:v>1892.0424301307833</c:v>
                </c:pt>
                <c:pt idx="65">
                  <c:v>2144.0235568715675</c:v>
                </c:pt>
                <c:pt idx="66">
                  <c:v>2126.8821732283463</c:v>
                </c:pt>
                <c:pt idx="67">
                  <c:v>1921.820884082528</c:v>
                </c:pt>
                <c:pt idx="68">
                  <c:v>2148.1660937447195</c:v>
                </c:pt>
                <c:pt idx="69">
                  <c:v>2078.6657007874019</c:v>
                </c:pt>
                <c:pt idx="70">
                  <c:v>1951.5448176744897</c:v>
                </c:pt>
                <c:pt idx="71">
                  <c:v>2095.2806770959801</c:v>
                </c:pt>
                <c:pt idx="72">
                  <c:v>1448.5083841787216</c:v>
                </c:pt>
                <c:pt idx="73">
                  <c:v>1296.577067558336</c:v>
                </c:pt>
                <c:pt idx="74">
                  <c:v>1387.4569230216086</c:v>
                </c:pt>
                <c:pt idx="75">
                  <c:v>1556.7137853066529</c:v>
                </c:pt>
                <c:pt idx="76">
                  <c:v>1357.4343401709978</c:v>
                </c:pt>
                <c:pt idx="77">
                  <c:v>1278.7775478065237</c:v>
                </c:pt>
                <c:pt idx="78">
                  <c:v>1845.7909592335438</c:v>
                </c:pt>
                <c:pt idx="79">
                  <c:v>2031.4296649683495</c:v>
                </c:pt>
                <c:pt idx="80">
                  <c:v>1901.4733534870647</c:v>
                </c:pt>
                <c:pt idx="81">
                  <c:v>1365.8530073414736</c:v>
                </c:pt>
                <c:pt idx="82">
                  <c:v>1197.4167326852003</c:v>
                </c:pt>
                <c:pt idx="83">
                  <c:v>1130.1882429079926</c:v>
                </c:pt>
                <c:pt idx="84">
                  <c:v>1436.5031600124871</c:v>
                </c:pt>
                <c:pt idx="85">
                  <c:v>1449.9560433070865</c:v>
                </c:pt>
                <c:pt idx="86">
                  <c:v>1246.8677727784022</c:v>
                </c:pt>
                <c:pt idx="87">
                  <c:v>1516.5731090431877</c:v>
                </c:pt>
                <c:pt idx="88">
                  <c:v>1441.1059978278574</c:v>
                </c:pt>
                <c:pt idx="89">
                  <c:v>1648.7039211007718</c:v>
                </c:pt>
                <c:pt idx="90">
                  <c:v>1883.3874209144903</c:v>
                </c:pt>
                <c:pt idx="91">
                  <c:v>2139.9138603040997</c:v>
                </c:pt>
                <c:pt idx="92">
                  <c:v>1819.7294816874958</c:v>
                </c:pt>
                <c:pt idx="93">
                  <c:v>2294.9882528197486</c:v>
                </c:pt>
                <c:pt idx="94">
                  <c:v>2266.9036702052872</c:v>
                </c:pt>
                <c:pt idx="95">
                  <c:v>2205.8667514267136</c:v>
                </c:pt>
                <c:pt idx="96">
                  <c:v>1621.1859646611158</c:v>
                </c:pt>
                <c:pt idx="97">
                  <c:v>1773.1825959535324</c:v>
                </c:pt>
                <c:pt idx="98">
                  <c:v>1751.2106431040008</c:v>
                </c:pt>
                <c:pt idx="99">
                  <c:v>1691.4513742385977</c:v>
                </c:pt>
                <c:pt idx="100">
                  <c:v>1619.865131233596</c:v>
                </c:pt>
                <c:pt idx="101">
                  <c:v>1698.390517935258</c:v>
                </c:pt>
                <c:pt idx="102">
                  <c:v>1659.6338250929293</c:v>
                </c:pt>
                <c:pt idx="103">
                  <c:v>1874.7628598100498</c:v>
                </c:pt>
                <c:pt idx="104">
                  <c:v>1645.5838247446789</c:v>
                </c:pt>
                <c:pt idx="105">
                  <c:v>2172.9487562112986</c:v>
                </c:pt>
                <c:pt idx="106">
                  <c:v>2161.9742735411505</c:v>
                </c:pt>
                <c:pt idx="107">
                  <c:v>1930.5660576408534</c:v>
                </c:pt>
                <c:pt idx="108">
                  <c:v>1685.0638586633956</c:v>
                </c:pt>
                <c:pt idx="109">
                  <c:v>1443.2939648804959</c:v>
                </c:pt>
                <c:pt idx="110">
                  <c:v>1229.3287120359953</c:v>
                </c:pt>
                <c:pt idx="111">
                  <c:v>1573.6514030926855</c:v>
                </c:pt>
                <c:pt idx="112">
                  <c:v>1765.5787253008471</c:v>
                </c:pt>
                <c:pt idx="113">
                  <c:v>1671.4655563163299</c:v>
                </c:pt>
                <c:pt idx="114">
                  <c:v>2235.0343996062988</c:v>
                </c:pt>
                <c:pt idx="115">
                  <c:v>2299.6637663463871</c:v>
                </c:pt>
                <c:pt idx="116">
                  <c:v>2132.4462122201976</c:v>
                </c:pt>
                <c:pt idx="117">
                  <c:v>2023.3530418566102</c:v>
                </c:pt>
                <c:pt idx="118">
                  <c:v>1811.5519382192613</c:v>
                </c:pt>
                <c:pt idx="119">
                  <c:v>1978.495044863578</c:v>
                </c:pt>
                <c:pt idx="120">
                  <c:v>1537.4073872584106</c:v>
                </c:pt>
                <c:pt idx="121">
                  <c:v>1447.1751968503936</c:v>
                </c:pt>
                <c:pt idx="122">
                  <c:v>1328.8780016291066</c:v>
                </c:pt>
                <c:pt idx="123">
                  <c:v>1629.1078768617779</c:v>
                </c:pt>
                <c:pt idx="124">
                  <c:v>1631.6559590147381</c:v>
                </c:pt>
                <c:pt idx="125">
                  <c:v>1548.1692913385823</c:v>
                </c:pt>
                <c:pt idx="126">
                  <c:v>1824.5928632151067</c:v>
                </c:pt>
                <c:pt idx="127">
                  <c:v>1912.9643532554023</c:v>
                </c:pt>
                <c:pt idx="128">
                  <c:v>1860.0173917322838</c:v>
                </c:pt>
                <c:pt idx="129">
                  <c:v>2066.6673887795273</c:v>
                </c:pt>
                <c:pt idx="130">
                  <c:v>2018.7026638670163</c:v>
                </c:pt>
                <c:pt idx="131">
                  <c:v>2387.6325250293939</c:v>
                </c:pt>
                <c:pt idx="132">
                  <c:v>1778.258891858701</c:v>
                </c:pt>
                <c:pt idx="133">
                  <c:v>1872.5723626004037</c:v>
                </c:pt>
                <c:pt idx="135">
                  <c:v>1814.6334560544797</c:v>
                </c:pt>
                <c:pt idx="136">
                  <c:v>2021.7843484529217</c:v>
                </c:pt>
                <c:pt idx="137">
                  <c:v>2156.811091219729</c:v>
                </c:pt>
                <c:pt idx="138">
                  <c:v>2038.0388582677167</c:v>
                </c:pt>
                <c:pt idx="139">
                  <c:v>1969.1427031572507</c:v>
                </c:pt>
                <c:pt idx="140">
                  <c:v>1791.5825750947799</c:v>
                </c:pt>
                <c:pt idx="141">
                  <c:v>2407.2520314960625</c:v>
                </c:pt>
                <c:pt idx="142">
                  <c:v>2179.6178870153021</c:v>
                </c:pt>
                <c:pt idx="143">
                  <c:v>1934.4768731962804</c:v>
                </c:pt>
                <c:pt idx="144">
                  <c:v>2161.3703444881894</c:v>
                </c:pt>
                <c:pt idx="145">
                  <c:v>1849.6637183881428</c:v>
                </c:pt>
                <c:pt idx="146">
                  <c:v>2218.5740687060133</c:v>
                </c:pt>
                <c:pt idx="147">
                  <c:v>2012.3680511811024</c:v>
                </c:pt>
                <c:pt idx="148">
                  <c:v>1672.4051773395574</c:v>
                </c:pt>
                <c:pt idx="149">
                  <c:v>1845.3737729945335</c:v>
                </c:pt>
                <c:pt idx="150">
                  <c:v>1780.4014449622371</c:v>
                </c:pt>
                <c:pt idx="151">
                  <c:v>2016.1127971153139</c:v>
                </c:pt>
                <c:pt idx="152">
                  <c:v>1869.9280999517919</c:v>
                </c:pt>
                <c:pt idx="153">
                  <c:v>1930.6144172577599</c:v>
                </c:pt>
                <c:pt idx="154">
                  <c:v>2036.5260978069891</c:v>
                </c:pt>
                <c:pt idx="155">
                  <c:v>2136.0858873410057</c:v>
                </c:pt>
                <c:pt idx="156">
                  <c:v>1806.5385744249218</c:v>
                </c:pt>
                <c:pt idx="157">
                  <c:v>1950.5830978522049</c:v>
                </c:pt>
                <c:pt idx="158">
                  <c:v>1932.737565859823</c:v>
                </c:pt>
                <c:pt idx="159">
                  <c:v>1911.1653928973165</c:v>
                </c:pt>
                <c:pt idx="160">
                  <c:v>1756.8364332836775</c:v>
                </c:pt>
                <c:pt idx="161">
                  <c:v>2026.3815835520561</c:v>
                </c:pt>
                <c:pt idx="162">
                  <c:v>2064.1447637795268</c:v>
                </c:pt>
                <c:pt idx="163">
                  <c:v>2254.178319068812</c:v>
                </c:pt>
                <c:pt idx="164">
                  <c:v>1983.9555667004279</c:v>
                </c:pt>
                <c:pt idx="165">
                  <c:v>2148.1824813510148</c:v>
                </c:pt>
                <c:pt idx="166">
                  <c:v>1925.7888695163103</c:v>
                </c:pt>
                <c:pt idx="167">
                  <c:v>2064.5068953880759</c:v>
                </c:pt>
                <c:pt idx="168">
                  <c:v>1422.7875459890658</c:v>
                </c:pt>
                <c:pt idx="169">
                  <c:v>1468.8166141732283</c:v>
                </c:pt>
                <c:pt idx="170">
                  <c:v>1269.7230459483703</c:v>
                </c:pt>
                <c:pt idx="171">
                  <c:v>1778.736796240391</c:v>
                </c:pt>
                <c:pt idx="172">
                  <c:v>1705.8208381284071</c:v>
                </c:pt>
                <c:pt idx="173">
                  <c:v>1687.3040549332745</c:v>
                </c:pt>
                <c:pt idx="174">
                  <c:v>1834.2349724409451</c:v>
                </c:pt>
                <c:pt idx="175">
                  <c:v>2008.1555905511811</c:v>
                </c:pt>
                <c:pt idx="176">
                  <c:v>1912.2488869972335</c:v>
                </c:pt>
                <c:pt idx="177">
                  <c:v>1869.9178076698745</c:v>
                </c:pt>
                <c:pt idx="178">
                  <c:v>1955.8061890469967</c:v>
                </c:pt>
                <c:pt idx="180">
                  <c:v>2004.8405979218351</c:v>
                </c:pt>
                <c:pt idx="181">
                  <c:v>1824.4107971426258</c:v>
                </c:pt>
                <c:pt idx="182">
                  <c:v>1752.8552176573783</c:v>
                </c:pt>
                <c:pt idx="183">
                  <c:v>1536.6140177264274</c:v>
                </c:pt>
                <c:pt idx="184">
                  <c:v>1233.3256983411054</c:v>
                </c:pt>
                <c:pt idx="185">
                  <c:v>1382.4209156016302</c:v>
                </c:pt>
                <c:pt idx="186">
                  <c:v>1942.052362204724</c:v>
                </c:pt>
                <c:pt idx="187">
                  <c:v>2205.4965000520306</c:v>
                </c:pt>
                <c:pt idx="188">
                  <c:v>2179.3365777412155</c:v>
                </c:pt>
                <c:pt idx="189">
                  <c:v>2305.6601224846891</c:v>
                </c:pt>
                <c:pt idx="190">
                  <c:v>2178.8427768268093</c:v>
                </c:pt>
                <c:pt idx="191">
                  <c:v>2327.6972224932056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10-4044-8B81-209134BD5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587424"/>
        <c:axId val="908588144"/>
      </c:scatterChart>
      <c:valAx>
        <c:axId val="908587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588144"/>
        <c:crosses val="autoZero"/>
        <c:crossBetween val="midCat"/>
      </c:valAx>
      <c:valAx>
        <c:axId val="90858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587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DSWAH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Compare!$M$23:$M$24</c:f>
              <c:numCache>
                <c:formatCode>General</c:formatCode>
                <c:ptCount val="2"/>
                <c:pt idx="0">
                  <c:v>0</c:v>
                </c:pt>
                <c:pt idx="1">
                  <c:v>3500</c:v>
                </c:pt>
              </c:numCache>
            </c:numRef>
          </c:xVal>
          <c:yVal>
            <c:numRef>
              <c:f>Compare!$M$23:$M$24</c:f>
              <c:numCache>
                <c:formatCode>General</c:formatCode>
                <c:ptCount val="2"/>
                <c:pt idx="0">
                  <c:v>0</c:v>
                </c:pt>
                <c:pt idx="1">
                  <c:v>3500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98-46F2-BC2C-AD76BE5BB37E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Compare!$C$6:$C$197</c:f>
              <c:numCache>
                <c:formatCode>General</c:formatCode>
                <c:ptCount val="192"/>
                <c:pt idx="0">
                  <c:v>2838.15</c:v>
                </c:pt>
                <c:pt idx="1">
                  <c:v>2762.6819999999998</c:v>
                </c:pt>
                <c:pt idx="2">
                  <c:v>2492.819</c:v>
                </c:pt>
                <c:pt idx="3">
                  <c:v>2943.2089999999998</c:v>
                </c:pt>
                <c:pt idx="4">
                  <c:v>2481.203</c:v>
                </c:pt>
                <c:pt idx="5">
                  <c:v>2905.0920000000001</c:v>
                </c:pt>
                <c:pt idx="6">
                  <c:v>2831.4029999999998</c:v>
                </c:pt>
                <c:pt idx="7">
                  <c:v>2913.0569999999998</c:v>
                </c:pt>
                <c:pt idx="8">
                  <c:v>2726.424</c:v>
                </c:pt>
                <c:pt idx="9">
                  <c:v>2606.027</c:v>
                </c:pt>
                <c:pt idx="10">
                  <c:v>2884.578</c:v>
                </c:pt>
                <c:pt idx="11">
                  <c:v>2624.1379999999999</c:v>
                </c:pt>
                <c:pt idx="12">
                  <c:v>2396.67</c:v>
                </c:pt>
                <c:pt idx="13">
                  <c:v>2665.299</c:v>
                </c:pt>
                <c:pt idx="14">
                  <c:v>2343.5450000000001</c:v>
                </c:pt>
                <c:pt idx="15">
                  <c:v>2588.8270000000002</c:v>
                </c:pt>
                <c:pt idx="16">
                  <c:v>2699.0740000000001</c:v>
                </c:pt>
                <c:pt idx="17">
                  <c:v>2808.163</c:v>
                </c:pt>
                <c:pt idx="18">
                  <c:v>2313.6669999999999</c:v>
                </c:pt>
                <c:pt idx="19">
                  <c:v>2337.3980000000001</c:v>
                </c:pt>
                <c:pt idx="20">
                  <c:v>2233.8310000000001</c:v>
                </c:pt>
                <c:pt idx="21">
                  <c:v>1826.9179999999999</c:v>
                </c:pt>
                <c:pt idx="22">
                  <c:v>2322.1570000000002</c:v>
                </c:pt>
                <c:pt idx="23">
                  <c:v>2413.0450000000001</c:v>
                </c:pt>
                <c:pt idx="24">
                  <c:v>2572.2930000000001</c:v>
                </c:pt>
                <c:pt idx="25">
                  <c:v>2881.8270000000002</c:v>
                </c:pt>
                <c:pt idx="26">
                  <c:v>2439.7089999999998</c:v>
                </c:pt>
                <c:pt idx="27">
                  <c:v>2767.9830000000002</c:v>
                </c:pt>
                <c:pt idx="28">
                  <c:v>2463.88</c:v>
                </c:pt>
                <c:pt idx="29">
                  <c:v>2312.1559999999999</c:v>
                </c:pt>
                <c:pt idx="30">
                  <c:v>1971.354</c:v>
                </c:pt>
                <c:pt idx="31">
                  <c:v>2140.0189999999998</c:v>
                </c:pt>
                <c:pt idx="32">
                  <c:v>2300.4209999999998</c:v>
                </c:pt>
                <c:pt idx="33">
                  <c:v>2424.529</c:v>
                </c:pt>
                <c:pt idx="34">
                  <c:v>2189.5309999999999</c:v>
                </c:pt>
                <c:pt idx="35">
                  <c:v>2238.1970000000001</c:v>
                </c:pt>
                <c:pt idx="36">
                  <c:v>2595.3000000000002</c:v>
                </c:pt>
                <c:pt idx="37">
                  <c:v>2464.3969999999999</c:v>
                </c:pt>
                <c:pt idx="38">
                  <c:v>2475.739</c:v>
                </c:pt>
                <c:pt idx="39">
                  <c:v>2451.8040000000001</c:v>
                </c:pt>
                <c:pt idx="40">
                  <c:v>2281.2890000000002</c:v>
                </c:pt>
                <c:pt idx="41">
                  <c:v>2230.3710000000001</c:v>
                </c:pt>
                <c:pt idx="42">
                  <c:v>2368.2959999999998</c:v>
                </c:pt>
                <c:pt idx="43">
                  <c:v>2640.2620000000002</c:v>
                </c:pt>
                <c:pt idx="44">
                  <c:v>2683.0970000000002</c:v>
                </c:pt>
                <c:pt idx="45">
                  <c:v>2859.4369999999999</c:v>
                </c:pt>
                <c:pt idx="46">
                  <c:v>3141.3629999999998</c:v>
                </c:pt>
                <c:pt idx="47">
                  <c:v>2628.8649999999998</c:v>
                </c:pt>
                <c:pt idx="48">
                  <c:v>2643.0540000000001</c:v>
                </c:pt>
                <c:pt idx="49">
                  <c:v>2507.2809999999999</c:v>
                </c:pt>
                <c:pt idx="50">
                  <c:v>2255.5140000000001</c:v>
                </c:pt>
                <c:pt idx="51">
                  <c:v>2470.5610000000001</c:v>
                </c:pt>
                <c:pt idx="52">
                  <c:v>2389.3679999999999</c:v>
                </c:pt>
                <c:pt idx="53">
                  <c:v>2682.181</c:v>
                </c:pt>
                <c:pt idx="54">
                  <c:v>2375.373</c:v>
                </c:pt>
                <c:pt idx="55">
                  <c:v>2749.0509999999999</c:v>
                </c:pt>
                <c:pt idx="56">
                  <c:v>2846.4380000000001</c:v>
                </c:pt>
                <c:pt idx="57">
                  <c:v>2381.473</c:v>
                </c:pt>
                <c:pt idx="58">
                  <c:v>2048.5859999999998</c:v>
                </c:pt>
                <c:pt idx="59">
                  <c:v>2542.3150000000001</c:v>
                </c:pt>
                <c:pt idx="60">
                  <c:v>2509.4450000000002</c:v>
                </c:pt>
                <c:pt idx="61">
                  <c:v>2337.4169999999999</c:v>
                </c:pt>
                <c:pt idx="62">
                  <c:v>2155.0549999999998</c:v>
                </c:pt>
                <c:pt idx="63">
                  <c:v>2582.7060000000001</c:v>
                </c:pt>
                <c:pt idx="64">
                  <c:v>2500.9760000000001</c:v>
                </c:pt>
                <c:pt idx="65">
                  <c:v>2674.2660000000001</c:v>
                </c:pt>
                <c:pt idx="66">
                  <c:v>2582.643</c:v>
                </c:pt>
                <c:pt idx="67">
                  <c:v>2335.116</c:v>
                </c:pt>
                <c:pt idx="68">
                  <c:v>2620.2910000000002</c:v>
                </c:pt>
                <c:pt idx="69">
                  <c:v>2507.9549999999999</c:v>
                </c:pt>
                <c:pt idx="70">
                  <c:v>2323.268</c:v>
                </c:pt>
                <c:pt idx="71">
                  <c:v>2505.2269999999999</c:v>
                </c:pt>
                <c:pt idx="72">
                  <c:v>1906.8969999999999</c:v>
                </c:pt>
                <c:pt idx="73">
                  <c:v>1751.221</c:v>
                </c:pt>
                <c:pt idx="74">
                  <c:v>1725.8610000000001</c:v>
                </c:pt>
                <c:pt idx="75">
                  <c:v>2088.2750000000001</c:v>
                </c:pt>
                <c:pt idx="76">
                  <c:v>1784.492</c:v>
                </c:pt>
                <c:pt idx="77">
                  <c:v>1668.6489999999999</c:v>
                </c:pt>
                <c:pt idx="78">
                  <c:v>2366.3989999999999</c:v>
                </c:pt>
                <c:pt idx="79">
                  <c:v>2502.127</c:v>
                </c:pt>
                <c:pt idx="80">
                  <c:v>2273.5010000000002</c:v>
                </c:pt>
                <c:pt idx="81">
                  <c:v>1662.0619999999999</c:v>
                </c:pt>
                <c:pt idx="82">
                  <c:v>1404.3779999999999</c:v>
                </c:pt>
                <c:pt idx="83">
                  <c:v>1387.049</c:v>
                </c:pt>
                <c:pt idx="84">
                  <c:v>1903.799</c:v>
                </c:pt>
                <c:pt idx="85">
                  <c:v>1899.942</c:v>
                </c:pt>
                <c:pt idx="86">
                  <c:v>1662.49</c:v>
                </c:pt>
                <c:pt idx="87">
                  <c:v>1955.5809999999999</c:v>
                </c:pt>
                <c:pt idx="88">
                  <c:v>1890.2819999999999</c:v>
                </c:pt>
                <c:pt idx="89">
                  <c:v>2019.662</c:v>
                </c:pt>
                <c:pt idx="90">
                  <c:v>2418.4409999999998</c:v>
                </c:pt>
                <c:pt idx="91">
                  <c:v>2586.7089999999998</c:v>
                </c:pt>
                <c:pt idx="92">
                  <c:v>2471.2379999999998</c:v>
                </c:pt>
                <c:pt idx="93">
                  <c:v>2753.9859999999999</c:v>
                </c:pt>
                <c:pt idx="94">
                  <c:v>2632.5329999999999</c:v>
                </c:pt>
                <c:pt idx="95">
                  <c:v>2632</c:v>
                </c:pt>
                <c:pt idx="96">
                  <c:v>2161.5810000000001</c:v>
                </c:pt>
                <c:pt idx="97">
                  <c:v>2294.7069999999999</c:v>
                </c:pt>
                <c:pt idx="98">
                  <c:v>2189.0129999999999</c:v>
                </c:pt>
                <c:pt idx="99">
                  <c:v>2177.7440000000001</c:v>
                </c:pt>
                <c:pt idx="100">
                  <c:v>2040.6089999999999</c:v>
                </c:pt>
                <c:pt idx="101">
                  <c:v>2197.9169999999999</c:v>
                </c:pt>
                <c:pt idx="102">
                  <c:v>2037.778</c:v>
                </c:pt>
                <c:pt idx="103">
                  <c:v>2288.672</c:v>
                </c:pt>
                <c:pt idx="104">
                  <c:v>2026.8779999999999</c:v>
                </c:pt>
                <c:pt idx="105">
                  <c:v>2591.83</c:v>
                </c:pt>
                <c:pt idx="106">
                  <c:v>2559.5790000000002</c:v>
                </c:pt>
                <c:pt idx="107">
                  <c:v>2203.1170000000002</c:v>
                </c:pt>
                <c:pt idx="108">
                  <c:v>2208.8000000000002</c:v>
                </c:pt>
                <c:pt idx="109">
                  <c:v>1865.721</c:v>
                </c:pt>
                <c:pt idx="110">
                  <c:v>1582.761</c:v>
                </c:pt>
                <c:pt idx="111">
                  <c:v>2121.0079999999998</c:v>
                </c:pt>
                <c:pt idx="112">
                  <c:v>2273.183</c:v>
                </c:pt>
                <c:pt idx="113">
                  <c:v>2158.0949999999998</c:v>
                </c:pt>
                <c:pt idx="114">
                  <c:v>2762.402</c:v>
                </c:pt>
                <c:pt idx="115">
                  <c:v>2934.0540000000001</c:v>
                </c:pt>
                <c:pt idx="116">
                  <c:v>2659.5680000000002</c:v>
                </c:pt>
                <c:pt idx="117">
                  <c:v>2509.982</c:v>
                </c:pt>
                <c:pt idx="118">
                  <c:v>2259.1120000000001</c:v>
                </c:pt>
                <c:pt idx="119">
                  <c:v>2621.5059999999999</c:v>
                </c:pt>
                <c:pt idx="120">
                  <c:v>2026.5820000000001</c:v>
                </c:pt>
                <c:pt idx="121">
                  <c:v>1906.866</c:v>
                </c:pt>
                <c:pt idx="122">
                  <c:v>1761.164</c:v>
                </c:pt>
                <c:pt idx="123">
                  <c:v>2137.1089999999999</c:v>
                </c:pt>
                <c:pt idx="124">
                  <c:v>2156.7869999999998</c:v>
                </c:pt>
                <c:pt idx="125">
                  <c:v>1908.2090000000001</c:v>
                </c:pt>
                <c:pt idx="126">
                  <c:v>2248.9169999999999</c:v>
                </c:pt>
                <c:pt idx="127">
                  <c:v>2374.7139999999999</c:v>
                </c:pt>
                <c:pt idx="128">
                  <c:v>2281.6210000000001</c:v>
                </c:pt>
                <c:pt idx="129">
                  <c:v>2850.576</c:v>
                </c:pt>
                <c:pt idx="130">
                  <c:v>2582.0619999999999</c:v>
                </c:pt>
                <c:pt idx="131">
                  <c:v>2905.4319999999998</c:v>
                </c:pt>
                <c:pt idx="132">
                  <c:v>2327.1039999999998</c:v>
                </c:pt>
                <c:pt idx="133">
                  <c:v>2383.2739999999999</c:v>
                </c:pt>
                <c:pt idx="134">
                  <c:v>1837.251</c:v>
                </c:pt>
                <c:pt idx="135">
                  <c:v>2486.7199999999998</c:v>
                </c:pt>
                <c:pt idx="136">
                  <c:v>2661.59</c:v>
                </c:pt>
                <c:pt idx="137">
                  <c:v>2682.8629999999998</c:v>
                </c:pt>
                <c:pt idx="138">
                  <c:v>2578.2420000000002</c:v>
                </c:pt>
                <c:pt idx="139">
                  <c:v>2480.6080000000002</c:v>
                </c:pt>
                <c:pt idx="140">
                  <c:v>2217.0830000000001</c:v>
                </c:pt>
                <c:pt idx="141">
                  <c:v>2878.2359999999999</c:v>
                </c:pt>
                <c:pt idx="142">
                  <c:v>2652.306</c:v>
                </c:pt>
                <c:pt idx="143">
                  <c:v>2441.1260000000002</c:v>
                </c:pt>
                <c:pt idx="144">
                  <c:v>2856.9839999999999</c:v>
                </c:pt>
                <c:pt idx="145">
                  <c:v>2426.4409999999998</c:v>
                </c:pt>
                <c:pt idx="146">
                  <c:v>2852.4520000000002</c:v>
                </c:pt>
                <c:pt idx="147">
                  <c:v>2583.7809999999999</c:v>
                </c:pt>
                <c:pt idx="148">
                  <c:v>2155.9920000000002</c:v>
                </c:pt>
                <c:pt idx="149">
                  <c:v>2290.8090000000002</c:v>
                </c:pt>
                <c:pt idx="150">
                  <c:v>2167.4450000000002</c:v>
                </c:pt>
                <c:pt idx="151">
                  <c:v>2520.1410000000001</c:v>
                </c:pt>
                <c:pt idx="152">
                  <c:v>2332.1579999999999</c:v>
                </c:pt>
                <c:pt idx="153">
                  <c:v>2418.5720000000001</c:v>
                </c:pt>
                <c:pt idx="154">
                  <c:v>2518.2849999999999</c:v>
                </c:pt>
                <c:pt idx="155">
                  <c:v>2681.9749999999999</c:v>
                </c:pt>
                <c:pt idx="156">
                  <c:v>2720.9589999999998</c:v>
                </c:pt>
                <c:pt idx="157">
                  <c:v>2518.4740000000002</c:v>
                </c:pt>
                <c:pt idx="158">
                  <c:v>2497.3580000000002</c:v>
                </c:pt>
                <c:pt idx="159">
                  <c:v>2451.277</c:v>
                </c:pt>
                <c:pt idx="160">
                  <c:v>2237.875</c:v>
                </c:pt>
                <c:pt idx="161">
                  <c:v>2521.1959999999999</c:v>
                </c:pt>
                <c:pt idx="162">
                  <c:v>2597.5749999999998</c:v>
                </c:pt>
                <c:pt idx="163">
                  <c:v>2796.3220000000001</c:v>
                </c:pt>
                <c:pt idx="164">
                  <c:v>2599.6660000000002</c:v>
                </c:pt>
                <c:pt idx="165">
                  <c:v>2716.0929999999998</c:v>
                </c:pt>
                <c:pt idx="166">
                  <c:v>2319.6999999999998</c:v>
                </c:pt>
                <c:pt idx="167">
                  <c:v>2636.5990000000002</c:v>
                </c:pt>
                <c:pt idx="168">
                  <c:v>1925.9690000000001</c:v>
                </c:pt>
                <c:pt idx="169">
                  <c:v>1905.9639999999999</c:v>
                </c:pt>
                <c:pt idx="170">
                  <c:v>1656.8340000000001</c:v>
                </c:pt>
                <c:pt idx="171">
                  <c:v>2279.0070000000001</c:v>
                </c:pt>
                <c:pt idx="172">
                  <c:v>2180.86</c:v>
                </c:pt>
                <c:pt idx="173">
                  <c:v>2285.3359999999998</c:v>
                </c:pt>
                <c:pt idx="174">
                  <c:v>2254.12</c:v>
                </c:pt>
                <c:pt idx="175">
                  <c:v>2486.288</c:v>
                </c:pt>
                <c:pt idx="176">
                  <c:v>2344.7809999999999</c:v>
                </c:pt>
                <c:pt idx="177">
                  <c:v>2320.5</c:v>
                </c:pt>
                <c:pt idx="178">
                  <c:v>2444.7579999999998</c:v>
                </c:pt>
                <c:pt idx="179">
                  <c:v>2128.261</c:v>
                </c:pt>
                <c:pt idx="180">
                  <c:v>2547.3270000000002</c:v>
                </c:pt>
                <c:pt idx="181">
                  <c:v>2324.2489999999998</c:v>
                </c:pt>
                <c:pt idx="182">
                  <c:v>2250.2869999999998</c:v>
                </c:pt>
                <c:pt idx="183">
                  <c:v>1925.63</c:v>
                </c:pt>
                <c:pt idx="184">
                  <c:v>1534.1369999999999</c:v>
                </c:pt>
                <c:pt idx="185">
                  <c:v>1714.902</c:v>
                </c:pt>
                <c:pt idx="186">
                  <c:v>2433.1460000000002</c:v>
                </c:pt>
                <c:pt idx="187">
                  <c:v>2769.123</c:v>
                </c:pt>
                <c:pt idx="188">
                  <c:v>2758.654</c:v>
                </c:pt>
                <c:pt idx="189">
                  <c:v>2944.578</c:v>
                </c:pt>
                <c:pt idx="190">
                  <c:v>2630.5540000000001</c:v>
                </c:pt>
                <c:pt idx="191">
                  <c:v>2856.7190000000001</c:v>
                </c:pt>
              </c:numCache>
            </c:numRef>
          </c:xVal>
          <c:yVal>
            <c:numRef>
              <c:f>'Raw Scale'!$V$44:$V$235</c:f>
              <c:numCache>
                <c:formatCode>0.0</c:formatCode>
                <c:ptCount val="192"/>
                <c:pt idx="0">
                  <c:v>2838.1498692169916</c:v>
                </c:pt>
                <c:pt idx="1">
                  <c:v>2762.6823715528712</c:v>
                </c:pt>
                <c:pt idx="2">
                  <c:v>2492.8192924475984</c:v>
                </c:pt>
                <c:pt idx="3">
                  <c:v>2943.2089646872741</c:v>
                </c:pt>
                <c:pt idx="4">
                  <c:v>2481.2026716638584</c:v>
                </c:pt>
                <c:pt idx="5">
                  <c:v>2905.0920699912513</c:v>
                </c:pt>
                <c:pt idx="6">
                  <c:v>2831.4034439620273</c:v>
                </c:pt>
                <c:pt idx="7">
                  <c:v>2913.0574844005341</c:v>
                </c:pt>
                <c:pt idx="8">
                  <c:v>2726.4241153714474</c:v>
                </c:pt>
                <c:pt idx="9">
                  <c:v>2606.0274937836725</c:v>
                </c:pt>
                <c:pt idx="10">
                  <c:v>2884.5784966123415</c:v>
                </c:pt>
                <c:pt idx="11">
                  <c:v>2624.1380689241205</c:v>
                </c:pt>
                <c:pt idx="12">
                  <c:v>2396.670244597085</c:v>
                </c:pt>
                <c:pt idx="13">
                  <c:v>2665.2994488188979</c:v>
                </c:pt>
                <c:pt idx="14">
                  <c:v>2343.5448232924368</c:v>
                </c:pt>
                <c:pt idx="15">
                  <c:v>2588.8270866141729</c:v>
                </c:pt>
                <c:pt idx="16">
                  <c:v>2699.0742725094137</c:v>
                </c:pt>
                <c:pt idx="17">
                  <c:v>2808.1630708661414</c:v>
                </c:pt>
                <c:pt idx="18">
                  <c:v>2313.6668232551033</c:v>
                </c:pt>
                <c:pt idx="19">
                  <c:v>2337.3983651345911</c:v>
                </c:pt>
                <c:pt idx="20">
                  <c:v>2233.8309978728958</c:v>
                </c:pt>
                <c:pt idx="21">
                  <c:v>1826.9177172578197</c:v>
                </c:pt>
                <c:pt idx="22">
                  <c:v>2322.1568101080393</c:v>
                </c:pt>
                <c:pt idx="23">
                  <c:v>2413.0447604497199</c:v>
                </c:pt>
                <c:pt idx="24">
                  <c:v>2572.2925561066986</c:v>
                </c:pt>
                <c:pt idx="25">
                  <c:v>2881.8271259842518</c:v>
                </c:pt>
                <c:pt idx="26">
                  <c:v>2439.7090663667041</c:v>
                </c:pt>
                <c:pt idx="27">
                  <c:v>2767.9826771653538</c:v>
                </c:pt>
                <c:pt idx="28">
                  <c:v>2463.8798584959491</c:v>
                </c:pt>
                <c:pt idx="29">
                  <c:v>2312.1563944917852</c:v>
                </c:pt>
                <c:pt idx="30">
                  <c:v>1971.3544959520907</c:v>
                </c:pt>
                <c:pt idx="31">
                  <c:v>2140.0187768309788</c:v>
                </c:pt>
                <c:pt idx="32">
                  <c:v>2300.4210077188627</c:v>
                </c:pt>
                <c:pt idx="33">
                  <c:v>2424.5285625343345</c:v>
                </c:pt>
                <c:pt idx="34">
                  <c:v>2189.5309622955783</c:v>
                </c:pt>
                <c:pt idx="35">
                  <c:v>2238.1967454068244</c:v>
                </c:pt>
                <c:pt idx="36">
                  <c:v>2595.299643440796</c:v>
                </c:pt>
                <c:pt idx="37">
                  <c:v>2464.3974803149613</c:v>
                </c:pt>
                <c:pt idx="38">
                  <c:v>2475.7385498376684</c:v>
                </c:pt>
                <c:pt idx="39">
                  <c:v>2451.803625572923</c:v>
                </c:pt>
                <c:pt idx="40">
                  <c:v>2281.288761839553</c:v>
                </c:pt>
                <c:pt idx="41">
                  <c:v>2230.3711872479357</c:v>
                </c:pt>
                <c:pt idx="42">
                  <c:v>2368.2957040405158</c:v>
                </c:pt>
                <c:pt idx="43">
                  <c:v>2640.2621164077464</c:v>
                </c:pt>
                <c:pt idx="44">
                  <c:v>2683.0967976627367</c:v>
                </c:pt>
                <c:pt idx="45">
                  <c:v>2859.4370412789312</c:v>
                </c:pt>
                <c:pt idx="46">
                  <c:v>3141.3627060367457</c:v>
                </c:pt>
                <c:pt idx="47">
                  <c:v>2628.8646850393698</c:v>
                </c:pt>
                <c:pt idx="48">
                  <c:v>2643.0536514480746</c:v>
                </c:pt>
                <c:pt idx="49">
                  <c:v>2507.2811420934772</c:v>
                </c:pt>
                <c:pt idx="50">
                  <c:v>2255.5135480792173</c:v>
                </c:pt>
                <c:pt idx="51">
                  <c:v>2470.56084454045</c:v>
                </c:pt>
                <c:pt idx="52">
                  <c:v>2389.3680720128423</c:v>
                </c:pt>
                <c:pt idx="53">
                  <c:v>2682.1814436916311</c:v>
                </c:pt>
                <c:pt idx="54">
                  <c:v>2375.3727318160577</c:v>
                </c:pt>
                <c:pt idx="55">
                  <c:v>2749.0509867437459</c:v>
                </c:pt>
                <c:pt idx="56">
                  <c:v>2846.4383596931843</c:v>
                </c:pt>
                <c:pt idx="57">
                  <c:v>2381.4733504125375</c:v>
                </c:pt>
                <c:pt idx="58">
                  <c:v>2048.5864760980703</c:v>
                </c:pt>
                <c:pt idx="59">
                  <c:v>2542.3150154738119</c:v>
                </c:pt>
                <c:pt idx="60">
                  <c:v>2509.4447409685376</c:v>
                </c:pt>
                <c:pt idx="61">
                  <c:v>2337.4171335554211</c:v>
                </c:pt>
                <c:pt idx="62">
                  <c:v>2155.0549118181498</c:v>
                </c:pt>
                <c:pt idx="63">
                  <c:v>2582.7064173228337</c:v>
                </c:pt>
                <c:pt idx="64">
                  <c:v>2500.9756260349427</c:v>
                </c:pt>
                <c:pt idx="65">
                  <c:v>2674.2659419043207</c:v>
                </c:pt>
                <c:pt idx="66">
                  <c:v>2582.6426389201351</c:v>
                </c:pt>
                <c:pt idx="67">
                  <c:v>2335.1156978637164</c:v>
                </c:pt>
                <c:pt idx="68">
                  <c:v>2620.2905099523505</c:v>
                </c:pt>
                <c:pt idx="69">
                  <c:v>2507.9553563847999</c:v>
                </c:pt>
                <c:pt idx="70">
                  <c:v>2323.267640088678</c:v>
                </c:pt>
                <c:pt idx="71">
                  <c:v>2505.2268965278017</c:v>
                </c:pt>
                <c:pt idx="72">
                  <c:v>1906.897113349203</c:v>
                </c:pt>
                <c:pt idx="73">
                  <c:v>1751.220974364506</c:v>
                </c:pt>
                <c:pt idx="74">
                  <c:v>1725.8610505878548</c:v>
                </c:pt>
                <c:pt idx="75">
                  <c:v>2088.2745900455102</c:v>
                </c:pt>
                <c:pt idx="76">
                  <c:v>1784.4923348315363</c:v>
                </c:pt>
                <c:pt idx="77">
                  <c:v>1668.6487514060741</c:v>
                </c:pt>
                <c:pt idx="78">
                  <c:v>2366.3986656840307</c:v>
                </c:pt>
                <c:pt idx="79">
                  <c:v>2502.1267824610159</c:v>
                </c:pt>
                <c:pt idx="80">
                  <c:v>2273.5007487345338</c:v>
                </c:pt>
                <c:pt idx="81">
                  <c:v>1662.0620932709498</c:v>
                </c:pt>
                <c:pt idx="82">
                  <c:v>1404.3776494456051</c:v>
                </c:pt>
                <c:pt idx="83">
                  <c:v>1387.0492072052639</c:v>
                </c:pt>
                <c:pt idx="84">
                  <c:v>1903.7993686912487</c:v>
                </c:pt>
                <c:pt idx="85">
                  <c:v>1899.9424015748025</c:v>
                </c:pt>
                <c:pt idx="86">
                  <c:v>1662.4903637045365</c:v>
                </c:pt>
                <c:pt idx="87">
                  <c:v>1955.5811142925313</c:v>
                </c:pt>
                <c:pt idx="88">
                  <c:v>1890.2818932547223</c:v>
                </c:pt>
                <c:pt idx="89">
                  <c:v>2019.6623033484452</c:v>
                </c:pt>
                <c:pt idx="90">
                  <c:v>2418.4406654924701</c:v>
                </c:pt>
                <c:pt idx="91">
                  <c:v>2586.7090619060546</c:v>
                </c:pt>
                <c:pt idx="92">
                  <c:v>2471.2375677237596</c:v>
                </c:pt>
                <c:pt idx="93">
                  <c:v>2753.9859033836988</c:v>
                </c:pt>
                <c:pt idx="94">
                  <c:v>2632.5332944319462</c:v>
                </c:pt>
                <c:pt idx="95">
                  <c:v>2632.0001011341465</c:v>
                </c:pt>
                <c:pt idx="96">
                  <c:v>2161.5812862148214</c:v>
                </c:pt>
                <c:pt idx="97">
                  <c:v>2294.7068888810422</c:v>
                </c:pt>
                <c:pt idx="98">
                  <c:v>2189.0133038800013</c:v>
                </c:pt>
                <c:pt idx="99">
                  <c:v>2177.7436443321944</c:v>
                </c:pt>
                <c:pt idx="100">
                  <c:v>2040.6093211644002</c:v>
                </c:pt>
                <c:pt idx="101">
                  <c:v>2197.917140857393</c:v>
                </c:pt>
                <c:pt idx="102">
                  <c:v>2037.7782409368879</c:v>
                </c:pt>
                <c:pt idx="103">
                  <c:v>2288.671543144736</c:v>
                </c:pt>
                <c:pt idx="104">
                  <c:v>2026.8776377952752</c:v>
                </c:pt>
                <c:pt idx="105">
                  <c:v>2591.8304441556456</c:v>
                </c:pt>
                <c:pt idx="106">
                  <c:v>2559.5787376406724</c:v>
                </c:pt>
                <c:pt idx="107">
                  <c:v>2203.1165598960324</c:v>
                </c:pt>
                <c:pt idx="108">
                  <c:v>2208.7999228425592</c:v>
                </c:pt>
                <c:pt idx="109">
                  <c:v>1865.7214667967387</c:v>
                </c:pt>
                <c:pt idx="110">
                  <c:v>1582.7607167463439</c:v>
                </c:pt>
                <c:pt idx="111">
                  <c:v>2121.0084128640547</c:v>
                </c:pt>
                <c:pt idx="112">
                  <c:v>2273.1826088248404</c:v>
                </c:pt>
                <c:pt idx="113">
                  <c:v>2158.0947689147552</c:v>
                </c:pt>
                <c:pt idx="114">
                  <c:v>2762.4020669291335</c:v>
                </c:pt>
                <c:pt idx="115">
                  <c:v>2934.0537708557363</c:v>
                </c:pt>
                <c:pt idx="116">
                  <c:v>2659.5677478251905</c:v>
                </c:pt>
                <c:pt idx="117">
                  <c:v>2509.9822544550352</c:v>
                </c:pt>
                <c:pt idx="118">
                  <c:v>2259.1118288381381</c:v>
                </c:pt>
                <c:pt idx="119">
                  <c:v>2621.5059344442411</c:v>
                </c:pt>
                <c:pt idx="120">
                  <c:v>2026.5824650224504</c:v>
                </c:pt>
                <c:pt idx="121">
                  <c:v>1906.8661417322833</c:v>
                </c:pt>
                <c:pt idx="122">
                  <c:v>1761.1636166168885</c:v>
                </c:pt>
                <c:pt idx="123">
                  <c:v>2137.1092578186763</c:v>
                </c:pt>
                <c:pt idx="124">
                  <c:v>2156.7866124907459</c:v>
                </c:pt>
                <c:pt idx="125">
                  <c:v>1908.2086614173224</c:v>
                </c:pt>
                <c:pt idx="126">
                  <c:v>2248.9167848930383</c:v>
                </c:pt>
                <c:pt idx="127">
                  <c:v>2374.7143695584305</c:v>
                </c:pt>
                <c:pt idx="128">
                  <c:v>2281.6213338582684</c:v>
                </c:pt>
                <c:pt idx="129">
                  <c:v>2850.5757086614171</c:v>
                </c:pt>
                <c:pt idx="130">
                  <c:v>2582.0615468066489</c:v>
                </c:pt>
                <c:pt idx="131">
                  <c:v>2905.4323497345636</c:v>
                </c:pt>
                <c:pt idx="132">
                  <c:v>2327.1042288521271</c:v>
                </c:pt>
                <c:pt idx="133">
                  <c:v>2383.2739160368774</c:v>
                </c:pt>
                <c:pt idx="135">
                  <c:v>2486.7199212598425</c:v>
                </c:pt>
                <c:pt idx="136">
                  <c:v>2661.5895220139728</c:v>
                </c:pt>
                <c:pt idx="137">
                  <c:v>2682.8625768830775</c:v>
                </c:pt>
                <c:pt idx="138">
                  <c:v>2578.2419291338583</c:v>
                </c:pt>
                <c:pt idx="139">
                  <c:v>2480.6083403409521</c:v>
                </c:pt>
                <c:pt idx="140">
                  <c:v>2217.0834366797903</c:v>
                </c:pt>
                <c:pt idx="141">
                  <c:v>2878.2361246148575</c:v>
                </c:pt>
                <c:pt idx="142">
                  <c:v>2652.3061034764519</c:v>
                </c:pt>
                <c:pt idx="143">
                  <c:v>2441.1255780810206</c:v>
                </c:pt>
                <c:pt idx="144">
                  <c:v>2856.9837886912842</c:v>
                </c:pt>
                <c:pt idx="145">
                  <c:v>2426.4405768102515</c:v>
                </c:pt>
                <c:pt idx="146">
                  <c:v>2852.4523740505892</c:v>
                </c:pt>
                <c:pt idx="147">
                  <c:v>2583.7812015164768</c:v>
                </c:pt>
                <c:pt idx="148">
                  <c:v>2155.9922165702733</c:v>
                </c:pt>
                <c:pt idx="149">
                  <c:v>2290.8088216483861</c:v>
                </c:pt>
                <c:pt idx="150">
                  <c:v>2167.4452373453323</c:v>
                </c:pt>
                <c:pt idx="151">
                  <c:v>2520.1409963941423</c:v>
                </c:pt>
                <c:pt idx="152">
                  <c:v>2332.1575179174033</c:v>
                </c:pt>
                <c:pt idx="153">
                  <c:v>2418.5719073338964</c:v>
                </c:pt>
                <c:pt idx="154">
                  <c:v>2518.2849596538035</c:v>
                </c:pt>
                <c:pt idx="155">
                  <c:v>2681.9745029948176</c:v>
                </c:pt>
                <c:pt idx="156">
                  <c:v>2720.9593343190177</c:v>
                </c:pt>
                <c:pt idx="157">
                  <c:v>2518.4743795053782</c:v>
                </c:pt>
                <c:pt idx="158">
                  <c:v>2497.3575289199957</c:v>
                </c:pt>
                <c:pt idx="159">
                  <c:v>2451.2773517596015</c:v>
                </c:pt>
                <c:pt idx="160">
                  <c:v>2237.8749804923036</c:v>
                </c:pt>
                <c:pt idx="161">
                  <c:v>2521.1956911636048</c:v>
                </c:pt>
                <c:pt idx="162">
                  <c:v>2597.5754330708655</c:v>
                </c:pt>
                <c:pt idx="163">
                  <c:v>2796.3224717562475</c:v>
                </c:pt>
                <c:pt idx="164">
                  <c:v>2599.6659149867673</c:v>
                </c:pt>
                <c:pt idx="165">
                  <c:v>2716.0927925127776</c:v>
                </c:pt>
                <c:pt idx="166">
                  <c:v>2319.7002291901013</c:v>
                </c:pt>
                <c:pt idx="167">
                  <c:v>2636.5991676040489</c:v>
                </c:pt>
                <c:pt idx="168">
                  <c:v>1925.9685073754431</c:v>
                </c:pt>
                <c:pt idx="169">
                  <c:v>1905.964416010499</c:v>
                </c:pt>
                <c:pt idx="170">
                  <c:v>1656.833730688727</c:v>
                </c:pt>
                <c:pt idx="171">
                  <c:v>2279.0065201830012</c:v>
                </c:pt>
                <c:pt idx="172">
                  <c:v>2180.8595525439127</c:v>
                </c:pt>
                <c:pt idx="173">
                  <c:v>2285.3358718716504</c:v>
                </c:pt>
                <c:pt idx="174">
                  <c:v>2254.1200866141735</c:v>
                </c:pt>
                <c:pt idx="175">
                  <c:v>2486.287874015748</c:v>
                </c:pt>
                <c:pt idx="176">
                  <c:v>2344.7813733418461</c:v>
                </c:pt>
                <c:pt idx="177">
                  <c:v>2320.5004119276759</c:v>
                </c:pt>
                <c:pt idx="178">
                  <c:v>2444.7577363087457</c:v>
                </c:pt>
                <c:pt idx="180">
                  <c:v>2547.3268773595087</c:v>
                </c:pt>
                <c:pt idx="181">
                  <c:v>2324.2493717022494</c:v>
                </c:pt>
                <c:pt idx="182">
                  <c:v>2250.2871037493369</c:v>
                </c:pt>
                <c:pt idx="183">
                  <c:v>1925.6302247457763</c:v>
                </c:pt>
                <c:pt idx="184">
                  <c:v>1534.1368442779603</c:v>
                </c:pt>
                <c:pt idx="185">
                  <c:v>1714.901895303288</c:v>
                </c:pt>
                <c:pt idx="186">
                  <c:v>2433.1460629921257</c:v>
                </c:pt>
                <c:pt idx="187">
                  <c:v>2769.1233833986603</c:v>
                </c:pt>
                <c:pt idx="188">
                  <c:v>2758.6538958749561</c:v>
                </c:pt>
                <c:pt idx="189">
                  <c:v>2944.5779877515311</c:v>
                </c:pt>
                <c:pt idx="190">
                  <c:v>2630.5540842177334</c:v>
                </c:pt>
                <c:pt idx="191">
                  <c:v>2856.7193185143892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98-46F2-BC2C-AD76BE5BB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587424"/>
        <c:axId val="908588144"/>
      </c:scatterChart>
      <c:valAx>
        <c:axId val="908587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588144"/>
        <c:crosses val="autoZero"/>
        <c:crossBetween val="midCat"/>
      </c:valAx>
      <c:valAx>
        <c:axId val="90858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587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332422</xdr:colOff>
      <xdr:row>4</xdr:row>
      <xdr:rowOff>65722</xdr:rowOff>
    </xdr:from>
    <xdr:to>
      <xdr:col>11</xdr:col>
      <xdr:colOff>27622</xdr:colOff>
      <xdr:row>19</xdr:row>
      <xdr:rowOff>92392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5C8AB8-215F-80C9-939A-144786911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400050</xdr:colOff>
      <xdr:row>20</xdr:row>
      <xdr:rowOff>167640</xdr:rowOff>
    </xdr:from>
    <xdr:to>
      <xdr:col>11</xdr:col>
      <xdr:colOff>95250</xdr:colOff>
      <xdr:row>36</xdr:row>
      <xdr:rowOff>24765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BA3C84-0707-4E65-A6B0-3FDB0FDB4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E8EA-A5C9-47F2-8D6E-B68B0450AD04}">
  <dimension ref="A1:BH235"/>
  <sheetViews>
    <sheetView tabSelected="1" zoomScaleNormal="100" workbookViewId="0"/>
  </sheetViews>
  <sheetFormatPr defaultRowHeight="14.4" x14ac:dyDescent="0.3"/>
  <cols>
    <col min="1" max="2" width="8.88671875" customWidth="1"/>
    <col min="3" max="6" width="10.5546875" bestFit="1" customWidth="1"/>
    <col min="7" max="10" width="10.5546875" customWidth="1"/>
    <col min="11" max="11" width="10.5546875" bestFit="1" customWidth="1"/>
    <col min="24" max="24" width="10.5546875" bestFit="1" customWidth="1"/>
    <col min="34" max="34" width="9.5546875" bestFit="1" customWidth="1"/>
    <col min="36" max="36" width="10.5546875" bestFit="1" customWidth="1"/>
    <col min="37" max="37" width="8.88671875" customWidth="1"/>
    <col min="41" max="41" width="10.5546875" bestFit="1" customWidth="1"/>
    <col min="43" max="43" width="10.5546875" bestFit="1" customWidth="1"/>
    <col min="44" max="44" width="8.88671875" customWidth="1"/>
    <col min="54" max="54" width="10.5546875" bestFit="1" customWidth="1"/>
  </cols>
  <sheetData>
    <row r="1" spans="1:1" x14ac:dyDescent="0.3">
      <c r="A1" t="s">
        <v>28</v>
      </c>
    </row>
    <row r="2" spans="1:1" x14ac:dyDescent="0.3">
      <c r="A2" t="s">
        <v>29</v>
      </c>
    </row>
    <row r="3" spans="1:1" x14ac:dyDescent="0.3">
      <c r="A3" t="s">
        <v>21</v>
      </c>
    </row>
    <row r="4" spans="1:1" x14ac:dyDescent="0.3">
      <c r="A4" t="s">
        <v>25</v>
      </c>
    </row>
    <row r="5" spans="1:1" x14ac:dyDescent="0.3">
      <c r="A5" t="s">
        <v>340</v>
      </c>
    </row>
    <row r="6" spans="1:1" x14ac:dyDescent="0.3">
      <c r="A6" t="s">
        <v>22</v>
      </c>
    </row>
    <row r="7" spans="1:1" x14ac:dyDescent="0.3">
      <c r="A7" t="s">
        <v>240</v>
      </c>
    </row>
    <row r="8" spans="1:1" x14ac:dyDescent="0.3">
      <c r="A8" t="s">
        <v>241</v>
      </c>
    </row>
    <row r="9" spans="1:1" x14ac:dyDescent="0.3">
      <c r="A9" t="s">
        <v>242</v>
      </c>
    </row>
    <row r="10" spans="1:1" x14ac:dyDescent="0.3">
      <c r="A10" t="s">
        <v>243</v>
      </c>
    </row>
    <row r="11" spans="1:1" x14ac:dyDescent="0.3">
      <c r="A11" t="s">
        <v>341</v>
      </c>
    </row>
    <row r="12" spans="1:1" x14ac:dyDescent="0.3">
      <c r="A12" t="s">
        <v>244</v>
      </c>
    </row>
    <row r="13" spans="1:1" x14ac:dyDescent="0.3">
      <c r="A13" t="s">
        <v>245</v>
      </c>
    </row>
    <row r="14" spans="1:1" x14ac:dyDescent="0.3">
      <c r="A14" t="s">
        <v>342</v>
      </c>
    </row>
    <row r="15" spans="1:1" x14ac:dyDescent="0.3">
      <c r="A15" t="s">
        <v>246</v>
      </c>
    </row>
    <row r="16" spans="1:1" x14ac:dyDescent="0.3">
      <c r="A16" t="s">
        <v>247</v>
      </c>
    </row>
    <row r="17" spans="1:1" x14ac:dyDescent="0.3">
      <c r="A17" t="s">
        <v>248</v>
      </c>
    </row>
    <row r="18" spans="1:1" x14ac:dyDescent="0.3">
      <c r="A18" t="s">
        <v>249</v>
      </c>
    </row>
    <row r="19" spans="1:1" x14ac:dyDescent="0.3">
      <c r="A19" t="s">
        <v>250</v>
      </c>
    </row>
    <row r="20" spans="1:1" x14ac:dyDescent="0.3">
      <c r="A20" t="s">
        <v>251</v>
      </c>
    </row>
    <row r="21" spans="1:1" x14ac:dyDescent="0.3">
      <c r="A21" t="s">
        <v>252</v>
      </c>
    </row>
    <row r="22" spans="1:1" x14ac:dyDescent="0.3">
      <c r="A22" t="s">
        <v>253</v>
      </c>
    </row>
    <row r="23" spans="1:1" x14ac:dyDescent="0.3">
      <c r="A23" t="s">
        <v>254</v>
      </c>
    </row>
    <row r="24" spans="1:1" x14ac:dyDescent="0.3">
      <c r="A24" t="s">
        <v>329</v>
      </c>
    </row>
    <row r="25" spans="1:1" x14ac:dyDescent="0.3">
      <c r="A25" t="s">
        <v>330</v>
      </c>
    </row>
    <row r="26" spans="1:1" x14ac:dyDescent="0.3">
      <c r="A26" t="s">
        <v>331</v>
      </c>
    </row>
    <row r="27" spans="1:1" x14ac:dyDescent="0.3">
      <c r="A27" t="s">
        <v>332</v>
      </c>
    </row>
    <row r="28" spans="1:1" x14ac:dyDescent="0.3">
      <c r="A28" t="s">
        <v>333</v>
      </c>
    </row>
    <row r="29" spans="1:1" x14ac:dyDescent="0.3">
      <c r="A29" t="s">
        <v>334</v>
      </c>
    </row>
    <row r="30" spans="1:1" x14ac:dyDescent="0.3">
      <c r="A30" t="s">
        <v>335</v>
      </c>
    </row>
    <row r="32" spans="1:1" x14ac:dyDescent="0.3">
      <c r="A32" t="s">
        <v>5</v>
      </c>
    </row>
    <row r="33" spans="1:60" x14ac:dyDescent="0.3">
      <c r="A33">
        <v>0.38</v>
      </c>
      <c r="B33" t="s">
        <v>238</v>
      </c>
    </row>
    <row r="34" spans="1:60" x14ac:dyDescent="0.3">
      <c r="A34">
        <v>0.453592</v>
      </c>
      <c r="B34" t="s">
        <v>33</v>
      </c>
    </row>
    <row r="35" spans="1:60" x14ac:dyDescent="0.3">
      <c r="A35">
        <f>2*1.016*10</f>
        <v>20.32</v>
      </c>
      <c r="B35" t="s">
        <v>239</v>
      </c>
    </row>
    <row r="36" spans="1:60" x14ac:dyDescent="0.3">
      <c r="A36">
        <v>10000</v>
      </c>
      <c r="B36" t="s">
        <v>6</v>
      </c>
      <c r="AF36" t="s">
        <v>343</v>
      </c>
    </row>
    <row r="38" spans="1:60" x14ac:dyDescent="0.3">
      <c r="B38" s="1"/>
      <c r="C38" s="1" t="s">
        <v>0</v>
      </c>
      <c r="D38" s="1" t="s">
        <v>0</v>
      </c>
      <c r="E38" t="s">
        <v>0</v>
      </c>
      <c r="F38" s="1" t="s">
        <v>0</v>
      </c>
      <c r="G38" t="s">
        <v>35</v>
      </c>
      <c r="H38" t="s">
        <v>35</v>
      </c>
      <c r="I38" s="1" t="s">
        <v>35</v>
      </c>
      <c r="J38" s="1" t="s">
        <v>35</v>
      </c>
      <c r="K38" s="1" t="s">
        <v>7</v>
      </c>
      <c r="L38" t="s">
        <v>7</v>
      </c>
      <c r="M38" t="s">
        <v>7</v>
      </c>
      <c r="N38" t="s">
        <v>7</v>
      </c>
      <c r="O38" s="1" t="s">
        <v>7</v>
      </c>
      <c r="P38" s="1" t="s">
        <v>7</v>
      </c>
      <c r="Q38" s="1" t="s">
        <v>7</v>
      </c>
      <c r="R38" s="1" t="s">
        <v>15</v>
      </c>
      <c r="S38" s="1" t="s">
        <v>15</v>
      </c>
      <c r="T38" s="1" t="s">
        <v>15</v>
      </c>
      <c r="U38" s="1" t="s">
        <v>15</v>
      </c>
      <c r="V38" s="1" t="s">
        <v>15</v>
      </c>
      <c r="W38" s="1" t="s">
        <v>15</v>
      </c>
      <c r="X38" s="1" t="s">
        <v>319</v>
      </c>
      <c r="Y38" s="1" t="s">
        <v>319</v>
      </c>
      <c r="Z38" s="1" t="s">
        <v>319</v>
      </c>
      <c r="AA38" s="1" t="s">
        <v>319</v>
      </c>
      <c r="AB38" s="1" t="s">
        <v>319</v>
      </c>
      <c r="AC38" s="1" t="s">
        <v>319</v>
      </c>
      <c r="AD38" s="1" t="s">
        <v>319</v>
      </c>
      <c r="AG38" t="s">
        <v>0</v>
      </c>
      <c r="AH38" t="s">
        <v>0</v>
      </c>
      <c r="AI38" t="s">
        <v>0</v>
      </c>
      <c r="AJ38" t="s">
        <v>0</v>
      </c>
      <c r="AK38" t="s">
        <v>35</v>
      </c>
      <c r="AL38" t="s">
        <v>35</v>
      </c>
      <c r="AM38" t="s">
        <v>35</v>
      </c>
      <c r="AN38" t="s">
        <v>35</v>
      </c>
      <c r="AO38" t="s">
        <v>7</v>
      </c>
      <c r="AP38" t="s">
        <v>7</v>
      </c>
      <c r="AQ38" t="s">
        <v>7</v>
      </c>
      <c r="AR38" t="s">
        <v>7</v>
      </c>
      <c r="AS38" t="s">
        <v>7</v>
      </c>
      <c r="AT38" t="s">
        <v>7</v>
      </c>
      <c r="AU38" t="s">
        <v>7</v>
      </c>
      <c r="AV38" t="s">
        <v>15</v>
      </c>
      <c r="AW38" t="s">
        <v>15</v>
      </c>
      <c r="AX38" t="s">
        <v>15</v>
      </c>
      <c r="AY38" t="s">
        <v>15</v>
      </c>
      <c r="AZ38" t="s">
        <v>15</v>
      </c>
      <c r="BA38" t="s">
        <v>15</v>
      </c>
      <c r="BB38" t="s">
        <v>319</v>
      </c>
      <c r="BC38" t="s">
        <v>319</v>
      </c>
      <c r="BD38" t="s">
        <v>319</v>
      </c>
      <c r="BE38" t="s">
        <v>319</v>
      </c>
      <c r="BF38" t="s">
        <v>319</v>
      </c>
      <c r="BG38" t="s">
        <v>319</v>
      </c>
      <c r="BH38" t="s">
        <v>319</v>
      </c>
    </row>
    <row r="39" spans="1:60" x14ac:dyDescent="0.3">
      <c r="B39" s="1"/>
      <c r="C39" s="1"/>
      <c r="D39" s="1"/>
      <c r="F39" s="1"/>
      <c r="G39" t="s">
        <v>36</v>
      </c>
      <c r="H39" t="s">
        <v>37</v>
      </c>
      <c r="I39" s="1"/>
      <c r="J39" s="1"/>
      <c r="K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K39" t="s">
        <v>36</v>
      </c>
      <c r="AL39" t="s">
        <v>37</v>
      </c>
    </row>
    <row r="40" spans="1:60" x14ac:dyDescent="0.3">
      <c r="B40" s="1"/>
      <c r="C40" s="1"/>
      <c r="D40" s="1"/>
      <c r="E40" t="s">
        <v>1</v>
      </c>
      <c r="F40" s="1"/>
      <c r="G40" t="s">
        <v>8</v>
      </c>
      <c r="H40" t="s">
        <v>8</v>
      </c>
      <c r="I40" s="1"/>
      <c r="J40" s="1"/>
      <c r="K40" s="1" t="s">
        <v>23</v>
      </c>
      <c r="L40" t="s">
        <v>8</v>
      </c>
      <c r="M40" t="s">
        <v>9</v>
      </c>
      <c r="N40" t="s">
        <v>10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I40" t="s">
        <v>1</v>
      </c>
      <c r="AK40" t="s">
        <v>8</v>
      </c>
      <c r="AL40" t="s">
        <v>8</v>
      </c>
      <c r="AO40" t="s">
        <v>23</v>
      </c>
      <c r="AP40" t="s">
        <v>8</v>
      </c>
      <c r="AQ40" t="s">
        <v>9</v>
      </c>
      <c r="AR40" t="s">
        <v>10</v>
      </c>
    </row>
    <row r="41" spans="1:60" x14ac:dyDescent="0.3">
      <c r="A41" t="s">
        <v>27</v>
      </c>
      <c r="B41" s="1" t="s">
        <v>26</v>
      </c>
      <c r="C41" s="1" t="s">
        <v>20</v>
      </c>
      <c r="D41" s="1" t="s">
        <v>2</v>
      </c>
      <c r="E41" t="s">
        <v>32</v>
      </c>
      <c r="F41" s="1" t="s">
        <v>3</v>
      </c>
      <c r="G41" t="s">
        <v>34</v>
      </c>
      <c r="H41" t="s">
        <v>34</v>
      </c>
      <c r="I41" s="1" t="s">
        <v>38</v>
      </c>
      <c r="J41" s="1" t="s">
        <v>39</v>
      </c>
      <c r="K41" s="1" t="s">
        <v>24</v>
      </c>
      <c r="L41" t="s">
        <v>41</v>
      </c>
      <c r="M41" t="s">
        <v>41</v>
      </c>
      <c r="N41" t="s">
        <v>42</v>
      </c>
      <c r="O41" s="1" t="s">
        <v>11</v>
      </c>
      <c r="P41" s="1" t="s">
        <v>12</v>
      </c>
      <c r="Q41" s="1" t="s">
        <v>13</v>
      </c>
      <c r="R41" s="1" t="s">
        <v>16</v>
      </c>
      <c r="S41" s="1" t="s">
        <v>17</v>
      </c>
      <c r="T41" s="1" t="s">
        <v>18</v>
      </c>
      <c r="U41" s="1" t="s">
        <v>43</v>
      </c>
      <c r="V41" s="1" t="s">
        <v>44</v>
      </c>
      <c r="W41" s="1" t="s">
        <v>45</v>
      </c>
      <c r="X41" s="1" t="s">
        <v>320</v>
      </c>
      <c r="Y41" s="1" t="s">
        <v>321</v>
      </c>
      <c r="Z41" s="1" t="s">
        <v>322</v>
      </c>
      <c r="AA41" s="1" t="s">
        <v>323</v>
      </c>
      <c r="AB41" s="1" t="s">
        <v>324</v>
      </c>
      <c r="AC41" s="1" t="s">
        <v>327</v>
      </c>
      <c r="AD41" s="1" t="s">
        <v>328</v>
      </c>
      <c r="AF41" t="s">
        <v>19</v>
      </c>
      <c r="AG41" t="s">
        <v>20</v>
      </c>
      <c r="AH41" t="s">
        <v>2</v>
      </c>
      <c r="AI41" t="s">
        <v>32</v>
      </c>
      <c r="AJ41" t="s">
        <v>3</v>
      </c>
      <c r="AK41" t="s">
        <v>34</v>
      </c>
      <c r="AL41" t="s">
        <v>34</v>
      </c>
      <c r="AM41" t="s">
        <v>38</v>
      </c>
      <c r="AN41" t="s">
        <v>39</v>
      </c>
      <c r="AO41" t="s">
        <v>24</v>
      </c>
      <c r="AP41" t="s">
        <v>41</v>
      </c>
      <c r="AQ41" t="s">
        <v>41</v>
      </c>
      <c r="AR41" t="s">
        <v>42</v>
      </c>
      <c r="AS41" t="s">
        <v>11</v>
      </c>
      <c r="AT41" t="s">
        <v>12</v>
      </c>
      <c r="AU41" t="s">
        <v>13</v>
      </c>
      <c r="AV41" t="s">
        <v>16</v>
      </c>
      <c r="AW41" t="s">
        <v>17</v>
      </c>
      <c r="AX41" t="s">
        <v>18</v>
      </c>
      <c r="AY41" t="s">
        <v>43</v>
      </c>
      <c r="AZ41" t="s">
        <v>44</v>
      </c>
      <c r="BA41" t="s">
        <v>45</v>
      </c>
      <c r="BB41" t="s">
        <v>320</v>
      </c>
      <c r="BC41" t="s">
        <v>321</v>
      </c>
      <c r="BD41" t="s">
        <v>322</v>
      </c>
      <c r="BE41" t="s">
        <v>323</v>
      </c>
      <c r="BF41" t="s">
        <v>324</v>
      </c>
      <c r="BG41" t="s">
        <v>327</v>
      </c>
      <c r="BH41" t="s">
        <v>328</v>
      </c>
    </row>
    <row r="42" spans="1:60" x14ac:dyDescent="0.3">
      <c r="B42" s="1"/>
      <c r="C42" s="1"/>
      <c r="D42" s="1"/>
      <c r="E42" t="s">
        <v>31</v>
      </c>
      <c r="F42" s="1" t="s">
        <v>4</v>
      </c>
      <c r="G42" t="s">
        <v>31</v>
      </c>
      <c r="H42" t="s">
        <v>31</v>
      </c>
      <c r="I42" s="1" t="s">
        <v>40</v>
      </c>
      <c r="J42" s="1" t="s">
        <v>4</v>
      </c>
      <c r="K42" s="1"/>
      <c r="L42" t="s">
        <v>31</v>
      </c>
      <c r="M42" t="s">
        <v>31</v>
      </c>
      <c r="N42" t="s">
        <v>31</v>
      </c>
      <c r="O42" s="5" t="s">
        <v>14</v>
      </c>
      <c r="P42" s="5" t="s">
        <v>14</v>
      </c>
      <c r="Q42" s="5" t="s">
        <v>14</v>
      </c>
      <c r="R42" s="5" t="s">
        <v>4</v>
      </c>
      <c r="S42" s="5" t="s">
        <v>4</v>
      </c>
      <c r="T42" s="5" t="s">
        <v>4</v>
      </c>
      <c r="U42" s="5" t="s">
        <v>4</v>
      </c>
      <c r="V42" s="5" t="s">
        <v>4</v>
      </c>
      <c r="W42" s="5" t="s">
        <v>4</v>
      </c>
      <c r="X42" s="5"/>
      <c r="Y42" s="5"/>
      <c r="Z42" s="1" t="s">
        <v>325</v>
      </c>
      <c r="AA42" s="1" t="s">
        <v>40</v>
      </c>
      <c r="AB42" s="1" t="s">
        <v>326</v>
      </c>
      <c r="AC42" s="5" t="s">
        <v>40</v>
      </c>
      <c r="AD42" s="5" t="s">
        <v>40</v>
      </c>
      <c r="AI42" t="s">
        <v>31</v>
      </c>
      <c r="AJ42" t="s">
        <v>4</v>
      </c>
      <c r="AK42" t="s">
        <v>31</v>
      </c>
      <c r="AL42" t="s">
        <v>31</v>
      </c>
      <c r="AM42" t="s">
        <v>40</v>
      </c>
      <c r="AN42" t="s">
        <v>4</v>
      </c>
      <c r="AP42" t="s">
        <v>31</v>
      </c>
      <c r="AQ42" t="s">
        <v>31</v>
      </c>
      <c r="AR42" t="s">
        <v>31</v>
      </c>
      <c r="AS42" s="7" t="s">
        <v>14</v>
      </c>
      <c r="AT42" s="7" t="s">
        <v>14</v>
      </c>
      <c r="AU42" s="7" t="s">
        <v>14</v>
      </c>
      <c r="AV42" s="7" t="s">
        <v>4</v>
      </c>
      <c r="AW42" s="7" t="s">
        <v>4</v>
      </c>
      <c r="AX42" s="7" t="s">
        <v>4</v>
      </c>
      <c r="AY42" s="7" t="s">
        <v>4</v>
      </c>
      <c r="AZ42" s="7" t="s">
        <v>4</v>
      </c>
      <c r="BA42" s="7" t="s">
        <v>4</v>
      </c>
      <c r="BD42" t="s">
        <v>325</v>
      </c>
      <c r="BE42" t="s">
        <v>40</v>
      </c>
      <c r="BF42" t="s">
        <v>326</v>
      </c>
      <c r="BG42" t="s">
        <v>40</v>
      </c>
      <c r="BH42" t="s">
        <v>40</v>
      </c>
    </row>
    <row r="43" spans="1:60" x14ac:dyDescent="0.3">
      <c r="A43" t="s">
        <v>27</v>
      </c>
      <c r="B43" s="1" t="s">
        <v>26</v>
      </c>
      <c r="C43" s="1" t="s">
        <v>20</v>
      </c>
      <c r="D43" s="1" t="s">
        <v>2</v>
      </c>
      <c r="F43" s="1" t="s">
        <v>3</v>
      </c>
      <c r="I43" s="1" t="s">
        <v>38</v>
      </c>
      <c r="J43" s="1" t="s">
        <v>39</v>
      </c>
      <c r="K43" s="1" t="s">
        <v>24</v>
      </c>
      <c r="O43" s="1" t="s">
        <v>11</v>
      </c>
      <c r="P43" s="1" t="s">
        <v>12</v>
      </c>
      <c r="Q43" s="1" t="s">
        <v>13</v>
      </c>
      <c r="R43" s="1" t="s">
        <v>16</v>
      </c>
      <c r="S43" s="1" t="s">
        <v>17</v>
      </c>
      <c r="T43" s="1" t="s">
        <v>18</v>
      </c>
      <c r="U43" s="1" t="s">
        <v>43</v>
      </c>
      <c r="V43" s="1" t="s">
        <v>44</v>
      </c>
      <c r="W43" s="1" t="s">
        <v>45</v>
      </c>
      <c r="X43" s="1" t="s">
        <v>320</v>
      </c>
      <c r="Y43" s="1" t="s">
        <v>321</v>
      </c>
      <c r="Z43" s="1" t="s">
        <v>322</v>
      </c>
      <c r="AA43" s="1" t="s">
        <v>323</v>
      </c>
      <c r="AB43" s="1" t="s">
        <v>324</v>
      </c>
      <c r="AC43" s="1" t="s">
        <v>327</v>
      </c>
      <c r="AD43" s="1" t="s">
        <v>328</v>
      </c>
      <c r="AF43" t="s">
        <v>19</v>
      </c>
      <c r="AG43" t="s">
        <v>20</v>
      </c>
      <c r="AH43" t="s">
        <v>2</v>
      </c>
      <c r="AJ43" t="s">
        <v>3</v>
      </c>
      <c r="AM43" t="s">
        <v>38</v>
      </c>
      <c r="AN43" t="s">
        <v>39</v>
      </c>
      <c r="AO43" t="s">
        <v>24</v>
      </c>
      <c r="AS43" t="s">
        <v>11</v>
      </c>
      <c r="AT43" t="s">
        <v>12</v>
      </c>
      <c r="AU43" t="s">
        <v>13</v>
      </c>
      <c r="AV43" t="s">
        <v>16</v>
      </c>
      <c r="AW43" t="s">
        <v>17</v>
      </c>
      <c r="AX43" t="s">
        <v>18</v>
      </c>
      <c r="AY43" t="s">
        <v>43</v>
      </c>
      <c r="AZ43" t="s">
        <v>44</v>
      </c>
      <c r="BA43" t="s">
        <v>45</v>
      </c>
      <c r="BB43" t="s">
        <v>320</v>
      </c>
      <c r="BC43" t="s">
        <v>321</v>
      </c>
      <c r="BD43" t="s">
        <v>322</v>
      </c>
      <c r="BE43" t="s">
        <v>323</v>
      </c>
      <c r="BF43" t="s">
        <v>324</v>
      </c>
      <c r="BG43" t="s">
        <v>327</v>
      </c>
      <c r="BH43" t="s">
        <v>328</v>
      </c>
    </row>
    <row r="44" spans="1:60" x14ac:dyDescent="0.3">
      <c r="A44">
        <v>1</v>
      </c>
      <c r="B44" s="1" t="s">
        <v>46</v>
      </c>
      <c r="C44" s="1" t="s">
        <v>30</v>
      </c>
      <c r="D44" s="2">
        <v>42675</v>
      </c>
      <c r="E44" s="3">
        <v>25.7</v>
      </c>
      <c r="F44" s="4">
        <f>(E44-$A$33)*$A$34/$A$35*$A$36</f>
        <v>5652.0420472440946</v>
      </c>
      <c r="G44" s="7">
        <v>4.66</v>
      </c>
      <c r="H44" s="7">
        <v>4.46</v>
      </c>
      <c r="I44" s="5">
        <f>(G44-H44)/G44*100</f>
        <v>4.291845493562235</v>
      </c>
      <c r="J44" s="4">
        <f>F44*(1-I44/100)</f>
        <v>5409.4651353452064</v>
      </c>
      <c r="K44" s="2">
        <v>42765</v>
      </c>
      <c r="L44" s="7">
        <v>4.46</v>
      </c>
      <c r="M44" s="7">
        <v>1.84</v>
      </c>
      <c r="N44" s="7">
        <v>2.34</v>
      </c>
      <c r="O44" s="6">
        <f>M44/L44</f>
        <v>0.41255605381165922</v>
      </c>
      <c r="P44" s="6">
        <f>N44/L44</f>
        <v>0.5246636771300448</v>
      </c>
      <c r="Q44" s="6">
        <f>1-O44-P44</f>
        <v>6.2780269058295923E-2</v>
      </c>
      <c r="R44" s="4">
        <f>F44*O44</f>
        <v>2331.7841629885952</v>
      </c>
      <c r="S44" s="4">
        <f>F44*P44</f>
        <v>2965.4211638007132</v>
      </c>
      <c r="T44" s="4">
        <f>R44+S44</f>
        <v>5297.2053267893079</v>
      </c>
      <c r="U44" s="4">
        <f>J44*O44</f>
        <v>2231.7075894697714</v>
      </c>
      <c r="V44" s="4">
        <f>J44*P44</f>
        <v>2838.1498692169916</v>
      </c>
      <c r="W44" s="4">
        <f>U44+V44</f>
        <v>5069.8574586867635</v>
      </c>
      <c r="X44" s="10"/>
      <c r="Y44" s="12"/>
      <c r="Z44" s="5"/>
      <c r="AA44" s="4"/>
      <c r="AB44" s="4"/>
      <c r="AC44" s="4"/>
      <c r="AD44" s="4"/>
      <c r="AE44" s="3"/>
      <c r="AF44" t="s">
        <v>255</v>
      </c>
      <c r="AG44" t="str">
        <f>C44</f>
        <v>Machine</v>
      </c>
      <c r="AH44" s="8">
        <f>D44</f>
        <v>42675</v>
      </c>
      <c r="AI44" s="3">
        <f>SUM(E44:E46)</f>
        <v>73.539999999999992</v>
      </c>
      <c r="AJ44" s="3">
        <f>(AI44-3*$A$33)*$A$34/(3*$A$35)*$A$36</f>
        <v>5387.1490813648279</v>
      </c>
      <c r="AK44" s="7">
        <f>SUM(G44:G46)</f>
        <v>13.3</v>
      </c>
      <c r="AL44" s="7">
        <f>SUM(H44:H46)</f>
        <v>12.719999999999999</v>
      </c>
      <c r="AM44" s="7">
        <f>(AK44-AL44)/AK44*100</f>
        <v>4.360902255639111</v>
      </c>
      <c r="AN44" s="3">
        <f>AJ44*(1-AM44/100)</f>
        <v>5152.2207755609479</v>
      </c>
      <c r="AO44" s="11">
        <f>K44</f>
        <v>42765</v>
      </c>
      <c r="AP44" s="7">
        <f>SUM(L44:L46)</f>
        <v>12.719999999999999</v>
      </c>
      <c r="AQ44" s="7">
        <f t="shared" ref="AQ44:AR44" si="0">SUM(M44:M46)</f>
        <v>5.28</v>
      </c>
      <c r="AR44" s="7">
        <f t="shared" si="0"/>
        <v>6.66</v>
      </c>
      <c r="AS44" s="9">
        <f>AQ44/AP44</f>
        <v>0.41509433962264158</v>
      </c>
      <c r="AT44" s="9">
        <f>AR44/AP44</f>
        <v>0.52358490566037741</v>
      </c>
      <c r="AU44" s="9">
        <f>1-AS44-AT44</f>
        <v>6.1320754716980952E-2</v>
      </c>
      <c r="AV44" s="3">
        <f>AJ44*AS44</f>
        <v>2236.1750903778534</v>
      </c>
      <c r="AW44" s="3">
        <f>AJ44*AT44</f>
        <v>2820.6299435447922</v>
      </c>
      <c r="AX44" s="3">
        <f>AV44+AW44</f>
        <v>5056.8050339226456</v>
      </c>
      <c r="AY44" s="3">
        <f>AN44*AS44</f>
        <v>2138.657680421526</v>
      </c>
      <c r="AZ44" s="3">
        <f>AN44*AT44</f>
        <v>2697.6250287135153</v>
      </c>
      <c r="BA44" s="3">
        <f>AY44+AZ44</f>
        <v>4836.2827091350409</v>
      </c>
      <c r="BB44" s="11">
        <f>X45</f>
        <v>42901</v>
      </c>
      <c r="BC44" s="13">
        <f>AVERAGE(Y44:Y46)</f>
        <v>46</v>
      </c>
      <c r="BD44" s="7">
        <f t="shared" ref="BD44:BH44" si="1">AVERAGE(Z44:Z46)</f>
        <v>1.1299999999999999</v>
      </c>
      <c r="BE44" s="3">
        <f t="shared" si="1"/>
        <v>81.400000000000006</v>
      </c>
      <c r="BF44" s="3">
        <f t="shared" si="1"/>
        <v>32.200000000000003</v>
      </c>
      <c r="BG44" s="3">
        <f t="shared" si="1"/>
        <v>5.0999999999999996</v>
      </c>
      <c r="BH44" s="3">
        <f t="shared" si="1"/>
        <v>9.6</v>
      </c>
    </row>
    <row r="45" spans="1:60" x14ac:dyDescent="0.3">
      <c r="A45">
        <v>2</v>
      </c>
      <c r="B45" s="1" t="s">
        <v>47</v>
      </c>
      <c r="C45" s="1" t="s">
        <v>30</v>
      </c>
      <c r="D45" s="2">
        <v>42675</v>
      </c>
      <c r="E45" s="3">
        <v>25.02</v>
      </c>
      <c r="F45" s="4">
        <f t="shared" ref="F45:F108" si="2">(E45-$A$33)*$A$34/$A$35*$A$36</f>
        <v>5500.2494488188977</v>
      </c>
      <c r="G45" s="7">
        <v>4.38</v>
      </c>
      <c r="H45" s="7">
        <v>4.2</v>
      </c>
      <c r="I45" s="5">
        <f t="shared" ref="I45:I108" si="3">(G45-H45)/G45*100</f>
        <v>4.1095890410958837</v>
      </c>
      <c r="J45" s="4">
        <f t="shared" ref="J45:J108" si="4">F45*(1-I45/100)</f>
        <v>5274.211800237299</v>
      </c>
      <c r="K45" s="2">
        <v>42774</v>
      </c>
      <c r="L45" s="7">
        <v>4.2</v>
      </c>
      <c r="M45" s="7">
        <v>1.74</v>
      </c>
      <c r="N45" s="7">
        <v>2.2000000000000002</v>
      </c>
      <c r="O45" s="6">
        <f t="shared" ref="O45:O108" si="5">M45/L45</f>
        <v>0.41428571428571426</v>
      </c>
      <c r="P45" s="6">
        <f t="shared" ref="P45:P108" si="6">N45/L45</f>
        <v>0.52380952380952384</v>
      </c>
      <c r="Q45" s="6">
        <f t="shared" ref="Q45:Q108" si="7">1-O45-P45</f>
        <v>6.1904761904761907E-2</v>
      </c>
      <c r="R45" s="4">
        <f t="shared" ref="R45:R108" si="8">F45*O45</f>
        <v>2278.6747716535433</v>
      </c>
      <c r="S45" s="4">
        <f t="shared" ref="S45:S108" si="9">F45*P45</f>
        <v>2881.0830446194227</v>
      </c>
      <c r="T45" s="4">
        <f t="shared" ref="T45:T108" si="10">R45+S45</f>
        <v>5159.757816272966</v>
      </c>
      <c r="U45" s="4">
        <f t="shared" ref="U45:U108" si="11">J45*O45</f>
        <v>2185.0306029554522</v>
      </c>
      <c r="V45" s="4">
        <f t="shared" ref="V45:V108" si="12">J45*P45</f>
        <v>2762.6823715528712</v>
      </c>
      <c r="W45" s="4">
        <f t="shared" ref="W45:W108" si="13">U45+V45</f>
        <v>4947.7129745083239</v>
      </c>
      <c r="X45" s="10">
        <v>42901</v>
      </c>
      <c r="Y45" s="12">
        <v>46</v>
      </c>
      <c r="Z45" s="5">
        <v>1.1299999999999999</v>
      </c>
      <c r="AA45" s="4">
        <v>81.400000000000006</v>
      </c>
      <c r="AB45" s="4">
        <v>32.200000000000003</v>
      </c>
      <c r="AC45" s="4">
        <v>5.0999999999999996</v>
      </c>
      <c r="AD45" s="4">
        <v>9.6</v>
      </c>
      <c r="AE45" s="3"/>
      <c r="AI45" s="3"/>
      <c r="AJ45" s="3"/>
      <c r="AK45" s="7"/>
      <c r="AL45" s="7"/>
      <c r="AM45" s="7"/>
      <c r="AN45" s="3"/>
      <c r="AO45" s="3"/>
      <c r="AP45" s="7"/>
      <c r="AQ45" s="7"/>
      <c r="AR45" s="7"/>
      <c r="AS45" s="9"/>
      <c r="AT45" s="9"/>
      <c r="AU45" s="9"/>
      <c r="AV45" s="3"/>
      <c r="AW45" s="3"/>
      <c r="AX45" s="3"/>
      <c r="AY45" s="3"/>
      <c r="AZ45" s="3"/>
      <c r="BA45" s="3"/>
      <c r="BC45" s="13"/>
      <c r="BD45" s="7"/>
      <c r="BE45" s="3"/>
      <c r="BF45" s="3"/>
      <c r="BG45" s="3"/>
      <c r="BH45" s="3"/>
    </row>
    <row r="46" spans="1:60" x14ac:dyDescent="0.3">
      <c r="A46">
        <v>3</v>
      </c>
      <c r="B46" s="1" t="s">
        <v>48</v>
      </c>
      <c r="C46" s="1" t="s">
        <v>30</v>
      </c>
      <c r="D46" s="2">
        <v>42675</v>
      </c>
      <c r="E46" s="3">
        <v>22.82</v>
      </c>
      <c r="F46" s="4">
        <f t="shared" si="2"/>
        <v>5009.1557480314959</v>
      </c>
      <c r="G46" s="7">
        <v>4.2600000000000007</v>
      </c>
      <c r="H46" s="7">
        <v>4.0599999999999996</v>
      </c>
      <c r="I46" s="5">
        <f t="shared" si="3"/>
        <v>4.6948356807511979</v>
      </c>
      <c r="J46" s="4">
        <f t="shared" si="4"/>
        <v>4773.9841166685137</v>
      </c>
      <c r="K46" s="2">
        <v>42774</v>
      </c>
      <c r="L46" s="7">
        <v>4.0599999999999996</v>
      </c>
      <c r="M46" s="7">
        <v>1.7</v>
      </c>
      <c r="N46" s="7">
        <v>2.12</v>
      </c>
      <c r="O46" s="6">
        <f t="shared" si="5"/>
        <v>0.41871921182266014</v>
      </c>
      <c r="P46" s="6">
        <f t="shared" si="6"/>
        <v>0.52216748768472909</v>
      </c>
      <c r="Q46" s="6">
        <f t="shared" si="7"/>
        <v>5.9113300492610765E-2</v>
      </c>
      <c r="R46" s="4">
        <f t="shared" si="8"/>
        <v>2097.4297467126958</v>
      </c>
      <c r="S46" s="4">
        <f t="shared" si="9"/>
        <v>2615.6182723711263</v>
      </c>
      <c r="T46" s="4">
        <f t="shared" si="10"/>
        <v>4713.0480190838225</v>
      </c>
      <c r="U46" s="4">
        <f t="shared" si="11"/>
        <v>1998.9588665853385</v>
      </c>
      <c r="V46" s="4">
        <f t="shared" si="12"/>
        <v>2492.8192924475984</v>
      </c>
      <c r="W46" s="4">
        <f t="shared" si="13"/>
        <v>4491.7781590329369</v>
      </c>
      <c r="X46" s="10"/>
      <c r="Y46" s="12"/>
      <c r="Z46" s="5"/>
      <c r="AA46" s="4"/>
      <c r="AB46" s="4"/>
      <c r="AC46" s="4"/>
      <c r="AD46" s="4"/>
      <c r="AE46" s="3"/>
      <c r="AI46" s="3"/>
      <c r="AJ46" s="3"/>
      <c r="AK46" s="7"/>
      <c r="AL46" s="7"/>
      <c r="AM46" s="7"/>
      <c r="AN46" s="3"/>
      <c r="AO46" s="3"/>
      <c r="AP46" s="7"/>
      <c r="AQ46" s="7"/>
      <c r="AR46" s="7"/>
      <c r="AS46" s="9"/>
      <c r="AT46" s="9"/>
      <c r="AU46" s="9"/>
      <c r="AV46" s="3"/>
      <c r="AW46" s="3"/>
      <c r="AX46" s="3"/>
      <c r="AY46" s="3"/>
      <c r="AZ46" s="3"/>
      <c r="BA46" s="3"/>
      <c r="BC46" s="13"/>
      <c r="BD46" s="7"/>
      <c r="BE46" s="3"/>
      <c r="BF46" s="3"/>
      <c r="BG46" s="3"/>
      <c r="BH46" s="3"/>
    </row>
    <row r="47" spans="1:60" x14ac:dyDescent="0.3">
      <c r="A47">
        <v>4</v>
      </c>
      <c r="B47" s="1" t="s">
        <v>49</v>
      </c>
      <c r="C47" s="1" t="s">
        <v>30</v>
      </c>
      <c r="D47" s="2">
        <v>42675</v>
      </c>
      <c r="E47" s="3">
        <v>27.1</v>
      </c>
      <c r="F47" s="4">
        <f t="shared" si="2"/>
        <v>5964.556220472442</v>
      </c>
      <c r="G47" s="7">
        <v>4.58</v>
      </c>
      <c r="H47" s="7">
        <v>4.3600000000000003</v>
      </c>
      <c r="I47" s="5">
        <f>(G47-H47)/G47*100</f>
        <v>4.8034934497816542</v>
      </c>
      <c r="J47" s="4">
        <f t="shared" si="4"/>
        <v>5678.049153113504</v>
      </c>
      <c r="K47" s="2">
        <v>42774</v>
      </c>
      <c r="L47" s="7">
        <v>4.3600000000000003</v>
      </c>
      <c r="M47" s="7">
        <v>1.8</v>
      </c>
      <c r="N47" s="7">
        <v>2.2599999999999998</v>
      </c>
      <c r="O47" s="6">
        <f t="shared" si="5"/>
        <v>0.41284403669724767</v>
      </c>
      <c r="P47" s="6">
        <f t="shared" si="6"/>
        <v>0.5183486238532109</v>
      </c>
      <c r="Q47" s="6">
        <f t="shared" si="7"/>
        <v>6.8807339449541427E-2</v>
      </c>
      <c r="R47" s="4">
        <f t="shared" si="8"/>
        <v>2462.4314671675215</v>
      </c>
      <c r="S47" s="4">
        <f t="shared" si="9"/>
        <v>3091.7195087769992</v>
      </c>
      <c r="T47" s="4">
        <f t="shared" si="10"/>
        <v>5554.1509759445207</v>
      </c>
      <c r="U47" s="4">
        <f t="shared" si="11"/>
        <v>2344.1487329367674</v>
      </c>
      <c r="V47" s="4">
        <f t="shared" si="12"/>
        <v>2943.2089646872741</v>
      </c>
      <c r="W47" s="4">
        <f t="shared" si="13"/>
        <v>5287.357697624042</v>
      </c>
      <c r="X47" s="10"/>
      <c r="Y47" s="12"/>
      <c r="Z47" s="5"/>
      <c r="AA47" s="4"/>
      <c r="AB47" s="4"/>
      <c r="AC47" s="4"/>
      <c r="AD47" s="4"/>
      <c r="AE47" s="3"/>
      <c r="AF47" t="s">
        <v>256</v>
      </c>
      <c r="AG47" t="s">
        <v>30</v>
      </c>
      <c r="AH47" s="8">
        <f>D47</f>
        <v>42675</v>
      </c>
      <c r="AI47" s="3">
        <f>SUM(E47:E49)</f>
        <v>77.62</v>
      </c>
      <c r="AJ47" s="3">
        <f>(AI47-3*$A$33)*$A$34/(3*$A$35)*$A$36</f>
        <v>5690.7342782152236</v>
      </c>
      <c r="AK47" s="7">
        <f>SUM(G47:G49)</f>
        <v>13.66</v>
      </c>
      <c r="AL47" s="7">
        <f>SUM(H47:H49)</f>
        <v>13</v>
      </c>
      <c r="AM47" s="7">
        <f>(AK47-AL47)/AK47*100</f>
        <v>4.8316251830161061</v>
      </c>
      <c r="AN47" s="3">
        <f>AJ47*(1-AM47/100)</f>
        <v>5415.7793277304472</v>
      </c>
      <c r="AO47" s="11">
        <f>K47</f>
        <v>42774</v>
      </c>
      <c r="AP47" s="7">
        <f>SUM(L47:L49)</f>
        <v>13</v>
      </c>
      <c r="AQ47" s="7">
        <f t="shared" ref="AQ47" si="14">SUM(M47:M49)</f>
        <v>5.28</v>
      </c>
      <c r="AR47" s="7">
        <f t="shared" ref="AR47" si="15">SUM(N47:N49)</f>
        <v>6.66</v>
      </c>
      <c r="AS47" s="9">
        <f>AQ47/AP47</f>
        <v>0.4061538461538462</v>
      </c>
      <c r="AT47" s="9">
        <f>AR47/AP47</f>
        <v>0.51230769230769235</v>
      </c>
      <c r="AU47" s="9">
        <f>1-AS47-AT47</f>
        <v>8.1538461538461449E-2</v>
      </c>
      <c r="AV47" s="3">
        <f>AJ47*AS47</f>
        <v>2311.3136145366448</v>
      </c>
      <c r="AW47" s="3">
        <f>AJ47*AT47</f>
        <v>2915.4069456087227</v>
      </c>
      <c r="AX47" s="3">
        <f>AV47+AW47</f>
        <v>5226.7205601453679</v>
      </c>
      <c r="AY47" s="3">
        <f>AN47*AS47</f>
        <v>2199.6396038782127</v>
      </c>
      <c r="AZ47" s="3">
        <f>AN47*AT47</f>
        <v>2774.5454094372908</v>
      </c>
      <c r="BA47" s="3">
        <f>AY47+AZ47</f>
        <v>4974.185013315504</v>
      </c>
      <c r="BB47" s="11">
        <f>X48</f>
        <v>42901</v>
      </c>
      <c r="BC47" s="13">
        <f>AVERAGE(Y47:Y49)</f>
        <v>42</v>
      </c>
      <c r="BD47" s="7">
        <f t="shared" ref="BD47" si="16">AVERAGE(Z47:Z49)</f>
        <v>1.18</v>
      </c>
      <c r="BE47" s="3">
        <f t="shared" ref="BE47" si="17">AVERAGE(AA47:AA49)</f>
        <v>81.5</v>
      </c>
      <c r="BF47" s="3">
        <f t="shared" ref="BF47" si="18">AVERAGE(AB47:AB49)</f>
        <v>32.299999999999997</v>
      </c>
      <c r="BG47" s="3">
        <f t="shared" ref="BG47" si="19">AVERAGE(AC47:AC49)</f>
        <v>5.0999999999999996</v>
      </c>
      <c r="BH47" s="3">
        <f t="shared" ref="BH47" si="20">AVERAGE(AD47:AD49)</f>
        <v>9.1</v>
      </c>
    </row>
    <row r="48" spans="1:60" x14ac:dyDescent="0.3">
      <c r="A48">
        <v>5</v>
      </c>
      <c r="B48" s="1" t="s">
        <v>50</v>
      </c>
      <c r="C48" s="1" t="s">
        <v>30</v>
      </c>
      <c r="D48" s="2">
        <v>42675</v>
      </c>
      <c r="E48" s="3">
        <v>23.52</v>
      </c>
      <c r="F48" s="4">
        <f t="shared" si="2"/>
        <v>5165.4128346456691</v>
      </c>
      <c r="G48" s="7">
        <v>4.58</v>
      </c>
      <c r="H48" s="7">
        <v>4.34</v>
      </c>
      <c r="I48" s="5">
        <f t="shared" si="3"/>
        <v>5.2401746724890872</v>
      </c>
      <c r="J48" s="4">
        <f t="shared" si="4"/>
        <v>4894.736179555066</v>
      </c>
      <c r="K48" s="2">
        <v>42774</v>
      </c>
      <c r="L48" s="7">
        <v>4.34</v>
      </c>
      <c r="M48" s="7">
        <v>1.74</v>
      </c>
      <c r="N48" s="7">
        <v>2.2000000000000002</v>
      </c>
      <c r="O48" s="6">
        <f t="shared" si="5"/>
        <v>0.4009216589861751</v>
      </c>
      <c r="P48" s="6">
        <f t="shared" si="6"/>
        <v>0.50691244239631339</v>
      </c>
      <c r="Q48" s="6">
        <f t="shared" si="7"/>
        <v>9.2165898617511566E-2</v>
      </c>
      <c r="R48" s="4">
        <f t="shared" si="8"/>
        <v>2070.9258830146232</v>
      </c>
      <c r="S48" s="4">
        <f t="shared" si="9"/>
        <v>2618.4120359955004</v>
      </c>
      <c r="T48" s="4">
        <f t="shared" si="10"/>
        <v>4689.3379190101241</v>
      </c>
      <c r="U48" s="4">
        <f t="shared" si="11"/>
        <v>1962.4057494068697</v>
      </c>
      <c r="V48" s="4">
        <f t="shared" si="12"/>
        <v>2481.2026716638584</v>
      </c>
      <c r="W48" s="4">
        <f t="shared" si="13"/>
        <v>4443.6084210707286</v>
      </c>
      <c r="X48" s="10">
        <v>42901</v>
      </c>
      <c r="Y48" s="12">
        <v>42</v>
      </c>
      <c r="Z48" s="5">
        <v>1.18</v>
      </c>
      <c r="AA48" s="4">
        <v>81.5</v>
      </c>
      <c r="AB48" s="4">
        <v>32.299999999999997</v>
      </c>
      <c r="AC48" s="4">
        <v>5.0999999999999996</v>
      </c>
      <c r="AD48" s="4">
        <v>9.1</v>
      </c>
      <c r="AE48" s="3"/>
      <c r="AI48" s="3"/>
      <c r="AJ48" s="3"/>
      <c r="AK48" s="7"/>
      <c r="AL48" s="7"/>
      <c r="AM48" s="7"/>
      <c r="AN48" s="3"/>
      <c r="AO48" s="3"/>
      <c r="AP48" s="7"/>
      <c r="AQ48" s="7"/>
      <c r="AR48" s="7"/>
      <c r="AS48" s="9"/>
      <c r="AT48" s="9"/>
      <c r="AU48" s="9"/>
      <c r="AV48" s="3"/>
      <c r="AW48" s="3"/>
      <c r="AX48" s="3"/>
      <c r="AY48" s="3"/>
      <c r="AZ48" s="3"/>
      <c r="BA48" s="3"/>
      <c r="BC48" s="13"/>
      <c r="BD48" s="7"/>
      <c r="BE48" s="3"/>
      <c r="BF48" s="3"/>
      <c r="BG48" s="3"/>
      <c r="BH48" s="3"/>
    </row>
    <row r="49" spans="1:60" x14ac:dyDescent="0.3">
      <c r="A49">
        <v>6</v>
      </c>
      <c r="B49" s="1" t="s">
        <v>51</v>
      </c>
      <c r="C49" s="1" t="s">
        <v>30</v>
      </c>
      <c r="D49" s="2">
        <v>42675</v>
      </c>
      <c r="E49" s="3">
        <v>27</v>
      </c>
      <c r="F49" s="4">
        <f t="shared" si="2"/>
        <v>5942.2337795275589</v>
      </c>
      <c r="G49" s="7">
        <v>4.5</v>
      </c>
      <c r="H49" s="7">
        <v>4.3</v>
      </c>
      <c r="I49" s="5">
        <f t="shared" si="3"/>
        <v>4.4444444444444482</v>
      </c>
      <c r="J49" s="4">
        <f t="shared" si="4"/>
        <v>5678.1345004374452</v>
      </c>
      <c r="K49" s="2">
        <v>42774</v>
      </c>
      <c r="L49" s="7">
        <v>4.3</v>
      </c>
      <c r="M49" s="7">
        <v>1.74</v>
      </c>
      <c r="N49" s="7">
        <v>2.2000000000000002</v>
      </c>
      <c r="O49" s="6">
        <f t="shared" si="5"/>
        <v>0.40465116279069768</v>
      </c>
      <c r="P49" s="6">
        <f t="shared" si="6"/>
        <v>0.51162790697674421</v>
      </c>
      <c r="Q49" s="6">
        <f t="shared" si="7"/>
        <v>8.3720930232558111E-2</v>
      </c>
      <c r="R49" s="4">
        <f t="shared" si="8"/>
        <v>2404.531808459989</v>
      </c>
      <c r="S49" s="4">
        <f t="shared" si="9"/>
        <v>3040.2126313861932</v>
      </c>
      <c r="T49" s="4">
        <f t="shared" si="10"/>
        <v>5444.7444398461821</v>
      </c>
      <c r="U49" s="4">
        <f t="shared" si="11"/>
        <v>2297.6637280839896</v>
      </c>
      <c r="V49" s="4">
        <f t="shared" si="12"/>
        <v>2905.0920699912513</v>
      </c>
      <c r="W49" s="4">
        <f t="shared" si="13"/>
        <v>5202.7557980752408</v>
      </c>
      <c r="X49" s="10"/>
      <c r="Y49" s="12"/>
      <c r="Z49" s="5"/>
      <c r="AA49" s="4"/>
      <c r="AB49" s="4"/>
      <c r="AC49" s="4"/>
      <c r="AD49" s="4"/>
      <c r="AE49" s="3"/>
      <c r="AI49" s="3"/>
      <c r="AJ49" s="3"/>
      <c r="AK49" s="7"/>
      <c r="AL49" s="7"/>
      <c r="AM49" s="7"/>
      <c r="AN49" s="3"/>
      <c r="AO49" s="3"/>
      <c r="AP49" s="7"/>
      <c r="AQ49" s="7"/>
      <c r="AR49" s="7"/>
      <c r="AS49" s="9"/>
      <c r="AT49" s="9"/>
      <c r="AU49" s="9"/>
      <c r="AV49" s="3"/>
      <c r="AW49" s="3"/>
      <c r="AX49" s="3"/>
      <c r="AY49" s="3"/>
      <c r="AZ49" s="3"/>
      <c r="BA49" s="3"/>
      <c r="BC49" s="13"/>
      <c r="BD49" s="7"/>
      <c r="BE49" s="3"/>
      <c r="BF49" s="3"/>
      <c r="BG49" s="3"/>
      <c r="BH49" s="3"/>
    </row>
    <row r="50" spans="1:60" x14ac:dyDescent="0.3">
      <c r="A50">
        <v>7</v>
      </c>
      <c r="B50" s="1" t="s">
        <v>52</v>
      </c>
      <c r="C50" s="1" t="s">
        <v>30</v>
      </c>
      <c r="D50" s="2">
        <v>42675</v>
      </c>
      <c r="E50" s="3">
        <v>26.48</v>
      </c>
      <c r="F50" s="4">
        <f t="shared" si="2"/>
        <v>5826.1570866141728</v>
      </c>
      <c r="G50" s="7">
        <v>4.28</v>
      </c>
      <c r="H50" s="7">
        <v>4.0599999999999996</v>
      </c>
      <c r="I50" s="5">
        <f t="shared" si="3"/>
        <v>5.140186915887865</v>
      </c>
      <c r="J50" s="4">
        <f t="shared" si="4"/>
        <v>5526.681722348957</v>
      </c>
      <c r="K50" s="2">
        <v>42774</v>
      </c>
      <c r="L50" s="7">
        <v>4.0599999999999996</v>
      </c>
      <c r="M50" s="7">
        <v>1.68</v>
      </c>
      <c r="N50" s="7">
        <v>2.08</v>
      </c>
      <c r="O50" s="6">
        <f t="shared" si="5"/>
        <v>0.41379310344827591</v>
      </c>
      <c r="P50" s="6">
        <f t="shared" si="6"/>
        <v>0.51231527093596063</v>
      </c>
      <c r="Q50" s="6">
        <f t="shared" si="7"/>
        <v>7.3891625615763457E-2</v>
      </c>
      <c r="R50" s="4">
        <f t="shared" si="8"/>
        <v>2410.823622047244</v>
      </c>
      <c r="S50" s="4">
        <f t="shared" si="9"/>
        <v>2984.8292463442071</v>
      </c>
      <c r="T50" s="4">
        <f t="shared" si="10"/>
        <v>5395.6528683914512</v>
      </c>
      <c r="U50" s="4">
        <f t="shared" si="11"/>
        <v>2286.9027816616376</v>
      </c>
      <c r="V50" s="4">
        <f t="shared" si="12"/>
        <v>2831.4034439620273</v>
      </c>
      <c r="W50" s="4">
        <f t="shared" si="13"/>
        <v>5118.3062256236644</v>
      </c>
      <c r="X50" s="10"/>
      <c r="Y50" s="12"/>
      <c r="Z50" s="5"/>
      <c r="AA50" s="4"/>
      <c r="AB50" s="4"/>
      <c r="AC50" s="4"/>
      <c r="AD50" s="4"/>
      <c r="AE50" s="3"/>
      <c r="AF50" t="s">
        <v>258</v>
      </c>
      <c r="AG50" t="s">
        <v>30</v>
      </c>
      <c r="AH50" s="8">
        <f>D50</f>
        <v>42675</v>
      </c>
      <c r="AI50" s="3">
        <f>SUM(E50:E52)</f>
        <v>78.959999999999994</v>
      </c>
      <c r="AJ50" s="3">
        <f>(AI50-3*$A$33)*$A$34/(3*$A$35)*$A$36</f>
        <v>5790.441181102362</v>
      </c>
      <c r="AK50" s="7">
        <f>SUM(G50:G52)</f>
        <v>13.120000000000001</v>
      </c>
      <c r="AL50" s="7">
        <f>SUM(H50:H52)</f>
        <v>12.48</v>
      </c>
      <c r="AM50" s="7">
        <f>(AK50-AL50)/AK50*100</f>
        <v>4.8780487804878083</v>
      </c>
      <c r="AN50" s="3">
        <f>AJ50*(1-AM50/100)</f>
        <v>5507.9806356827339</v>
      </c>
      <c r="AO50" s="11">
        <f>K50</f>
        <v>42774</v>
      </c>
      <c r="AP50" s="7">
        <f>SUM(L50:L52)</f>
        <v>12.48</v>
      </c>
      <c r="AQ50" s="7">
        <f t="shared" ref="AQ50" si="21">SUM(M50:M52)</f>
        <v>5.21</v>
      </c>
      <c r="AR50" s="7">
        <f t="shared" ref="AR50" si="22">SUM(N50:N52)</f>
        <v>6.4</v>
      </c>
      <c r="AS50" s="9">
        <f>AQ50/AP50</f>
        <v>0.41746794871794868</v>
      </c>
      <c r="AT50" s="9">
        <f>AR50/AP50</f>
        <v>0.51282051282051289</v>
      </c>
      <c r="AU50" s="9">
        <f>1-AS50-AT50</f>
        <v>6.9711538461538436E-2</v>
      </c>
      <c r="AV50" s="3">
        <f>AJ50*AS50</f>
        <v>2417.3236020467389</v>
      </c>
      <c r="AW50" s="3">
        <f>AJ50*AT50</f>
        <v>2969.4570159499294</v>
      </c>
      <c r="AX50" s="3">
        <f>AV50+AW50</f>
        <v>5386.7806179966683</v>
      </c>
      <c r="AY50" s="3">
        <f>AN50*AS50</f>
        <v>2299.405377556654</v>
      </c>
      <c r="AZ50" s="3">
        <f>AN50*AT50</f>
        <v>2824.605454196274</v>
      </c>
      <c r="BA50" s="3">
        <f>AY50+AZ50</f>
        <v>5124.0108317529284</v>
      </c>
      <c r="BB50" s="11">
        <f>X51</f>
        <v>42901</v>
      </c>
      <c r="BC50" s="13">
        <f>AVERAGE(Y50:Y52)</f>
        <v>43</v>
      </c>
      <c r="BD50" s="7">
        <f t="shared" ref="BD50" si="23">AVERAGE(Z50:Z52)</f>
        <v>1.19</v>
      </c>
      <c r="BE50" s="3">
        <f t="shared" ref="BE50" si="24">AVERAGE(AA50:AA52)</f>
        <v>82.3</v>
      </c>
      <c r="BF50" s="3">
        <f t="shared" ref="BF50" si="25">AVERAGE(AB50:AB52)</f>
        <v>34.4</v>
      </c>
      <c r="BG50" s="3">
        <f t="shared" ref="BG50" si="26">AVERAGE(AC50:AC52)</f>
        <v>5.5</v>
      </c>
      <c r="BH50" s="3">
        <f t="shared" ref="BH50" si="27">AVERAGE(AD50:AD52)</f>
        <v>8.5</v>
      </c>
    </row>
    <row r="51" spans="1:60" x14ac:dyDescent="0.3">
      <c r="A51">
        <v>8</v>
      </c>
      <c r="B51" s="1" t="s">
        <v>53</v>
      </c>
      <c r="C51" s="1" t="s">
        <v>30</v>
      </c>
      <c r="D51" s="2">
        <v>42675</v>
      </c>
      <c r="E51" s="3">
        <v>27.24</v>
      </c>
      <c r="F51" s="4">
        <f t="shared" si="2"/>
        <v>5995.8076377952748</v>
      </c>
      <c r="G51" s="7">
        <v>4.24</v>
      </c>
      <c r="H51" s="7">
        <v>4.0599999999999996</v>
      </c>
      <c r="I51" s="5">
        <f t="shared" si="3"/>
        <v>4.2452830188679389</v>
      </c>
      <c r="J51" s="4">
        <f t="shared" si="4"/>
        <v>5741.268634303965</v>
      </c>
      <c r="K51" s="2">
        <v>42774</v>
      </c>
      <c r="L51" s="7">
        <v>4.0599999999999996</v>
      </c>
      <c r="M51" s="7">
        <v>1.71</v>
      </c>
      <c r="N51" s="7">
        <v>2.06</v>
      </c>
      <c r="O51" s="6">
        <f t="shared" si="5"/>
        <v>0.42118226600985226</v>
      </c>
      <c r="P51" s="6">
        <f t="shared" si="6"/>
        <v>0.5073891625615764</v>
      </c>
      <c r="Q51" s="6">
        <f t="shared" si="7"/>
        <v>7.1428571428571286E-2</v>
      </c>
      <c r="R51" s="4">
        <f t="shared" si="8"/>
        <v>2525.3278474457934</v>
      </c>
      <c r="S51" s="4">
        <f t="shared" si="9"/>
        <v>3042.2078162212479</v>
      </c>
      <c r="T51" s="4">
        <f t="shared" si="10"/>
        <v>5567.5356636670413</v>
      </c>
      <c r="U51" s="4">
        <f t="shared" si="11"/>
        <v>2418.1205331674337</v>
      </c>
      <c r="V51" s="4">
        <f t="shared" si="12"/>
        <v>2913.0574844005341</v>
      </c>
      <c r="W51" s="4">
        <f t="shared" si="13"/>
        <v>5331.1780175679678</v>
      </c>
      <c r="X51" s="10">
        <v>42901</v>
      </c>
      <c r="Y51" s="12">
        <v>43</v>
      </c>
      <c r="Z51" s="5">
        <v>1.19</v>
      </c>
      <c r="AA51" s="4">
        <v>82.3</v>
      </c>
      <c r="AB51" s="4">
        <v>34.4</v>
      </c>
      <c r="AC51" s="4">
        <v>5.5</v>
      </c>
      <c r="AD51" s="4">
        <v>8.5</v>
      </c>
      <c r="AE51" s="3"/>
      <c r="AI51" s="3"/>
      <c r="AJ51" s="3"/>
      <c r="AK51" s="7"/>
      <c r="AL51" s="7"/>
      <c r="AM51" s="7"/>
      <c r="AN51" s="3"/>
      <c r="AO51" s="3"/>
      <c r="AP51" s="7"/>
      <c r="AQ51" s="7"/>
      <c r="AR51" s="7"/>
      <c r="AS51" s="9"/>
      <c r="AT51" s="9"/>
      <c r="AU51" s="9"/>
      <c r="AV51" s="3"/>
      <c r="AW51" s="3"/>
      <c r="AX51" s="3"/>
      <c r="AY51" s="3"/>
      <c r="AZ51" s="3"/>
      <c r="BA51" s="3"/>
      <c r="BC51" s="13"/>
      <c r="BD51" s="7"/>
      <c r="BE51" s="3"/>
      <c r="BF51" s="3"/>
      <c r="BG51" s="3"/>
      <c r="BH51" s="3"/>
    </row>
    <row r="52" spans="1:60" x14ac:dyDescent="0.3">
      <c r="A52">
        <v>9</v>
      </c>
      <c r="B52" s="1" t="s">
        <v>54</v>
      </c>
      <c r="C52" s="1" t="s">
        <v>30</v>
      </c>
      <c r="D52" s="2">
        <v>42675</v>
      </c>
      <c r="E52" s="3">
        <v>25.24</v>
      </c>
      <c r="F52" s="4">
        <f t="shared" si="2"/>
        <v>5549.3588188976373</v>
      </c>
      <c r="G52" s="7">
        <v>4.6000000000000005</v>
      </c>
      <c r="H52" s="7">
        <v>4.3600000000000003</v>
      </c>
      <c r="I52" s="5">
        <f t="shared" si="3"/>
        <v>5.2173913043478297</v>
      </c>
      <c r="J52" s="4">
        <f t="shared" si="4"/>
        <v>5259.8270544334127</v>
      </c>
      <c r="K52" s="2">
        <v>42782</v>
      </c>
      <c r="L52" s="7">
        <v>4.3600000000000003</v>
      </c>
      <c r="M52" s="7">
        <v>1.82</v>
      </c>
      <c r="N52" s="7">
        <v>2.2599999999999998</v>
      </c>
      <c r="O52" s="6">
        <f t="shared" si="5"/>
        <v>0.41743119266055045</v>
      </c>
      <c r="P52" s="6">
        <f t="shared" si="6"/>
        <v>0.5183486238532109</v>
      </c>
      <c r="Q52" s="6">
        <f t="shared" si="7"/>
        <v>6.4220183486238591E-2</v>
      </c>
      <c r="R52" s="4">
        <f t="shared" si="8"/>
        <v>2316.4754702737841</v>
      </c>
      <c r="S52" s="4">
        <f t="shared" si="9"/>
        <v>2876.5025070432703</v>
      </c>
      <c r="T52" s="4">
        <f t="shared" si="10"/>
        <v>5192.977977317054</v>
      </c>
      <c r="U52" s="4">
        <f t="shared" si="11"/>
        <v>2195.6158805203695</v>
      </c>
      <c r="V52" s="4">
        <f t="shared" si="12"/>
        <v>2726.4241153714474</v>
      </c>
      <c r="W52" s="4">
        <f t="shared" si="13"/>
        <v>4922.0399958918169</v>
      </c>
      <c r="X52" s="10"/>
      <c r="Y52" s="12"/>
      <c r="Z52" s="5"/>
      <c r="AA52" s="4"/>
      <c r="AB52" s="4"/>
      <c r="AC52" s="4"/>
      <c r="AD52" s="4"/>
      <c r="AE52" s="3"/>
      <c r="AI52" s="3"/>
      <c r="AJ52" s="3"/>
      <c r="AK52" s="7"/>
      <c r="AL52" s="7"/>
      <c r="AM52" s="7"/>
      <c r="AN52" s="3"/>
      <c r="AO52" s="3"/>
      <c r="AP52" s="7"/>
      <c r="AQ52" s="7"/>
      <c r="AR52" s="7"/>
      <c r="AS52" s="9"/>
      <c r="AT52" s="9"/>
      <c r="AU52" s="9"/>
      <c r="AV52" s="3"/>
      <c r="AW52" s="3"/>
      <c r="AX52" s="3"/>
      <c r="AY52" s="3"/>
      <c r="AZ52" s="3"/>
      <c r="BA52" s="3"/>
      <c r="BC52" s="13"/>
      <c r="BD52" s="7"/>
      <c r="BE52" s="3"/>
      <c r="BF52" s="3"/>
      <c r="BG52" s="3"/>
      <c r="BH52" s="3"/>
    </row>
    <row r="53" spans="1:60" x14ac:dyDescent="0.3">
      <c r="A53">
        <v>10</v>
      </c>
      <c r="B53" s="1" t="s">
        <v>55</v>
      </c>
      <c r="C53" s="1" t="s">
        <v>30</v>
      </c>
      <c r="D53" s="2">
        <v>42675</v>
      </c>
      <c r="E53" s="3">
        <v>24.36</v>
      </c>
      <c r="F53" s="4">
        <f t="shared" si="2"/>
        <v>5352.9213385826779</v>
      </c>
      <c r="G53" s="7">
        <v>4.5600000000000005</v>
      </c>
      <c r="H53" s="7">
        <v>4.32</v>
      </c>
      <c r="I53" s="5">
        <f t="shared" si="3"/>
        <v>5.263157894736846</v>
      </c>
      <c r="J53" s="4">
        <f t="shared" si="4"/>
        <v>5071.1886365520104</v>
      </c>
      <c r="K53" s="2">
        <v>42765</v>
      </c>
      <c r="L53" s="7">
        <v>4.32</v>
      </c>
      <c r="M53" s="7">
        <v>1.84</v>
      </c>
      <c r="N53" s="7">
        <v>2.2200000000000002</v>
      </c>
      <c r="O53" s="6">
        <f t="shared" si="5"/>
        <v>0.42592592592592593</v>
      </c>
      <c r="P53" s="6">
        <f t="shared" si="6"/>
        <v>0.51388888888888895</v>
      </c>
      <c r="Q53" s="6">
        <f t="shared" si="7"/>
        <v>6.0185185185185119E-2</v>
      </c>
      <c r="R53" s="4">
        <f t="shared" si="8"/>
        <v>2279.9479775444738</v>
      </c>
      <c r="S53" s="4">
        <f t="shared" si="9"/>
        <v>2750.8067989938763</v>
      </c>
      <c r="T53" s="4">
        <f t="shared" si="10"/>
        <v>5030.7547765383497</v>
      </c>
      <c r="U53" s="4">
        <f t="shared" si="11"/>
        <v>2159.9507155684487</v>
      </c>
      <c r="V53" s="4">
        <f t="shared" si="12"/>
        <v>2606.0274937836725</v>
      </c>
      <c r="W53" s="4">
        <f t="shared" si="13"/>
        <v>4765.9782093521208</v>
      </c>
      <c r="X53" s="10"/>
      <c r="Y53" s="12"/>
      <c r="Z53" s="5"/>
      <c r="AA53" s="4"/>
      <c r="AB53" s="4"/>
      <c r="AC53" s="4"/>
      <c r="AD53" s="4"/>
      <c r="AE53" s="3"/>
      <c r="AF53" t="s">
        <v>259</v>
      </c>
      <c r="AG53" t="s">
        <v>30</v>
      </c>
      <c r="AH53" s="8">
        <f>D53</f>
        <v>42675</v>
      </c>
      <c r="AI53" s="3">
        <f>SUM(E53:E55)</f>
        <v>76.08</v>
      </c>
      <c r="AJ53" s="3">
        <f>(AI53-3*$A$33)*$A$34/(3*$A$35)*$A$36</f>
        <v>5576.1457480314957</v>
      </c>
      <c r="AK53" s="7">
        <f>SUM(G53:G55)</f>
        <v>13.32</v>
      </c>
      <c r="AL53" s="7">
        <f>SUM(H53:H55)</f>
        <v>12.66</v>
      </c>
      <c r="AM53" s="7">
        <f>(AK53-AL53)/AK53*100</f>
        <v>4.9549549549549559</v>
      </c>
      <c r="AN53" s="3">
        <f>AJ53*(1-AM53/100)</f>
        <v>5299.8502379938991</v>
      </c>
      <c r="AO53" s="11">
        <f>K53</f>
        <v>42765</v>
      </c>
      <c r="AP53" s="7">
        <f>SUM(L53:L55)</f>
        <v>12.66</v>
      </c>
      <c r="AQ53" s="7">
        <f t="shared" ref="AQ53" si="28">SUM(M53:M55)</f>
        <v>5.3</v>
      </c>
      <c r="AR53" s="7">
        <f t="shared" ref="AR53" si="29">SUM(N53:N55)</f>
        <v>6.4600000000000009</v>
      </c>
      <c r="AS53" s="9">
        <f>AQ53/AP53</f>
        <v>0.41864139020537122</v>
      </c>
      <c r="AT53" s="9">
        <f>AR53/AP53</f>
        <v>0.51026856240126384</v>
      </c>
      <c r="AU53" s="9">
        <f>1-AS53-AT53</f>
        <v>7.1090047393364997E-2</v>
      </c>
      <c r="AV53" s="3">
        <f>AJ53*AS53</f>
        <v>2334.4054079436751</v>
      </c>
      <c r="AW53" s="3">
        <f>AJ53*AT53</f>
        <v>2845.3318745879515</v>
      </c>
      <c r="AX53" s="3">
        <f>AV53+AW53</f>
        <v>5179.737282531627</v>
      </c>
      <c r="AY53" s="3">
        <f>AN53*AS53</f>
        <v>2218.7366715140333</v>
      </c>
      <c r="AZ53" s="3">
        <f>AN53*AT53</f>
        <v>2704.3469618831427</v>
      </c>
      <c r="BA53" s="3">
        <f>AY53+AZ53</f>
        <v>4923.0836333971765</v>
      </c>
      <c r="BB53" s="11">
        <f>X54</f>
        <v>42901</v>
      </c>
      <c r="BC53" s="13">
        <f>AVERAGE(Y53:Y55)</f>
        <v>48</v>
      </c>
      <c r="BD53" s="7">
        <f t="shared" ref="BD53" si="30">AVERAGE(Z53:Z55)</f>
        <v>1.1299999999999999</v>
      </c>
      <c r="BE53" s="3">
        <f t="shared" ref="BE53" si="31">AVERAGE(AA53:AA55)</f>
        <v>82.3</v>
      </c>
      <c r="BF53" s="3">
        <f t="shared" ref="BF53" si="32">AVERAGE(AB53:AB55)</f>
        <v>32.299999999999997</v>
      </c>
      <c r="BG53" s="3">
        <f t="shared" ref="BG53" si="33">AVERAGE(AC53:AC55)</f>
        <v>5.5</v>
      </c>
      <c r="BH53" s="3">
        <f t="shared" ref="BH53" si="34">AVERAGE(AD53:AD55)</f>
        <v>8.9</v>
      </c>
    </row>
    <row r="54" spans="1:60" x14ac:dyDescent="0.3">
      <c r="A54">
        <v>11</v>
      </c>
      <c r="B54" s="1" t="s">
        <v>56</v>
      </c>
      <c r="C54" s="1" t="s">
        <v>30</v>
      </c>
      <c r="D54" s="2">
        <v>42675</v>
      </c>
      <c r="E54" s="3">
        <v>26.84</v>
      </c>
      <c r="F54" s="4">
        <f t="shared" si="2"/>
        <v>5906.517874015748</v>
      </c>
      <c r="G54" s="7">
        <v>4.3000000000000007</v>
      </c>
      <c r="H54" s="7">
        <v>4.0999999999999996</v>
      </c>
      <c r="I54" s="5">
        <f t="shared" si="3"/>
        <v>4.6511627906976987</v>
      </c>
      <c r="J54" s="4">
        <f t="shared" si="4"/>
        <v>5631.7961124336189</v>
      </c>
      <c r="K54" s="2">
        <v>42765</v>
      </c>
      <c r="L54" s="7">
        <v>4.0999999999999996</v>
      </c>
      <c r="M54" s="7">
        <v>1.72</v>
      </c>
      <c r="N54" s="7">
        <v>2.1</v>
      </c>
      <c r="O54" s="6">
        <f t="shared" si="5"/>
        <v>0.41951219512195126</v>
      </c>
      <c r="P54" s="6">
        <f t="shared" si="6"/>
        <v>0.51219512195121952</v>
      </c>
      <c r="Q54" s="6">
        <f t="shared" si="7"/>
        <v>6.8292682926829218E-2</v>
      </c>
      <c r="R54" s="4">
        <f t="shared" si="8"/>
        <v>2477.8562788553872</v>
      </c>
      <c r="S54" s="4">
        <f t="shared" si="9"/>
        <v>3025.2896427885539</v>
      </c>
      <c r="T54" s="4">
        <f t="shared" si="10"/>
        <v>5503.1459216439416</v>
      </c>
      <c r="U54" s="4">
        <f t="shared" si="11"/>
        <v>2362.6071496062987</v>
      </c>
      <c r="V54" s="4">
        <f t="shared" si="12"/>
        <v>2884.5784966123415</v>
      </c>
      <c r="W54" s="4">
        <f t="shared" si="13"/>
        <v>5247.1856462186406</v>
      </c>
      <c r="X54" s="10">
        <v>42901</v>
      </c>
      <c r="Y54" s="12">
        <v>48</v>
      </c>
      <c r="Z54" s="5">
        <v>1.1299999999999999</v>
      </c>
      <c r="AA54" s="4">
        <v>82.3</v>
      </c>
      <c r="AB54" s="4">
        <v>32.299999999999997</v>
      </c>
      <c r="AC54" s="4">
        <v>5.5</v>
      </c>
      <c r="AD54" s="4">
        <v>8.9</v>
      </c>
      <c r="AE54" s="3"/>
      <c r="AI54" s="3"/>
      <c r="AJ54" s="3"/>
      <c r="AK54" s="7"/>
      <c r="AL54" s="7"/>
      <c r="AM54" s="7"/>
      <c r="AN54" s="3"/>
      <c r="AO54" s="3"/>
      <c r="AP54" s="7"/>
      <c r="AQ54" s="7"/>
      <c r="AR54" s="7"/>
      <c r="AS54" s="9"/>
      <c r="AT54" s="9"/>
      <c r="AU54" s="9"/>
      <c r="AV54" s="3"/>
      <c r="AW54" s="3"/>
      <c r="AX54" s="3"/>
      <c r="AY54" s="3"/>
      <c r="AZ54" s="3"/>
      <c r="BA54" s="3"/>
      <c r="BC54" s="13"/>
      <c r="BD54" s="7"/>
      <c r="BE54" s="3"/>
      <c r="BF54" s="3"/>
      <c r="BG54" s="3"/>
      <c r="BH54" s="3"/>
    </row>
    <row r="55" spans="1:60" x14ac:dyDescent="0.3">
      <c r="A55">
        <v>12</v>
      </c>
      <c r="B55" s="1" t="s">
        <v>57</v>
      </c>
      <c r="C55" s="1" t="s">
        <v>30</v>
      </c>
      <c r="D55" s="2">
        <v>42675</v>
      </c>
      <c r="E55" s="3">
        <v>24.88</v>
      </c>
      <c r="F55" s="4">
        <f t="shared" si="2"/>
        <v>5468.998031496063</v>
      </c>
      <c r="G55" s="7">
        <v>4.46</v>
      </c>
      <c r="H55" s="7">
        <v>4.24</v>
      </c>
      <c r="I55" s="5">
        <f t="shared" si="3"/>
        <v>4.9327354260089633</v>
      </c>
      <c r="J55" s="4">
        <f t="shared" si="4"/>
        <v>5199.2268281487241</v>
      </c>
      <c r="K55" s="2">
        <v>42765</v>
      </c>
      <c r="L55" s="7">
        <v>4.24</v>
      </c>
      <c r="M55" s="7">
        <v>1.74</v>
      </c>
      <c r="N55" s="7">
        <v>2.14</v>
      </c>
      <c r="O55" s="6">
        <f t="shared" si="5"/>
        <v>0.410377358490566</v>
      </c>
      <c r="P55" s="6">
        <f t="shared" si="6"/>
        <v>0.50471698113207553</v>
      </c>
      <c r="Q55" s="6">
        <f t="shared" si="7"/>
        <v>8.4905660377358472E-2</v>
      </c>
      <c r="R55" s="4">
        <f t="shared" si="8"/>
        <v>2244.3529657554595</v>
      </c>
      <c r="S55" s="4">
        <f t="shared" si="9"/>
        <v>2760.2961762739565</v>
      </c>
      <c r="T55" s="4">
        <f t="shared" si="10"/>
        <v>5004.649142029416</v>
      </c>
      <c r="U55" s="4">
        <f t="shared" si="11"/>
        <v>2133.6449719289571</v>
      </c>
      <c r="V55" s="4">
        <f t="shared" si="12"/>
        <v>2624.1380689241205</v>
      </c>
      <c r="W55" s="4">
        <f t="shared" si="13"/>
        <v>4757.7830408530772</v>
      </c>
      <c r="X55" s="10"/>
      <c r="Y55" s="12"/>
      <c r="Z55" s="5"/>
      <c r="AA55" s="4"/>
      <c r="AB55" s="4"/>
      <c r="AC55" s="4"/>
      <c r="AD55" s="4"/>
      <c r="AE55" s="3"/>
      <c r="AI55" s="3"/>
      <c r="AJ55" s="3"/>
      <c r="AK55" s="7"/>
      <c r="AL55" s="7"/>
      <c r="AM55" s="7"/>
      <c r="AN55" s="3"/>
      <c r="AO55" s="3"/>
      <c r="AP55" s="7"/>
      <c r="AQ55" s="7"/>
      <c r="AR55" s="7"/>
      <c r="AS55" s="9"/>
      <c r="AT55" s="9"/>
      <c r="AU55" s="9"/>
      <c r="AV55" s="3"/>
      <c r="AW55" s="3"/>
      <c r="AX55" s="3"/>
      <c r="AY55" s="3"/>
      <c r="AZ55" s="3"/>
      <c r="BA55" s="3"/>
      <c r="BC55" s="13"/>
      <c r="BD55" s="7"/>
      <c r="BE55" s="3"/>
      <c r="BF55" s="3"/>
      <c r="BG55" s="3"/>
      <c r="BH55" s="3"/>
    </row>
    <row r="56" spans="1:60" x14ac:dyDescent="0.3">
      <c r="A56">
        <v>13</v>
      </c>
      <c r="B56" s="1" t="s">
        <v>58</v>
      </c>
      <c r="C56" s="1" t="s">
        <v>30</v>
      </c>
      <c r="D56" s="2">
        <v>42675</v>
      </c>
      <c r="E56" s="3">
        <v>22.32</v>
      </c>
      <c r="F56" s="4">
        <f t="shared" si="2"/>
        <v>4897.543543307087</v>
      </c>
      <c r="G56" s="7">
        <v>4.7</v>
      </c>
      <c r="H56" s="7">
        <v>4.46</v>
      </c>
      <c r="I56" s="5">
        <f t="shared" si="3"/>
        <v>5.106382978723409</v>
      </c>
      <c r="J56" s="4">
        <f t="shared" si="4"/>
        <v>4647.4562134360867</v>
      </c>
      <c r="K56" s="2">
        <v>42782</v>
      </c>
      <c r="L56" s="7">
        <v>4.46</v>
      </c>
      <c r="M56" s="7">
        <v>1.8</v>
      </c>
      <c r="N56" s="7">
        <v>2.2999999999999998</v>
      </c>
      <c r="O56" s="6">
        <f t="shared" si="5"/>
        <v>0.40358744394618834</v>
      </c>
      <c r="P56" s="6">
        <f t="shared" si="6"/>
        <v>0.51569506726457393</v>
      </c>
      <c r="Q56" s="6">
        <f t="shared" si="7"/>
        <v>8.0717488789237679E-2</v>
      </c>
      <c r="R56" s="4">
        <f t="shared" si="8"/>
        <v>1976.5870802584657</v>
      </c>
      <c r="S56" s="4">
        <f t="shared" si="9"/>
        <v>2525.6390469969278</v>
      </c>
      <c r="T56" s="4">
        <f t="shared" si="10"/>
        <v>4502.2261272553933</v>
      </c>
      <c r="U56" s="4">
        <f t="shared" si="11"/>
        <v>1875.6549740325013</v>
      </c>
      <c r="V56" s="4">
        <f t="shared" si="12"/>
        <v>2396.670244597085</v>
      </c>
      <c r="W56" s="4">
        <f t="shared" si="13"/>
        <v>4272.3252186295867</v>
      </c>
      <c r="X56" s="10"/>
      <c r="Y56" s="12"/>
      <c r="Z56" s="5"/>
      <c r="AA56" s="4"/>
      <c r="AB56" s="4"/>
      <c r="AC56" s="4"/>
      <c r="AD56" s="4"/>
      <c r="AE56" s="3"/>
      <c r="AF56" t="s">
        <v>260</v>
      </c>
      <c r="AG56" t="str">
        <f>C56</f>
        <v>Machine</v>
      </c>
      <c r="AH56" s="8">
        <f>D56</f>
        <v>42675</v>
      </c>
      <c r="AI56" s="3">
        <f>SUM(E56:E58)</f>
        <v>67.86</v>
      </c>
      <c r="AJ56" s="3">
        <f>(AI56-3*$A$33)*$A$34/(3*$A$35)*$A$36</f>
        <v>4964.5108661417316</v>
      </c>
      <c r="AK56" s="7">
        <f>SUM(G56:G58)</f>
        <v>13.360000000000001</v>
      </c>
      <c r="AL56" s="7">
        <f>SUM(H56:H58)</f>
        <v>12.66</v>
      </c>
      <c r="AM56" s="7">
        <f>(AK56-AL56)/AK56*100</f>
        <v>5.2395209580838396</v>
      </c>
      <c r="AN56" s="3">
        <f>AJ56*(1-AM56/100)</f>
        <v>4704.3942788438862</v>
      </c>
      <c r="AO56" s="11">
        <f>K56</f>
        <v>42782</v>
      </c>
      <c r="AP56" s="7">
        <f>SUM(L56:L58)</f>
        <v>12.66</v>
      </c>
      <c r="AQ56" s="7">
        <f t="shared" ref="AQ56" si="35">SUM(M56:M58)</f>
        <v>5.04</v>
      </c>
      <c r="AR56" s="7">
        <f t="shared" ref="AR56" si="36">SUM(N56:N58)</f>
        <v>6.6400000000000006</v>
      </c>
      <c r="AS56" s="9">
        <f>AQ56/AP56</f>
        <v>0.3981042654028436</v>
      </c>
      <c r="AT56" s="9">
        <f>AR56/AP56</f>
        <v>0.52448657187993686</v>
      </c>
      <c r="AU56" s="9">
        <f>1-AS56-AT56</f>
        <v>7.7409162717219537E-2</v>
      </c>
      <c r="AV56" s="3">
        <f>AJ56*AS56</f>
        <v>1976.3929514497888</v>
      </c>
      <c r="AW56" s="3">
        <f>AJ56*AT56</f>
        <v>2603.8192852433731</v>
      </c>
      <c r="AX56" s="3">
        <f>AV56+AW56</f>
        <v>4580.2122366931617</v>
      </c>
      <c r="AY56" s="3">
        <f>AN56*AS56</f>
        <v>1872.8394285444856</v>
      </c>
      <c r="AZ56" s="3">
        <f>AN56*AT56</f>
        <v>2467.3916280824178</v>
      </c>
      <c r="BA56" s="3">
        <f>AY56+AZ56</f>
        <v>4340.2310566269034</v>
      </c>
      <c r="BB56" s="11">
        <f>X57</f>
        <v>42901</v>
      </c>
      <c r="BC56" s="13">
        <f>AVERAGE(Y56:Y58)</f>
        <v>42</v>
      </c>
      <c r="BD56" s="7">
        <f t="shared" ref="BD56" si="37">AVERAGE(Z56:Z58)</f>
        <v>1.19</v>
      </c>
      <c r="BE56" s="3">
        <f t="shared" ref="BE56" si="38">AVERAGE(AA56:AA58)</f>
        <v>82.3</v>
      </c>
      <c r="BF56" s="3">
        <f t="shared" ref="BF56" si="39">AVERAGE(AB56:AB58)</f>
        <v>32.1</v>
      </c>
      <c r="BG56" s="3">
        <f t="shared" ref="BG56" si="40">AVERAGE(AC56:AC58)</f>
        <v>5.7</v>
      </c>
      <c r="BH56" s="3">
        <f t="shared" ref="BH56" si="41">AVERAGE(AD56:AD58)</f>
        <v>9</v>
      </c>
    </row>
    <row r="57" spans="1:60" x14ac:dyDescent="0.3">
      <c r="A57">
        <v>14</v>
      </c>
      <c r="B57" s="1" t="s">
        <v>59</v>
      </c>
      <c r="C57" s="1" t="s">
        <v>30</v>
      </c>
      <c r="D57" s="2">
        <v>42675</v>
      </c>
      <c r="E57" s="3">
        <v>24.26</v>
      </c>
      <c r="F57" s="4">
        <f t="shared" si="2"/>
        <v>5330.5988976377957</v>
      </c>
      <c r="G57" s="7">
        <v>4.3600000000000003</v>
      </c>
      <c r="H57" s="7">
        <v>4.12</v>
      </c>
      <c r="I57" s="5">
        <f t="shared" si="3"/>
        <v>5.5045871559633071</v>
      </c>
      <c r="J57" s="4">
        <f t="shared" si="4"/>
        <v>5037.1714353825046</v>
      </c>
      <c r="K57" s="2">
        <v>42782</v>
      </c>
      <c r="L57" s="7">
        <v>4.12</v>
      </c>
      <c r="M57" s="7">
        <v>1.66</v>
      </c>
      <c r="N57" s="7">
        <v>2.1800000000000002</v>
      </c>
      <c r="O57" s="6">
        <f t="shared" si="5"/>
        <v>0.40291262135922329</v>
      </c>
      <c r="P57" s="6">
        <f t="shared" si="6"/>
        <v>0.529126213592233</v>
      </c>
      <c r="Q57" s="6">
        <f t="shared" si="7"/>
        <v>6.7961165048543659E-2</v>
      </c>
      <c r="R57" s="4">
        <f t="shared" si="8"/>
        <v>2147.7655752618302</v>
      </c>
      <c r="S57" s="4">
        <f t="shared" si="9"/>
        <v>2820.5596108860182</v>
      </c>
      <c r="T57" s="4">
        <f t="shared" si="10"/>
        <v>4968.3251861478484</v>
      </c>
      <c r="U57" s="4">
        <f t="shared" si="11"/>
        <v>2029.5399472657664</v>
      </c>
      <c r="V57" s="4">
        <f t="shared" si="12"/>
        <v>2665.2994488188979</v>
      </c>
      <c r="W57" s="4">
        <f t="shared" si="13"/>
        <v>4694.8393960846643</v>
      </c>
      <c r="X57" s="10">
        <v>42901</v>
      </c>
      <c r="Y57" s="12">
        <v>42</v>
      </c>
      <c r="Z57" s="5">
        <v>1.19</v>
      </c>
      <c r="AA57" s="4">
        <v>82.3</v>
      </c>
      <c r="AB57" s="4">
        <v>32.1</v>
      </c>
      <c r="AC57" s="4">
        <v>5.7</v>
      </c>
      <c r="AD57" s="4">
        <v>9</v>
      </c>
      <c r="AE57" s="3"/>
      <c r="AI57" s="3"/>
      <c r="AJ57" s="3"/>
      <c r="AK57" s="7"/>
      <c r="AL57" s="7"/>
      <c r="AM57" s="7"/>
      <c r="AN57" s="3"/>
      <c r="AO57" s="3"/>
      <c r="AP57" s="7"/>
      <c r="AQ57" s="7"/>
      <c r="AR57" s="7"/>
      <c r="AS57" s="9"/>
      <c r="AT57" s="9"/>
      <c r="AU57" s="9"/>
      <c r="AV57" s="3"/>
      <c r="AW57" s="3"/>
      <c r="AX57" s="3"/>
      <c r="AY57" s="3"/>
      <c r="AZ57" s="3"/>
      <c r="BA57" s="3"/>
      <c r="BC57" s="13"/>
      <c r="BD57" s="7"/>
      <c r="BE57" s="3"/>
      <c r="BF57" s="3"/>
      <c r="BG57" s="3"/>
      <c r="BH57" s="3"/>
    </row>
    <row r="58" spans="1:60" x14ac:dyDescent="0.3">
      <c r="A58">
        <v>15</v>
      </c>
      <c r="B58" s="1" t="s">
        <v>60</v>
      </c>
      <c r="C58" s="1" t="s">
        <v>30</v>
      </c>
      <c r="D58" s="2">
        <v>42675</v>
      </c>
      <c r="E58" s="3">
        <v>21.28</v>
      </c>
      <c r="F58" s="4">
        <f t="shared" si="2"/>
        <v>4665.3901574803149</v>
      </c>
      <c r="G58" s="7">
        <v>4.3000000000000007</v>
      </c>
      <c r="H58" s="7">
        <v>4.08</v>
      </c>
      <c r="I58" s="5">
        <f t="shared" si="3"/>
        <v>5.1162790697674554</v>
      </c>
      <c r="J58" s="4">
        <f t="shared" si="4"/>
        <v>4426.6957773301583</v>
      </c>
      <c r="K58" s="2">
        <v>42782</v>
      </c>
      <c r="L58" s="7">
        <v>4.08</v>
      </c>
      <c r="M58" s="7">
        <v>1.58</v>
      </c>
      <c r="N58" s="7">
        <v>2.16</v>
      </c>
      <c r="O58" s="6">
        <f t="shared" si="5"/>
        <v>0.38725490196078433</v>
      </c>
      <c r="P58" s="6">
        <f t="shared" si="6"/>
        <v>0.52941176470588236</v>
      </c>
      <c r="Q58" s="6">
        <f t="shared" si="7"/>
        <v>8.333333333333337E-2</v>
      </c>
      <c r="R58" s="4">
        <f t="shared" si="8"/>
        <v>1806.6952080438475</v>
      </c>
      <c r="S58" s="4">
        <f t="shared" si="9"/>
        <v>2469.9124363131077</v>
      </c>
      <c r="T58" s="4">
        <f t="shared" si="10"/>
        <v>4276.6076443569555</v>
      </c>
      <c r="U58" s="4">
        <f t="shared" si="11"/>
        <v>1714.2596392602084</v>
      </c>
      <c r="V58" s="4">
        <f t="shared" si="12"/>
        <v>2343.5448232924368</v>
      </c>
      <c r="W58" s="4">
        <f t="shared" si="13"/>
        <v>4057.8044625526454</v>
      </c>
      <c r="X58" s="10"/>
      <c r="Y58" s="12"/>
      <c r="Z58" s="5"/>
      <c r="AA58" s="4"/>
      <c r="AB58" s="4"/>
      <c r="AC58" s="4"/>
      <c r="AD58" s="4"/>
      <c r="AE58" s="3"/>
      <c r="AI58" s="3"/>
      <c r="AJ58" s="3"/>
      <c r="AK58" s="7"/>
      <c r="AL58" s="7"/>
      <c r="AM58" s="7"/>
      <c r="AN58" s="3"/>
      <c r="AO58" s="3"/>
      <c r="AP58" s="7"/>
      <c r="AQ58" s="7"/>
      <c r="AR58" s="7"/>
      <c r="AS58" s="9"/>
      <c r="AT58" s="9"/>
      <c r="AU58" s="9"/>
      <c r="AV58" s="3"/>
      <c r="AW58" s="3"/>
      <c r="AX58" s="3"/>
      <c r="AY58" s="3"/>
      <c r="AZ58" s="3"/>
      <c r="BA58" s="3"/>
      <c r="BC58" s="13"/>
      <c r="BD58" s="7"/>
      <c r="BE58" s="3"/>
      <c r="BF58" s="3"/>
      <c r="BG58" s="3"/>
      <c r="BH58" s="3"/>
    </row>
    <row r="59" spans="1:60" x14ac:dyDescent="0.3">
      <c r="A59">
        <v>16</v>
      </c>
      <c r="B59" s="1" t="s">
        <v>61</v>
      </c>
      <c r="C59" s="1" t="s">
        <v>30</v>
      </c>
      <c r="D59" s="2">
        <v>42675</v>
      </c>
      <c r="E59" s="3">
        <v>23.9</v>
      </c>
      <c r="F59" s="4">
        <f t="shared" si="2"/>
        <v>5250.2381102362206</v>
      </c>
      <c r="G59" s="7">
        <v>4.3400000000000007</v>
      </c>
      <c r="H59" s="7">
        <v>4.12</v>
      </c>
      <c r="I59" s="5">
        <f t="shared" si="3"/>
        <v>5.0691244239631477</v>
      </c>
      <c r="J59" s="4">
        <f t="shared" si="4"/>
        <v>4984.0970078740156</v>
      </c>
      <c r="K59" s="2">
        <v>42782</v>
      </c>
      <c r="L59" s="7">
        <v>4.12</v>
      </c>
      <c r="M59" s="7">
        <v>1.68</v>
      </c>
      <c r="N59" s="7">
        <v>2.14</v>
      </c>
      <c r="O59" s="6">
        <f t="shared" si="5"/>
        <v>0.40776699029126212</v>
      </c>
      <c r="P59" s="6">
        <f t="shared" si="6"/>
        <v>0.51941747572815533</v>
      </c>
      <c r="Q59" s="6">
        <f t="shared" si="7"/>
        <v>7.2815533980582492E-2</v>
      </c>
      <c r="R59" s="4">
        <f t="shared" si="8"/>
        <v>2140.8737925235073</v>
      </c>
      <c r="S59" s="4">
        <f t="shared" si="9"/>
        <v>2727.0654261906584</v>
      </c>
      <c r="T59" s="4">
        <f t="shared" si="10"/>
        <v>4867.9392187141657</v>
      </c>
      <c r="U59" s="4">
        <f t="shared" si="11"/>
        <v>2032.3502362204724</v>
      </c>
      <c r="V59" s="4">
        <f t="shared" si="12"/>
        <v>2588.8270866141729</v>
      </c>
      <c r="W59" s="4">
        <f t="shared" si="13"/>
        <v>4621.1773228346456</v>
      </c>
      <c r="X59" s="10"/>
      <c r="Y59" s="12"/>
      <c r="Z59" s="5"/>
      <c r="AA59" s="4"/>
      <c r="AB59" s="4"/>
      <c r="AC59" s="4"/>
      <c r="AD59" s="4"/>
      <c r="AE59" s="3"/>
      <c r="AF59" t="s">
        <v>261</v>
      </c>
      <c r="AG59" t="s">
        <v>30</v>
      </c>
      <c r="AH59" s="8">
        <f>D59</f>
        <v>42675</v>
      </c>
      <c r="AI59" s="3">
        <f>SUM(E59:E61)</f>
        <v>74.12</v>
      </c>
      <c r="AJ59" s="3">
        <f>(AI59-3*$A$33)*$A$34/(3*$A$35)*$A$36</f>
        <v>5430.3058005249341</v>
      </c>
      <c r="AK59" s="7">
        <f>SUM(G59:G61)</f>
        <v>13.040000000000001</v>
      </c>
      <c r="AL59" s="7">
        <f>SUM(H59:H61)</f>
        <v>12.42</v>
      </c>
      <c r="AM59" s="7">
        <f>(AK59-AL59)/AK59*100</f>
        <v>4.7546012269938727</v>
      </c>
      <c r="AN59" s="3">
        <f>AJ59*(1-AM59/100)</f>
        <v>5172.1164143036558</v>
      </c>
      <c r="AO59" s="11">
        <f>K59</f>
        <v>42782</v>
      </c>
      <c r="AP59" s="7">
        <f>SUM(L59:L61)</f>
        <v>12.42</v>
      </c>
      <c r="AQ59" s="7">
        <f t="shared" ref="AQ59" si="42">SUM(M59:M61)</f>
        <v>5.0200000000000005</v>
      </c>
      <c r="AR59" s="7">
        <f t="shared" ref="AR59" si="43">SUM(N59:N61)</f>
        <v>6.48</v>
      </c>
      <c r="AS59" s="9">
        <f>AQ59/AP59</f>
        <v>0.40418679549114334</v>
      </c>
      <c r="AT59" s="9">
        <f>AR59/AP59</f>
        <v>0.52173913043478259</v>
      </c>
      <c r="AU59" s="9">
        <f>1-AS59-AT59</f>
        <v>7.407407407407407E-2</v>
      </c>
      <c r="AV59" s="3">
        <f>AJ59*AS59</f>
        <v>2194.8579000511409</v>
      </c>
      <c r="AW59" s="3">
        <f>AJ59*AT59</f>
        <v>2833.2030263608349</v>
      </c>
      <c r="AX59" s="3">
        <f>AV59+AW59</f>
        <v>5028.0609264119757</v>
      </c>
      <c r="AY59" s="3">
        <f>AN59*AS59</f>
        <v>2090.5011594045372</v>
      </c>
      <c r="AZ59" s="3">
        <f>AN59*AT59</f>
        <v>2698.4955205062552</v>
      </c>
      <c r="BA59" s="3">
        <f>AY59+AZ59</f>
        <v>4788.9966799107924</v>
      </c>
      <c r="BB59" s="11">
        <f>X60</f>
        <v>42901</v>
      </c>
      <c r="BC59" s="13">
        <f>AVERAGE(Y59:Y61)</f>
        <v>44</v>
      </c>
      <c r="BD59" s="7">
        <f t="shared" ref="BD59" si="44">AVERAGE(Z59:Z61)</f>
        <v>1.1499999999999999</v>
      </c>
      <c r="BE59" s="3">
        <f t="shared" ref="BE59" si="45">AVERAGE(AA59:AA61)</f>
        <v>81.900000000000006</v>
      </c>
      <c r="BF59" s="3">
        <f t="shared" ref="BF59" si="46">AVERAGE(AB59:AB61)</f>
        <v>33</v>
      </c>
      <c r="BG59" s="3">
        <f t="shared" ref="BG59" si="47">AVERAGE(AC59:AC61)</f>
        <v>5.4</v>
      </c>
      <c r="BH59" s="3">
        <f t="shared" ref="BH59" si="48">AVERAGE(AD59:AD61)</f>
        <v>9.4</v>
      </c>
    </row>
    <row r="60" spans="1:60" x14ac:dyDescent="0.3">
      <c r="A60">
        <v>17</v>
      </c>
      <c r="B60" s="1" t="s">
        <v>62</v>
      </c>
      <c r="C60" s="1" t="s">
        <v>30</v>
      </c>
      <c r="D60" s="2">
        <v>42675</v>
      </c>
      <c r="E60" s="3">
        <v>24.68</v>
      </c>
      <c r="F60" s="4">
        <f t="shared" si="2"/>
        <v>5424.3531496062988</v>
      </c>
      <c r="G60" s="7">
        <v>4.1400000000000006</v>
      </c>
      <c r="H60" s="7">
        <v>3.96</v>
      </c>
      <c r="I60" s="5">
        <f t="shared" si="3"/>
        <v>4.3478260869565357</v>
      </c>
      <c r="J60" s="4">
        <f t="shared" si="4"/>
        <v>5188.5117083190671</v>
      </c>
      <c r="K60" s="2">
        <v>42782</v>
      </c>
      <c r="L60" s="7">
        <v>3.96</v>
      </c>
      <c r="M60" s="7">
        <v>1.6</v>
      </c>
      <c r="N60" s="7">
        <v>2.06</v>
      </c>
      <c r="O60" s="6">
        <f t="shared" si="5"/>
        <v>0.40404040404040409</v>
      </c>
      <c r="P60" s="6">
        <f t="shared" si="6"/>
        <v>0.52020202020202022</v>
      </c>
      <c r="Q60" s="6">
        <f t="shared" si="7"/>
        <v>7.575757575757569E-2</v>
      </c>
      <c r="R60" s="4">
        <f t="shared" si="8"/>
        <v>2191.6578382247676</v>
      </c>
      <c r="S60" s="4">
        <f t="shared" si="9"/>
        <v>2821.7594667143881</v>
      </c>
      <c r="T60" s="4">
        <f t="shared" si="10"/>
        <v>5013.4173049391557</v>
      </c>
      <c r="U60" s="4">
        <f t="shared" si="11"/>
        <v>2096.3683669976031</v>
      </c>
      <c r="V60" s="4">
        <f t="shared" si="12"/>
        <v>2699.0742725094137</v>
      </c>
      <c r="W60" s="4">
        <f t="shared" si="13"/>
        <v>4795.4426395070168</v>
      </c>
      <c r="X60" s="10">
        <v>42901</v>
      </c>
      <c r="Y60" s="12">
        <v>44</v>
      </c>
      <c r="Z60" s="5">
        <v>1.1499999999999999</v>
      </c>
      <c r="AA60" s="4">
        <v>81.900000000000006</v>
      </c>
      <c r="AB60" s="4">
        <v>33</v>
      </c>
      <c r="AC60" s="4">
        <v>5.4</v>
      </c>
      <c r="AD60" s="4">
        <v>9.4</v>
      </c>
      <c r="AE60" s="3"/>
      <c r="AI60" s="3"/>
      <c r="AJ60" s="3"/>
      <c r="AK60" s="7"/>
      <c r="AL60" s="7"/>
      <c r="AM60" s="7"/>
      <c r="AN60" s="3"/>
      <c r="AO60" s="3"/>
      <c r="AP60" s="7"/>
      <c r="AQ60" s="7"/>
      <c r="AR60" s="7"/>
      <c r="AS60" s="9"/>
      <c r="AT60" s="9"/>
      <c r="AU60" s="9"/>
      <c r="AV60" s="3"/>
      <c r="AW60" s="3"/>
      <c r="AX60" s="3"/>
      <c r="AY60" s="3"/>
      <c r="AZ60" s="3"/>
      <c r="BA60" s="3"/>
      <c r="BC60" s="13"/>
      <c r="BD60" s="7"/>
      <c r="BE60" s="3"/>
      <c r="BF60" s="3"/>
      <c r="BG60" s="3"/>
      <c r="BH60" s="3"/>
    </row>
    <row r="61" spans="1:60" x14ac:dyDescent="0.3">
      <c r="A61">
        <v>18</v>
      </c>
      <c r="B61" s="1" t="s">
        <v>63</v>
      </c>
      <c r="C61" s="1" t="s">
        <v>30</v>
      </c>
      <c r="D61" s="2">
        <v>42675</v>
      </c>
      <c r="E61" s="3">
        <v>25.54</v>
      </c>
      <c r="F61" s="4">
        <f t="shared" si="2"/>
        <v>5616.3261417322838</v>
      </c>
      <c r="G61" s="7">
        <v>4.5600000000000005</v>
      </c>
      <c r="H61" s="7">
        <v>4.34</v>
      </c>
      <c r="I61" s="5">
        <f t="shared" si="3"/>
        <v>4.8245614035087856</v>
      </c>
      <c r="J61" s="4">
        <f t="shared" si="4"/>
        <v>5345.3630384030939</v>
      </c>
      <c r="K61" s="2">
        <v>42793</v>
      </c>
      <c r="L61" s="7">
        <v>4.34</v>
      </c>
      <c r="M61" s="7">
        <v>1.74</v>
      </c>
      <c r="N61" s="7">
        <v>2.2799999999999998</v>
      </c>
      <c r="O61" s="6">
        <f t="shared" si="5"/>
        <v>0.4009216589861751</v>
      </c>
      <c r="P61" s="6">
        <f t="shared" si="6"/>
        <v>0.52534562211981561</v>
      </c>
      <c r="Q61" s="6">
        <f t="shared" si="7"/>
        <v>7.3732718894009341E-2</v>
      </c>
      <c r="R61" s="4">
        <f t="shared" si="8"/>
        <v>2251.7067941507312</v>
      </c>
      <c r="S61" s="4">
        <f t="shared" si="9"/>
        <v>2950.5123509561304</v>
      </c>
      <c r="T61" s="4">
        <f t="shared" si="10"/>
        <v>5202.2191451068611</v>
      </c>
      <c r="U61" s="4">
        <f t="shared" si="11"/>
        <v>2143.0718172399502</v>
      </c>
      <c r="V61" s="4">
        <f t="shared" si="12"/>
        <v>2808.1630708661414</v>
      </c>
      <c r="W61" s="4">
        <f t="shared" si="13"/>
        <v>4951.2348881060916</v>
      </c>
      <c r="X61" s="10"/>
      <c r="Y61" s="12"/>
      <c r="Z61" s="5"/>
      <c r="AA61" s="4"/>
      <c r="AB61" s="4"/>
      <c r="AC61" s="4"/>
      <c r="AD61" s="4"/>
      <c r="AE61" s="3"/>
      <c r="AI61" s="3"/>
      <c r="AJ61" s="3"/>
      <c r="AK61" s="7"/>
      <c r="AL61" s="7"/>
      <c r="AM61" s="7"/>
      <c r="AN61" s="3"/>
      <c r="AO61" s="3"/>
      <c r="AP61" s="7"/>
      <c r="AQ61" s="7"/>
      <c r="AR61" s="7"/>
      <c r="AS61" s="9"/>
      <c r="AT61" s="9"/>
      <c r="AU61" s="9"/>
      <c r="AV61" s="3"/>
      <c r="AW61" s="3"/>
      <c r="AX61" s="3"/>
      <c r="AY61" s="3"/>
      <c r="AZ61" s="3"/>
      <c r="BA61" s="3"/>
      <c r="BC61" s="13"/>
      <c r="BD61" s="7"/>
      <c r="BE61" s="3"/>
      <c r="BF61" s="3"/>
      <c r="BG61" s="3"/>
      <c r="BH61" s="3"/>
    </row>
    <row r="62" spans="1:60" x14ac:dyDescent="0.3">
      <c r="A62">
        <v>19</v>
      </c>
      <c r="B62" s="1" t="s">
        <v>64</v>
      </c>
      <c r="C62" s="1" t="s">
        <v>30</v>
      </c>
      <c r="D62" s="2">
        <v>42675</v>
      </c>
      <c r="E62" s="3">
        <v>21.52</v>
      </c>
      <c r="F62" s="4">
        <f t="shared" si="2"/>
        <v>4718.9640157480317</v>
      </c>
      <c r="G62" s="7">
        <v>4.12</v>
      </c>
      <c r="H62" s="7">
        <v>3.9</v>
      </c>
      <c r="I62" s="5">
        <f t="shared" si="3"/>
        <v>5.3398058252427232</v>
      </c>
      <c r="J62" s="4">
        <f t="shared" si="4"/>
        <v>4466.9805003440106</v>
      </c>
      <c r="K62" s="2">
        <v>42782</v>
      </c>
      <c r="L62" s="7">
        <v>3.9</v>
      </c>
      <c r="M62" s="7">
        <v>1.66</v>
      </c>
      <c r="N62" s="7">
        <v>2.02</v>
      </c>
      <c r="O62" s="6">
        <f t="shared" si="5"/>
        <v>0.42564102564102563</v>
      </c>
      <c r="P62" s="6">
        <f t="shared" si="6"/>
        <v>0.517948717948718</v>
      </c>
      <c r="Q62" s="6">
        <f t="shared" si="7"/>
        <v>5.6410256410256321E-2</v>
      </c>
      <c r="R62" s="4">
        <f t="shared" si="8"/>
        <v>2008.5846836260853</v>
      </c>
      <c r="S62" s="4">
        <f t="shared" si="9"/>
        <v>2444.181362002827</v>
      </c>
      <c r="T62" s="4">
        <f t="shared" si="10"/>
        <v>4452.7660456289123</v>
      </c>
      <c r="U62" s="4">
        <f t="shared" si="11"/>
        <v>1901.3301616848864</v>
      </c>
      <c r="V62" s="4">
        <f t="shared" si="12"/>
        <v>2313.6668232551033</v>
      </c>
      <c r="W62" s="4">
        <f t="shared" si="13"/>
        <v>4214.9969849399895</v>
      </c>
      <c r="X62" s="10"/>
      <c r="Y62" s="12"/>
      <c r="Z62" s="5"/>
      <c r="AA62" s="4"/>
      <c r="AB62" s="4"/>
      <c r="AC62" s="4"/>
      <c r="AD62" s="4"/>
      <c r="AE62" s="3"/>
      <c r="AF62" t="s">
        <v>262</v>
      </c>
      <c r="AG62" t="s">
        <v>30</v>
      </c>
      <c r="AH62" s="8">
        <f>D62</f>
        <v>42675</v>
      </c>
      <c r="AI62" s="3">
        <f>SUM(E62:E64)</f>
        <v>63.819999999999993</v>
      </c>
      <c r="AJ62" s="3">
        <f>(AI62-3*$A$33)*$A$34/(3*$A$35)*$A$36</f>
        <v>4663.9019947506558</v>
      </c>
      <c r="AK62" s="7">
        <f>SUM(G62:G64)</f>
        <v>12.640000000000002</v>
      </c>
      <c r="AL62" s="7">
        <f>SUM(H62:H64)</f>
        <v>12.02</v>
      </c>
      <c r="AM62" s="7">
        <f>(AK62-AL62)/AK62*100</f>
        <v>4.9050632911392622</v>
      </c>
      <c r="AN62" s="3">
        <f>AJ62*(1-AM62/100)</f>
        <v>4435.1346500714299</v>
      </c>
      <c r="AO62" s="11">
        <f>K62</f>
        <v>42782</v>
      </c>
      <c r="AP62" s="7">
        <f>SUM(L62:L64)</f>
        <v>12.02</v>
      </c>
      <c r="AQ62" s="7">
        <f t="shared" ref="AQ62" si="49">SUM(M62:M64)</f>
        <v>5.08</v>
      </c>
      <c r="AR62" s="7">
        <f t="shared" ref="AR62" si="50">SUM(N62:N64)</f>
        <v>6.2200000000000006</v>
      </c>
      <c r="AS62" s="9">
        <f>AQ62/AP62</f>
        <v>0.4226289517470882</v>
      </c>
      <c r="AT62" s="9">
        <f>AR62/AP62</f>
        <v>0.51747088186356083</v>
      </c>
      <c r="AU62" s="9">
        <f>1-AS62-AT62</f>
        <v>5.9900166389350917E-2</v>
      </c>
      <c r="AV62" s="3">
        <f>AJ62*AS62</f>
        <v>1971.1000110926234</v>
      </c>
      <c r="AW62" s="3">
        <f>AJ62*AT62</f>
        <v>2413.4334781488424</v>
      </c>
      <c r="AX62" s="3">
        <f>AV62+AW62</f>
        <v>4384.5334892414658</v>
      </c>
      <c r="AY62" s="3">
        <f>AN62*AS62</f>
        <v>1874.4163080168773</v>
      </c>
      <c r="AZ62" s="3">
        <f>AN62*AT62</f>
        <v>2295.0530385560983</v>
      </c>
      <c r="BA62" s="3">
        <f>AY62+AZ62</f>
        <v>4169.4693465729761</v>
      </c>
      <c r="BB62" s="11">
        <f>X63</f>
        <v>42901</v>
      </c>
      <c r="BC62" s="13">
        <f>AVERAGE(Y62:Y64)</f>
        <v>47</v>
      </c>
      <c r="BD62" s="7">
        <f t="shared" ref="BD62" si="51">AVERAGE(Z62:Z64)</f>
        <v>1.1200000000000001</v>
      </c>
      <c r="BE62" s="3">
        <f t="shared" ref="BE62" si="52">AVERAGE(AA62:AA64)</f>
        <v>81.2</v>
      </c>
      <c r="BF62" s="3">
        <f t="shared" ref="BF62" si="53">AVERAGE(AB62:AB64)</f>
        <v>31.6</v>
      </c>
      <c r="BG62" s="3">
        <f t="shared" ref="BG62" si="54">AVERAGE(AC62:AC64)</f>
        <v>5.6</v>
      </c>
      <c r="BH62" s="3">
        <f t="shared" ref="BH62" si="55">AVERAGE(AD62:AD64)</f>
        <v>10.1</v>
      </c>
    </row>
    <row r="63" spans="1:60" x14ac:dyDescent="0.3">
      <c r="A63">
        <v>20</v>
      </c>
      <c r="B63" s="1" t="s">
        <v>65</v>
      </c>
      <c r="C63" s="1" t="s">
        <v>30</v>
      </c>
      <c r="D63" s="2">
        <v>42675</v>
      </c>
      <c r="E63" s="3">
        <v>21.42</v>
      </c>
      <c r="F63" s="4">
        <f t="shared" si="2"/>
        <v>4696.6415748031504</v>
      </c>
      <c r="G63" s="7">
        <v>4.3000000000000007</v>
      </c>
      <c r="H63" s="7">
        <v>4.0999999999999996</v>
      </c>
      <c r="I63" s="5">
        <f t="shared" si="3"/>
        <v>4.6511627906976987</v>
      </c>
      <c r="J63" s="4">
        <f t="shared" si="4"/>
        <v>4478.1931294634678</v>
      </c>
      <c r="K63" s="2">
        <v>42782</v>
      </c>
      <c r="L63" s="7">
        <v>4.0999999999999996</v>
      </c>
      <c r="M63" s="7">
        <v>1.72</v>
      </c>
      <c r="N63" s="7">
        <v>2.14</v>
      </c>
      <c r="O63" s="6">
        <f t="shared" si="5"/>
        <v>0.41951219512195126</v>
      </c>
      <c r="P63" s="6">
        <f t="shared" si="6"/>
        <v>0.52195121951219525</v>
      </c>
      <c r="Q63" s="6">
        <f t="shared" si="7"/>
        <v>5.8536585365853488E-2</v>
      </c>
      <c r="R63" s="4">
        <f t="shared" si="8"/>
        <v>1970.2984167466877</v>
      </c>
      <c r="S63" s="4">
        <f t="shared" si="9"/>
        <v>2451.4177975801817</v>
      </c>
      <c r="T63" s="4">
        <f t="shared" si="10"/>
        <v>4421.7162143268697</v>
      </c>
      <c r="U63" s="4">
        <f t="shared" si="11"/>
        <v>1878.6566299212598</v>
      </c>
      <c r="V63" s="4">
        <f t="shared" si="12"/>
        <v>2337.3983651345911</v>
      </c>
      <c r="W63" s="4">
        <f t="shared" si="13"/>
        <v>4216.0549950558507</v>
      </c>
      <c r="X63" s="10">
        <v>42901</v>
      </c>
      <c r="Y63" s="12">
        <v>47</v>
      </c>
      <c r="Z63" s="5">
        <v>1.1200000000000001</v>
      </c>
      <c r="AA63" s="4">
        <v>81.2</v>
      </c>
      <c r="AB63" s="4">
        <v>31.6</v>
      </c>
      <c r="AC63" s="4">
        <v>5.6</v>
      </c>
      <c r="AD63" s="4">
        <v>10.1</v>
      </c>
      <c r="AE63" s="3"/>
      <c r="AI63" s="3"/>
      <c r="AJ63" s="3"/>
      <c r="AK63" s="7"/>
      <c r="AL63" s="7"/>
      <c r="AM63" s="7"/>
      <c r="AN63" s="3"/>
      <c r="AO63" s="3"/>
      <c r="AP63" s="7"/>
      <c r="AQ63" s="7"/>
      <c r="AR63" s="7"/>
      <c r="AS63" s="9"/>
      <c r="AT63" s="9"/>
      <c r="AU63" s="9"/>
      <c r="AV63" s="3"/>
      <c r="AW63" s="3"/>
      <c r="AX63" s="3"/>
      <c r="AY63" s="3"/>
      <c r="AZ63" s="3"/>
      <c r="BA63" s="3"/>
      <c r="BC63" s="13"/>
      <c r="BD63" s="7"/>
      <c r="BE63" s="3"/>
      <c r="BF63" s="3"/>
      <c r="BG63" s="3"/>
      <c r="BH63" s="3"/>
    </row>
    <row r="64" spans="1:60" x14ac:dyDescent="0.3">
      <c r="A64">
        <v>21</v>
      </c>
      <c r="B64" s="1" t="s">
        <v>66</v>
      </c>
      <c r="C64" s="1" t="s">
        <v>30</v>
      </c>
      <c r="D64" s="2">
        <v>42675</v>
      </c>
      <c r="E64" s="3">
        <v>20.88</v>
      </c>
      <c r="F64" s="4">
        <f t="shared" si="2"/>
        <v>4576.1003937007872</v>
      </c>
      <c r="G64" s="7">
        <v>4.2200000000000006</v>
      </c>
      <c r="H64" s="7">
        <v>4.0199999999999996</v>
      </c>
      <c r="I64" s="5">
        <f t="shared" si="3"/>
        <v>4.7393364928910202</v>
      </c>
      <c r="J64" s="4">
        <f t="shared" si="4"/>
        <v>4359.2235977907958</v>
      </c>
      <c r="K64" s="2">
        <v>42782</v>
      </c>
      <c r="L64" s="7">
        <v>4.0199999999999996</v>
      </c>
      <c r="M64" s="7">
        <v>1.7</v>
      </c>
      <c r="N64" s="7">
        <v>2.06</v>
      </c>
      <c r="O64" s="6">
        <f t="shared" si="5"/>
        <v>0.4228855721393035</v>
      </c>
      <c r="P64" s="6">
        <f t="shared" si="6"/>
        <v>0.51243781094527374</v>
      </c>
      <c r="Q64" s="6">
        <f t="shared" si="7"/>
        <v>6.4676616915422813E-2</v>
      </c>
      <c r="R64" s="4">
        <f t="shared" si="8"/>
        <v>1935.1668331570495</v>
      </c>
      <c r="S64" s="4">
        <f t="shared" si="9"/>
        <v>2344.9668684138369</v>
      </c>
      <c r="T64" s="4">
        <f t="shared" si="10"/>
        <v>4280.1337015708868</v>
      </c>
      <c r="U64" s="4">
        <f t="shared" si="11"/>
        <v>1843.4527652349136</v>
      </c>
      <c r="V64" s="4">
        <f t="shared" si="12"/>
        <v>2233.8309978728958</v>
      </c>
      <c r="W64" s="4">
        <f t="shared" si="13"/>
        <v>4077.2837631078091</v>
      </c>
      <c r="X64" s="10"/>
      <c r="Y64" s="12"/>
      <c r="Z64" s="5"/>
      <c r="AA64" s="4"/>
      <c r="AB64" s="4"/>
      <c r="AC64" s="4"/>
      <c r="AD64" s="4"/>
      <c r="AE64" s="3"/>
      <c r="AI64" s="3"/>
      <c r="AJ64" s="3"/>
      <c r="AK64" s="7"/>
      <c r="AL64" s="7"/>
      <c r="AM64" s="7"/>
      <c r="AN64" s="3"/>
      <c r="AO64" s="3"/>
      <c r="AP64" s="7"/>
      <c r="AQ64" s="7"/>
      <c r="AR64" s="7"/>
      <c r="AS64" s="9"/>
      <c r="AT64" s="9"/>
      <c r="AU64" s="9"/>
      <c r="AV64" s="3"/>
      <c r="AW64" s="3"/>
      <c r="AX64" s="3"/>
      <c r="AY64" s="3"/>
      <c r="AZ64" s="3"/>
      <c r="BA64" s="3"/>
      <c r="BC64" s="13"/>
      <c r="BD64" s="7"/>
      <c r="BE64" s="3"/>
      <c r="BF64" s="3"/>
      <c r="BG64" s="3"/>
      <c r="BH64" s="3"/>
    </row>
    <row r="65" spans="1:60" x14ac:dyDescent="0.3">
      <c r="A65">
        <v>22</v>
      </c>
      <c r="B65" s="1" t="s">
        <v>67</v>
      </c>
      <c r="C65" s="1" t="s">
        <v>30</v>
      </c>
      <c r="D65" s="2">
        <v>42675</v>
      </c>
      <c r="E65" s="3">
        <v>16.899999999999999</v>
      </c>
      <c r="F65" s="4">
        <f t="shared" si="2"/>
        <v>3687.6672440944881</v>
      </c>
      <c r="G65" s="7">
        <v>4.3600000000000003</v>
      </c>
      <c r="H65" s="7">
        <v>4.1399999999999997</v>
      </c>
      <c r="I65" s="5">
        <f t="shared" si="3"/>
        <v>5.0458715596330421</v>
      </c>
      <c r="J65" s="4">
        <f t="shared" si="4"/>
        <v>3501.5922914108205</v>
      </c>
      <c r="K65" s="2">
        <v>42774</v>
      </c>
      <c r="L65" s="7">
        <v>4.1399999999999997</v>
      </c>
      <c r="M65" s="7">
        <v>1.76</v>
      </c>
      <c r="N65" s="7">
        <v>2.16</v>
      </c>
      <c r="O65" s="6">
        <f t="shared" si="5"/>
        <v>0.42512077294685996</v>
      </c>
      <c r="P65" s="6">
        <f t="shared" si="6"/>
        <v>0.52173913043478271</v>
      </c>
      <c r="Q65" s="6">
        <f t="shared" si="7"/>
        <v>5.314009661835728E-2</v>
      </c>
      <c r="R65" s="4">
        <f t="shared" si="8"/>
        <v>1567.7039491802657</v>
      </c>
      <c r="S65" s="4">
        <f t="shared" si="9"/>
        <v>1924.0003012666898</v>
      </c>
      <c r="T65" s="4">
        <f t="shared" si="10"/>
        <v>3491.7042504469555</v>
      </c>
      <c r="U65" s="4">
        <f t="shared" si="11"/>
        <v>1488.5996214693346</v>
      </c>
      <c r="V65" s="4">
        <f t="shared" si="12"/>
        <v>1826.9177172578197</v>
      </c>
      <c r="W65" s="4">
        <f t="shared" si="13"/>
        <v>3315.5173387271543</v>
      </c>
      <c r="X65" s="10"/>
      <c r="Y65" s="12"/>
      <c r="Z65" s="5"/>
      <c r="AA65" s="4"/>
      <c r="AB65" s="4"/>
      <c r="AC65" s="4"/>
      <c r="AD65" s="4"/>
      <c r="AE65" s="3"/>
      <c r="AF65" t="s">
        <v>263</v>
      </c>
      <c r="AG65" t="s">
        <v>30</v>
      </c>
      <c r="AH65" s="8">
        <f>D65</f>
        <v>42675</v>
      </c>
      <c r="AI65" s="3">
        <f>SUM(E65:E67)</f>
        <v>61.16</v>
      </c>
      <c r="AJ65" s="3">
        <f>(AI65-3*$A$33)*$A$34/(3*$A$35)*$A$36</f>
        <v>4465.9763517060364</v>
      </c>
      <c r="AK65" s="7">
        <f>SUM(G65:G67)</f>
        <v>12.68</v>
      </c>
      <c r="AL65" s="7">
        <f>SUM(H65:H67)</f>
        <v>12.079999999999998</v>
      </c>
      <c r="AM65" s="7">
        <f>(AK65-AL65)/AK65*100</f>
        <v>4.7318611987381818</v>
      </c>
      <c r="AN65" s="3">
        <f>AJ65*(1-AM65/100)</f>
        <v>4254.6525495748356</v>
      </c>
      <c r="AO65" s="11">
        <f>K65</f>
        <v>42774</v>
      </c>
      <c r="AP65" s="7">
        <f>SUM(L65:L67)</f>
        <v>12.079999999999998</v>
      </c>
      <c r="AQ65" s="7">
        <f t="shared" ref="AQ65" si="56">SUM(M65:M67)</f>
        <v>5.14</v>
      </c>
      <c r="AR65" s="7">
        <f t="shared" ref="AR65" si="57">SUM(N65:N67)</f>
        <v>6.2200000000000006</v>
      </c>
      <c r="AS65" s="9">
        <f>AQ65/AP65</f>
        <v>0.42549668874172186</v>
      </c>
      <c r="AT65" s="9">
        <f>AR65/AP65</f>
        <v>0.51490066225165576</v>
      </c>
      <c r="AU65" s="9">
        <f>1-AS65-AT65</f>
        <v>5.9602649006622377E-2</v>
      </c>
      <c r="AV65" s="3">
        <f>AJ65*AS65</f>
        <v>1900.2581496497539</v>
      </c>
      <c r="AW65" s="3">
        <f>AJ65*AT65</f>
        <v>2299.5341810936716</v>
      </c>
      <c r="AX65" s="3">
        <f>AV65+AW65</f>
        <v>4199.7923307434257</v>
      </c>
      <c r="AY65" s="3">
        <f>AN65*AS65</f>
        <v>1810.3405715906172</v>
      </c>
      <c r="AZ65" s="3">
        <f>AN65*AT65</f>
        <v>2190.7234154267785</v>
      </c>
      <c r="BA65" s="3">
        <f>AY65+AZ65</f>
        <v>4001.0639870173954</v>
      </c>
      <c r="BB65" s="11">
        <f>X66</f>
        <v>42901</v>
      </c>
      <c r="BC65" s="13">
        <f>AVERAGE(Y65:Y67)</f>
        <v>51</v>
      </c>
      <c r="BD65" s="7">
        <f t="shared" ref="BD65" si="58">AVERAGE(Z65:Z67)</f>
        <v>1.1100000000000001</v>
      </c>
      <c r="BE65" s="3">
        <f t="shared" ref="BE65" si="59">AVERAGE(AA65:AA67)</f>
        <v>81.900000000000006</v>
      </c>
      <c r="BF65" s="3">
        <f t="shared" ref="BF65" si="60">AVERAGE(AB65:AB67)</f>
        <v>33</v>
      </c>
      <c r="BG65" s="3">
        <f t="shared" ref="BG65" si="61">AVERAGE(AC65:AC67)</f>
        <v>5.2</v>
      </c>
      <c r="BH65" s="3">
        <f t="shared" ref="BH65" si="62">AVERAGE(AD65:AD67)</f>
        <v>8.9</v>
      </c>
    </row>
    <row r="66" spans="1:60" x14ac:dyDescent="0.3">
      <c r="A66">
        <v>23</v>
      </c>
      <c r="B66" s="1" t="s">
        <v>68</v>
      </c>
      <c r="C66" s="1" t="s">
        <v>30</v>
      </c>
      <c r="D66" s="2">
        <v>42675</v>
      </c>
      <c r="E66" s="3">
        <v>21.48</v>
      </c>
      <c r="F66" s="4">
        <f t="shared" si="2"/>
        <v>4710.0350393700792</v>
      </c>
      <c r="G66" s="7">
        <v>4.3000000000000007</v>
      </c>
      <c r="H66" s="7">
        <v>4.0999999999999996</v>
      </c>
      <c r="I66" s="5">
        <f t="shared" si="3"/>
        <v>4.6511627906976987</v>
      </c>
      <c r="J66" s="4">
        <f t="shared" si="4"/>
        <v>4490.963642190075</v>
      </c>
      <c r="K66" s="2">
        <v>42782</v>
      </c>
      <c r="L66" s="7">
        <v>4.0999999999999996</v>
      </c>
      <c r="M66" s="7">
        <v>1.74</v>
      </c>
      <c r="N66" s="7">
        <v>2.12</v>
      </c>
      <c r="O66" s="6">
        <f t="shared" si="5"/>
        <v>0.42439024390243907</v>
      </c>
      <c r="P66" s="6">
        <f t="shared" si="6"/>
        <v>0.51707317073170744</v>
      </c>
      <c r="Q66" s="6">
        <f t="shared" si="7"/>
        <v>5.8536585365853488E-2</v>
      </c>
      <c r="R66" s="4">
        <f t="shared" si="8"/>
        <v>1998.8929191473021</v>
      </c>
      <c r="S66" s="4">
        <f t="shared" si="9"/>
        <v>2435.4327520645293</v>
      </c>
      <c r="T66" s="4">
        <f t="shared" si="10"/>
        <v>4434.3256712118309</v>
      </c>
      <c r="U66" s="4">
        <f t="shared" si="11"/>
        <v>1905.9211554660321</v>
      </c>
      <c r="V66" s="4">
        <f t="shared" si="12"/>
        <v>2322.1568101080393</v>
      </c>
      <c r="W66" s="4">
        <f t="shared" si="13"/>
        <v>4228.0779655740716</v>
      </c>
      <c r="X66" s="10">
        <v>42901</v>
      </c>
      <c r="Y66" s="12">
        <v>51</v>
      </c>
      <c r="Z66" s="5">
        <v>1.1100000000000001</v>
      </c>
      <c r="AA66" s="4">
        <v>81.900000000000006</v>
      </c>
      <c r="AB66" s="4">
        <v>33</v>
      </c>
      <c r="AC66" s="4">
        <v>5.2</v>
      </c>
      <c r="AD66" s="4">
        <v>8.9</v>
      </c>
      <c r="AE66" s="3"/>
      <c r="AI66" s="3"/>
      <c r="AJ66" s="3"/>
      <c r="AK66" s="7"/>
      <c r="AL66" s="7"/>
      <c r="AM66" s="7"/>
      <c r="AN66" s="3"/>
      <c r="AO66" s="3"/>
      <c r="AP66" s="7"/>
      <c r="AQ66" s="7"/>
      <c r="AR66" s="7"/>
      <c r="AS66" s="9"/>
      <c r="AT66" s="9"/>
      <c r="AU66" s="9"/>
      <c r="AV66" s="3"/>
      <c r="AW66" s="3"/>
      <c r="AX66" s="3"/>
      <c r="AY66" s="3"/>
      <c r="AZ66" s="3"/>
      <c r="BA66" s="3"/>
      <c r="BC66" s="13"/>
      <c r="BD66" s="7"/>
      <c r="BE66" s="3"/>
      <c r="BF66" s="3"/>
      <c r="BG66" s="3"/>
      <c r="BH66" s="3"/>
    </row>
    <row r="67" spans="1:60" x14ac:dyDescent="0.3">
      <c r="A67">
        <v>24</v>
      </c>
      <c r="B67" s="1" t="s">
        <v>69</v>
      </c>
      <c r="C67" s="1" t="s">
        <v>30</v>
      </c>
      <c r="D67" s="2">
        <v>42675</v>
      </c>
      <c r="E67" s="3">
        <v>22.78</v>
      </c>
      <c r="F67" s="4">
        <f t="shared" si="2"/>
        <v>5000.2267716535443</v>
      </c>
      <c r="G67" s="7">
        <v>4.0200000000000005</v>
      </c>
      <c r="H67" s="7">
        <v>3.84</v>
      </c>
      <c r="I67" s="5">
        <f t="shared" si="3"/>
        <v>4.4776119402985222</v>
      </c>
      <c r="J67" s="4">
        <f t="shared" si="4"/>
        <v>4776.3360206839816</v>
      </c>
      <c r="K67" s="2">
        <v>42782</v>
      </c>
      <c r="L67" s="7">
        <v>3.84</v>
      </c>
      <c r="M67" s="7">
        <v>1.64</v>
      </c>
      <c r="N67" s="7">
        <v>1.94</v>
      </c>
      <c r="O67" s="6">
        <f t="shared" si="5"/>
        <v>0.42708333333333331</v>
      </c>
      <c r="P67" s="6">
        <f t="shared" si="6"/>
        <v>0.50520833333333337</v>
      </c>
      <c r="Q67" s="6">
        <f t="shared" si="7"/>
        <v>6.770833333333337E-2</v>
      </c>
      <c r="R67" s="4">
        <f t="shared" si="8"/>
        <v>2135.513517060368</v>
      </c>
      <c r="S67" s="4">
        <f t="shared" si="9"/>
        <v>2526.156233595801</v>
      </c>
      <c r="T67" s="4">
        <f t="shared" si="10"/>
        <v>4661.6697506561686</v>
      </c>
      <c r="U67" s="4">
        <f t="shared" si="11"/>
        <v>2039.8935088337837</v>
      </c>
      <c r="V67" s="4">
        <f t="shared" si="12"/>
        <v>2413.0447604497199</v>
      </c>
      <c r="W67" s="4">
        <f t="shared" si="13"/>
        <v>4452.9382692835034</v>
      </c>
      <c r="X67" s="10"/>
      <c r="Y67" s="12"/>
      <c r="Z67" s="5"/>
      <c r="AA67" s="4"/>
      <c r="AB67" s="4"/>
      <c r="AC67" s="4"/>
      <c r="AD67" s="4"/>
      <c r="AI67" s="3"/>
      <c r="AJ67" s="3"/>
      <c r="AK67" s="7"/>
      <c r="AL67" s="7"/>
      <c r="AM67" s="7"/>
      <c r="AN67" s="3"/>
      <c r="AO67" s="3"/>
      <c r="AP67" s="7"/>
      <c r="AQ67" s="7"/>
      <c r="AR67" s="7"/>
      <c r="AS67" s="9"/>
      <c r="AT67" s="9"/>
      <c r="AU67" s="9"/>
      <c r="AV67" s="3"/>
      <c r="AW67" s="3"/>
      <c r="AX67" s="3"/>
      <c r="AY67" s="3"/>
      <c r="AZ67" s="3"/>
      <c r="BA67" s="3"/>
      <c r="BC67" s="13"/>
      <c r="BD67" s="7"/>
      <c r="BE67" s="3"/>
      <c r="BF67" s="3"/>
      <c r="BG67" s="3"/>
      <c r="BH67" s="3"/>
    </row>
    <row r="68" spans="1:60" x14ac:dyDescent="0.3">
      <c r="A68">
        <v>25</v>
      </c>
      <c r="B68" s="1" t="s">
        <v>70</v>
      </c>
      <c r="C68" s="1" t="s">
        <v>30</v>
      </c>
      <c r="D68" s="2">
        <v>42675</v>
      </c>
      <c r="E68" s="3">
        <v>24.16</v>
      </c>
      <c r="F68" s="4">
        <f t="shared" si="2"/>
        <v>5308.2764566929145</v>
      </c>
      <c r="G68" s="7">
        <v>4.54</v>
      </c>
      <c r="H68" s="7">
        <v>4.3</v>
      </c>
      <c r="I68" s="5">
        <f t="shared" si="3"/>
        <v>5.2863436123348064</v>
      </c>
      <c r="J68" s="4">
        <f t="shared" si="4"/>
        <v>5027.662723299456</v>
      </c>
      <c r="K68" s="2">
        <v>42782</v>
      </c>
      <c r="L68" s="7">
        <v>4.3</v>
      </c>
      <c r="M68" s="7">
        <v>1.72</v>
      </c>
      <c r="N68" s="7">
        <v>2.2000000000000002</v>
      </c>
      <c r="O68" s="6">
        <f t="shared" si="5"/>
        <v>0.4</v>
      </c>
      <c r="P68" s="6">
        <f t="shared" si="6"/>
        <v>0.51162790697674421</v>
      </c>
      <c r="Q68" s="6">
        <f t="shared" si="7"/>
        <v>8.8372093023255771E-2</v>
      </c>
      <c r="R68" s="4">
        <f t="shared" si="8"/>
        <v>2123.3105826771657</v>
      </c>
      <c r="S68" s="4">
        <f t="shared" si="9"/>
        <v>2715.8623731917237</v>
      </c>
      <c r="T68" s="4">
        <f t="shared" si="10"/>
        <v>4839.1729558688894</v>
      </c>
      <c r="U68" s="4">
        <f t="shared" si="11"/>
        <v>2011.0650893197826</v>
      </c>
      <c r="V68" s="4">
        <f t="shared" si="12"/>
        <v>2572.2925561066986</v>
      </c>
      <c r="W68" s="4">
        <f t="shared" si="13"/>
        <v>4583.3576454264812</v>
      </c>
      <c r="X68" s="10"/>
      <c r="Y68" s="12"/>
      <c r="Z68" s="5"/>
      <c r="AA68" s="4"/>
      <c r="AB68" s="4"/>
      <c r="AC68" s="4"/>
      <c r="AD68" s="4"/>
      <c r="AF68" t="s">
        <v>264</v>
      </c>
      <c r="AG68" t="str">
        <f>C68</f>
        <v>Machine</v>
      </c>
      <c r="AH68" s="8">
        <f>D68</f>
        <v>42675</v>
      </c>
      <c r="AI68" s="3">
        <f>SUM(E68:E70)</f>
        <v>72.7</v>
      </c>
      <c r="AJ68" s="3">
        <f>(AI68-3*$A$33)*$A$34/(3*$A$35)*$A$36</f>
        <v>5324.6462467191604</v>
      </c>
      <c r="AK68" s="7">
        <f>SUM(G68:G70)</f>
        <v>13.52</v>
      </c>
      <c r="AL68" s="7">
        <f>SUM(H68:H70)</f>
        <v>12.84</v>
      </c>
      <c r="AM68" s="7">
        <f>(AK68-AL68)/AK68*100</f>
        <v>5.0295857988165658</v>
      </c>
      <c r="AN68" s="3">
        <f>AJ68*(1-AM68/100)</f>
        <v>5056.8385952569542</v>
      </c>
      <c r="AO68" s="11">
        <f>K68</f>
        <v>42782</v>
      </c>
      <c r="AP68" s="7">
        <f>SUM(L68:L70)</f>
        <v>12.84</v>
      </c>
      <c r="AQ68" s="7">
        <f t="shared" ref="AQ68" si="63">SUM(M68:M70)</f>
        <v>5.16</v>
      </c>
      <c r="AR68" s="7">
        <f t="shared" ref="AR68" si="64">SUM(N68:N70)</f>
        <v>6.68</v>
      </c>
      <c r="AS68" s="9">
        <f>AQ68/AP68</f>
        <v>0.40186915887850466</v>
      </c>
      <c r="AT68" s="9">
        <f>AR68/AP68</f>
        <v>0.52024922118380057</v>
      </c>
      <c r="AU68" s="9">
        <f>1-AS68-AT68</f>
        <v>7.7881619937694824E-2</v>
      </c>
      <c r="AV68" s="3">
        <f>AJ68*AS68</f>
        <v>2139.8111084946158</v>
      </c>
      <c r="AW68" s="3">
        <f>AJ68*AT68</f>
        <v>2770.1430629348902</v>
      </c>
      <c r="AX68" s="3">
        <f>AV68+AW68</f>
        <v>4909.9541714295065</v>
      </c>
      <c r="AY68" s="3">
        <f>AN68*AS68</f>
        <v>2032.1874728602713</v>
      </c>
      <c r="AZ68" s="3">
        <f>AN68*AT68</f>
        <v>2630.8163408346145</v>
      </c>
      <c r="BA68" s="3">
        <f>AY68+AZ68</f>
        <v>4663.003813694886</v>
      </c>
      <c r="BB68" s="11">
        <f>X69</f>
        <v>42901</v>
      </c>
      <c r="BC68" s="13">
        <f>AVERAGE(Y68:Y70)</f>
        <v>46</v>
      </c>
      <c r="BD68" s="7">
        <f t="shared" ref="BD68" si="65">AVERAGE(Z68:Z70)</f>
        <v>1.1299999999999999</v>
      </c>
      <c r="BE68" s="3">
        <f t="shared" ref="BE68" si="66">AVERAGE(AA68:AA70)</f>
        <v>81.5</v>
      </c>
      <c r="BF68" s="3">
        <f t="shared" ref="BF68" si="67">AVERAGE(AB68:AB70)</f>
        <v>32</v>
      </c>
      <c r="BG68" s="3">
        <f t="shared" ref="BG68" si="68">AVERAGE(AC68:AC70)</f>
        <v>5.7</v>
      </c>
      <c r="BH68" s="3">
        <f t="shared" ref="BH68" si="69">AVERAGE(AD68:AD70)</f>
        <v>9.6</v>
      </c>
    </row>
    <row r="69" spans="1:60" x14ac:dyDescent="0.3">
      <c r="A69">
        <v>26</v>
      </c>
      <c r="B69" s="1" t="s">
        <v>71</v>
      </c>
      <c r="C69" s="1" t="s">
        <v>30</v>
      </c>
      <c r="D69" s="2">
        <v>42675</v>
      </c>
      <c r="E69" s="3">
        <v>26.2</v>
      </c>
      <c r="F69" s="4">
        <f t="shared" si="2"/>
        <v>5763.6542519685045</v>
      </c>
      <c r="G69" s="7">
        <v>4.6400000000000006</v>
      </c>
      <c r="H69" s="7">
        <v>4.42</v>
      </c>
      <c r="I69" s="5">
        <f t="shared" si="3"/>
        <v>4.7413793103448407</v>
      </c>
      <c r="J69" s="4">
        <f t="shared" si="4"/>
        <v>5490.3775417458592</v>
      </c>
      <c r="K69" s="2">
        <v>42782</v>
      </c>
      <c r="L69" s="7">
        <v>4.42</v>
      </c>
      <c r="M69" s="7">
        <v>1.8</v>
      </c>
      <c r="N69" s="7">
        <v>2.3199999999999998</v>
      </c>
      <c r="O69" s="6">
        <f t="shared" si="5"/>
        <v>0.40723981900452488</v>
      </c>
      <c r="P69" s="6">
        <f t="shared" si="6"/>
        <v>0.52488687782805432</v>
      </c>
      <c r="Q69" s="6">
        <f t="shared" si="7"/>
        <v>6.7873303167420795E-2</v>
      </c>
      <c r="R69" s="4">
        <f t="shared" si="8"/>
        <v>2347.189514376314</v>
      </c>
      <c r="S69" s="4">
        <f t="shared" si="9"/>
        <v>3025.2664851961381</v>
      </c>
      <c r="T69" s="4">
        <f t="shared" si="10"/>
        <v>5372.4559995724521</v>
      </c>
      <c r="U69" s="4">
        <f t="shared" si="11"/>
        <v>2235.9003563670922</v>
      </c>
      <c r="V69" s="4">
        <f t="shared" si="12"/>
        <v>2881.8271259842518</v>
      </c>
      <c r="W69" s="4">
        <f t="shared" si="13"/>
        <v>5117.7274823513435</v>
      </c>
      <c r="X69" s="10">
        <v>42901</v>
      </c>
      <c r="Y69" s="12">
        <v>46</v>
      </c>
      <c r="Z69" s="5">
        <v>1.1299999999999999</v>
      </c>
      <c r="AA69" s="4">
        <v>81.5</v>
      </c>
      <c r="AB69" s="4">
        <v>32</v>
      </c>
      <c r="AC69" s="4">
        <v>5.7</v>
      </c>
      <c r="AD69" s="4">
        <v>9.6</v>
      </c>
      <c r="AI69" s="3"/>
      <c r="AJ69" s="3"/>
      <c r="AK69" s="7"/>
      <c r="AL69" s="7"/>
      <c r="AM69" s="7"/>
      <c r="AN69" s="3"/>
      <c r="AO69" s="3"/>
      <c r="AP69" s="7"/>
      <c r="AQ69" s="7"/>
      <c r="AR69" s="7"/>
      <c r="AS69" s="9"/>
      <c r="AT69" s="9"/>
      <c r="AU69" s="9"/>
      <c r="AV69" s="3"/>
      <c r="AW69" s="3"/>
      <c r="AX69" s="3"/>
      <c r="AY69" s="3"/>
      <c r="AZ69" s="3"/>
      <c r="BA69" s="3"/>
      <c r="BC69" s="13"/>
      <c r="BD69" s="7"/>
      <c r="BE69" s="3"/>
      <c r="BF69" s="3"/>
      <c r="BG69" s="3"/>
      <c r="BH69" s="3"/>
    </row>
    <row r="70" spans="1:60" x14ac:dyDescent="0.3">
      <c r="A70">
        <v>27</v>
      </c>
      <c r="B70" s="1" t="s">
        <v>72</v>
      </c>
      <c r="C70" s="1" t="s">
        <v>30</v>
      </c>
      <c r="D70" s="2">
        <v>42675</v>
      </c>
      <c r="E70" s="3">
        <v>22.34</v>
      </c>
      <c r="F70" s="4">
        <f t="shared" si="2"/>
        <v>4902.0080314960633</v>
      </c>
      <c r="G70" s="7">
        <v>4.3400000000000007</v>
      </c>
      <c r="H70" s="7">
        <v>4.12</v>
      </c>
      <c r="I70" s="5">
        <f t="shared" si="3"/>
        <v>5.0691244239631477</v>
      </c>
      <c r="J70" s="4">
        <f t="shared" si="4"/>
        <v>4653.5191451068613</v>
      </c>
      <c r="K70" s="2">
        <v>42782</v>
      </c>
      <c r="L70" s="7">
        <v>4.12</v>
      </c>
      <c r="M70" s="7">
        <v>1.64</v>
      </c>
      <c r="N70" s="7">
        <v>2.16</v>
      </c>
      <c r="O70" s="6">
        <f t="shared" si="5"/>
        <v>0.39805825242718446</v>
      </c>
      <c r="P70" s="6">
        <f t="shared" si="6"/>
        <v>0.52427184466019416</v>
      </c>
      <c r="Q70" s="6">
        <f t="shared" si="7"/>
        <v>7.7669902912621325E-2</v>
      </c>
      <c r="R70" s="4">
        <f t="shared" si="8"/>
        <v>1951.2847504013455</v>
      </c>
      <c r="S70" s="4">
        <f t="shared" si="9"/>
        <v>2569.9847932115281</v>
      </c>
      <c r="T70" s="4">
        <f t="shared" si="10"/>
        <v>4521.2695436128733</v>
      </c>
      <c r="U70" s="4">
        <f t="shared" si="11"/>
        <v>1852.3716985376825</v>
      </c>
      <c r="V70" s="4">
        <f t="shared" si="12"/>
        <v>2439.7090663667041</v>
      </c>
      <c r="W70" s="4">
        <f t="shared" si="13"/>
        <v>4292.0807649043863</v>
      </c>
      <c r="X70" s="10"/>
      <c r="Y70" s="12"/>
      <c r="Z70" s="5"/>
      <c r="AA70" s="4"/>
      <c r="AB70" s="4"/>
      <c r="AC70" s="4"/>
      <c r="AD70" s="4"/>
      <c r="AI70" s="3"/>
      <c r="AJ70" s="3"/>
      <c r="AK70" s="7"/>
      <c r="AL70" s="7"/>
      <c r="AM70" s="7"/>
      <c r="AN70" s="3"/>
      <c r="AO70" s="3"/>
      <c r="AP70" s="7"/>
      <c r="AQ70" s="7"/>
      <c r="AR70" s="7"/>
      <c r="AS70" s="9"/>
      <c r="AT70" s="9"/>
      <c r="AU70" s="9"/>
      <c r="AV70" s="3"/>
      <c r="AW70" s="3"/>
      <c r="AX70" s="3"/>
      <c r="AY70" s="3"/>
      <c r="AZ70" s="3"/>
      <c r="BA70" s="3"/>
      <c r="BC70" s="13"/>
      <c r="BD70" s="7"/>
      <c r="BE70" s="3"/>
      <c r="BF70" s="3"/>
      <c r="BG70" s="3"/>
      <c r="BH70" s="3"/>
    </row>
    <row r="71" spans="1:60" x14ac:dyDescent="0.3">
      <c r="A71">
        <v>28</v>
      </c>
      <c r="B71" s="1" t="s">
        <v>73</v>
      </c>
      <c r="C71" s="1" t="s">
        <v>30</v>
      </c>
      <c r="D71" s="2">
        <v>42675</v>
      </c>
      <c r="E71" s="3">
        <v>25.18</v>
      </c>
      <c r="F71" s="4">
        <f t="shared" si="2"/>
        <v>5535.9653543307086</v>
      </c>
      <c r="G71" s="7">
        <v>4.4000000000000004</v>
      </c>
      <c r="H71" s="7">
        <v>4.2</v>
      </c>
      <c r="I71" s="5">
        <f t="shared" si="3"/>
        <v>4.5454545454545494</v>
      </c>
      <c r="J71" s="4">
        <f t="shared" si="4"/>
        <v>5284.3305654974938</v>
      </c>
      <c r="K71" s="2">
        <v>42782</v>
      </c>
      <c r="L71" s="7">
        <v>4.2</v>
      </c>
      <c r="M71" s="7">
        <v>1.74</v>
      </c>
      <c r="N71" s="7">
        <v>2.2000000000000002</v>
      </c>
      <c r="O71" s="6">
        <f t="shared" si="5"/>
        <v>0.41428571428571426</v>
      </c>
      <c r="P71" s="6">
        <f t="shared" si="6"/>
        <v>0.52380952380952384</v>
      </c>
      <c r="Q71" s="6">
        <f t="shared" si="7"/>
        <v>6.1904761904761907E-2</v>
      </c>
      <c r="R71" s="4">
        <f t="shared" si="8"/>
        <v>2293.4713610798649</v>
      </c>
      <c r="S71" s="4">
        <f t="shared" si="9"/>
        <v>2899.7913760779902</v>
      </c>
      <c r="T71" s="4">
        <f t="shared" si="10"/>
        <v>5193.2627371578546</v>
      </c>
      <c r="U71" s="4">
        <f t="shared" si="11"/>
        <v>2189.2226628489616</v>
      </c>
      <c r="V71" s="4">
        <f t="shared" si="12"/>
        <v>2767.9826771653538</v>
      </c>
      <c r="W71" s="4">
        <f t="shared" si="13"/>
        <v>4957.2053400143159</v>
      </c>
      <c r="X71" s="10"/>
      <c r="Y71" s="12"/>
      <c r="Z71" s="5"/>
      <c r="AA71" s="4"/>
      <c r="AB71" s="4"/>
      <c r="AC71" s="4"/>
      <c r="AD71" s="4"/>
      <c r="AF71" t="s">
        <v>265</v>
      </c>
      <c r="AG71" t="s">
        <v>30</v>
      </c>
      <c r="AH71" s="8">
        <f>D71</f>
        <v>42675</v>
      </c>
      <c r="AI71" s="3">
        <f>SUM(E71:E73)</f>
        <v>69.539999999999992</v>
      </c>
      <c r="AJ71" s="3">
        <f>(AI71-3*$A$33)*$A$34/(3*$A$35)*$A$36</f>
        <v>5089.5165354330693</v>
      </c>
      <c r="AK71" s="7">
        <f>SUM(G71:G73)</f>
        <v>12.920000000000002</v>
      </c>
      <c r="AL71" s="7">
        <f>SUM(H71:H73)</f>
        <v>12.32</v>
      </c>
      <c r="AM71" s="7">
        <f>(AK71-AL71)/AK71*100</f>
        <v>4.6439628482972246</v>
      </c>
      <c r="AN71" s="3">
        <f>AJ71*(1-AM71/100)</f>
        <v>4853.1612783696137</v>
      </c>
      <c r="AO71" s="11">
        <f>K71</f>
        <v>42782</v>
      </c>
      <c r="AP71" s="7">
        <f>SUM(L71:L73)</f>
        <v>12.32</v>
      </c>
      <c r="AQ71" s="7">
        <f t="shared" ref="AQ71" si="70">SUM(M71:M73)</f>
        <v>5.1000000000000005</v>
      </c>
      <c r="AR71" s="7">
        <f t="shared" ref="AR71" si="71">SUM(N71:N73)</f>
        <v>6.3800000000000008</v>
      </c>
      <c r="AS71" s="9">
        <f>AQ71/AP71</f>
        <v>0.41396103896103897</v>
      </c>
      <c r="AT71" s="9">
        <f>AR71/AP71</f>
        <v>0.5178571428571429</v>
      </c>
      <c r="AU71" s="9">
        <f>1-AS71-AT71</f>
        <v>6.8181818181818121E-2</v>
      </c>
      <c r="AV71" s="3">
        <f>AJ71*AS71</f>
        <v>2106.8615528172609</v>
      </c>
      <c r="AW71" s="3">
        <f>AJ71*AT71</f>
        <v>2635.6424915635539</v>
      </c>
      <c r="AX71" s="3">
        <f>AV71+AW71</f>
        <v>4742.5040443808148</v>
      </c>
      <c r="AY71" s="3">
        <f>AN71*AS71</f>
        <v>2009.0196850393693</v>
      </c>
      <c r="AZ71" s="3">
        <f>AN71*AT71</f>
        <v>2513.2442334414072</v>
      </c>
      <c r="BA71" s="3">
        <f>AY71+AZ71</f>
        <v>4522.2639184807767</v>
      </c>
      <c r="BB71" s="11">
        <f>X72</f>
        <v>42901</v>
      </c>
      <c r="BC71" s="13">
        <f>AVERAGE(Y71:Y73)</f>
        <v>44</v>
      </c>
      <c r="BD71" s="7">
        <f t="shared" ref="BD71" si="72">AVERAGE(Z71:Z73)</f>
        <v>1.17</v>
      </c>
      <c r="BE71" s="3">
        <f t="shared" ref="BE71" si="73">AVERAGE(AA71:AA73)</f>
        <v>83.3</v>
      </c>
      <c r="BF71" s="3">
        <f t="shared" ref="BF71" si="74">AVERAGE(AB71:AB73)</f>
        <v>32.1</v>
      </c>
      <c r="BG71" s="3">
        <f t="shared" ref="BG71" si="75">AVERAGE(AC71:AC73)</f>
        <v>5</v>
      </c>
      <c r="BH71" s="3">
        <f t="shared" ref="BH71" si="76">AVERAGE(AD71:AD73)</f>
        <v>8.5</v>
      </c>
    </row>
    <row r="72" spans="1:60" x14ac:dyDescent="0.3">
      <c r="A72">
        <v>29</v>
      </c>
      <c r="B72" s="1" t="s">
        <v>74</v>
      </c>
      <c r="C72" s="1" t="s">
        <v>30</v>
      </c>
      <c r="D72" s="2">
        <v>42675</v>
      </c>
      <c r="E72" s="3">
        <v>22.78</v>
      </c>
      <c r="F72" s="4">
        <f t="shared" si="2"/>
        <v>5000.2267716535443</v>
      </c>
      <c r="G72" s="7">
        <v>4.1400000000000006</v>
      </c>
      <c r="H72" s="7">
        <v>3.94</v>
      </c>
      <c r="I72" s="5">
        <f t="shared" si="3"/>
        <v>4.8309178743961496</v>
      </c>
      <c r="J72" s="4">
        <f t="shared" si="4"/>
        <v>4758.6699227813915</v>
      </c>
      <c r="K72" s="2">
        <v>42782</v>
      </c>
      <c r="L72" s="7">
        <v>3.94</v>
      </c>
      <c r="M72" s="7">
        <v>1.62</v>
      </c>
      <c r="N72" s="7">
        <v>2.04</v>
      </c>
      <c r="O72" s="6">
        <f t="shared" si="5"/>
        <v>0.41116751269035534</v>
      </c>
      <c r="P72" s="6">
        <f t="shared" si="6"/>
        <v>0.51776649746192893</v>
      </c>
      <c r="Q72" s="6">
        <f t="shared" si="7"/>
        <v>7.1065989847715727E-2</v>
      </c>
      <c r="R72" s="4">
        <f t="shared" si="8"/>
        <v>2055.9308045885132</v>
      </c>
      <c r="S72" s="4">
        <f t="shared" si="9"/>
        <v>2588.9499020744238</v>
      </c>
      <c r="T72" s="4">
        <f t="shared" si="10"/>
        <v>4644.880706662937</v>
      </c>
      <c r="U72" s="4">
        <f t="shared" si="11"/>
        <v>1956.6104758644301</v>
      </c>
      <c r="V72" s="4">
        <f t="shared" si="12"/>
        <v>2463.8798584959491</v>
      </c>
      <c r="W72" s="4">
        <f t="shared" si="13"/>
        <v>4420.4903343603792</v>
      </c>
      <c r="X72" s="10">
        <v>42901</v>
      </c>
      <c r="Y72" s="12">
        <v>44</v>
      </c>
      <c r="Z72" s="5">
        <v>1.17</v>
      </c>
      <c r="AA72" s="4">
        <v>83.3</v>
      </c>
      <c r="AB72" s="4">
        <v>32.1</v>
      </c>
      <c r="AC72" s="4">
        <v>5</v>
      </c>
      <c r="AD72" s="4">
        <v>8.5</v>
      </c>
      <c r="AI72" s="3"/>
      <c r="AJ72" s="3"/>
      <c r="AK72" s="7"/>
      <c r="AL72" s="7"/>
      <c r="AM72" s="7"/>
      <c r="AN72" s="3"/>
      <c r="AO72" s="3"/>
      <c r="AP72" s="7"/>
      <c r="AQ72" s="7"/>
      <c r="AR72" s="7"/>
      <c r="AS72" s="9"/>
      <c r="AT72" s="9"/>
      <c r="AU72" s="9"/>
      <c r="AV72" s="3"/>
      <c r="AW72" s="3"/>
      <c r="AX72" s="3"/>
      <c r="AY72" s="3"/>
      <c r="AZ72" s="3"/>
      <c r="BA72" s="3"/>
      <c r="BC72" s="13"/>
      <c r="BD72" s="7"/>
      <c r="BE72" s="3"/>
      <c r="BF72" s="3"/>
      <c r="BG72" s="3"/>
      <c r="BH72" s="3"/>
    </row>
    <row r="73" spans="1:60" x14ac:dyDescent="0.3">
      <c r="A73">
        <v>30</v>
      </c>
      <c r="B73" s="1" t="s">
        <v>75</v>
      </c>
      <c r="C73" s="1" t="s">
        <v>30</v>
      </c>
      <c r="D73" s="2">
        <v>42675</v>
      </c>
      <c r="E73" s="3">
        <v>21.58</v>
      </c>
      <c r="F73" s="4">
        <f t="shared" si="2"/>
        <v>4732.3574803149613</v>
      </c>
      <c r="G73" s="7">
        <v>4.38</v>
      </c>
      <c r="H73" s="7">
        <v>4.18</v>
      </c>
      <c r="I73" s="5">
        <f t="shared" si="3"/>
        <v>4.5662100456621042</v>
      </c>
      <c r="J73" s="4">
        <f t="shared" si="4"/>
        <v>4516.2680976521779</v>
      </c>
      <c r="K73" s="2">
        <v>42782</v>
      </c>
      <c r="L73" s="7">
        <v>4.18</v>
      </c>
      <c r="M73" s="7">
        <v>1.74</v>
      </c>
      <c r="N73" s="7">
        <v>2.14</v>
      </c>
      <c r="O73" s="6">
        <f t="shared" si="5"/>
        <v>0.41626794258373206</v>
      </c>
      <c r="P73" s="6">
        <f t="shared" si="6"/>
        <v>0.5119617224880384</v>
      </c>
      <c r="Q73" s="6">
        <f t="shared" si="7"/>
        <v>7.1770334928229484E-2</v>
      </c>
      <c r="R73" s="4">
        <f t="shared" si="8"/>
        <v>1969.9287119014432</v>
      </c>
      <c r="S73" s="4">
        <f t="shared" si="9"/>
        <v>2422.7858870512009</v>
      </c>
      <c r="T73" s="4">
        <f t="shared" si="10"/>
        <v>4392.7145989526443</v>
      </c>
      <c r="U73" s="4">
        <f t="shared" si="11"/>
        <v>1879.9776291662176</v>
      </c>
      <c r="V73" s="4">
        <f t="shared" si="12"/>
        <v>2312.1563944917852</v>
      </c>
      <c r="W73" s="4">
        <f t="shared" si="13"/>
        <v>4192.1340236580027</v>
      </c>
      <c r="X73" s="10"/>
      <c r="Y73" s="12"/>
      <c r="Z73" s="5"/>
      <c r="AA73" s="4"/>
      <c r="AB73" s="4"/>
      <c r="AC73" s="4"/>
      <c r="AD73" s="4"/>
      <c r="AI73" s="3"/>
      <c r="AJ73" s="3"/>
      <c r="AK73" s="7"/>
      <c r="AL73" s="7"/>
      <c r="AM73" s="7"/>
      <c r="AN73" s="3"/>
      <c r="AO73" s="3"/>
      <c r="AP73" s="7"/>
      <c r="AQ73" s="7"/>
      <c r="AR73" s="7"/>
      <c r="AS73" s="9"/>
      <c r="AT73" s="9"/>
      <c r="AU73" s="9"/>
      <c r="AV73" s="3"/>
      <c r="AW73" s="3"/>
      <c r="AX73" s="3"/>
      <c r="AY73" s="3"/>
      <c r="AZ73" s="3"/>
      <c r="BA73" s="3"/>
      <c r="BC73" s="13"/>
      <c r="BD73" s="7"/>
      <c r="BE73" s="3"/>
      <c r="BF73" s="3"/>
      <c r="BG73" s="3"/>
      <c r="BH73" s="3"/>
    </row>
    <row r="74" spans="1:60" x14ac:dyDescent="0.3">
      <c r="A74">
        <v>31</v>
      </c>
      <c r="B74" s="1" t="s">
        <v>76</v>
      </c>
      <c r="C74" s="1" t="s">
        <v>30</v>
      </c>
      <c r="D74" s="2">
        <v>42675</v>
      </c>
      <c r="E74" s="3">
        <v>17.96</v>
      </c>
      <c r="F74" s="4">
        <f t="shared" si="2"/>
        <v>3924.2851181102369</v>
      </c>
      <c r="G74" s="7">
        <v>4.2600000000000007</v>
      </c>
      <c r="H74" s="7">
        <v>4.04</v>
      </c>
      <c r="I74" s="5">
        <f t="shared" si="3"/>
        <v>5.1643192488263052</v>
      </c>
      <c r="J74" s="4">
        <f t="shared" si="4"/>
        <v>3721.6225063768438</v>
      </c>
      <c r="K74" s="2">
        <v>42782</v>
      </c>
      <c r="L74" s="7">
        <v>4.04</v>
      </c>
      <c r="M74" s="7">
        <v>1.68</v>
      </c>
      <c r="N74" s="7">
        <v>2.14</v>
      </c>
      <c r="O74" s="6">
        <f t="shared" si="5"/>
        <v>0.41584158415841582</v>
      </c>
      <c r="P74" s="6">
        <f t="shared" si="6"/>
        <v>0.52970297029702973</v>
      </c>
      <c r="Q74" s="6">
        <f t="shared" si="7"/>
        <v>5.4455445544554504E-2</v>
      </c>
      <c r="R74" s="4">
        <f t="shared" si="8"/>
        <v>1631.8809402042568</v>
      </c>
      <c r="S74" s="4">
        <f t="shared" si="9"/>
        <v>2078.7054833554225</v>
      </c>
      <c r="T74" s="4">
        <f t="shared" si="10"/>
        <v>3710.5864235596791</v>
      </c>
      <c r="U74" s="4">
        <f t="shared" si="11"/>
        <v>1547.6053986913607</v>
      </c>
      <c r="V74" s="4">
        <f t="shared" si="12"/>
        <v>1971.3544959520907</v>
      </c>
      <c r="W74" s="4">
        <f t="shared" si="13"/>
        <v>3518.9598946434517</v>
      </c>
      <c r="X74" s="10"/>
      <c r="Y74" s="12"/>
      <c r="Z74" s="5"/>
      <c r="AA74" s="4"/>
      <c r="AB74" s="4"/>
      <c r="AC74" s="4"/>
      <c r="AD74" s="4"/>
      <c r="AF74" t="s">
        <v>257</v>
      </c>
      <c r="AG74" t="s">
        <v>30</v>
      </c>
      <c r="AH74" s="8">
        <f>D74</f>
        <v>42675</v>
      </c>
      <c r="AI74" s="3">
        <f>SUM(E74:E76)</f>
        <v>59.08</v>
      </c>
      <c r="AJ74" s="3">
        <f>(AI74-3*$A$33)*$A$34/(3*$A$35)*$A$36</f>
        <v>4311.2074278215214</v>
      </c>
      <c r="AK74" s="7">
        <f>SUM(G74:G76)</f>
        <v>12.700000000000001</v>
      </c>
      <c r="AL74" s="7">
        <f>SUM(H74:H76)</f>
        <v>12.04</v>
      </c>
      <c r="AM74" s="7">
        <f>(AK74-AL74)/AK74*100</f>
        <v>5.1968503937008022</v>
      </c>
      <c r="AN74" s="3">
        <f>AJ74*(1-AM74/100)</f>
        <v>4087.1604276355206</v>
      </c>
      <c r="AO74" s="11">
        <f>K74</f>
        <v>42782</v>
      </c>
      <c r="AP74" s="7">
        <f>SUM(L74:L76)</f>
        <v>12.04</v>
      </c>
      <c r="AQ74" s="7">
        <f t="shared" ref="AQ74" si="77">SUM(M74:M76)</f>
        <v>5</v>
      </c>
      <c r="AR74" s="7">
        <f t="shared" ref="AR74" si="78">SUM(N74:N76)</f>
        <v>6.3000000000000007</v>
      </c>
      <c r="AS74" s="9">
        <f>AQ74/AP74</f>
        <v>0.41528239202657813</v>
      </c>
      <c r="AT74" s="9">
        <f>AR74/AP74</f>
        <v>0.52325581395348841</v>
      </c>
      <c r="AU74" s="9">
        <f>1-AS74-AT74</f>
        <v>6.1461794019933458E-2</v>
      </c>
      <c r="AV74" s="3">
        <f>AJ74*AS74</f>
        <v>1790.3685331484726</v>
      </c>
      <c r="AW74" s="3">
        <f>AJ74*AT74</f>
        <v>2255.8643517670753</v>
      </c>
      <c r="AX74" s="3">
        <f>AV74+AW74</f>
        <v>4046.2328849155479</v>
      </c>
      <c r="AY74" s="3">
        <f>AN74*AS74</f>
        <v>1697.3257589848511</v>
      </c>
      <c r="AZ74" s="3">
        <f>AN74*AT74</f>
        <v>2138.6304563209119</v>
      </c>
      <c r="BA74" s="3">
        <f>AY74+AZ74</f>
        <v>3835.9562153057632</v>
      </c>
      <c r="BB74" s="11">
        <f>X75</f>
        <v>42901</v>
      </c>
      <c r="BC74" s="13">
        <f>AVERAGE(Y74:Y76)</f>
        <v>47</v>
      </c>
      <c r="BD74" s="7">
        <f t="shared" ref="BD74" si="79">AVERAGE(Z74:Z76)</f>
        <v>1.1399999999999999</v>
      </c>
      <c r="BE74" s="3">
        <f t="shared" ref="BE74" si="80">AVERAGE(AA74:AA76)</f>
        <v>83</v>
      </c>
      <c r="BF74" s="3">
        <f t="shared" ref="BF74" si="81">AVERAGE(AB74:AB76)</f>
        <v>31.4</v>
      </c>
      <c r="BG74" s="3">
        <f t="shared" ref="BG74" si="82">AVERAGE(AC74:AC76)</f>
        <v>5.3</v>
      </c>
      <c r="BH74" s="3">
        <f t="shared" ref="BH74" si="83">AVERAGE(AD74:AD76)</f>
        <v>8.6999999999999993</v>
      </c>
    </row>
    <row r="75" spans="1:60" x14ac:dyDescent="0.3">
      <c r="A75">
        <v>32</v>
      </c>
      <c r="B75" s="1" t="s">
        <v>77</v>
      </c>
      <c r="C75" s="1" t="s">
        <v>30</v>
      </c>
      <c r="D75" s="2">
        <v>42675</v>
      </c>
      <c r="E75" s="3">
        <v>19.82</v>
      </c>
      <c r="F75" s="4">
        <f t="shared" si="2"/>
        <v>4339.4825196850397</v>
      </c>
      <c r="G75" s="7">
        <v>4.38</v>
      </c>
      <c r="H75" s="7">
        <v>4.16</v>
      </c>
      <c r="I75" s="5">
        <f t="shared" si="3"/>
        <v>5.0228310502283051</v>
      </c>
      <c r="J75" s="4">
        <f t="shared" si="4"/>
        <v>4121.51764426707</v>
      </c>
      <c r="K75" s="2">
        <v>42782</v>
      </c>
      <c r="L75" s="7">
        <v>4.16</v>
      </c>
      <c r="M75" s="7">
        <v>1.72</v>
      </c>
      <c r="N75" s="7">
        <v>2.16</v>
      </c>
      <c r="O75" s="6">
        <f t="shared" si="5"/>
        <v>0.41346153846153844</v>
      </c>
      <c r="P75" s="6">
        <f t="shared" si="6"/>
        <v>0.51923076923076927</v>
      </c>
      <c r="Q75" s="6">
        <f t="shared" si="7"/>
        <v>6.7307692307692291E-2</v>
      </c>
      <c r="R75" s="4">
        <f t="shared" si="8"/>
        <v>1794.2091187159299</v>
      </c>
      <c r="S75" s="4">
        <f t="shared" si="9"/>
        <v>2253.1928467595399</v>
      </c>
      <c r="T75" s="4">
        <f t="shared" si="10"/>
        <v>4047.4019654754698</v>
      </c>
      <c r="U75" s="4">
        <f t="shared" si="11"/>
        <v>1704.0890259950384</v>
      </c>
      <c r="V75" s="4">
        <f t="shared" si="12"/>
        <v>2140.0187768309788</v>
      </c>
      <c r="W75" s="4">
        <f t="shared" si="13"/>
        <v>3844.1078028260172</v>
      </c>
      <c r="X75" s="10">
        <v>42901</v>
      </c>
      <c r="Y75" s="12">
        <v>47</v>
      </c>
      <c r="Z75" s="5">
        <v>1.1399999999999999</v>
      </c>
      <c r="AA75" s="4">
        <v>83</v>
      </c>
      <c r="AB75" s="4">
        <v>31.4</v>
      </c>
      <c r="AC75" s="4">
        <v>5.3</v>
      </c>
      <c r="AD75" s="4">
        <v>8.6999999999999993</v>
      </c>
      <c r="AI75" s="3"/>
      <c r="AJ75" s="3"/>
      <c r="AK75" s="7"/>
      <c r="AL75" s="7"/>
      <c r="AM75" s="7"/>
      <c r="AN75" s="3"/>
      <c r="AO75" s="3"/>
      <c r="AP75" s="7"/>
      <c r="AQ75" s="7"/>
      <c r="AR75" s="7"/>
      <c r="AS75" s="9"/>
      <c r="AT75" s="9"/>
      <c r="AU75" s="9"/>
      <c r="AV75" s="3"/>
      <c r="AW75" s="3"/>
      <c r="AX75" s="3"/>
      <c r="AY75" s="3"/>
      <c r="AZ75" s="3"/>
      <c r="BA75" s="3"/>
      <c r="BC75" s="13"/>
      <c r="BD75" s="7"/>
      <c r="BE75" s="3"/>
      <c r="BF75" s="3"/>
      <c r="BG75" s="3"/>
      <c r="BH75" s="3"/>
    </row>
    <row r="76" spans="1:60" x14ac:dyDescent="0.3">
      <c r="A76">
        <v>33</v>
      </c>
      <c r="B76" s="1" t="s">
        <v>78</v>
      </c>
      <c r="C76" s="1" t="s">
        <v>30</v>
      </c>
      <c r="D76" s="2">
        <v>42675</v>
      </c>
      <c r="E76" s="3">
        <v>21.3</v>
      </c>
      <c r="F76" s="4">
        <f t="shared" si="2"/>
        <v>4669.854645669292</v>
      </c>
      <c r="G76" s="7">
        <v>4.0600000000000005</v>
      </c>
      <c r="H76" s="7">
        <v>3.84</v>
      </c>
      <c r="I76" s="5">
        <f t="shared" si="3"/>
        <v>5.4187192118226752</v>
      </c>
      <c r="J76" s="4">
        <f t="shared" si="4"/>
        <v>4416.8083348202163</v>
      </c>
      <c r="K76" s="2">
        <v>42793</v>
      </c>
      <c r="L76" s="7">
        <v>3.84</v>
      </c>
      <c r="M76" s="7">
        <v>1.6</v>
      </c>
      <c r="N76" s="7">
        <v>2</v>
      </c>
      <c r="O76" s="6">
        <f t="shared" si="5"/>
        <v>0.41666666666666669</v>
      </c>
      <c r="P76" s="6">
        <f t="shared" si="6"/>
        <v>0.52083333333333337</v>
      </c>
      <c r="Q76" s="6">
        <f t="shared" si="7"/>
        <v>6.2499999999999889E-2</v>
      </c>
      <c r="R76" s="4">
        <f t="shared" si="8"/>
        <v>1945.7727690288718</v>
      </c>
      <c r="S76" s="4">
        <f t="shared" si="9"/>
        <v>2432.2159612860896</v>
      </c>
      <c r="T76" s="4">
        <f t="shared" si="10"/>
        <v>4377.9887303149617</v>
      </c>
      <c r="U76" s="4">
        <f t="shared" si="11"/>
        <v>1840.3368061750903</v>
      </c>
      <c r="V76" s="4">
        <f t="shared" si="12"/>
        <v>2300.4210077188627</v>
      </c>
      <c r="W76" s="4">
        <f t="shared" si="13"/>
        <v>4140.7578138939534</v>
      </c>
      <c r="X76" s="10"/>
      <c r="Y76" s="12"/>
      <c r="Z76" s="5"/>
      <c r="AA76" s="4"/>
      <c r="AB76" s="4"/>
      <c r="AC76" s="4"/>
      <c r="AD76" s="4"/>
      <c r="AI76" s="3"/>
      <c r="AJ76" s="3"/>
      <c r="AK76" s="7"/>
      <c r="AL76" s="7"/>
      <c r="AM76" s="7"/>
      <c r="AN76" s="3"/>
      <c r="AO76" s="3"/>
      <c r="AP76" s="7"/>
      <c r="AQ76" s="7"/>
      <c r="AR76" s="7"/>
      <c r="AS76" s="9"/>
      <c r="AT76" s="9"/>
      <c r="AU76" s="9"/>
      <c r="AV76" s="3"/>
      <c r="AW76" s="3"/>
      <c r="AX76" s="3"/>
      <c r="AY76" s="3"/>
      <c r="AZ76" s="3"/>
      <c r="BA76" s="3"/>
      <c r="BC76" s="13"/>
      <c r="BD76" s="7"/>
      <c r="BE76" s="3"/>
      <c r="BF76" s="3"/>
      <c r="BG76" s="3"/>
      <c r="BH76" s="3"/>
    </row>
    <row r="77" spans="1:60" x14ac:dyDescent="0.3">
      <c r="A77">
        <v>34</v>
      </c>
      <c r="B77" s="1" t="s">
        <v>79</v>
      </c>
      <c r="C77" s="1" t="s">
        <v>30</v>
      </c>
      <c r="D77" s="2">
        <v>42675</v>
      </c>
      <c r="E77" s="3">
        <v>22.62</v>
      </c>
      <c r="F77" s="4">
        <f t="shared" si="2"/>
        <v>4964.5108661417325</v>
      </c>
      <c r="G77" s="7">
        <v>4.3000000000000007</v>
      </c>
      <c r="H77" s="7">
        <v>4.08</v>
      </c>
      <c r="I77" s="5">
        <f t="shared" si="3"/>
        <v>5.1162790697674554</v>
      </c>
      <c r="J77" s="4">
        <f t="shared" si="4"/>
        <v>4710.5126357809922</v>
      </c>
      <c r="K77" s="2">
        <v>42782</v>
      </c>
      <c r="L77" s="7">
        <v>4.08</v>
      </c>
      <c r="M77" s="7">
        <v>1.72</v>
      </c>
      <c r="N77" s="7">
        <v>2.1</v>
      </c>
      <c r="O77" s="6">
        <f t="shared" si="5"/>
        <v>0.42156862745098039</v>
      </c>
      <c r="P77" s="6">
        <f t="shared" si="6"/>
        <v>0.51470588235294124</v>
      </c>
      <c r="Q77" s="6">
        <f t="shared" si="7"/>
        <v>6.3725490196078316E-2</v>
      </c>
      <c r="R77" s="4">
        <f t="shared" si="8"/>
        <v>2092.8820318048479</v>
      </c>
      <c r="S77" s="4">
        <f t="shared" si="9"/>
        <v>2555.2629458082451</v>
      </c>
      <c r="T77" s="4">
        <f t="shared" si="10"/>
        <v>4648.144977613093</v>
      </c>
      <c r="U77" s="4">
        <f t="shared" si="11"/>
        <v>1985.8043464566929</v>
      </c>
      <c r="V77" s="4">
        <f t="shared" si="12"/>
        <v>2424.5285625343345</v>
      </c>
      <c r="W77" s="4">
        <f t="shared" si="13"/>
        <v>4410.3329089910276</v>
      </c>
      <c r="X77" s="10"/>
      <c r="Y77" s="12"/>
      <c r="Z77" s="5"/>
      <c r="AA77" s="4"/>
      <c r="AB77" s="4"/>
      <c r="AC77" s="4"/>
      <c r="AD77" s="4"/>
      <c r="AF77" t="s">
        <v>266</v>
      </c>
      <c r="AG77" t="s">
        <v>30</v>
      </c>
      <c r="AH77" s="8">
        <f>D77</f>
        <v>42675</v>
      </c>
      <c r="AI77" s="3">
        <f>SUM(E77:E79)</f>
        <v>64.38</v>
      </c>
      <c r="AJ77" s="3">
        <f>(AI77-3*$A$33)*$A$34/(3*$A$35)*$A$36</f>
        <v>4705.570551181102</v>
      </c>
      <c r="AK77" s="7">
        <f>SUM(G77:G79)</f>
        <v>12.360000000000001</v>
      </c>
      <c r="AL77" s="7">
        <f>SUM(H77:H79)</f>
        <v>11.74</v>
      </c>
      <c r="AM77" s="7">
        <f>(AK77-AL77)/AK77*100</f>
        <v>5.0161812297734709</v>
      </c>
      <c r="AN77" s="3">
        <f>AJ77*(1-AM77/100)</f>
        <v>4469.5306044390072</v>
      </c>
      <c r="AO77" s="11">
        <f>K77</f>
        <v>42782</v>
      </c>
      <c r="AP77" s="7">
        <f>SUM(L77:L79)</f>
        <v>11.74</v>
      </c>
      <c r="AQ77" s="7">
        <f t="shared" ref="AQ77" si="84">SUM(M77:M79)</f>
        <v>4.96</v>
      </c>
      <c r="AR77" s="7">
        <f t="shared" ref="AR77" si="85">SUM(N77:N79)</f>
        <v>6</v>
      </c>
      <c r="AS77" s="9">
        <f>AQ77/AP77</f>
        <v>0.42248722316865417</v>
      </c>
      <c r="AT77" s="9">
        <f>AR77/AP77</f>
        <v>0.51107325383304936</v>
      </c>
      <c r="AU77" s="9">
        <f>1-AS77-AT77</f>
        <v>6.6439522998296474E-2</v>
      </c>
      <c r="AV77" s="3">
        <f>AJ77*AS77</f>
        <v>1988.0434355926973</v>
      </c>
      <c r="AW77" s="3">
        <f>AJ77*AT77</f>
        <v>2404.8912527331013</v>
      </c>
      <c r="AX77" s="3">
        <f>AV77+AW77</f>
        <v>4392.9346883257986</v>
      </c>
      <c r="AY77" s="3">
        <f>AN77*AS77</f>
        <v>1888.3195739367527</v>
      </c>
      <c r="AZ77" s="3">
        <f>AN77*AT77</f>
        <v>2284.2575491170392</v>
      </c>
      <c r="BA77" s="3">
        <f>AY77+AZ77</f>
        <v>4172.5771230537921</v>
      </c>
      <c r="BB77" s="11">
        <f>X78</f>
        <v>42901</v>
      </c>
      <c r="BC77" s="13">
        <f>AVERAGE(Y77:Y79)</f>
        <v>48</v>
      </c>
      <c r="BD77" s="7">
        <f t="shared" ref="BD77" si="86">AVERAGE(Z77:Z79)</f>
        <v>1.1200000000000001</v>
      </c>
      <c r="BE77" s="3">
        <f t="shared" ref="BE77" si="87">AVERAGE(AA77:AA79)</f>
        <v>81.2</v>
      </c>
      <c r="BF77" s="3">
        <f t="shared" ref="BF77" si="88">AVERAGE(AB77:AB79)</f>
        <v>31.1</v>
      </c>
      <c r="BG77" s="3">
        <f t="shared" ref="BG77" si="89">AVERAGE(AC77:AC79)</f>
        <v>5.3</v>
      </c>
      <c r="BH77" s="3">
        <f t="shared" ref="BH77" si="90">AVERAGE(AD77:AD79)</f>
        <v>9.8000000000000007</v>
      </c>
    </row>
    <row r="78" spans="1:60" x14ac:dyDescent="0.3">
      <c r="A78">
        <v>35</v>
      </c>
      <c r="B78" s="1" t="s">
        <v>80</v>
      </c>
      <c r="C78" s="1" t="s">
        <v>30</v>
      </c>
      <c r="D78" s="2">
        <v>42675</v>
      </c>
      <c r="E78" s="3">
        <v>20.58</v>
      </c>
      <c r="F78" s="4">
        <f t="shared" si="2"/>
        <v>4509.1330708661417</v>
      </c>
      <c r="G78" s="7">
        <v>4.16</v>
      </c>
      <c r="H78" s="7">
        <v>3.94</v>
      </c>
      <c r="I78" s="5">
        <f t="shared" si="3"/>
        <v>5.2884615384615437</v>
      </c>
      <c r="J78" s="4">
        <f t="shared" si="4"/>
        <v>4270.6693026953362</v>
      </c>
      <c r="K78" s="2">
        <v>42793</v>
      </c>
      <c r="L78" s="7">
        <v>3.94</v>
      </c>
      <c r="M78" s="7">
        <v>1.68</v>
      </c>
      <c r="N78" s="7">
        <v>2.02</v>
      </c>
      <c r="O78" s="6">
        <f t="shared" si="5"/>
        <v>0.42639593908629442</v>
      </c>
      <c r="P78" s="6">
        <f t="shared" si="6"/>
        <v>0.51269035532994922</v>
      </c>
      <c r="Q78" s="6">
        <f t="shared" si="7"/>
        <v>6.0913705583756417E-2</v>
      </c>
      <c r="R78" s="4">
        <f t="shared" si="8"/>
        <v>1922.6760302170351</v>
      </c>
      <c r="S78" s="4">
        <f t="shared" si="9"/>
        <v>2311.7890363323872</v>
      </c>
      <c r="T78" s="4">
        <f t="shared" si="10"/>
        <v>4234.4650665494228</v>
      </c>
      <c r="U78" s="4">
        <f t="shared" si="11"/>
        <v>1820.9960478497881</v>
      </c>
      <c r="V78" s="4">
        <f t="shared" si="12"/>
        <v>2189.5309622955783</v>
      </c>
      <c r="W78" s="4">
        <f t="shared" si="13"/>
        <v>4010.5270101453661</v>
      </c>
      <c r="X78" s="10">
        <v>42901</v>
      </c>
      <c r="Y78" s="12">
        <v>48</v>
      </c>
      <c r="Z78" s="5">
        <v>1.1200000000000001</v>
      </c>
      <c r="AA78" s="4">
        <v>81.2</v>
      </c>
      <c r="AB78" s="4">
        <v>31.1</v>
      </c>
      <c r="AC78" s="4">
        <v>5.3</v>
      </c>
      <c r="AD78" s="4">
        <v>9.8000000000000007</v>
      </c>
      <c r="AI78" s="3"/>
      <c r="AJ78" s="3"/>
      <c r="AK78" s="7"/>
      <c r="AL78" s="7"/>
      <c r="AM78" s="7"/>
      <c r="AN78" s="3"/>
      <c r="AO78" s="3"/>
      <c r="AP78" s="7"/>
      <c r="AQ78" s="7"/>
      <c r="AR78" s="7"/>
      <c r="AS78" s="9"/>
      <c r="AT78" s="9"/>
      <c r="AU78" s="9"/>
      <c r="AV78" s="3"/>
      <c r="AW78" s="3"/>
      <c r="AX78" s="3"/>
      <c r="AY78" s="3"/>
      <c r="AZ78" s="3"/>
      <c r="BA78" s="3"/>
      <c r="BC78" s="13"/>
      <c r="BD78" s="7"/>
      <c r="BE78" s="3"/>
      <c r="BF78" s="3"/>
      <c r="BG78" s="3"/>
      <c r="BH78" s="3"/>
    </row>
    <row r="79" spans="1:60" x14ac:dyDescent="0.3">
      <c r="A79">
        <v>36</v>
      </c>
      <c r="B79" s="1" t="s">
        <v>81</v>
      </c>
      <c r="C79" s="1" t="s">
        <v>30</v>
      </c>
      <c r="D79" s="2">
        <v>42675</v>
      </c>
      <c r="E79" s="3">
        <v>21.18</v>
      </c>
      <c r="F79" s="4">
        <f t="shared" si="2"/>
        <v>4643.0677165354336</v>
      </c>
      <c r="G79" s="7">
        <v>3.9</v>
      </c>
      <c r="H79" s="7">
        <v>3.72</v>
      </c>
      <c r="I79" s="5">
        <f t="shared" si="3"/>
        <v>4.6153846153846079</v>
      </c>
      <c r="J79" s="4">
        <f t="shared" si="4"/>
        <v>4428.7722834645674</v>
      </c>
      <c r="K79" s="2">
        <v>42782</v>
      </c>
      <c r="L79" s="7">
        <v>3.72</v>
      </c>
      <c r="M79" s="7">
        <v>1.56</v>
      </c>
      <c r="N79" s="7">
        <v>1.88</v>
      </c>
      <c r="O79" s="6">
        <f t="shared" si="5"/>
        <v>0.41935483870967744</v>
      </c>
      <c r="P79" s="6">
        <f t="shared" si="6"/>
        <v>0.5053763440860215</v>
      </c>
      <c r="Q79" s="6">
        <f t="shared" si="7"/>
        <v>7.5268817204301008E-2</v>
      </c>
      <c r="R79" s="4">
        <f t="shared" si="8"/>
        <v>1947.0929133858272</v>
      </c>
      <c r="S79" s="4">
        <f t="shared" si="9"/>
        <v>2346.4965879265096</v>
      </c>
      <c r="T79" s="4">
        <f t="shared" si="10"/>
        <v>4293.5895013123372</v>
      </c>
      <c r="U79" s="4">
        <f t="shared" si="11"/>
        <v>1857.2270866141735</v>
      </c>
      <c r="V79" s="4">
        <f t="shared" si="12"/>
        <v>2238.1967454068244</v>
      </c>
      <c r="W79" s="4">
        <f t="shared" si="13"/>
        <v>4095.4238320209979</v>
      </c>
      <c r="X79" s="10"/>
      <c r="Y79" s="12"/>
      <c r="Z79" s="5"/>
      <c r="AA79" s="4"/>
      <c r="AB79" s="4"/>
      <c r="AC79" s="4"/>
      <c r="AD79" s="4"/>
      <c r="AI79" s="3"/>
      <c r="AJ79" s="3"/>
      <c r="AK79" s="7"/>
      <c r="AL79" s="7"/>
      <c r="AM79" s="7"/>
      <c r="AN79" s="3"/>
      <c r="AO79" s="3"/>
      <c r="AP79" s="7"/>
      <c r="AQ79" s="7"/>
      <c r="AR79" s="7"/>
      <c r="AS79" s="9"/>
      <c r="AT79" s="9"/>
      <c r="AU79" s="9"/>
      <c r="AV79" s="3"/>
      <c r="AW79" s="3"/>
      <c r="AX79" s="3"/>
      <c r="AY79" s="3"/>
      <c r="AZ79" s="3"/>
      <c r="BA79" s="3"/>
      <c r="BC79" s="13"/>
      <c r="BD79" s="7"/>
      <c r="BE79" s="3"/>
      <c r="BF79" s="3"/>
      <c r="BG79" s="3"/>
      <c r="BH79" s="3"/>
    </row>
    <row r="80" spans="1:60" x14ac:dyDescent="0.3">
      <c r="A80">
        <v>37</v>
      </c>
      <c r="B80" s="1" t="s">
        <v>82</v>
      </c>
      <c r="C80" s="1" t="s">
        <v>30</v>
      </c>
      <c r="D80" s="2">
        <v>42675</v>
      </c>
      <c r="E80" s="3">
        <v>24.08</v>
      </c>
      <c r="F80" s="4">
        <f t="shared" si="2"/>
        <v>5290.4185039370077</v>
      </c>
      <c r="G80" s="7">
        <v>4.24</v>
      </c>
      <c r="H80" s="7">
        <v>4</v>
      </c>
      <c r="I80" s="5">
        <f t="shared" si="3"/>
        <v>5.660377358490571</v>
      </c>
      <c r="J80" s="4">
        <f t="shared" si="4"/>
        <v>4990.9608527707614</v>
      </c>
      <c r="K80" s="2">
        <v>42793</v>
      </c>
      <c r="L80" s="7">
        <v>4</v>
      </c>
      <c r="M80" s="7">
        <v>1.64</v>
      </c>
      <c r="N80" s="7">
        <v>2.08</v>
      </c>
      <c r="O80" s="6">
        <f t="shared" si="5"/>
        <v>0.41</v>
      </c>
      <c r="P80" s="6">
        <f t="shared" si="6"/>
        <v>0.52</v>
      </c>
      <c r="Q80" s="6">
        <f t="shared" si="7"/>
        <v>7.0000000000000062E-2</v>
      </c>
      <c r="R80" s="4">
        <f t="shared" si="8"/>
        <v>2169.0715866141732</v>
      </c>
      <c r="S80" s="4">
        <f t="shared" si="9"/>
        <v>2751.017622047244</v>
      </c>
      <c r="T80" s="4">
        <f t="shared" si="10"/>
        <v>4920.0892086614167</v>
      </c>
      <c r="U80" s="4">
        <f t="shared" si="11"/>
        <v>2046.293949636012</v>
      </c>
      <c r="V80" s="4">
        <f t="shared" si="12"/>
        <v>2595.299643440796</v>
      </c>
      <c r="W80" s="4">
        <f t="shared" si="13"/>
        <v>4641.5935930768082</v>
      </c>
      <c r="X80" s="10"/>
      <c r="Y80" s="12"/>
      <c r="Z80" s="5"/>
      <c r="AA80" s="4"/>
      <c r="AB80" s="4"/>
      <c r="AC80" s="4"/>
      <c r="AD80" s="4"/>
      <c r="AF80" t="s">
        <v>267</v>
      </c>
      <c r="AG80" t="str">
        <f>C80</f>
        <v>Machine</v>
      </c>
      <c r="AH80" s="8">
        <f>D80</f>
        <v>42675</v>
      </c>
      <c r="AI80" s="3">
        <f>SUM(E80:E82)</f>
        <v>69.64</v>
      </c>
      <c r="AJ80" s="3">
        <f>(AI80-3*$A$33)*$A$34/(3*$A$35)*$A$36</f>
        <v>5096.9573490813646</v>
      </c>
      <c r="AK80" s="7">
        <f>SUM(G80:G82)</f>
        <v>12.46</v>
      </c>
      <c r="AL80" s="7">
        <f>SUM(H80:H82)</f>
        <v>11.76</v>
      </c>
      <c r="AM80" s="7">
        <f>(AK80-AL80)/AK80*100</f>
        <v>5.617977528089896</v>
      </c>
      <c r="AN80" s="3">
        <f>AJ80*(1-AM80/100)</f>
        <v>4810.6114305936471</v>
      </c>
      <c r="AO80" s="11">
        <f>K80</f>
        <v>42793</v>
      </c>
      <c r="AP80" s="7">
        <f>SUM(L80:L82)</f>
        <v>11.76</v>
      </c>
      <c r="AQ80" s="7">
        <f t="shared" ref="AQ80" si="91">SUM(M80:M82)</f>
        <v>4.68</v>
      </c>
      <c r="AR80" s="7">
        <f t="shared" ref="AR80" si="92">SUM(N80:N82)</f>
        <v>6.1400000000000006</v>
      </c>
      <c r="AS80" s="9">
        <f>AQ80/AP80</f>
        <v>0.39795918367346939</v>
      </c>
      <c r="AT80" s="9">
        <f>AR80/AP80</f>
        <v>0.52210884353741505</v>
      </c>
      <c r="AU80" s="9">
        <f>1-AS80-AT80</f>
        <v>7.9931972789115568E-2</v>
      </c>
      <c r="AV80" s="3">
        <f>AJ80*AS80</f>
        <v>2028.3809858589104</v>
      </c>
      <c r="AW80" s="3">
        <f>AJ80*AT80</f>
        <v>2661.1665070884001</v>
      </c>
      <c r="AX80" s="3">
        <f>AV80+AW80</f>
        <v>4689.5474929473103</v>
      </c>
      <c r="AY80" s="3">
        <f>AN80*AS80</f>
        <v>1914.4269978893085</v>
      </c>
      <c r="AZ80" s="3">
        <f>AN80*AT80</f>
        <v>2511.662770735119</v>
      </c>
      <c r="BA80" s="3">
        <f>AY80+AZ80</f>
        <v>4426.089768624428</v>
      </c>
      <c r="BB80" s="11">
        <f>X81</f>
        <v>42901</v>
      </c>
      <c r="BC80" s="13">
        <f>AVERAGE(Y80:Y82)</f>
        <v>42</v>
      </c>
      <c r="BD80" s="7">
        <f t="shared" ref="BD80" si="93">AVERAGE(Z80:Z82)</f>
        <v>1.19</v>
      </c>
      <c r="BE80" s="3">
        <f t="shared" ref="BE80" si="94">AVERAGE(AA80:AA82)</f>
        <v>83.4</v>
      </c>
      <c r="BF80" s="3">
        <f t="shared" ref="BF80" si="95">AVERAGE(AB80:AB82)</f>
        <v>33.4</v>
      </c>
      <c r="BG80" s="3">
        <f t="shared" ref="BG80" si="96">AVERAGE(AC80:AC82)</f>
        <v>5.4</v>
      </c>
      <c r="BH80" s="3">
        <f t="shared" ref="BH80" si="97">AVERAGE(AD80:AD82)</f>
        <v>8.1999999999999993</v>
      </c>
    </row>
    <row r="81" spans="1:60" x14ac:dyDescent="0.3">
      <c r="A81">
        <v>38</v>
      </c>
      <c r="B81" s="1" t="s">
        <v>83</v>
      </c>
      <c r="C81" s="1" t="s">
        <v>30</v>
      </c>
      <c r="D81" s="2">
        <v>42675</v>
      </c>
      <c r="E81" s="3">
        <v>22.46</v>
      </c>
      <c r="F81" s="4">
        <f t="shared" si="2"/>
        <v>4928.7949606299217</v>
      </c>
      <c r="G81" s="7">
        <v>3.9999999999999996</v>
      </c>
      <c r="H81" s="7">
        <v>3.78</v>
      </c>
      <c r="I81" s="5">
        <f t="shared" si="3"/>
        <v>5.4999999999999947</v>
      </c>
      <c r="J81" s="4">
        <f t="shared" si="4"/>
        <v>4657.7112377952762</v>
      </c>
      <c r="K81" s="2">
        <v>42782</v>
      </c>
      <c r="L81" s="7">
        <v>3.78</v>
      </c>
      <c r="M81" s="7">
        <v>1.46</v>
      </c>
      <c r="N81" s="7">
        <v>2</v>
      </c>
      <c r="O81" s="6">
        <f t="shared" si="5"/>
        <v>0.38624338624338628</v>
      </c>
      <c r="P81" s="6">
        <f t="shared" si="6"/>
        <v>0.52910052910052918</v>
      </c>
      <c r="Q81" s="6">
        <f t="shared" si="7"/>
        <v>8.465608465608454E-2</v>
      </c>
      <c r="R81" s="4">
        <f t="shared" si="8"/>
        <v>1903.7144556930386</v>
      </c>
      <c r="S81" s="4">
        <f t="shared" si="9"/>
        <v>2607.8280214973133</v>
      </c>
      <c r="T81" s="4">
        <f t="shared" si="10"/>
        <v>4511.5424771903517</v>
      </c>
      <c r="U81" s="4">
        <f t="shared" si="11"/>
        <v>1799.0101606299218</v>
      </c>
      <c r="V81" s="4">
        <f t="shared" si="12"/>
        <v>2464.3974803149613</v>
      </c>
      <c r="W81" s="4">
        <f t="shared" si="13"/>
        <v>4263.4076409448826</v>
      </c>
      <c r="X81" s="10">
        <v>42901</v>
      </c>
      <c r="Y81" s="12">
        <v>42</v>
      </c>
      <c r="Z81" s="5">
        <v>1.19</v>
      </c>
      <c r="AA81" s="4">
        <v>83.4</v>
      </c>
      <c r="AB81" s="4">
        <v>33.4</v>
      </c>
      <c r="AC81" s="4">
        <v>5.4</v>
      </c>
      <c r="AD81" s="4">
        <v>8.1999999999999993</v>
      </c>
      <c r="AI81" s="3"/>
      <c r="AJ81" s="3"/>
      <c r="AK81" s="7"/>
      <c r="AL81" s="7"/>
      <c r="AM81" s="7"/>
      <c r="AN81" s="3"/>
      <c r="AO81" s="3"/>
      <c r="AP81" s="7"/>
      <c r="AQ81" s="7"/>
      <c r="AR81" s="7"/>
      <c r="AS81" s="9"/>
      <c r="AT81" s="9"/>
      <c r="AU81" s="9"/>
      <c r="AV81" s="3"/>
      <c r="AW81" s="3"/>
      <c r="AX81" s="3"/>
      <c r="AY81" s="3"/>
      <c r="AZ81" s="3"/>
      <c r="BA81" s="3"/>
      <c r="BC81" s="13"/>
      <c r="BD81" s="7"/>
      <c r="BE81" s="3"/>
      <c r="BF81" s="3"/>
      <c r="BG81" s="3"/>
      <c r="BH81" s="3"/>
    </row>
    <row r="82" spans="1:60" x14ac:dyDescent="0.3">
      <c r="A82">
        <v>39</v>
      </c>
      <c r="B82" s="1" t="s">
        <v>84</v>
      </c>
      <c r="C82" s="1" t="s">
        <v>30</v>
      </c>
      <c r="D82" s="2">
        <v>42675</v>
      </c>
      <c r="E82" s="3">
        <v>23.1</v>
      </c>
      <c r="F82" s="4">
        <f t="shared" si="2"/>
        <v>5071.6585826771661</v>
      </c>
      <c r="G82" s="7">
        <v>4.2200000000000006</v>
      </c>
      <c r="H82" s="7">
        <v>3.98</v>
      </c>
      <c r="I82" s="5">
        <f t="shared" si="3"/>
        <v>5.6872037914692095</v>
      </c>
      <c r="J82" s="4">
        <f t="shared" si="4"/>
        <v>4783.2230234727767</v>
      </c>
      <c r="K82" s="2">
        <v>42793</v>
      </c>
      <c r="L82" s="7">
        <v>3.98</v>
      </c>
      <c r="M82" s="7">
        <v>1.58</v>
      </c>
      <c r="N82" s="7">
        <v>2.06</v>
      </c>
      <c r="O82" s="6">
        <f t="shared" si="5"/>
        <v>0.39698492462311558</v>
      </c>
      <c r="P82" s="6">
        <f t="shared" si="6"/>
        <v>0.51758793969849248</v>
      </c>
      <c r="Q82" s="6">
        <f t="shared" si="7"/>
        <v>8.5427135678391886E-2</v>
      </c>
      <c r="R82" s="4">
        <f t="shared" si="8"/>
        <v>2013.3720001582719</v>
      </c>
      <c r="S82" s="4">
        <f t="shared" si="9"/>
        <v>2625.0293166620509</v>
      </c>
      <c r="T82" s="4">
        <f t="shared" si="10"/>
        <v>4638.4013168203228</v>
      </c>
      <c r="U82" s="4">
        <f t="shared" si="11"/>
        <v>1898.8674314288912</v>
      </c>
      <c r="V82" s="4">
        <f t="shared" si="12"/>
        <v>2475.7385498376684</v>
      </c>
      <c r="W82" s="4">
        <f t="shared" si="13"/>
        <v>4374.6059812665599</v>
      </c>
      <c r="X82" s="10"/>
      <c r="Y82" s="12"/>
      <c r="Z82" s="5"/>
      <c r="AA82" s="4"/>
      <c r="AB82" s="4"/>
      <c r="AC82" s="4"/>
      <c r="AD82" s="4"/>
      <c r="AI82" s="3"/>
      <c r="AJ82" s="3"/>
      <c r="AK82" s="7"/>
      <c r="AL82" s="7"/>
      <c r="AM82" s="7"/>
      <c r="AN82" s="3"/>
      <c r="AO82" s="3"/>
      <c r="AP82" s="7"/>
      <c r="AQ82" s="7"/>
      <c r="AR82" s="7"/>
      <c r="AS82" s="9"/>
      <c r="AT82" s="9"/>
      <c r="AU82" s="9"/>
      <c r="AV82" s="3"/>
      <c r="AW82" s="3"/>
      <c r="AX82" s="3"/>
      <c r="AY82" s="3"/>
      <c r="AZ82" s="3"/>
      <c r="BA82" s="3"/>
      <c r="BC82" s="13"/>
      <c r="BD82" s="7"/>
      <c r="BE82" s="3"/>
      <c r="BF82" s="3"/>
      <c r="BG82" s="3"/>
      <c r="BH82" s="3"/>
    </row>
    <row r="83" spans="1:60" x14ac:dyDescent="0.3">
      <c r="A83">
        <v>40</v>
      </c>
      <c r="B83" s="1" t="s">
        <v>85</v>
      </c>
      <c r="C83" s="1" t="s">
        <v>30</v>
      </c>
      <c r="D83" s="2">
        <v>42675</v>
      </c>
      <c r="E83" s="3">
        <v>22.68</v>
      </c>
      <c r="F83" s="4">
        <f t="shared" si="2"/>
        <v>4977.9043307086622</v>
      </c>
      <c r="G83" s="7">
        <v>4.0200000000000005</v>
      </c>
      <c r="H83" s="7">
        <v>3.8</v>
      </c>
      <c r="I83" s="5">
        <f t="shared" si="3"/>
        <v>5.4726368159204135</v>
      </c>
      <c r="J83" s="4">
        <f t="shared" si="4"/>
        <v>4705.4817056450029</v>
      </c>
      <c r="K83" s="2">
        <v>42793</v>
      </c>
      <c r="L83" s="7">
        <v>3.8</v>
      </c>
      <c r="M83" s="7">
        <v>1.54</v>
      </c>
      <c r="N83" s="7">
        <v>1.98</v>
      </c>
      <c r="O83" s="6">
        <f t="shared" si="5"/>
        <v>0.40526315789473688</v>
      </c>
      <c r="P83" s="6">
        <f t="shared" si="6"/>
        <v>0.52105263157894743</v>
      </c>
      <c r="Q83" s="6">
        <f t="shared" si="7"/>
        <v>7.3684210526315685E-2</v>
      </c>
      <c r="R83" s="4">
        <f t="shared" si="8"/>
        <v>2017.3612287608792</v>
      </c>
      <c r="S83" s="4">
        <f t="shared" si="9"/>
        <v>2593.7501512639874</v>
      </c>
      <c r="T83" s="4">
        <f t="shared" si="10"/>
        <v>4611.1113800248668</v>
      </c>
      <c r="U83" s="4">
        <f t="shared" si="11"/>
        <v>1906.9583754456066</v>
      </c>
      <c r="V83" s="4">
        <f t="shared" si="12"/>
        <v>2451.803625572923</v>
      </c>
      <c r="W83" s="4">
        <f t="shared" si="13"/>
        <v>4358.7620010185292</v>
      </c>
      <c r="X83" s="10"/>
      <c r="Y83" s="12"/>
      <c r="Z83" s="5"/>
      <c r="AA83" s="4"/>
      <c r="AB83" s="4"/>
      <c r="AC83" s="4"/>
      <c r="AD83" s="4"/>
      <c r="AF83" t="s">
        <v>268</v>
      </c>
      <c r="AG83" t="s">
        <v>30</v>
      </c>
      <c r="AH83" s="8">
        <f>D83</f>
        <v>42675</v>
      </c>
      <c r="AI83" s="3">
        <f>SUM(E83:E85)</f>
        <v>64.459999999999994</v>
      </c>
      <c r="AJ83" s="3">
        <f>(AI83-3*$A$33)*$A$34/(3*$A$35)*$A$36</f>
        <v>4711.5232020997364</v>
      </c>
      <c r="AK83" s="7">
        <f>SUM(G83:G85)</f>
        <v>12.260000000000002</v>
      </c>
      <c r="AL83" s="7">
        <f>SUM(H83:H85)</f>
        <v>11.579999999999998</v>
      </c>
      <c r="AM83" s="7">
        <f>(AK83-AL83)/AK83*100</f>
        <v>5.5464926590538592</v>
      </c>
      <c r="AN83" s="3">
        <f>AJ83*(1-AM83/100)</f>
        <v>4450.1989135656549</v>
      </c>
      <c r="AO83" s="11">
        <f>K83</f>
        <v>42793</v>
      </c>
      <c r="AP83" s="7">
        <f>SUM(L83:L85)</f>
        <v>11.579999999999998</v>
      </c>
      <c r="AQ83" s="7">
        <f t="shared" ref="AQ83" si="98">SUM(M83:M85)</f>
        <v>4.7200000000000006</v>
      </c>
      <c r="AR83" s="7">
        <f t="shared" ref="AR83" si="99">SUM(N83:N85)</f>
        <v>6.0399999999999991</v>
      </c>
      <c r="AS83" s="9">
        <f>AQ83/AP83</f>
        <v>0.4075993091537134</v>
      </c>
      <c r="AT83" s="9">
        <f>AR83/AP83</f>
        <v>0.52158894645941278</v>
      </c>
      <c r="AU83" s="9">
        <f>1-AS83-AT83</f>
        <v>7.0811744386873876E-2</v>
      </c>
      <c r="AV83" s="3">
        <f>AJ83*AS83</f>
        <v>1920.4136022375442</v>
      </c>
      <c r="AW83" s="3">
        <f>AJ83*AT83</f>
        <v>2457.4784232022803</v>
      </c>
      <c r="AX83" s="3">
        <f>AV83+AW83</f>
        <v>4377.8920254398245</v>
      </c>
      <c r="AY83" s="3">
        <f>AN83*AS83</f>
        <v>1813.8980027659668</v>
      </c>
      <c r="AZ83" s="3">
        <f>AN83*AT83</f>
        <v>2321.1745628615336</v>
      </c>
      <c r="BA83" s="3">
        <f>AY83+AZ83</f>
        <v>4135.0725656275008</v>
      </c>
      <c r="BB83" s="11">
        <f>X84</f>
        <v>42901</v>
      </c>
      <c r="BC83" s="13">
        <f>AVERAGE(Y83:Y85)</f>
        <v>42</v>
      </c>
      <c r="BD83" s="7">
        <f t="shared" ref="BD83" si="100">AVERAGE(Z83:Z85)</f>
        <v>1.19</v>
      </c>
      <c r="BE83" s="3">
        <f t="shared" ref="BE83" si="101">AVERAGE(AA83:AA85)</f>
        <v>82.2</v>
      </c>
      <c r="BF83" s="3">
        <f t="shared" ref="BF83" si="102">AVERAGE(AB83:AB85)</f>
        <v>34.200000000000003</v>
      </c>
      <c r="BG83" s="3">
        <f t="shared" ref="BG83" si="103">AVERAGE(AC83:AC85)</f>
        <v>5.4</v>
      </c>
      <c r="BH83" s="3">
        <f t="shared" ref="BH83" si="104">AVERAGE(AD83:AD85)</f>
        <v>8.9</v>
      </c>
    </row>
    <row r="84" spans="1:60" x14ac:dyDescent="0.3">
      <c r="A84">
        <v>41</v>
      </c>
      <c r="B84" s="1" t="s">
        <v>86</v>
      </c>
      <c r="C84" s="1" t="s">
        <v>30</v>
      </c>
      <c r="D84" s="2">
        <v>42675</v>
      </c>
      <c r="E84" s="3">
        <v>21.12</v>
      </c>
      <c r="F84" s="4">
        <f t="shared" si="2"/>
        <v>4629.6742519685049</v>
      </c>
      <c r="G84" s="7">
        <v>4.1400000000000006</v>
      </c>
      <c r="H84" s="7">
        <v>3.9</v>
      </c>
      <c r="I84" s="5">
        <f t="shared" si="3"/>
        <v>5.7971014492753774</v>
      </c>
      <c r="J84" s="4">
        <f t="shared" si="4"/>
        <v>4361.2873388109101</v>
      </c>
      <c r="K84" s="2">
        <v>42793</v>
      </c>
      <c r="L84" s="7">
        <v>3.9</v>
      </c>
      <c r="M84" s="7">
        <v>1.58</v>
      </c>
      <c r="N84" s="7">
        <v>2.04</v>
      </c>
      <c r="O84" s="6">
        <f t="shared" si="5"/>
        <v>0.40512820512820513</v>
      </c>
      <c r="P84" s="6">
        <f t="shared" si="6"/>
        <v>0.52307692307692311</v>
      </c>
      <c r="Q84" s="6">
        <f t="shared" si="7"/>
        <v>7.1794871794871762E-2</v>
      </c>
      <c r="R84" s="4">
        <f t="shared" si="8"/>
        <v>1875.6116200282661</v>
      </c>
      <c r="S84" s="4">
        <f t="shared" si="9"/>
        <v>2421.6757625681412</v>
      </c>
      <c r="T84" s="4">
        <f t="shared" si="10"/>
        <v>4297.287382596407</v>
      </c>
      <c r="U84" s="4">
        <f t="shared" si="11"/>
        <v>1766.8805116208302</v>
      </c>
      <c r="V84" s="4">
        <f t="shared" si="12"/>
        <v>2281.288761839553</v>
      </c>
      <c r="W84" s="4">
        <f t="shared" si="13"/>
        <v>4048.169273460383</v>
      </c>
      <c r="X84" s="10">
        <v>42901</v>
      </c>
      <c r="Y84" s="12">
        <v>42</v>
      </c>
      <c r="Z84" s="5">
        <v>1.19</v>
      </c>
      <c r="AA84" s="4">
        <v>82.2</v>
      </c>
      <c r="AB84" s="4">
        <v>34.200000000000003</v>
      </c>
      <c r="AC84" s="4">
        <v>5.4</v>
      </c>
      <c r="AD84" s="4">
        <v>8.9</v>
      </c>
      <c r="AI84" s="3"/>
      <c r="AJ84" s="3"/>
      <c r="AK84" s="7"/>
      <c r="AL84" s="7"/>
      <c r="AM84" s="7"/>
      <c r="AN84" s="3"/>
      <c r="AO84" s="3"/>
      <c r="AP84" s="7"/>
      <c r="AQ84" s="7"/>
      <c r="AR84" s="7"/>
      <c r="AS84" s="9"/>
      <c r="AT84" s="9"/>
      <c r="AU84" s="9"/>
      <c r="AV84" s="3"/>
      <c r="AW84" s="3"/>
      <c r="AX84" s="3"/>
      <c r="AY84" s="3"/>
      <c r="AZ84" s="3"/>
      <c r="BA84" s="3"/>
      <c r="BC84" s="13"/>
      <c r="BD84" s="7"/>
      <c r="BE84" s="3"/>
      <c r="BF84" s="3"/>
      <c r="BG84" s="3"/>
      <c r="BH84" s="3"/>
    </row>
    <row r="85" spans="1:60" x14ac:dyDescent="0.3">
      <c r="A85">
        <v>42</v>
      </c>
      <c r="B85" s="1" t="s">
        <v>87</v>
      </c>
      <c r="C85" s="1" t="s">
        <v>30</v>
      </c>
      <c r="D85" s="2">
        <v>42675</v>
      </c>
      <c r="E85" s="3">
        <v>20.66</v>
      </c>
      <c r="F85" s="4">
        <f t="shared" si="2"/>
        <v>4526.9910236220476</v>
      </c>
      <c r="G85" s="7">
        <v>4.1000000000000005</v>
      </c>
      <c r="H85" s="7">
        <v>3.88</v>
      </c>
      <c r="I85" s="5">
        <f t="shared" si="3"/>
        <v>5.3658536585366008</v>
      </c>
      <c r="J85" s="4">
        <f t="shared" si="4"/>
        <v>4284.0793101594008</v>
      </c>
      <c r="K85" s="2">
        <v>42793</v>
      </c>
      <c r="L85" s="7">
        <v>3.88</v>
      </c>
      <c r="M85" s="7">
        <v>1.6</v>
      </c>
      <c r="N85" s="7">
        <v>2.02</v>
      </c>
      <c r="O85" s="6">
        <f t="shared" si="5"/>
        <v>0.41237113402061859</v>
      </c>
      <c r="P85" s="6">
        <f t="shared" si="6"/>
        <v>0.52061855670103097</v>
      </c>
      <c r="Q85" s="6">
        <f t="shared" si="7"/>
        <v>6.7010309278350388E-2</v>
      </c>
      <c r="R85" s="4">
        <f t="shared" si="8"/>
        <v>1866.8004221121848</v>
      </c>
      <c r="S85" s="4">
        <f t="shared" si="9"/>
        <v>2356.8355329166334</v>
      </c>
      <c r="T85" s="4">
        <f t="shared" si="10"/>
        <v>4223.635955028818</v>
      </c>
      <c r="U85" s="4">
        <f t="shared" si="11"/>
        <v>1766.6306433647014</v>
      </c>
      <c r="V85" s="4">
        <f t="shared" si="12"/>
        <v>2230.3711872479357</v>
      </c>
      <c r="W85" s="4">
        <f t="shared" si="13"/>
        <v>3997.0018306126371</v>
      </c>
      <c r="X85" s="10"/>
      <c r="Y85" s="12"/>
      <c r="Z85" s="5"/>
      <c r="AA85" s="4"/>
      <c r="AB85" s="4"/>
      <c r="AC85" s="4"/>
      <c r="AD85" s="4"/>
      <c r="AI85" s="3"/>
      <c r="AJ85" s="3"/>
      <c r="AK85" s="7"/>
      <c r="AL85" s="7"/>
      <c r="AM85" s="7"/>
      <c r="AN85" s="3"/>
      <c r="AO85" s="3"/>
      <c r="AP85" s="7"/>
      <c r="AQ85" s="7"/>
      <c r="AR85" s="7"/>
      <c r="AS85" s="9"/>
      <c r="AT85" s="9"/>
      <c r="AU85" s="9"/>
      <c r="AV85" s="3"/>
      <c r="AW85" s="3"/>
      <c r="AX85" s="3"/>
      <c r="AY85" s="3"/>
      <c r="AZ85" s="3"/>
      <c r="BA85" s="3"/>
      <c r="BC85" s="13"/>
      <c r="BD85" s="7"/>
      <c r="BE85" s="3"/>
      <c r="BF85" s="3"/>
      <c r="BG85" s="3"/>
      <c r="BH85" s="3"/>
    </row>
    <row r="86" spans="1:60" x14ac:dyDescent="0.3">
      <c r="A86">
        <v>43</v>
      </c>
      <c r="B86" s="1" t="s">
        <v>88</v>
      </c>
      <c r="C86" s="1" t="s">
        <v>30</v>
      </c>
      <c r="D86" s="2">
        <v>42675</v>
      </c>
      <c r="E86" s="3">
        <v>22.32</v>
      </c>
      <c r="F86" s="4">
        <f t="shared" si="2"/>
        <v>4897.543543307087</v>
      </c>
      <c r="G86" s="7">
        <v>4.2600000000000007</v>
      </c>
      <c r="H86" s="7">
        <v>4.0199999999999996</v>
      </c>
      <c r="I86" s="5">
        <f t="shared" si="3"/>
        <v>5.6338028169014338</v>
      </c>
      <c r="J86" s="4">
        <f t="shared" si="4"/>
        <v>4621.6255972052777</v>
      </c>
      <c r="K86" s="2">
        <v>42793</v>
      </c>
      <c r="L86" s="7">
        <v>4.0199999999999996</v>
      </c>
      <c r="M86" s="7">
        <v>1.68</v>
      </c>
      <c r="N86" s="7">
        <v>2.06</v>
      </c>
      <c r="O86" s="6">
        <f t="shared" si="5"/>
        <v>0.41791044776119407</v>
      </c>
      <c r="P86" s="6">
        <f t="shared" si="6"/>
        <v>0.51243781094527374</v>
      </c>
      <c r="Q86" s="6">
        <f t="shared" si="7"/>
        <v>6.9651741293532132E-2</v>
      </c>
      <c r="R86" s="4">
        <f t="shared" si="8"/>
        <v>2046.7346151134097</v>
      </c>
      <c r="S86" s="4">
        <f t="shared" si="9"/>
        <v>2509.6864923414432</v>
      </c>
      <c r="T86" s="4">
        <f t="shared" si="10"/>
        <v>4556.421107454853</v>
      </c>
      <c r="U86" s="4">
        <f t="shared" si="11"/>
        <v>1931.4256227126536</v>
      </c>
      <c r="V86" s="4">
        <f t="shared" si="12"/>
        <v>2368.2957040405158</v>
      </c>
      <c r="W86" s="4">
        <f t="shared" si="13"/>
        <v>4299.7213267531697</v>
      </c>
      <c r="X86" s="10"/>
      <c r="Y86" s="12"/>
      <c r="Z86" s="5"/>
      <c r="AA86" s="4"/>
      <c r="AB86" s="4"/>
      <c r="AC86" s="4"/>
      <c r="AD86" s="4"/>
      <c r="AF86" t="s">
        <v>269</v>
      </c>
      <c r="AG86" t="s">
        <v>30</v>
      </c>
      <c r="AH86" s="8">
        <f>D86</f>
        <v>42675</v>
      </c>
      <c r="AI86" s="3">
        <f>SUM(E86:E88)</f>
        <v>72.680000000000007</v>
      </c>
      <c r="AJ86" s="3">
        <f>(AI86-3*$A$33)*$A$34/(3*$A$35)*$A$36</f>
        <v>5323.1580839895023</v>
      </c>
      <c r="AK86" s="7">
        <f>SUM(G86:G88)</f>
        <v>13.120000000000001</v>
      </c>
      <c r="AL86" s="7">
        <f>SUM(H86:H88)</f>
        <v>12.399999999999999</v>
      </c>
      <c r="AM86" s="7">
        <f>(AK86-AL86)/AK86*100</f>
        <v>5.4878048780487987</v>
      </c>
      <c r="AN86" s="3">
        <f>AJ86*(1-AM86/100)</f>
        <v>5031.0335549900774</v>
      </c>
      <c r="AO86" s="11">
        <f>K86</f>
        <v>42793</v>
      </c>
      <c r="AP86" s="7">
        <f>SUM(L86:L88)</f>
        <v>12.399999999999999</v>
      </c>
      <c r="AQ86" s="7">
        <f t="shared" ref="AQ86" si="105">SUM(M86:M88)</f>
        <v>5.16</v>
      </c>
      <c r="AR86" s="7">
        <f t="shared" ref="AR86" si="106">SUM(N86:N88)</f>
        <v>6.32</v>
      </c>
      <c r="AS86" s="9">
        <f>AQ86/AP86</f>
        <v>0.41612903225806458</v>
      </c>
      <c r="AT86" s="9">
        <f>AR86/AP86</f>
        <v>0.50967741935483879</v>
      </c>
      <c r="AU86" s="9">
        <f>1-AS86-AT86</f>
        <v>7.4193548387096575E-2</v>
      </c>
      <c r="AV86" s="3">
        <f>AJ86*AS86</f>
        <v>2215.120622047245</v>
      </c>
      <c r="AW86" s="3">
        <f>AJ86*AT86</f>
        <v>2713.0934750656179</v>
      </c>
      <c r="AX86" s="3">
        <f>AV86+AW86</f>
        <v>4928.2140971128629</v>
      </c>
      <c r="AY86" s="3">
        <f>AN86*AS86</f>
        <v>2093.5591244958714</v>
      </c>
      <c r="AZ86" s="3">
        <f>AN86*AT86</f>
        <v>2564.204198994943</v>
      </c>
      <c r="BA86" s="3">
        <f>AY86+AZ86</f>
        <v>4657.7633234908144</v>
      </c>
      <c r="BB86" s="11">
        <f>X87</f>
        <v>42901</v>
      </c>
      <c r="BC86" s="13">
        <f>AVERAGE(Y86:Y88)</f>
        <v>45</v>
      </c>
      <c r="BD86" s="7">
        <f t="shared" ref="BD86" si="107">AVERAGE(Z86:Z88)</f>
        <v>1.17</v>
      </c>
      <c r="BE86" s="3">
        <f t="shared" ref="BE86" si="108">AVERAGE(AA86:AA88)</f>
        <v>82.8</v>
      </c>
      <c r="BF86" s="3">
        <f t="shared" ref="BF86" si="109">AVERAGE(AB86:AB88)</f>
        <v>32.799999999999997</v>
      </c>
      <c r="BG86" s="3">
        <f t="shared" ref="BG86" si="110">AVERAGE(AC86:AC88)</f>
        <v>5.4</v>
      </c>
      <c r="BH86" s="3">
        <f t="shared" ref="BH86" si="111">AVERAGE(AD86:AD88)</f>
        <v>8.6</v>
      </c>
    </row>
    <row r="87" spans="1:60" x14ac:dyDescent="0.3">
      <c r="A87">
        <v>44</v>
      </c>
      <c r="B87" s="1" t="s">
        <v>89</v>
      </c>
      <c r="C87" s="1" t="s">
        <v>30</v>
      </c>
      <c r="D87" s="2">
        <v>42675</v>
      </c>
      <c r="E87" s="3">
        <v>24.92</v>
      </c>
      <c r="F87" s="4">
        <f t="shared" si="2"/>
        <v>5477.9270078740165</v>
      </c>
      <c r="G87" s="7">
        <v>4.4400000000000004</v>
      </c>
      <c r="H87" s="7">
        <v>4.2</v>
      </c>
      <c r="I87" s="5">
        <f t="shared" si="3"/>
        <v>5.4054054054054097</v>
      </c>
      <c r="J87" s="4">
        <f t="shared" si="4"/>
        <v>5181.8228452862313</v>
      </c>
      <c r="K87" s="2">
        <v>42782</v>
      </c>
      <c r="L87" s="7">
        <v>4.2</v>
      </c>
      <c r="M87" s="7">
        <v>1.76</v>
      </c>
      <c r="N87" s="7">
        <v>2.14</v>
      </c>
      <c r="O87" s="6">
        <f t="shared" si="5"/>
        <v>0.41904761904761906</v>
      </c>
      <c r="P87" s="6">
        <f t="shared" si="6"/>
        <v>0.50952380952380949</v>
      </c>
      <c r="Q87" s="6">
        <f t="shared" si="7"/>
        <v>7.1428571428571397E-2</v>
      </c>
      <c r="R87" s="4">
        <f t="shared" si="8"/>
        <v>2295.5122699662547</v>
      </c>
      <c r="S87" s="4">
        <f t="shared" si="9"/>
        <v>2791.1342373453322</v>
      </c>
      <c r="T87" s="4">
        <f t="shared" si="10"/>
        <v>5086.6465073115869</v>
      </c>
      <c r="U87" s="4">
        <f t="shared" si="11"/>
        <v>2171.4305256437542</v>
      </c>
      <c r="V87" s="4">
        <f t="shared" si="12"/>
        <v>2640.2621164077464</v>
      </c>
      <c r="W87" s="4">
        <f t="shared" si="13"/>
        <v>4811.692642051501</v>
      </c>
      <c r="X87" s="10">
        <v>42901</v>
      </c>
      <c r="Y87" s="12">
        <v>45</v>
      </c>
      <c r="Z87" s="5">
        <v>1.17</v>
      </c>
      <c r="AA87" s="4">
        <v>82.8</v>
      </c>
      <c r="AB87" s="4">
        <v>32.799999999999997</v>
      </c>
      <c r="AC87" s="4">
        <v>5.4</v>
      </c>
      <c r="AD87" s="4">
        <v>8.6</v>
      </c>
      <c r="AI87" s="3"/>
      <c r="AJ87" s="3"/>
      <c r="AK87" s="7"/>
      <c r="AL87" s="7"/>
      <c r="AM87" s="7"/>
      <c r="AN87" s="3"/>
      <c r="AO87" s="3"/>
      <c r="AP87" s="7"/>
      <c r="AQ87" s="7"/>
      <c r="AR87" s="7"/>
      <c r="AS87" s="9"/>
      <c r="AT87" s="9"/>
      <c r="AU87" s="9"/>
      <c r="AV87" s="3"/>
      <c r="AW87" s="3"/>
      <c r="AX87" s="3"/>
      <c r="AY87" s="3"/>
      <c r="AZ87" s="3"/>
      <c r="BA87" s="3"/>
      <c r="BC87" s="13"/>
      <c r="BD87" s="7"/>
      <c r="BE87" s="3"/>
      <c r="BF87" s="3"/>
      <c r="BG87" s="3"/>
      <c r="BH87" s="3"/>
    </row>
    <row r="88" spans="1:60" x14ac:dyDescent="0.3">
      <c r="A88">
        <v>45</v>
      </c>
      <c r="B88" s="1" t="s">
        <v>90</v>
      </c>
      <c r="C88" s="1" t="s">
        <v>30</v>
      </c>
      <c r="D88" s="2">
        <v>42675</v>
      </c>
      <c r="E88" s="3">
        <v>25.44</v>
      </c>
      <c r="F88" s="4">
        <f t="shared" si="2"/>
        <v>5594.0037007874025</v>
      </c>
      <c r="G88" s="7">
        <v>4.42</v>
      </c>
      <c r="H88" s="7">
        <v>4.18</v>
      </c>
      <c r="I88" s="5">
        <f t="shared" si="3"/>
        <v>5.4298642533936698</v>
      </c>
      <c r="J88" s="4">
        <f t="shared" si="4"/>
        <v>5290.2568935048284</v>
      </c>
      <c r="K88" s="2">
        <v>42793</v>
      </c>
      <c r="L88" s="7">
        <v>4.18</v>
      </c>
      <c r="M88" s="7">
        <v>1.72</v>
      </c>
      <c r="N88" s="7">
        <v>2.12</v>
      </c>
      <c r="O88" s="6">
        <f t="shared" si="5"/>
        <v>0.41148325358851678</v>
      </c>
      <c r="P88" s="6">
        <f t="shared" si="6"/>
        <v>0.50717703349282306</v>
      </c>
      <c r="Q88" s="6">
        <f t="shared" si="7"/>
        <v>8.1339712918660156E-2</v>
      </c>
      <c r="R88" s="4">
        <f t="shared" si="8"/>
        <v>2301.8388433862042</v>
      </c>
      <c r="S88" s="4">
        <f t="shared" si="9"/>
        <v>2837.1502023132284</v>
      </c>
      <c r="T88" s="4">
        <f t="shared" si="10"/>
        <v>5138.9890456994326</v>
      </c>
      <c r="U88" s="4">
        <f t="shared" si="11"/>
        <v>2176.8521188584464</v>
      </c>
      <c r="V88" s="4">
        <f t="shared" si="12"/>
        <v>2683.0967976627367</v>
      </c>
      <c r="W88" s="4">
        <f t="shared" si="13"/>
        <v>4859.9489165211835</v>
      </c>
      <c r="X88" s="10"/>
      <c r="Y88" s="12"/>
      <c r="Z88" s="5"/>
      <c r="AA88" s="4"/>
      <c r="AB88" s="4"/>
      <c r="AC88" s="4"/>
      <c r="AD88" s="4"/>
      <c r="AI88" s="3"/>
      <c r="AJ88" s="3"/>
      <c r="AK88" s="7"/>
      <c r="AL88" s="7"/>
      <c r="AM88" s="7"/>
      <c r="AN88" s="3"/>
      <c r="AO88" s="3"/>
      <c r="AP88" s="7"/>
      <c r="AQ88" s="7"/>
      <c r="AR88" s="7"/>
      <c r="AS88" s="9"/>
      <c r="AT88" s="9"/>
      <c r="AU88" s="9"/>
      <c r="AV88" s="3"/>
      <c r="AW88" s="3"/>
      <c r="AX88" s="3"/>
      <c r="AY88" s="3"/>
      <c r="AZ88" s="3"/>
      <c r="BA88" s="3"/>
      <c r="BC88" s="13"/>
      <c r="BD88" s="7"/>
      <c r="BE88" s="3"/>
      <c r="BF88" s="3"/>
      <c r="BG88" s="3"/>
      <c r="BH88" s="3"/>
    </row>
    <row r="89" spans="1:60" x14ac:dyDescent="0.3">
      <c r="A89">
        <v>46</v>
      </c>
      <c r="B89" s="1" t="s">
        <v>91</v>
      </c>
      <c r="C89" s="1" t="s">
        <v>30</v>
      </c>
      <c r="D89" s="2">
        <v>42675</v>
      </c>
      <c r="E89" s="3">
        <v>26.8</v>
      </c>
      <c r="F89" s="4">
        <f t="shared" si="2"/>
        <v>5897.5888976377955</v>
      </c>
      <c r="G89" s="7">
        <v>4.62</v>
      </c>
      <c r="H89" s="7">
        <v>4.3600000000000003</v>
      </c>
      <c r="I89" s="5">
        <f t="shared" si="3"/>
        <v>5.6277056277056232</v>
      </c>
      <c r="J89" s="4">
        <f t="shared" si="4"/>
        <v>5565.6899553464909</v>
      </c>
      <c r="K89" s="2">
        <v>42793</v>
      </c>
      <c r="L89" s="7">
        <v>4.3600000000000003</v>
      </c>
      <c r="M89" s="7">
        <v>1.82</v>
      </c>
      <c r="N89" s="7">
        <v>2.2400000000000002</v>
      </c>
      <c r="O89" s="6">
        <f t="shared" si="5"/>
        <v>0.41743119266055045</v>
      </c>
      <c r="P89" s="6">
        <f t="shared" si="6"/>
        <v>0.51376146788990829</v>
      </c>
      <c r="Q89" s="6">
        <f t="shared" si="7"/>
        <v>6.8807339449541205E-2</v>
      </c>
      <c r="R89" s="4">
        <f t="shared" si="8"/>
        <v>2461.837567362566</v>
      </c>
      <c r="S89" s="4">
        <f t="shared" si="9"/>
        <v>3029.9539290616199</v>
      </c>
      <c r="T89" s="4">
        <f t="shared" si="10"/>
        <v>5491.7914964241863</v>
      </c>
      <c r="U89" s="4">
        <f t="shared" si="11"/>
        <v>2323.2925960391317</v>
      </c>
      <c r="V89" s="4">
        <f t="shared" si="12"/>
        <v>2859.4370412789312</v>
      </c>
      <c r="W89" s="4">
        <f t="shared" si="13"/>
        <v>5182.7296373180634</v>
      </c>
      <c r="X89" s="10"/>
      <c r="Y89" s="12"/>
      <c r="Z89" s="5"/>
      <c r="AA89" s="4"/>
      <c r="AB89" s="4"/>
      <c r="AC89" s="4"/>
      <c r="AD89" s="4"/>
      <c r="AF89" t="s">
        <v>270</v>
      </c>
      <c r="AG89" t="s">
        <v>30</v>
      </c>
      <c r="AH89" s="8">
        <f>D89</f>
        <v>42675</v>
      </c>
      <c r="AI89" s="3">
        <f>SUM(E89:E91)</f>
        <v>81.2</v>
      </c>
      <c r="AJ89" s="3">
        <f>(AI89-3*$A$33)*$A$34/(3*$A$35)*$A$36</f>
        <v>5957.1154068241458</v>
      </c>
      <c r="AK89" s="7">
        <f>SUM(G89:G91)</f>
        <v>13.540000000000001</v>
      </c>
      <c r="AL89" s="7">
        <f>SUM(H89:H91)</f>
        <v>12.84</v>
      </c>
      <c r="AM89" s="7">
        <f>(AK89-AL89)/AK89*100</f>
        <v>5.169867060561308</v>
      </c>
      <c r="AN89" s="3">
        <f>AJ89*(1-AM89/100)</f>
        <v>5649.140459647122</v>
      </c>
      <c r="AO89" s="11">
        <f>K89</f>
        <v>42793</v>
      </c>
      <c r="AP89" s="7">
        <f>SUM(L89:L91)</f>
        <v>12.84</v>
      </c>
      <c r="AQ89" s="7">
        <f t="shared" ref="AQ89" si="112">SUM(M89:M91)</f>
        <v>5.36</v>
      </c>
      <c r="AR89" s="7">
        <f t="shared" ref="AR89" si="113">SUM(N89:N91)</f>
        <v>6.5399999999999991</v>
      </c>
      <c r="AS89" s="9">
        <f>AQ89/AP89</f>
        <v>0.41744548286604366</v>
      </c>
      <c r="AT89" s="9">
        <f>AR89/AP89</f>
        <v>0.50934579439252325</v>
      </c>
      <c r="AU89" s="9">
        <f>1-AS89-AT89</f>
        <v>7.3208722741433085E-2</v>
      </c>
      <c r="AV89" s="3">
        <f>AJ89*AS89</f>
        <v>2486.7709174904535</v>
      </c>
      <c r="AW89" s="3">
        <f>AJ89*AT89</f>
        <v>3034.2316791767839</v>
      </c>
      <c r="AX89" s="3">
        <f>AV89+AW89</f>
        <v>5521.0025966672374</v>
      </c>
      <c r="AY89" s="3">
        <f>AN89*AS89</f>
        <v>2358.2081669554968</v>
      </c>
      <c r="AZ89" s="3">
        <f>AN89*AT89</f>
        <v>2877.3659350539074</v>
      </c>
      <c r="BA89" s="3">
        <f>AY89+AZ89</f>
        <v>5235.5741020094047</v>
      </c>
      <c r="BB89" s="11">
        <f>X90</f>
        <v>42901</v>
      </c>
      <c r="BC89" s="13">
        <f>AVERAGE(Y89:Y91)</f>
        <v>47</v>
      </c>
      <c r="BD89" s="7">
        <f t="shared" ref="BD89" si="114">AVERAGE(Z89:Z91)</f>
        <v>1.1499999999999999</v>
      </c>
      <c r="BE89" s="3">
        <f t="shared" ref="BE89" si="115">AVERAGE(AA89:AA91)</f>
        <v>81.900000000000006</v>
      </c>
      <c r="BF89" s="3">
        <f t="shared" ref="BF89" si="116">AVERAGE(AB89:AB91)</f>
        <v>32.5</v>
      </c>
      <c r="BG89" s="3">
        <f t="shared" ref="BG89" si="117">AVERAGE(AC89:AC91)</f>
        <v>5.5</v>
      </c>
      <c r="BH89" s="3">
        <f t="shared" ref="BH89" si="118">AVERAGE(AD89:AD91)</f>
        <v>8.6999999999999993</v>
      </c>
    </row>
    <row r="90" spans="1:60" x14ac:dyDescent="0.3">
      <c r="A90">
        <v>47</v>
      </c>
      <c r="B90" s="1" t="s">
        <v>92</v>
      </c>
      <c r="C90" s="1" t="s">
        <v>30</v>
      </c>
      <c r="D90" s="2">
        <v>42675</v>
      </c>
      <c r="E90" s="3">
        <v>29.64</v>
      </c>
      <c r="F90" s="4">
        <f t="shared" si="2"/>
        <v>6531.5462204724417</v>
      </c>
      <c r="G90" s="7">
        <v>4.2</v>
      </c>
      <c r="H90" s="7">
        <v>4</v>
      </c>
      <c r="I90" s="5">
        <f t="shared" si="3"/>
        <v>4.7619047619047654</v>
      </c>
      <c r="J90" s="4">
        <f t="shared" si="4"/>
        <v>6220.5202099737535</v>
      </c>
      <c r="K90" s="2">
        <v>42793</v>
      </c>
      <c r="L90" s="7">
        <v>4</v>
      </c>
      <c r="M90" s="7">
        <v>1.68</v>
      </c>
      <c r="N90" s="7">
        <v>2.02</v>
      </c>
      <c r="O90" s="6">
        <f t="shared" si="5"/>
        <v>0.42</v>
      </c>
      <c r="P90" s="6">
        <f t="shared" si="6"/>
        <v>0.505</v>
      </c>
      <c r="Q90" s="6">
        <f t="shared" si="7"/>
        <v>7.5000000000000067E-2</v>
      </c>
      <c r="R90" s="4">
        <f t="shared" si="8"/>
        <v>2743.2494125984254</v>
      </c>
      <c r="S90" s="4">
        <f t="shared" si="9"/>
        <v>3298.4308413385829</v>
      </c>
      <c r="T90" s="4">
        <f t="shared" si="10"/>
        <v>6041.6802539370083</v>
      </c>
      <c r="U90" s="4">
        <f t="shared" si="11"/>
        <v>2612.6184881889762</v>
      </c>
      <c r="V90" s="4">
        <f t="shared" si="12"/>
        <v>3141.3627060367457</v>
      </c>
      <c r="W90" s="4">
        <f t="shared" si="13"/>
        <v>5753.981194225722</v>
      </c>
      <c r="X90" s="10">
        <v>42901</v>
      </c>
      <c r="Y90" s="12">
        <v>47</v>
      </c>
      <c r="Z90" s="5">
        <v>1.1499999999999999</v>
      </c>
      <c r="AA90" s="4">
        <v>81.900000000000006</v>
      </c>
      <c r="AB90" s="4">
        <v>32.5</v>
      </c>
      <c r="AC90" s="4">
        <v>5.5</v>
      </c>
      <c r="AD90" s="4">
        <v>8.6999999999999993</v>
      </c>
      <c r="AI90" s="3"/>
      <c r="AJ90" s="3"/>
      <c r="AK90" s="7"/>
      <c r="AL90" s="7"/>
      <c r="AM90" s="7"/>
      <c r="AN90" s="3"/>
      <c r="AO90" s="3"/>
      <c r="AP90" s="7"/>
      <c r="AQ90" s="7"/>
      <c r="AR90" s="7"/>
      <c r="AS90" s="9"/>
      <c r="AT90" s="9"/>
      <c r="AU90" s="9"/>
      <c r="AV90" s="3"/>
      <c r="AW90" s="3"/>
      <c r="AX90" s="3"/>
      <c r="AY90" s="3"/>
      <c r="AZ90" s="3"/>
      <c r="BA90" s="3"/>
      <c r="BC90" s="13"/>
      <c r="BD90" s="7"/>
      <c r="BE90" s="3"/>
      <c r="BF90" s="3"/>
      <c r="BG90" s="3"/>
      <c r="BH90" s="3"/>
    </row>
    <row r="91" spans="1:60" x14ac:dyDescent="0.3">
      <c r="A91">
        <v>48</v>
      </c>
      <c r="B91" s="1" t="s">
        <v>93</v>
      </c>
      <c r="C91" s="1" t="s">
        <v>30</v>
      </c>
      <c r="D91" s="2">
        <v>42675</v>
      </c>
      <c r="E91" s="3">
        <v>24.76</v>
      </c>
      <c r="F91" s="4">
        <f t="shared" si="2"/>
        <v>5442.2111023622056</v>
      </c>
      <c r="G91" s="7">
        <v>4.7200000000000006</v>
      </c>
      <c r="H91" s="7">
        <v>4.4800000000000004</v>
      </c>
      <c r="I91" s="5">
        <f t="shared" si="3"/>
        <v>5.0847457627118686</v>
      </c>
      <c r="J91" s="4">
        <f t="shared" si="4"/>
        <v>5165.4885039370083</v>
      </c>
      <c r="K91" s="2">
        <v>42793</v>
      </c>
      <c r="L91" s="7">
        <v>4.4800000000000004</v>
      </c>
      <c r="M91" s="7">
        <v>1.86</v>
      </c>
      <c r="N91" s="7">
        <v>2.2799999999999998</v>
      </c>
      <c r="O91" s="6">
        <f t="shared" si="5"/>
        <v>0.4151785714285714</v>
      </c>
      <c r="P91" s="6">
        <f t="shared" si="6"/>
        <v>0.50892857142857129</v>
      </c>
      <c r="Q91" s="6">
        <f t="shared" si="7"/>
        <v>7.5892857142857317E-2</v>
      </c>
      <c r="R91" s="4">
        <f t="shared" si="8"/>
        <v>2259.4894308914513</v>
      </c>
      <c r="S91" s="4">
        <f t="shared" si="9"/>
        <v>2769.6967217379074</v>
      </c>
      <c r="T91" s="4">
        <f t="shared" si="10"/>
        <v>5029.1861526293587</v>
      </c>
      <c r="U91" s="4">
        <f t="shared" si="11"/>
        <v>2144.6001377952757</v>
      </c>
      <c r="V91" s="4">
        <f t="shared" si="12"/>
        <v>2628.8646850393698</v>
      </c>
      <c r="W91" s="4">
        <f t="shared" si="13"/>
        <v>4773.464822834645</v>
      </c>
      <c r="X91" s="10"/>
      <c r="Y91" s="12"/>
      <c r="Z91" s="5"/>
      <c r="AA91" s="4"/>
      <c r="AB91" s="4"/>
      <c r="AC91" s="4"/>
      <c r="AD91" s="4"/>
      <c r="AI91" s="3"/>
      <c r="AJ91" s="3"/>
      <c r="AK91" s="7"/>
      <c r="AL91" s="7"/>
      <c r="AM91" s="7"/>
      <c r="AN91" s="3"/>
      <c r="AO91" s="3"/>
      <c r="AP91" s="7"/>
      <c r="AQ91" s="7"/>
      <c r="AR91" s="7"/>
      <c r="AS91" s="9"/>
      <c r="AT91" s="9"/>
      <c r="AU91" s="9"/>
      <c r="AV91" s="3"/>
      <c r="AW91" s="3"/>
      <c r="AX91" s="3"/>
      <c r="AY91" s="3"/>
      <c r="AZ91" s="3"/>
      <c r="BA91" s="3"/>
      <c r="BC91" s="13"/>
      <c r="BD91" s="7"/>
      <c r="BE91" s="3"/>
      <c r="BF91" s="3"/>
      <c r="BG91" s="3"/>
      <c r="BH91" s="3"/>
    </row>
    <row r="92" spans="1:60" x14ac:dyDescent="0.3">
      <c r="A92">
        <v>49</v>
      </c>
      <c r="B92" s="1" t="s">
        <v>94</v>
      </c>
      <c r="C92" s="1" t="s">
        <v>30</v>
      </c>
      <c r="D92" s="2">
        <v>42675</v>
      </c>
      <c r="E92" s="3">
        <v>24.58</v>
      </c>
      <c r="F92" s="4">
        <f t="shared" si="2"/>
        <v>5402.0307086614175</v>
      </c>
      <c r="G92" s="7">
        <v>4.66</v>
      </c>
      <c r="H92" s="7">
        <v>4.4400000000000004</v>
      </c>
      <c r="I92" s="5">
        <f t="shared" si="3"/>
        <v>4.72103004291845</v>
      </c>
      <c r="J92" s="4">
        <f t="shared" si="4"/>
        <v>5146.9992159778312</v>
      </c>
      <c r="K92" s="2">
        <v>42782</v>
      </c>
      <c r="L92" s="7">
        <v>4.4400000000000004</v>
      </c>
      <c r="M92" s="7">
        <v>1.76</v>
      </c>
      <c r="N92" s="7">
        <v>2.2799999999999998</v>
      </c>
      <c r="O92" s="6">
        <f t="shared" si="5"/>
        <v>0.39639639639639634</v>
      </c>
      <c r="P92" s="6">
        <f t="shared" si="6"/>
        <v>0.51351351351351338</v>
      </c>
      <c r="Q92" s="6">
        <f t="shared" si="7"/>
        <v>9.009009009009028E-2</v>
      </c>
      <c r="R92" s="4">
        <f t="shared" si="8"/>
        <v>2141.3455061360573</v>
      </c>
      <c r="S92" s="4">
        <f t="shared" si="9"/>
        <v>2774.0157693126189</v>
      </c>
      <c r="T92" s="4">
        <f t="shared" si="10"/>
        <v>4915.3612754486767</v>
      </c>
      <c r="U92" s="4">
        <f t="shared" si="11"/>
        <v>2040.2519414686897</v>
      </c>
      <c r="V92" s="4">
        <f t="shared" si="12"/>
        <v>2643.0536514480746</v>
      </c>
      <c r="W92" s="4">
        <f t="shared" si="13"/>
        <v>4683.305592916764</v>
      </c>
      <c r="X92" s="10"/>
      <c r="Y92" s="12"/>
      <c r="Z92" s="5"/>
      <c r="AA92" s="4"/>
      <c r="AB92" s="4"/>
      <c r="AC92" s="4"/>
      <c r="AD92" s="4"/>
      <c r="AF92" t="s">
        <v>271</v>
      </c>
      <c r="AG92" t="str">
        <f>C92</f>
        <v>Machine</v>
      </c>
      <c r="AH92" s="8">
        <f>D92</f>
        <v>42675</v>
      </c>
      <c r="AI92" s="3">
        <f>SUM(E92:E94)</f>
        <v>69.28</v>
      </c>
      <c r="AJ92" s="3">
        <f>(AI92-3*$A$33)*$A$34/(3*$A$35)*$A$36</f>
        <v>5070.1704199475062</v>
      </c>
      <c r="AK92" s="7">
        <f>SUM(G92:G94)</f>
        <v>13.64</v>
      </c>
      <c r="AL92" s="7">
        <f>SUM(H92:H94)</f>
        <v>12.940000000000001</v>
      </c>
      <c r="AM92" s="7">
        <f>(AK92-AL92)/AK92*100</f>
        <v>5.1319648093841588</v>
      </c>
      <c r="AN92" s="3">
        <f>AJ92*(1-AM92/100)</f>
        <v>4809.971058219995</v>
      </c>
      <c r="AO92" s="11">
        <f>K92</f>
        <v>42782</v>
      </c>
      <c r="AP92" s="7">
        <f>SUM(L92:L94)</f>
        <v>12.940000000000001</v>
      </c>
      <c r="AQ92" s="7">
        <f t="shared" ref="AQ92" si="119">SUM(M92:M94)</f>
        <v>5.0999999999999996</v>
      </c>
      <c r="AR92" s="7">
        <f t="shared" ref="AR92" si="120">SUM(N92:N94)</f>
        <v>6.6400000000000006</v>
      </c>
      <c r="AS92" s="9">
        <f>AQ92/AP92</f>
        <v>0.39412673879443577</v>
      </c>
      <c r="AT92" s="9">
        <f>AR92/AP92</f>
        <v>0.51313755795981453</v>
      </c>
      <c r="AU92" s="9">
        <f>1-AS92-AT92</f>
        <v>9.2735703245749646E-2</v>
      </c>
      <c r="AV92" s="3">
        <f>AJ92*AS92</f>
        <v>1998.2897327459254</v>
      </c>
      <c r="AW92" s="3">
        <f>AJ92*AT92</f>
        <v>2601.6948677319506</v>
      </c>
      <c r="AX92" s="3">
        <f>AV92+AW92</f>
        <v>4599.9846004778756</v>
      </c>
      <c r="AY92" s="3">
        <f>AN92*AS92</f>
        <v>1895.7382068718678</v>
      </c>
      <c r="AZ92" s="3">
        <f>AN92*AT92</f>
        <v>2468.176802672393</v>
      </c>
      <c r="BA92" s="3">
        <f>AY92+AZ92</f>
        <v>4363.915009544261</v>
      </c>
      <c r="BB92" s="11">
        <f>X93</f>
        <v>42901</v>
      </c>
      <c r="BC92" s="13">
        <f>AVERAGE(Y92:Y94)</f>
        <v>41</v>
      </c>
      <c r="BD92" s="7">
        <f t="shared" ref="BD92" si="121">AVERAGE(Z92:Z94)</f>
        <v>1.1499999999999999</v>
      </c>
      <c r="BE92" s="3">
        <f t="shared" ref="BE92" si="122">AVERAGE(AA92:AA94)</f>
        <v>81.400000000000006</v>
      </c>
      <c r="BF92" s="3">
        <f t="shared" ref="BF92" si="123">AVERAGE(AB92:AB94)</f>
        <v>31</v>
      </c>
      <c r="BG92" s="3">
        <f t="shared" ref="BG92" si="124">AVERAGE(AC92:AC94)</f>
        <v>5.7</v>
      </c>
      <c r="BH92" s="3">
        <f t="shared" ref="BH92" si="125">AVERAGE(AD92:AD94)</f>
        <v>9.9</v>
      </c>
    </row>
    <row r="93" spans="1:60" x14ac:dyDescent="0.3">
      <c r="A93">
        <v>50</v>
      </c>
      <c r="B93" s="1" t="s">
        <v>95</v>
      </c>
      <c r="C93" s="1" t="s">
        <v>30</v>
      </c>
      <c r="D93" s="2">
        <v>42675</v>
      </c>
      <c r="E93" s="3">
        <v>23.48</v>
      </c>
      <c r="F93" s="4">
        <f t="shared" si="2"/>
        <v>5156.4838582677176</v>
      </c>
      <c r="G93" s="7">
        <v>4.3600000000000003</v>
      </c>
      <c r="H93" s="7">
        <v>4.12</v>
      </c>
      <c r="I93" s="5">
        <f t="shared" si="3"/>
        <v>5.5045871559633071</v>
      </c>
      <c r="J93" s="4">
        <f t="shared" si="4"/>
        <v>4872.6407101061914</v>
      </c>
      <c r="K93" s="2">
        <v>42782</v>
      </c>
      <c r="L93" s="7">
        <v>4.12</v>
      </c>
      <c r="M93" s="7">
        <v>1.62</v>
      </c>
      <c r="N93" s="7">
        <v>2.12</v>
      </c>
      <c r="O93" s="6">
        <f t="shared" si="5"/>
        <v>0.39320388349514562</v>
      </c>
      <c r="P93" s="6">
        <f t="shared" si="6"/>
        <v>0.5145631067961165</v>
      </c>
      <c r="Q93" s="6">
        <f t="shared" si="7"/>
        <v>9.2233009708737823E-2</v>
      </c>
      <c r="R93" s="4">
        <f t="shared" si="8"/>
        <v>2027.5494782508986</v>
      </c>
      <c r="S93" s="4">
        <f t="shared" si="9"/>
        <v>2653.3363542542625</v>
      </c>
      <c r="T93" s="4">
        <f t="shared" si="10"/>
        <v>4680.8858325051606</v>
      </c>
      <c r="U93" s="4">
        <f t="shared" si="11"/>
        <v>1915.9412500902986</v>
      </c>
      <c r="V93" s="4">
        <f t="shared" si="12"/>
        <v>2507.2811420934772</v>
      </c>
      <c r="W93" s="4">
        <f t="shared" si="13"/>
        <v>4423.2223921837758</v>
      </c>
      <c r="X93" s="10">
        <v>42901</v>
      </c>
      <c r="Y93" s="12">
        <v>41</v>
      </c>
      <c r="Z93" s="5">
        <v>1.1499999999999999</v>
      </c>
      <c r="AA93" s="4">
        <v>81.400000000000006</v>
      </c>
      <c r="AB93" s="4">
        <v>31</v>
      </c>
      <c r="AC93" s="4">
        <v>5.7</v>
      </c>
      <c r="AD93" s="4">
        <v>9.9</v>
      </c>
      <c r="AI93" s="3"/>
      <c r="AJ93" s="3"/>
      <c r="AK93" s="7"/>
      <c r="AL93" s="7"/>
      <c r="AM93" s="7"/>
      <c r="AN93" s="3"/>
      <c r="AO93" s="3"/>
      <c r="AP93" s="7"/>
      <c r="AQ93" s="7"/>
      <c r="AR93" s="7"/>
      <c r="AS93" s="9"/>
      <c r="AT93" s="9"/>
      <c r="AU93" s="9"/>
      <c r="AV93" s="3"/>
      <c r="AW93" s="3"/>
      <c r="AX93" s="3"/>
      <c r="AY93" s="3"/>
      <c r="AZ93" s="3"/>
      <c r="BA93" s="3"/>
      <c r="BC93" s="13"/>
      <c r="BD93" s="7"/>
      <c r="BE93" s="3"/>
      <c r="BF93" s="3"/>
      <c r="BG93" s="3"/>
      <c r="BH93" s="3"/>
    </row>
    <row r="94" spans="1:60" x14ac:dyDescent="0.3">
      <c r="A94">
        <v>51</v>
      </c>
      <c r="B94" s="1" t="s">
        <v>96</v>
      </c>
      <c r="C94" s="1" t="s">
        <v>30</v>
      </c>
      <c r="D94" s="2">
        <v>42675</v>
      </c>
      <c r="E94" s="3">
        <v>21.22</v>
      </c>
      <c r="F94" s="4">
        <f t="shared" si="2"/>
        <v>4651.9966929133852</v>
      </c>
      <c r="G94" s="7">
        <v>4.62</v>
      </c>
      <c r="H94" s="7">
        <v>4.38</v>
      </c>
      <c r="I94" s="5">
        <f t="shared" si="3"/>
        <v>5.1948051948051992</v>
      </c>
      <c r="J94" s="4">
        <f t="shared" si="4"/>
        <v>4410.3345270477548</v>
      </c>
      <c r="K94" s="2">
        <v>42782</v>
      </c>
      <c r="L94" s="7">
        <v>4.38</v>
      </c>
      <c r="M94" s="7">
        <v>1.72</v>
      </c>
      <c r="N94" s="7">
        <v>2.2400000000000002</v>
      </c>
      <c r="O94" s="6">
        <f t="shared" si="5"/>
        <v>0.39269406392694062</v>
      </c>
      <c r="P94" s="6">
        <f t="shared" si="6"/>
        <v>0.51141552511415533</v>
      </c>
      <c r="Q94" s="6">
        <f t="shared" si="7"/>
        <v>9.5890410958904049E-2</v>
      </c>
      <c r="R94" s="4">
        <f t="shared" si="8"/>
        <v>1826.8114867148452</v>
      </c>
      <c r="S94" s="4">
        <f t="shared" si="9"/>
        <v>2379.1033315356131</v>
      </c>
      <c r="T94" s="4">
        <f t="shared" si="10"/>
        <v>4205.9148182504578</v>
      </c>
      <c r="U94" s="4">
        <f t="shared" si="11"/>
        <v>1731.9121887036845</v>
      </c>
      <c r="V94" s="4">
        <f t="shared" si="12"/>
        <v>2255.5135480792173</v>
      </c>
      <c r="W94" s="4">
        <f t="shared" si="13"/>
        <v>3987.4257367829018</v>
      </c>
      <c r="X94" s="10"/>
      <c r="Y94" s="12"/>
      <c r="Z94" s="5"/>
      <c r="AA94" s="4"/>
      <c r="AB94" s="4"/>
      <c r="AC94" s="4"/>
      <c r="AD94" s="4"/>
      <c r="AI94" s="3"/>
      <c r="AJ94" s="3"/>
      <c r="AK94" s="7"/>
      <c r="AL94" s="7"/>
      <c r="AM94" s="7"/>
      <c r="AN94" s="3"/>
      <c r="AO94" s="3"/>
      <c r="AP94" s="7"/>
      <c r="AQ94" s="7"/>
      <c r="AR94" s="7"/>
      <c r="AS94" s="9"/>
      <c r="AT94" s="9"/>
      <c r="AU94" s="9"/>
      <c r="AV94" s="3"/>
      <c r="AW94" s="3"/>
      <c r="AX94" s="3"/>
      <c r="AY94" s="3"/>
      <c r="AZ94" s="3"/>
      <c r="BA94" s="3"/>
      <c r="BC94" s="13"/>
      <c r="BD94" s="7"/>
      <c r="BE94" s="3"/>
      <c r="BF94" s="3"/>
      <c r="BG94" s="3"/>
      <c r="BH94" s="3"/>
    </row>
    <row r="95" spans="1:60" x14ac:dyDescent="0.3">
      <c r="A95">
        <v>52</v>
      </c>
      <c r="B95" s="1" t="s">
        <v>97</v>
      </c>
      <c r="C95" s="1" t="s">
        <v>30</v>
      </c>
      <c r="D95" s="2">
        <v>42675</v>
      </c>
      <c r="E95" s="3">
        <v>23.54</v>
      </c>
      <c r="F95" s="4">
        <f t="shared" si="2"/>
        <v>5169.8773228346454</v>
      </c>
      <c r="G95" s="7">
        <v>4.5200000000000005</v>
      </c>
      <c r="H95" s="7">
        <v>4.32</v>
      </c>
      <c r="I95" s="5">
        <f t="shared" si="3"/>
        <v>4.4247787610619502</v>
      </c>
      <c r="J95" s="4">
        <f t="shared" si="4"/>
        <v>4941.1216890809001</v>
      </c>
      <c r="K95" s="2">
        <v>42793</v>
      </c>
      <c r="L95" s="7">
        <v>4.32</v>
      </c>
      <c r="M95" s="7">
        <v>1.74</v>
      </c>
      <c r="N95" s="7">
        <v>2.16</v>
      </c>
      <c r="O95" s="6">
        <f t="shared" si="5"/>
        <v>0.40277777777777773</v>
      </c>
      <c r="P95" s="6">
        <f t="shared" si="6"/>
        <v>0.5</v>
      </c>
      <c r="Q95" s="6">
        <f t="shared" si="7"/>
        <v>9.7222222222222321E-2</v>
      </c>
      <c r="R95" s="4">
        <f t="shared" si="8"/>
        <v>2082.3116994750653</v>
      </c>
      <c r="S95" s="4">
        <f t="shared" si="9"/>
        <v>2584.9386614173227</v>
      </c>
      <c r="T95" s="4">
        <f t="shared" si="10"/>
        <v>4667.250360892388</v>
      </c>
      <c r="U95" s="4">
        <f t="shared" si="11"/>
        <v>1990.1740136575845</v>
      </c>
      <c r="V95" s="4">
        <f t="shared" si="12"/>
        <v>2470.56084454045</v>
      </c>
      <c r="W95" s="4">
        <f t="shared" si="13"/>
        <v>4460.734858198035</v>
      </c>
      <c r="X95" s="10"/>
      <c r="Y95" s="12"/>
      <c r="Z95" s="5"/>
      <c r="AA95" s="4"/>
      <c r="AB95" s="4"/>
      <c r="AC95" s="4"/>
      <c r="AD95" s="4"/>
      <c r="AF95" t="s">
        <v>272</v>
      </c>
      <c r="AG95" t="s">
        <v>30</v>
      </c>
      <c r="AH95" s="8">
        <f>D95</f>
        <v>42675</v>
      </c>
      <c r="AI95" s="3">
        <f>SUM(E95:E97)</f>
        <v>71.64</v>
      </c>
      <c r="AJ95" s="3">
        <f>(AI95-3*$A$33)*$A$34/(3*$A$35)*$A$36</f>
        <v>5245.7736220472443</v>
      </c>
      <c r="AK95" s="7">
        <f>SUM(G95:G97)</f>
        <v>12.940000000000001</v>
      </c>
      <c r="AL95" s="7">
        <f>SUM(H95:H97)</f>
        <v>12.3</v>
      </c>
      <c r="AM95" s="7">
        <f>(AK95-AL95)/AK95*100</f>
        <v>4.9459041731066504</v>
      </c>
      <c r="AN95" s="3">
        <f>AJ95*(1-AM95/100)</f>
        <v>4986.3226855626817</v>
      </c>
      <c r="AO95" s="11">
        <f>K95</f>
        <v>42793</v>
      </c>
      <c r="AP95" s="7">
        <f>SUM(L95:L97)</f>
        <v>12.3</v>
      </c>
      <c r="AQ95" s="7">
        <f t="shared" ref="AQ95" si="126">SUM(M95:M97)</f>
        <v>5.04</v>
      </c>
      <c r="AR95" s="7">
        <f t="shared" ref="AR95" si="127">SUM(N95:N97)</f>
        <v>6.2</v>
      </c>
      <c r="AS95" s="9">
        <f>AQ95/AP95</f>
        <v>0.40975609756097559</v>
      </c>
      <c r="AT95" s="9">
        <f>AR95/AP95</f>
        <v>0.50406504065040647</v>
      </c>
      <c r="AU95" s="9">
        <f>1-AS95-AT95</f>
        <v>8.6178861788618E-2</v>
      </c>
      <c r="AV95" s="3">
        <f>AJ95*AS95</f>
        <v>2149.4877280583828</v>
      </c>
      <c r="AW95" s="3">
        <f>AJ95*AT95</f>
        <v>2644.2110940400744</v>
      </c>
      <c r="AX95" s="3">
        <f>AV95+AW95</f>
        <v>4793.6988220984567</v>
      </c>
      <c r="AY95" s="3">
        <f>AN95*AS95</f>
        <v>2043.176124815928</v>
      </c>
      <c r="AZ95" s="3">
        <f>AN95*AT95</f>
        <v>2513.430947194197</v>
      </c>
      <c r="BA95" s="3">
        <f>AY95+AZ95</f>
        <v>4556.6070720101252</v>
      </c>
      <c r="BB95" s="11">
        <f>X96</f>
        <v>42901</v>
      </c>
      <c r="BC95" s="13">
        <f>AVERAGE(Y95:Y97)</f>
        <v>44</v>
      </c>
      <c r="BD95" s="7">
        <f t="shared" ref="BD95" si="128">AVERAGE(Z95:Z97)</f>
        <v>1.1599999999999999</v>
      </c>
      <c r="BE95" s="3">
        <f t="shared" ref="BE95" si="129">AVERAGE(AA95:AA97)</f>
        <v>82.1</v>
      </c>
      <c r="BF95" s="3">
        <f t="shared" ref="BF95" si="130">AVERAGE(AB95:AB97)</f>
        <v>31.7</v>
      </c>
      <c r="BG95" s="3">
        <f t="shared" ref="BG95" si="131">AVERAGE(AC95:AC97)</f>
        <v>5.6</v>
      </c>
      <c r="BH95" s="3">
        <f t="shared" ref="BH95" si="132">AVERAGE(AD95:AD97)</f>
        <v>9</v>
      </c>
    </row>
    <row r="96" spans="1:60" x14ac:dyDescent="0.3">
      <c r="A96">
        <v>53</v>
      </c>
      <c r="B96" s="1" t="s">
        <v>98</v>
      </c>
      <c r="C96" s="1" t="s">
        <v>30</v>
      </c>
      <c r="D96" s="2">
        <v>42675</v>
      </c>
      <c r="E96" s="3">
        <v>22.88</v>
      </c>
      <c r="F96" s="4">
        <f t="shared" si="2"/>
        <v>5022.5492125984247</v>
      </c>
      <c r="G96" s="7">
        <v>4.12</v>
      </c>
      <c r="H96" s="7">
        <v>3.9</v>
      </c>
      <c r="I96" s="5">
        <f t="shared" si="3"/>
        <v>5.3398058252427232</v>
      </c>
      <c r="J96" s="4">
        <f t="shared" si="4"/>
        <v>4754.354837168411</v>
      </c>
      <c r="K96" s="2">
        <v>42782</v>
      </c>
      <c r="L96" s="7">
        <v>3.9</v>
      </c>
      <c r="M96" s="7">
        <v>1.6</v>
      </c>
      <c r="N96" s="7">
        <v>1.96</v>
      </c>
      <c r="O96" s="6">
        <f t="shared" si="5"/>
        <v>0.4102564102564103</v>
      </c>
      <c r="P96" s="6">
        <f t="shared" si="6"/>
        <v>0.50256410256410255</v>
      </c>
      <c r="Q96" s="6">
        <f t="shared" si="7"/>
        <v>8.7179487179487092E-2</v>
      </c>
      <c r="R96" s="4">
        <f t="shared" si="8"/>
        <v>2060.5330102967896</v>
      </c>
      <c r="S96" s="4">
        <f t="shared" si="9"/>
        <v>2524.1529376135672</v>
      </c>
      <c r="T96" s="4">
        <f t="shared" si="10"/>
        <v>4584.6859479103568</v>
      </c>
      <c r="U96" s="4">
        <f t="shared" si="11"/>
        <v>1950.5045485819123</v>
      </c>
      <c r="V96" s="4">
        <f t="shared" si="12"/>
        <v>2389.3680720128423</v>
      </c>
      <c r="W96" s="4">
        <f t="shared" si="13"/>
        <v>4339.8726205947551</v>
      </c>
      <c r="X96" s="10">
        <v>42901</v>
      </c>
      <c r="Y96" s="12">
        <v>44</v>
      </c>
      <c r="Z96" s="5">
        <v>1.1599999999999999</v>
      </c>
      <c r="AA96" s="4">
        <v>82.1</v>
      </c>
      <c r="AB96" s="4">
        <v>31.7</v>
      </c>
      <c r="AC96" s="4">
        <v>5.6</v>
      </c>
      <c r="AD96" s="4">
        <v>9</v>
      </c>
      <c r="AI96" s="3"/>
      <c r="AJ96" s="3"/>
      <c r="AK96" s="7"/>
      <c r="AL96" s="7"/>
      <c r="AM96" s="7"/>
      <c r="AN96" s="3"/>
      <c r="AO96" s="3"/>
      <c r="AP96" s="7"/>
      <c r="AQ96" s="7"/>
      <c r="AR96" s="7"/>
      <c r="AS96" s="9"/>
      <c r="AT96" s="9"/>
      <c r="AU96" s="9"/>
      <c r="AV96" s="3"/>
      <c r="AW96" s="3"/>
      <c r="AX96" s="3"/>
      <c r="AY96" s="3"/>
      <c r="AZ96" s="3"/>
      <c r="BA96" s="3"/>
      <c r="BC96" s="13"/>
      <c r="BD96" s="7"/>
      <c r="BE96" s="3"/>
      <c r="BF96" s="3"/>
      <c r="BG96" s="3"/>
      <c r="BH96" s="3"/>
    </row>
    <row r="97" spans="1:60" x14ac:dyDescent="0.3">
      <c r="A97">
        <v>54</v>
      </c>
      <c r="B97" s="1" t="s">
        <v>99</v>
      </c>
      <c r="C97" s="1" t="s">
        <v>30</v>
      </c>
      <c r="D97" s="2">
        <v>42675</v>
      </c>
      <c r="E97" s="3">
        <v>25.22</v>
      </c>
      <c r="F97" s="4">
        <f t="shared" si="2"/>
        <v>5544.894330708662</v>
      </c>
      <c r="G97" s="7">
        <v>4.3000000000000007</v>
      </c>
      <c r="H97" s="7">
        <v>4.08</v>
      </c>
      <c r="I97" s="5">
        <f t="shared" si="3"/>
        <v>5.1162790697674554</v>
      </c>
      <c r="J97" s="4">
        <f t="shared" si="4"/>
        <v>5261.2020626258918</v>
      </c>
      <c r="K97" s="2">
        <v>42793</v>
      </c>
      <c r="L97" s="7">
        <v>4.08</v>
      </c>
      <c r="M97" s="7">
        <v>1.7</v>
      </c>
      <c r="N97" s="7">
        <v>2.08</v>
      </c>
      <c r="O97" s="6">
        <f t="shared" si="5"/>
        <v>0.41666666666666663</v>
      </c>
      <c r="P97" s="6">
        <f t="shared" si="6"/>
        <v>0.50980392156862742</v>
      </c>
      <c r="Q97" s="6">
        <f t="shared" si="7"/>
        <v>7.3529411764705954E-2</v>
      </c>
      <c r="R97" s="4">
        <f t="shared" si="8"/>
        <v>2310.3726377952758</v>
      </c>
      <c r="S97" s="4">
        <f t="shared" si="9"/>
        <v>2826.8088744789256</v>
      </c>
      <c r="T97" s="4">
        <f t="shared" si="10"/>
        <v>5137.1815122742009</v>
      </c>
      <c r="U97" s="4">
        <f t="shared" si="11"/>
        <v>2192.1675260941215</v>
      </c>
      <c r="V97" s="4">
        <f t="shared" si="12"/>
        <v>2682.1814436916311</v>
      </c>
      <c r="W97" s="4">
        <f t="shared" si="13"/>
        <v>4874.3489697857531</v>
      </c>
      <c r="X97" s="10"/>
      <c r="Y97" s="12"/>
      <c r="Z97" s="5"/>
      <c r="AA97" s="4"/>
      <c r="AB97" s="4"/>
      <c r="AC97" s="4"/>
      <c r="AD97" s="4"/>
      <c r="AI97" s="3"/>
      <c r="AJ97" s="3"/>
      <c r="AK97" s="7"/>
      <c r="AL97" s="7"/>
      <c r="AM97" s="7"/>
      <c r="AN97" s="3"/>
      <c r="AO97" s="3"/>
      <c r="AP97" s="7"/>
      <c r="AQ97" s="7"/>
      <c r="AR97" s="7"/>
      <c r="AS97" s="9"/>
      <c r="AT97" s="9"/>
      <c r="AU97" s="9"/>
      <c r="AV97" s="3"/>
      <c r="AW97" s="3"/>
      <c r="AX97" s="3"/>
      <c r="AY97" s="3"/>
      <c r="AZ97" s="3"/>
      <c r="BA97" s="3"/>
      <c r="BC97" s="13"/>
      <c r="BD97" s="7"/>
      <c r="BE97" s="3"/>
      <c r="BF97" s="3"/>
      <c r="BG97" s="3"/>
      <c r="BH97" s="3"/>
    </row>
    <row r="98" spans="1:60" x14ac:dyDescent="0.3">
      <c r="A98">
        <v>55</v>
      </c>
      <c r="B98" s="1" t="s">
        <v>100</v>
      </c>
      <c r="C98" s="1" t="s">
        <v>30</v>
      </c>
      <c r="D98" s="2">
        <v>42675</v>
      </c>
      <c r="E98" s="3">
        <v>21.76</v>
      </c>
      <c r="F98" s="4">
        <f t="shared" si="2"/>
        <v>4772.5378740157485</v>
      </c>
      <c r="G98" s="7">
        <v>4.38</v>
      </c>
      <c r="H98" s="7">
        <v>4.16</v>
      </c>
      <c r="I98" s="5">
        <f t="shared" si="3"/>
        <v>5.0228310502283051</v>
      </c>
      <c r="J98" s="4">
        <f t="shared" si="4"/>
        <v>4532.8213597957792</v>
      </c>
      <c r="K98" s="2">
        <v>42782</v>
      </c>
      <c r="L98" s="7">
        <v>4.16</v>
      </c>
      <c r="M98" s="7">
        <v>1.68</v>
      </c>
      <c r="N98" s="7">
        <v>2.1800000000000002</v>
      </c>
      <c r="O98" s="6">
        <f t="shared" si="5"/>
        <v>0.4038461538461538</v>
      </c>
      <c r="P98" s="6">
        <f t="shared" si="6"/>
        <v>0.52403846153846156</v>
      </c>
      <c r="Q98" s="6">
        <f t="shared" si="7"/>
        <v>7.2115384615384692E-2</v>
      </c>
      <c r="R98" s="4">
        <f t="shared" si="8"/>
        <v>1927.3710645063597</v>
      </c>
      <c r="S98" s="4">
        <f t="shared" si="9"/>
        <v>2500.993405133253</v>
      </c>
      <c r="T98" s="4">
        <f t="shared" si="10"/>
        <v>4428.3644696396132</v>
      </c>
      <c r="U98" s="4">
        <f t="shared" si="11"/>
        <v>1830.5624722252182</v>
      </c>
      <c r="V98" s="4">
        <f t="shared" si="12"/>
        <v>2375.3727318160577</v>
      </c>
      <c r="W98" s="4">
        <f t="shared" si="13"/>
        <v>4205.9352040412759</v>
      </c>
      <c r="X98" s="10"/>
      <c r="Y98" s="12"/>
      <c r="Z98" s="5"/>
      <c r="AA98" s="4"/>
      <c r="AB98" s="4"/>
      <c r="AC98" s="4"/>
      <c r="AD98" s="4"/>
      <c r="AF98" t="s">
        <v>273</v>
      </c>
      <c r="AG98" t="s">
        <v>30</v>
      </c>
      <c r="AH98" s="8">
        <f>D98</f>
        <v>42675</v>
      </c>
      <c r="AI98" s="3">
        <f>SUM(E98:E100)</f>
        <v>74.08</v>
      </c>
      <c r="AJ98" s="3">
        <f>(AI98-3*$A$33)*$A$34/(3*$A$35)*$A$36</f>
        <v>5427.3294750656169</v>
      </c>
      <c r="AK98" s="7">
        <f>SUM(G98:G100)</f>
        <v>13.760000000000002</v>
      </c>
      <c r="AL98" s="7">
        <f>SUM(H98:H100)</f>
        <v>13.120000000000001</v>
      </c>
      <c r="AM98" s="7">
        <f>(AK98-AL98)/AK98*100</f>
        <v>4.6511627906976782</v>
      </c>
      <c r="AN98" s="3">
        <f>AJ98*(1-AM98/100)</f>
        <v>5174.8955459927975</v>
      </c>
      <c r="AO98" s="11">
        <f>K98</f>
        <v>42782</v>
      </c>
      <c r="AP98" s="7">
        <f>SUM(L98:L100)</f>
        <v>13.120000000000001</v>
      </c>
      <c r="AQ98" s="7">
        <f t="shared" ref="AQ98" si="133">SUM(M98:M100)</f>
        <v>5.38</v>
      </c>
      <c r="AR98" s="7">
        <f t="shared" ref="AR98" si="134">SUM(N98:N100)</f>
        <v>6.74</v>
      </c>
      <c r="AS98" s="9">
        <f>AQ98/AP98</f>
        <v>0.41006097560975607</v>
      </c>
      <c r="AT98" s="9">
        <f>AR98/AP98</f>
        <v>0.51371951219512191</v>
      </c>
      <c r="AU98" s="9">
        <f>1-AS98-AT98</f>
        <v>7.6219512195122019E-2</v>
      </c>
      <c r="AV98" s="3">
        <f>AJ98*AS98</f>
        <v>2225.5360195009921</v>
      </c>
      <c r="AW98" s="3">
        <f>AJ98*AT98</f>
        <v>2788.1250504529157</v>
      </c>
      <c r="AX98" s="3">
        <f>AV98+AW98</f>
        <v>5013.6610699539078</v>
      </c>
      <c r="AY98" s="3">
        <f>AN98*AS98</f>
        <v>2122.0227162683877</v>
      </c>
      <c r="AZ98" s="3">
        <f>AN98*AT98</f>
        <v>2658.4448155481291</v>
      </c>
      <c r="BA98" s="3">
        <f>AY98+AZ98</f>
        <v>4780.4675318165173</v>
      </c>
      <c r="BB98" s="11">
        <f>X99</f>
        <v>42901</v>
      </c>
      <c r="BC98" s="13">
        <f>AVERAGE(Y98:Y100)</f>
        <v>44</v>
      </c>
      <c r="BD98" s="7">
        <f t="shared" ref="BD98" si="135">AVERAGE(Z98:Z100)</f>
        <v>1.1499999999999999</v>
      </c>
      <c r="BE98" s="3">
        <f t="shared" ref="BE98" si="136">AVERAGE(AA98:AA100)</f>
        <v>81.5</v>
      </c>
      <c r="BF98" s="3">
        <f t="shared" ref="BF98" si="137">AVERAGE(AB98:AB100)</f>
        <v>32.1</v>
      </c>
      <c r="BG98" s="3">
        <f t="shared" ref="BG98" si="138">AVERAGE(AC98:AC100)</f>
        <v>6.1</v>
      </c>
      <c r="BH98" s="3">
        <f t="shared" ref="BH98" si="139">AVERAGE(AD98:AD100)</f>
        <v>9.3000000000000007</v>
      </c>
    </row>
    <row r="99" spans="1:60" x14ac:dyDescent="0.3">
      <c r="A99">
        <v>56</v>
      </c>
      <c r="B99" s="1" t="s">
        <v>101</v>
      </c>
      <c r="C99" s="1" t="s">
        <v>30</v>
      </c>
      <c r="D99" s="2">
        <v>42675</v>
      </c>
      <c r="E99" s="3">
        <v>25.76</v>
      </c>
      <c r="F99" s="4">
        <f t="shared" si="2"/>
        <v>5665.4355118110243</v>
      </c>
      <c r="G99" s="7">
        <v>4.74</v>
      </c>
      <c r="H99" s="7">
        <v>4.5199999999999996</v>
      </c>
      <c r="I99" s="5">
        <f t="shared" si="3"/>
        <v>4.6413502109704776</v>
      </c>
      <c r="J99" s="4">
        <f t="shared" si="4"/>
        <v>5402.4828087311871</v>
      </c>
      <c r="K99" s="2">
        <v>42782</v>
      </c>
      <c r="L99" s="7">
        <v>4.5199999999999996</v>
      </c>
      <c r="M99" s="7">
        <v>1.86</v>
      </c>
      <c r="N99" s="7">
        <v>2.2999999999999998</v>
      </c>
      <c r="O99" s="6">
        <f t="shared" si="5"/>
        <v>0.41150442477876115</v>
      </c>
      <c r="P99" s="6">
        <f t="shared" si="6"/>
        <v>0.50884955752212391</v>
      </c>
      <c r="Q99" s="6">
        <f t="shared" si="7"/>
        <v>7.9646017699114946E-2</v>
      </c>
      <c r="R99" s="4">
        <f t="shared" si="8"/>
        <v>2331.3517814089619</v>
      </c>
      <c r="S99" s="4">
        <f t="shared" si="9"/>
        <v>2882.8543533551674</v>
      </c>
      <c r="T99" s="4">
        <f t="shared" si="10"/>
        <v>5214.2061347641293</v>
      </c>
      <c r="U99" s="4">
        <f t="shared" si="11"/>
        <v>2223.1455805840728</v>
      </c>
      <c r="V99" s="4">
        <f t="shared" si="12"/>
        <v>2749.0509867437459</v>
      </c>
      <c r="W99" s="4">
        <f t="shared" si="13"/>
        <v>4972.1965673278191</v>
      </c>
      <c r="X99" s="10">
        <v>42901</v>
      </c>
      <c r="Y99" s="12">
        <v>44</v>
      </c>
      <c r="Z99" s="5">
        <v>1.1499999999999999</v>
      </c>
      <c r="AA99" s="4">
        <v>81.5</v>
      </c>
      <c r="AB99" s="4">
        <v>32.1</v>
      </c>
      <c r="AC99" s="4">
        <v>6.1</v>
      </c>
      <c r="AD99" s="4">
        <v>9.3000000000000007</v>
      </c>
      <c r="AI99" s="3"/>
      <c r="AJ99" s="3"/>
      <c r="AK99" s="7"/>
      <c r="AL99" s="7"/>
      <c r="AM99" s="7"/>
      <c r="AN99" s="3"/>
      <c r="AO99" s="3"/>
      <c r="AP99" s="7"/>
      <c r="AQ99" s="7"/>
      <c r="AR99" s="7"/>
      <c r="AS99" s="9"/>
      <c r="AT99" s="9"/>
      <c r="AU99" s="9"/>
      <c r="AV99" s="3"/>
      <c r="AW99" s="3"/>
      <c r="AX99" s="3"/>
      <c r="AY99" s="3"/>
      <c r="AZ99" s="3"/>
      <c r="BA99" s="3"/>
      <c r="BC99" s="13"/>
      <c r="BD99" s="7"/>
      <c r="BE99" s="3"/>
      <c r="BF99" s="3"/>
      <c r="BG99" s="3"/>
      <c r="BH99" s="3"/>
    </row>
    <row r="100" spans="1:60" x14ac:dyDescent="0.3">
      <c r="A100">
        <v>57</v>
      </c>
      <c r="B100" s="1" t="s">
        <v>102</v>
      </c>
      <c r="C100" s="1" t="s">
        <v>30</v>
      </c>
      <c r="D100" s="2">
        <v>42675</v>
      </c>
      <c r="E100" s="3">
        <v>26.56</v>
      </c>
      <c r="F100" s="4">
        <f t="shared" si="2"/>
        <v>5844.0150393700787</v>
      </c>
      <c r="G100" s="7">
        <v>4.6400000000000006</v>
      </c>
      <c r="H100" s="7">
        <v>4.4400000000000004</v>
      </c>
      <c r="I100" s="5">
        <f t="shared" si="3"/>
        <v>4.31034482758621</v>
      </c>
      <c r="J100" s="4">
        <f t="shared" si="4"/>
        <v>5592.1178393972305</v>
      </c>
      <c r="K100" s="2">
        <v>42782</v>
      </c>
      <c r="L100" s="7">
        <v>4.4400000000000004</v>
      </c>
      <c r="M100" s="7">
        <v>1.84</v>
      </c>
      <c r="N100" s="7">
        <v>2.2599999999999998</v>
      </c>
      <c r="O100" s="6">
        <f t="shared" si="5"/>
        <v>0.4144144144144144</v>
      </c>
      <c r="P100" s="6">
        <f t="shared" si="6"/>
        <v>0.50900900900900892</v>
      </c>
      <c r="Q100" s="6">
        <f t="shared" si="7"/>
        <v>7.6576576576576683E-2</v>
      </c>
      <c r="R100" s="4">
        <f t="shared" si="8"/>
        <v>2421.8440703695819</v>
      </c>
      <c r="S100" s="4">
        <f t="shared" si="9"/>
        <v>2974.6563038235081</v>
      </c>
      <c r="T100" s="4">
        <f t="shared" si="10"/>
        <v>5396.5003741930905</v>
      </c>
      <c r="U100" s="4">
        <f t="shared" si="11"/>
        <v>2317.4542397502037</v>
      </c>
      <c r="V100" s="4">
        <f t="shared" si="12"/>
        <v>2846.4383596931843</v>
      </c>
      <c r="W100" s="4">
        <f t="shared" si="13"/>
        <v>5163.8925994433885</v>
      </c>
      <c r="X100" s="10"/>
      <c r="Y100" s="12"/>
      <c r="Z100" s="5"/>
      <c r="AA100" s="4"/>
      <c r="AB100" s="4"/>
      <c r="AC100" s="4"/>
      <c r="AD100" s="4"/>
      <c r="AI100" s="3"/>
      <c r="AJ100" s="3"/>
      <c r="AK100" s="7"/>
      <c r="AL100" s="7"/>
      <c r="AM100" s="7"/>
      <c r="AN100" s="3"/>
      <c r="AO100" s="3"/>
      <c r="AP100" s="7"/>
      <c r="AQ100" s="7"/>
      <c r="AR100" s="7"/>
      <c r="AS100" s="9"/>
      <c r="AT100" s="9"/>
      <c r="AU100" s="9"/>
      <c r="AV100" s="3"/>
      <c r="AW100" s="3"/>
      <c r="AX100" s="3"/>
      <c r="AY100" s="3"/>
      <c r="AZ100" s="3"/>
      <c r="BA100" s="3"/>
      <c r="BC100" s="13"/>
      <c r="BD100" s="7"/>
      <c r="BE100" s="3"/>
      <c r="BF100" s="3"/>
      <c r="BG100" s="3"/>
      <c r="BH100" s="3"/>
    </row>
    <row r="101" spans="1:60" x14ac:dyDescent="0.3">
      <c r="A101">
        <v>58</v>
      </c>
      <c r="B101" s="1" t="s">
        <v>103</v>
      </c>
      <c r="C101" s="1" t="s">
        <v>30</v>
      </c>
      <c r="D101" s="2">
        <v>42675</v>
      </c>
      <c r="E101" s="3">
        <v>22.24</v>
      </c>
      <c r="F101" s="4">
        <f t="shared" si="2"/>
        <v>4879.6855905511802</v>
      </c>
      <c r="G101" s="7">
        <v>4.1800000000000006</v>
      </c>
      <c r="H101" s="7">
        <v>4</v>
      </c>
      <c r="I101" s="5">
        <f t="shared" si="3"/>
        <v>4.3062200956937939</v>
      </c>
      <c r="J101" s="4">
        <f t="shared" si="4"/>
        <v>4669.555589044191</v>
      </c>
      <c r="K101" s="2">
        <v>42782</v>
      </c>
      <c r="L101" s="7">
        <v>4</v>
      </c>
      <c r="M101" s="7">
        <v>1.74</v>
      </c>
      <c r="N101" s="7">
        <v>2.04</v>
      </c>
      <c r="O101" s="6">
        <f t="shared" si="5"/>
        <v>0.435</v>
      </c>
      <c r="P101" s="6">
        <f t="shared" si="6"/>
        <v>0.51</v>
      </c>
      <c r="Q101" s="6">
        <f t="shared" si="7"/>
        <v>5.4999999999999938E-2</v>
      </c>
      <c r="R101" s="4">
        <f t="shared" si="8"/>
        <v>2122.6632318897632</v>
      </c>
      <c r="S101" s="4">
        <f t="shared" si="9"/>
        <v>2488.6396511811017</v>
      </c>
      <c r="T101" s="4">
        <f t="shared" si="10"/>
        <v>4611.3028830708645</v>
      </c>
      <c r="U101" s="4">
        <f t="shared" si="11"/>
        <v>2031.2566812342232</v>
      </c>
      <c r="V101" s="4">
        <f t="shared" si="12"/>
        <v>2381.4733504125375</v>
      </c>
      <c r="W101" s="4">
        <f t="shared" si="13"/>
        <v>4412.7300316467608</v>
      </c>
      <c r="X101" s="10"/>
      <c r="Y101" s="12"/>
      <c r="Z101" s="5"/>
      <c r="AA101" s="4"/>
      <c r="AB101" s="4"/>
      <c r="AC101" s="4"/>
      <c r="AD101" s="4"/>
      <c r="AF101" t="s">
        <v>274</v>
      </c>
      <c r="AG101" t="s">
        <v>30</v>
      </c>
      <c r="AH101" s="8">
        <f>D101</f>
        <v>42675</v>
      </c>
      <c r="AI101" s="3">
        <f>SUM(E101:E103)</f>
        <v>65.400000000000006</v>
      </c>
      <c r="AJ101" s="3">
        <f>(AI101-3*$A$33)*$A$34/(3*$A$35)*$A$36</f>
        <v>4781.466850393701</v>
      </c>
      <c r="AK101" s="7">
        <f>SUM(G101:G103)</f>
        <v>12.420000000000002</v>
      </c>
      <c r="AL101" s="7">
        <f>SUM(H101:H103)</f>
        <v>11.879999999999999</v>
      </c>
      <c r="AM101" s="7">
        <f>(AK101-AL101)/AK101*100</f>
        <v>4.3478260869565428</v>
      </c>
      <c r="AN101" s="3">
        <f>AJ101*(1-AM101/100)</f>
        <v>4573.5769873331046</v>
      </c>
      <c r="AO101" s="11">
        <f>K101</f>
        <v>42782</v>
      </c>
      <c r="AP101" s="7">
        <f>SUM(L101:L103)</f>
        <v>11.879999999999999</v>
      </c>
      <c r="AQ101" s="7">
        <f t="shared" ref="AQ101" si="140">SUM(M101:M103)</f>
        <v>5.08</v>
      </c>
      <c r="AR101" s="7">
        <f t="shared" ref="AR101" si="141">SUM(N101:N103)</f>
        <v>6.0399999999999991</v>
      </c>
      <c r="AS101" s="9">
        <f>AQ101/AP101</f>
        <v>0.42760942760942766</v>
      </c>
      <c r="AT101" s="9">
        <f>AR101/AP101</f>
        <v>0.50841750841750843</v>
      </c>
      <c r="AU101" s="9">
        <f>1-AS101-AT101</f>
        <v>6.3973063973063904E-2</v>
      </c>
      <c r="AV101" s="3">
        <f>AJ101*AS101</f>
        <v>2044.6003030303034</v>
      </c>
      <c r="AW101" s="3">
        <f>AJ101*AT101</f>
        <v>2430.9814626580769</v>
      </c>
      <c r="AX101" s="3">
        <f>AV101+AW101</f>
        <v>4475.5817656883801</v>
      </c>
      <c r="AY101" s="3">
        <f>AN101*AS101</f>
        <v>1955.7046376811595</v>
      </c>
      <c r="AZ101" s="3">
        <f>AN101*AT101</f>
        <v>2325.2866164555517</v>
      </c>
      <c r="BA101" s="3">
        <f>AY101+AZ101</f>
        <v>4280.9912541367112</v>
      </c>
      <c r="BB101" s="11">
        <f>X102</f>
        <v>42901</v>
      </c>
      <c r="BC101" s="13">
        <f>AVERAGE(Y101:Y103)</f>
        <v>48</v>
      </c>
      <c r="BD101" s="7">
        <f t="shared" ref="BD101" si="142">AVERAGE(Z101:Z103)</f>
        <v>1.1200000000000001</v>
      </c>
      <c r="BE101" s="3">
        <f t="shared" ref="BE101" si="143">AVERAGE(AA101:AA103)</f>
        <v>81.7</v>
      </c>
      <c r="BF101" s="3">
        <f t="shared" ref="BF101" si="144">AVERAGE(AB101:AB103)</f>
        <v>32.5</v>
      </c>
      <c r="BG101" s="3">
        <f t="shared" ref="BG101" si="145">AVERAGE(AC101:AC103)</f>
        <v>5.3</v>
      </c>
      <c r="BH101" s="3">
        <f t="shared" ref="BH101" si="146">AVERAGE(AD101:AD103)</f>
        <v>9.8000000000000007</v>
      </c>
    </row>
    <row r="102" spans="1:60" x14ac:dyDescent="0.3">
      <c r="A102">
        <v>59</v>
      </c>
      <c r="B102" s="1" t="s">
        <v>104</v>
      </c>
      <c r="C102" s="1" t="s">
        <v>30</v>
      </c>
      <c r="D102" s="2">
        <v>42675</v>
      </c>
      <c r="E102" s="3">
        <v>19.18</v>
      </c>
      <c r="F102" s="4">
        <f t="shared" si="2"/>
        <v>4196.6188976377953</v>
      </c>
      <c r="G102" s="7">
        <v>4.2200000000000006</v>
      </c>
      <c r="H102" s="7">
        <v>4.0599999999999996</v>
      </c>
      <c r="I102" s="5">
        <f t="shared" si="3"/>
        <v>3.7914691943128203</v>
      </c>
      <c r="J102" s="4">
        <f t="shared" si="4"/>
        <v>4037.505384931148</v>
      </c>
      <c r="K102" s="2">
        <v>42782</v>
      </c>
      <c r="L102" s="7">
        <v>4.0599999999999996</v>
      </c>
      <c r="M102" s="7">
        <v>1.72</v>
      </c>
      <c r="N102" s="7">
        <v>2.06</v>
      </c>
      <c r="O102" s="6">
        <f t="shared" si="5"/>
        <v>0.42364532019704437</v>
      </c>
      <c r="P102" s="6">
        <f t="shared" si="6"/>
        <v>0.5073891625615764</v>
      </c>
      <c r="Q102" s="6">
        <f t="shared" si="7"/>
        <v>6.8965517241379226E-2</v>
      </c>
      <c r="R102" s="4">
        <f t="shared" si="8"/>
        <v>1777.8779566347312</v>
      </c>
      <c r="S102" s="4">
        <f t="shared" si="9"/>
        <v>2129.3189480625269</v>
      </c>
      <c r="T102" s="4">
        <f t="shared" si="10"/>
        <v>3907.1969046972581</v>
      </c>
      <c r="U102" s="4">
        <f t="shared" si="11"/>
        <v>1710.470261596447</v>
      </c>
      <c r="V102" s="4">
        <f t="shared" si="12"/>
        <v>2048.5864760980703</v>
      </c>
      <c r="W102" s="4">
        <f t="shared" si="13"/>
        <v>3759.0567376945173</v>
      </c>
      <c r="X102" s="10">
        <v>42901</v>
      </c>
      <c r="Y102" s="12">
        <v>48</v>
      </c>
      <c r="Z102" s="5">
        <v>1.1200000000000001</v>
      </c>
      <c r="AA102" s="4">
        <v>81.7</v>
      </c>
      <c r="AB102" s="4">
        <v>32.5</v>
      </c>
      <c r="AC102" s="4">
        <v>5.3</v>
      </c>
      <c r="AD102" s="4">
        <v>9.8000000000000007</v>
      </c>
      <c r="AI102" s="3"/>
      <c r="AJ102" s="3"/>
      <c r="AK102" s="7"/>
      <c r="AL102" s="7"/>
      <c r="AM102" s="7"/>
      <c r="AN102" s="3"/>
      <c r="AO102" s="3"/>
      <c r="AP102" s="7"/>
      <c r="AQ102" s="7"/>
      <c r="AR102" s="7"/>
      <c r="AS102" s="9"/>
      <c r="AT102" s="9"/>
      <c r="AU102" s="9"/>
      <c r="AV102" s="3"/>
      <c r="AW102" s="3"/>
      <c r="AX102" s="3"/>
      <c r="AY102" s="3"/>
      <c r="AZ102" s="3"/>
      <c r="BA102" s="3"/>
      <c r="BC102" s="13"/>
      <c r="BD102" s="7"/>
      <c r="BE102" s="3"/>
      <c r="BF102" s="3"/>
      <c r="BG102" s="3"/>
      <c r="BH102" s="3"/>
    </row>
    <row r="103" spans="1:60" x14ac:dyDescent="0.3">
      <c r="A103">
        <v>60</v>
      </c>
      <c r="B103" s="1" t="s">
        <v>105</v>
      </c>
      <c r="C103" s="1" t="s">
        <v>30</v>
      </c>
      <c r="D103" s="2">
        <v>42675</v>
      </c>
      <c r="E103" s="3">
        <v>23.98</v>
      </c>
      <c r="F103" s="4">
        <f t="shared" si="2"/>
        <v>5268.0960629921256</v>
      </c>
      <c r="G103" s="7">
        <v>4.0200000000000005</v>
      </c>
      <c r="H103" s="7">
        <v>3.82</v>
      </c>
      <c r="I103" s="5">
        <f t="shared" si="3"/>
        <v>4.9751243781094674</v>
      </c>
      <c r="J103" s="4">
        <f t="shared" si="4"/>
        <v>5006.0017314999795</v>
      </c>
      <c r="K103" s="2">
        <v>42782</v>
      </c>
      <c r="L103" s="7">
        <v>3.82</v>
      </c>
      <c r="M103" s="7">
        <v>1.62</v>
      </c>
      <c r="N103" s="7">
        <v>1.94</v>
      </c>
      <c r="O103" s="6">
        <f t="shared" si="5"/>
        <v>0.42408376963350791</v>
      </c>
      <c r="P103" s="6">
        <f t="shared" si="6"/>
        <v>0.50785340314136129</v>
      </c>
      <c r="Q103" s="6">
        <f t="shared" si="7"/>
        <v>6.8062827225130795E-2</v>
      </c>
      <c r="R103" s="4">
        <f t="shared" si="8"/>
        <v>2234.1140371851425</v>
      </c>
      <c r="S103" s="4">
        <f t="shared" si="9"/>
        <v>2675.4205136661581</v>
      </c>
      <c r="T103" s="4">
        <f t="shared" si="10"/>
        <v>4909.5345508513001</v>
      </c>
      <c r="U103" s="4">
        <f t="shared" si="11"/>
        <v>2122.9640850863789</v>
      </c>
      <c r="V103" s="4">
        <f t="shared" si="12"/>
        <v>2542.3150154738119</v>
      </c>
      <c r="W103" s="4">
        <f t="shared" si="13"/>
        <v>4665.2791005601903</v>
      </c>
      <c r="X103" s="10"/>
      <c r="Y103" s="12"/>
      <c r="Z103" s="5"/>
      <c r="AA103" s="4"/>
      <c r="AB103" s="4"/>
      <c r="AC103" s="4"/>
      <c r="AD103" s="4"/>
      <c r="AI103" s="3"/>
      <c r="AJ103" s="3"/>
      <c r="AK103" s="7"/>
      <c r="AL103" s="7"/>
      <c r="AM103" s="7"/>
      <c r="AN103" s="3"/>
      <c r="AO103" s="3"/>
      <c r="AP103" s="7"/>
      <c r="AQ103" s="7"/>
      <c r="AR103" s="7"/>
      <c r="AS103" s="9"/>
      <c r="AT103" s="9"/>
      <c r="AU103" s="9"/>
      <c r="AV103" s="3"/>
      <c r="AW103" s="3"/>
      <c r="AX103" s="3"/>
      <c r="AY103" s="3"/>
      <c r="AZ103" s="3"/>
      <c r="BA103" s="3"/>
      <c r="BC103" s="13"/>
      <c r="BD103" s="7"/>
      <c r="BE103" s="3"/>
      <c r="BF103" s="3"/>
      <c r="BG103" s="3"/>
      <c r="BH103" s="3"/>
    </row>
    <row r="104" spans="1:60" x14ac:dyDescent="0.3">
      <c r="A104">
        <v>61</v>
      </c>
      <c r="B104" s="1" t="s">
        <v>106</v>
      </c>
      <c r="C104" s="1" t="s">
        <v>30</v>
      </c>
      <c r="D104" s="2">
        <v>42675</v>
      </c>
      <c r="E104" s="3">
        <v>23.56</v>
      </c>
      <c r="F104" s="4">
        <f t="shared" si="2"/>
        <v>5174.3418110236225</v>
      </c>
      <c r="G104" s="7">
        <v>4.66</v>
      </c>
      <c r="H104" s="7">
        <v>4.46</v>
      </c>
      <c r="I104" s="5">
        <f t="shared" si="3"/>
        <v>4.291845493562235</v>
      </c>
      <c r="J104" s="4">
        <f t="shared" si="4"/>
        <v>4952.2670551856991</v>
      </c>
      <c r="K104" s="2">
        <v>42782</v>
      </c>
      <c r="L104" s="7">
        <v>4.46</v>
      </c>
      <c r="M104" s="7">
        <v>1.76</v>
      </c>
      <c r="N104" s="7">
        <v>2.2599999999999998</v>
      </c>
      <c r="O104" s="6">
        <f t="shared" si="5"/>
        <v>0.39461883408071752</v>
      </c>
      <c r="P104" s="6">
        <f t="shared" si="6"/>
        <v>0.50672645739910305</v>
      </c>
      <c r="Q104" s="6">
        <f t="shared" si="7"/>
        <v>9.8654708520179435E-2</v>
      </c>
      <c r="R104" s="4">
        <f t="shared" si="8"/>
        <v>2041.8927326012504</v>
      </c>
      <c r="S104" s="4">
        <f t="shared" si="9"/>
        <v>2621.9758952720595</v>
      </c>
      <c r="T104" s="4">
        <f t="shared" si="10"/>
        <v>4663.8686278733094</v>
      </c>
      <c r="U104" s="4">
        <f t="shared" si="11"/>
        <v>1954.257851373729</v>
      </c>
      <c r="V104" s="4">
        <f t="shared" si="12"/>
        <v>2509.4447409685376</v>
      </c>
      <c r="W104" s="4">
        <f t="shared" si="13"/>
        <v>4463.7025923422661</v>
      </c>
      <c r="X104" s="10"/>
      <c r="Y104" s="12"/>
      <c r="Z104" s="5"/>
      <c r="AA104" s="4"/>
      <c r="AB104" s="4"/>
      <c r="AC104" s="4"/>
      <c r="AD104" s="4"/>
      <c r="AF104" t="s">
        <v>275</v>
      </c>
      <c r="AG104" t="str">
        <f>C104</f>
        <v>Machine</v>
      </c>
      <c r="AH104" s="8">
        <f>D104</f>
        <v>42675</v>
      </c>
      <c r="AI104" s="3">
        <f>SUM(E104:E106)</f>
        <v>66.039999999999992</v>
      </c>
      <c r="AJ104" s="3">
        <f>(AI104-3*$A$33)*$A$34/(3*$A$35)*$A$36</f>
        <v>4829.0880577427815</v>
      </c>
      <c r="AK104" s="7">
        <f>SUM(G104:G106)</f>
        <v>13.24</v>
      </c>
      <c r="AL104" s="7">
        <f>SUM(H104:H106)</f>
        <v>12.599999999999998</v>
      </c>
      <c r="AM104" s="7">
        <f>(AK104-AL104)/AK104*100</f>
        <v>4.8338368580060598</v>
      </c>
      <c r="AN104" s="3">
        <f>AJ104*(1-AM104/100)</f>
        <v>4595.6578193020423</v>
      </c>
      <c r="AO104" s="11">
        <f>K104</f>
        <v>42782</v>
      </c>
      <c r="AP104" s="7">
        <f>SUM(L104:L106)</f>
        <v>12.599999999999998</v>
      </c>
      <c r="AQ104" s="7">
        <f t="shared" ref="AQ104" si="147">SUM(M104:M106)</f>
        <v>4.9799999999999995</v>
      </c>
      <c r="AR104" s="7">
        <f t="shared" ref="AR104" si="148">SUM(N104:N106)</f>
        <v>6.4</v>
      </c>
      <c r="AS104" s="9">
        <f>AQ104/AP104</f>
        <v>0.39523809523809528</v>
      </c>
      <c r="AT104" s="9">
        <f>AR104/AP104</f>
        <v>0.50793650793650802</v>
      </c>
      <c r="AU104" s="9">
        <f>1-AS104-AT104</f>
        <v>9.6825396825396703E-2</v>
      </c>
      <c r="AV104" s="3">
        <f>AJ104*AS104</f>
        <v>1908.6395656792899</v>
      </c>
      <c r="AW104" s="3">
        <f>AJ104*AT104</f>
        <v>2452.8701245677626</v>
      </c>
      <c r="AX104" s="3">
        <f>AV104+AW104</f>
        <v>4361.5096902470523</v>
      </c>
      <c r="AY104" s="3">
        <f>AN104*AS104</f>
        <v>1816.3790428669979</v>
      </c>
      <c r="AZ104" s="3">
        <f>AN104*AT104</f>
        <v>2334.3023844073869</v>
      </c>
      <c r="BA104" s="3">
        <f>AY104+AZ104</f>
        <v>4150.681427274385</v>
      </c>
      <c r="BB104" s="11">
        <f>X105</f>
        <v>42901</v>
      </c>
      <c r="BC104" s="13">
        <f>AVERAGE(Y104:Y106)</f>
        <v>36</v>
      </c>
      <c r="BD104" s="7">
        <f t="shared" ref="BD104" si="149">AVERAGE(Z104:Z106)</f>
        <v>1.1599999999999999</v>
      </c>
      <c r="BE104" s="3">
        <f t="shared" ref="BE104" si="150">AVERAGE(AA104:AA106)</f>
        <v>80.400000000000006</v>
      </c>
      <c r="BF104" s="3">
        <f t="shared" ref="BF104" si="151">AVERAGE(AB104:AB106)</f>
        <v>32.200000000000003</v>
      </c>
      <c r="BG104" s="3">
        <f t="shared" ref="BG104" si="152">AVERAGE(AC104:AC106)</f>
        <v>5.3</v>
      </c>
      <c r="BH104" s="3">
        <f t="shared" ref="BH104" si="153">AVERAGE(AD104:AD106)</f>
        <v>10</v>
      </c>
    </row>
    <row r="105" spans="1:60" x14ac:dyDescent="0.3">
      <c r="A105">
        <v>62</v>
      </c>
      <c r="B105" s="1" t="s">
        <v>107</v>
      </c>
      <c r="C105" s="1" t="s">
        <v>30</v>
      </c>
      <c r="D105" s="2">
        <v>42675</v>
      </c>
      <c r="E105" s="3">
        <v>22.16</v>
      </c>
      <c r="F105" s="4">
        <f t="shared" si="2"/>
        <v>4861.8276377952761</v>
      </c>
      <c r="G105" s="7">
        <v>4.16</v>
      </c>
      <c r="H105" s="7">
        <v>3.92</v>
      </c>
      <c r="I105" s="5">
        <f t="shared" si="3"/>
        <v>5.7692307692307745</v>
      </c>
      <c r="J105" s="4">
        <f t="shared" si="4"/>
        <v>4581.3375817686256</v>
      </c>
      <c r="K105" s="2">
        <v>42782</v>
      </c>
      <c r="L105" s="7">
        <v>3.92</v>
      </c>
      <c r="M105" s="7">
        <v>1.54</v>
      </c>
      <c r="N105" s="7">
        <v>2</v>
      </c>
      <c r="O105" s="6">
        <f t="shared" si="5"/>
        <v>0.39285714285714285</v>
      </c>
      <c r="P105" s="6">
        <f t="shared" si="6"/>
        <v>0.51020408163265307</v>
      </c>
      <c r="Q105" s="6">
        <f t="shared" si="7"/>
        <v>9.6938775510204134E-2</v>
      </c>
      <c r="R105" s="4">
        <f t="shared" si="8"/>
        <v>1910.0037148481442</v>
      </c>
      <c r="S105" s="4">
        <f t="shared" si="9"/>
        <v>2480.5243049975898</v>
      </c>
      <c r="T105" s="4">
        <f t="shared" si="10"/>
        <v>4390.528019845734</v>
      </c>
      <c r="U105" s="4">
        <f t="shared" si="11"/>
        <v>1799.8111928376743</v>
      </c>
      <c r="V105" s="4">
        <f t="shared" si="12"/>
        <v>2337.4171335554211</v>
      </c>
      <c r="W105" s="4">
        <f t="shared" si="13"/>
        <v>4137.2283263930949</v>
      </c>
      <c r="X105" s="10">
        <v>42901</v>
      </c>
      <c r="Y105" s="12">
        <v>36</v>
      </c>
      <c r="Z105" s="5">
        <v>1.1599999999999999</v>
      </c>
      <c r="AA105" s="4">
        <v>80.400000000000006</v>
      </c>
      <c r="AB105" s="4">
        <v>32.200000000000003</v>
      </c>
      <c r="AC105" s="4">
        <v>5.3</v>
      </c>
      <c r="AD105" s="4">
        <v>10</v>
      </c>
      <c r="AI105" s="3"/>
      <c r="AJ105" s="3"/>
      <c r="AK105" s="7"/>
      <c r="AL105" s="7"/>
      <c r="AM105" s="7"/>
      <c r="AN105" s="3"/>
      <c r="AO105" s="3"/>
      <c r="AP105" s="7"/>
      <c r="AQ105" s="7"/>
      <c r="AR105" s="7"/>
      <c r="AS105" s="9"/>
      <c r="AT105" s="9"/>
      <c r="AU105" s="9"/>
      <c r="AV105" s="3"/>
      <c r="AW105" s="3"/>
      <c r="AX105" s="3"/>
      <c r="AY105" s="3"/>
      <c r="AZ105" s="3"/>
      <c r="BA105" s="3"/>
      <c r="BC105" s="13"/>
      <c r="BD105" s="7"/>
      <c r="BE105" s="3"/>
      <c r="BF105" s="3"/>
      <c r="BG105" s="3"/>
      <c r="BH105" s="3"/>
    </row>
    <row r="106" spans="1:60" x14ac:dyDescent="0.3">
      <c r="A106">
        <v>63</v>
      </c>
      <c r="B106" s="1" t="s">
        <v>108</v>
      </c>
      <c r="C106" s="1" t="s">
        <v>30</v>
      </c>
      <c r="D106" s="2">
        <v>42675</v>
      </c>
      <c r="E106" s="3">
        <v>20.32</v>
      </c>
      <c r="F106" s="4">
        <f t="shared" si="2"/>
        <v>4451.0947244094496</v>
      </c>
      <c r="G106" s="7">
        <v>4.42</v>
      </c>
      <c r="H106" s="7">
        <v>4.22</v>
      </c>
      <c r="I106" s="5">
        <f t="shared" si="3"/>
        <v>4.5248868778280587</v>
      </c>
      <c r="J106" s="4">
        <f t="shared" si="4"/>
        <v>4249.687723304949</v>
      </c>
      <c r="K106" s="2">
        <v>42782</v>
      </c>
      <c r="L106" s="7">
        <v>4.22</v>
      </c>
      <c r="M106" s="7">
        <v>1.68</v>
      </c>
      <c r="N106" s="7">
        <v>2.14</v>
      </c>
      <c r="O106" s="6">
        <f t="shared" si="5"/>
        <v>0.3981042654028436</v>
      </c>
      <c r="P106" s="6">
        <f t="shared" si="6"/>
        <v>0.50710900473933651</v>
      </c>
      <c r="Q106" s="6">
        <f t="shared" si="7"/>
        <v>9.4786729857819885E-2</v>
      </c>
      <c r="R106" s="4">
        <f t="shared" si="8"/>
        <v>1771.9997954994965</v>
      </c>
      <c r="S106" s="4">
        <f t="shared" si="9"/>
        <v>2257.1902156957872</v>
      </c>
      <c r="T106" s="4">
        <f t="shared" si="10"/>
        <v>4029.1900111952837</v>
      </c>
      <c r="U106" s="4">
        <f t="shared" si="11"/>
        <v>1691.8188092777996</v>
      </c>
      <c r="V106" s="4">
        <f t="shared" si="12"/>
        <v>2155.0549118181498</v>
      </c>
      <c r="W106" s="4">
        <f t="shared" si="13"/>
        <v>3846.8737210959493</v>
      </c>
      <c r="X106" s="10"/>
      <c r="Y106" s="12"/>
      <c r="Z106" s="5"/>
      <c r="AA106" s="4"/>
      <c r="AB106" s="4"/>
      <c r="AC106" s="4"/>
      <c r="AD106" s="4"/>
      <c r="AI106" s="3"/>
      <c r="AJ106" s="3"/>
      <c r="AK106" s="7"/>
      <c r="AL106" s="7"/>
      <c r="AM106" s="7"/>
      <c r="AN106" s="3"/>
      <c r="AO106" s="3"/>
      <c r="AP106" s="7"/>
      <c r="AQ106" s="7"/>
      <c r="AR106" s="7"/>
      <c r="AS106" s="9"/>
      <c r="AT106" s="9"/>
      <c r="AU106" s="9"/>
      <c r="AV106" s="3"/>
      <c r="AW106" s="3"/>
      <c r="AX106" s="3"/>
      <c r="AY106" s="3"/>
      <c r="AZ106" s="3"/>
      <c r="BA106" s="3"/>
      <c r="BC106" s="13"/>
      <c r="BD106" s="7"/>
      <c r="BE106" s="3"/>
      <c r="BF106" s="3"/>
      <c r="BG106" s="3"/>
      <c r="BH106" s="3"/>
    </row>
    <row r="107" spans="1:60" x14ac:dyDescent="0.3">
      <c r="A107">
        <v>64</v>
      </c>
      <c r="B107" s="1" t="s">
        <v>109</v>
      </c>
      <c r="C107" s="1" t="s">
        <v>30</v>
      </c>
      <c r="D107" s="2">
        <v>42675</v>
      </c>
      <c r="E107" s="3">
        <v>23.52</v>
      </c>
      <c r="F107" s="4">
        <f t="shared" si="2"/>
        <v>5165.4128346456691</v>
      </c>
      <c r="G107" s="7">
        <v>4.6400000000000006</v>
      </c>
      <c r="H107" s="7">
        <v>4.46</v>
      </c>
      <c r="I107" s="5">
        <f t="shared" si="3"/>
        <v>3.8793103448275987</v>
      </c>
      <c r="J107" s="4">
        <f t="shared" si="4"/>
        <v>4965.0304401982066</v>
      </c>
      <c r="K107" s="2">
        <v>42782</v>
      </c>
      <c r="L107" s="7">
        <v>4.46</v>
      </c>
      <c r="M107" s="7">
        <v>1.76</v>
      </c>
      <c r="N107" s="7">
        <v>2.3199999999999998</v>
      </c>
      <c r="O107" s="6">
        <f t="shared" si="5"/>
        <v>0.39461883408071752</v>
      </c>
      <c r="P107" s="6">
        <f t="shared" si="6"/>
        <v>0.52017937219730936</v>
      </c>
      <c r="Q107" s="6">
        <f t="shared" si="7"/>
        <v>8.5201793721973118E-2</v>
      </c>
      <c r="R107" s="4">
        <f t="shared" si="8"/>
        <v>2038.3691903534479</v>
      </c>
      <c r="S107" s="4">
        <f t="shared" si="9"/>
        <v>2686.9412054659083</v>
      </c>
      <c r="T107" s="4">
        <f t="shared" si="10"/>
        <v>4725.310395819356</v>
      </c>
      <c r="U107" s="4">
        <f t="shared" si="11"/>
        <v>1959.294523486288</v>
      </c>
      <c r="V107" s="4">
        <f t="shared" si="12"/>
        <v>2582.7064173228337</v>
      </c>
      <c r="W107" s="4">
        <f t="shared" si="13"/>
        <v>4542.0009408091219</v>
      </c>
      <c r="X107" s="10"/>
      <c r="Y107" s="12"/>
      <c r="Z107" s="5"/>
      <c r="AA107" s="4"/>
      <c r="AB107" s="4"/>
      <c r="AC107" s="4"/>
      <c r="AD107" s="4"/>
      <c r="AF107" t="s">
        <v>276</v>
      </c>
      <c r="AG107" t="s">
        <v>30</v>
      </c>
      <c r="AH107" s="8">
        <f>D107</f>
        <v>42675</v>
      </c>
      <c r="AI107" s="3">
        <f>SUM(E107:E109)</f>
        <v>71.56</v>
      </c>
      <c r="AJ107" s="3">
        <f>(AI107-3*$A$33)*$A$34/(3*$A$35)*$A$36</f>
        <v>5239.820971128609</v>
      </c>
      <c r="AK107" s="7">
        <f>SUM(G107:G109)</f>
        <v>14.060000000000002</v>
      </c>
      <c r="AL107" s="7">
        <f>SUM(H107:H109)</f>
        <v>13.379999999999999</v>
      </c>
      <c r="AM107" s="7">
        <f>(AK107-AL107)/AK107*100</f>
        <v>4.8364153627311746</v>
      </c>
      <c r="AN107" s="3">
        <f>AJ107*(1-AM107/100)</f>
        <v>4986.4014647013355</v>
      </c>
      <c r="AO107" s="11">
        <f>K107</f>
        <v>42782</v>
      </c>
      <c r="AP107" s="7">
        <f>SUM(L107:L109)</f>
        <v>13.379999999999999</v>
      </c>
      <c r="AQ107" s="7">
        <f t="shared" ref="AQ107" si="154">SUM(M107:M109)</f>
        <v>5.36</v>
      </c>
      <c r="AR107" s="7">
        <f t="shared" ref="AR107" si="155">SUM(N107:N109)</f>
        <v>6.9399999999999995</v>
      </c>
      <c r="AS107" s="9">
        <f>AQ107/AP107</f>
        <v>0.40059790732436479</v>
      </c>
      <c r="AT107" s="9">
        <f>AR107/AP107</f>
        <v>0.51868460388639759</v>
      </c>
      <c r="AU107" s="9">
        <f>1-AS107-AT107</f>
        <v>8.0717488789237568E-2</v>
      </c>
      <c r="AV107" s="3">
        <f>AJ107*AS107</f>
        <v>2099.0613157884418</v>
      </c>
      <c r="AW107" s="3">
        <f>AJ107*AT107</f>
        <v>2717.8144648454818</v>
      </c>
      <c r="AX107" s="3">
        <f>AV107+AW107</f>
        <v>4816.8757806339236</v>
      </c>
      <c r="AY107" s="3">
        <f>AN107*AS107</f>
        <v>1997.5419918385023</v>
      </c>
      <c r="AZ107" s="3">
        <f>AN107*AT107</f>
        <v>2586.3696685371651</v>
      </c>
      <c r="BA107" s="3">
        <f>AY107+AZ107</f>
        <v>4583.9116603756675</v>
      </c>
      <c r="BB107" s="11">
        <f>X108</f>
        <v>42901</v>
      </c>
      <c r="BC107" s="13">
        <f>AVERAGE(Y107:Y109)</f>
        <v>41</v>
      </c>
      <c r="BD107" s="7">
        <f t="shared" ref="BD107" si="156">AVERAGE(Z107:Z109)</f>
        <v>1.1499999999999999</v>
      </c>
      <c r="BE107" s="3">
        <f t="shared" ref="BE107" si="157">AVERAGE(AA107:AA109)</f>
        <v>80.5</v>
      </c>
      <c r="BF107" s="3">
        <f t="shared" ref="BF107" si="158">AVERAGE(AB107:AB109)</f>
        <v>31.7</v>
      </c>
      <c r="BG107" s="3">
        <f t="shared" ref="BG107" si="159">AVERAGE(AC107:AC109)</f>
        <v>5.7</v>
      </c>
      <c r="BH107" s="3">
        <f t="shared" ref="BH107" si="160">AVERAGE(AD107:AD109)</f>
        <v>9.5</v>
      </c>
    </row>
    <row r="108" spans="1:60" x14ac:dyDescent="0.3">
      <c r="A108">
        <v>65</v>
      </c>
      <c r="B108" s="1" t="s">
        <v>110</v>
      </c>
      <c r="C108" s="1" t="s">
        <v>30</v>
      </c>
      <c r="D108" s="2">
        <v>42675</v>
      </c>
      <c r="E108" s="3">
        <v>23.08</v>
      </c>
      <c r="F108" s="4">
        <f t="shared" si="2"/>
        <v>5067.194094488189</v>
      </c>
      <c r="G108" s="7">
        <v>4.66</v>
      </c>
      <c r="H108" s="7">
        <v>4.4000000000000004</v>
      </c>
      <c r="I108" s="5">
        <f t="shared" si="3"/>
        <v>5.5793991416308968</v>
      </c>
      <c r="J108" s="4">
        <f t="shared" si="4"/>
        <v>4784.4751106755439</v>
      </c>
      <c r="K108" s="2">
        <v>42782</v>
      </c>
      <c r="L108" s="7">
        <v>4.4000000000000004</v>
      </c>
      <c r="M108" s="7">
        <v>1.74</v>
      </c>
      <c r="N108" s="7">
        <v>2.2999999999999998</v>
      </c>
      <c r="O108" s="6">
        <f t="shared" si="5"/>
        <v>0.39545454545454545</v>
      </c>
      <c r="P108" s="6">
        <f t="shared" si="6"/>
        <v>0.5227272727272726</v>
      </c>
      <c r="Q108" s="6">
        <f t="shared" si="7"/>
        <v>8.1818181818181901E-2</v>
      </c>
      <c r="R108" s="4">
        <f t="shared" si="8"/>
        <v>2003.8449373657838</v>
      </c>
      <c r="S108" s="4">
        <f t="shared" si="9"/>
        <v>2648.7605493915526</v>
      </c>
      <c r="T108" s="4">
        <f t="shared" si="10"/>
        <v>4652.6054867573366</v>
      </c>
      <c r="U108" s="4">
        <f t="shared" si="11"/>
        <v>1892.0424301307833</v>
      </c>
      <c r="V108" s="4">
        <f t="shared" si="12"/>
        <v>2500.9756260349427</v>
      </c>
      <c r="W108" s="4">
        <f t="shared" si="13"/>
        <v>4393.0180561657262</v>
      </c>
      <c r="X108" s="10">
        <v>42901</v>
      </c>
      <c r="Y108" s="12">
        <v>41</v>
      </c>
      <c r="Z108" s="5">
        <v>1.1499999999999999</v>
      </c>
      <c r="AA108" s="4">
        <v>80.5</v>
      </c>
      <c r="AB108" s="4">
        <v>31.7</v>
      </c>
      <c r="AC108" s="4">
        <v>5.7</v>
      </c>
      <c r="AD108" s="4">
        <v>9.5</v>
      </c>
      <c r="AI108" s="3"/>
      <c r="AJ108" s="3"/>
      <c r="AK108" s="7"/>
      <c r="AL108" s="7"/>
      <c r="AM108" s="7"/>
      <c r="AN108" s="3"/>
      <c r="AO108" s="3"/>
      <c r="AP108" s="7"/>
      <c r="AQ108" s="7"/>
      <c r="AR108" s="7"/>
      <c r="AS108" s="9"/>
      <c r="AT108" s="9"/>
      <c r="AU108" s="9"/>
      <c r="AV108" s="3"/>
      <c r="AW108" s="3"/>
      <c r="AX108" s="3"/>
      <c r="AY108" s="3"/>
      <c r="AZ108" s="3"/>
      <c r="BA108" s="3"/>
      <c r="BC108" s="13"/>
      <c r="BD108" s="7"/>
      <c r="BE108" s="3"/>
      <c r="BF108" s="3"/>
      <c r="BG108" s="3"/>
      <c r="BH108" s="3"/>
    </row>
    <row r="109" spans="1:60" x14ac:dyDescent="0.3">
      <c r="A109">
        <v>66</v>
      </c>
      <c r="B109" s="1" t="s">
        <v>111</v>
      </c>
      <c r="C109" s="1" t="s">
        <v>30</v>
      </c>
      <c r="D109" s="2">
        <v>42675</v>
      </c>
      <c r="E109" s="3">
        <v>24.96</v>
      </c>
      <c r="F109" s="4">
        <f t="shared" ref="F109:F143" si="161">(E109-$A$33)*$A$34/$A$35*$A$36</f>
        <v>5486.8559842519689</v>
      </c>
      <c r="G109" s="7">
        <v>4.7600000000000007</v>
      </c>
      <c r="H109" s="7">
        <v>4.5199999999999996</v>
      </c>
      <c r="I109" s="5">
        <f t="shared" ref="I109:I143" si="162">(G109-H109)/G109*100</f>
        <v>5.0420168067227111</v>
      </c>
      <c r="J109" s="4">
        <f t="shared" ref="J109:J143" si="163">F109*(1-I109/100)</f>
        <v>5210.2077833653138</v>
      </c>
      <c r="K109" s="2">
        <v>42782</v>
      </c>
      <c r="L109" s="7">
        <v>4.5199999999999996</v>
      </c>
      <c r="M109" s="7">
        <v>1.86</v>
      </c>
      <c r="N109" s="7">
        <v>2.3199999999999998</v>
      </c>
      <c r="O109" s="6">
        <f t="shared" ref="O109:O143" si="164">M109/L109</f>
        <v>0.41150442477876115</v>
      </c>
      <c r="P109" s="6">
        <f t="shared" ref="P109:P143" si="165">N109/L109</f>
        <v>0.51327433628318586</v>
      </c>
      <c r="Q109" s="6">
        <f t="shared" ref="Q109:Q143" si="166">1-O109-P109</f>
        <v>7.5221238938052992E-2</v>
      </c>
      <c r="R109" s="4">
        <f t="shared" ref="R109:R143" si="167">F109*O109</f>
        <v>2257.8655156435098</v>
      </c>
      <c r="S109" s="4">
        <f t="shared" ref="S109:S143" si="168">F109*P109</f>
        <v>2816.2623635983559</v>
      </c>
      <c r="T109" s="4">
        <f t="shared" ref="T109:T143" si="169">R109+S109</f>
        <v>5074.1278792418652</v>
      </c>
      <c r="U109" s="4">
        <f t="shared" ref="U109:U143" si="170">J109*O109</f>
        <v>2144.0235568715675</v>
      </c>
      <c r="V109" s="4">
        <f t="shared" ref="V109:V143" si="171">J109*P109</f>
        <v>2674.2659419043207</v>
      </c>
      <c r="W109" s="4">
        <f t="shared" ref="W109:W143" si="172">U109+V109</f>
        <v>4818.2894987758882</v>
      </c>
      <c r="X109" s="10"/>
      <c r="Y109" s="12"/>
      <c r="Z109" s="5"/>
      <c r="AA109" s="4"/>
      <c r="AB109" s="4"/>
      <c r="AC109" s="4"/>
      <c r="AD109" s="4"/>
      <c r="AI109" s="3"/>
      <c r="AJ109" s="3"/>
      <c r="AK109" s="7"/>
      <c r="AL109" s="7"/>
      <c r="AM109" s="7"/>
      <c r="AN109" s="3"/>
      <c r="AO109" s="3"/>
      <c r="AP109" s="7"/>
      <c r="AQ109" s="7"/>
      <c r="AR109" s="7"/>
      <c r="AS109" s="9"/>
      <c r="AT109" s="9"/>
      <c r="AU109" s="9"/>
      <c r="AV109" s="3"/>
      <c r="AW109" s="3"/>
      <c r="AX109" s="3"/>
      <c r="AY109" s="3"/>
      <c r="AZ109" s="3"/>
      <c r="BA109" s="3"/>
      <c r="BC109" s="13"/>
      <c r="BD109" s="7"/>
      <c r="BE109" s="3"/>
      <c r="BF109" s="3"/>
      <c r="BG109" s="3"/>
      <c r="BH109" s="3"/>
    </row>
    <row r="110" spans="1:60" x14ac:dyDescent="0.3">
      <c r="A110">
        <v>67</v>
      </c>
      <c r="B110" s="1" t="s">
        <v>112</v>
      </c>
      <c r="C110" s="1" t="s">
        <v>30</v>
      </c>
      <c r="D110" s="2">
        <v>42675</v>
      </c>
      <c r="E110" s="3">
        <v>24.2</v>
      </c>
      <c r="F110" s="4">
        <f t="shared" si="161"/>
        <v>5317.2054330708661</v>
      </c>
      <c r="G110" s="7">
        <v>4.2</v>
      </c>
      <c r="H110" s="7">
        <v>4</v>
      </c>
      <c r="I110" s="5">
        <f t="shared" si="162"/>
        <v>4.7619047619047654</v>
      </c>
      <c r="J110" s="4">
        <f t="shared" si="163"/>
        <v>5064.0051743532058</v>
      </c>
      <c r="K110" s="2">
        <v>42782</v>
      </c>
      <c r="L110" s="7">
        <v>4</v>
      </c>
      <c r="M110" s="7">
        <v>1.68</v>
      </c>
      <c r="N110" s="7">
        <v>2.04</v>
      </c>
      <c r="O110" s="6">
        <f t="shared" si="164"/>
        <v>0.42</v>
      </c>
      <c r="P110" s="6">
        <f t="shared" si="165"/>
        <v>0.51</v>
      </c>
      <c r="Q110" s="6">
        <f t="shared" si="166"/>
        <v>7.0000000000000062E-2</v>
      </c>
      <c r="R110" s="4">
        <f t="shared" si="167"/>
        <v>2233.2262818897639</v>
      </c>
      <c r="S110" s="4">
        <f t="shared" si="168"/>
        <v>2711.7747708661418</v>
      </c>
      <c r="T110" s="4">
        <f t="shared" si="169"/>
        <v>4945.0010527559061</v>
      </c>
      <c r="U110" s="4">
        <f t="shared" si="170"/>
        <v>2126.8821732283463</v>
      </c>
      <c r="V110" s="4">
        <f t="shared" si="171"/>
        <v>2582.6426389201351</v>
      </c>
      <c r="W110" s="4">
        <f t="shared" si="172"/>
        <v>4709.5248121484819</v>
      </c>
      <c r="X110" s="10"/>
      <c r="Y110" s="12"/>
      <c r="Z110" s="5"/>
      <c r="AA110" s="4"/>
      <c r="AB110" s="4"/>
      <c r="AC110" s="4"/>
      <c r="AD110" s="4"/>
      <c r="AF110" t="s">
        <v>277</v>
      </c>
      <c r="AG110" t="s">
        <v>30</v>
      </c>
      <c r="AH110" s="8">
        <f>D110</f>
        <v>42675</v>
      </c>
      <c r="AI110" s="3">
        <f>SUM(E110:E112)</f>
        <v>71.539999999999992</v>
      </c>
      <c r="AJ110" s="3">
        <f>(AI110-3*$A$33)*$A$34/(3*$A$35)*$A$36</f>
        <v>5238.3328083989491</v>
      </c>
      <c r="AK110" s="7">
        <f>SUM(G110:G112)</f>
        <v>13.600000000000001</v>
      </c>
      <c r="AL110" s="7">
        <f>SUM(H110:H112)</f>
        <v>12.94</v>
      </c>
      <c r="AM110" s="7">
        <f>(AK110-AL110)/AK110*100</f>
        <v>4.8529411764706012</v>
      </c>
      <c r="AN110" s="3">
        <f>AJ110*(1-AM110/100)</f>
        <v>4984.1195985795875</v>
      </c>
      <c r="AO110" s="11">
        <f>K110</f>
        <v>42782</v>
      </c>
      <c r="AP110" s="7">
        <f>SUM(L110:L112)</f>
        <v>12.94</v>
      </c>
      <c r="AQ110" s="7">
        <f t="shared" ref="AQ110" si="173">SUM(M110:M112)</f>
        <v>5.36</v>
      </c>
      <c r="AR110" s="7">
        <f t="shared" ref="AR110" si="174">SUM(N110:N112)</f>
        <v>6.52</v>
      </c>
      <c r="AS110" s="9">
        <f>AQ110/AP110</f>
        <v>0.41421947449768165</v>
      </c>
      <c r="AT110" s="9">
        <f>AR110/AP110</f>
        <v>0.50386398763523954</v>
      </c>
      <c r="AU110" s="9">
        <f>1-AS110-AT110</f>
        <v>8.1916537867078754E-2</v>
      </c>
      <c r="AV110" s="3">
        <f>AJ110*AS110</f>
        <v>2169.8194631389774</v>
      </c>
      <c r="AW110" s="3">
        <f>AJ110*AT110</f>
        <v>2639.4072574003976</v>
      </c>
      <c r="AX110" s="3">
        <f>AV110+AW110</f>
        <v>4809.2267205393746</v>
      </c>
      <c r="AY110" s="3">
        <f>AN110*AS110</f>
        <v>2064.5194009572328</v>
      </c>
      <c r="AZ110" s="3">
        <f>AN110*AT110</f>
        <v>2511.3183757912602</v>
      </c>
      <c r="BA110" s="3">
        <f>AY110+AZ110</f>
        <v>4575.8377767484926</v>
      </c>
      <c r="BB110" s="11">
        <f>X111</f>
        <v>42901</v>
      </c>
      <c r="BC110" s="13">
        <f>AVERAGE(Y110:Y112)</f>
        <v>45</v>
      </c>
      <c r="BD110" s="7">
        <f t="shared" ref="BD110" si="175">AVERAGE(Z110:Z112)</f>
        <v>1.1599999999999999</v>
      </c>
      <c r="BE110" s="3">
        <f t="shared" ref="BE110" si="176">AVERAGE(AA110:AA112)</f>
        <v>81.599999999999994</v>
      </c>
      <c r="BF110" s="3">
        <f t="shared" ref="BF110" si="177">AVERAGE(AB110:AB112)</f>
        <v>32.4</v>
      </c>
      <c r="BG110" s="3">
        <f t="shared" ref="BG110" si="178">AVERAGE(AC110:AC112)</f>
        <v>5.6</v>
      </c>
      <c r="BH110" s="3">
        <f t="shared" ref="BH110" si="179">AVERAGE(AD110:AD112)</f>
        <v>8.9</v>
      </c>
    </row>
    <row r="111" spans="1:60" x14ac:dyDescent="0.3">
      <c r="A111">
        <v>68</v>
      </c>
      <c r="B111" s="1" t="s">
        <v>113</v>
      </c>
      <c r="C111" s="1" t="s">
        <v>30</v>
      </c>
      <c r="D111" s="2">
        <v>42675</v>
      </c>
      <c r="E111" s="3">
        <v>22.32</v>
      </c>
      <c r="F111" s="4">
        <f t="shared" si="161"/>
        <v>4897.543543307087</v>
      </c>
      <c r="G111" s="7">
        <v>4.74</v>
      </c>
      <c r="H111" s="7">
        <v>4.5199999999999996</v>
      </c>
      <c r="I111" s="5">
        <f t="shared" si="162"/>
        <v>4.6413502109704776</v>
      </c>
      <c r="J111" s="4">
        <f t="shared" si="163"/>
        <v>4670.2313957274328</v>
      </c>
      <c r="K111" s="2">
        <v>42782</v>
      </c>
      <c r="L111" s="7">
        <v>4.5199999999999996</v>
      </c>
      <c r="M111" s="7">
        <v>1.86</v>
      </c>
      <c r="N111" s="7">
        <v>2.2599999999999998</v>
      </c>
      <c r="O111" s="6">
        <f t="shared" si="164"/>
        <v>0.41150442477876115</v>
      </c>
      <c r="P111" s="6">
        <f t="shared" si="165"/>
        <v>0.5</v>
      </c>
      <c r="Q111" s="6">
        <f t="shared" si="166"/>
        <v>8.8495575221238854E-2</v>
      </c>
      <c r="R111" s="4">
        <f t="shared" si="167"/>
        <v>2015.3608386175185</v>
      </c>
      <c r="S111" s="4">
        <f t="shared" si="168"/>
        <v>2448.7717716535435</v>
      </c>
      <c r="T111" s="4">
        <f t="shared" si="169"/>
        <v>4464.1326102710618</v>
      </c>
      <c r="U111" s="4">
        <f t="shared" si="170"/>
        <v>1921.820884082528</v>
      </c>
      <c r="V111" s="4">
        <f t="shared" si="171"/>
        <v>2335.1156978637164</v>
      </c>
      <c r="W111" s="4">
        <f t="shared" si="172"/>
        <v>4256.9365819462446</v>
      </c>
      <c r="X111" s="10">
        <v>42901</v>
      </c>
      <c r="Y111" s="12">
        <v>45</v>
      </c>
      <c r="Z111" s="5">
        <v>1.1599999999999999</v>
      </c>
      <c r="AA111" s="4">
        <v>81.599999999999994</v>
      </c>
      <c r="AB111" s="4">
        <v>32.4</v>
      </c>
      <c r="AC111" s="4">
        <v>5.6</v>
      </c>
      <c r="AD111" s="4">
        <v>8.9</v>
      </c>
      <c r="AI111" s="3"/>
      <c r="AJ111" s="3"/>
      <c r="AK111" s="7"/>
      <c r="AL111" s="7"/>
      <c r="AM111" s="7"/>
      <c r="AN111" s="3"/>
      <c r="AO111" s="3"/>
      <c r="AP111" s="7"/>
      <c r="AQ111" s="7"/>
      <c r="AR111" s="7"/>
      <c r="AS111" s="9"/>
      <c r="AT111" s="9"/>
      <c r="AU111" s="9"/>
      <c r="AV111" s="3"/>
      <c r="AW111" s="3"/>
      <c r="AX111" s="3"/>
      <c r="AY111" s="3"/>
      <c r="AZ111" s="3"/>
      <c r="BA111" s="3"/>
      <c r="BC111" s="13"/>
      <c r="BD111" s="7"/>
      <c r="BE111" s="3"/>
      <c r="BF111" s="3"/>
      <c r="BG111" s="3"/>
      <c r="BH111" s="3"/>
    </row>
    <row r="112" spans="1:60" x14ac:dyDescent="0.3">
      <c r="A112">
        <v>69</v>
      </c>
      <c r="B112" s="1" t="s">
        <v>114</v>
      </c>
      <c r="C112" s="1" t="s">
        <v>30</v>
      </c>
      <c r="D112" s="2">
        <v>42675</v>
      </c>
      <c r="E112" s="3">
        <v>25.02</v>
      </c>
      <c r="F112" s="4">
        <f t="shared" si="161"/>
        <v>5500.2494488188977</v>
      </c>
      <c r="G112" s="7">
        <v>4.66</v>
      </c>
      <c r="H112" s="7">
        <v>4.42</v>
      </c>
      <c r="I112" s="5">
        <f t="shared" si="162"/>
        <v>5.1502145922746827</v>
      </c>
      <c r="J112" s="4">
        <f t="shared" si="163"/>
        <v>5216.9747990943188</v>
      </c>
      <c r="K112" s="2">
        <v>42782</v>
      </c>
      <c r="L112" s="7">
        <v>4.42</v>
      </c>
      <c r="M112" s="7">
        <v>1.82</v>
      </c>
      <c r="N112" s="7">
        <v>2.2200000000000002</v>
      </c>
      <c r="O112" s="6">
        <f t="shared" si="164"/>
        <v>0.41176470588235298</v>
      </c>
      <c r="P112" s="6">
        <f t="shared" si="165"/>
        <v>0.50226244343891413</v>
      </c>
      <c r="Q112" s="6">
        <f t="shared" si="166"/>
        <v>8.5972850678732837E-2</v>
      </c>
      <c r="R112" s="4">
        <f t="shared" si="167"/>
        <v>2264.8085965724877</v>
      </c>
      <c r="S112" s="4">
        <f t="shared" si="168"/>
        <v>2762.56872768732</v>
      </c>
      <c r="T112" s="4">
        <f t="shared" si="169"/>
        <v>5027.3773242598072</v>
      </c>
      <c r="U112" s="4">
        <f t="shared" si="170"/>
        <v>2148.1660937447195</v>
      </c>
      <c r="V112" s="4">
        <f t="shared" si="171"/>
        <v>2620.2905099523505</v>
      </c>
      <c r="W112" s="4">
        <f t="shared" si="172"/>
        <v>4768.45660369707</v>
      </c>
      <c r="X112" s="10"/>
      <c r="Y112" s="12"/>
      <c r="Z112" s="5"/>
      <c r="AA112" s="4"/>
      <c r="AB112" s="4"/>
      <c r="AC112" s="4"/>
      <c r="AD112" s="4"/>
      <c r="AI112" s="3"/>
      <c r="AJ112" s="3"/>
      <c r="AK112" s="7"/>
      <c r="AL112" s="7"/>
      <c r="AM112" s="7"/>
      <c r="AN112" s="3"/>
      <c r="AO112" s="3"/>
      <c r="AP112" s="7"/>
      <c r="AQ112" s="7"/>
      <c r="AR112" s="7"/>
      <c r="AS112" s="9"/>
      <c r="AT112" s="9"/>
      <c r="AU112" s="9"/>
      <c r="AV112" s="3"/>
      <c r="AW112" s="3"/>
      <c r="AX112" s="3"/>
      <c r="AY112" s="3"/>
      <c r="AZ112" s="3"/>
      <c r="BA112" s="3"/>
      <c r="BC112" s="13"/>
      <c r="BD112" s="7"/>
      <c r="BE112" s="3"/>
      <c r="BF112" s="3"/>
      <c r="BG112" s="3"/>
      <c r="BH112" s="3"/>
    </row>
    <row r="113" spans="1:60" x14ac:dyDescent="0.3">
      <c r="A113">
        <v>70</v>
      </c>
      <c r="B113" s="1" t="s">
        <v>115</v>
      </c>
      <c r="C113" s="1" t="s">
        <v>30</v>
      </c>
      <c r="D113" s="2">
        <v>42675</v>
      </c>
      <c r="E113" s="3">
        <v>23.66</v>
      </c>
      <c r="F113" s="4">
        <f t="shared" si="161"/>
        <v>5196.6642519685047</v>
      </c>
      <c r="G113" s="7">
        <v>4.6000000000000005</v>
      </c>
      <c r="H113" s="7">
        <v>4.38</v>
      </c>
      <c r="I113" s="5">
        <f t="shared" si="162"/>
        <v>4.7826086956521872</v>
      </c>
      <c r="J113" s="4">
        <f t="shared" si="163"/>
        <v>4948.1281355700103</v>
      </c>
      <c r="K113" s="2">
        <v>42782</v>
      </c>
      <c r="L113" s="7">
        <v>4.38</v>
      </c>
      <c r="M113" s="7">
        <v>1.84</v>
      </c>
      <c r="N113" s="7">
        <v>2.2200000000000002</v>
      </c>
      <c r="O113" s="6">
        <f t="shared" si="164"/>
        <v>0.42009132420091327</v>
      </c>
      <c r="P113" s="6">
        <f t="shared" si="165"/>
        <v>0.50684931506849318</v>
      </c>
      <c r="Q113" s="6">
        <f t="shared" si="166"/>
        <v>7.3059360730593603E-2</v>
      </c>
      <c r="R113" s="4">
        <f t="shared" si="167"/>
        <v>2183.0735670369977</v>
      </c>
      <c r="S113" s="4">
        <f t="shared" si="168"/>
        <v>2633.9257167511601</v>
      </c>
      <c r="T113" s="4">
        <f t="shared" si="169"/>
        <v>4816.9992837881582</v>
      </c>
      <c r="U113" s="4">
        <f t="shared" si="170"/>
        <v>2078.6657007874019</v>
      </c>
      <c r="V113" s="4">
        <f t="shared" si="171"/>
        <v>2507.9553563847999</v>
      </c>
      <c r="W113" s="4">
        <f t="shared" si="172"/>
        <v>4586.6210571722022</v>
      </c>
      <c r="X113" s="10"/>
      <c r="Y113" s="12"/>
      <c r="Z113" s="5"/>
      <c r="AA113" s="4"/>
      <c r="AB113" s="4"/>
      <c r="AC113" s="4"/>
      <c r="AD113" s="4"/>
      <c r="AF113" t="s">
        <v>278</v>
      </c>
      <c r="AG113" t="s">
        <v>30</v>
      </c>
      <c r="AH113" s="8">
        <f>D113</f>
        <v>42675</v>
      </c>
      <c r="AI113" s="3">
        <f>SUM(E113:E115)</f>
        <v>69.02000000000001</v>
      </c>
      <c r="AJ113" s="3">
        <f>(AI113-3*$A$33)*$A$34/(3*$A$35)*$A$36</f>
        <v>5050.824304461943</v>
      </c>
      <c r="AK113" s="7">
        <f>SUM(G113:G115)</f>
        <v>13.260000000000002</v>
      </c>
      <c r="AL113" s="7">
        <f>SUM(H113:H115)</f>
        <v>12.600000000000001</v>
      </c>
      <c r="AM113" s="7">
        <f>(AK113-AL113)/AK113*100</f>
        <v>4.9773755656108598</v>
      </c>
      <c r="AN113" s="3">
        <f>AJ113*(1-AM113/100)</f>
        <v>4799.4258096697195</v>
      </c>
      <c r="AO113" s="11">
        <f>K113</f>
        <v>42782</v>
      </c>
      <c r="AP113" s="7">
        <f>SUM(L113:L115)</f>
        <v>12.600000000000001</v>
      </c>
      <c r="AQ113" s="7">
        <f t="shared" ref="AQ113" si="180">SUM(M113:M115)</f>
        <v>5.36</v>
      </c>
      <c r="AR113" s="7">
        <f t="shared" ref="AR113" si="181">SUM(N113:N115)</f>
        <v>6.4200000000000008</v>
      </c>
      <c r="AS113" s="9">
        <f>AQ113/AP113</f>
        <v>0.42539682539682538</v>
      </c>
      <c r="AT113" s="9">
        <f>AR113/AP113</f>
        <v>0.50952380952380949</v>
      </c>
      <c r="AU113" s="9">
        <f>1-AS113-AT113</f>
        <v>6.507936507936507E-2</v>
      </c>
      <c r="AV113" s="3">
        <f>AJ113*AS113</f>
        <v>2148.604624755239</v>
      </c>
      <c r="AW113" s="3">
        <f>AJ113*AT113</f>
        <v>2573.5152408448948</v>
      </c>
      <c r="AX113" s="3">
        <f>AV113+AW113</f>
        <v>4722.1198656001343</v>
      </c>
      <c r="AY113" s="3">
        <f>AN113*AS113</f>
        <v>2041.660503161087</v>
      </c>
      <c r="AZ113" s="3">
        <f>AN113*AT113</f>
        <v>2445.4217220698092</v>
      </c>
      <c r="BA113" s="3">
        <f>AY113+AZ113</f>
        <v>4487.0822252308963</v>
      </c>
      <c r="BB113" s="11">
        <f>X114</f>
        <v>42901</v>
      </c>
      <c r="BC113" s="13">
        <f>AVERAGE(Y113:Y115)</f>
        <v>45</v>
      </c>
      <c r="BD113" s="7">
        <f t="shared" ref="BD113" si="182">AVERAGE(Z113:Z115)</f>
        <v>1.1100000000000001</v>
      </c>
      <c r="BE113" s="3">
        <f t="shared" ref="BE113" si="183">AVERAGE(AA113:AA115)</f>
        <v>81.099999999999994</v>
      </c>
      <c r="BF113" s="3">
        <f t="shared" ref="BF113" si="184">AVERAGE(AB113:AB115)</f>
        <v>30.8</v>
      </c>
      <c r="BG113" s="3">
        <f t="shared" ref="BG113" si="185">AVERAGE(AC113:AC115)</f>
        <v>5.6</v>
      </c>
      <c r="BH113" s="3">
        <f t="shared" ref="BH113" si="186">AVERAGE(AD113:AD115)</f>
        <v>10.1</v>
      </c>
    </row>
    <row r="114" spans="1:60" x14ac:dyDescent="0.3">
      <c r="A114">
        <v>71</v>
      </c>
      <c r="B114" s="1" t="s">
        <v>116</v>
      </c>
      <c r="C114" s="1" t="s">
        <v>30</v>
      </c>
      <c r="D114" s="2">
        <v>42675</v>
      </c>
      <c r="E114" s="3">
        <v>21.82</v>
      </c>
      <c r="F114" s="4">
        <f t="shared" si="161"/>
        <v>4785.9313385826772</v>
      </c>
      <c r="G114" s="7">
        <v>4.12</v>
      </c>
      <c r="H114" s="7">
        <v>3.92</v>
      </c>
      <c r="I114" s="5">
        <f t="shared" si="162"/>
        <v>4.854368932038839</v>
      </c>
      <c r="J114" s="4">
        <f t="shared" si="163"/>
        <v>4553.6045745738093</v>
      </c>
      <c r="K114" s="2">
        <v>42782</v>
      </c>
      <c r="L114" s="7">
        <v>3.92</v>
      </c>
      <c r="M114" s="7">
        <v>1.68</v>
      </c>
      <c r="N114" s="7">
        <v>2</v>
      </c>
      <c r="O114" s="6">
        <f t="shared" si="164"/>
        <v>0.42857142857142855</v>
      </c>
      <c r="P114" s="6">
        <f t="shared" si="165"/>
        <v>0.51020408163265307</v>
      </c>
      <c r="Q114" s="6">
        <f t="shared" si="166"/>
        <v>6.1224489795918324E-2</v>
      </c>
      <c r="R114" s="4">
        <f t="shared" si="167"/>
        <v>2051.1134308211472</v>
      </c>
      <c r="S114" s="4">
        <f t="shared" si="168"/>
        <v>2441.8017033585088</v>
      </c>
      <c r="T114" s="4">
        <f t="shared" si="169"/>
        <v>4492.915134179656</v>
      </c>
      <c r="U114" s="4">
        <f t="shared" si="170"/>
        <v>1951.5448176744897</v>
      </c>
      <c r="V114" s="4">
        <f t="shared" si="171"/>
        <v>2323.267640088678</v>
      </c>
      <c r="W114" s="4">
        <f t="shared" si="172"/>
        <v>4274.8124577631679</v>
      </c>
      <c r="X114" s="10">
        <v>42901</v>
      </c>
      <c r="Y114" s="12">
        <v>45</v>
      </c>
      <c r="Z114" s="5">
        <v>1.1100000000000001</v>
      </c>
      <c r="AA114" s="4">
        <v>81.099999999999994</v>
      </c>
      <c r="AB114" s="4">
        <v>30.8</v>
      </c>
      <c r="AC114" s="4">
        <v>5.6</v>
      </c>
      <c r="AD114" s="4">
        <v>10.1</v>
      </c>
      <c r="AI114" s="3"/>
      <c r="AJ114" s="3"/>
      <c r="AK114" s="7"/>
      <c r="AL114" s="7"/>
      <c r="AM114" s="7"/>
      <c r="AN114" s="3"/>
      <c r="AO114" s="3"/>
      <c r="AP114" s="7"/>
      <c r="AQ114" s="7"/>
      <c r="AR114" s="7"/>
      <c r="AS114" s="9"/>
      <c r="AT114" s="9"/>
      <c r="AU114" s="9"/>
      <c r="AV114" s="3"/>
      <c r="AW114" s="3"/>
      <c r="AX114" s="3"/>
      <c r="AY114" s="3"/>
      <c r="AZ114" s="3"/>
      <c r="BA114" s="3"/>
      <c r="BC114" s="13"/>
      <c r="BD114" s="7"/>
      <c r="BE114" s="3"/>
      <c r="BF114" s="3"/>
      <c r="BG114" s="3"/>
      <c r="BH114" s="3"/>
    </row>
    <row r="115" spans="1:60" x14ac:dyDescent="0.3">
      <c r="A115">
        <v>72</v>
      </c>
      <c r="B115" s="1" t="s">
        <v>117</v>
      </c>
      <c r="C115" s="1" t="s">
        <v>30</v>
      </c>
      <c r="D115" s="2">
        <v>42675</v>
      </c>
      <c r="E115" s="3">
        <v>23.54</v>
      </c>
      <c r="F115" s="4">
        <f t="shared" si="161"/>
        <v>5169.8773228346454</v>
      </c>
      <c r="G115" s="7">
        <v>4.54</v>
      </c>
      <c r="H115" s="7">
        <v>4.3</v>
      </c>
      <c r="I115" s="5">
        <f t="shared" si="162"/>
        <v>5.2863436123348064</v>
      </c>
      <c r="J115" s="4">
        <f t="shared" si="163"/>
        <v>4896.5798432134306</v>
      </c>
      <c r="K115" s="2">
        <v>42782</v>
      </c>
      <c r="L115" s="7">
        <v>4.3</v>
      </c>
      <c r="M115" s="7">
        <v>1.84</v>
      </c>
      <c r="N115" s="7">
        <v>2.2000000000000002</v>
      </c>
      <c r="O115" s="6">
        <f t="shared" si="164"/>
        <v>0.4279069767441861</v>
      </c>
      <c r="P115" s="6">
        <f t="shared" si="165"/>
        <v>0.51162790697674421</v>
      </c>
      <c r="Q115" s="6">
        <f t="shared" si="166"/>
        <v>6.0465116279069697E-2</v>
      </c>
      <c r="R115" s="4">
        <f t="shared" si="167"/>
        <v>2212.2265753524998</v>
      </c>
      <c r="S115" s="4">
        <f t="shared" si="168"/>
        <v>2645.0535140084235</v>
      </c>
      <c r="T115" s="4">
        <f t="shared" si="169"/>
        <v>4857.2800893609237</v>
      </c>
      <c r="U115" s="4">
        <f t="shared" si="170"/>
        <v>2095.2806770959801</v>
      </c>
      <c r="V115" s="4">
        <f t="shared" si="171"/>
        <v>2505.2268965278017</v>
      </c>
      <c r="W115" s="4">
        <f t="shared" si="172"/>
        <v>4600.5075736237814</v>
      </c>
      <c r="X115" s="10"/>
      <c r="Y115" s="12"/>
      <c r="Z115" s="5"/>
      <c r="AA115" s="4"/>
      <c r="AB115" s="4"/>
      <c r="AC115" s="4"/>
      <c r="AD115" s="4"/>
      <c r="AI115" s="3"/>
      <c r="AJ115" s="3"/>
      <c r="AK115" s="7"/>
      <c r="AL115" s="7"/>
      <c r="AM115" s="7"/>
      <c r="AN115" s="3"/>
      <c r="AO115" s="3"/>
      <c r="AP115" s="7"/>
      <c r="AQ115" s="7"/>
      <c r="AR115" s="7"/>
      <c r="AS115" s="9"/>
      <c r="AT115" s="9"/>
      <c r="AU115" s="9"/>
      <c r="AV115" s="3"/>
      <c r="AW115" s="3"/>
      <c r="AX115" s="3"/>
      <c r="AY115" s="3"/>
      <c r="AZ115" s="3"/>
      <c r="BA115" s="3"/>
      <c r="BC115" s="13"/>
      <c r="BD115" s="7"/>
      <c r="BE115" s="3"/>
      <c r="BF115" s="3"/>
      <c r="BG115" s="3"/>
      <c r="BH115" s="3"/>
    </row>
    <row r="116" spans="1:60" x14ac:dyDescent="0.3">
      <c r="A116">
        <v>73</v>
      </c>
      <c r="B116" s="1" t="s">
        <v>118</v>
      </c>
      <c r="C116" s="1" t="s">
        <v>30</v>
      </c>
      <c r="D116" s="2">
        <v>42675</v>
      </c>
      <c r="E116" s="3">
        <v>18.04</v>
      </c>
      <c r="F116" s="4">
        <f t="shared" si="161"/>
        <v>3942.1430708661414</v>
      </c>
      <c r="G116" s="7">
        <v>4.3000000000000007</v>
      </c>
      <c r="H116" s="7">
        <v>4.1399999999999997</v>
      </c>
      <c r="I116" s="5">
        <f t="shared" si="162"/>
        <v>3.720930232558163</v>
      </c>
      <c r="J116" s="4">
        <f t="shared" si="163"/>
        <v>3795.4586775315865</v>
      </c>
      <c r="K116" s="2">
        <v>42774</v>
      </c>
      <c r="L116" s="7">
        <v>4.1399999999999997</v>
      </c>
      <c r="M116" s="7">
        <v>1.58</v>
      </c>
      <c r="N116" s="7">
        <v>2.08</v>
      </c>
      <c r="O116" s="6">
        <f t="shared" si="164"/>
        <v>0.38164251207729472</v>
      </c>
      <c r="P116" s="6">
        <f t="shared" si="165"/>
        <v>0.50241545893719808</v>
      </c>
      <c r="Q116" s="6">
        <f t="shared" si="166"/>
        <v>0.11594202898550721</v>
      </c>
      <c r="R116" s="4">
        <f t="shared" si="167"/>
        <v>1504.489384533455</v>
      </c>
      <c r="S116" s="4">
        <f t="shared" si="168"/>
        <v>1980.5936201453078</v>
      </c>
      <c r="T116" s="4">
        <f t="shared" si="169"/>
        <v>3485.0830046787628</v>
      </c>
      <c r="U116" s="4">
        <f t="shared" si="170"/>
        <v>1448.5083841787216</v>
      </c>
      <c r="V116" s="4">
        <f t="shared" si="171"/>
        <v>1906.897113349203</v>
      </c>
      <c r="W116" s="4">
        <f t="shared" si="172"/>
        <v>3355.4054975279246</v>
      </c>
      <c r="X116" s="10"/>
      <c r="Y116" s="12"/>
      <c r="Z116" s="5"/>
      <c r="AA116" s="4"/>
      <c r="AB116" s="4"/>
      <c r="AC116" s="4"/>
      <c r="AD116" s="4"/>
      <c r="AF116" t="s">
        <v>279</v>
      </c>
      <c r="AG116" t="str">
        <f>C116</f>
        <v>Machine</v>
      </c>
      <c r="AH116" s="8">
        <f>D116</f>
        <v>42675</v>
      </c>
      <c r="AI116" s="3">
        <f>SUM(E116:E118)</f>
        <v>51.92</v>
      </c>
      <c r="AJ116" s="3">
        <f>(AI116-3*$A$33)*$A$34/(3*$A$35)*$A$36</f>
        <v>3778.4451706036748</v>
      </c>
      <c r="AK116" s="7">
        <f>SUM(G116:G118)</f>
        <v>13.059999999999999</v>
      </c>
      <c r="AL116" s="7">
        <f>SUM(H116:H118)</f>
        <v>12.46</v>
      </c>
      <c r="AM116" s="7">
        <f>(AK116-AL116)/AK116*100</f>
        <v>4.5941807044410252</v>
      </c>
      <c r="AN116" s="3">
        <f>AJ116*(1-AM116/100)</f>
        <v>3604.856571647917</v>
      </c>
      <c r="AO116" s="11">
        <f>K116</f>
        <v>42774</v>
      </c>
      <c r="AP116" s="7">
        <f>SUM(L116:L118)</f>
        <v>12.46</v>
      </c>
      <c r="AQ116" s="7">
        <f t="shared" ref="AQ116" si="187">SUM(M116:M118)</f>
        <v>4.76</v>
      </c>
      <c r="AR116" s="7">
        <f t="shared" ref="AR116" si="188">SUM(N116:N118)</f>
        <v>6.2</v>
      </c>
      <c r="AS116" s="9">
        <f>AQ116/AP116</f>
        <v>0.38202247191011229</v>
      </c>
      <c r="AT116" s="9">
        <f>AR116/AP116</f>
        <v>0.4975922953451043</v>
      </c>
      <c r="AU116" s="9">
        <f>1-AS116-AT116</f>
        <v>0.12038523274478341</v>
      </c>
      <c r="AV116" s="3">
        <f>AJ116*AS116</f>
        <v>1443.4509640508418</v>
      </c>
      <c r="AW116" s="3">
        <f>AJ116*AT116</f>
        <v>1880.1252052763068</v>
      </c>
      <c r="AX116" s="3">
        <f>AV116+AW116</f>
        <v>3323.5761693271488</v>
      </c>
      <c r="AY116" s="3">
        <f>AN116*AS116</f>
        <v>1377.1362183823501</v>
      </c>
      <c r="AZ116" s="3">
        <f>AN116*AT116</f>
        <v>1793.7488558761704</v>
      </c>
      <c r="BA116" s="3">
        <f>AY116+AZ116</f>
        <v>3170.8850742585205</v>
      </c>
      <c r="BB116" s="11">
        <f>X117</f>
        <v>42901</v>
      </c>
      <c r="BC116" s="13">
        <f>AVERAGE(Y116:Y118)</f>
        <v>34</v>
      </c>
      <c r="BD116" s="7">
        <f t="shared" ref="BD116" si="189">AVERAGE(Z116:Z118)</f>
        <v>1.18</v>
      </c>
      <c r="BE116" s="3">
        <f t="shared" ref="BE116" si="190">AVERAGE(AA116:AA118)</f>
        <v>82</v>
      </c>
      <c r="BF116" s="3">
        <f t="shared" ref="BF116" si="191">AVERAGE(AB116:AB118)</f>
        <v>32.4</v>
      </c>
      <c r="BG116" s="3">
        <f t="shared" ref="BG116" si="192">AVERAGE(AC116:AC118)</f>
        <v>5.5</v>
      </c>
      <c r="BH116" s="3">
        <f t="shared" ref="BH116" si="193">AVERAGE(AD116:AD118)</f>
        <v>8.9</v>
      </c>
    </row>
    <row r="117" spans="1:60" x14ac:dyDescent="0.3">
      <c r="A117">
        <v>74</v>
      </c>
      <c r="B117" s="1" t="s">
        <v>119</v>
      </c>
      <c r="C117" s="1" t="s">
        <v>30</v>
      </c>
      <c r="D117" s="2">
        <v>42675</v>
      </c>
      <c r="E117" s="3">
        <v>16.899999999999999</v>
      </c>
      <c r="F117" s="4">
        <f t="shared" si="161"/>
        <v>3687.6672440944881</v>
      </c>
      <c r="G117" s="7">
        <v>4.38</v>
      </c>
      <c r="H117" s="7">
        <v>4.12</v>
      </c>
      <c r="I117" s="5">
        <f t="shared" si="162"/>
        <v>5.9360730593607265</v>
      </c>
      <c r="J117" s="4">
        <f t="shared" si="163"/>
        <v>3468.7646222989251</v>
      </c>
      <c r="K117" s="2">
        <v>42765</v>
      </c>
      <c r="L117" s="7">
        <v>4.12</v>
      </c>
      <c r="M117" s="7">
        <v>1.54</v>
      </c>
      <c r="N117" s="7">
        <v>2.08</v>
      </c>
      <c r="O117" s="6">
        <f t="shared" si="164"/>
        <v>0.37378640776699029</v>
      </c>
      <c r="P117" s="6">
        <f t="shared" si="165"/>
        <v>0.50485436893203883</v>
      </c>
      <c r="Q117" s="6">
        <f t="shared" si="166"/>
        <v>0.12135922330097082</v>
      </c>
      <c r="R117" s="4">
        <f t="shared" si="167"/>
        <v>1378.3998922100757</v>
      </c>
      <c r="S117" s="4">
        <f t="shared" si="168"/>
        <v>1861.7349193486737</v>
      </c>
      <c r="T117" s="4">
        <f t="shared" si="169"/>
        <v>3240.1348115587493</v>
      </c>
      <c r="U117" s="4">
        <f t="shared" si="170"/>
        <v>1296.577067558336</v>
      </c>
      <c r="V117" s="4">
        <f t="shared" si="171"/>
        <v>1751.220974364506</v>
      </c>
      <c r="W117" s="4">
        <f t="shared" si="172"/>
        <v>3047.798041922842</v>
      </c>
      <c r="X117" s="10">
        <v>42901</v>
      </c>
      <c r="Y117" s="12">
        <v>34</v>
      </c>
      <c r="Z117" s="5">
        <v>1.18</v>
      </c>
      <c r="AA117" s="4">
        <v>82</v>
      </c>
      <c r="AB117" s="4">
        <v>32.4</v>
      </c>
      <c r="AC117" s="4">
        <v>5.5</v>
      </c>
      <c r="AD117" s="4">
        <v>8.9</v>
      </c>
      <c r="AI117" s="3"/>
      <c r="AJ117" s="3"/>
      <c r="AK117" s="7"/>
      <c r="AL117" s="7"/>
      <c r="AM117" s="7"/>
      <c r="AN117" s="3"/>
      <c r="AO117" s="3"/>
      <c r="AP117" s="7"/>
      <c r="AQ117" s="7"/>
      <c r="AR117" s="7"/>
      <c r="AS117" s="9"/>
      <c r="AT117" s="9"/>
      <c r="AU117" s="9"/>
      <c r="AV117" s="3"/>
      <c r="AW117" s="3"/>
      <c r="AX117" s="3"/>
      <c r="AY117" s="3"/>
      <c r="AZ117" s="3"/>
      <c r="BA117" s="3"/>
      <c r="BC117" s="13"/>
      <c r="BD117" s="7"/>
      <c r="BE117" s="3"/>
      <c r="BF117" s="3"/>
      <c r="BG117" s="3"/>
      <c r="BH117" s="3"/>
    </row>
    <row r="118" spans="1:60" x14ac:dyDescent="0.3">
      <c r="A118">
        <v>75</v>
      </c>
      <c r="B118" s="1" t="s">
        <v>120</v>
      </c>
      <c r="C118" s="1" t="s">
        <v>30</v>
      </c>
      <c r="D118" s="2">
        <v>42675</v>
      </c>
      <c r="E118" s="3">
        <v>16.98</v>
      </c>
      <c r="F118" s="4">
        <f t="shared" si="161"/>
        <v>3705.525196850394</v>
      </c>
      <c r="G118" s="7">
        <v>4.38</v>
      </c>
      <c r="H118" s="7">
        <v>4.2</v>
      </c>
      <c r="I118" s="5">
        <f t="shared" si="162"/>
        <v>4.1095890410958837</v>
      </c>
      <c r="J118" s="4">
        <f t="shared" si="163"/>
        <v>3553.2433394455834</v>
      </c>
      <c r="K118" s="2">
        <v>42774</v>
      </c>
      <c r="L118" s="7">
        <v>4.2</v>
      </c>
      <c r="M118" s="7">
        <v>1.64</v>
      </c>
      <c r="N118" s="7">
        <v>2.04</v>
      </c>
      <c r="O118" s="6">
        <f t="shared" si="164"/>
        <v>0.39047619047619042</v>
      </c>
      <c r="P118" s="6">
        <f t="shared" si="165"/>
        <v>0.48571428571428571</v>
      </c>
      <c r="Q118" s="6">
        <f t="shared" si="166"/>
        <v>0.12380952380952387</v>
      </c>
      <c r="R118" s="4">
        <f t="shared" si="167"/>
        <v>1446.9193625796775</v>
      </c>
      <c r="S118" s="4">
        <f t="shared" si="168"/>
        <v>1799.826524184477</v>
      </c>
      <c r="T118" s="4">
        <f t="shared" si="169"/>
        <v>3246.7458867641544</v>
      </c>
      <c r="U118" s="4">
        <f t="shared" si="170"/>
        <v>1387.4569230216086</v>
      </c>
      <c r="V118" s="4">
        <f t="shared" si="171"/>
        <v>1725.8610505878548</v>
      </c>
      <c r="W118" s="4">
        <f t="shared" si="172"/>
        <v>3113.3179736094635</v>
      </c>
      <c r="X118" s="10"/>
      <c r="Y118" s="12"/>
      <c r="Z118" s="5"/>
      <c r="AA118" s="4"/>
      <c r="AB118" s="4"/>
      <c r="AC118" s="4"/>
      <c r="AD118" s="4"/>
      <c r="AI118" s="3"/>
      <c r="AJ118" s="3"/>
      <c r="AK118" s="7"/>
      <c r="AL118" s="7"/>
      <c r="AM118" s="7"/>
      <c r="AN118" s="3"/>
      <c r="AO118" s="3"/>
      <c r="AP118" s="7"/>
      <c r="AQ118" s="7"/>
      <c r="AR118" s="7"/>
      <c r="AS118" s="9"/>
      <c r="AT118" s="9"/>
      <c r="AU118" s="9"/>
      <c r="AV118" s="3"/>
      <c r="AW118" s="3"/>
      <c r="AX118" s="3"/>
      <c r="AY118" s="3"/>
      <c r="AZ118" s="3"/>
      <c r="BA118" s="3"/>
      <c r="BC118" s="13"/>
      <c r="BD118" s="7"/>
      <c r="BE118" s="3"/>
      <c r="BF118" s="3"/>
      <c r="BG118" s="3"/>
      <c r="BH118" s="3"/>
    </row>
    <row r="119" spans="1:60" x14ac:dyDescent="0.3">
      <c r="A119">
        <v>76</v>
      </c>
      <c r="B119" s="1" t="s">
        <v>121</v>
      </c>
      <c r="C119" s="1" t="s">
        <v>30</v>
      </c>
      <c r="D119" s="2">
        <v>42675</v>
      </c>
      <c r="E119" s="3">
        <v>18.920000000000002</v>
      </c>
      <c r="F119" s="4">
        <f t="shared" si="161"/>
        <v>4138.5805511811022</v>
      </c>
      <c r="G119" s="7">
        <v>4.3600000000000003</v>
      </c>
      <c r="H119" s="7">
        <v>4.2</v>
      </c>
      <c r="I119" s="5">
        <f t="shared" si="162"/>
        <v>3.6697247706422047</v>
      </c>
      <c r="J119" s="4">
        <f t="shared" si="163"/>
        <v>3986.7060355414287</v>
      </c>
      <c r="K119" s="2">
        <v>42774</v>
      </c>
      <c r="L119" s="7">
        <v>4.2</v>
      </c>
      <c r="M119" s="7">
        <v>1.64</v>
      </c>
      <c r="N119" s="7">
        <v>2.2000000000000002</v>
      </c>
      <c r="O119" s="6">
        <f t="shared" si="164"/>
        <v>0.39047619047619042</v>
      </c>
      <c r="P119" s="6">
        <f t="shared" si="165"/>
        <v>0.52380952380952384</v>
      </c>
      <c r="Q119" s="6">
        <f t="shared" si="166"/>
        <v>8.5714285714285743E-2</v>
      </c>
      <c r="R119" s="4">
        <f t="shared" si="167"/>
        <v>1616.0171676040493</v>
      </c>
      <c r="S119" s="4">
        <f t="shared" si="168"/>
        <v>2167.8279077615298</v>
      </c>
      <c r="T119" s="4">
        <f t="shared" si="169"/>
        <v>3783.8450753655789</v>
      </c>
      <c r="U119" s="4">
        <f t="shared" si="170"/>
        <v>1556.7137853066529</v>
      </c>
      <c r="V119" s="4">
        <f t="shared" si="171"/>
        <v>2088.2745900455102</v>
      </c>
      <c r="W119" s="4">
        <f t="shared" si="172"/>
        <v>3644.9883753521631</v>
      </c>
      <c r="X119" s="10"/>
      <c r="Y119" s="12"/>
      <c r="Z119" s="5"/>
      <c r="AA119" s="4"/>
      <c r="AB119" s="4"/>
      <c r="AC119" s="4"/>
      <c r="AD119" s="4"/>
      <c r="AF119" t="s">
        <v>280</v>
      </c>
      <c r="AG119" t="s">
        <v>30</v>
      </c>
      <c r="AH119" s="8">
        <f>D119</f>
        <v>42675</v>
      </c>
      <c r="AI119" s="3">
        <f>SUM(E119:E121)</f>
        <v>50.76</v>
      </c>
      <c r="AJ119" s="3">
        <f>(AI119-3*$A$33)*$A$34/(3*$A$35)*$A$36</f>
        <v>3692.1317322834639</v>
      </c>
      <c r="AK119" s="7">
        <f>SUM(G119:G121)</f>
        <v>13.36</v>
      </c>
      <c r="AL119" s="7">
        <f>SUM(H119:H121)</f>
        <v>12.780000000000001</v>
      </c>
      <c r="AM119" s="7">
        <f>(AK119-AL119)/AK119*100</f>
        <v>4.3413173652694486</v>
      </c>
      <c r="AN119" s="3">
        <f>AJ119*(1-AM119/100)</f>
        <v>3531.844576241218</v>
      </c>
      <c r="AO119" s="11">
        <f>K119</f>
        <v>42774</v>
      </c>
      <c r="AP119" s="7">
        <f>SUM(L119:L121)</f>
        <v>12.780000000000001</v>
      </c>
      <c r="AQ119" s="7">
        <f t="shared" ref="AQ119" si="194">SUM(M119:M121)</f>
        <v>5.0599999999999996</v>
      </c>
      <c r="AR119" s="7">
        <f t="shared" ref="AR119" si="195">SUM(N119:N121)</f>
        <v>6.68</v>
      </c>
      <c r="AS119" s="9">
        <f>AQ119/AP119</f>
        <v>0.39593114241001559</v>
      </c>
      <c r="AT119" s="9">
        <f>AR119/AP119</f>
        <v>0.52269170579029722</v>
      </c>
      <c r="AU119" s="9">
        <f>1-AS119-AT119</f>
        <v>8.1377151799687186E-2</v>
      </c>
      <c r="AV119" s="3">
        <f>AJ119*AS119</f>
        <v>1461.8299346912618</v>
      </c>
      <c r="AW119" s="3">
        <f>AJ119*AT119</f>
        <v>1929.8466331497286</v>
      </c>
      <c r="AX119" s="3">
        <f>AV119+AW119</f>
        <v>3391.6765678409902</v>
      </c>
      <c r="AY119" s="3">
        <f>AN119*AS119</f>
        <v>1398.3672578858029</v>
      </c>
      <c r="AZ119" s="3">
        <f>AN119*AT119</f>
        <v>1846.0658661417317</v>
      </c>
      <c r="BA119" s="3">
        <f>AY119+AZ119</f>
        <v>3244.4331240275346</v>
      </c>
      <c r="BB119" s="11">
        <f>X120</f>
        <v>42901</v>
      </c>
      <c r="BC119" s="13">
        <f>AVERAGE(Y119:Y121)</f>
        <v>43</v>
      </c>
      <c r="BD119" s="7">
        <f t="shared" ref="BD119" si="196">AVERAGE(Z119:Z121)</f>
        <v>1.1299999999999999</v>
      </c>
      <c r="BE119" s="3">
        <f t="shared" ref="BE119" si="197">AVERAGE(AA119:AA121)</f>
        <v>81.8</v>
      </c>
      <c r="BF119" s="3">
        <f t="shared" ref="BF119" si="198">AVERAGE(AB119:AB121)</f>
        <v>31.5</v>
      </c>
      <c r="BG119" s="3">
        <f t="shared" ref="BG119" si="199">AVERAGE(AC119:AC121)</f>
        <v>5.3</v>
      </c>
      <c r="BH119" s="3">
        <f t="shared" ref="BH119" si="200">AVERAGE(AD119:AD121)</f>
        <v>9.4</v>
      </c>
    </row>
    <row r="120" spans="1:60" x14ac:dyDescent="0.3">
      <c r="A120">
        <v>77</v>
      </c>
      <c r="B120" s="1" t="s">
        <v>122</v>
      </c>
      <c r="C120" s="1" t="s">
        <v>30</v>
      </c>
      <c r="D120" s="2">
        <v>42675</v>
      </c>
      <c r="E120" s="3">
        <v>16.3</v>
      </c>
      <c r="F120" s="4">
        <f t="shared" si="161"/>
        <v>3553.7325984251966</v>
      </c>
      <c r="G120" s="7">
        <v>4.66</v>
      </c>
      <c r="H120" s="7">
        <v>4.4400000000000004</v>
      </c>
      <c r="I120" s="5">
        <f t="shared" si="162"/>
        <v>4.72103004291845</v>
      </c>
      <c r="J120" s="4">
        <f t="shared" si="163"/>
        <v>3385.9598148085565</v>
      </c>
      <c r="K120" s="2">
        <v>42774</v>
      </c>
      <c r="L120" s="7">
        <v>4.4400000000000004</v>
      </c>
      <c r="M120" s="7">
        <v>1.78</v>
      </c>
      <c r="N120" s="7">
        <v>2.34</v>
      </c>
      <c r="O120" s="6">
        <f t="shared" si="164"/>
        <v>0.40090090090090086</v>
      </c>
      <c r="P120" s="6">
        <f t="shared" si="165"/>
        <v>0.52702702702702697</v>
      </c>
      <c r="Q120" s="6">
        <f t="shared" si="166"/>
        <v>7.2072072072072224E-2</v>
      </c>
      <c r="R120" s="4">
        <f t="shared" si="167"/>
        <v>1424.6946002695606</v>
      </c>
      <c r="S120" s="4">
        <f t="shared" si="168"/>
        <v>1872.9131261970629</v>
      </c>
      <c r="T120" s="4">
        <f t="shared" si="169"/>
        <v>3297.6077264666237</v>
      </c>
      <c r="U120" s="4">
        <f t="shared" si="170"/>
        <v>1357.4343401709978</v>
      </c>
      <c r="V120" s="4">
        <f t="shared" si="171"/>
        <v>1784.4923348315363</v>
      </c>
      <c r="W120" s="4">
        <f t="shared" si="172"/>
        <v>3141.926675002534</v>
      </c>
      <c r="X120" s="10">
        <v>42901</v>
      </c>
      <c r="Y120" s="12">
        <v>43</v>
      </c>
      <c r="Z120" s="5">
        <v>1.1299999999999999</v>
      </c>
      <c r="AA120" s="4">
        <v>81.8</v>
      </c>
      <c r="AB120" s="4">
        <v>31.5</v>
      </c>
      <c r="AC120" s="4">
        <v>5.3</v>
      </c>
      <c r="AD120" s="4">
        <v>9.4</v>
      </c>
      <c r="AI120" s="3"/>
      <c r="AJ120" s="3"/>
      <c r="AK120" s="7"/>
      <c r="AL120" s="7"/>
      <c r="AM120" s="7"/>
      <c r="AN120" s="3"/>
      <c r="AO120" s="3"/>
      <c r="AP120" s="7"/>
      <c r="AQ120" s="7"/>
      <c r="AR120" s="7"/>
      <c r="AS120" s="9"/>
      <c r="AT120" s="9"/>
      <c r="AU120" s="9"/>
      <c r="AV120" s="3"/>
      <c r="AW120" s="3"/>
      <c r="AX120" s="3"/>
      <c r="AY120" s="3"/>
      <c r="AZ120" s="3"/>
      <c r="BA120" s="3"/>
      <c r="BC120" s="13"/>
      <c r="BD120" s="7"/>
      <c r="BE120" s="3"/>
      <c r="BF120" s="3"/>
      <c r="BG120" s="3"/>
      <c r="BH120" s="3"/>
    </row>
    <row r="121" spans="1:60" x14ac:dyDescent="0.3">
      <c r="A121">
        <v>78</v>
      </c>
      <c r="B121" s="1" t="s">
        <v>123</v>
      </c>
      <c r="C121" s="1" t="s">
        <v>30</v>
      </c>
      <c r="D121" s="2">
        <v>42675</v>
      </c>
      <c r="E121" s="3">
        <v>15.54</v>
      </c>
      <c r="F121" s="4">
        <f t="shared" si="161"/>
        <v>3384.0820472440942</v>
      </c>
      <c r="G121" s="7">
        <v>4.3400000000000007</v>
      </c>
      <c r="H121" s="7">
        <v>4.1399999999999997</v>
      </c>
      <c r="I121" s="5">
        <f t="shared" si="162"/>
        <v>4.6082949308755996</v>
      </c>
      <c r="J121" s="4">
        <f t="shared" si="163"/>
        <v>3228.1335658042735</v>
      </c>
      <c r="K121" s="2">
        <v>42765</v>
      </c>
      <c r="L121" s="7">
        <v>4.1399999999999997</v>
      </c>
      <c r="M121" s="7">
        <v>1.64</v>
      </c>
      <c r="N121" s="7">
        <v>2.14</v>
      </c>
      <c r="O121" s="6">
        <f t="shared" si="164"/>
        <v>0.39613526570048307</v>
      </c>
      <c r="P121" s="6">
        <f t="shared" si="165"/>
        <v>0.51690821256038655</v>
      </c>
      <c r="Q121" s="6">
        <f t="shared" si="166"/>
        <v>8.6956521739130377E-2</v>
      </c>
      <c r="R121" s="4">
        <f t="shared" si="167"/>
        <v>1340.554240937274</v>
      </c>
      <c r="S121" s="4">
        <f t="shared" si="168"/>
        <v>1749.2598021986382</v>
      </c>
      <c r="T121" s="4">
        <f t="shared" si="169"/>
        <v>3089.8140431359125</v>
      </c>
      <c r="U121" s="4">
        <f t="shared" si="170"/>
        <v>1278.7775478065237</v>
      </c>
      <c r="V121" s="4">
        <f t="shared" si="171"/>
        <v>1668.6487514060741</v>
      </c>
      <c r="W121" s="4">
        <f t="shared" si="172"/>
        <v>2947.4262992125978</v>
      </c>
      <c r="X121" s="10"/>
      <c r="Y121" s="12"/>
      <c r="Z121" s="5"/>
      <c r="AA121" s="4"/>
      <c r="AB121" s="4"/>
      <c r="AC121" s="4"/>
      <c r="AD121" s="4"/>
      <c r="AI121" s="3"/>
      <c r="AJ121" s="3"/>
      <c r="AK121" s="7"/>
      <c r="AL121" s="7"/>
      <c r="AM121" s="7"/>
      <c r="AN121" s="3"/>
      <c r="AO121" s="3"/>
      <c r="AP121" s="7"/>
      <c r="AQ121" s="7"/>
      <c r="AR121" s="7"/>
      <c r="AS121" s="9"/>
      <c r="AT121" s="9"/>
      <c r="AU121" s="9"/>
      <c r="AV121" s="3"/>
      <c r="AW121" s="3"/>
      <c r="AX121" s="3"/>
      <c r="AY121" s="3"/>
      <c r="AZ121" s="3"/>
      <c r="BA121" s="3"/>
      <c r="BC121" s="13"/>
      <c r="BD121" s="7"/>
      <c r="BE121" s="3"/>
      <c r="BF121" s="3"/>
      <c r="BG121" s="3"/>
      <c r="BH121" s="3"/>
    </row>
    <row r="122" spans="1:60" x14ac:dyDescent="0.3">
      <c r="A122">
        <v>79</v>
      </c>
      <c r="B122" s="1" t="s">
        <v>124</v>
      </c>
      <c r="C122" s="1" t="s">
        <v>30</v>
      </c>
      <c r="D122" s="2">
        <v>42675</v>
      </c>
      <c r="E122" s="3">
        <v>21.9</v>
      </c>
      <c r="F122" s="4">
        <f t="shared" si="161"/>
        <v>4803.7892913385822</v>
      </c>
      <c r="G122" s="7">
        <v>4.0600000000000005</v>
      </c>
      <c r="H122" s="7">
        <v>3.86</v>
      </c>
      <c r="I122" s="5">
        <f t="shared" si="162"/>
        <v>4.9261083743842509</v>
      </c>
      <c r="J122" s="4">
        <f t="shared" si="163"/>
        <v>4567.1494247701785</v>
      </c>
      <c r="K122" s="2">
        <v>42774</v>
      </c>
      <c r="L122" s="7">
        <v>3.86</v>
      </c>
      <c r="M122" s="7">
        <v>1.56</v>
      </c>
      <c r="N122" s="7">
        <v>2</v>
      </c>
      <c r="O122" s="6">
        <f t="shared" si="164"/>
        <v>0.4041450777202073</v>
      </c>
      <c r="P122" s="6">
        <f t="shared" si="165"/>
        <v>0.5181347150259068</v>
      </c>
      <c r="Q122" s="6">
        <f t="shared" si="166"/>
        <v>7.7720207253885842E-2</v>
      </c>
      <c r="R122" s="4">
        <f t="shared" si="167"/>
        <v>1941.4277964995308</v>
      </c>
      <c r="S122" s="4">
        <f t="shared" si="168"/>
        <v>2489.0099955122191</v>
      </c>
      <c r="T122" s="4">
        <f t="shared" si="169"/>
        <v>4430.4377920117495</v>
      </c>
      <c r="U122" s="4">
        <f t="shared" si="170"/>
        <v>1845.7909592335438</v>
      </c>
      <c r="V122" s="4">
        <f t="shared" si="171"/>
        <v>2366.3986656840307</v>
      </c>
      <c r="W122" s="4">
        <f t="shared" si="172"/>
        <v>4212.1896249175743</v>
      </c>
      <c r="X122" s="10"/>
      <c r="Y122" s="12"/>
      <c r="Z122" s="5"/>
      <c r="AA122" s="4"/>
      <c r="AB122" s="4"/>
      <c r="AC122" s="4"/>
      <c r="AD122" s="4"/>
      <c r="AF122" t="s">
        <v>281</v>
      </c>
      <c r="AG122" t="s">
        <v>30</v>
      </c>
      <c r="AH122" s="8">
        <f>D122</f>
        <v>42675</v>
      </c>
      <c r="AI122" s="3">
        <f>SUM(E122:E124)</f>
        <v>66.040000000000006</v>
      </c>
      <c r="AJ122" s="3">
        <f>(AI122-3*$A$33)*$A$34/(3*$A$35)*$A$36</f>
        <v>4829.0880577427824</v>
      </c>
      <c r="AK122" s="7">
        <f>SUM(G122:G124)</f>
        <v>12.620000000000001</v>
      </c>
      <c r="AL122" s="7">
        <f>SUM(H122:H124)</f>
        <v>12.079999999999998</v>
      </c>
      <c r="AM122" s="7">
        <f>(AK122-AL122)/AK122*100</f>
        <v>4.2789223454833811</v>
      </c>
      <c r="AN122" s="3">
        <f>AJ122*(1-AM122/100)</f>
        <v>4622.4551297569569</v>
      </c>
      <c r="AO122" s="11">
        <f>K122</f>
        <v>42774</v>
      </c>
      <c r="AP122" s="7">
        <f>SUM(L122:L124)</f>
        <v>12.079999999999998</v>
      </c>
      <c r="AQ122" s="7">
        <f t="shared" ref="AQ122" si="201">SUM(M122:M124)</f>
        <v>5.04</v>
      </c>
      <c r="AR122" s="7">
        <f t="shared" ref="AR122" si="202">SUM(N122:N124)</f>
        <v>6.22</v>
      </c>
      <c r="AS122" s="9">
        <f>AQ122/AP122</f>
        <v>0.41721854304635769</v>
      </c>
      <c r="AT122" s="9">
        <f>AR122/AP122</f>
        <v>0.51490066225165565</v>
      </c>
      <c r="AU122" s="9">
        <f>1-AS122-AT122</f>
        <v>6.7880794701986602E-2</v>
      </c>
      <c r="AV122" s="3">
        <f>AJ122*AS122</f>
        <v>2014.785083694009</v>
      </c>
      <c r="AW122" s="3">
        <f>AJ122*AT122</f>
        <v>2486.50063900332</v>
      </c>
      <c r="AX122" s="3">
        <f>AV122+AW122</f>
        <v>4501.2857226973292</v>
      </c>
      <c r="AY122" s="3">
        <f>AN122*AS122</f>
        <v>1928.5739945343598</v>
      </c>
      <c r="AZ122" s="3">
        <f>AN122*AT122</f>
        <v>2380.10520754042</v>
      </c>
      <c r="BA122" s="3">
        <f>AY122+AZ122</f>
        <v>4308.6792020747798</v>
      </c>
      <c r="BB122" s="11">
        <f>X123</f>
        <v>42901</v>
      </c>
      <c r="BC122" s="13">
        <f>AVERAGE(Y122:Y124)</f>
        <v>46</v>
      </c>
      <c r="BD122" s="7">
        <f t="shared" ref="BD122" si="203">AVERAGE(Z122:Z124)</f>
        <v>1.1299999999999999</v>
      </c>
      <c r="BE122" s="3">
        <f t="shared" ref="BE122" si="204">AVERAGE(AA122:AA124)</f>
        <v>80.5</v>
      </c>
      <c r="BF122" s="3">
        <f t="shared" ref="BF122" si="205">AVERAGE(AB122:AB124)</f>
        <v>31.8</v>
      </c>
      <c r="BG122" s="3">
        <f t="shared" ref="BG122" si="206">AVERAGE(AC122:AC124)</f>
        <v>5.5</v>
      </c>
      <c r="BH122" s="3">
        <f t="shared" ref="BH122" si="207">AVERAGE(AD122:AD124)</f>
        <v>9.9</v>
      </c>
    </row>
    <row r="123" spans="1:60" x14ac:dyDescent="0.3">
      <c r="A123">
        <v>80</v>
      </c>
      <c r="B123" s="1" t="s">
        <v>125</v>
      </c>
      <c r="C123" s="1" t="s">
        <v>30</v>
      </c>
      <c r="D123" s="2">
        <v>42675</v>
      </c>
      <c r="E123" s="3">
        <v>23.02</v>
      </c>
      <c r="F123" s="4">
        <f t="shared" si="161"/>
        <v>5053.8006299212602</v>
      </c>
      <c r="G123" s="7">
        <v>4.08</v>
      </c>
      <c r="H123" s="7">
        <v>3.92</v>
      </c>
      <c r="I123" s="5">
        <f t="shared" si="162"/>
        <v>3.9215686274509838</v>
      </c>
      <c r="J123" s="4">
        <f t="shared" si="163"/>
        <v>4855.6123699243481</v>
      </c>
      <c r="K123" s="2">
        <v>42774</v>
      </c>
      <c r="L123" s="7">
        <v>3.92</v>
      </c>
      <c r="M123" s="7">
        <v>1.64</v>
      </c>
      <c r="N123" s="7">
        <v>2.02</v>
      </c>
      <c r="O123" s="6">
        <f t="shared" si="164"/>
        <v>0.41836734693877548</v>
      </c>
      <c r="P123" s="6">
        <f t="shared" si="165"/>
        <v>0.51530612244897955</v>
      </c>
      <c r="Q123" s="6">
        <f t="shared" si="166"/>
        <v>6.6326530612245027E-2</v>
      </c>
      <c r="R123" s="4">
        <f t="shared" si="167"/>
        <v>2114.3451614976698</v>
      </c>
      <c r="S123" s="4">
        <f t="shared" si="168"/>
        <v>2604.2544062349348</v>
      </c>
      <c r="T123" s="4">
        <f t="shared" si="169"/>
        <v>4718.5995677326046</v>
      </c>
      <c r="U123" s="4">
        <f t="shared" si="170"/>
        <v>2031.4296649683495</v>
      </c>
      <c r="V123" s="4">
        <f t="shared" si="171"/>
        <v>2502.1267824610159</v>
      </c>
      <c r="W123" s="4">
        <f t="shared" si="172"/>
        <v>4533.5564474293651</v>
      </c>
      <c r="X123" s="10">
        <v>42901</v>
      </c>
      <c r="Y123" s="12">
        <v>46</v>
      </c>
      <c r="Z123" s="5">
        <v>1.1299999999999999</v>
      </c>
      <c r="AA123" s="4">
        <v>80.5</v>
      </c>
      <c r="AB123" s="4">
        <v>31.8</v>
      </c>
      <c r="AC123" s="4">
        <v>5.5</v>
      </c>
      <c r="AD123" s="4">
        <v>9.9</v>
      </c>
      <c r="AI123" s="3"/>
      <c r="AJ123" s="3"/>
      <c r="AK123" s="7"/>
      <c r="AL123" s="7"/>
      <c r="AM123" s="7"/>
      <c r="AN123" s="3"/>
      <c r="AO123" s="3"/>
      <c r="AP123" s="7"/>
      <c r="AQ123" s="7"/>
      <c r="AR123" s="7"/>
      <c r="AS123" s="9"/>
      <c r="AT123" s="9"/>
      <c r="AU123" s="9"/>
      <c r="AV123" s="3"/>
      <c r="AW123" s="3"/>
      <c r="AX123" s="3"/>
      <c r="AY123" s="3"/>
      <c r="AZ123" s="3"/>
      <c r="BA123" s="3"/>
      <c r="BC123" s="13"/>
      <c r="BD123" s="7"/>
      <c r="BE123" s="3"/>
      <c r="BF123" s="3"/>
      <c r="BG123" s="3"/>
      <c r="BH123" s="3"/>
    </row>
    <row r="124" spans="1:60" x14ac:dyDescent="0.3">
      <c r="A124">
        <v>81</v>
      </c>
      <c r="B124" s="1" t="s">
        <v>126</v>
      </c>
      <c r="C124" s="1" t="s">
        <v>30</v>
      </c>
      <c r="D124" s="2">
        <v>42675</v>
      </c>
      <c r="E124" s="3">
        <v>21.12</v>
      </c>
      <c r="F124" s="4">
        <f t="shared" si="161"/>
        <v>4629.6742519685049</v>
      </c>
      <c r="G124" s="7">
        <v>4.4800000000000004</v>
      </c>
      <c r="H124" s="7">
        <v>4.3</v>
      </c>
      <c r="I124" s="5">
        <f t="shared" si="162"/>
        <v>4.0178571428571557</v>
      </c>
      <c r="J124" s="4">
        <f t="shared" si="163"/>
        <v>4443.6605543447704</v>
      </c>
      <c r="K124" s="2">
        <v>42774</v>
      </c>
      <c r="L124" s="7">
        <v>4.3</v>
      </c>
      <c r="M124" s="7">
        <v>1.84</v>
      </c>
      <c r="N124" s="7">
        <v>2.2000000000000002</v>
      </c>
      <c r="O124" s="6">
        <f t="shared" si="164"/>
        <v>0.4279069767441861</v>
      </c>
      <c r="P124" s="6">
        <f t="shared" si="165"/>
        <v>0.51162790697674421</v>
      </c>
      <c r="Q124" s="6">
        <f t="shared" si="166"/>
        <v>6.0465116279069697E-2</v>
      </c>
      <c r="R124" s="4">
        <f t="shared" si="167"/>
        <v>1981.0699124702442</v>
      </c>
      <c r="S124" s="4">
        <f t="shared" si="168"/>
        <v>2368.67054751877</v>
      </c>
      <c r="T124" s="4">
        <f t="shared" si="169"/>
        <v>4349.7404599890142</v>
      </c>
      <c r="U124" s="4">
        <f t="shared" si="170"/>
        <v>1901.4733534870647</v>
      </c>
      <c r="V124" s="4">
        <f t="shared" si="171"/>
        <v>2273.5007487345338</v>
      </c>
      <c r="W124" s="4">
        <f t="shared" si="172"/>
        <v>4174.9741022215985</v>
      </c>
      <c r="X124" s="10"/>
      <c r="Y124" s="12"/>
      <c r="Z124" s="5"/>
      <c r="AA124" s="4"/>
      <c r="AB124" s="4"/>
      <c r="AC124" s="4"/>
      <c r="AD124" s="4"/>
      <c r="AI124" s="3"/>
      <c r="AJ124" s="3"/>
      <c r="AK124" s="7"/>
      <c r="AL124" s="7"/>
      <c r="AM124" s="7"/>
      <c r="AN124" s="3"/>
      <c r="AO124" s="3"/>
      <c r="AP124" s="7"/>
      <c r="AQ124" s="7"/>
      <c r="AR124" s="7"/>
      <c r="AS124" s="9"/>
      <c r="AT124" s="9"/>
      <c r="AU124" s="9"/>
      <c r="AV124" s="3"/>
      <c r="AW124" s="3"/>
      <c r="AX124" s="3"/>
      <c r="AY124" s="3"/>
      <c r="AZ124" s="3"/>
      <c r="BA124" s="3"/>
      <c r="BC124" s="13"/>
      <c r="BD124" s="7"/>
      <c r="BE124" s="3"/>
      <c r="BF124" s="3"/>
      <c r="BG124" s="3"/>
      <c r="BH124" s="3"/>
    </row>
    <row r="125" spans="1:60" x14ac:dyDescent="0.3">
      <c r="A125">
        <v>82</v>
      </c>
      <c r="B125" s="1" t="s">
        <v>127</v>
      </c>
      <c r="C125" s="1" t="s">
        <v>30</v>
      </c>
      <c r="D125" s="2">
        <v>42675</v>
      </c>
      <c r="E125" s="3">
        <v>15.64</v>
      </c>
      <c r="F125" s="4">
        <f t="shared" si="161"/>
        <v>3406.4044881889768</v>
      </c>
      <c r="G125" s="7">
        <v>4.1400000000000006</v>
      </c>
      <c r="H125" s="7">
        <v>3.94</v>
      </c>
      <c r="I125" s="5">
        <f t="shared" si="162"/>
        <v>4.8309178743961496</v>
      </c>
      <c r="J125" s="4">
        <f t="shared" si="163"/>
        <v>3241.8438848948231</v>
      </c>
      <c r="K125" s="2">
        <v>42774</v>
      </c>
      <c r="L125" s="7">
        <v>3.94</v>
      </c>
      <c r="M125" s="7">
        <v>1.66</v>
      </c>
      <c r="N125" s="7">
        <v>2.02</v>
      </c>
      <c r="O125" s="6">
        <f t="shared" si="164"/>
        <v>0.42131979695431471</v>
      </c>
      <c r="P125" s="6">
        <f t="shared" si="165"/>
        <v>0.51269035532994922</v>
      </c>
      <c r="Q125" s="6">
        <f t="shared" si="166"/>
        <v>6.5989847715736016E-2</v>
      </c>
      <c r="R125" s="4">
        <f t="shared" si="167"/>
        <v>1435.1856473080461</v>
      </c>
      <c r="S125" s="4">
        <f t="shared" si="168"/>
        <v>1746.4307274471403</v>
      </c>
      <c r="T125" s="4">
        <f t="shared" si="169"/>
        <v>3181.6163747551864</v>
      </c>
      <c r="U125" s="4">
        <f t="shared" si="170"/>
        <v>1365.8530073414736</v>
      </c>
      <c r="V125" s="4">
        <f t="shared" si="171"/>
        <v>1662.0620932709498</v>
      </c>
      <c r="W125" s="4">
        <f t="shared" si="172"/>
        <v>3027.9151006124234</v>
      </c>
      <c r="X125" s="10"/>
      <c r="Y125" s="12"/>
      <c r="Z125" s="5"/>
      <c r="AA125" s="4"/>
      <c r="AB125" s="4"/>
      <c r="AC125" s="4"/>
      <c r="AD125" s="4"/>
      <c r="AF125" t="s">
        <v>282</v>
      </c>
      <c r="AG125" t="s">
        <v>30</v>
      </c>
      <c r="AH125" s="8">
        <f>D125</f>
        <v>42675</v>
      </c>
      <c r="AI125" s="3">
        <f>SUM(E125:E127)</f>
        <v>41.980000000000004</v>
      </c>
      <c r="AJ125" s="3">
        <f>(AI125-3*$A$33)*$A$34/(3*$A$35)*$A$36</f>
        <v>3038.828293963255</v>
      </c>
      <c r="AK125" s="7">
        <f>SUM(G125:G127)</f>
        <v>12.440000000000001</v>
      </c>
      <c r="AL125" s="7">
        <f>SUM(H125:H127)</f>
        <v>11.84</v>
      </c>
      <c r="AM125" s="7">
        <f>(AK125-AL125)/AK125*100</f>
        <v>4.8231511254019397</v>
      </c>
      <c r="AN125" s="3">
        <f>AJ125*(1-AM125/100)</f>
        <v>2892.261012903934</v>
      </c>
      <c r="AO125" s="11">
        <f>K125</f>
        <v>42774</v>
      </c>
      <c r="AP125" s="7">
        <f>SUM(L125:L127)</f>
        <v>11.84</v>
      </c>
      <c r="AQ125" s="7">
        <f t="shared" ref="AQ125" si="208">SUM(M125:M127)</f>
        <v>5.04</v>
      </c>
      <c r="AR125" s="7">
        <f t="shared" ref="AR125" si="209">SUM(N125:N127)</f>
        <v>6.08</v>
      </c>
      <c r="AS125" s="9">
        <f>AQ125/AP125</f>
        <v>0.42567567567567566</v>
      </c>
      <c r="AT125" s="9">
        <f>AR125/AP125</f>
        <v>0.51351351351351349</v>
      </c>
      <c r="AU125" s="9">
        <f>1-AS125-AT125</f>
        <v>6.0810810810810856E-2</v>
      </c>
      <c r="AV125" s="3">
        <f>AJ125*AS125</f>
        <v>1293.5552872951694</v>
      </c>
      <c r="AW125" s="3">
        <f>AJ125*AT125</f>
        <v>1560.4793941973471</v>
      </c>
      <c r="AX125" s="3">
        <f>AV125+AW125</f>
        <v>2854.0346814925165</v>
      </c>
      <c r="AY125" s="3">
        <f>AN125*AS125</f>
        <v>1231.1651608982961</v>
      </c>
      <c r="AZ125" s="3">
        <f>AN125*AT125</f>
        <v>1485.2151147344525</v>
      </c>
      <c r="BA125" s="3">
        <f>AY125+AZ125</f>
        <v>2716.3802756327486</v>
      </c>
      <c r="BB125" s="11">
        <f>X126</f>
        <v>42901</v>
      </c>
      <c r="BC125" s="13">
        <f>AVERAGE(Y125:Y127)</f>
        <v>47</v>
      </c>
      <c r="BD125" s="7">
        <f t="shared" ref="BD125" si="210">AVERAGE(Z125:Z127)</f>
        <v>1.03</v>
      </c>
      <c r="BE125" s="3">
        <f t="shared" ref="BE125" si="211">AVERAGE(AA125:AA127)</f>
        <v>79.3</v>
      </c>
      <c r="BF125" s="3">
        <f t="shared" ref="BF125" si="212">AVERAGE(AB125:AB127)</f>
        <v>28.7</v>
      </c>
      <c r="BG125" s="3">
        <f t="shared" ref="BG125" si="213">AVERAGE(AC125:AC127)</f>
        <v>5.3</v>
      </c>
      <c r="BH125" s="3">
        <f t="shared" ref="BH125" si="214">AVERAGE(AD125:AD127)</f>
        <v>11.7</v>
      </c>
    </row>
    <row r="126" spans="1:60" x14ac:dyDescent="0.3">
      <c r="A126">
        <v>83</v>
      </c>
      <c r="B126" s="1" t="s">
        <v>128</v>
      </c>
      <c r="C126" s="1" t="s">
        <v>30</v>
      </c>
      <c r="D126" s="2">
        <v>42675</v>
      </c>
      <c r="E126" s="3">
        <v>13.36</v>
      </c>
      <c r="F126" s="4">
        <f t="shared" si="161"/>
        <v>2897.4528346456691</v>
      </c>
      <c r="G126" s="7">
        <v>3.9199999999999995</v>
      </c>
      <c r="H126" s="7">
        <v>3.74</v>
      </c>
      <c r="I126" s="5">
        <f t="shared" si="162"/>
        <v>4.5918367346938593</v>
      </c>
      <c r="J126" s="4">
        <f t="shared" si="163"/>
        <v>2764.4065310139808</v>
      </c>
      <c r="K126" s="2">
        <v>42765</v>
      </c>
      <c r="L126" s="7">
        <v>3.74</v>
      </c>
      <c r="M126" s="7">
        <v>1.62</v>
      </c>
      <c r="N126" s="7">
        <v>1.9</v>
      </c>
      <c r="O126" s="6">
        <f t="shared" si="164"/>
        <v>0.43315508021390375</v>
      </c>
      <c r="P126" s="6">
        <f t="shared" si="165"/>
        <v>0.50802139037433147</v>
      </c>
      <c r="Q126" s="6">
        <f t="shared" si="166"/>
        <v>5.882352941176483E-2</v>
      </c>
      <c r="R126" s="4">
        <f t="shared" si="167"/>
        <v>1255.0464150069477</v>
      </c>
      <c r="S126" s="4">
        <f t="shared" si="168"/>
        <v>1471.9680176007407</v>
      </c>
      <c r="T126" s="4">
        <f t="shared" si="169"/>
        <v>2727.0144326076884</v>
      </c>
      <c r="U126" s="4">
        <f t="shared" si="170"/>
        <v>1197.4167326852003</v>
      </c>
      <c r="V126" s="4">
        <f t="shared" si="171"/>
        <v>1404.3776494456051</v>
      </c>
      <c r="W126" s="4">
        <f t="shared" si="172"/>
        <v>2601.7943821308054</v>
      </c>
      <c r="X126" s="10">
        <v>42901</v>
      </c>
      <c r="Y126" s="12">
        <v>47</v>
      </c>
      <c r="Z126" s="5">
        <v>1.03</v>
      </c>
      <c r="AA126" s="4">
        <v>79.3</v>
      </c>
      <c r="AB126" s="4">
        <v>28.7</v>
      </c>
      <c r="AC126" s="4">
        <v>5.3</v>
      </c>
      <c r="AD126" s="4">
        <v>11.7</v>
      </c>
      <c r="AI126" s="3"/>
      <c r="AJ126" s="3"/>
      <c r="AK126" s="7"/>
      <c r="AL126" s="7"/>
      <c r="AM126" s="7"/>
      <c r="AN126" s="3"/>
      <c r="AO126" s="3"/>
      <c r="AP126" s="7"/>
      <c r="AQ126" s="7"/>
      <c r="AR126" s="7"/>
      <c r="AS126" s="9"/>
      <c r="AT126" s="9"/>
      <c r="AU126" s="9"/>
      <c r="AV126" s="3"/>
      <c r="AW126" s="3"/>
      <c r="AX126" s="3"/>
      <c r="AY126" s="3"/>
      <c r="AZ126" s="3"/>
      <c r="BA126" s="3"/>
      <c r="BC126" s="13"/>
      <c r="BD126" s="7"/>
      <c r="BE126" s="3"/>
      <c r="BF126" s="3"/>
      <c r="BG126" s="3"/>
      <c r="BH126" s="3"/>
    </row>
    <row r="127" spans="1:60" x14ac:dyDescent="0.3">
      <c r="A127">
        <v>84</v>
      </c>
      <c r="B127" s="1" t="s">
        <v>129</v>
      </c>
      <c r="C127" s="1" t="s">
        <v>30</v>
      </c>
      <c r="D127" s="2">
        <v>42675</v>
      </c>
      <c r="E127" s="3">
        <v>12.98</v>
      </c>
      <c r="F127" s="4">
        <f t="shared" si="161"/>
        <v>2812.6275590551181</v>
      </c>
      <c r="G127" s="7">
        <v>4.38</v>
      </c>
      <c r="H127" s="7">
        <v>4.16</v>
      </c>
      <c r="I127" s="5">
        <f t="shared" si="162"/>
        <v>5.0228310502283051</v>
      </c>
      <c r="J127" s="4">
        <f t="shared" si="163"/>
        <v>2671.3540286916191</v>
      </c>
      <c r="K127" s="2">
        <v>42765</v>
      </c>
      <c r="L127" s="7">
        <v>4.16</v>
      </c>
      <c r="M127" s="7">
        <v>1.76</v>
      </c>
      <c r="N127" s="7">
        <v>2.16</v>
      </c>
      <c r="O127" s="6">
        <f t="shared" si="164"/>
        <v>0.42307692307692307</v>
      </c>
      <c r="P127" s="6">
        <f t="shared" si="165"/>
        <v>0.51923076923076927</v>
      </c>
      <c r="Q127" s="6">
        <f t="shared" si="166"/>
        <v>5.7692307692307598E-2</v>
      </c>
      <c r="R127" s="4">
        <f t="shared" si="167"/>
        <v>1189.9578134463961</v>
      </c>
      <c r="S127" s="4">
        <f t="shared" si="168"/>
        <v>1460.4027710478499</v>
      </c>
      <c r="T127" s="4">
        <f t="shared" si="169"/>
        <v>2650.3605844942458</v>
      </c>
      <c r="U127" s="4">
        <f t="shared" si="170"/>
        <v>1130.1882429079926</v>
      </c>
      <c r="V127" s="4">
        <f t="shared" si="171"/>
        <v>1387.0492072052639</v>
      </c>
      <c r="W127" s="4">
        <f t="shared" si="172"/>
        <v>2517.2374501132563</v>
      </c>
      <c r="X127" s="10"/>
      <c r="Y127" s="12"/>
      <c r="Z127" s="5"/>
      <c r="AA127" s="4"/>
      <c r="AB127" s="4"/>
      <c r="AC127" s="4"/>
      <c r="AD127" s="4"/>
      <c r="AI127" s="3"/>
      <c r="AJ127" s="3"/>
      <c r="AK127" s="7"/>
      <c r="AL127" s="7"/>
      <c r="AM127" s="7"/>
      <c r="AN127" s="3"/>
      <c r="AO127" s="3"/>
      <c r="AP127" s="7"/>
      <c r="AQ127" s="7"/>
      <c r="AR127" s="7"/>
      <c r="AS127" s="9"/>
      <c r="AT127" s="9"/>
      <c r="AU127" s="9"/>
      <c r="AV127" s="3"/>
      <c r="AW127" s="3"/>
      <c r="AX127" s="3"/>
      <c r="AY127" s="3"/>
      <c r="AZ127" s="3"/>
      <c r="BA127" s="3"/>
      <c r="BC127" s="13"/>
      <c r="BD127" s="7"/>
      <c r="BE127" s="3"/>
      <c r="BF127" s="3"/>
      <c r="BG127" s="3"/>
      <c r="BH127" s="3"/>
    </row>
    <row r="128" spans="1:60" x14ac:dyDescent="0.3">
      <c r="A128">
        <v>85</v>
      </c>
      <c r="B128" s="1" t="s">
        <v>130</v>
      </c>
      <c r="C128" s="1" t="s">
        <v>30</v>
      </c>
      <c r="D128" s="2">
        <v>42675</v>
      </c>
      <c r="E128" s="3">
        <v>17.98</v>
      </c>
      <c r="F128" s="4">
        <f t="shared" si="161"/>
        <v>3928.7496062992127</v>
      </c>
      <c r="G128" s="7">
        <v>4.54</v>
      </c>
      <c r="H128" s="7">
        <v>4.32</v>
      </c>
      <c r="I128" s="5">
        <f t="shared" si="162"/>
        <v>4.8458149779735633</v>
      </c>
      <c r="J128" s="4">
        <f t="shared" si="163"/>
        <v>3738.3696694300879</v>
      </c>
      <c r="K128" s="2">
        <v>42774</v>
      </c>
      <c r="L128" s="7">
        <v>4.32</v>
      </c>
      <c r="M128" s="7">
        <v>1.66</v>
      </c>
      <c r="N128" s="7">
        <v>2.2000000000000002</v>
      </c>
      <c r="O128" s="6">
        <f t="shared" si="164"/>
        <v>0.38425925925925919</v>
      </c>
      <c r="P128" s="6">
        <f t="shared" si="165"/>
        <v>0.5092592592592593</v>
      </c>
      <c r="Q128" s="6">
        <f t="shared" si="166"/>
        <v>0.10648148148148151</v>
      </c>
      <c r="R128" s="4">
        <f t="shared" si="167"/>
        <v>1509.6584135316416</v>
      </c>
      <c r="S128" s="4">
        <f t="shared" si="168"/>
        <v>2000.7521143190436</v>
      </c>
      <c r="T128" s="4">
        <f t="shared" si="169"/>
        <v>3510.410527850685</v>
      </c>
      <c r="U128" s="4">
        <f t="shared" si="170"/>
        <v>1436.5031600124871</v>
      </c>
      <c r="V128" s="4">
        <f t="shared" si="171"/>
        <v>1903.7993686912487</v>
      </c>
      <c r="W128" s="4">
        <f t="shared" si="172"/>
        <v>3340.3025287037358</v>
      </c>
      <c r="X128" s="10"/>
      <c r="Y128" s="12"/>
      <c r="Z128" s="5"/>
      <c r="AA128" s="4"/>
      <c r="AB128" s="4"/>
      <c r="AC128" s="4"/>
      <c r="AD128" s="4"/>
      <c r="AF128" t="s">
        <v>283</v>
      </c>
      <c r="AG128" t="str">
        <f>C128</f>
        <v>Machine</v>
      </c>
      <c r="AH128" s="8">
        <f>D128</f>
        <v>42675</v>
      </c>
      <c r="AI128" s="3">
        <f>SUM(E128:E130)</f>
        <v>52</v>
      </c>
      <c r="AJ128" s="3">
        <f>(AI128-3*$A$33)*$A$34/(3*$A$35)*$A$36</f>
        <v>3784.3978215223096</v>
      </c>
      <c r="AK128" s="7">
        <f>SUM(G128:G130)</f>
        <v>13.46</v>
      </c>
      <c r="AL128" s="7">
        <f>SUM(H128:H130)</f>
        <v>12.82</v>
      </c>
      <c r="AM128" s="7">
        <f>(AK128-AL128)/AK128*100</f>
        <v>4.7548291233283839</v>
      </c>
      <c r="AN128" s="3">
        <f>AJ128*(1-AM128/100)</f>
        <v>3604.4561717619617</v>
      </c>
      <c r="AO128" s="11">
        <f>K128</f>
        <v>42774</v>
      </c>
      <c r="AP128" s="7">
        <f>SUM(L128:L130)</f>
        <v>12.82</v>
      </c>
      <c r="AQ128" s="7">
        <f t="shared" ref="AQ128" si="215">SUM(M128:M130)</f>
        <v>4.9000000000000004</v>
      </c>
      <c r="AR128" s="7">
        <f t="shared" ref="AR128" si="216">SUM(N128:N130)</f>
        <v>6.48</v>
      </c>
      <c r="AS128" s="9">
        <f>AQ128/AP128</f>
        <v>0.38221528861154447</v>
      </c>
      <c r="AT128" s="9">
        <f>AR128/AP128</f>
        <v>0.50546021840873634</v>
      </c>
      <c r="AU128" s="9">
        <f>1-AS128-AT128</f>
        <v>0.11232449297971925</v>
      </c>
      <c r="AV128" s="3">
        <f>AJ128*AS128</f>
        <v>1446.4547055740497</v>
      </c>
      <c r="AW128" s="3">
        <f>AJ128*AT128</f>
        <v>1912.8625494122127</v>
      </c>
      <c r="AX128" s="3">
        <f>AV128+AW128</f>
        <v>3359.3172549862625</v>
      </c>
      <c r="AY128" s="3">
        <f>AN128*AS128</f>
        <v>1377.6782559776609</v>
      </c>
      <c r="AZ128" s="3">
        <f>AN128*AT128</f>
        <v>1821.9092038235187</v>
      </c>
      <c r="BA128" s="3">
        <f>AY128+AZ128</f>
        <v>3199.5874598011796</v>
      </c>
      <c r="BB128" s="11">
        <f>X129</f>
        <v>42901</v>
      </c>
      <c r="BC128" s="13">
        <f>AVERAGE(Y128:Y130)</f>
        <v>36</v>
      </c>
      <c r="BD128" s="7">
        <f t="shared" ref="BD128" si="217">AVERAGE(Z128:Z130)</f>
        <v>1.17</v>
      </c>
      <c r="BE128" s="3">
        <f t="shared" ref="BE128" si="218">AVERAGE(AA128:AA130)</f>
        <v>82.1</v>
      </c>
      <c r="BF128" s="3">
        <f t="shared" ref="BF128" si="219">AVERAGE(AB128:AB130)</f>
        <v>33.200000000000003</v>
      </c>
      <c r="BG128" s="3">
        <f t="shared" ref="BG128" si="220">AVERAGE(AC128:AC130)</f>
        <v>5.6</v>
      </c>
      <c r="BH128" s="3">
        <f t="shared" ref="BH128" si="221">AVERAGE(AD128:AD130)</f>
        <v>8.9</v>
      </c>
    </row>
    <row r="129" spans="1:60" x14ac:dyDescent="0.3">
      <c r="A129">
        <v>86</v>
      </c>
      <c r="B129" s="1" t="s">
        <v>131</v>
      </c>
      <c r="C129" s="1" t="s">
        <v>30</v>
      </c>
      <c r="D129" s="2">
        <v>42675</v>
      </c>
      <c r="E129" s="3">
        <v>18</v>
      </c>
      <c r="F129" s="4">
        <f t="shared" si="161"/>
        <v>3933.2140944881894</v>
      </c>
      <c r="G129" s="7">
        <v>4.7200000000000006</v>
      </c>
      <c r="H129" s="7">
        <v>4.4800000000000004</v>
      </c>
      <c r="I129" s="5">
        <f t="shared" si="162"/>
        <v>5.0847457627118686</v>
      </c>
      <c r="J129" s="4">
        <f t="shared" si="163"/>
        <v>3733.2201574803148</v>
      </c>
      <c r="K129" s="2">
        <v>42774</v>
      </c>
      <c r="L129" s="7">
        <v>4.4800000000000004</v>
      </c>
      <c r="M129" s="7">
        <v>1.74</v>
      </c>
      <c r="N129" s="7">
        <v>2.2799999999999998</v>
      </c>
      <c r="O129" s="6">
        <f t="shared" si="164"/>
        <v>0.3883928571428571</v>
      </c>
      <c r="P129" s="6">
        <f t="shared" si="165"/>
        <v>0.50892857142857129</v>
      </c>
      <c r="Q129" s="6">
        <f t="shared" si="166"/>
        <v>0.10267857142857162</v>
      </c>
      <c r="R129" s="4">
        <f t="shared" si="167"/>
        <v>1527.6322599128234</v>
      </c>
      <c r="S129" s="4">
        <f t="shared" si="168"/>
        <v>2001.7250302305958</v>
      </c>
      <c r="T129" s="4">
        <f t="shared" si="169"/>
        <v>3529.357290143419</v>
      </c>
      <c r="U129" s="4">
        <f t="shared" si="170"/>
        <v>1449.9560433070865</v>
      </c>
      <c r="V129" s="4">
        <f t="shared" si="171"/>
        <v>1899.9424015748025</v>
      </c>
      <c r="W129" s="4">
        <f t="shared" si="172"/>
        <v>3349.8984448818892</v>
      </c>
      <c r="X129" s="10">
        <v>42901</v>
      </c>
      <c r="Y129" s="12">
        <v>36</v>
      </c>
      <c r="Z129" s="5">
        <v>1.17</v>
      </c>
      <c r="AA129" s="4">
        <v>82.1</v>
      </c>
      <c r="AB129" s="4">
        <v>33.200000000000003</v>
      </c>
      <c r="AC129" s="4">
        <v>5.6</v>
      </c>
      <c r="AD129" s="4">
        <v>8.9</v>
      </c>
      <c r="AI129" s="3"/>
      <c r="AJ129" s="3"/>
      <c r="AK129" s="7"/>
      <c r="AL129" s="7"/>
      <c r="AM129" s="7"/>
      <c r="AN129" s="3"/>
      <c r="AO129" s="3"/>
      <c r="AP129" s="7"/>
      <c r="AQ129" s="7"/>
      <c r="AR129" s="7"/>
      <c r="AS129" s="9"/>
      <c r="AT129" s="9"/>
      <c r="AU129" s="9"/>
      <c r="AV129" s="3"/>
      <c r="AW129" s="3"/>
      <c r="AX129" s="3"/>
      <c r="AY129" s="3"/>
      <c r="AZ129" s="3"/>
      <c r="BA129" s="3"/>
      <c r="BC129" s="13"/>
      <c r="BD129" s="7"/>
      <c r="BE129" s="3"/>
      <c r="BF129" s="3"/>
      <c r="BG129" s="3"/>
      <c r="BH129" s="3"/>
    </row>
    <row r="130" spans="1:60" x14ac:dyDescent="0.3">
      <c r="A130">
        <v>87</v>
      </c>
      <c r="B130" s="1" t="s">
        <v>132</v>
      </c>
      <c r="C130" s="1" t="s">
        <v>30</v>
      </c>
      <c r="D130" s="2">
        <v>42675</v>
      </c>
      <c r="E130" s="3">
        <v>16.02</v>
      </c>
      <c r="F130" s="4">
        <f t="shared" si="161"/>
        <v>3491.2297637795268</v>
      </c>
      <c r="G130" s="7">
        <v>4.2</v>
      </c>
      <c r="H130" s="7">
        <v>4.0199999999999996</v>
      </c>
      <c r="I130" s="5">
        <f t="shared" si="162"/>
        <v>4.2857142857142998</v>
      </c>
      <c r="J130" s="4">
        <f t="shared" si="163"/>
        <v>3341.6056310461181</v>
      </c>
      <c r="K130" s="2">
        <v>42774</v>
      </c>
      <c r="L130" s="7">
        <v>4.0199999999999996</v>
      </c>
      <c r="M130" s="7">
        <v>1.5</v>
      </c>
      <c r="N130" s="7">
        <v>2</v>
      </c>
      <c r="O130" s="6">
        <f t="shared" si="164"/>
        <v>0.37313432835820898</v>
      </c>
      <c r="P130" s="6">
        <f t="shared" si="165"/>
        <v>0.49751243781094534</v>
      </c>
      <c r="Q130" s="6">
        <f t="shared" si="166"/>
        <v>0.12935323383084574</v>
      </c>
      <c r="R130" s="4">
        <f t="shared" si="167"/>
        <v>1302.6976730520623</v>
      </c>
      <c r="S130" s="4">
        <f t="shared" si="168"/>
        <v>1736.9302307360833</v>
      </c>
      <c r="T130" s="4">
        <f t="shared" si="169"/>
        <v>3039.6279037881459</v>
      </c>
      <c r="U130" s="4">
        <f t="shared" si="170"/>
        <v>1246.8677727784022</v>
      </c>
      <c r="V130" s="4">
        <f t="shared" si="171"/>
        <v>1662.4903637045365</v>
      </c>
      <c r="W130" s="4">
        <f t="shared" si="172"/>
        <v>2909.3581364829388</v>
      </c>
      <c r="X130" s="10"/>
      <c r="Y130" s="12"/>
      <c r="Z130" s="5"/>
      <c r="AA130" s="4"/>
      <c r="AB130" s="4"/>
      <c r="AC130" s="4"/>
      <c r="AD130" s="4"/>
      <c r="AI130" s="3"/>
      <c r="AJ130" s="3"/>
      <c r="AK130" s="7"/>
      <c r="AL130" s="7"/>
      <c r="AM130" s="7"/>
      <c r="AN130" s="3"/>
      <c r="AO130" s="3"/>
      <c r="AP130" s="7"/>
      <c r="AQ130" s="7"/>
      <c r="AR130" s="7"/>
      <c r="AS130" s="9"/>
      <c r="AT130" s="9"/>
      <c r="AU130" s="9"/>
      <c r="AV130" s="3"/>
      <c r="AW130" s="3"/>
      <c r="AX130" s="3"/>
      <c r="AY130" s="3"/>
      <c r="AZ130" s="3"/>
      <c r="BA130" s="3"/>
      <c r="BC130" s="13"/>
      <c r="BD130" s="7"/>
      <c r="BE130" s="3"/>
      <c r="BF130" s="3"/>
      <c r="BG130" s="3"/>
      <c r="BH130" s="3"/>
    </row>
    <row r="131" spans="1:60" x14ac:dyDescent="0.3">
      <c r="A131">
        <v>88</v>
      </c>
      <c r="B131" s="1" t="s">
        <v>133</v>
      </c>
      <c r="C131" s="1" t="s">
        <v>30</v>
      </c>
      <c r="D131" s="2">
        <v>42675</v>
      </c>
      <c r="E131" s="3">
        <v>18.079999999999998</v>
      </c>
      <c r="F131" s="4">
        <f t="shared" si="161"/>
        <v>3951.0720472440939</v>
      </c>
      <c r="G131" s="7">
        <v>3.9599999999999995</v>
      </c>
      <c r="H131" s="7">
        <v>3.78</v>
      </c>
      <c r="I131" s="5">
        <f t="shared" si="162"/>
        <v>4.5454545454545388</v>
      </c>
      <c r="J131" s="4">
        <f t="shared" si="163"/>
        <v>3771.4778632784532</v>
      </c>
      <c r="K131" s="2">
        <v>42774</v>
      </c>
      <c r="L131" s="7">
        <v>3.78</v>
      </c>
      <c r="M131" s="7">
        <v>1.52</v>
      </c>
      <c r="N131" s="7">
        <v>1.96</v>
      </c>
      <c r="O131" s="6">
        <f t="shared" si="164"/>
        <v>0.40211640211640215</v>
      </c>
      <c r="P131" s="6">
        <f t="shared" si="165"/>
        <v>0.51851851851851849</v>
      </c>
      <c r="Q131" s="6">
        <f t="shared" si="166"/>
        <v>7.9365079365079416E-2</v>
      </c>
      <c r="R131" s="4">
        <f t="shared" si="167"/>
        <v>1588.7908761404824</v>
      </c>
      <c r="S131" s="4">
        <f t="shared" si="168"/>
        <v>2048.7040244969376</v>
      </c>
      <c r="T131" s="4">
        <f t="shared" si="169"/>
        <v>3637.49490063742</v>
      </c>
      <c r="U131" s="4">
        <f t="shared" si="170"/>
        <v>1516.5731090431877</v>
      </c>
      <c r="V131" s="4">
        <f t="shared" si="171"/>
        <v>1955.5811142925313</v>
      </c>
      <c r="W131" s="4">
        <f t="shared" si="172"/>
        <v>3472.1542233357191</v>
      </c>
      <c r="X131" s="10"/>
      <c r="Y131" s="12"/>
      <c r="Z131" s="5"/>
      <c r="AA131" s="4"/>
      <c r="AB131" s="4"/>
      <c r="AC131" s="4"/>
      <c r="AD131" s="4"/>
      <c r="AF131" t="s">
        <v>284</v>
      </c>
      <c r="AG131" t="s">
        <v>30</v>
      </c>
      <c r="AH131" s="8">
        <f>D131</f>
        <v>42675</v>
      </c>
      <c r="AI131" s="3">
        <f>SUM(E131:E133)</f>
        <v>54.14</v>
      </c>
      <c r="AJ131" s="3">
        <f>(AI131-3*$A$33)*$A$34/(3*$A$35)*$A$36</f>
        <v>3943.6312335958</v>
      </c>
      <c r="AK131" s="7">
        <f>SUM(G131:G133)</f>
        <v>11.979999999999999</v>
      </c>
      <c r="AL131" s="7">
        <f>SUM(H131:H133)</f>
        <v>11.42</v>
      </c>
      <c r="AM131" s="7">
        <f>(AK131-AL131)/AK131*100</f>
        <v>4.6744574290484033</v>
      </c>
      <c r="AN131" s="3">
        <f>AJ131*(1-AM131/100)</f>
        <v>3759.2878704227078</v>
      </c>
      <c r="AO131" s="11">
        <f>K131</f>
        <v>42774</v>
      </c>
      <c r="AP131" s="7">
        <f>SUM(L131:L133)</f>
        <v>11.42</v>
      </c>
      <c r="AQ131" s="7">
        <f t="shared" ref="AQ131" si="222">SUM(M131:M133)</f>
        <v>4.66</v>
      </c>
      <c r="AR131" s="7">
        <f t="shared" ref="AR131" si="223">SUM(N131:N133)</f>
        <v>5.9399999999999995</v>
      </c>
      <c r="AS131" s="9">
        <f>AQ131/AP131</f>
        <v>0.40805604203152368</v>
      </c>
      <c r="AT131" s="9">
        <f>AR131/AP131</f>
        <v>0.52014010507880903</v>
      </c>
      <c r="AU131" s="9">
        <f>1-AS131-AT131</f>
        <v>7.1803852889667286E-2</v>
      </c>
      <c r="AV131" s="3">
        <f>AJ131*AS131</f>
        <v>1609.2225524129974</v>
      </c>
      <c r="AW131" s="3">
        <f>AJ131*AT131</f>
        <v>2051.2407642345929</v>
      </c>
      <c r="AX131" s="3">
        <f>AV131+AW131</f>
        <v>3660.4633166475905</v>
      </c>
      <c r="AY131" s="3">
        <f>AN131*AS131</f>
        <v>1534.0001292618056</v>
      </c>
      <c r="AZ131" s="3">
        <f>AN131*AT131</f>
        <v>1955.3563879431595</v>
      </c>
      <c r="BA131" s="3">
        <f>AY131+AZ131</f>
        <v>3489.3565172049648</v>
      </c>
      <c r="BB131" s="11">
        <f>X132</f>
        <v>42901</v>
      </c>
      <c r="BC131" s="13">
        <f>AVERAGE(Y131:Y133)</f>
        <v>43</v>
      </c>
      <c r="BD131" s="7">
        <f t="shared" ref="BD131" si="224">AVERAGE(Z131:Z133)</f>
        <v>1.1200000000000001</v>
      </c>
      <c r="BE131" s="3">
        <f t="shared" ref="BE131" si="225">AVERAGE(AA131:AA133)</f>
        <v>82</v>
      </c>
      <c r="BF131" s="3">
        <f t="shared" ref="BF131" si="226">AVERAGE(AB131:AB133)</f>
        <v>32</v>
      </c>
      <c r="BG131" s="3">
        <f t="shared" ref="BG131" si="227">AVERAGE(AC131:AC133)</f>
        <v>5.4</v>
      </c>
      <c r="BH131" s="3">
        <f t="shared" ref="BH131" si="228">AVERAGE(AD131:AD133)</f>
        <v>9.4</v>
      </c>
    </row>
    <row r="132" spans="1:60" x14ac:dyDescent="0.3">
      <c r="A132">
        <v>89</v>
      </c>
      <c r="B132" s="1" t="s">
        <v>134</v>
      </c>
      <c r="C132" s="1" t="s">
        <v>30</v>
      </c>
      <c r="D132" s="2">
        <v>42675</v>
      </c>
      <c r="E132" s="3">
        <v>17.399999999999999</v>
      </c>
      <c r="F132" s="4">
        <f t="shared" si="161"/>
        <v>3799.2794488188974</v>
      </c>
      <c r="G132" s="7">
        <v>4.0600000000000005</v>
      </c>
      <c r="H132" s="7">
        <v>3.88</v>
      </c>
      <c r="I132" s="5">
        <f t="shared" si="162"/>
        <v>4.4334975369458265</v>
      </c>
      <c r="J132" s="4">
        <f t="shared" si="163"/>
        <v>3630.8384880338226</v>
      </c>
      <c r="K132" s="2">
        <v>42774</v>
      </c>
      <c r="L132" s="7">
        <v>3.88</v>
      </c>
      <c r="M132" s="7">
        <v>1.54</v>
      </c>
      <c r="N132" s="7">
        <v>2.02</v>
      </c>
      <c r="O132" s="6">
        <f t="shared" si="164"/>
        <v>0.39690721649484539</v>
      </c>
      <c r="P132" s="6">
        <f t="shared" si="165"/>
        <v>0.52061855670103097</v>
      </c>
      <c r="Q132" s="6">
        <f t="shared" si="166"/>
        <v>8.247422680412364E-2</v>
      </c>
      <c r="R132" s="4">
        <f t="shared" si="167"/>
        <v>1507.961430716779</v>
      </c>
      <c r="S132" s="4">
        <f t="shared" si="168"/>
        <v>1977.9753831479829</v>
      </c>
      <c r="T132" s="4">
        <f t="shared" si="169"/>
        <v>3485.9368138647619</v>
      </c>
      <c r="U132" s="4">
        <f t="shared" si="170"/>
        <v>1441.1059978278574</v>
      </c>
      <c r="V132" s="4">
        <f t="shared" si="171"/>
        <v>1890.2818932547223</v>
      </c>
      <c r="W132" s="4">
        <f t="shared" si="172"/>
        <v>3331.3878910825797</v>
      </c>
      <c r="X132" s="10">
        <v>42901</v>
      </c>
      <c r="Y132" s="12">
        <v>43</v>
      </c>
      <c r="Z132" s="5">
        <v>1.1200000000000001</v>
      </c>
      <c r="AA132" s="4">
        <v>82</v>
      </c>
      <c r="AB132" s="4">
        <v>32</v>
      </c>
      <c r="AC132" s="4">
        <v>5.4</v>
      </c>
      <c r="AD132" s="4">
        <v>9.4</v>
      </c>
      <c r="AI132" s="3"/>
      <c r="AJ132" s="3"/>
      <c r="AK132" s="7"/>
      <c r="AL132" s="7"/>
      <c r="AM132" s="7"/>
      <c r="AN132" s="3"/>
      <c r="AO132" s="3"/>
      <c r="AP132" s="7"/>
      <c r="AQ132" s="7"/>
      <c r="AR132" s="7"/>
      <c r="AS132" s="9"/>
      <c r="AT132" s="9"/>
      <c r="AU132" s="9"/>
      <c r="AV132" s="3"/>
      <c r="AW132" s="3"/>
      <c r="AX132" s="3"/>
      <c r="AY132" s="3"/>
      <c r="AZ132" s="3"/>
      <c r="BA132" s="3"/>
      <c r="BC132" s="13"/>
      <c r="BD132" s="7"/>
      <c r="BE132" s="3"/>
      <c r="BF132" s="3"/>
      <c r="BG132" s="3"/>
      <c r="BH132" s="3"/>
    </row>
    <row r="133" spans="1:60" x14ac:dyDescent="0.3">
      <c r="A133">
        <v>90</v>
      </c>
      <c r="B133" s="1" t="s">
        <v>135</v>
      </c>
      <c r="C133" s="1" t="s">
        <v>30</v>
      </c>
      <c r="D133" s="2">
        <v>42675</v>
      </c>
      <c r="E133" s="3">
        <v>18.66</v>
      </c>
      <c r="F133" s="4">
        <f t="shared" si="161"/>
        <v>4080.5422047244092</v>
      </c>
      <c r="G133" s="7">
        <v>3.9599999999999995</v>
      </c>
      <c r="H133" s="7">
        <v>3.76</v>
      </c>
      <c r="I133" s="5">
        <f t="shared" si="162"/>
        <v>5.0505050505050439</v>
      </c>
      <c r="J133" s="4">
        <f t="shared" si="163"/>
        <v>3874.4542145868131</v>
      </c>
      <c r="K133" s="2">
        <v>42774</v>
      </c>
      <c r="L133" s="7">
        <v>3.76</v>
      </c>
      <c r="M133" s="7">
        <v>1.6</v>
      </c>
      <c r="N133" s="7">
        <v>1.96</v>
      </c>
      <c r="O133" s="6">
        <f t="shared" si="164"/>
        <v>0.42553191489361708</v>
      </c>
      <c r="P133" s="6">
        <f t="shared" si="165"/>
        <v>0.52127659574468088</v>
      </c>
      <c r="Q133" s="6">
        <f t="shared" si="166"/>
        <v>5.3191489361702038E-2</v>
      </c>
      <c r="R133" s="4">
        <f t="shared" si="167"/>
        <v>1736.4009381806</v>
      </c>
      <c r="S133" s="4">
        <f t="shared" si="168"/>
        <v>2127.0911492712348</v>
      </c>
      <c r="T133" s="4">
        <f t="shared" si="169"/>
        <v>3863.4920874518348</v>
      </c>
      <c r="U133" s="4">
        <f t="shared" si="170"/>
        <v>1648.7039211007718</v>
      </c>
      <c r="V133" s="4">
        <f t="shared" si="171"/>
        <v>2019.6623033484452</v>
      </c>
      <c r="W133" s="4">
        <f t="shared" si="172"/>
        <v>3668.366224449217</v>
      </c>
      <c r="X133" s="10"/>
      <c r="Y133" s="12"/>
      <c r="Z133" s="5"/>
      <c r="AA133" s="4"/>
      <c r="AB133" s="4"/>
      <c r="AC133" s="4"/>
      <c r="AD133" s="4"/>
      <c r="AI133" s="3"/>
      <c r="AJ133" s="3"/>
      <c r="AK133" s="7"/>
      <c r="AL133" s="7"/>
      <c r="AM133" s="7"/>
      <c r="AN133" s="3"/>
      <c r="AO133" s="3"/>
      <c r="AP133" s="7"/>
      <c r="AQ133" s="7"/>
      <c r="AR133" s="7"/>
      <c r="AS133" s="9"/>
      <c r="AT133" s="9"/>
      <c r="AU133" s="9"/>
      <c r="AV133" s="3"/>
      <c r="AW133" s="3"/>
      <c r="AX133" s="3"/>
      <c r="AY133" s="3"/>
      <c r="AZ133" s="3"/>
      <c r="BA133" s="3"/>
      <c r="BC133" s="13"/>
      <c r="BD133" s="7"/>
      <c r="BE133" s="3"/>
      <c r="BF133" s="3"/>
      <c r="BG133" s="3"/>
      <c r="BH133" s="3"/>
    </row>
    <row r="134" spans="1:60" x14ac:dyDescent="0.3">
      <c r="A134">
        <v>91</v>
      </c>
      <c r="B134" s="1" t="s">
        <v>136</v>
      </c>
      <c r="C134" s="1" t="s">
        <v>30</v>
      </c>
      <c r="D134" s="2">
        <v>42675</v>
      </c>
      <c r="E134" s="3">
        <v>22.24</v>
      </c>
      <c r="F134" s="4">
        <f t="shared" si="161"/>
        <v>4879.6855905511802</v>
      </c>
      <c r="G134" s="7">
        <v>4.5600000000000005</v>
      </c>
      <c r="H134" s="7">
        <v>4.34</v>
      </c>
      <c r="I134" s="5">
        <f t="shared" si="162"/>
        <v>4.8245614035087856</v>
      </c>
      <c r="J134" s="4">
        <f t="shared" si="163"/>
        <v>4644.2621629368678</v>
      </c>
      <c r="K134" s="2">
        <v>42774</v>
      </c>
      <c r="L134" s="7">
        <v>4.34</v>
      </c>
      <c r="M134" s="7">
        <v>1.76</v>
      </c>
      <c r="N134" s="7">
        <v>2.2599999999999998</v>
      </c>
      <c r="O134" s="6">
        <f t="shared" si="164"/>
        <v>0.40552995391705071</v>
      </c>
      <c r="P134" s="6">
        <f t="shared" si="165"/>
        <v>0.52073732718894006</v>
      </c>
      <c r="Q134" s="6">
        <f t="shared" si="166"/>
        <v>7.373271889400923E-2</v>
      </c>
      <c r="R134" s="4">
        <f t="shared" si="167"/>
        <v>1978.8586726659164</v>
      </c>
      <c r="S134" s="4">
        <f t="shared" si="168"/>
        <v>2541.034431946006</v>
      </c>
      <c r="T134" s="4">
        <f t="shared" si="169"/>
        <v>4519.8931046119224</v>
      </c>
      <c r="U134" s="4">
        <f t="shared" si="170"/>
        <v>1883.3874209144903</v>
      </c>
      <c r="V134" s="4">
        <f t="shared" si="171"/>
        <v>2418.4406654924701</v>
      </c>
      <c r="W134" s="4">
        <f t="shared" si="172"/>
        <v>4301.8280864069602</v>
      </c>
      <c r="X134" s="10"/>
      <c r="Y134" s="12"/>
      <c r="Z134" s="5"/>
      <c r="AA134" s="4"/>
      <c r="AB134" s="4"/>
      <c r="AC134" s="4"/>
      <c r="AD134" s="4"/>
      <c r="AF134" t="s">
        <v>285</v>
      </c>
      <c r="AG134" t="s">
        <v>30</v>
      </c>
      <c r="AH134" s="8">
        <f>D134</f>
        <v>42675</v>
      </c>
      <c r="AI134" s="3">
        <f>SUM(E134:E136)</f>
        <v>69.38</v>
      </c>
      <c r="AJ134" s="3">
        <f>(AI134-3*$A$33)*$A$34/(3*$A$35)*$A$36</f>
        <v>5077.6112335958005</v>
      </c>
      <c r="AK134" s="7">
        <f>SUM(G134:G136)</f>
        <v>13.560000000000002</v>
      </c>
      <c r="AL134" s="7">
        <f>SUM(H134:H136)</f>
        <v>12.879999999999999</v>
      </c>
      <c r="AM134" s="7">
        <f>(AK134-AL134)/AK134*100</f>
        <v>5.0147492625368963</v>
      </c>
      <c r="AN134" s="3">
        <f>AJ134*(1-AM134/100)</f>
        <v>4822.9817617045646</v>
      </c>
      <c r="AO134" s="11">
        <f>K134</f>
        <v>42774</v>
      </c>
      <c r="AP134" s="7">
        <f>SUM(L134:L136)</f>
        <v>12.879999999999999</v>
      </c>
      <c r="AQ134" s="7">
        <f t="shared" ref="AQ134" si="229">SUM(M134:M136)</f>
        <v>5.2</v>
      </c>
      <c r="AR134" s="7">
        <f t="shared" ref="AR134" si="230">SUM(N134:N136)</f>
        <v>6.66</v>
      </c>
      <c r="AS134" s="9">
        <f>AQ134/AP134</f>
        <v>0.4037267080745342</v>
      </c>
      <c r="AT134" s="9">
        <f>AR134/AP134</f>
        <v>0.51708074534161497</v>
      </c>
      <c r="AU134" s="9">
        <f>1-AS134-AT134</f>
        <v>7.9192546583850887E-2</v>
      </c>
      <c r="AV134" s="3">
        <f>AJ134*AS134</f>
        <v>2049.967268221907</v>
      </c>
      <c r="AW134" s="3">
        <f>AJ134*AT134</f>
        <v>2625.5350012226736</v>
      </c>
      <c r="AX134" s="3">
        <f>AV134+AW134</f>
        <v>4675.5022694445806</v>
      </c>
      <c r="AY134" s="3">
        <f>AN134*AS134</f>
        <v>1947.1665497565014</v>
      </c>
      <c r="AZ134" s="3">
        <f>AN134*AT134</f>
        <v>2493.8710041112113</v>
      </c>
      <c r="BA134" s="3">
        <f>AY134+AZ134</f>
        <v>4441.0375538677126</v>
      </c>
      <c r="BB134" s="11">
        <f>X135</f>
        <v>42901</v>
      </c>
      <c r="BC134" s="13">
        <f>AVERAGE(Y134:Y136)</f>
        <v>43</v>
      </c>
      <c r="BD134" s="7">
        <f t="shared" ref="BD134" si="231">AVERAGE(Z134:Z136)</f>
        <v>1.1599999999999999</v>
      </c>
      <c r="BE134" s="3">
        <f t="shared" ref="BE134" si="232">AVERAGE(AA134:AA136)</f>
        <v>82.1</v>
      </c>
      <c r="BF134" s="3">
        <f t="shared" ref="BF134" si="233">AVERAGE(AB134:AB136)</f>
        <v>31.2</v>
      </c>
      <c r="BG134" s="3">
        <f t="shared" ref="BG134" si="234">AVERAGE(AC134:AC136)</f>
        <v>5.9</v>
      </c>
      <c r="BH134" s="3">
        <f t="shared" ref="BH134" si="235">AVERAGE(AD134:AD136)</f>
        <v>8.8000000000000007</v>
      </c>
    </row>
    <row r="135" spans="1:60" x14ac:dyDescent="0.3">
      <c r="A135">
        <v>92</v>
      </c>
      <c r="B135" s="1" t="s">
        <v>137</v>
      </c>
      <c r="C135" s="1" t="s">
        <v>30</v>
      </c>
      <c r="D135" s="2">
        <v>42675</v>
      </c>
      <c r="E135" s="3">
        <v>24.82</v>
      </c>
      <c r="F135" s="4">
        <f t="shared" si="161"/>
        <v>5455.6045669291334</v>
      </c>
      <c r="G135" s="7">
        <v>4.6400000000000006</v>
      </c>
      <c r="H135" s="7">
        <v>4.4000000000000004</v>
      </c>
      <c r="I135" s="5">
        <f t="shared" si="162"/>
        <v>5.172413793103452</v>
      </c>
      <c r="J135" s="4">
        <f t="shared" si="163"/>
        <v>5173.4181238121091</v>
      </c>
      <c r="K135" s="2">
        <v>42765</v>
      </c>
      <c r="L135" s="7">
        <v>4.4000000000000004</v>
      </c>
      <c r="M135" s="7">
        <v>1.82</v>
      </c>
      <c r="N135" s="7">
        <v>2.2000000000000002</v>
      </c>
      <c r="O135" s="6">
        <f t="shared" si="164"/>
        <v>0.41363636363636364</v>
      </c>
      <c r="P135" s="6">
        <f t="shared" si="165"/>
        <v>0.5</v>
      </c>
      <c r="Q135" s="6">
        <f t="shared" si="166"/>
        <v>8.636363636363642E-2</v>
      </c>
      <c r="R135" s="4">
        <f t="shared" si="167"/>
        <v>2256.6364345025054</v>
      </c>
      <c r="S135" s="4">
        <f t="shared" si="168"/>
        <v>2727.8022834645667</v>
      </c>
      <c r="T135" s="4">
        <f t="shared" si="169"/>
        <v>4984.4387179670721</v>
      </c>
      <c r="U135" s="4">
        <f t="shared" si="170"/>
        <v>2139.9138603040997</v>
      </c>
      <c r="V135" s="4">
        <f t="shared" si="171"/>
        <v>2586.7090619060546</v>
      </c>
      <c r="W135" s="4">
        <f t="shared" si="172"/>
        <v>4726.6229222101538</v>
      </c>
      <c r="X135" s="10">
        <v>42901</v>
      </c>
      <c r="Y135" s="12">
        <v>43</v>
      </c>
      <c r="Z135" s="5">
        <v>1.1599999999999999</v>
      </c>
      <c r="AA135" s="4">
        <v>82.1</v>
      </c>
      <c r="AB135" s="4">
        <v>31.2</v>
      </c>
      <c r="AC135" s="4">
        <v>5.9</v>
      </c>
      <c r="AD135" s="4">
        <v>8.8000000000000007</v>
      </c>
      <c r="AI135" s="3"/>
      <c r="AJ135" s="3"/>
      <c r="AK135" s="7"/>
      <c r="AL135" s="7"/>
      <c r="AM135" s="7"/>
      <c r="AN135" s="3"/>
      <c r="AO135" s="3"/>
      <c r="AP135" s="7"/>
      <c r="AQ135" s="7"/>
      <c r="AR135" s="7"/>
      <c r="AS135" s="9"/>
      <c r="AT135" s="9"/>
      <c r="AU135" s="9"/>
      <c r="AV135" s="3"/>
      <c r="AW135" s="3"/>
      <c r="AX135" s="3"/>
      <c r="AY135" s="3"/>
      <c r="AZ135" s="3"/>
      <c r="BA135" s="3"/>
      <c r="BC135" s="13"/>
      <c r="BD135" s="7"/>
      <c r="BE135" s="3"/>
      <c r="BF135" s="3"/>
      <c r="BG135" s="3"/>
      <c r="BH135" s="3"/>
    </row>
    <row r="136" spans="1:60" x14ac:dyDescent="0.3">
      <c r="A136">
        <v>93</v>
      </c>
      <c r="B136" s="1" t="s">
        <v>138</v>
      </c>
      <c r="C136" s="1" t="s">
        <v>30</v>
      </c>
      <c r="D136" s="2">
        <v>42675</v>
      </c>
      <c r="E136" s="3">
        <v>22.32</v>
      </c>
      <c r="F136" s="4">
        <f t="shared" si="161"/>
        <v>4897.543543307087</v>
      </c>
      <c r="G136" s="7">
        <v>4.3600000000000003</v>
      </c>
      <c r="H136" s="7">
        <v>4.1399999999999997</v>
      </c>
      <c r="I136" s="5">
        <f t="shared" si="162"/>
        <v>5.0458715596330421</v>
      </c>
      <c r="J136" s="4">
        <f t="shared" si="163"/>
        <v>4650.4197865347105</v>
      </c>
      <c r="K136" s="2">
        <v>42774</v>
      </c>
      <c r="L136" s="7">
        <v>4.1399999999999997</v>
      </c>
      <c r="M136" s="7">
        <v>1.62</v>
      </c>
      <c r="N136" s="7">
        <v>2.2000000000000002</v>
      </c>
      <c r="O136" s="6">
        <f t="shared" si="164"/>
        <v>0.39130434782608703</v>
      </c>
      <c r="P136" s="6">
        <f t="shared" si="165"/>
        <v>0.53140096618357502</v>
      </c>
      <c r="Q136" s="6">
        <f t="shared" si="166"/>
        <v>7.7294685990337952E-2</v>
      </c>
      <c r="R136" s="4">
        <f t="shared" si="167"/>
        <v>1916.4300821636432</v>
      </c>
      <c r="S136" s="4">
        <f t="shared" si="168"/>
        <v>2602.5593708395154</v>
      </c>
      <c r="T136" s="4">
        <f t="shared" si="169"/>
        <v>4518.9894530031588</v>
      </c>
      <c r="U136" s="4">
        <f t="shared" si="170"/>
        <v>1819.7294816874958</v>
      </c>
      <c r="V136" s="4">
        <f t="shared" si="171"/>
        <v>2471.2375677237596</v>
      </c>
      <c r="W136" s="4">
        <f t="shared" si="172"/>
        <v>4290.9670494112552</v>
      </c>
      <c r="X136" s="10"/>
      <c r="Y136" s="12"/>
      <c r="Z136" s="5"/>
      <c r="AA136" s="4"/>
      <c r="AB136" s="4"/>
      <c r="AC136" s="4"/>
      <c r="AD136" s="4"/>
      <c r="AI136" s="3"/>
      <c r="AJ136" s="3"/>
      <c r="AK136" s="7"/>
      <c r="AL136" s="7"/>
      <c r="AM136" s="7"/>
      <c r="AN136" s="3"/>
      <c r="AO136" s="3"/>
      <c r="AP136" s="7"/>
      <c r="AQ136" s="7"/>
      <c r="AR136" s="7"/>
      <c r="AS136" s="9"/>
      <c r="AT136" s="9"/>
      <c r="AU136" s="9"/>
      <c r="AV136" s="3"/>
      <c r="AW136" s="3"/>
      <c r="AX136" s="3"/>
      <c r="AY136" s="3"/>
      <c r="AZ136" s="3"/>
      <c r="BA136" s="3"/>
      <c r="BC136" s="13"/>
      <c r="BD136" s="7"/>
      <c r="BE136" s="3"/>
      <c r="BF136" s="3"/>
      <c r="BG136" s="3"/>
      <c r="BH136" s="3"/>
    </row>
    <row r="137" spans="1:60" x14ac:dyDescent="0.3">
      <c r="A137">
        <v>94</v>
      </c>
      <c r="B137" s="1" t="s">
        <v>139</v>
      </c>
      <c r="C137" s="1" t="s">
        <v>30</v>
      </c>
      <c r="D137" s="2">
        <v>42675</v>
      </c>
      <c r="E137" s="3">
        <v>25.74</v>
      </c>
      <c r="F137" s="4">
        <f t="shared" si="161"/>
        <v>5660.9710236220471</v>
      </c>
      <c r="G137" s="7">
        <v>4.4400000000000004</v>
      </c>
      <c r="H137" s="7">
        <v>4.26</v>
      </c>
      <c r="I137" s="5">
        <f t="shared" si="162"/>
        <v>4.0540540540540677</v>
      </c>
      <c r="J137" s="4">
        <f t="shared" si="163"/>
        <v>5431.4721983400714</v>
      </c>
      <c r="K137" s="2">
        <v>42774</v>
      </c>
      <c r="L137" s="7">
        <v>4.26</v>
      </c>
      <c r="M137" s="7">
        <v>1.8</v>
      </c>
      <c r="N137" s="7">
        <v>2.16</v>
      </c>
      <c r="O137" s="6">
        <f t="shared" si="164"/>
        <v>0.42253521126760568</v>
      </c>
      <c r="P137" s="6">
        <f t="shared" si="165"/>
        <v>0.50704225352112686</v>
      </c>
      <c r="Q137" s="6">
        <f t="shared" si="166"/>
        <v>7.0422535211267401E-2</v>
      </c>
      <c r="R137" s="4">
        <f t="shared" si="167"/>
        <v>2391.9595874459355</v>
      </c>
      <c r="S137" s="4">
        <f t="shared" si="168"/>
        <v>2870.3515049351231</v>
      </c>
      <c r="T137" s="4">
        <f t="shared" si="169"/>
        <v>5262.3110923810582</v>
      </c>
      <c r="U137" s="4">
        <f t="shared" si="170"/>
        <v>2294.9882528197486</v>
      </c>
      <c r="V137" s="4">
        <f t="shared" si="171"/>
        <v>2753.9859033836988</v>
      </c>
      <c r="W137" s="4">
        <f t="shared" si="172"/>
        <v>5048.9741562034469</v>
      </c>
      <c r="X137" s="10"/>
      <c r="Y137" s="12"/>
      <c r="Z137" s="5"/>
      <c r="AA137" s="4"/>
      <c r="AB137" s="4"/>
      <c r="AC137" s="4"/>
      <c r="AD137" s="4"/>
      <c r="AF137" t="s">
        <v>286</v>
      </c>
      <c r="AG137" t="s">
        <v>30</v>
      </c>
      <c r="AH137" s="8">
        <f>D137</f>
        <v>42675</v>
      </c>
      <c r="AI137" s="3">
        <f>SUM(E137:E139)</f>
        <v>75.44</v>
      </c>
      <c r="AJ137" s="3">
        <f>(AI137-3*$A$33)*$A$34/(3*$A$35)*$A$36</f>
        <v>5528.5245406824142</v>
      </c>
      <c r="AK137" s="7">
        <f>SUM(G137:G139)</f>
        <v>13.280000000000001</v>
      </c>
      <c r="AL137" s="7">
        <f>SUM(H137:H139)</f>
        <v>12.719999999999999</v>
      </c>
      <c r="AM137" s="7">
        <f>(AK137-AL137)/AK137*100</f>
        <v>4.216867469879535</v>
      </c>
      <c r="AN137" s="3">
        <f>AJ137*(1-AM137/100)</f>
        <v>5295.3939877620705</v>
      </c>
      <c r="AO137" s="11">
        <f>K137</f>
        <v>42774</v>
      </c>
      <c r="AP137" s="7">
        <f>SUM(L137:L139)</f>
        <v>12.719999999999999</v>
      </c>
      <c r="AQ137" s="7">
        <f t="shared" ref="AQ137" si="236">SUM(M137:M139)</f>
        <v>5.42</v>
      </c>
      <c r="AR137" s="7">
        <f t="shared" ref="AR137" si="237">SUM(N137:N139)</f>
        <v>6.42</v>
      </c>
      <c r="AS137" s="9">
        <f>AQ137/AP137</f>
        <v>0.42610062893081763</v>
      </c>
      <c r="AT137" s="9">
        <f>AR137/AP137</f>
        <v>0.50471698113207553</v>
      </c>
      <c r="AU137" s="9">
        <f>1-AS137-AT137</f>
        <v>6.9182389937106903E-2</v>
      </c>
      <c r="AV137" s="3">
        <f>AJ137*AS137</f>
        <v>2355.7077838442365</v>
      </c>
      <c r="AW137" s="3">
        <f>AJ137*AT137</f>
        <v>2790.3402162878224</v>
      </c>
      <c r="AX137" s="3">
        <f>AV137+AW137</f>
        <v>5146.0480001320593</v>
      </c>
      <c r="AY137" s="3">
        <f>AN137*AS137</f>
        <v>2256.3707086218888</v>
      </c>
      <c r="AZ137" s="3">
        <f>AN137*AT137</f>
        <v>2672.6752674082149</v>
      </c>
      <c r="BA137" s="3">
        <f>AY137+AZ137</f>
        <v>4929.0459760301037</v>
      </c>
      <c r="BB137" s="11">
        <f>X138</f>
        <v>42901</v>
      </c>
      <c r="BC137" s="13">
        <f>AVERAGE(Y137:Y139)</f>
        <v>44</v>
      </c>
      <c r="BD137" s="7">
        <f t="shared" ref="BD137" si="238">AVERAGE(Z137:Z139)</f>
        <v>1.1200000000000001</v>
      </c>
      <c r="BE137" s="3">
        <f t="shared" ref="BE137" si="239">AVERAGE(AA137:AA139)</f>
        <v>80.900000000000006</v>
      </c>
      <c r="BF137" s="3">
        <f t="shared" ref="BF137" si="240">AVERAGE(AB137:AB139)</f>
        <v>32</v>
      </c>
      <c r="BG137" s="3">
        <f t="shared" ref="BG137" si="241">AVERAGE(AC137:AC139)</f>
        <v>5.4</v>
      </c>
      <c r="BH137" s="3">
        <f t="shared" ref="BH137" si="242">AVERAGE(AD137:AD139)</f>
        <v>9.4</v>
      </c>
    </row>
    <row r="138" spans="1:60" x14ac:dyDescent="0.3">
      <c r="A138">
        <v>95</v>
      </c>
      <c r="B138" s="1" t="s">
        <v>140</v>
      </c>
      <c r="C138" s="1" t="s">
        <v>30</v>
      </c>
      <c r="D138" s="2">
        <v>42675</v>
      </c>
      <c r="E138" s="3">
        <v>24.84</v>
      </c>
      <c r="F138" s="4">
        <f t="shared" si="161"/>
        <v>5460.0690551181106</v>
      </c>
      <c r="G138" s="7">
        <v>4.4800000000000004</v>
      </c>
      <c r="H138" s="7">
        <v>4.3</v>
      </c>
      <c r="I138" s="5">
        <f t="shared" si="162"/>
        <v>4.0178571428571557</v>
      </c>
      <c r="J138" s="4">
        <f t="shared" si="163"/>
        <v>5240.6912805821148</v>
      </c>
      <c r="K138" s="2">
        <v>42774</v>
      </c>
      <c r="L138" s="7">
        <v>4.3</v>
      </c>
      <c r="M138" s="7">
        <v>1.86</v>
      </c>
      <c r="N138" s="7">
        <v>2.16</v>
      </c>
      <c r="O138" s="6">
        <f t="shared" si="164"/>
        <v>0.43255813953488376</v>
      </c>
      <c r="P138" s="6">
        <f t="shared" si="165"/>
        <v>0.50232558139534889</v>
      </c>
      <c r="Q138" s="6">
        <f t="shared" si="166"/>
        <v>6.5116279069767358E-2</v>
      </c>
      <c r="R138" s="4">
        <f t="shared" si="167"/>
        <v>2361.7973122138806</v>
      </c>
      <c r="S138" s="4">
        <f t="shared" si="168"/>
        <v>2742.7323625709582</v>
      </c>
      <c r="T138" s="4">
        <f t="shared" si="169"/>
        <v>5104.5296747848388</v>
      </c>
      <c r="U138" s="4">
        <f t="shared" si="170"/>
        <v>2266.9036702052872</v>
      </c>
      <c r="V138" s="4">
        <f t="shared" si="171"/>
        <v>2632.5332944319462</v>
      </c>
      <c r="W138" s="4">
        <f t="shared" si="172"/>
        <v>4899.4369646372334</v>
      </c>
      <c r="X138" s="10">
        <v>42901</v>
      </c>
      <c r="Y138" s="12">
        <v>44</v>
      </c>
      <c r="Z138" s="5">
        <v>1.1200000000000001</v>
      </c>
      <c r="AA138" s="4">
        <v>80.900000000000006</v>
      </c>
      <c r="AB138" s="4">
        <v>32</v>
      </c>
      <c r="AC138" s="4">
        <v>5.4</v>
      </c>
      <c r="AD138" s="4">
        <v>9.4</v>
      </c>
      <c r="AI138" s="3"/>
      <c r="AJ138" s="3"/>
      <c r="AK138" s="7"/>
      <c r="AL138" s="7"/>
      <c r="AM138" s="7"/>
      <c r="AN138" s="3"/>
      <c r="AO138" s="3"/>
      <c r="AP138" s="7"/>
      <c r="AQ138" s="7"/>
      <c r="AR138" s="7"/>
      <c r="AS138" s="9"/>
      <c r="AT138" s="9"/>
      <c r="AU138" s="9"/>
      <c r="AV138" s="3"/>
      <c r="AW138" s="3"/>
      <c r="AX138" s="3"/>
      <c r="AY138" s="3"/>
      <c r="AZ138" s="3"/>
      <c r="BA138" s="3"/>
      <c r="BC138" s="13"/>
      <c r="BD138" s="7"/>
      <c r="BE138" s="3"/>
      <c r="BF138" s="3"/>
      <c r="BG138" s="3"/>
      <c r="BH138" s="3"/>
    </row>
    <row r="139" spans="1:60" x14ac:dyDescent="0.3">
      <c r="A139">
        <v>96</v>
      </c>
      <c r="B139" s="1" t="s">
        <v>141</v>
      </c>
      <c r="C139" s="1" t="s">
        <v>30</v>
      </c>
      <c r="D139" s="2">
        <v>42675</v>
      </c>
      <c r="E139" s="3">
        <v>24.86</v>
      </c>
      <c r="F139" s="4">
        <f t="shared" si="161"/>
        <v>5464.5335433070859</v>
      </c>
      <c r="G139" s="7">
        <v>4.3600000000000003</v>
      </c>
      <c r="H139" s="7">
        <v>4.16</v>
      </c>
      <c r="I139" s="5">
        <f t="shared" si="162"/>
        <v>4.5871559633027559</v>
      </c>
      <c r="J139" s="4">
        <f t="shared" si="163"/>
        <v>5213.8668670085954</v>
      </c>
      <c r="K139" s="2">
        <v>42774</v>
      </c>
      <c r="L139" s="7">
        <v>4.16</v>
      </c>
      <c r="M139" s="7">
        <v>1.76</v>
      </c>
      <c r="N139" s="7">
        <v>2.1</v>
      </c>
      <c r="O139" s="6">
        <f t="shared" si="164"/>
        <v>0.42307692307692307</v>
      </c>
      <c r="P139" s="6">
        <f t="shared" si="165"/>
        <v>0.50480769230769229</v>
      </c>
      <c r="Q139" s="6">
        <f t="shared" si="166"/>
        <v>7.2115384615384581E-2</v>
      </c>
      <c r="R139" s="4">
        <f t="shared" si="167"/>
        <v>2311.9180375529977</v>
      </c>
      <c r="S139" s="4">
        <f t="shared" si="168"/>
        <v>2758.5385675348271</v>
      </c>
      <c r="T139" s="4">
        <f t="shared" si="169"/>
        <v>5070.4566050878248</v>
      </c>
      <c r="U139" s="4">
        <f t="shared" si="170"/>
        <v>2205.8667514267136</v>
      </c>
      <c r="V139" s="4">
        <f t="shared" si="171"/>
        <v>2632.0001011341465</v>
      </c>
      <c r="W139" s="4">
        <f t="shared" si="172"/>
        <v>4837.86685256086</v>
      </c>
      <c r="X139" s="10"/>
      <c r="Y139" s="12"/>
      <c r="Z139" s="5"/>
      <c r="AA139" s="4"/>
      <c r="AB139" s="4"/>
      <c r="AC139" s="4"/>
      <c r="AD139" s="4"/>
      <c r="AI139" s="3"/>
      <c r="AJ139" s="3"/>
      <c r="AK139" s="7"/>
      <c r="AL139" s="7"/>
      <c r="AM139" s="7"/>
      <c r="AN139" s="3"/>
      <c r="AO139" s="3"/>
      <c r="AP139" s="7"/>
      <c r="AQ139" s="7"/>
      <c r="AR139" s="7"/>
      <c r="AS139" s="9"/>
      <c r="AT139" s="9"/>
      <c r="AU139" s="9"/>
      <c r="AV139" s="3"/>
      <c r="AW139" s="3"/>
      <c r="AX139" s="3"/>
      <c r="AY139" s="3"/>
      <c r="AZ139" s="3"/>
      <c r="BA139" s="3"/>
      <c r="BC139" s="13"/>
      <c r="BD139" s="7"/>
      <c r="BE139" s="3"/>
      <c r="BF139" s="3"/>
      <c r="BG139" s="3"/>
      <c r="BH139" s="3"/>
    </row>
    <row r="140" spans="1:60" x14ac:dyDescent="0.3">
      <c r="A140">
        <v>97</v>
      </c>
      <c r="B140" s="1" t="s">
        <v>142</v>
      </c>
      <c r="C140" s="1" t="s">
        <v>30</v>
      </c>
      <c r="D140" s="2">
        <v>42675</v>
      </c>
      <c r="E140" s="3">
        <v>19.84</v>
      </c>
      <c r="F140" s="4">
        <f t="shared" si="161"/>
        <v>4343.947007874016</v>
      </c>
      <c r="G140" s="7">
        <v>4.1800000000000006</v>
      </c>
      <c r="H140" s="7">
        <v>4</v>
      </c>
      <c r="I140" s="5">
        <f t="shared" si="162"/>
        <v>4.3062200956937939</v>
      </c>
      <c r="J140" s="4">
        <f t="shared" si="163"/>
        <v>4156.887088874656</v>
      </c>
      <c r="K140" s="2">
        <v>42774</v>
      </c>
      <c r="L140" s="7">
        <v>4</v>
      </c>
      <c r="M140" s="7">
        <v>1.56</v>
      </c>
      <c r="N140" s="7">
        <v>2.08</v>
      </c>
      <c r="O140" s="6">
        <f t="shared" si="164"/>
        <v>0.39</v>
      </c>
      <c r="P140" s="6">
        <f t="shared" si="165"/>
        <v>0.52</v>
      </c>
      <c r="Q140" s="6">
        <f t="shared" si="166"/>
        <v>8.9999999999999969E-2</v>
      </c>
      <c r="R140" s="4">
        <f t="shared" si="167"/>
        <v>1694.1393330708663</v>
      </c>
      <c r="S140" s="4">
        <f t="shared" si="168"/>
        <v>2258.8524440944884</v>
      </c>
      <c r="T140" s="4">
        <f t="shared" si="169"/>
        <v>3952.9917771653545</v>
      </c>
      <c r="U140" s="4">
        <f t="shared" si="170"/>
        <v>1621.1859646611158</v>
      </c>
      <c r="V140" s="4">
        <f t="shared" si="171"/>
        <v>2161.5812862148214</v>
      </c>
      <c r="W140" s="4">
        <f t="shared" si="172"/>
        <v>3782.767250875937</v>
      </c>
      <c r="X140" s="10"/>
      <c r="Y140" s="12"/>
      <c r="Z140" s="5"/>
      <c r="AA140" s="4"/>
      <c r="AB140" s="4"/>
      <c r="AC140" s="4"/>
      <c r="AD140" s="4"/>
      <c r="AF140" t="s">
        <v>287</v>
      </c>
      <c r="AG140" t="str">
        <f>C140</f>
        <v>Machine</v>
      </c>
      <c r="AH140" s="8">
        <f>D140</f>
        <v>42675</v>
      </c>
      <c r="AI140" s="3">
        <f>SUM(E140:E142)</f>
        <v>62.08</v>
      </c>
      <c r="AJ140" s="3">
        <f>(AI140-3*$A$33)*$A$34/(3*$A$35)*$A$36</f>
        <v>4534.431837270341</v>
      </c>
      <c r="AK140" s="7">
        <f>SUM(G140:G142)</f>
        <v>13.06</v>
      </c>
      <c r="AL140" s="7">
        <f>SUM(H140:H142)</f>
        <v>12.48</v>
      </c>
      <c r="AM140" s="7">
        <f>(AK140-AL140)/AK140*100</f>
        <v>4.4410413476263404</v>
      </c>
      <c r="AN140" s="3">
        <f>AJ140*(1-AM140/100)</f>
        <v>4333.0558444972321</v>
      </c>
      <c r="AO140" s="11">
        <f>K140</f>
        <v>42774</v>
      </c>
      <c r="AP140" s="7">
        <f>SUM(L140:L142)</f>
        <v>12.48</v>
      </c>
      <c r="AQ140" s="7">
        <f t="shared" ref="AQ140" si="243">SUM(M140:M142)</f>
        <v>4.9399999999999995</v>
      </c>
      <c r="AR140" s="7">
        <f t="shared" ref="AR140" si="244">SUM(N140:N142)</f>
        <v>6.3800000000000008</v>
      </c>
      <c r="AS140" s="9">
        <f>AQ140/AP140</f>
        <v>0.39583333333333326</v>
      </c>
      <c r="AT140" s="9">
        <f>AR140/AP140</f>
        <v>0.51121794871794879</v>
      </c>
      <c r="AU140" s="9">
        <f>1-AS140-AT140</f>
        <v>9.2948717948717952E-2</v>
      </c>
      <c r="AV140" s="3">
        <f>AJ140*AS140</f>
        <v>1794.8792689195097</v>
      </c>
      <c r="AW140" s="3">
        <f>AJ140*AT140</f>
        <v>2318.0829424507033</v>
      </c>
      <c r="AX140" s="3">
        <f>AV140+AW140</f>
        <v>4112.9622113702135</v>
      </c>
      <c r="AY140" s="3">
        <f>AN140*AS140</f>
        <v>1715.1679384468207</v>
      </c>
      <c r="AZ140" s="3">
        <f>AN140*AT140</f>
        <v>2215.1359205041945</v>
      </c>
      <c r="BA140" s="3">
        <f>AY140+AZ140</f>
        <v>3930.3038589510152</v>
      </c>
      <c r="BB140" s="11">
        <f>X141</f>
        <v>42901</v>
      </c>
      <c r="BC140" s="13">
        <f>AVERAGE(Y140:Y142)</f>
        <v>40</v>
      </c>
      <c r="BD140" s="7">
        <f t="shared" ref="BD140" si="245">AVERAGE(Z140:Z142)</f>
        <v>1.1499999999999999</v>
      </c>
      <c r="BE140" s="3">
        <f t="shared" ref="BE140" si="246">AVERAGE(AA140:AA142)</f>
        <v>81.2</v>
      </c>
      <c r="BF140" s="3">
        <f t="shared" ref="BF140" si="247">AVERAGE(AB140:AB142)</f>
        <v>32</v>
      </c>
      <c r="BG140" s="3">
        <f t="shared" ref="BG140" si="248">AVERAGE(AC140:AC142)</f>
        <v>5.8</v>
      </c>
      <c r="BH140" s="3">
        <f t="shared" ref="BH140" si="249">AVERAGE(AD140:AD142)</f>
        <v>9.9</v>
      </c>
    </row>
    <row r="141" spans="1:60" x14ac:dyDescent="0.3">
      <c r="A141">
        <v>98</v>
      </c>
      <c r="B141" s="1" t="s">
        <v>143</v>
      </c>
      <c r="C141" s="1" t="s">
        <v>30</v>
      </c>
      <c r="D141" s="2">
        <v>42675</v>
      </c>
      <c r="E141" s="3">
        <v>21.22</v>
      </c>
      <c r="F141" s="4">
        <f t="shared" si="161"/>
        <v>4651.9966929133852</v>
      </c>
      <c r="G141" s="7">
        <v>4.46</v>
      </c>
      <c r="H141" s="7">
        <v>4.28</v>
      </c>
      <c r="I141" s="5">
        <f t="shared" si="162"/>
        <v>4.0358744394618773</v>
      </c>
      <c r="J141" s="4">
        <f t="shared" si="163"/>
        <v>4464.247947459482</v>
      </c>
      <c r="K141" s="2">
        <v>42774</v>
      </c>
      <c r="L141" s="7">
        <v>4.28</v>
      </c>
      <c r="M141" s="7">
        <v>1.7</v>
      </c>
      <c r="N141" s="7">
        <v>2.2000000000000002</v>
      </c>
      <c r="O141" s="6">
        <f t="shared" si="164"/>
        <v>0.39719626168224298</v>
      </c>
      <c r="P141" s="6">
        <f t="shared" si="165"/>
        <v>0.5140186915887851</v>
      </c>
      <c r="Q141" s="6">
        <f t="shared" si="166"/>
        <v>8.8785046728971917E-2</v>
      </c>
      <c r="R141" s="4">
        <f t="shared" si="167"/>
        <v>1847.755695783354</v>
      </c>
      <c r="S141" s="4">
        <f t="shared" si="168"/>
        <v>2391.2132533666936</v>
      </c>
      <c r="T141" s="4">
        <f t="shared" si="169"/>
        <v>4238.9689491500476</v>
      </c>
      <c r="U141" s="4">
        <f t="shared" si="170"/>
        <v>1773.1825959535324</v>
      </c>
      <c r="V141" s="4">
        <f t="shared" si="171"/>
        <v>2294.7068888810422</v>
      </c>
      <c r="W141" s="4">
        <f t="shared" si="172"/>
        <v>4067.8894848345744</v>
      </c>
      <c r="X141" s="10">
        <v>42901</v>
      </c>
      <c r="Y141" s="12">
        <v>40</v>
      </c>
      <c r="Z141" s="5">
        <v>1.1499999999999999</v>
      </c>
      <c r="AA141" s="4">
        <v>81.2</v>
      </c>
      <c r="AB141" s="4">
        <v>32</v>
      </c>
      <c r="AC141" s="4">
        <v>5.8</v>
      </c>
      <c r="AD141" s="4">
        <v>9.9</v>
      </c>
      <c r="AI141" s="3"/>
      <c r="AJ141" s="3"/>
      <c r="AK141" s="7"/>
      <c r="AL141" s="7"/>
      <c r="AM141" s="7"/>
      <c r="AN141" s="3"/>
      <c r="AO141" s="3"/>
      <c r="AP141" s="7"/>
      <c r="AQ141" s="7"/>
      <c r="AR141" s="7"/>
      <c r="AS141" s="9"/>
      <c r="AT141" s="9"/>
      <c r="AU141" s="9"/>
      <c r="AV141" s="3"/>
      <c r="AW141" s="3"/>
      <c r="AX141" s="3"/>
      <c r="AY141" s="3"/>
      <c r="AZ141" s="3"/>
      <c r="BA141" s="3"/>
      <c r="BC141" s="13"/>
      <c r="BD141" s="7"/>
      <c r="BE141" s="3"/>
      <c r="BF141" s="3"/>
      <c r="BG141" s="3"/>
      <c r="BH141" s="3"/>
    </row>
    <row r="142" spans="1:60" x14ac:dyDescent="0.3">
      <c r="A142">
        <v>99</v>
      </c>
      <c r="B142" s="1" t="s">
        <v>144</v>
      </c>
      <c r="C142" s="1" t="s">
        <v>30</v>
      </c>
      <c r="D142" s="2">
        <v>42675</v>
      </c>
      <c r="E142" s="3">
        <v>21.02</v>
      </c>
      <c r="F142" s="4">
        <f t="shared" si="161"/>
        <v>4607.3518110236218</v>
      </c>
      <c r="G142" s="7">
        <v>4.42</v>
      </c>
      <c r="H142" s="7">
        <v>4.2</v>
      </c>
      <c r="I142" s="5">
        <f t="shared" si="162"/>
        <v>4.9773755656108536</v>
      </c>
      <c r="J142" s="4">
        <f t="shared" si="163"/>
        <v>4378.0266077600027</v>
      </c>
      <c r="K142" s="2">
        <v>42774</v>
      </c>
      <c r="L142" s="7">
        <v>4.2</v>
      </c>
      <c r="M142" s="7">
        <v>1.68</v>
      </c>
      <c r="N142" s="7">
        <v>2.1</v>
      </c>
      <c r="O142" s="6">
        <f t="shared" si="164"/>
        <v>0.39999999999999997</v>
      </c>
      <c r="P142" s="6">
        <f t="shared" si="165"/>
        <v>0.5</v>
      </c>
      <c r="Q142" s="6">
        <f t="shared" si="166"/>
        <v>0.10000000000000009</v>
      </c>
      <c r="R142" s="4">
        <f t="shared" si="167"/>
        <v>1842.9407244094486</v>
      </c>
      <c r="S142" s="4">
        <f t="shared" si="168"/>
        <v>2303.6759055118109</v>
      </c>
      <c r="T142" s="4">
        <f t="shared" si="169"/>
        <v>4146.61662992126</v>
      </c>
      <c r="U142" s="4">
        <f t="shared" si="170"/>
        <v>1751.2106431040008</v>
      </c>
      <c r="V142" s="4">
        <f t="shared" si="171"/>
        <v>2189.0133038800013</v>
      </c>
      <c r="W142" s="4">
        <f t="shared" si="172"/>
        <v>3940.2239469840024</v>
      </c>
      <c r="X142" s="10"/>
      <c r="Y142" s="12"/>
      <c r="Z142" s="5"/>
      <c r="AA142" s="4"/>
      <c r="AB142" s="4"/>
      <c r="AC142" s="4"/>
      <c r="AD142" s="4"/>
      <c r="AI142" s="3"/>
      <c r="AJ142" s="3"/>
      <c r="AK142" s="7"/>
      <c r="AL142" s="7"/>
      <c r="AM142" s="7"/>
      <c r="AN142" s="3"/>
      <c r="AO142" s="3"/>
      <c r="AP142" s="7"/>
      <c r="AQ142" s="7"/>
      <c r="AR142" s="7"/>
      <c r="AS142" s="9"/>
      <c r="AT142" s="9"/>
      <c r="AU142" s="9"/>
      <c r="AV142" s="3"/>
      <c r="AW142" s="3"/>
      <c r="AX142" s="3"/>
      <c r="AY142" s="3"/>
      <c r="AZ142" s="3"/>
      <c r="BA142" s="3"/>
      <c r="BC142" s="13"/>
      <c r="BD142" s="7"/>
      <c r="BE142" s="3"/>
      <c r="BF142" s="3"/>
      <c r="BG142" s="3"/>
      <c r="BH142" s="3"/>
    </row>
    <row r="143" spans="1:60" x14ac:dyDescent="0.3">
      <c r="A143">
        <v>100</v>
      </c>
      <c r="B143" s="1" t="s">
        <v>145</v>
      </c>
      <c r="C143" s="1" t="s">
        <v>30</v>
      </c>
      <c r="D143" s="2">
        <v>42675</v>
      </c>
      <c r="E143" s="3">
        <v>20.46</v>
      </c>
      <c r="F143" s="4">
        <f t="shared" si="161"/>
        <v>4482.3461417322842</v>
      </c>
      <c r="G143" s="7">
        <v>4.24</v>
      </c>
      <c r="H143" s="7">
        <v>4.0599999999999996</v>
      </c>
      <c r="I143" s="5">
        <f t="shared" si="162"/>
        <v>4.2452830188679389</v>
      </c>
      <c r="J143" s="4">
        <f t="shared" si="163"/>
        <v>4292.0578621304412</v>
      </c>
      <c r="K143" s="2">
        <v>42774</v>
      </c>
      <c r="L143" s="7">
        <v>4.0599999999999996</v>
      </c>
      <c r="M143" s="7">
        <v>1.6</v>
      </c>
      <c r="N143" s="7">
        <v>2.06</v>
      </c>
      <c r="O143" s="6">
        <f t="shared" si="164"/>
        <v>0.39408866995073899</v>
      </c>
      <c r="P143" s="6">
        <f t="shared" si="165"/>
        <v>0.5073891625615764</v>
      </c>
      <c r="Q143" s="6">
        <f t="shared" si="166"/>
        <v>9.8522167487684609E-2</v>
      </c>
      <c r="R143" s="4">
        <f t="shared" si="167"/>
        <v>1766.4418292541025</v>
      </c>
      <c r="S143" s="4">
        <f t="shared" si="168"/>
        <v>2274.2938551646566</v>
      </c>
      <c r="T143" s="4">
        <f t="shared" si="169"/>
        <v>4040.7356844187589</v>
      </c>
      <c r="U143" s="4">
        <f t="shared" si="170"/>
        <v>1691.4513742385977</v>
      </c>
      <c r="V143" s="4">
        <f t="shared" si="171"/>
        <v>2177.7436443321944</v>
      </c>
      <c r="W143" s="4">
        <f t="shared" si="172"/>
        <v>3869.1950185707919</v>
      </c>
      <c r="X143" s="10"/>
      <c r="Y143" s="12"/>
      <c r="Z143" s="5"/>
      <c r="AA143" s="4"/>
      <c r="AB143" s="4"/>
      <c r="AC143" s="4"/>
      <c r="AD143" s="4"/>
      <c r="AF143" t="s">
        <v>288</v>
      </c>
      <c r="AG143" t="s">
        <v>30</v>
      </c>
      <c r="AH143" s="8">
        <f>D143</f>
        <v>42675</v>
      </c>
      <c r="AI143" s="3">
        <f>SUM(E143:E145)</f>
        <v>60.019999999999996</v>
      </c>
      <c r="AJ143" s="3">
        <f>(AI143-3*$A$33)*$A$34/(3*$A$35)*$A$36</f>
        <v>4381.151076115485</v>
      </c>
      <c r="AK143" s="7">
        <f>SUM(G143:G145)</f>
        <v>12.7</v>
      </c>
      <c r="AL143" s="7">
        <f>SUM(H143:H145)</f>
        <v>12.14</v>
      </c>
      <c r="AM143" s="7">
        <f>(AK143-AL143)/AK143*100</f>
        <v>4.4094488188976282</v>
      </c>
      <c r="AN143" s="3">
        <f>AJ143*(1-AM143/100)</f>
        <v>4187.9664617355902</v>
      </c>
      <c r="AO143" s="11">
        <f>K143</f>
        <v>42774</v>
      </c>
      <c r="AP143" s="7">
        <f>SUM(L143:L145)</f>
        <v>12.14</v>
      </c>
      <c r="AQ143" s="7">
        <f t="shared" ref="AQ143" si="250">SUM(M143:M145)</f>
        <v>4.84</v>
      </c>
      <c r="AR143" s="7">
        <f t="shared" ref="AR143" si="251">SUM(N143:N145)</f>
        <v>6.2</v>
      </c>
      <c r="AS143" s="9">
        <f>AQ143/AP143</f>
        <v>0.39868204283360786</v>
      </c>
      <c r="AT143" s="9">
        <f>AR143/AP143</f>
        <v>0.51070840197693579</v>
      </c>
      <c r="AU143" s="9">
        <f>1-AS143-AT143</f>
        <v>9.0609555189456348E-2</v>
      </c>
      <c r="AV143" s="3">
        <f>AJ143*AS143</f>
        <v>1746.686260988381</v>
      </c>
      <c r="AW143" s="3">
        <f>AJ143*AT143</f>
        <v>2237.490664902472</v>
      </c>
      <c r="AX143" s="3">
        <f>AV143+AW143</f>
        <v>3984.176925890853</v>
      </c>
      <c r="AY143" s="3">
        <f>AN143*AS143</f>
        <v>1669.6670242833818</v>
      </c>
      <c r="AZ143" s="3">
        <f>AN143*AT143</f>
        <v>2138.8296592059851</v>
      </c>
      <c r="BA143" s="3">
        <f>AY143+AZ143</f>
        <v>3808.4966834893667</v>
      </c>
      <c r="BB143" s="11">
        <f>X144</f>
        <v>42901</v>
      </c>
      <c r="BC143" s="13">
        <f>AVERAGE(Y143:Y145)</f>
        <v>45</v>
      </c>
      <c r="BD143" s="7">
        <f t="shared" ref="BD143" si="252">AVERAGE(Z143:Z145)</f>
        <v>1.1499999999999999</v>
      </c>
      <c r="BE143" s="3">
        <f t="shared" ref="BE143" si="253">AVERAGE(AA143:AA145)</f>
        <v>83.1</v>
      </c>
      <c r="BF143" s="3">
        <f t="shared" ref="BF143" si="254">AVERAGE(AB143:AB145)</f>
        <v>32.799999999999997</v>
      </c>
      <c r="BG143" s="3">
        <f t="shared" ref="BG143" si="255">AVERAGE(AC143:AC145)</f>
        <v>5.3</v>
      </c>
      <c r="BH143" s="3">
        <f t="shared" ref="BH143" si="256">AVERAGE(AD143:AD145)</f>
        <v>8.6999999999999993</v>
      </c>
    </row>
    <row r="144" spans="1:60" x14ac:dyDescent="0.3">
      <c r="A144">
        <v>101</v>
      </c>
      <c r="B144" s="1" t="s">
        <v>146</v>
      </c>
      <c r="C144" s="1" t="s">
        <v>30</v>
      </c>
      <c r="D144" s="2">
        <v>42675</v>
      </c>
      <c r="E144" s="3">
        <v>19.04</v>
      </c>
      <c r="F144" s="4">
        <f>(E144-$A$33)*$A$34/$A$35*$A$36</f>
        <v>4165.3674803149606</v>
      </c>
      <c r="G144" s="7">
        <v>3.9599999999999995</v>
      </c>
      <c r="H144" s="7">
        <v>3.8</v>
      </c>
      <c r="I144" s="5">
        <f>(G144-H144)/G144*100</f>
        <v>4.0404040404040327</v>
      </c>
      <c r="J144" s="4">
        <f>F144*(1-I144/100)</f>
        <v>3997.0698043426391</v>
      </c>
      <c r="K144" s="2">
        <v>42774</v>
      </c>
      <c r="L144" s="7">
        <v>3.8</v>
      </c>
      <c r="M144" s="7">
        <v>1.54</v>
      </c>
      <c r="N144" s="7">
        <v>1.94</v>
      </c>
      <c r="O144" s="6">
        <f>M144/L144</f>
        <v>0.40526315789473688</v>
      </c>
      <c r="P144" s="6">
        <f>N144/L144</f>
        <v>0.51052631578947372</v>
      </c>
      <c r="Q144" s="6">
        <f>1-O144-P144</f>
        <v>8.4210526315789402E-2</v>
      </c>
      <c r="R144" s="4">
        <f>F144*O144</f>
        <v>1688.0699788644843</v>
      </c>
      <c r="S144" s="4">
        <f>F144*P144</f>
        <v>2126.5297136344802</v>
      </c>
      <c r="T144" s="4">
        <f>R144+S144</f>
        <v>3814.5996924989645</v>
      </c>
      <c r="U144" s="4">
        <f>J144*O144</f>
        <v>1619.865131233596</v>
      </c>
      <c r="V144" s="4">
        <f>J144*P144</f>
        <v>2040.6093211644002</v>
      </c>
      <c r="W144" s="4">
        <f>U144+V144</f>
        <v>3660.4744523979962</v>
      </c>
      <c r="X144" s="10">
        <v>42901</v>
      </c>
      <c r="Y144" s="12">
        <v>45</v>
      </c>
      <c r="Z144" s="5">
        <v>1.1499999999999999</v>
      </c>
      <c r="AA144" s="4">
        <v>83.1</v>
      </c>
      <c r="AB144" s="4">
        <v>32.799999999999997</v>
      </c>
      <c r="AC144" s="4">
        <v>5.3</v>
      </c>
      <c r="AD144" s="4">
        <v>8.6999999999999993</v>
      </c>
      <c r="AI144" s="3"/>
      <c r="AJ144" s="3"/>
      <c r="AK144" s="7"/>
      <c r="AL144" s="7"/>
      <c r="AM144" s="7"/>
      <c r="AN144" s="3"/>
      <c r="AO144" s="3"/>
      <c r="AP144" s="7"/>
      <c r="AQ144" s="7"/>
      <c r="AR144" s="7"/>
      <c r="AS144" s="9"/>
      <c r="AT144" s="9"/>
      <c r="AU144" s="9"/>
      <c r="AV144" s="3"/>
      <c r="AW144" s="3"/>
      <c r="AX144" s="3"/>
      <c r="AY144" s="3"/>
      <c r="AZ144" s="3"/>
      <c r="BA144" s="3"/>
      <c r="BC144" s="13"/>
      <c r="BD144" s="7"/>
      <c r="BE144" s="3"/>
      <c r="BF144" s="3"/>
      <c r="BG144" s="3"/>
      <c r="BH144" s="3"/>
    </row>
    <row r="145" spans="1:60" x14ac:dyDescent="0.3">
      <c r="A145">
        <v>102</v>
      </c>
      <c r="B145" s="1" t="s">
        <v>147</v>
      </c>
      <c r="C145" s="1" t="s">
        <v>30</v>
      </c>
      <c r="D145" s="2">
        <v>42675</v>
      </c>
      <c r="E145" s="3">
        <v>20.52</v>
      </c>
      <c r="F145" s="4">
        <f t="shared" ref="F145:F208" si="257">(E145-$A$33)*$A$34/$A$35*$A$36</f>
        <v>4495.739606299212</v>
      </c>
      <c r="G145" s="7">
        <v>4.5</v>
      </c>
      <c r="H145" s="7">
        <v>4.28</v>
      </c>
      <c r="I145" s="5">
        <f t="shared" ref="I145:I208" si="258">(G145-H145)/G145*100</f>
        <v>4.888888888888884</v>
      </c>
      <c r="J145" s="4">
        <f t="shared" ref="J145:J208" si="259">F145*(1-I145/100)</f>
        <v>4275.9478922134731</v>
      </c>
      <c r="K145" s="2">
        <v>42765</v>
      </c>
      <c r="L145" s="7">
        <v>4.28</v>
      </c>
      <c r="M145" s="7">
        <v>1.7</v>
      </c>
      <c r="N145" s="7">
        <v>2.2000000000000002</v>
      </c>
      <c r="O145" s="6">
        <f t="shared" ref="O145:O208" si="260">M145/L145</f>
        <v>0.39719626168224298</v>
      </c>
      <c r="P145" s="6">
        <f t="shared" ref="P145:P208" si="261">N145/L145</f>
        <v>0.5140186915887851</v>
      </c>
      <c r="Q145" s="6">
        <f t="shared" ref="Q145:Q208" si="262">1-O145-P145</f>
        <v>8.8785046728971917E-2</v>
      </c>
      <c r="R145" s="4">
        <f t="shared" ref="R145:R208" si="263">F145*O145</f>
        <v>1785.690965118846</v>
      </c>
      <c r="S145" s="4">
        <f t="shared" ref="S145:S208" si="264">F145*P145</f>
        <v>2310.894190153801</v>
      </c>
      <c r="T145" s="4">
        <f t="shared" ref="T145:T208" si="265">R145+S145</f>
        <v>4096.5851552726472</v>
      </c>
      <c r="U145" s="4">
        <f t="shared" ref="U145:U208" si="266">J145*O145</f>
        <v>1698.390517935258</v>
      </c>
      <c r="V145" s="4">
        <f t="shared" ref="V145:V208" si="267">J145*P145</f>
        <v>2197.917140857393</v>
      </c>
      <c r="W145" s="4">
        <f t="shared" ref="W145:W208" si="268">U145+V145</f>
        <v>3896.3076587926507</v>
      </c>
      <c r="X145" s="10"/>
      <c r="Y145" s="12"/>
      <c r="Z145" s="5"/>
      <c r="AA145" s="4"/>
      <c r="AB145" s="4"/>
      <c r="AC145" s="4"/>
      <c r="AD145" s="4"/>
      <c r="AI145" s="3"/>
      <c r="AJ145" s="3"/>
      <c r="AK145" s="7"/>
      <c r="AL145" s="7"/>
      <c r="AM145" s="7"/>
      <c r="AN145" s="3"/>
      <c r="AO145" s="3"/>
      <c r="AP145" s="7"/>
      <c r="AQ145" s="7"/>
      <c r="AR145" s="7"/>
      <c r="AS145" s="9"/>
      <c r="AT145" s="9"/>
      <c r="AU145" s="9"/>
      <c r="AV145" s="3"/>
      <c r="AW145" s="3"/>
      <c r="AX145" s="3"/>
      <c r="AY145" s="3"/>
      <c r="AZ145" s="3"/>
      <c r="BA145" s="3"/>
      <c r="BC145" s="13"/>
      <c r="BD145" s="7"/>
      <c r="BE145" s="3"/>
      <c r="BF145" s="3"/>
      <c r="BG145" s="3"/>
      <c r="BH145" s="3"/>
    </row>
    <row r="146" spans="1:60" x14ac:dyDescent="0.3">
      <c r="A146">
        <v>103</v>
      </c>
      <c r="B146" s="1" t="s">
        <v>148</v>
      </c>
      <c r="C146" s="1" t="s">
        <v>30</v>
      </c>
      <c r="D146" s="2">
        <v>42675</v>
      </c>
      <c r="E146" s="3">
        <v>18.920000000000002</v>
      </c>
      <c r="F146" s="4">
        <f t="shared" si="257"/>
        <v>4138.5805511811022</v>
      </c>
      <c r="G146" s="7">
        <v>3.94</v>
      </c>
      <c r="H146" s="7">
        <v>3.76</v>
      </c>
      <c r="I146" s="5">
        <f t="shared" si="258"/>
        <v>4.5685279187817303</v>
      </c>
      <c r="J146" s="4">
        <f t="shared" si="259"/>
        <v>3949.5083432591227</v>
      </c>
      <c r="K146" s="2">
        <v>42774</v>
      </c>
      <c r="L146" s="7">
        <v>3.76</v>
      </c>
      <c r="M146" s="7">
        <v>1.58</v>
      </c>
      <c r="N146" s="7">
        <v>1.94</v>
      </c>
      <c r="O146" s="6">
        <f t="shared" si="260"/>
        <v>0.42021276595744683</v>
      </c>
      <c r="P146" s="6">
        <f t="shared" si="261"/>
        <v>0.51595744680851063</v>
      </c>
      <c r="Q146" s="6">
        <f t="shared" si="262"/>
        <v>6.3829787234042534E-2</v>
      </c>
      <c r="R146" s="4">
        <f t="shared" si="263"/>
        <v>1739.0843805495058</v>
      </c>
      <c r="S146" s="4">
        <f t="shared" si="264"/>
        <v>2135.33145459876</v>
      </c>
      <c r="T146" s="4">
        <f t="shared" si="265"/>
        <v>3874.4158351482656</v>
      </c>
      <c r="U146" s="4">
        <f t="shared" si="266"/>
        <v>1659.6338250929293</v>
      </c>
      <c r="V146" s="4">
        <f t="shared" si="267"/>
        <v>2037.7782409368879</v>
      </c>
      <c r="W146" s="4">
        <f t="shared" si="268"/>
        <v>3697.4120660298172</v>
      </c>
      <c r="X146" s="10"/>
      <c r="Y146" s="12"/>
      <c r="Z146" s="5"/>
      <c r="AA146" s="4"/>
      <c r="AB146" s="4"/>
      <c r="AC146" s="4"/>
      <c r="AD146" s="4"/>
      <c r="AF146" t="s">
        <v>289</v>
      </c>
      <c r="AG146" t="s">
        <v>30</v>
      </c>
      <c r="AH146" s="8">
        <f>D146</f>
        <v>42675</v>
      </c>
      <c r="AI146" s="3">
        <f>SUM(E146:E148)</f>
        <v>59</v>
      </c>
      <c r="AJ146" s="3">
        <f>(AI146-3*$A$33)*$A$34/(3*$A$35)*$A$36</f>
        <v>4305.254776902887</v>
      </c>
      <c r="AK146" s="7">
        <f>SUM(G146:G148)</f>
        <v>11.86</v>
      </c>
      <c r="AL146" s="7">
        <f>SUM(H146:H148)</f>
        <v>11.379999999999999</v>
      </c>
      <c r="AM146" s="7">
        <f>(AK146-AL146)/AK146*100</f>
        <v>4.047217537942668</v>
      </c>
      <c r="AN146" s="3">
        <f>AJ146*(1-AM146/100)</f>
        <v>4131.0117505189592</v>
      </c>
      <c r="AO146" s="11">
        <f>K146</f>
        <v>42774</v>
      </c>
      <c r="AP146" s="7">
        <f>SUM(L146:L148)</f>
        <v>11.379999999999999</v>
      </c>
      <c r="AQ146" s="7">
        <f t="shared" ref="AQ146" si="269">SUM(M146:M148)</f>
        <v>4.76</v>
      </c>
      <c r="AR146" s="7">
        <f t="shared" ref="AR146" si="270">SUM(N146:N148)</f>
        <v>5.84</v>
      </c>
      <c r="AS146" s="9">
        <f>AQ146/AP146</f>
        <v>0.41827768014059757</v>
      </c>
      <c r="AT146" s="9">
        <f>AR146/AP146</f>
        <v>0.51318101933216176</v>
      </c>
      <c r="AU146" s="9">
        <f>1-AS146-AT146</f>
        <v>6.8541300527240612E-2</v>
      </c>
      <c r="AV146" s="3">
        <f>AJ146*AS146</f>
        <v>1800.7919804971655</v>
      </c>
      <c r="AW146" s="3">
        <f>AJ146*AT146</f>
        <v>2209.3750348956823</v>
      </c>
      <c r="AX146" s="3">
        <f>AV146+AW146</f>
        <v>4010.167015392848</v>
      </c>
      <c r="AY146" s="3">
        <f>AN146*AS146</f>
        <v>1727.9100116406194</v>
      </c>
      <c r="AZ146" s="3">
        <f>AN146*AT146</f>
        <v>2119.9568210044572</v>
      </c>
      <c r="BA146" s="3">
        <f>AY146+AZ146</f>
        <v>3847.8668326450766</v>
      </c>
      <c r="BB146" s="11">
        <f>X147</f>
        <v>42901</v>
      </c>
      <c r="BC146" s="13">
        <f>AVERAGE(Y146:Y148)</f>
        <v>49</v>
      </c>
      <c r="BD146" s="7">
        <f t="shared" ref="BD146" si="271">AVERAGE(Z146:Z148)</f>
        <v>1.1200000000000001</v>
      </c>
      <c r="BE146" s="3">
        <f t="shared" ref="BE146" si="272">AVERAGE(AA146:AA148)</f>
        <v>81.7</v>
      </c>
      <c r="BF146" s="3">
        <f t="shared" ref="BF146" si="273">AVERAGE(AB146:AB148)</f>
        <v>31.4</v>
      </c>
      <c r="BG146" s="3">
        <f t="shared" ref="BG146" si="274">AVERAGE(AC146:AC148)</f>
        <v>5.4</v>
      </c>
      <c r="BH146" s="3">
        <f t="shared" ref="BH146" si="275">AVERAGE(AD146:AD148)</f>
        <v>9.6999999999999993</v>
      </c>
    </row>
    <row r="147" spans="1:60" x14ac:dyDescent="0.3">
      <c r="A147">
        <v>104</v>
      </c>
      <c r="B147" s="1" t="s">
        <v>149</v>
      </c>
      <c r="C147" s="1" t="s">
        <v>30</v>
      </c>
      <c r="D147" s="2">
        <v>42675</v>
      </c>
      <c r="E147" s="3">
        <v>21.54</v>
      </c>
      <c r="F147" s="4">
        <f t="shared" si="257"/>
        <v>4723.4285039370079</v>
      </c>
      <c r="G147" s="7">
        <v>3.8799999999999994</v>
      </c>
      <c r="H147" s="7">
        <v>3.7</v>
      </c>
      <c r="I147" s="5">
        <f t="shared" si="258"/>
        <v>4.6391752577319405</v>
      </c>
      <c r="J147" s="4">
        <f t="shared" si="259"/>
        <v>4504.3003774657045</v>
      </c>
      <c r="K147" s="2">
        <v>42774</v>
      </c>
      <c r="L147" s="7">
        <v>3.7</v>
      </c>
      <c r="M147" s="7">
        <v>1.54</v>
      </c>
      <c r="N147" s="7">
        <v>1.88</v>
      </c>
      <c r="O147" s="6">
        <f t="shared" si="260"/>
        <v>0.41621621621621618</v>
      </c>
      <c r="P147" s="6">
        <f t="shared" si="261"/>
        <v>0.50810810810810803</v>
      </c>
      <c r="Q147" s="6">
        <f t="shared" si="262"/>
        <v>7.5675675675675791E-2</v>
      </c>
      <c r="R147" s="4">
        <f t="shared" si="263"/>
        <v>1965.9675394764843</v>
      </c>
      <c r="S147" s="4">
        <f t="shared" si="264"/>
        <v>2400.0123209193443</v>
      </c>
      <c r="T147" s="4">
        <f t="shared" si="265"/>
        <v>4365.9798603958288</v>
      </c>
      <c r="U147" s="4">
        <f t="shared" si="266"/>
        <v>1874.7628598100498</v>
      </c>
      <c r="V147" s="4">
        <f t="shared" si="267"/>
        <v>2288.671543144736</v>
      </c>
      <c r="W147" s="4">
        <f t="shared" si="268"/>
        <v>4163.4344029547856</v>
      </c>
      <c r="X147" s="10">
        <v>42901</v>
      </c>
      <c r="Y147" s="12">
        <v>49</v>
      </c>
      <c r="Z147" s="5">
        <v>1.1200000000000001</v>
      </c>
      <c r="AA147" s="4">
        <v>81.7</v>
      </c>
      <c r="AB147" s="4">
        <v>31.4</v>
      </c>
      <c r="AC147" s="4">
        <v>5.4</v>
      </c>
      <c r="AD147" s="4">
        <v>9.6999999999999993</v>
      </c>
      <c r="AI147" s="3"/>
      <c r="AJ147" s="3"/>
      <c r="AK147" s="7"/>
      <c r="AL147" s="7"/>
      <c r="AM147" s="7"/>
      <c r="AN147" s="3"/>
      <c r="AO147" s="3"/>
      <c r="AP147" s="7"/>
      <c r="AQ147" s="7"/>
      <c r="AR147" s="7"/>
      <c r="AS147" s="9"/>
      <c r="AT147" s="9"/>
      <c r="AU147" s="9"/>
      <c r="AV147" s="3"/>
      <c r="AW147" s="3"/>
      <c r="AX147" s="3"/>
      <c r="AY147" s="3"/>
      <c r="AZ147" s="3"/>
      <c r="BA147" s="3"/>
      <c r="BC147" s="13"/>
      <c r="BD147" s="7"/>
      <c r="BE147" s="3"/>
      <c r="BF147" s="3"/>
      <c r="BG147" s="3"/>
      <c r="BH147" s="3"/>
    </row>
    <row r="148" spans="1:60" x14ac:dyDescent="0.3">
      <c r="A148">
        <v>105</v>
      </c>
      <c r="B148" s="1" t="s">
        <v>150</v>
      </c>
      <c r="C148" s="1" t="s">
        <v>30</v>
      </c>
      <c r="D148" s="2">
        <v>42675</v>
      </c>
      <c r="E148" s="3">
        <v>18.54</v>
      </c>
      <c r="F148" s="4">
        <f t="shared" si="257"/>
        <v>4053.7552755905508</v>
      </c>
      <c r="G148" s="7">
        <v>4.04</v>
      </c>
      <c r="H148" s="7">
        <v>3.92</v>
      </c>
      <c r="I148" s="5">
        <f t="shared" si="258"/>
        <v>2.9702970297029729</v>
      </c>
      <c r="J148" s="4">
        <f t="shared" si="259"/>
        <v>3933.346703048257</v>
      </c>
      <c r="K148" s="2">
        <v>42774</v>
      </c>
      <c r="L148" s="7">
        <v>3.92</v>
      </c>
      <c r="M148" s="7">
        <v>1.64</v>
      </c>
      <c r="N148" s="7">
        <v>2.02</v>
      </c>
      <c r="O148" s="6">
        <f t="shared" si="260"/>
        <v>0.41836734693877548</v>
      </c>
      <c r="P148" s="6">
        <f t="shared" si="261"/>
        <v>0.51530612244897955</v>
      </c>
      <c r="Q148" s="6">
        <f t="shared" si="262"/>
        <v>6.6326530612245027E-2</v>
      </c>
      <c r="R148" s="4">
        <f t="shared" si="263"/>
        <v>1695.9588397878833</v>
      </c>
      <c r="S148" s="4">
        <f t="shared" si="264"/>
        <v>2088.9249124216612</v>
      </c>
      <c r="T148" s="4">
        <f t="shared" si="265"/>
        <v>3784.8837522095446</v>
      </c>
      <c r="U148" s="4">
        <f t="shared" si="266"/>
        <v>1645.5838247446789</v>
      </c>
      <c r="V148" s="4">
        <f t="shared" si="267"/>
        <v>2026.8776377952752</v>
      </c>
      <c r="W148" s="4">
        <f t="shared" si="268"/>
        <v>3672.461462539954</v>
      </c>
      <c r="X148" s="10"/>
      <c r="Y148" s="12"/>
      <c r="Z148" s="5"/>
      <c r="AA148" s="4"/>
      <c r="AB148" s="4"/>
      <c r="AC148" s="4"/>
      <c r="AD148" s="4"/>
      <c r="AI148" s="3"/>
      <c r="AJ148" s="3"/>
      <c r="AK148" s="7"/>
      <c r="AL148" s="7"/>
      <c r="AM148" s="7"/>
      <c r="AN148" s="3"/>
      <c r="AO148" s="3"/>
      <c r="AP148" s="7"/>
      <c r="AQ148" s="7"/>
      <c r="AR148" s="7"/>
      <c r="AS148" s="9"/>
      <c r="AT148" s="9"/>
      <c r="AU148" s="9"/>
      <c r="AV148" s="3"/>
      <c r="AW148" s="3"/>
      <c r="AX148" s="3"/>
      <c r="AY148" s="3"/>
      <c r="AZ148" s="3"/>
      <c r="BA148" s="3"/>
      <c r="BC148" s="13"/>
      <c r="BD148" s="7"/>
      <c r="BE148" s="3"/>
      <c r="BF148" s="3"/>
      <c r="BG148" s="3"/>
      <c r="BH148" s="3"/>
    </row>
    <row r="149" spans="1:60" x14ac:dyDescent="0.3">
      <c r="A149">
        <v>106</v>
      </c>
      <c r="B149" s="1" t="s">
        <v>151</v>
      </c>
      <c r="C149" s="1" t="s">
        <v>30</v>
      </c>
      <c r="D149" s="2">
        <v>42675</v>
      </c>
      <c r="E149" s="3">
        <v>24.54</v>
      </c>
      <c r="F149" s="4">
        <f t="shared" si="257"/>
        <v>5393.101732283465</v>
      </c>
      <c r="G149" s="7">
        <v>4.12</v>
      </c>
      <c r="H149" s="7">
        <v>3.96</v>
      </c>
      <c r="I149" s="5">
        <f t="shared" si="258"/>
        <v>3.8834951456310711</v>
      </c>
      <c r="J149" s="4">
        <f t="shared" si="259"/>
        <v>5183.6608883112913</v>
      </c>
      <c r="K149" s="2">
        <v>42774</v>
      </c>
      <c r="L149" s="7">
        <v>3.96</v>
      </c>
      <c r="M149" s="7">
        <v>1.66</v>
      </c>
      <c r="N149" s="7">
        <v>1.98</v>
      </c>
      <c r="O149" s="6">
        <f t="shared" si="260"/>
        <v>0.41919191919191917</v>
      </c>
      <c r="P149" s="6">
        <f t="shared" si="261"/>
        <v>0.5</v>
      </c>
      <c r="Q149" s="6">
        <f t="shared" si="262"/>
        <v>8.0808080808080884E-2</v>
      </c>
      <c r="R149" s="4">
        <f t="shared" si="263"/>
        <v>2260.7446655531694</v>
      </c>
      <c r="S149" s="4">
        <f t="shared" si="264"/>
        <v>2696.5508661417325</v>
      </c>
      <c r="T149" s="4">
        <f t="shared" si="265"/>
        <v>4957.2955316949019</v>
      </c>
      <c r="U149" s="4">
        <f t="shared" si="266"/>
        <v>2172.9487562112986</v>
      </c>
      <c r="V149" s="4">
        <f t="shared" si="267"/>
        <v>2591.8304441556456</v>
      </c>
      <c r="W149" s="4">
        <f t="shared" si="268"/>
        <v>4764.7792003669438</v>
      </c>
      <c r="X149" s="10"/>
      <c r="Y149" s="12"/>
      <c r="Z149" s="5"/>
      <c r="AA149" s="4"/>
      <c r="AB149" s="4"/>
      <c r="AC149" s="4"/>
      <c r="AD149" s="4"/>
      <c r="AF149" t="s">
        <v>290</v>
      </c>
      <c r="AG149" t="s">
        <v>30</v>
      </c>
      <c r="AH149" s="8">
        <f>D149</f>
        <v>42675</v>
      </c>
      <c r="AI149" s="3">
        <f>SUM(E149:E151)</f>
        <v>70.64</v>
      </c>
      <c r="AJ149" s="3">
        <f>(AI149-3*$A$33)*$A$34/(3*$A$35)*$A$36</f>
        <v>5171.3654855643044</v>
      </c>
      <c r="AK149" s="7">
        <f>SUM(G149:G151)</f>
        <v>12.620000000000001</v>
      </c>
      <c r="AL149" s="7">
        <f>SUM(H149:H151)</f>
        <v>12.100000000000001</v>
      </c>
      <c r="AM149" s="7">
        <f>(AK149-AL149)/AK149*100</f>
        <v>4.1204437400950829</v>
      </c>
      <c r="AN149" s="3">
        <f>AJ149*(1-AM149/100)</f>
        <v>4958.2822801369321</v>
      </c>
      <c r="AO149" s="11">
        <f>K149</f>
        <v>42774</v>
      </c>
      <c r="AP149" s="7">
        <f>SUM(L149:L151)</f>
        <v>12.100000000000001</v>
      </c>
      <c r="AQ149" s="7">
        <f t="shared" ref="AQ149" si="276">SUM(M149:M151)</f>
        <v>5.0999999999999996</v>
      </c>
      <c r="AR149" s="7">
        <f t="shared" ref="AR149" si="277">SUM(N149:N151)</f>
        <v>5.98</v>
      </c>
      <c r="AS149" s="9">
        <f>AQ149/AP149</f>
        <v>0.42148760330578505</v>
      </c>
      <c r="AT149" s="9">
        <f>AR149/AP149</f>
        <v>0.4942148760330578</v>
      </c>
      <c r="AU149" s="9">
        <f>1-AS149-AT149</f>
        <v>8.4297520661157144E-2</v>
      </c>
      <c r="AV149" s="3">
        <f>AJ149*AS149</f>
        <v>2179.6664443287559</v>
      </c>
      <c r="AW149" s="3">
        <f>AJ149*AT149</f>
        <v>2555.7657523697967</v>
      </c>
      <c r="AX149" s="3">
        <f>AV149+AW149</f>
        <v>4735.4321966985526</v>
      </c>
      <c r="AY149" s="3">
        <f>AN149*AS149</f>
        <v>2089.8545147684586</v>
      </c>
      <c r="AZ149" s="3">
        <f>AN149*AT149</f>
        <v>2450.456862414781</v>
      </c>
      <c r="BA149" s="3">
        <f>AY149+AZ149</f>
        <v>4540.3113771832395</v>
      </c>
      <c r="BB149" s="11">
        <f>X150</f>
        <v>42901</v>
      </c>
      <c r="BC149" s="13">
        <f>AVERAGE(Y149:Y151)</f>
        <v>46</v>
      </c>
      <c r="BD149" s="7">
        <f t="shared" ref="BD149" si="278">AVERAGE(Z149:Z151)</f>
        <v>1.1499999999999999</v>
      </c>
      <c r="BE149" s="3">
        <f t="shared" ref="BE149" si="279">AVERAGE(AA149:AA151)</f>
        <v>82.4</v>
      </c>
      <c r="BF149" s="3">
        <f t="shared" ref="BF149" si="280">AVERAGE(AB149:AB151)</f>
        <v>30.3</v>
      </c>
      <c r="BG149" s="3">
        <f t="shared" ref="BG149" si="281">AVERAGE(AC149:AC151)</f>
        <v>5.6</v>
      </c>
      <c r="BH149" s="3">
        <f t="shared" ref="BH149" si="282">AVERAGE(AD149:AD151)</f>
        <v>9.1</v>
      </c>
    </row>
    <row r="150" spans="1:60" x14ac:dyDescent="0.3">
      <c r="A150">
        <v>107</v>
      </c>
      <c r="B150" s="1" t="s">
        <v>152</v>
      </c>
      <c r="C150" s="1" t="s">
        <v>30</v>
      </c>
      <c r="D150" s="2">
        <v>42675</v>
      </c>
      <c r="E150" s="3">
        <v>24.76</v>
      </c>
      <c r="F150" s="4">
        <f t="shared" si="257"/>
        <v>5442.2111023622056</v>
      </c>
      <c r="G150" s="7">
        <v>4.38</v>
      </c>
      <c r="H150" s="7">
        <v>4.18</v>
      </c>
      <c r="I150" s="5">
        <f t="shared" si="258"/>
        <v>4.5662100456621042</v>
      </c>
      <c r="J150" s="4">
        <f t="shared" si="259"/>
        <v>5193.7083123000048</v>
      </c>
      <c r="K150" s="2">
        <v>42774</v>
      </c>
      <c r="L150" s="7">
        <v>4.18</v>
      </c>
      <c r="M150" s="7">
        <v>1.74</v>
      </c>
      <c r="N150" s="7">
        <v>2.06</v>
      </c>
      <c r="O150" s="6">
        <f t="shared" si="260"/>
        <v>0.41626794258373206</v>
      </c>
      <c r="P150" s="6">
        <f t="shared" si="261"/>
        <v>0.49282296650717711</v>
      </c>
      <c r="Q150" s="6">
        <f t="shared" si="262"/>
        <v>9.0909090909090773E-2</v>
      </c>
      <c r="R150" s="4">
        <f t="shared" si="263"/>
        <v>2265.4180186866597</v>
      </c>
      <c r="S150" s="4">
        <f t="shared" si="264"/>
        <v>2682.0466198244367</v>
      </c>
      <c r="T150" s="4">
        <f t="shared" si="265"/>
        <v>4947.4646385110964</v>
      </c>
      <c r="U150" s="4">
        <f t="shared" si="266"/>
        <v>2161.9742735411505</v>
      </c>
      <c r="V150" s="4">
        <f t="shared" si="267"/>
        <v>2559.5787376406724</v>
      </c>
      <c r="W150" s="4">
        <f t="shared" si="268"/>
        <v>4721.5530111818225</v>
      </c>
      <c r="X150" s="10">
        <v>42901</v>
      </c>
      <c r="Y150" s="12">
        <v>46</v>
      </c>
      <c r="Z150" s="5">
        <v>1.1499999999999999</v>
      </c>
      <c r="AA150" s="4">
        <v>82.4</v>
      </c>
      <c r="AB150" s="4">
        <v>30.3</v>
      </c>
      <c r="AC150" s="4">
        <v>5.6</v>
      </c>
      <c r="AD150" s="4">
        <v>9.1</v>
      </c>
      <c r="AI150" s="3"/>
      <c r="AJ150" s="3"/>
      <c r="AK150" s="7"/>
      <c r="AL150" s="7"/>
      <c r="AM150" s="7"/>
      <c r="AN150" s="3"/>
      <c r="AO150" s="3"/>
      <c r="AP150" s="7"/>
      <c r="AQ150" s="7"/>
      <c r="AR150" s="7"/>
      <c r="AS150" s="9"/>
      <c r="AT150" s="9"/>
      <c r="AU150" s="9"/>
      <c r="AV150" s="3"/>
      <c r="AW150" s="3"/>
      <c r="AX150" s="3"/>
      <c r="AY150" s="3"/>
      <c r="AZ150" s="3"/>
      <c r="BA150" s="3"/>
      <c r="BC150" s="13"/>
      <c r="BD150" s="7"/>
      <c r="BE150" s="3"/>
      <c r="BF150" s="3"/>
      <c r="BG150" s="3"/>
      <c r="BH150" s="3"/>
    </row>
    <row r="151" spans="1:60" x14ac:dyDescent="0.3">
      <c r="A151">
        <v>108</v>
      </c>
      <c r="B151" s="1" t="s">
        <v>153</v>
      </c>
      <c r="C151" s="1" t="s">
        <v>30</v>
      </c>
      <c r="D151" s="2">
        <v>42675</v>
      </c>
      <c r="E151" s="3">
        <v>21.34</v>
      </c>
      <c r="F151" s="4">
        <f t="shared" si="257"/>
        <v>4678.7836220472445</v>
      </c>
      <c r="G151" s="7">
        <v>4.12</v>
      </c>
      <c r="H151" s="7">
        <v>3.96</v>
      </c>
      <c r="I151" s="5">
        <f t="shared" si="258"/>
        <v>3.8834951456310711</v>
      </c>
      <c r="J151" s="4">
        <f t="shared" si="259"/>
        <v>4497.0832872104584</v>
      </c>
      <c r="K151" s="2">
        <v>42774</v>
      </c>
      <c r="L151" s="7">
        <v>3.96</v>
      </c>
      <c r="M151" s="7">
        <v>1.7</v>
      </c>
      <c r="N151" s="7">
        <v>1.94</v>
      </c>
      <c r="O151" s="6">
        <f t="shared" si="260"/>
        <v>0.42929292929292928</v>
      </c>
      <c r="P151" s="6">
        <f t="shared" si="261"/>
        <v>0.48989898989898989</v>
      </c>
      <c r="Q151" s="6">
        <f t="shared" si="262"/>
        <v>8.0808080808080829E-2</v>
      </c>
      <c r="R151" s="4">
        <f t="shared" si="263"/>
        <v>2008.5687266364432</v>
      </c>
      <c r="S151" s="4">
        <f t="shared" si="264"/>
        <v>2292.1313703968822</v>
      </c>
      <c r="T151" s="4">
        <f t="shared" si="265"/>
        <v>4300.7000970333256</v>
      </c>
      <c r="U151" s="4">
        <f t="shared" si="266"/>
        <v>1930.5660576408534</v>
      </c>
      <c r="V151" s="4">
        <f t="shared" si="267"/>
        <v>2203.1165598960324</v>
      </c>
      <c r="W151" s="4">
        <f t="shared" si="268"/>
        <v>4133.682617536886</v>
      </c>
      <c r="X151" s="10"/>
      <c r="Y151" s="12"/>
      <c r="Z151" s="5"/>
      <c r="AA151" s="4"/>
      <c r="AB151" s="4"/>
      <c r="AC151" s="4"/>
      <c r="AD151" s="4"/>
      <c r="AI151" s="3"/>
      <c r="AJ151" s="3"/>
      <c r="AK151" s="7"/>
      <c r="AL151" s="7"/>
      <c r="AM151" s="7"/>
      <c r="AN151" s="3"/>
      <c r="AO151" s="3"/>
      <c r="AP151" s="7"/>
      <c r="AQ151" s="7"/>
      <c r="AR151" s="7"/>
      <c r="AS151" s="9"/>
      <c r="AT151" s="9"/>
      <c r="AU151" s="9"/>
      <c r="AV151" s="3"/>
      <c r="AW151" s="3"/>
      <c r="AX151" s="3"/>
      <c r="AY151" s="3"/>
      <c r="AZ151" s="3"/>
      <c r="BA151" s="3"/>
      <c r="BC151" s="13"/>
      <c r="BD151" s="7"/>
      <c r="BE151" s="3"/>
      <c r="BF151" s="3"/>
      <c r="BG151" s="3"/>
      <c r="BH151" s="3"/>
    </row>
    <row r="152" spans="1:60" x14ac:dyDescent="0.3">
      <c r="A152">
        <v>109</v>
      </c>
      <c r="B152" s="1" t="s">
        <v>154</v>
      </c>
      <c r="C152" s="1" t="s">
        <v>30</v>
      </c>
      <c r="D152" s="2">
        <v>42675</v>
      </c>
      <c r="E152" s="3">
        <v>20.68</v>
      </c>
      <c r="F152" s="4">
        <f t="shared" si="257"/>
        <v>4531.4555118110229</v>
      </c>
      <c r="G152" s="7">
        <v>3.98</v>
      </c>
      <c r="H152" s="7">
        <v>3.78</v>
      </c>
      <c r="I152" s="5">
        <f t="shared" si="258"/>
        <v>5.0251256281407075</v>
      </c>
      <c r="J152" s="4">
        <f t="shared" si="259"/>
        <v>4303.7441795592131</v>
      </c>
      <c r="K152" s="2">
        <v>42765</v>
      </c>
      <c r="L152" s="7">
        <v>3.78</v>
      </c>
      <c r="M152" s="7">
        <v>1.48</v>
      </c>
      <c r="N152" s="7">
        <v>1.94</v>
      </c>
      <c r="O152" s="6">
        <f t="shared" si="260"/>
        <v>0.39153439153439157</v>
      </c>
      <c r="P152" s="6">
        <f t="shared" si="261"/>
        <v>0.51322751322751325</v>
      </c>
      <c r="Q152" s="6">
        <f t="shared" si="262"/>
        <v>9.5238095238095122E-2</v>
      </c>
      <c r="R152" s="4">
        <f t="shared" si="263"/>
        <v>1774.2206765820938</v>
      </c>
      <c r="S152" s="4">
        <f t="shared" si="264"/>
        <v>2325.6676436278794</v>
      </c>
      <c r="T152" s="4">
        <f t="shared" si="265"/>
        <v>4099.8883202099732</v>
      </c>
      <c r="U152" s="4">
        <f t="shared" si="266"/>
        <v>1685.0638586633956</v>
      </c>
      <c r="V152" s="4">
        <f t="shared" si="267"/>
        <v>2208.7999228425592</v>
      </c>
      <c r="W152" s="4">
        <f t="shared" si="268"/>
        <v>3893.8637815059546</v>
      </c>
      <c r="X152" s="10"/>
      <c r="Y152" s="12"/>
      <c r="Z152" s="5"/>
      <c r="AA152" s="4"/>
      <c r="AB152" s="4"/>
      <c r="AC152" s="4"/>
      <c r="AD152" s="4"/>
      <c r="AF152" t="s">
        <v>291</v>
      </c>
      <c r="AG152" t="str">
        <f>C152</f>
        <v>Machine</v>
      </c>
      <c r="AH152" s="8">
        <f>D152</f>
        <v>42675</v>
      </c>
      <c r="AI152" s="3">
        <f>SUM(E152:E154)</f>
        <v>54.679999999999993</v>
      </c>
      <c r="AJ152" s="3">
        <f>(AI152-3*$A$33)*$A$34/(3*$A$35)*$A$36</f>
        <v>3983.8116272965872</v>
      </c>
      <c r="AK152" s="7">
        <f>SUM(G152:G154)</f>
        <v>12.98</v>
      </c>
      <c r="AL152" s="7">
        <f>SUM(H152:H154)</f>
        <v>12.28</v>
      </c>
      <c r="AM152" s="7">
        <f>(AK152-AL152)/AK152*100</f>
        <v>5.3929121725731974</v>
      </c>
      <c r="AN152" s="3">
        <f>AJ152*(1-AM152/100)</f>
        <v>3768.9681651157234</v>
      </c>
      <c r="AO152" s="11">
        <f>K152</f>
        <v>42765</v>
      </c>
      <c r="AP152" s="7">
        <f>SUM(L152:L154)</f>
        <v>12.28</v>
      </c>
      <c r="AQ152" s="7">
        <f t="shared" ref="AQ152" si="283">SUM(M152:M154)</f>
        <v>4.7200000000000006</v>
      </c>
      <c r="AR152" s="7">
        <f t="shared" ref="AR152" si="284">SUM(N152:N154)</f>
        <v>6.120000000000001</v>
      </c>
      <c r="AS152" s="9">
        <f>AQ152/AP152</f>
        <v>0.3843648208469056</v>
      </c>
      <c r="AT152" s="9">
        <f>AR152/AP152</f>
        <v>0.4983713355048861</v>
      </c>
      <c r="AU152" s="9">
        <f>1-AS152-AT152</f>
        <v>0.1172638436482083</v>
      </c>
      <c r="AV152" s="3">
        <f>AJ152*AS152</f>
        <v>1531.2370424136723</v>
      </c>
      <c r="AW152" s="3">
        <f>AJ152*AT152</f>
        <v>1985.4175210956937</v>
      </c>
      <c r="AX152" s="3">
        <f>AV152+AW152</f>
        <v>3516.6545635093662</v>
      </c>
      <c r="AY152" s="3">
        <f>AN152*AS152</f>
        <v>1448.6587735623955</v>
      </c>
      <c r="AZ152" s="3">
        <f>AN152*AT152</f>
        <v>1878.3456979241232</v>
      </c>
      <c r="BA152" s="3">
        <f>AY152+AZ152</f>
        <v>3327.0044714865189</v>
      </c>
      <c r="BB152" s="11">
        <f>X153</f>
        <v>42901</v>
      </c>
      <c r="BC152" s="13">
        <f>AVERAGE(Y152:Y154)</f>
        <v>31</v>
      </c>
      <c r="BD152" s="7">
        <f t="shared" ref="BD152" si="285">AVERAGE(Z152:Z154)</f>
        <v>1.19</v>
      </c>
      <c r="BE152" s="3">
        <f t="shared" ref="BE152" si="286">AVERAGE(AA152:AA154)</f>
        <v>81.099999999999994</v>
      </c>
      <c r="BF152" s="3">
        <f t="shared" ref="BF152" si="287">AVERAGE(AB152:AB154)</f>
        <v>32.9</v>
      </c>
      <c r="BG152" s="3">
        <f t="shared" ref="BG152" si="288">AVERAGE(AC152:AC154)</f>
        <v>5.8</v>
      </c>
      <c r="BH152" s="3">
        <f t="shared" ref="BH152" si="289">AVERAGE(AD152:AD154)</f>
        <v>9.5</v>
      </c>
    </row>
    <row r="153" spans="1:60" x14ac:dyDescent="0.3">
      <c r="A153">
        <v>110</v>
      </c>
      <c r="B153" s="1" t="s">
        <v>155</v>
      </c>
      <c r="C153" s="1" t="s">
        <v>30</v>
      </c>
      <c r="D153" s="2">
        <v>42675</v>
      </c>
      <c r="E153" s="3">
        <v>18.2</v>
      </c>
      <c r="F153" s="4">
        <f t="shared" si="257"/>
        <v>3977.8589763779528</v>
      </c>
      <c r="G153" s="7">
        <v>4.5200000000000005</v>
      </c>
      <c r="H153" s="7">
        <v>4.26</v>
      </c>
      <c r="I153" s="5">
        <f t="shared" si="258"/>
        <v>5.7522123893805457</v>
      </c>
      <c r="J153" s="4">
        <f t="shared" si="259"/>
        <v>3749.0440795066538</v>
      </c>
      <c r="K153" s="2">
        <v>42760</v>
      </c>
      <c r="L153" s="7">
        <v>4.26</v>
      </c>
      <c r="M153" s="7">
        <v>1.64</v>
      </c>
      <c r="N153" s="7">
        <v>2.12</v>
      </c>
      <c r="O153" s="6">
        <f t="shared" si="260"/>
        <v>0.38497652582159625</v>
      </c>
      <c r="P153" s="6">
        <f t="shared" si="261"/>
        <v>0.49765258215962449</v>
      </c>
      <c r="Q153" s="6">
        <f t="shared" si="262"/>
        <v>0.11737089201877926</v>
      </c>
      <c r="R153" s="4">
        <f t="shared" si="263"/>
        <v>1531.3823289342354</v>
      </c>
      <c r="S153" s="4">
        <f t="shared" si="264"/>
        <v>1979.5917910613289</v>
      </c>
      <c r="T153" s="4">
        <f t="shared" si="265"/>
        <v>3510.9741199955643</v>
      </c>
      <c r="U153" s="4">
        <f t="shared" si="266"/>
        <v>1443.2939648804959</v>
      </c>
      <c r="V153" s="4">
        <f t="shared" si="267"/>
        <v>1865.7214667967387</v>
      </c>
      <c r="W153" s="4">
        <f t="shared" si="268"/>
        <v>3309.0154316772346</v>
      </c>
      <c r="X153" s="10">
        <v>42901</v>
      </c>
      <c r="Y153" s="12">
        <v>31</v>
      </c>
      <c r="Z153" s="5">
        <v>1.19</v>
      </c>
      <c r="AA153" s="4">
        <v>81.099999999999994</v>
      </c>
      <c r="AB153" s="4">
        <v>32.9</v>
      </c>
      <c r="AC153" s="4">
        <v>5.8</v>
      </c>
      <c r="AD153" s="4">
        <v>9.5</v>
      </c>
      <c r="AI153" s="3"/>
      <c r="AJ153" s="3"/>
      <c r="AK153" s="7"/>
      <c r="AL153" s="7"/>
      <c r="AM153" s="7"/>
      <c r="AN153" s="3"/>
      <c r="AO153" s="3"/>
      <c r="AP153" s="7"/>
      <c r="AQ153" s="7"/>
      <c r="AR153" s="7"/>
      <c r="AS153" s="9"/>
      <c r="AT153" s="9"/>
      <c r="AU153" s="9"/>
      <c r="AV153" s="3"/>
      <c r="AW153" s="3"/>
      <c r="AX153" s="3"/>
      <c r="AY153" s="3"/>
      <c r="AZ153" s="3"/>
      <c r="BA153" s="3"/>
      <c r="BC153" s="13"/>
      <c r="BD153" s="7"/>
      <c r="BE153" s="3"/>
      <c r="BF153" s="3"/>
      <c r="BG153" s="3"/>
      <c r="BH153" s="3"/>
    </row>
    <row r="154" spans="1:60" x14ac:dyDescent="0.3">
      <c r="A154">
        <v>111</v>
      </c>
      <c r="B154" s="1" t="s">
        <v>156</v>
      </c>
      <c r="C154" s="1" t="s">
        <v>30</v>
      </c>
      <c r="D154" s="2">
        <v>42675</v>
      </c>
      <c r="E154" s="3">
        <v>15.8</v>
      </c>
      <c r="F154" s="4">
        <f t="shared" si="257"/>
        <v>3442.1203937007872</v>
      </c>
      <c r="G154" s="7">
        <v>4.4800000000000004</v>
      </c>
      <c r="H154" s="7">
        <v>4.24</v>
      </c>
      <c r="I154" s="5">
        <f t="shared" si="258"/>
        <v>5.3571428571428621</v>
      </c>
      <c r="J154" s="4">
        <f t="shared" si="259"/>
        <v>3257.7210868953875</v>
      </c>
      <c r="K154" s="2">
        <v>42765</v>
      </c>
      <c r="L154" s="7">
        <v>4.24</v>
      </c>
      <c r="M154" s="7">
        <v>1.6</v>
      </c>
      <c r="N154" s="7">
        <v>2.06</v>
      </c>
      <c r="O154" s="6">
        <f t="shared" si="260"/>
        <v>0.37735849056603776</v>
      </c>
      <c r="P154" s="6">
        <f t="shared" si="261"/>
        <v>0.48584905660377359</v>
      </c>
      <c r="Q154" s="6">
        <f t="shared" si="262"/>
        <v>0.13679245283018865</v>
      </c>
      <c r="R154" s="4">
        <f t="shared" si="263"/>
        <v>1298.9133561135047</v>
      </c>
      <c r="S154" s="4">
        <f t="shared" si="264"/>
        <v>1672.3509459961372</v>
      </c>
      <c r="T154" s="4">
        <f t="shared" si="265"/>
        <v>2971.2643021096419</v>
      </c>
      <c r="U154" s="4">
        <f t="shared" si="266"/>
        <v>1229.3287120359953</v>
      </c>
      <c r="V154" s="4">
        <f t="shared" si="267"/>
        <v>1582.7607167463439</v>
      </c>
      <c r="W154" s="4">
        <f t="shared" si="268"/>
        <v>2812.0894287823394</v>
      </c>
      <c r="X154" s="10"/>
      <c r="Y154" s="12"/>
      <c r="Z154" s="5"/>
      <c r="AA154" s="4"/>
      <c r="AB154" s="4"/>
      <c r="AC154" s="4"/>
      <c r="AD154" s="4"/>
      <c r="AI154" s="3"/>
      <c r="AJ154" s="3"/>
      <c r="AK154" s="7"/>
      <c r="AL154" s="7"/>
      <c r="AM154" s="7"/>
      <c r="AN154" s="3"/>
      <c r="AO154" s="3"/>
      <c r="AP154" s="7"/>
      <c r="AQ154" s="7"/>
      <c r="AR154" s="7"/>
      <c r="AS154" s="9"/>
      <c r="AT154" s="9"/>
      <c r="AU154" s="9"/>
      <c r="AV154" s="3"/>
      <c r="AW154" s="3"/>
      <c r="AX154" s="3"/>
      <c r="AY154" s="3"/>
      <c r="AZ154" s="3"/>
      <c r="BA154" s="3"/>
      <c r="BC154" s="13"/>
      <c r="BD154" s="7"/>
      <c r="BE154" s="3"/>
      <c r="BF154" s="3"/>
      <c r="BG154" s="3"/>
      <c r="BH154" s="3"/>
    </row>
    <row r="155" spans="1:60" x14ac:dyDescent="0.3">
      <c r="A155">
        <v>112</v>
      </c>
      <c r="B155" s="1" t="s">
        <v>157</v>
      </c>
      <c r="C155" s="1" t="s">
        <v>30</v>
      </c>
      <c r="D155" s="2">
        <v>42675</v>
      </c>
      <c r="E155" s="3">
        <v>19.46</v>
      </c>
      <c r="F155" s="4">
        <f t="shared" si="257"/>
        <v>4259.1217322834646</v>
      </c>
      <c r="G155" s="7">
        <v>4.9800000000000004</v>
      </c>
      <c r="H155" s="7">
        <v>4.76</v>
      </c>
      <c r="I155" s="5">
        <f t="shared" si="258"/>
        <v>4.417670682730936</v>
      </c>
      <c r="J155" s="4">
        <f t="shared" si="259"/>
        <v>4070.9677601745561</v>
      </c>
      <c r="K155" s="2">
        <v>42758</v>
      </c>
      <c r="L155" s="7">
        <v>4.76</v>
      </c>
      <c r="M155" s="7">
        <v>1.84</v>
      </c>
      <c r="N155" s="7">
        <v>2.48</v>
      </c>
      <c r="O155" s="6">
        <f t="shared" si="260"/>
        <v>0.38655462184873951</v>
      </c>
      <c r="P155" s="6">
        <f t="shared" si="261"/>
        <v>0.52100840336134457</v>
      </c>
      <c r="Q155" s="6">
        <f t="shared" si="262"/>
        <v>9.2436974789915971E-2</v>
      </c>
      <c r="R155" s="4">
        <f t="shared" si="263"/>
        <v>1646.3831906305829</v>
      </c>
      <c r="S155" s="4">
        <f t="shared" si="264"/>
        <v>2219.0382134586121</v>
      </c>
      <c r="T155" s="4">
        <f t="shared" si="265"/>
        <v>3865.4214040891948</v>
      </c>
      <c r="U155" s="4">
        <f t="shared" si="266"/>
        <v>1573.6514030926855</v>
      </c>
      <c r="V155" s="4">
        <f t="shared" si="267"/>
        <v>2121.0084128640547</v>
      </c>
      <c r="W155" s="4">
        <f t="shared" si="268"/>
        <v>3694.6598159567402</v>
      </c>
      <c r="X155" s="10"/>
      <c r="Y155" s="12"/>
      <c r="Z155" s="5"/>
      <c r="AA155" s="4"/>
      <c r="AB155" s="4"/>
      <c r="AC155" s="4"/>
      <c r="AD155" s="4"/>
      <c r="AF155" t="s">
        <v>292</v>
      </c>
      <c r="AG155" t="s">
        <v>30</v>
      </c>
      <c r="AH155" s="8">
        <f>D155</f>
        <v>42675</v>
      </c>
      <c r="AI155" s="3">
        <f>SUM(E155:E157)</f>
        <v>60.8</v>
      </c>
      <c r="AJ155" s="3">
        <f>(AI155-3*$A$33)*$A$34/(3*$A$35)*$A$36</f>
        <v>4439.189422572178</v>
      </c>
      <c r="AK155" s="7">
        <f>SUM(G155:G157)</f>
        <v>13.360000000000001</v>
      </c>
      <c r="AL155" s="7">
        <f>SUM(H155:H157)</f>
        <v>12.7</v>
      </c>
      <c r="AM155" s="7">
        <f>(AK155-AL155)/AK155*100</f>
        <v>4.9401197604790559</v>
      </c>
      <c r="AN155" s="3">
        <f>AJ155*(1-AM155/100)</f>
        <v>4219.8881487025938</v>
      </c>
      <c r="AO155" s="11">
        <f>K155</f>
        <v>42758</v>
      </c>
      <c r="AP155" s="7">
        <f>SUM(L155:L157)</f>
        <v>12.7</v>
      </c>
      <c r="AQ155" s="7">
        <f t="shared" ref="AQ155" si="290">SUM(M155:M157)</f>
        <v>5.0200000000000005</v>
      </c>
      <c r="AR155" s="7">
        <f t="shared" ref="AR155" si="291">SUM(N155:N157)</f>
        <v>6.58</v>
      </c>
      <c r="AS155" s="9">
        <f>AQ155/AP155</f>
        <v>0.39527559055118117</v>
      </c>
      <c r="AT155" s="9">
        <f>AR155/AP155</f>
        <v>0.51811023622047248</v>
      </c>
      <c r="AU155" s="9">
        <f>1-AS155-AT155</f>
        <v>8.6614173228346414E-2</v>
      </c>
      <c r="AV155" s="3">
        <f>AJ155*AS155</f>
        <v>1754.7032205757746</v>
      </c>
      <c r="AW155" s="3">
        <f>AJ155*AT155</f>
        <v>2299.9894803562938</v>
      </c>
      <c r="AX155" s="3">
        <f>AV155+AW155</f>
        <v>4054.6927009320684</v>
      </c>
      <c r="AY155" s="3">
        <f>AN155*AS155</f>
        <v>1668.0187800383483</v>
      </c>
      <c r="AZ155" s="3">
        <f>AN155*AT155</f>
        <v>2186.3672455482733</v>
      </c>
      <c r="BA155" s="3">
        <f>AY155+AZ155</f>
        <v>3854.3860255866216</v>
      </c>
      <c r="BB155" s="11">
        <f>X156</f>
        <v>42901</v>
      </c>
      <c r="BC155" s="13">
        <f>AVERAGE(Y155:Y157)</f>
        <v>42</v>
      </c>
      <c r="BD155" s="7">
        <f t="shared" ref="BD155" si="292">AVERAGE(Z155:Z157)</f>
        <v>1.2</v>
      </c>
      <c r="BE155" s="3">
        <f t="shared" ref="BE155" si="293">AVERAGE(AA155:AA157)</f>
        <v>83.1</v>
      </c>
      <c r="BF155" s="3">
        <f t="shared" ref="BF155" si="294">AVERAGE(AB155:AB157)</f>
        <v>32.9</v>
      </c>
      <c r="BG155" s="3">
        <f t="shared" ref="BG155" si="295">AVERAGE(AC155:AC157)</f>
        <v>5.3</v>
      </c>
      <c r="BH155" s="3">
        <f t="shared" ref="BH155" si="296">AVERAGE(AD155:AD157)</f>
        <v>8.6999999999999993</v>
      </c>
    </row>
    <row r="156" spans="1:60" x14ac:dyDescent="0.3">
      <c r="A156">
        <v>113</v>
      </c>
      <c r="B156" s="1" t="s">
        <v>158</v>
      </c>
      <c r="C156" s="1" t="s">
        <v>30</v>
      </c>
      <c r="D156" s="2">
        <v>42675</v>
      </c>
      <c r="E156" s="3">
        <v>21.34</v>
      </c>
      <c r="F156" s="4">
        <f t="shared" si="257"/>
        <v>4678.7836220472445</v>
      </c>
      <c r="G156" s="7">
        <v>4.24</v>
      </c>
      <c r="H156" s="7">
        <v>4.0599999999999996</v>
      </c>
      <c r="I156" s="5">
        <f t="shared" si="258"/>
        <v>4.2452830188679389</v>
      </c>
      <c r="J156" s="4">
        <f t="shared" si="259"/>
        <v>4480.1560154508988</v>
      </c>
      <c r="K156" s="2">
        <v>42765</v>
      </c>
      <c r="L156" s="7">
        <v>4.0599999999999996</v>
      </c>
      <c r="M156" s="7">
        <v>1.6</v>
      </c>
      <c r="N156" s="7">
        <v>2.06</v>
      </c>
      <c r="O156" s="6">
        <f t="shared" si="260"/>
        <v>0.39408866995073899</v>
      </c>
      <c r="P156" s="6">
        <f t="shared" si="261"/>
        <v>0.5073891625615764</v>
      </c>
      <c r="Q156" s="6">
        <f t="shared" si="262"/>
        <v>9.8522167487684609E-2</v>
      </c>
      <c r="R156" s="4">
        <f t="shared" si="263"/>
        <v>1843.8556145998996</v>
      </c>
      <c r="S156" s="4">
        <f t="shared" si="264"/>
        <v>2373.9641037973706</v>
      </c>
      <c r="T156" s="4">
        <f t="shared" si="265"/>
        <v>4217.8197183972698</v>
      </c>
      <c r="U156" s="4">
        <f t="shared" si="266"/>
        <v>1765.5787253008471</v>
      </c>
      <c r="V156" s="4">
        <f t="shared" si="267"/>
        <v>2273.1826088248404</v>
      </c>
      <c r="W156" s="4">
        <f t="shared" si="268"/>
        <v>4038.7613341256874</v>
      </c>
      <c r="X156" s="10">
        <v>42901</v>
      </c>
      <c r="Y156" s="12">
        <v>42</v>
      </c>
      <c r="Z156" s="5">
        <v>1.2</v>
      </c>
      <c r="AA156" s="4">
        <v>83.1</v>
      </c>
      <c r="AB156" s="4">
        <v>32.9</v>
      </c>
      <c r="AC156" s="4">
        <v>5.3</v>
      </c>
      <c r="AD156" s="4">
        <v>8.6999999999999993</v>
      </c>
      <c r="AI156" s="3"/>
      <c r="AJ156" s="3"/>
      <c r="AK156" s="7"/>
      <c r="AL156" s="7"/>
      <c r="AM156" s="7"/>
      <c r="AN156" s="3"/>
      <c r="AO156" s="3"/>
      <c r="AP156" s="7"/>
      <c r="AQ156" s="7"/>
      <c r="AR156" s="7"/>
      <c r="AS156" s="9"/>
      <c r="AT156" s="9"/>
      <c r="AU156" s="9"/>
      <c r="AV156" s="3"/>
      <c r="AW156" s="3"/>
      <c r="AX156" s="3"/>
      <c r="AY156" s="3"/>
      <c r="AZ156" s="3"/>
      <c r="BA156" s="3"/>
      <c r="BC156" s="13"/>
      <c r="BD156" s="7"/>
      <c r="BE156" s="3"/>
      <c r="BF156" s="3"/>
      <c r="BG156" s="3"/>
      <c r="BH156" s="3"/>
    </row>
    <row r="157" spans="1:60" x14ac:dyDescent="0.3">
      <c r="A157">
        <v>114</v>
      </c>
      <c r="B157" s="1" t="s">
        <v>159</v>
      </c>
      <c r="C157" s="1" t="s">
        <v>30</v>
      </c>
      <c r="D157" s="2">
        <v>42675</v>
      </c>
      <c r="E157" s="3">
        <v>20</v>
      </c>
      <c r="F157" s="4">
        <f t="shared" si="257"/>
        <v>4379.6629133858269</v>
      </c>
      <c r="G157" s="7">
        <v>4.1400000000000006</v>
      </c>
      <c r="H157" s="7">
        <v>3.88</v>
      </c>
      <c r="I157" s="5">
        <f t="shared" si="258"/>
        <v>6.2801932367149913</v>
      </c>
      <c r="J157" s="4">
        <f t="shared" si="259"/>
        <v>4104.6116193084554</v>
      </c>
      <c r="K157" s="2">
        <v>42765</v>
      </c>
      <c r="L157" s="7">
        <v>3.88</v>
      </c>
      <c r="M157" s="7">
        <v>1.58</v>
      </c>
      <c r="N157" s="7">
        <v>2.04</v>
      </c>
      <c r="O157" s="6">
        <f t="shared" si="260"/>
        <v>0.40721649484536088</v>
      </c>
      <c r="P157" s="6">
        <f t="shared" si="261"/>
        <v>0.52577319587628868</v>
      </c>
      <c r="Q157" s="6">
        <f t="shared" si="262"/>
        <v>6.7010309278350388E-2</v>
      </c>
      <c r="R157" s="4">
        <f t="shared" si="263"/>
        <v>1783.4709801931979</v>
      </c>
      <c r="S157" s="4">
        <f t="shared" si="264"/>
        <v>2302.7093668317234</v>
      </c>
      <c r="T157" s="4">
        <f t="shared" si="265"/>
        <v>4086.1803470249215</v>
      </c>
      <c r="U157" s="4">
        <f t="shared" si="266"/>
        <v>1671.4655563163299</v>
      </c>
      <c r="V157" s="4">
        <f t="shared" si="267"/>
        <v>2158.0947689147552</v>
      </c>
      <c r="W157" s="4">
        <f t="shared" si="268"/>
        <v>3829.5603252310848</v>
      </c>
      <c r="X157" s="10"/>
      <c r="Y157" s="12"/>
      <c r="Z157" s="5"/>
      <c r="AA157" s="4"/>
      <c r="AB157" s="4"/>
      <c r="AC157" s="4"/>
      <c r="AD157" s="4"/>
      <c r="AI157" s="3"/>
      <c r="AJ157" s="3"/>
      <c r="AK157" s="7"/>
      <c r="AL157" s="7"/>
      <c r="AM157" s="7"/>
      <c r="AN157" s="3"/>
      <c r="AO157" s="3"/>
      <c r="AP157" s="7"/>
      <c r="AQ157" s="7"/>
      <c r="AR157" s="7"/>
      <c r="AS157" s="9"/>
      <c r="AT157" s="9"/>
      <c r="AU157" s="9"/>
      <c r="AV157" s="3"/>
      <c r="AW157" s="3"/>
      <c r="AX157" s="3"/>
      <c r="AY157" s="3"/>
      <c r="AZ157" s="3"/>
      <c r="BA157" s="3"/>
      <c r="BC157" s="13"/>
      <c r="BD157" s="7"/>
      <c r="BE157" s="3"/>
      <c r="BF157" s="3"/>
      <c r="BG157" s="3"/>
      <c r="BH157" s="3"/>
    </row>
    <row r="158" spans="1:60" x14ac:dyDescent="0.3">
      <c r="A158">
        <v>115</v>
      </c>
      <c r="B158" s="1" t="s">
        <v>160</v>
      </c>
      <c r="C158" s="1" t="s">
        <v>30</v>
      </c>
      <c r="D158" s="2">
        <v>42675</v>
      </c>
      <c r="E158" s="3">
        <v>26.48</v>
      </c>
      <c r="F158" s="4">
        <f t="shared" si="257"/>
        <v>5826.1570866141728</v>
      </c>
      <c r="G158" s="7">
        <v>4.6400000000000006</v>
      </c>
      <c r="H158" s="7">
        <v>4.42</v>
      </c>
      <c r="I158" s="5">
        <f t="shared" si="258"/>
        <v>4.7413793103448407</v>
      </c>
      <c r="J158" s="4">
        <f t="shared" si="259"/>
        <v>5549.9168799212584</v>
      </c>
      <c r="K158" s="2">
        <v>42765</v>
      </c>
      <c r="L158" s="7">
        <v>4.42</v>
      </c>
      <c r="M158" s="7">
        <v>1.78</v>
      </c>
      <c r="N158" s="7">
        <v>2.2000000000000002</v>
      </c>
      <c r="O158" s="6">
        <f t="shared" si="260"/>
        <v>0.40271493212669685</v>
      </c>
      <c r="P158" s="6">
        <f t="shared" si="261"/>
        <v>0.49773755656108604</v>
      </c>
      <c r="Q158" s="6">
        <f t="shared" si="262"/>
        <v>9.9547511312217118E-2</v>
      </c>
      <c r="R158" s="4">
        <f t="shared" si="263"/>
        <v>2346.2804556953006</v>
      </c>
      <c r="S158" s="4">
        <f t="shared" si="264"/>
        <v>2899.8971924323941</v>
      </c>
      <c r="T158" s="4">
        <f t="shared" si="265"/>
        <v>5246.1776481276947</v>
      </c>
      <c r="U158" s="4">
        <f t="shared" si="266"/>
        <v>2235.0343996062988</v>
      </c>
      <c r="V158" s="4">
        <f t="shared" si="267"/>
        <v>2762.4020669291335</v>
      </c>
      <c r="W158" s="4">
        <f t="shared" si="268"/>
        <v>4997.4364665354324</v>
      </c>
      <c r="X158" s="10"/>
      <c r="Y158" s="12"/>
      <c r="Z158" s="5"/>
      <c r="AA158" s="4"/>
      <c r="AB158" s="4"/>
      <c r="AC158" s="4"/>
      <c r="AD158" s="4"/>
      <c r="AF158" t="s">
        <v>293</v>
      </c>
      <c r="AG158" t="s">
        <v>30</v>
      </c>
      <c r="AH158" s="8">
        <f>D158</f>
        <v>42675</v>
      </c>
      <c r="AI158" s="3">
        <f>SUM(E158:E160)</f>
        <v>78.7</v>
      </c>
      <c r="AJ158" s="3">
        <f>(AI158-3*$A$33)*$A$34/(3*$A$35)*$A$36</f>
        <v>5771.095065616797</v>
      </c>
      <c r="AK158" s="7">
        <f>SUM(G158:G160)</f>
        <v>13.76</v>
      </c>
      <c r="AL158" s="7">
        <f>SUM(H158:H160)</f>
        <v>13.079999999999998</v>
      </c>
      <c r="AM158" s="7">
        <f>(AK158-AL158)/AK158*100</f>
        <v>4.9418604651162896</v>
      </c>
      <c r="AN158" s="3">
        <f>AJ158*(1-AM158/100)</f>
        <v>5485.8956001648039</v>
      </c>
      <c r="AO158" s="11">
        <f>K158</f>
        <v>42765</v>
      </c>
      <c r="AP158" s="7">
        <f>SUM(L158:L160)</f>
        <v>13.079999999999998</v>
      </c>
      <c r="AQ158" s="7">
        <f t="shared" ref="AQ158" si="297">SUM(M158:M160)</f>
        <v>5.3</v>
      </c>
      <c r="AR158" s="7">
        <f t="shared" ref="AR158" si="298">SUM(N158:N160)</f>
        <v>6.6400000000000006</v>
      </c>
      <c r="AS158" s="9">
        <f>AQ158/AP158</f>
        <v>0.40519877675840982</v>
      </c>
      <c r="AT158" s="9">
        <f>AR158/AP158</f>
        <v>0.50764525993883802</v>
      </c>
      <c r="AU158" s="9">
        <f>1-AS158-AT158</f>
        <v>8.7155963302752215E-2</v>
      </c>
      <c r="AV158" s="3">
        <f>AJ158*AS158</f>
        <v>2338.440661144421</v>
      </c>
      <c r="AW158" s="3">
        <f>AJ158*AT158</f>
        <v>2929.6690547167846</v>
      </c>
      <c r="AX158" s="3">
        <f>AV158+AW158</f>
        <v>5268.1097158612056</v>
      </c>
      <c r="AY158" s="3">
        <f>AN158*AS158</f>
        <v>2222.8781866111212</v>
      </c>
      <c r="AZ158" s="3">
        <f>AN158*AT158</f>
        <v>2784.8888979429898</v>
      </c>
      <c r="BA158" s="3">
        <f>AY158+AZ158</f>
        <v>5007.7670845541106</v>
      </c>
      <c r="BB158" s="11">
        <f>X159</f>
        <v>42901</v>
      </c>
      <c r="BC158" s="13">
        <f>AVERAGE(Y158:Y160)</f>
        <v>46</v>
      </c>
      <c r="BD158" s="7">
        <f t="shared" ref="BD158" si="299">AVERAGE(Z158:Z160)</f>
        <v>1.18</v>
      </c>
      <c r="BE158" s="3">
        <f t="shared" ref="BE158" si="300">AVERAGE(AA158:AA160)</f>
        <v>83.4</v>
      </c>
      <c r="BF158" s="3">
        <f t="shared" ref="BF158" si="301">AVERAGE(AB158:AB160)</f>
        <v>33.5</v>
      </c>
      <c r="BG158" s="3">
        <f t="shared" ref="BG158" si="302">AVERAGE(AC158:AC160)</f>
        <v>5.9</v>
      </c>
      <c r="BH158" s="3">
        <f t="shared" ref="BH158" si="303">AVERAGE(AD158:AD160)</f>
        <v>8.3000000000000007</v>
      </c>
    </row>
    <row r="159" spans="1:60" x14ac:dyDescent="0.3">
      <c r="A159">
        <v>116</v>
      </c>
      <c r="B159" s="1" t="s">
        <v>161</v>
      </c>
      <c r="C159" s="1" t="s">
        <v>30</v>
      </c>
      <c r="D159" s="2">
        <v>42675</v>
      </c>
      <c r="E159" s="3">
        <v>27.26</v>
      </c>
      <c r="F159" s="4">
        <f t="shared" si="257"/>
        <v>6000.2721259842519</v>
      </c>
      <c r="G159" s="7">
        <v>4.54</v>
      </c>
      <c r="H159" s="7">
        <v>4.3</v>
      </c>
      <c r="I159" s="5">
        <f t="shared" si="258"/>
        <v>5.2863436123348064</v>
      </c>
      <c r="J159" s="4">
        <f t="shared" si="259"/>
        <v>5683.0771237295776</v>
      </c>
      <c r="K159" s="2">
        <v>42760</v>
      </c>
      <c r="L159" s="7">
        <v>4.3</v>
      </c>
      <c r="M159" s="7">
        <v>1.74</v>
      </c>
      <c r="N159" s="7">
        <v>2.2200000000000002</v>
      </c>
      <c r="O159" s="6">
        <f t="shared" si="260"/>
        <v>0.40465116279069768</v>
      </c>
      <c r="P159" s="6">
        <f t="shared" si="261"/>
        <v>0.51627906976744198</v>
      </c>
      <c r="Q159" s="6">
        <f t="shared" si="262"/>
        <v>7.9069767441860339E-2</v>
      </c>
      <c r="R159" s="4">
        <f t="shared" si="263"/>
        <v>2428.0170928401394</v>
      </c>
      <c r="S159" s="4">
        <f t="shared" si="264"/>
        <v>3097.8149115546612</v>
      </c>
      <c r="T159" s="4">
        <f t="shared" si="265"/>
        <v>5525.8320043948006</v>
      </c>
      <c r="U159" s="4">
        <f t="shared" si="266"/>
        <v>2299.6637663463871</v>
      </c>
      <c r="V159" s="4">
        <f t="shared" si="267"/>
        <v>2934.0537708557363</v>
      </c>
      <c r="W159" s="4">
        <f t="shared" si="268"/>
        <v>5233.7175372021229</v>
      </c>
      <c r="X159" s="10">
        <v>42901</v>
      </c>
      <c r="Y159" s="12">
        <v>46</v>
      </c>
      <c r="Z159" s="5">
        <v>1.18</v>
      </c>
      <c r="AA159" s="4">
        <v>83.4</v>
      </c>
      <c r="AB159" s="4">
        <v>33.5</v>
      </c>
      <c r="AC159" s="4">
        <v>5.9</v>
      </c>
      <c r="AD159" s="4">
        <v>8.3000000000000007</v>
      </c>
      <c r="AI159" s="3"/>
      <c r="AJ159" s="3"/>
      <c r="AK159" s="7"/>
      <c r="AL159" s="7"/>
      <c r="AM159" s="7"/>
      <c r="AN159" s="3"/>
      <c r="AO159" s="3"/>
      <c r="AP159" s="7"/>
      <c r="AQ159" s="7"/>
      <c r="AR159" s="7"/>
      <c r="AS159" s="9"/>
      <c r="AT159" s="9"/>
      <c r="AU159" s="9"/>
      <c r="AV159" s="3"/>
      <c r="AW159" s="3"/>
      <c r="AX159" s="3"/>
      <c r="AY159" s="3"/>
      <c r="AZ159" s="3"/>
      <c r="BA159" s="3"/>
      <c r="BC159" s="13"/>
      <c r="BD159" s="7"/>
      <c r="BE159" s="3"/>
      <c r="BF159" s="3"/>
      <c r="BG159" s="3"/>
      <c r="BH159" s="3"/>
    </row>
    <row r="160" spans="1:60" x14ac:dyDescent="0.3">
      <c r="A160">
        <v>117</v>
      </c>
      <c r="B160" s="1" t="s">
        <v>162</v>
      </c>
      <c r="C160" s="1" t="s">
        <v>30</v>
      </c>
      <c r="D160" s="2">
        <v>42675</v>
      </c>
      <c r="E160" s="3">
        <v>24.96</v>
      </c>
      <c r="F160" s="4">
        <f t="shared" si="257"/>
        <v>5486.8559842519689</v>
      </c>
      <c r="G160" s="7">
        <v>4.58</v>
      </c>
      <c r="H160" s="7">
        <v>4.3600000000000003</v>
      </c>
      <c r="I160" s="5">
        <f t="shared" si="258"/>
        <v>4.8034934497816542</v>
      </c>
      <c r="J160" s="4">
        <f t="shared" si="259"/>
        <v>5223.2952164494727</v>
      </c>
      <c r="K160" s="2">
        <v>42758</v>
      </c>
      <c r="L160" s="7">
        <v>4.3600000000000003</v>
      </c>
      <c r="M160" s="7">
        <v>1.78</v>
      </c>
      <c r="N160" s="7">
        <v>2.2200000000000002</v>
      </c>
      <c r="O160" s="6">
        <f t="shared" si="260"/>
        <v>0.40825688073394495</v>
      </c>
      <c r="P160" s="6">
        <f t="shared" si="261"/>
        <v>0.50917431192660556</v>
      </c>
      <c r="Q160" s="6">
        <f t="shared" si="262"/>
        <v>8.256880733944949E-2</v>
      </c>
      <c r="R160" s="4">
        <f t="shared" si="263"/>
        <v>2240.046709167088</v>
      </c>
      <c r="S160" s="4">
        <f t="shared" si="264"/>
        <v>2793.7661204218743</v>
      </c>
      <c r="T160" s="4">
        <f t="shared" si="265"/>
        <v>5033.8128295889619</v>
      </c>
      <c r="U160" s="4">
        <f t="shared" si="266"/>
        <v>2132.4462122201976</v>
      </c>
      <c r="V160" s="4">
        <f t="shared" si="267"/>
        <v>2659.5677478251905</v>
      </c>
      <c r="W160" s="4">
        <f t="shared" si="268"/>
        <v>4792.0139600453876</v>
      </c>
      <c r="X160" s="10"/>
      <c r="Y160" s="12"/>
      <c r="Z160" s="5"/>
      <c r="AA160" s="4"/>
      <c r="AB160" s="4"/>
      <c r="AC160" s="4"/>
      <c r="AD160" s="4"/>
      <c r="AI160" s="3"/>
      <c r="AJ160" s="3"/>
      <c r="AK160" s="7"/>
      <c r="AL160" s="7"/>
      <c r="AM160" s="7"/>
      <c r="AN160" s="3"/>
      <c r="AO160" s="3"/>
      <c r="AP160" s="7"/>
      <c r="AQ160" s="7"/>
      <c r="AR160" s="7"/>
      <c r="AS160" s="9"/>
      <c r="AT160" s="9"/>
      <c r="AU160" s="9"/>
      <c r="AV160" s="3"/>
      <c r="AW160" s="3"/>
      <c r="AX160" s="3"/>
      <c r="AY160" s="3"/>
      <c r="AZ160" s="3"/>
      <c r="BA160" s="3"/>
      <c r="BC160" s="13"/>
      <c r="BD160" s="7"/>
      <c r="BE160" s="3"/>
      <c r="BF160" s="3"/>
      <c r="BG160" s="3"/>
      <c r="BH160" s="3"/>
    </row>
    <row r="161" spans="1:60" x14ac:dyDescent="0.3">
      <c r="A161">
        <v>118</v>
      </c>
      <c r="B161" s="1" t="s">
        <v>163</v>
      </c>
      <c r="C161" s="1" t="s">
        <v>30</v>
      </c>
      <c r="D161" s="2">
        <v>42675</v>
      </c>
      <c r="E161" s="3">
        <v>24.36</v>
      </c>
      <c r="F161" s="4">
        <f t="shared" si="257"/>
        <v>5352.9213385826779</v>
      </c>
      <c r="G161" s="7">
        <v>4.1800000000000006</v>
      </c>
      <c r="H161" s="7">
        <v>3.94</v>
      </c>
      <c r="I161" s="5">
        <f t="shared" si="258"/>
        <v>5.7416267942583881</v>
      </c>
      <c r="J161" s="4">
        <f t="shared" si="259"/>
        <v>5045.57657273104</v>
      </c>
      <c r="K161" s="2">
        <v>42765</v>
      </c>
      <c r="L161" s="7">
        <v>3.94</v>
      </c>
      <c r="M161" s="7">
        <v>1.58</v>
      </c>
      <c r="N161" s="7">
        <v>1.96</v>
      </c>
      <c r="O161" s="6">
        <f t="shared" si="260"/>
        <v>0.40101522842639598</v>
      </c>
      <c r="P161" s="6">
        <f t="shared" si="261"/>
        <v>0.49746192893401014</v>
      </c>
      <c r="Q161" s="6">
        <f t="shared" si="262"/>
        <v>0.10152284263959394</v>
      </c>
      <c r="R161" s="4">
        <f t="shared" si="263"/>
        <v>2146.602973340262</v>
      </c>
      <c r="S161" s="4">
        <f t="shared" si="264"/>
        <v>2662.8745745233628</v>
      </c>
      <c r="T161" s="4">
        <f t="shared" si="265"/>
        <v>4809.4775478636247</v>
      </c>
      <c r="U161" s="4">
        <f t="shared" si="266"/>
        <v>2023.3530418566102</v>
      </c>
      <c r="V161" s="4">
        <f t="shared" si="267"/>
        <v>2509.9822544550352</v>
      </c>
      <c r="W161" s="4">
        <f t="shared" si="268"/>
        <v>4533.3352963116449</v>
      </c>
      <c r="X161" s="10"/>
      <c r="Y161" s="12"/>
      <c r="Z161" s="5"/>
      <c r="AA161" s="4"/>
      <c r="AB161" s="4"/>
      <c r="AC161" s="4"/>
      <c r="AD161" s="4"/>
      <c r="AF161" t="s">
        <v>294</v>
      </c>
      <c r="AG161" t="s">
        <v>30</v>
      </c>
      <c r="AH161" s="8">
        <f>D161</f>
        <v>42675</v>
      </c>
      <c r="AI161" s="3">
        <f>SUM(E161:E163)</f>
        <v>70.040000000000006</v>
      </c>
      <c r="AJ161" s="3">
        <f>(AI161-3*$A$33)*$A$34/(3*$A$35)*$A$36</f>
        <v>5126.7206036745401</v>
      </c>
      <c r="AK161" s="7">
        <f>SUM(G161:G163)</f>
        <v>12.900000000000002</v>
      </c>
      <c r="AL161" s="7">
        <f>SUM(H161:H163)</f>
        <v>12.219999999999999</v>
      </c>
      <c r="AM161" s="7">
        <f>(AK161-AL161)/AK161*100</f>
        <v>5.2713178294573888</v>
      </c>
      <c r="AN161" s="3">
        <f>AJ161*(1-AM161/100)</f>
        <v>4856.474866426579</v>
      </c>
      <c r="AO161" s="11">
        <f>K161</f>
        <v>42765</v>
      </c>
      <c r="AP161" s="7">
        <f>SUM(L161:L163)</f>
        <v>12.219999999999999</v>
      </c>
      <c r="AQ161" s="7">
        <f t="shared" ref="AQ161" si="304">SUM(M161:M163)</f>
        <v>4.8800000000000008</v>
      </c>
      <c r="AR161" s="7">
        <f t="shared" ref="AR161" si="305">SUM(N161:N163)</f>
        <v>6.2</v>
      </c>
      <c r="AS161" s="9">
        <f>AQ161/AP161</f>
        <v>0.39934533551554841</v>
      </c>
      <c r="AT161" s="9">
        <f>AR161/AP161</f>
        <v>0.50736497545008186</v>
      </c>
      <c r="AU161" s="9">
        <f>1-AS161-AT161</f>
        <v>9.3289689034369738E-2</v>
      </c>
      <c r="AV161" s="3">
        <f>AJ161*AS161</f>
        <v>2047.331959568884</v>
      </c>
      <c r="AW161" s="3">
        <f>AJ161*AT161</f>
        <v>2601.1184732227621</v>
      </c>
      <c r="AX161" s="3">
        <f>AV161+AW161</f>
        <v>4648.4504327916457</v>
      </c>
      <c r="AY161" s="3">
        <f>AN161*AS161</f>
        <v>1939.4105849559503</v>
      </c>
      <c r="AZ161" s="3">
        <f>AN161*AT161</f>
        <v>2464.0052513784608</v>
      </c>
      <c r="BA161" s="3">
        <f>AY161+AZ161</f>
        <v>4403.4158363344113</v>
      </c>
      <c r="BB161" s="11">
        <f>X162</f>
        <v>42901</v>
      </c>
      <c r="BC161" s="13">
        <f>AVERAGE(Y161:Y163)</f>
        <v>43</v>
      </c>
      <c r="BD161" s="7">
        <f t="shared" ref="BD161" si="306">AVERAGE(Z161:Z163)</f>
        <v>1.1499999999999999</v>
      </c>
      <c r="BE161" s="3">
        <f t="shared" ref="BE161" si="307">AVERAGE(AA161:AA163)</f>
        <v>81.5</v>
      </c>
      <c r="BF161" s="3">
        <f t="shared" ref="BF161" si="308">AVERAGE(AB161:AB163)</f>
        <v>33.1</v>
      </c>
      <c r="BG161" s="3">
        <f t="shared" ref="BG161" si="309">AVERAGE(AC161:AC163)</f>
        <v>5.6</v>
      </c>
      <c r="BH161" s="3">
        <f t="shared" ref="BH161" si="310">AVERAGE(AD161:AD163)</f>
        <v>9.9</v>
      </c>
    </row>
    <row r="162" spans="1:60" x14ac:dyDescent="0.3">
      <c r="A162">
        <v>119</v>
      </c>
      <c r="B162" s="1" t="s">
        <v>164</v>
      </c>
      <c r="C162" s="1" t="s">
        <v>30</v>
      </c>
      <c r="D162" s="2">
        <v>42675</v>
      </c>
      <c r="E162" s="3">
        <v>21.48</v>
      </c>
      <c r="F162" s="4">
        <f t="shared" si="257"/>
        <v>4710.0350393700792</v>
      </c>
      <c r="G162" s="7">
        <v>4.42</v>
      </c>
      <c r="H162" s="7">
        <v>4.18</v>
      </c>
      <c r="I162" s="5">
        <f t="shared" si="258"/>
        <v>5.4298642533936698</v>
      </c>
      <c r="J162" s="4">
        <f t="shared" si="259"/>
        <v>4454.286530445007</v>
      </c>
      <c r="K162" s="2">
        <v>42760</v>
      </c>
      <c r="L162" s="7">
        <v>4.18</v>
      </c>
      <c r="M162" s="7">
        <v>1.7</v>
      </c>
      <c r="N162" s="7">
        <v>2.12</v>
      </c>
      <c r="O162" s="6">
        <f t="shared" si="260"/>
        <v>0.40669856459330145</v>
      </c>
      <c r="P162" s="6">
        <f t="shared" si="261"/>
        <v>0.50717703349282306</v>
      </c>
      <c r="Q162" s="6">
        <f t="shared" si="262"/>
        <v>8.6124401913875492E-2</v>
      </c>
      <c r="R162" s="4">
        <f t="shared" si="263"/>
        <v>1915.5644896959652</v>
      </c>
      <c r="S162" s="4">
        <f t="shared" si="264"/>
        <v>2388.8215989149689</v>
      </c>
      <c r="T162" s="4">
        <f t="shared" si="265"/>
        <v>4304.3860886109342</v>
      </c>
      <c r="U162" s="4">
        <f t="shared" si="266"/>
        <v>1811.5519382192613</v>
      </c>
      <c r="V162" s="4">
        <f t="shared" si="267"/>
        <v>2259.1118288381381</v>
      </c>
      <c r="W162" s="4">
        <f t="shared" si="268"/>
        <v>4070.6637670573991</v>
      </c>
      <c r="X162" s="10">
        <v>42901</v>
      </c>
      <c r="Y162" s="12">
        <v>43</v>
      </c>
      <c r="Z162" s="5">
        <v>1.1499999999999999</v>
      </c>
      <c r="AA162" s="4">
        <v>81.5</v>
      </c>
      <c r="AB162" s="4">
        <v>33.1</v>
      </c>
      <c r="AC162" s="4">
        <v>5.6</v>
      </c>
      <c r="AD162" s="4">
        <v>9.9</v>
      </c>
      <c r="AI162" s="3"/>
      <c r="AJ162" s="3"/>
      <c r="AK162" s="7"/>
      <c r="AL162" s="7"/>
      <c r="AM162" s="7"/>
      <c r="AN162" s="3"/>
      <c r="AO162" s="3"/>
      <c r="AP162" s="7"/>
      <c r="AQ162" s="7"/>
      <c r="AR162" s="7"/>
      <c r="AS162" s="9"/>
      <c r="AT162" s="9"/>
      <c r="AU162" s="9"/>
      <c r="AV162" s="3"/>
      <c r="AW162" s="3"/>
      <c r="AX162" s="3"/>
      <c r="AY162" s="3"/>
      <c r="AZ162" s="3"/>
      <c r="BA162" s="3"/>
      <c r="BC162" s="13"/>
      <c r="BD162" s="7"/>
      <c r="BE162" s="3"/>
      <c r="BF162" s="3"/>
      <c r="BG162" s="3"/>
      <c r="BH162" s="3"/>
    </row>
    <row r="163" spans="1:60" x14ac:dyDescent="0.3">
      <c r="A163">
        <v>120</v>
      </c>
      <c r="B163" s="1" t="s">
        <v>165</v>
      </c>
      <c r="C163" s="1" t="s">
        <v>30</v>
      </c>
      <c r="D163" s="2">
        <v>42675</v>
      </c>
      <c r="E163" s="3">
        <v>24.2</v>
      </c>
      <c r="F163" s="4">
        <f t="shared" si="257"/>
        <v>5317.2054330708661</v>
      </c>
      <c r="G163" s="7">
        <v>4.3000000000000007</v>
      </c>
      <c r="H163" s="7">
        <v>4.0999999999999996</v>
      </c>
      <c r="I163" s="5">
        <f t="shared" si="258"/>
        <v>4.6511627906976987</v>
      </c>
      <c r="J163" s="4">
        <f t="shared" si="259"/>
        <v>5069.8935524629178</v>
      </c>
      <c r="K163" s="2">
        <v>42765</v>
      </c>
      <c r="L163" s="7">
        <v>4.0999999999999996</v>
      </c>
      <c r="M163" s="7">
        <v>1.6</v>
      </c>
      <c r="N163" s="7">
        <v>2.12</v>
      </c>
      <c r="O163" s="6">
        <f t="shared" si="260"/>
        <v>0.39024390243902446</v>
      </c>
      <c r="P163" s="6">
        <f t="shared" si="261"/>
        <v>0.51707317073170744</v>
      </c>
      <c r="Q163" s="6">
        <f t="shared" si="262"/>
        <v>9.2682926829268042E-2</v>
      </c>
      <c r="R163" s="4">
        <f t="shared" si="263"/>
        <v>2075.0069982715577</v>
      </c>
      <c r="S163" s="4">
        <f t="shared" si="264"/>
        <v>2749.3842727098145</v>
      </c>
      <c r="T163" s="4">
        <f t="shared" si="265"/>
        <v>4824.3912709813721</v>
      </c>
      <c r="U163" s="4">
        <f t="shared" si="266"/>
        <v>1978.495044863578</v>
      </c>
      <c r="V163" s="4">
        <f t="shared" si="267"/>
        <v>2621.5059344442411</v>
      </c>
      <c r="W163" s="4">
        <f t="shared" si="268"/>
        <v>4600.0009793078189</v>
      </c>
      <c r="X163" s="10"/>
      <c r="Y163" s="12"/>
      <c r="Z163" s="5"/>
      <c r="AA163" s="4"/>
      <c r="AB163" s="4"/>
      <c r="AC163" s="4"/>
      <c r="AD163" s="4"/>
      <c r="AI163" s="3"/>
      <c r="AJ163" s="3"/>
      <c r="AK163" s="7"/>
      <c r="AL163" s="7"/>
      <c r="AM163" s="7"/>
      <c r="AN163" s="3"/>
      <c r="AO163" s="3"/>
      <c r="AP163" s="7"/>
      <c r="AQ163" s="7"/>
      <c r="AR163" s="7"/>
      <c r="AS163" s="9"/>
      <c r="AT163" s="9"/>
      <c r="AU163" s="9"/>
      <c r="AV163" s="3"/>
      <c r="AW163" s="3"/>
      <c r="AX163" s="3"/>
      <c r="AY163" s="3"/>
      <c r="AZ163" s="3"/>
      <c r="BA163" s="3"/>
      <c r="BC163" s="13"/>
      <c r="BD163" s="7"/>
      <c r="BE163" s="3"/>
      <c r="BF163" s="3"/>
      <c r="BG163" s="3"/>
      <c r="BH163" s="3"/>
    </row>
    <row r="164" spans="1:60" x14ac:dyDescent="0.3">
      <c r="A164">
        <v>121</v>
      </c>
      <c r="B164" s="1" t="s">
        <v>166</v>
      </c>
      <c r="C164" s="1" t="s">
        <v>30</v>
      </c>
      <c r="D164" s="2">
        <v>42675</v>
      </c>
      <c r="E164" s="3">
        <v>19.32</v>
      </c>
      <c r="F164" s="4">
        <f t="shared" si="257"/>
        <v>4227.8703149606299</v>
      </c>
      <c r="G164" s="7">
        <v>4.8400000000000007</v>
      </c>
      <c r="H164" s="7">
        <v>4.5599999999999996</v>
      </c>
      <c r="I164" s="5">
        <f t="shared" si="258"/>
        <v>5.7851239669421712</v>
      </c>
      <c r="J164" s="4">
        <f t="shared" si="259"/>
        <v>3983.282776078609</v>
      </c>
      <c r="K164" s="2">
        <v>42765</v>
      </c>
      <c r="L164" s="7">
        <v>4.5599999999999996</v>
      </c>
      <c r="M164" s="7">
        <v>1.76</v>
      </c>
      <c r="N164" s="7">
        <v>2.3199999999999998</v>
      </c>
      <c r="O164" s="6">
        <f t="shared" si="260"/>
        <v>0.38596491228070179</v>
      </c>
      <c r="P164" s="6">
        <f t="shared" si="261"/>
        <v>0.50877192982456143</v>
      </c>
      <c r="Q164" s="6">
        <f t="shared" si="262"/>
        <v>0.10526315789473673</v>
      </c>
      <c r="R164" s="4">
        <f t="shared" si="263"/>
        <v>1631.8095952479625</v>
      </c>
      <c r="S164" s="4">
        <f t="shared" si="264"/>
        <v>2151.0217391904962</v>
      </c>
      <c r="T164" s="4">
        <f t="shared" si="265"/>
        <v>3782.8313344384587</v>
      </c>
      <c r="U164" s="4">
        <f t="shared" si="266"/>
        <v>1537.4073872584106</v>
      </c>
      <c r="V164" s="4">
        <f t="shared" si="267"/>
        <v>2026.5824650224504</v>
      </c>
      <c r="W164" s="4">
        <f t="shared" si="268"/>
        <v>3563.9898522808608</v>
      </c>
      <c r="X164" s="10"/>
      <c r="Y164" s="12"/>
      <c r="Z164" s="5"/>
      <c r="AA164" s="4"/>
      <c r="AB164" s="4"/>
      <c r="AC164" s="4"/>
      <c r="AD164" s="4"/>
      <c r="AF164" t="s">
        <v>295</v>
      </c>
      <c r="AG164" t="str">
        <f>C164</f>
        <v>Machine</v>
      </c>
      <c r="AH164" s="8">
        <f>D164</f>
        <v>42675</v>
      </c>
      <c r="AI164" s="3">
        <f>SUM(E164:E166)</f>
        <v>54.72</v>
      </c>
      <c r="AJ164" s="3">
        <f>(AI164-3*$A$33)*$A$34/(3*$A$35)*$A$36</f>
        <v>3986.7879527559053</v>
      </c>
      <c r="AK164" s="7">
        <f>SUM(G164:G166)</f>
        <v>14.200000000000003</v>
      </c>
      <c r="AL164" s="7">
        <f>SUM(H164:H166)</f>
        <v>13.4</v>
      </c>
      <c r="AM164" s="7">
        <f>(AK164-AL164)/AK164*100</f>
        <v>5.6338028169014249</v>
      </c>
      <c r="AN164" s="3">
        <f>AJ164*(1-AM164/100)</f>
        <v>3762.1801807696565</v>
      </c>
      <c r="AO164" s="11">
        <f>K164</f>
        <v>42765</v>
      </c>
      <c r="AP164" s="7">
        <f>SUM(L164:L166)</f>
        <v>13.4</v>
      </c>
      <c r="AQ164" s="7">
        <f t="shared" ref="AQ164" si="311">SUM(M164:M166)</f>
        <v>5.12</v>
      </c>
      <c r="AR164" s="7">
        <f t="shared" ref="AR164" si="312">SUM(N164:N166)</f>
        <v>6.7600000000000007</v>
      </c>
      <c r="AS164" s="9">
        <f>AQ164/AP164</f>
        <v>0.38208955223880597</v>
      </c>
      <c r="AT164" s="9">
        <f>AR164/AP164</f>
        <v>0.5044776119402985</v>
      </c>
      <c r="AU164" s="9">
        <f>1-AS164-AT164</f>
        <v>0.11343283582089558</v>
      </c>
      <c r="AV164" s="3">
        <f>AJ164*AS164</f>
        <v>1523.3100237395697</v>
      </c>
      <c r="AW164" s="3">
        <f>AJ164*AT164</f>
        <v>2011.2452657186507</v>
      </c>
      <c r="AX164" s="3">
        <f>AV164+AW164</f>
        <v>3534.5552894582206</v>
      </c>
      <c r="AY164" s="3">
        <f>AN164*AS164</f>
        <v>1437.4897407119881</v>
      </c>
      <c r="AZ164" s="3">
        <f>AN164*AT164</f>
        <v>1897.9356732837969</v>
      </c>
      <c r="BA164" s="3">
        <f>AY164+AZ164</f>
        <v>3335.4254139957848</v>
      </c>
      <c r="BB164" s="11">
        <f>X165</f>
        <v>42901</v>
      </c>
      <c r="BC164" s="13">
        <f>AVERAGE(Y164:Y166)</f>
        <v>39</v>
      </c>
      <c r="BD164" s="7">
        <f t="shared" ref="BD164" si="313">AVERAGE(Z164:Z166)</f>
        <v>1.1399999999999999</v>
      </c>
      <c r="BE164" s="3">
        <f t="shared" ref="BE164" si="314">AVERAGE(AA164:AA166)</f>
        <v>80.5</v>
      </c>
      <c r="BF164" s="3">
        <f t="shared" ref="BF164" si="315">AVERAGE(AB164:AB166)</f>
        <v>32</v>
      </c>
      <c r="BG164" s="3">
        <f t="shared" ref="BG164" si="316">AVERAGE(AC164:AC166)</f>
        <v>5.0999999999999996</v>
      </c>
      <c r="BH164" s="3">
        <f t="shared" ref="BH164" si="317">AVERAGE(AD164:AD166)</f>
        <v>10.199999999999999</v>
      </c>
    </row>
    <row r="165" spans="1:60" x14ac:dyDescent="0.3">
      <c r="A165">
        <v>122</v>
      </c>
      <c r="B165" s="1" t="s">
        <v>167</v>
      </c>
      <c r="C165" s="1" t="s">
        <v>30</v>
      </c>
      <c r="D165" s="2">
        <v>42675</v>
      </c>
      <c r="E165" s="3">
        <v>18.38</v>
      </c>
      <c r="F165" s="4">
        <f t="shared" si="257"/>
        <v>4018.0393700787404</v>
      </c>
      <c r="G165" s="7">
        <v>4.7200000000000006</v>
      </c>
      <c r="H165" s="7">
        <v>4.4400000000000004</v>
      </c>
      <c r="I165" s="5">
        <f t="shared" si="258"/>
        <v>5.9322033898305131</v>
      </c>
      <c r="J165" s="4">
        <f t="shared" si="259"/>
        <v>3779.6811023622045</v>
      </c>
      <c r="K165" s="2">
        <v>42765</v>
      </c>
      <c r="L165" s="7">
        <v>4.4400000000000004</v>
      </c>
      <c r="M165" s="7">
        <v>1.7</v>
      </c>
      <c r="N165" s="7">
        <v>2.2400000000000002</v>
      </c>
      <c r="O165" s="6">
        <f t="shared" si="260"/>
        <v>0.38288288288288286</v>
      </c>
      <c r="P165" s="6">
        <f t="shared" si="261"/>
        <v>0.50450450450450446</v>
      </c>
      <c r="Q165" s="6">
        <f t="shared" si="262"/>
        <v>0.11261261261261268</v>
      </c>
      <c r="R165" s="4">
        <f t="shared" si="263"/>
        <v>1538.4384975526707</v>
      </c>
      <c r="S165" s="4">
        <f t="shared" si="264"/>
        <v>2027.118961481166</v>
      </c>
      <c r="T165" s="4">
        <f t="shared" si="265"/>
        <v>3565.5574590338365</v>
      </c>
      <c r="U165" s="4">
        <f t="shared" si="266"/>
        <v>1447.1751968503936</v>
      </c>
      <c r="V165" s="4">
        <f t="shared" si="267"/>
        <v>1906.8661417322833</v>
      </c>
      <c r="W165" s="4">
        <f t="shared" si="268"/>
        <v>3354.0413385826769</v>
      </c>
      <c r="X165" s="10">
        <v>42901</v>
      </c>
      <c r="Y165" s="12">
        <v>39</v>
      </c>
      <c r="Z165" s="5">
        <v>1.1399999999999999</v>
      </c>
      <c r="AA165" s="4">
        <v>80.5</v>
      </c>
      <c r="AB165" s="4">
        <v>32</v>
      </c>
      <c r="AC165" s="4">
        <v>5.0999999999999996</v>
      </c>
      <c r="AD165" s="4">
        <v>10.199999999999999</v>
      </c>
      <c r="AI165" s="3"/>
      <c r="AJ165" s="3"/>
      <c r="AK165" s="7"/>
      <c r="AL165" s="7"/>
      <c r="AM165" s="7"/>
      <c r="AN165" s="3"/>
      <c r="AO165" s="3"/>
      <c r="AP165" s="7"/>
      <c r="AQ165" s="7"/>
      <c r="AR165" s="7"/>
      <c r="AS165" s="9"/>
      <c r="AT165" s="9"/>
      <c r="AU165" s="9"/>
      <c r="AV165" s="3"/>
      <c r="AW165" s="3"/>
      <c r="AX165" s="3"/>
      <c r="AY165" s="3"/>
      <c r="AZ165" s="3"/>
      <c r="BA165" s="3"/>
      <c r="BC165" s="13"/>
      <c r="BD165" s="7"/>
      <c r="BE165" s="3"/>
      <c r="BF165" s="3"/>
      <c r="BG165" s="3"/>
      <c r="BH165" s="3"/>
    </row>
    <row r="166" spans="1:60" x14ac:dyDescent="0.3">
      <c r="A166">
        <v>123</v>
      </c>
      <c r="B166" s="1" t="s">
        <v>168</v>
      </c>
      <c r="C166" s="1" t="s">
        <v>30</v>
      </c>
      <c r="D166" s="2">
        <v>42675</v>
      </c>
      <c r="E166" s="3">
        <v>17.02</v>
      </c>
      <c r="F166" s="4">
        <f t="shared" si="257"/>
        <v>3714.4541732283465</v>
      </c>
      <c r="G166" s="7">
        <v>4.6400000000000006</v>
      </c>
      <c r="H166" s="7">
        <v>4.4000000000000004</v>
      </c>
      <c r="I166" s="5">
        <f t="shared" si="258"/>
        <v>5.172413793103452</v>
      </c>
      <c r="J166" s="4">
        <f t="shared" si="259"/>
        <v>3522.327233233777</v>
      </c>
      <c r="K166" s="2">
        <v>42765</v>
      </c>
      <c r="L166" s="7">
        <v>4.4000000000000004</v>
      </c>
      <c r="M166" s="7">
        <v>1.66</v>
      </c>
      <c r="N166" s="7">
        <v>2.2000000000000002</v>
      </c>
      <c r="O166" s="6">
        <f t="shared" si="260"/>
        <v>0.3772727272727272</v>
      </c>
      <c r="P166" s="6">
        <f t="shared" si="261"/>
        <v>0.5</v>
      </c>
      <c r="Q166" s="6">
        <f t="shared" si="262"/>
        <v>0.1227272727272728</v>
      </c>
      <c r="R166" s="4">
        <f t="shared" si="263"/>
        <v>1401.3622562634214</v>
      </c>
      <c r="S166" s="4">
        <f t="shared" si="264"/>
        <v>1857.2270866141732</v>
      </c>
      <c r="T166" s="4">
        <f t="shared" si="265"/>
        <v>3258.5893428775944</v>
      </c>
      <c r="U166" s="4">
        <f t="shared" si="266"/>
        <v>1328.8780016291066</v>
      </c>
      <c r="V166" s="4">
        <f t="shared" si="267"/>
        <v>1761.1636166168885</v>
      </c>
      <c r="W166" s="4">
        <f t="shared" si="268"/>
        <v>3090.0416182459949</v>
      </c>
      <c r="X166" s="10"/>
      <c r="Y166" s="12"/>
      <c r="Z166" s="5"/>
      <c r="AA166" s="4"/>
      <c r="AB166" s="4"/>
      <c r="AC166" s="4"/>
      <c r="AD166" s="4"/>
      <c r="AI166" s="3"/>
      <c r="AJ166" s="3"/>
      <c r="AK166" s="7"/>
      <c r="AL166" s="7"/>
      <c r="AM166" s="7"/>
      <c r="AN166" s="3"/>
      <c r="AO166" s="3"/>
      <c r="AP166" s="7"/>
      <c r="AQ166" s="7"/>
      <c r="AR166" s="7"/>
      <c r="AS166" s="9"/>
      <c r="AT166" s="9"/>
      <c r="AU166" s="9"/>
      <c r="AV166" s="3"/>
      <c r="AW166" s="3"/>
      <c r="AX166" s="3"/>
      <c r="AY166" s="3"/>
      <c r="AZ166" s="3"/>
      <c r="BA166" s="3"/>
      <c r="BC166" s="13"/>
      <c r="BD166" s="7"/>
      <c r="BE166" s="3"/>
      <c r="BF166" s="3"/>
      <c r="BG166" s="3"/>
      <c r="BH166" s="3"/>
    </row>
    <row r="167" spans="1:60" x14ac:dyDescent="0.3">
      <c r="A167">
        <v>124</v>
      </c>
      <c r="B167" s="1" t="s">
        <v>169</v>
      </c>
      <c r="C167" s="1" t="s">
        <v>30</v>
      </c>
      <c r="D167" s="2">
        <v>42675</v>
      </c>
      <c r="E167" s="3">
        <v>19.920000000000002</v>
      </c>
      <c r="F167" s="4">
        <f t="shared" si="257"/>
        <v>4361.8049606299219</v>
      </c>
      <c r="G167" s="7">
        <v>4.9800000000000004</v>
      </c>
      <c r="H167" s="7">
        <v>4.7</v>
      </c>
      <c r="I167" s="5">
        <f t="shared" si="258"/>
        <v>5.6224899598393625</v>
      </c>
      <c r="J167" s="4">
        <f t="shared" si="259"/>
        <v>4116.562914650729</v>
      </c>
      <c r="K167" s="2">
        <v>42765</v>
      </c>
      <c r="L167" s="7">
        <v>4.7</v>
      </c>
      <c r="M167" s="7">
        <v>1.86</v>
      </c>
      <c r="N167" s="7">
        <v>2.44</v>
      </c>
      <c r="O167" s="6">
        <f t="shared" si="260"/>
        <v>0.39574468085106385</v>
      </c>
      <c r="P167" s="6">
        <f t="shared" si="261"/>
        <v>0.51914893617021274</v>
      </c>
      <c r="Q167" s="6">
        <f t="shared" si="262"/>
        <v>8.5106382978723416E-2</v>
      </c>
      <c r="R167" s="4">
        <f t="shared" si="263"/>
        <v>1726.1611120790756</v>
      </c>
      <c r="S167" s="4">
        <f t="shared" si="264"/>
        <v>2264.4264050929805</v>
      </c>
      <c r="T167" s="4">
        <f t="shared" si="265"/>
        <v>3990.5875171720563</v>
      </c>
      <c r="U167" s="4">
        <f t="shared" si="266"/>
        <v>1629.1078768617779</v>
      </c>
      <c r="V167" s="4">
        <f t="shared" si="267"/>
        <v>2137.1092578186763</v>
      </c>
      <c r="W167" s="4">
        <f t="shared" si="268"/>
        <v>3766.2171346804544</v>
      </c>
      <c r="X167" s="10"/>
      <c r="Y167" s="12"/>
      <c r="Z167" s="5"/>
      <c r="AA167" s="4"/>
      <c r="AB167" s="4"/>
      <c r="AC167" s="4"/>
      <c r="AD167" s="4"/>
      <c r="AF167" t="s">
        <v>296</v>
      </c>
      <c r="AG167" t="s">
        <v>30</v>
      </c>
      <c r="AH167" s="8">
        <f>D167</f>
        <v>42675</v>
      </c>
      <c r="AI167" s="3">
        <f>SUM(E167:E169)</f>
        <v>57.84</v>
      </c>
      <c r="AJ167" s="3">
        <f>(AI167-3*$A$33)*$A$34/(3*$A$35)*$A$36</f>
        <v>4218.9413385826765</v>
      </c>
      <c r="AK167" s="7">
        <f>SUM(G167:G169)</f>
        <v>14</v>
      </c>
      <c r="AL167" s="7">
        <f>SUM(H167:H169)</f>
        <v>13.260000000000002</v>
      </c>
      <c r="AM167" s="7">
        <f>(AK167-AL167)/AK167*100</f>
        <v>5.2857142857142749</v>
      </c>
      <c r="AN167" s="3">
        <f>AJ167*(1-AM167/100)</f>
        <v>3995.9401535433071</v>
      </c>
      <c r="AO167" s="11">
        <f>K167</f>
        <v>42765</v>
      </c>
      <c r="AP167" s="7">
        <f>SUM(L167:L169)</f>
        <v>13.260000000000002</v>
      </c>
      <c r="AQ167" s="7">
        <f t="shared" ref="AQ167" si="318">SUM(M167:M169)</f>
        <v>5.32</v>
      </c>
      <c r="AR167" s="7">
        <f t="shared" ref="AR167" si="319">SUM(N167:N169)</f>
        <v>6.86</v>
      </c>
      <c r="AS167" s="9">
        <f>AQ167/AP167</f>
        <v>0.40120663650075411</v>
      </c>
      <c r="AT167" s="9">
        <f>AR167/AP167</f>
        <v>0.51734539969834081</v>
      </c>
      <c r="AU167" s="9">
        <f>1-AS167-AT167</f>
        <v>8.1447963800905132E-2</v>
      </c>
      <c r="AV167" s="3">
        <f>AJ167*AS167</f>
        <v>1692.6672640467448</v>
      </c>
      <c r="AW167" s="3">
        <f>AJ167*AT167</f>
        <v>2182.6498931129076</v>
      </c>
      <c r="AX167" s="3">
        <f>AV167+AW167</f>
        <v>3875.3171571596522</v>
      </c>
      <c r="AY167" s="3">
        <f>AN167*AS167</f>
        <v>1603.1977086614172</v>
      </c>
      <c r="AZ167" s="3">
        <f>AN167*AT167</f>
        <v>2067.2812559055114</v>
      </c>
      <c r="BA167" s="3">
        <f>AY167+AZ167</f>
        <v>3670.4789645669289</v>
      </c>
      <c r="BB167" s="11">
        <f>X168</f>
        <v>42901</v>
      </c>
      <c r="BC167" s="13">
        <f>AVERAGE(Y167:Y169)</f>
        <v>48</v>
      </c>
      <c r="BD167" s="7">
        <f t="shared" ref="BD167" si="320">AVERAGE(Z167:Z169)</f>
        <v>1.1299999999999999</v>
      </c>
      <c r="BE167" s="3">
        <f t="shared" ref="BE167" si="321">AVERAGE(AA167:AA169)</f>
        <v>82.2</v>
      </c>
      <c r="BF167" s="3">
        <f t="shared" ref="BF167" si="322">AVERAGE(AB167:AB169)</f>
        <v>31.3</v>
      </c>
      <c r="BG167" s="3">
        <f t="shared" ref="BG167" si="323">AVERAGE(AC167:AC169)</f>
        <v>4.9000000000000004</v>
      </c>
      <c r="BH167" s="3">
        <f t="shared" ref="BH167" si="324">AVERAGE(AD167:AD169)</f>
        <v>9.1999999999999993</v>
      </c>
    </row>
    <row r="168" spans="1:60" x14ac:dyDescent="0.3">
      <c r="A168">
        <v>125</v>
      </c>
      <c r="B168" s="1" t="s">
        <v>170</v>
      </c>
      <c r="C168" s="1" t="s">
        <v>30</v>
      </c>
      <c r="D168" s="2">
        <v>42675</v>
      </c>
      <c r="E168" s="3">
        <v>20.04</v>
      </c>
      <c r="F168" s="4">
        <f t="shared" si="257"/>
        <v>4388.5918897637794</v>
      </c>
      <c r="G168" s="7">
        <v>4.6800000000000006</v>
      </c>
      <c r="H168" s="7">
        <v>4.4400000000000004</v>
      </c>
      <c r="I168" s="5">
        <f t="shared" si="258"/>
        <v>5.1282051282051322</v>
      </c>
      <c r="J168" s="4">
        <f t="shared" si="259"/>
        <v>4163.5358954169187</v>
      </c>
      <c r="K168" s="2">
        <v>42765</v>
      </c>
      <c r="L168" s="7">
        <v>4.4400000000000004</v>
      </c>
      <c r="M168" s="7">
        <v>1.74</v>
      </c>
      <c r="N168" s="7">
        <v>2.2999999999999998</v>
      </c>
      <c r="O168" s="6">
        <f t="shared" si="260"/>
        <v>0.39189189189189183</v>
      </c>
      <c r="P168" s="6">
        <f t="shared" si="261"/>
        <v>0.51801801801801795</v>
      </c>
      <c r="Q168" s="6">
        <f t="shared" si="262"/>
        <v>9.0090090090090169E-2</v>
      </c>
      <c r="R168" s="4">
        <f t="shared" si="263"/>
        <v>1719.8535784209403</v>
      </c>
      <c r="S168" s="4">
        <f t="shared" si="264"/>
        <v>2273.3696726253811</v>
      </c>
      <c r="T168" s="4">
        <f t="shared" si="265"/>
        <v>3993.2232510463214</v>
      </c>
      <c r="U168" s="4">
        <f t="shared" si="266"/>
        <v>1631.6559590147381</v>
      </c>
      <c r="V168" s="4">
        <f t="shared" si="267"/>
        <v>2156.7866124907459</v>
      </c>
      <c r="W168" s="4">
        <f t="shared" si="268"/>
        <v>3788.442571505484</v>
      </c>
      <c r="X168" s="10">
        <v>42901</v>
      </c>
      <c r="Y168" s="12">
        <v>48</v>
      </c>
      <c r="Z168" s="5">
        <v>1.1299999999999999</v>
      </c>
      <c r="AA168" s="4">
        <v>82.2</v>
      </c>
      <c r="AB168" s="4">
        <v>31.3</v>
      </c>
      <c r="AC168" s="4">
        <v>4.9000000000000004</v>
      </c>
      <c r="AD168" s="4">
        <v>9.1999999999999993</v>
      </c>
      <c r="AI168" s="3"/>
      <c r="AJ168" s="3"/>
      <c r="AK168" s="7"/>
      <c r="AL168" s="7"/>
      <c r="AM168" s="7"/>
      <c r="AN168" s="3"/>
      <c r="AO168" s="3"/>
      <c r="AP168" s="7"/>
      <c r="AQ168" s="7"/>
      <c r="AR168" s="7"/>
      <c r="AS168" s="9"/>
      <c r="AT168" s="9"/>
      <c r="AU168" s="9"/>
      <c r="AV168" s="3"/>
      <c r="AW168" s="3"/>
      <c r="AX168" s="3"/>
      <c r="AY168" s="3"/>
      <c r="AZ168" s="3"/>
      <c r="BA168" s="3"/>
      <c r="BC168" s="13"/>
      <c r="BD168" s="7"/>
      <c r="BE168" s="3"/>
      <c r="BF168" s="3"/>
      <c r="BG168" s="3"/>
      <c r="BH168" s="3"/>
    </row>
    <row r="169" spans="1:60" x14ac:dyDescent="0.3">
      <c r="A169">
        <v>126</v>
      </c>
      <c r="B169" s="1" t="s">
        <v>171</v>
      </c>
      <c r="C169" s="1" t="s">
        <v>30</v>
      </c>
      <c r="D169" s="2">
        <v>42675</v>
      </c>
      <c r="E169" s="3">
        <v>17.88</v>
      </c>
      <c r="F169" s="4">
        <f t="shared" si="257"/>
        <v>3906.4271653543301</v>
      </c>
      <c r="G169" s="7">
        <v>4.3400000000000007</v>
      </c>
      <c r="H169" s="7">
        <v>4.12</v>
      </c>
      <c r="I169" s="5">
        <f t="shared" si="258"/>
        <v>5.0691244239631477</v>
      </c>
      <c r="J169" s="4">
        <f t="shared" si="259"/>
        <v>3708.4055118110227</v>
      </c>
      <c r="K169" s="2">
        <v>42758</v>
      </c>
      <c r="L169" s="7">
        <v>4.12</v>
      </c>
      <c r="M169" s="7">
        <v>1.72</v>
      </c>
      <c r="N169" s="7">
        <v>2.12</v>
      </c>
      <c r="O169" s="6">
        <f t="shared" si="260"/>
        <v>0.41747572815533979</v>
      </c>
      <c r="P169" s="6">
        <f t="shared" si="261"/>
        <v>0.5145631067961165</v>
      </c>
      <c r="Q169" s="6">
        <f t="shared" si="262"/>
        <v>6.7961165048543659E-2</v>
      </c>
      <c r="R169" s="4">
        <f t="shared" si="263"/>
        <v>1630.8385253420988</v>
      </c>
      <c r="S169" s="4">
        <f t="shared" si="264"/>
        <v>2010.1032986774708</v>
      </c>
      <c r="T169" s="4">
        <f t="shared" si="265"/>
        <v>3640.9418240195696</v>
      </c>
      <c r="U169" s="4">
        <f t="shared" si="266"/>
        <v>1548.1692913385823</v>
      </c>
      <c r="V169" s="4">
        <f t="shared" si="267"/>
        <v>1908.2086614173224</v>
      </c>
      <c r="W169" s="4">
        <f t="shared" si="268"/>
        <v>3456.3779527559045</v>
      </c>
      <c r="X169" s="10"/>
      <c r="Y169" s="12"/>
      <c r="Z169" s="5"/>
      <c r="AA169" s="4"/>
      <c r="AB169" s="4"/>
      <c r="AC169" s="4"/>
      <c r="AD169" s="4"/>
      <c r="AI169" s="3"/>
      <c r="AJ169" s="3"/>
      <c r="AK169" s="7"/>
      <c r="AL169" s="7"/>
      <c r="AM169" s="7"/>
      <c r="AN169" s="3"/>
      <c r="AO169" s="3"/>
      <c r="AP169" s="7"/>
      <c r="AQ169" s="7"/>
      <c r="AR169" s="7"/>
      <c r="AS169" s="9"/>
      <c r="AT169" s="9"/>
      <c r="AU169" s="9"/>
      <c r="AV169" s="3"/>
      <c r="AW169" s="3"/>
      <c r="AX169" s="3"/>
      <c r="AY169" s="3"/>
      <c r="AZ169" s="3"/>
      <c r="BA169" s="3"/>
      <c r="BC169" s="13"/>
      <c r="BD169" s="7"/>
      <c r="BE169" s="3"/>
      <c r="BF169" s="3"/>
      <c r="BG169" s="3"/>
      <c r="BH169" s="3"/>
    </row>
    <row r="170" spans="1:60" x14ac:dyDescent="0.3">
      <c r="A170">
        <v>127</v>
      </c>
      <c r="B170" s="1" t="s">
        <v>172</v>
      </c>
      <c r="C170" s="1" t="s">
        <v>30</v>
      </c>
      <c r="D170" s="2">
        <v>42675</v>
      </c>
      <c r="E170" s="3">
        <v>21.86</v>
      </c>
      <c r="F170" s="4">
        <f t="shared" si="257"/>
        <v>4794.8603149606297</v>
      </c>
      <c r="G170" s="7">
        <v>4.5200000000000005</v>
      </c>
      <c r="H170" s="7">
        <v>4.3</v>
      </c>
      <c r="I170" s="5">
        <f t="shared" si="258"/>
        <v>4.8672566371681558</v>
      </c>
      <c r="J170" s="4">
        <f t="shared" si="259"/>
        <v>4561.4821580377666</v>
      </c>
      <c r="K170" s="2">
        <v>42760</v>
      </c>
      <c r="L170" s="7">
        <v>4.3</v>
      </c>
      <c r="M170" s="7">
        <v>1.72</v>
      </c>
      <c r="N170" s="7">
        <v>2.12</v>
      </c>
      <c r="O170" s="6">
        <f t="shared" si="260"/>
        <v>0.4</v>
      </c>
      <c r="P170" s="6">
        <f t="shared" si="261"/>
        <v>0.49302325581395351</v>
      </c>
      <c r="Q170" s="6">
        <f t="shared" si="262"/>
        <v>0.10697674418604647</v>
      </c>
      <c r="R170" s="4">
        <f t="shared" si="263"/>
        <v>1917.944125984252</v>
      </c>
      <c r="S170" s="4">
        <f t="shared" si="264"/>
        <v>2363.9776436550083</v>
      </c>
      <c r="T170" s="4">
        <f t="shared" si="265"/>
        <v>4281.9217696392607</v>
      </c>
      <c r="U170" s="4">
        <f t="shared" si="266"/>
        <v>1824.5928632151067</v>
      </c>
      <c r="V170" s="4">
        <f t="shared" si="267"/>
        <v>2248.9167848930383</v>
      </c>
      <c r="W170" s="4">
        <f t="shared" si="268"/>
        <v>4073.509648108145</v>
      </c>
      <c r="X170" s="10"/>
      <c r="Y170" s="12"/>
      <c r="Z170" s="5"/>
      <c r="AA170" s="4"/>
      <c r="AB170" s="4"/>
      <c r="AC170" s="4"/>
      <c r="AD170" s="4"/>
      <c r="AF170" t="s">
        <v>297</v>
      </c>
      <c r="AG170" t="s">
        <v>30</v>
      </c>
      <c r="AH170" s="8">
        <f>D170</f>
        <v>42675</v>
      </c>
      <c r="AI170" s="3">
        <f>SUM(E170:E172)</f>
        <v>67.199999999999989</v>
      </c>
      <c r="AJ170" s="3">
        <f>(AI170-3*$A$33)*$A$34/(3*$A$35)*$A$36</f>
        <v>4915.401496062992</v>
      </c>
      <c r="AK170" s="7">
        <f>SUM(G170:G172)</f>
        <v>13.06</v>
      </c>
      <c r="AL170" s="7">
        <f>SUM(H170:H172)</f>
        <v>12.399999999999999</v>
      </c>
      <c r="AM170" s="7">
        <f>(AK170-AL170)/AK170*100</f>
        <v>5.0535987748851605</v>
      </c>
      <c r="AN170" s="3">
        <f>AJ170*(1-AM170/100)</f>
        <v>4666.9968262772654</v>
      </c>
      <c r="AO170" s="11">
        <f>K170</f>
        <v>42760</v>
      </c>
      <c r="AP170" s="7">
        <f>SUM(L170:L172)</f>
        <v>12.399999999999999</v>
      </c>
      <c r="AQ170" s="7">
        <f t="shared" ref="AQ170" si="325">SUM(M170:M172)</f>
        <v>4.96</v>
      </c>
      <c r="AR170" s="7">
        <f t="shared" ref="AR170" si="326">SUM(N170:N172)</f>
        <v>6.12</v>
      </c>
      <c r="AS170" s="9">
        <f>AQ170/AP170</f>
        <v>0.4</v>
      </c>
      <c r="AT170" s="9">
        <f>AR170/AP170</f>
        <v>0.49354838709677423</v>
      </c>
      <c r="AU170" s="9">
        <f>1-AS170-AT170</f>
        <v>0.10645161290322575</v>
      </c>
      <c r="AV170" s="3">
        <f>AJ170*AS170</f>
        <v>1966.1605984251969</v>
      </c>
      <c r="AW170" s="3">
        <f>AJ170*AT170</f>
        <v>2425.9884803149607</v>
      </c>
      <c r="AX170" s="3">
        <f>AV170+AW170</f>
        <v>4392.1490787401581</v>
      </c>
      <c r="AY170" s="3">
        <f>AN170*AS170</f>
        <v>1866.7987305109064</v>
      </c>
      <c r="AZ170" s="3">
        <f>AN170*AT170</f>
        <v>2303.3887561949086</v>
      </c>
      <c r="BA170" s="3">
        <f>AY170+AZ170</f>
        <v>4170.187486705815</v>
      </c>
      <c r="BB170" s="11">
        <f>X171</f>
        <v>42901</v>
      </c>
      <c r="BC170" s="13">
        <f>AVERAGE(Y170:Y172)</f>
        <v>44</v>
      </c>
      <c r="BD170" s="7">
        <f t="shared" ref="BD170" si="327">AVERAGE(Z170:Z172)</f>
        <v>1.18</v>
      </c>
      <c r="BE170" s="3">
        <f t="shared" ref="BE170" si="328">AVERAGE(AA170:AA172)</f>
        <v>82.5</v>
      </c>
      <c r="BF170" s="3">
        <f t="shared" ref="BF170" si="329">AVERAGE(AB170:AB172)</f>
        <v>34.5</v>
      </c>
      <c r="BG170" s="3">
        <f t="shared" ref="BG170" si="330">AVERAGE(AC170:AC172)</f>
        <v>5.3</v>
      </c>
      <c r="BH170" s="3">
        <f t="shared" ref="BH170" si="331">AVERAGE(AD170:AD172)</f>
        <v>8.6999999999999993</v>
      </c>
    </row>
    <row r="171" spans="1:60" x14ac:dyDescent="0.3">
      <c r="A171">
        <v>128</v>
      </c>
      <c r="B171" s="1" t="s">
        <v>173</v>
      </c>
      <c r="C171" s="1" t="s">
        <v>30</v>
      </c>
      <c r="D171" s="2">
        <v>42675</v>
      </c>
      <c r="E171" s="3">
        <v>22.74</v>
      </c>
      <c r="F171" s="4">
        <f t="shared" si="257"/>
        <v>4991.29779527559</v>
      </c>
      <c r="G171" s="7">
        <v>4.54</v>
      </c>
      <c r="H171" s="7">
        <v>4.3</v>
      </c>
      <c r="I171" s="5">
        <f t="shared" si="258"/>
        <v>5.2863436123348064</v>
      </c>
      <c r="J171" s="4">
        <f t="shared" si="259"/>
        <v>4727.4406431024308</v>
      </c>
      <c r="K171" s="2">
        <v>42765</v>
      </c>
      <c r="L171" s="7">
        <v>4.3</v>
      </c>
      <c r="M171" s="7">
        <v>1.74</v>
      </c>
      <c r="N171" s="7">
        <v>2.16</v>
      </c>
      <c r="O171" s="6">
        <f t="shared" si="260"/>
        <v>0.40465116279069768</v>
      </c>
      <c r="P171" s="6">
        <f t="shared" si="261"/>
        <v>0.50232558139534889</v>
      </c>
      <c r="Q171" s="6">
        <f t="shared" si="262"/>
        <v>9.3023255813953432E-2</v>
      </c>
      <c r="R171" s="4">
        <f t="shared" si="263"/>
        <v>2019.7344566929132</v>
      </c>
      <c r="S171" s="4">
        <f t="shared" si="264"/>
        <v>2507.2565669291339</v>
      </c>
      <c r="T171" s="4">
        <f t="shared" si="265"/>
        <v>4526.9910236220476</v>
      </c>
      <c r="U171" s="4">
        <f t="shared" si="266"/>
        <v>1912.9643532554023</v>
      </c>
      <c r="V171" s="4">
        <f t="shared" si="267"/>
        <v>2374.7143695584305</v>
      </c>
      <c r="W171" s="4">
        <f t="shared" si="268"/>
        <v>4287.6787228138328</v>
      </c>
      <c r="X171" s="10">
        <v>42901</v>
      </c>
      <c r="Y171" s="12">
        <v>44</v>
      </c>
      <c r="Z171" s="5">
        <v>1.18</v>
      </c>
      <c r="AA171" s="4">
        <v>82.5</v>
      </c>
      <c r="AB171" s="4">
        <v>34.5</v>
      </c>
      <c r="AC171" s="4">
        <v>5.3</v>
      </c>
      <c r="AD171" s="4">
        <v>8.6999999999999993</v>
      </c>
      <c r="AI171" s="3"/>
      <c r="AJ171" s="3"/>
      <c r="AK171" s="7"/>
      <c r="AL171" s="7"/>
      <c r="AM171" s="7"/>
      <c r="AN171" s="3"/>
      <c r="AO171" s="3"/>
      <c r="AP171" s="7"/>
      <c r="AQ171" s="7"/>
      <c r="AR171" s="7"/>
      <c r="AS171" s="9"/>
      <c r="AT171" s="9"/>
      <c r="AU171" s="9"/>
      <c r="AV171" s="3"/>
      <c r="AW171" s="3"/>
      <c r="AX171" s="3"/>
      <c r="AY171" s="3"/>
      <c r="AZ171" s="3"/>
      <c r="BA171" s="3"/>
      <c r="BC171" s="13"/>
      <c r="BD171" s="7"/>
      <c r="BE171" s="3"/>
      <c r="BF171" s="3"/>
      <c r="BG171" s="3"/>
      <c r="BH171" s="3"/>
    </row>
    <row r="172" spans="1:60" x14ac:dyDescent="0.3">
      <c r="A172">
        <v>129</v>
      </c>
      <c r="B172" s="1" t="s">
        <v>174</v>
      </c>
      <c r="C172" s="1" t="s">
        <v>30</v>
      </c>
      <c r="D172" s="2">
        <v>42675</v>
      </c>
      <c r="E172" s="3">
        <v>22.6</v>
      </c>
      <c r="F172" s="4">
        <f t="shared" si="257"/>
        <v>4960.0463779527563</v>
      </c>
      <c r="G172" s="7">
        <v>3.9999999999999996</v>
      </c>
      <c r="H172" s="7">
        <v>3.8</v>
      </c>
      <c r="I172" s="5">
        <f t="shared" si="258"/>
        <v>4.9999999999999938</v>
      </c>
      <c r="J172" s="4">
        <f t="shared" si="259"/>
        <v>4712.0440590551189</v>
      </c>
      <c r="K172" s="2">
        <v>42760</v>
      </c>
      <c r="L172" s="7">
        <v>3.8</v>
      </c>
      <c r="M172" s="7">
        <v>1.5</v>
      </c>
      <c r="N172" s="7">
        <v>1.84</v>
      </c>
      <c r="O172" s="6">
        <f t="shared" si="260"/>
        <v>0.39473684210526316</v>
      </c>
      <c r="P172" s="6">
        <f t="shared" si="261"/>
        <v>0.48421052631578954</v>
      </c>
      <c r="Q172" s="6">
        <f t="shared" si="262"/>
        <v>0.1210526315789473</v>
      </c>
      <c r="R172" s="4">
        <f t="shared" si="263"/>
        <v>1957.9130439287196</v>
      </c>
      <c r="S172" s="4">
        <f t="shared" si="264"/>
        <v>2401.7066672192295</v>
      </c>
      <c r="T172" s="4">
        <f t="shared" si="265"/>
        <v>4359.6197111479487</v>
      </c>
      <c r="U172" s="4">
        <f t="shared" si="266"/>
        <v>1860.0173917322838</v>
      </c>
      <c r="V172" s="4">
        <f t="shared" si="267"/>
        <v>2281.6213338582684</v>
      </c>
      <c r="W172" s="4">
        <f t="shared" si="268"/>
        <v>4141.638725590552</v>
      </c>
      <c r="X172" s="10"/>
      <c r="Y172" s="12"/>
      <c r="Z172" s="5"/>
      <c r="AA172" s="4"/>
      <c r="AB172" s="4"/>
      <c r="AC172" s="4"/>
      <c r="AD172" s="4"/>
      <c r="AI172" s="3"/>
      <c r="AJ172" s="3"/>
      <c r="AK172" s="7"/>
      <c r="AL172" s="7"/>
      <c r="AM172" s="7"/>
      <c r="AN172" s="3"/>
      <c r="AO172" s="3"/>
      <c r="AP172" s="7"/>
      <c r="AQ172" s="7"/>
      <c r="AR172" s="7"/>
      <c r="AS172" s="9"/>
      <c r="AT172" s="9"/>
      <c r="AU172" s="9"/>
      <c r="AV172" s="3"/>
      <c r="AW172" s="3"/>
      <c r="AX172" s="3"/>
      <c r="AY172" s="3"/>
      <c r="AZ172" s="3"/>
      <c r="BA172" s="3"/>
      <c r="BC172" s="13"/>
      <c r="BD172" s="7"/>
      <c r="BE172" s="3"/>
      <c r="BF172" s="3"/>
      <c r="BG172" s="3"/>
      <c r="BH172" s="3"/>
    </row>
    <row r="173" spans="1:60" x14ac:dyDescent="0.3">
      <c r="A173">
        <v>130</v>
      </c>
      <c r="B173" s="1" t="s">
        <v>175</v>
      </c>
      <c r="C173" s="1" t="s">
        <v>30</v>
      </c>
      <c r="D173" s="2">
        <v>42675</v>
      </c>
      <c r="E173" s="3">
        <v>25.92</v>
      </c>
      <c r="F173" s="4">
        <f t="shared" si="257"/>
        <v>5701.1514173228352</v>
      </c>
      <c r="G173" s="7">
        <v>4.8000000000000007</v>
      </c>
      <c r="H173" s="7">
        <v>4.54</v>
      </c>
      <c r="I173" s="5">
        <f t="shared" si="258"/>
        <v>5.4166666666666803</v>
      </c>
      <c r="J173" s="4">
        <f t="shared" si="259"/>
        <v>5392.3390488845143</v>
      </c>
      <c r="K173" s="2">
        <v>42765</v>
      </c>
      <c r="L173" s="7">
        <v>4.54</v>
      </c>
      <c r="M173" s="7">
        <v>1.74</v>
      </c>
      <c r="N173" s="7">
        <v>2.4</v>
      </c>
      <c r="O173" s="6">
        <f t="shared" si="260"/>
        <v>0.38325991189427311</v>
      </c>
      <c r="P173" s="6">
        <f t="shared" si="261"/>
        <v>0.52863436123348018</v>
      </c>
      <c r="Q173" s="6">
        <f t="shared" si="262"/>
        <v>8.8105726872246715E-2</v>
      </c>
      <c r="R173" s="4">
        <f t="shared" si="263"/>
        <v>2185.0227898990602</v>
      </c>
      <c r="S173" s="4">
        <f t="shared" si="264"/>
        <v>3013.824537791807</v>
      </c>
      <c r="T173" s="4">
        <f t="shared" si="265"/>
        <v>5198.8473276908671</v>
      </c>
      <c r="U173" s="4">
        <f t="shared" si="266"/>
        <v>2066.6673887795273</v>
      </c>
      <c r="V173" s="4">
        <f t="shared" si="267"/>
        <v>2850.5757086614171</v>
      </c>
      <c r="W173" s="4">
        <f t="shared" si="268"/>
        <v>4917.2430974409444</v>
      </c>
      <c r="X173" s="10"/>
      <c r="Y173" s="12"/>
      <c r="Z173" s="5"/>
      <c r="AA173" s="4"/>
      <c r="AB173" s="4"/>
      <c r="AC173" s="4"/>
      <c r="AD173" s="4"/>
      <c r="AF173" t="s">
        <v>298</v>
      </c>
      <c r="AG173" t="s">
        <v>30</v>
      </c>
      <c r="AH173" s="8">
        <f>D173</f>
        <v>42675</v>
      </c>
      <c r="AI173" s="3">
        <f>SUM(E173:E175)</f>
        <v>78.819999999999993</v>
      </c>
      <c r="AJ173" s="3">
        <f>(AI173-3*$A$33)*$A$34/(3*$A$35)*$A$36</f>
        <v>5780.0240419947504</v>
      </c>
      <c r="AK173" s="7">
        <f>SUM(G173:G175)</f>
        <v>13.72</v>
      </c>
      <c r="AL173" s="7">
        <f>SUM(H173:H175)</f>
        <v>13.04</v>
      </c>
      <c r="AM173" s="7">
        <f>(AK173-AL173)/AK173*100</f>
        <v>4.9562682215743541</v>
      </c>
      <c r="AN173" s="3">
        <f>AJ173*(1-AM173/100)</f>
        <v>5493.5505472020068</v>
      </c>
      <c r="AO173" s="11">
        <f>K173</f>
        <v>42765</v>
      </c>
      <c r="AP173" s="7">
        <f>SUM(L173:L175)</f>
        <v>13.04</v>
      </c>
      <c r="AQ173" s="7">
        <f t="shared" ref="AQ173" si="332">SUM(M173:M175)</f>
        <v>5.12</v>
      </c>
      <c r="AR173" s="7">
        <f t="shared" ref="AR173" si="333">SUM(N173:N175)</f>
        <v>6.6199999999999992</v>
      </c>
      <c r="AS173" s="9">
        <f>AQ173/AP173</f>
        <v>0.39263803680981596</v>
      </c>
      <c r="AT173" s="9">
        <f>AR173/AP173</f>
        <v>0.50766871165644167</v>
      </c>
      <c r="AU173" s="9">
        <f>1-AS173-AT173</f>
        <v>9.9693251533742422E-2</v>
      </c>
      <c r="AV173" s="3">
        <f>AJ173*AS173</f>
        <v>2269.4572925623561</v>
      </c>
      <c r="AW173" s="3">
        <f>AJ173*AT173</f>
        <v>2934.3373587427336</v>
      </c>
      <c r="AX173" s="3">
        <f>AV173+AW173</f>
        <v>5203.7946513050902</v>
      </c>
      <c r="AY173" s="3">
        <f>AN173*AS173</f>
        <v>2156.9769019688861</v>
      </c>
      <c r="AZ173" s="3">
        <f>AN173*AT173</f>
        <v>2788.9037287175829</v>
      </c>
      <c r="BA173" s="3">
        <f>AY173+AZ173</f>
        <v>4945.880630686469</v>
      </c>
      <c r="BB173" s="11">
        <f>X174</f>
        <v>42901</v>
      </c>
      <c r="BC173" s="13">
        <f>AVERAGE(Y173:Y175)</f>
        <v>45</v>
      </c>
      <c r="BD173" s="7">
        <f t="shared" ref="BD173" si="334">AVERAGE(Z173:Z175)</f>
        <v>1.1200000000000001</v>
      </c>
      <c r="BE173" s="3">
        <f t="shared" ref="BE173" si="335">AVERAGE(AA173:AA175)</f>
        <v>79.900000000000006</v>
      </c>
      <c r="BF173" s="3">
        <f t="shared" ref="BF173" si="336">AVERAGE(AB173:AB175)</f>
        <v>32.200000000000003</v>
      </c>
      <c r="BG173" s="3">
        <f t="shared" ref="BG173" si="337">AVERAGE(AC173:AC175)</f>
        <v>5.2</v>
      </c>
      <c r="BH173" s="3">
        <f t="shared" ref="BH173" si="338">AVERAGE(AD173:AD175)</f>
        <v>10.1</v>
      </c>
    </row>
    <row r="174" spans="1:60" x14ac:dyDescent="0.3">
      <c r="A174">
        <v>131</v>
      </c>
      <c r="B174" s="1" t="s">
        <v>176</v>
      </c>
      <c r="C174" s="1" t="s">
        <v>30</v>
      </c>
      <c r="D174" s="2">
        <v>42675</v>
      </c>
      <c r="E174" s="3">
        <v>24.04</v>
      </c>
      <c r="F174" s="4">
        <f t="shared" si="257"/>
        <v>5281.4895275590543</v>
      </c>
      <c r="G174" s="7">
        <v>4.5</v>
      </c>
      <c r="H174" s="7">
        <v>4.3</v>
      </c>
      <c r="I174" s="5">
        <f t="shared" si="258"/>
        <v>4.4444444444444482</v>
      </c>
      <c r="J174" s="4">
        <f t="shared" si="259"/>
        <v>5046.7566596675406</v>
      </c>
      <c r="K174" s="2">
        <v>42765</v>
      </c>
      <c r="L174" s="7">
        <v>4.3</v>
      </c>
      <c r="M174" s="7">
        <v>1.72</v>
      </c>
      <c r="N174" s="7">
        <v>2.2000000000000002</v>
      </c>
      <c r="O174" s="6">
        <f t="shared" si="260"/>
        <v>0.4</v>
      </c>
      <c r="P174" s="6">
        <f t="shared" si="261"/>
        <v>0.51162790697674421</v>
      </c>
      <c r="Q174" s="6">
        <f t="shared" si="262"/>
        <v>8.8372093023255771E-2</v>
      </c>
      <c r="R174" s="4">
        <f t="shared" si="263"/>
        <v>2112.595811023622</v>
      </c>
      <c r="S174" s="4">
        <f t="shared" si="264"/>
        <v>2702.1574327046324</v>
      </c>
      <c r="T174" s="4">
        <f t="shared" si="265"/>
        <v>4814.7532437282543</v>
      </c>
      <c r="U174" s="4">
        <f t="shared" si="266"/>
        <v>2018.7026638670163</v>
      </c>
      <c r="V174" s="4">
        <f t="shared" si="267"/>
        <v>2582.0615468066489</v>
      </c>
      <c r="W174" s="4">
        <f t="shared" si="268"/>
        <v>4600.7642106736657</v>
      </c>
      <c r="X174" s="10">
        <v>42901</v>
      </c>
      <c r="Y174" s="12">
        <v>45</v>
      </c>
      <c r="Z174" s="5">
        <v>1.1200000000000001</v>
      </c>
      <c r="AA174" s="4">
        <v>79.900000000000006</v>
      </c>
      <c r="AB174" s="4">
        <v>32.200000000000003</v>
      </c>
      <c r="AC174" s="4">
        <v>5.2</v>
      </c>
      <c r="AD174" s="4">
        <v>10.1</v>
      </c>
      <c r="AI174" s="3"/>
      <c r="AJ174" s="3"/>
      <c r="AK174" s="7"/>
      <c r="AL174" s="7"/>
      <c r="AM174" s="7"/>
      <c r="AN174" s="3"/>
      <c r="AO174" s="3"/>
      <c r="AP174" s="7"/>
      <c r="AQ174" s="7"/>
      <c r="AR174" s="7"/>
      <c r="AS174" s="9"/>
      <c r="AT174" s="9"/>
      <c r="AU174" s="9"/>
      <c r="AV174" s="3"/>
      <c r="AW174" s="3"/>
      <c r="AX174" s="3"/>
      <c r="AY174" s="3"/>
      <c r="AZ174" s="3"/>
      <c r="BA174" s="3"/>
      <c r="BC174" s="13"/>
      <c r="BD174" s="7"/>
      <c r="BE174" s="3"/>
      <c r="BF174" s="3"/>
      <c r="BG174" s="3"/>
      <c r="BH174" s="3"/>
    </row>
    <row r="175" spans="1:60" x14ac:dyDescent="0.3">
      <c r="A175">
        <v>132</v>
      </c>
      <c r="B175" s="1" t="s">
        <v>177</v>
      </c>
      <c r="C175" s="1" t="s">
        <v>30</v>
      </c>
      <c r="D175" s="2">
        <v>42675</v>
      </c>
      <c r="E175" s="3">
        <v>28.86</v>
      </c>
      <c r="F175" s="4">
        <f t="shared" si="257"/>
        <v>6357.4311811023617</v>
      </c>
      <c r="G175" s="7">
        <v>4.42</v>
      </c>
      <c r="H175" s="7">
        <v>4.2</v>
      </c>
      <c r="I175" s="5">
        <f t="shared" si="258"/>
        <v>4.9773755656108536</v>
      </c>
      <c r="J175" s="4">
        <f t="shared" si="259"/>
        <v>6040.9979548936471</v>
      </c>
      <c r="K175" s="2">
        <v>42765</v>
      </c>
      <c r="L175" s="7">
        <v>4.2</v>
      </c>
      <c r="M175" s="7">
        <v>1.66</v>
      </c>
      <c r="N175" s="7">
        <v>2.02</v>
      </c>
      <c r="O175" s="6">
        <f t="shared" si="260"/>
        <v>0.39523809523809522</v>
      </c>
      <c r="P175" s="6">
        <f t="shared" si="261"/>
        <v>0.48095238095238091</v>
      </c>
      <c r="Q175" s="6">
        <f t="shared" si="262"/>
        <v>0.12380952380952392</v>
      </c>
      <c r="R175" s="4">
        <f t="shared" si="263"/>
        <v>2512.6989906261715</v>
      </c>
      <c r="S175" s="4">
        <f t="shared" si="264"/>
        <v>3057.6216632920878</v>
      </c>
      <c r="T175" s="4">
        <f t="shared" si="265"/>
        <v>5570.3206539182593</v>
      </c>
      <c r="U175" s="4">
        <f t="shared" si="266"/>
        <v>2387.6325250293939</v>
      </c>
      <c r="V175" s="4">
        <f t="shared" si="267"/>
        <v>2905.4323497345636</v>
      </c>
      <c r="W175" s="4">
        <f t="shared" si="268"/>
        <v>5293.0648747639571</v>
      </c>
      <c r="X175" s="10"/>
      <c r="Y175" s="12"/>
      <c r="Z175" s="5"/>
      <c r="AA175" s="4"/>
      <c r="AB175" s="4"/>
      <c r="AC175" s="4"/>
      <c r="AD175" s="4"/>
      <c r="AI175" s="3"/>
      <c r="AJ175" s="3"/>
      <c r="AK175" s="7"/>
      <c r="AL175" s="7"/>
      <c r="AM175" s="7"/>
      <c r="AN175" s="3"/>
      <c r="AO175" s="3"/>
      <c r="AP175" s="7"/>
      <c r="AQ175" s="7"/>
      <c r="AR175" s="7"/>
      <c r="AS175" s="9"/>
      <c r="AT175" s="9"/>
      <c r="AU175" s="9"/>
      <c r="AV175" s="3"/>
      <c r="AW175" s="3"/>
      <c r="AX175" s="3"/>
      <c r="AY175" s="3"/>
      <c r="AZ175" s="3"/>
      <c r="BA175" s="3"/>
      <c r="BC175" s="13"/>
      <c r="BD175" s="7"/>
      <c r="BE175" s="3"/>
      <c r="BF175" s="3"/>
      <c r="BG175" s="3"/>
      <c r="BH175" s="3"/>
    </row>
    <row r="176" spans="1:60" x14ac:dyDescent="0.3">
      <c r="A176">
        <v>133</v>
      </c>
      <c r="B176" s="1" t="s">
        <v>178</v>
      </c>
      <c r="C176" s="1" t="s">
        <v>30</v>
      </c>
      <c r="D176" s="2">
        <v>42675</v>
      </c>
      <c r="E176" s="3">
        <v>21.82</v>
      </c>
      <c r="F176" s="4">
        <f t="shared" si="257"/>
        <v>4785.9313385826772</v>
      </c>
      <c r="G176" s="7">
        <v>4.3600000000000003</v>
      </c>
      <c r="H176" s="7">
        <v>4.12</v>
      </c>
      <c r="I176" s="5">
        <f t="shared" si="258"/>
        <v>5.5045871559633071</v>
      </c>
      <c r="J176" s="4">
        <f t="shared" si="259"/>
        <v>4522.4855768258321</v>
      </c>
      <c r="K176" s="2">
        <v>42760</v>
      </c>
      <c r="L176" s="7">
        <v>4.12</v>
      </c>
      <c r="M176" s="7">
        <v>1.62</v>
      </c>
      <c r="N176" s="7">
        <v>2.12</v>
      </c>
      <c r="O176" s="6">
        <f t="shared" si="260"/>
        <v>0.39320388349514562</v>
      </c>
      <c r="P176" s="6">
        <f t="shared" si="261"/>
        <v>0.5145631067961165</v>
      </c>
      <c r="Q176" s="6">
        <f t="shared" si="262"/>
        <v>9.2233009708737823E-2</v>
      </c>
      <c r="R176" s="4">
        <f t="shared" si="263"/>
        <v>1881.8467884718293</v>
      </c>
      <c r="S176" s="4">
        <f t="shared" si="264"/>
        <v>2462.6636984939987</v>
      </c>
      <c r="T176" s="4">
        <f t="shared" si="265"/>
        <v>4344.510486965828</v>
      </c>
      <c r="U176" s="4">
        <f t="shared" si="266"/>
        <v>1778.258891858701</v>
      </c>
      <c r="V176" s="4">
        <f t="shared" si="267"/>
        <v>2327.1042288521271</v>
      </c>
      <c r="W176" s="4">
        <f t="shared" si="268"/>
        <v>4105.3631207108283</v>
      </c>
      <c r="X176" s="10"/>
      <c r="Y176" s="12"/>
      <c r="Z176" s="5"/>
      <c r="AA176" s="4"/>
      <c r="AB176" s="4"/>
      <c r="AC176" s="4"/>
      <c r="AD176" s="4"/>
      <c r="AF176" t="s">
        <v>300</v>
      </c>
      <c r="AG176" t="str">
        <f>C176</f>
        <v>Machine</v>
      </c>
      <c r="AH176" s="8">
        <f>D176</f>
        <v>42675</v>
      </c>
      <c r="AI176" s="3">
        <f>SUM(E176:E178)</f>
        <v>65.84</v>
      </c>
      <c r="AJ176" s="3">
        <f>(AI176-3*$A$33)*$A$34/(3*$A$35)*$A$36</f>
        <v>4814.2064304461937</v>
      </c>
      <c r="AK176" s="7">
        <f>SUM(G176:G178)</f>
        <v>12.64</v>
      </c>
      <c r="AL176" s="7">
        <f>SUM(H176:H178)</f>
        <v>11.98</v>
      </c>
      <c r="AM176" s="7">
        <f>(AK176-AL176)/AK176*100</f>
        <v>5.2215189873417733</v>
      </c>
      <c r="AN176" s="3">
        <f>AJ176*(1-AM176/100)</f>
        <v>4562.8317275906165</v>
      </c>
      <c r="AO176" s="11">
        <f>K176</f>
        <v>42760</v>
      </c>
      <c r="AP176" s="7">
        <f>SUM(L176:L178)</f>
        <v>7.92</v>
      </c>
      <c r="AQ176" s="7">
        <f>SUM(M176:M178)</f>
        <v>3.16</v>
      </c>
      <c r="AR176" s="7">
        <f>SUM(N176:N178)</f>
        <v>4.08</v>
      </c>
      <c r="AS176" s="9">
        <f>AQ176/AP176</f>
        <v>0.39898989898989901</v>
      </c>
      <c r="AT176" s="9">
        <f>AR176/AP176</f>
        <v>0.51515151515151514</v>
      </c>
      <c r="AU176" s="9">
        <f>1-AS176-AT176</f>
        <v>8.5858585858585856E-2</v>
      </c>
      <c r="AV176" s="3">
        <f>AJ176*AS176</f>
        <v>1920.8197374002491</v>
      </c>
      <c r="AW176" s="3">
        <f>AJ176*AT176</f>
        <v>2480.045736896524</v>
      </c>
      <c r="AX176" s="3">
        <f>AV176+AW176</f>
        <v>4400.8654742967728</v>
      </c>
      <c r="AY176" s="3">
        <f>AN176*AS176</f>
        <v>1820.5237700992864</v>
      </c>
      <c r="AZ176" s="3">
        <f>AN176*AT176</f>
        <v>2350.5496778497113</v>
      </c>
      <c r="BA176" s="3">
        <f>AY176+AZ176</f>
        <v>4171.0734479489975</v>
      </c>
      <c r="BB176" s="11">
        <f>X177</f>
        <v>42901</v>
      </c>
      <c r="BC176" s="13">
        <f>AVERAGE(Y176:Y178)</f>
        <v>47</v>
      </c>
      <c r="BD176" s="7">
        <f t="shared" ref="BD176" si="339">AVERAGE(Z176:Z178)</f>
        <v>1.1200000000000001</v>
      </c>
      <c r="BE176" s="3">
        <f t="shared" ref="BE176" si="340">AVERAGE(AA176:AA178)</f>
        <v>82.2</v>
      </c>
      <c r="BF176" s="3">
        <f t="shared" ref="BF176" si="341">AVERAGE(AB176:AB178)</f>
        <v>31.3</v>
      </c>
      <c r="BG176" s="3">
        <f t="shared" ref="BG176" si="342">AVERAGE(AC176:AC178)</f>
        <v>5.2</v>
      </c>
      <c r="BH176" s="3">
        <f t="shared" ref="BH176" si="343">AVERAGE(AD176:AD178)</f>
        <v>9.4</v>
      </c>
    </row>
    <row r="177" spans="1:60" x14ac:dyDescent="0.3">
      <c r="A177">
        <v>134</v>
      </c>
      <c r="B177" s="1" t="s">
        <v>179</v>
      </c>
      <c r="C177" s="1" t="s">
        <v>30</v>
      </c>
      <c r="D177" s="2">
        <v>42675</v>
      </c>
      <c r="E177" s="3">
        <v>22.06</v>
      </c>
      <c r="F177" s="4">
        <f t="shared" si="257"/>
        <v>4839.505196850394</v>
      </c>
      <c r="G177" s="7">
        <v>3.98</v>
      </c>
      <c r="H177" s="7">
        <v>3.8</v>
      </c>
      <c r="I177" s="5">
        <f t="shared" si="258"/>
        <v>4.5226130653266372</v>
      </c>
      <c r="J177" s="4">
        <f t="shared" si="259"/>
        <v>4620.6331025204763</v>
      </c>
      <c r="K177" s="2">
        <v>42765</v>
      </c>
      <c r="L177" s="7">
        <v>3.8</v>
      </c>
      <c r="M177" s="7">
        <v>1.54</v>
      </c>
      <c r="N177" s="7">
        <v>1.96</v>
      </c>
      <c r="O177" s="6">
        <f t="shared" si="260"/>
        <v>0.40526315789473688</v>
      </c>
      <c r="P177" s="6">
        <f t="shared" si="261"/>
        <v>0.51578947368421058</v>
      </c>
      <c r="Q177" s="6">
        <f t="shared" si="262"/>
        <v>7.8947368421052544E-2</v>
      </c>
      <c r="R177" s="4">
        <f t="shared" si="263"/>
        <v>1961.273158723581</v>
      </c>
      <c r="S177" s="4">
        <f t="shared" si="264"/>
        <v>2496.1658383754666</v>
      </c>
      <c r="T177" s="4">
        <f t="shared" si="265"/>
        <v>4457.4389970990478</v>
      </c>
      <c r="U177" s="4">
        <f t="shared" si="266"/>
        <v>1872.5723626004037</v>
      </c>
      <c r="V177" s="4">
        <f t="shared" si="267"/>
        <v>2383.2739160368774</v>
      </c>
      <c r="W177" s="4">
        <f t="shared" si="268"/>
        <v>4255.8462786372811</v>
      </c>
      <c r="X177" s="10">
        <v>42901</v>
      </c>
      <c r="Y177" s="12">
        <v>47</v>
      </c>
      <c r="Z177" s="5">
        <v>1.1200000000000001</v>
      </c>
      <c r="AA177" s="4">
        <v>82.2</v>
      </c>
      <c r="AB177" s="4">
        <v>31.3</v>
      </c>
      <c r="AC177" s="4">
        <v>5.2</v>
      </c>
      <c r="AD177" s="4">
        <v>9.4</v>
      </c>
      <c r="AI177" s="3"/>
      <c r="AJ177" s="3"/>
      <c r="AK177" s="7"/>
      <c r="AL177" s="7"/>
      <c r="AM177" s="7"/>
      <c r="AN177" s="3"/>
      <c r="AO177" s="3"/>
      <c r="AP177" s="7"/>
      <c r="AQ177" s="7"/>
      <c r="AR177" s="7"/>
      <c r="AS177" s="9"/>
      <c r="AT177" s="9"/>
      <c r="AU177" s="9"/>
      <c r="AV177" s="3"/>
      <c r="AW177" s="3"/>
      <c r="AX177" s="3"/>
      <c r="AY177" s="3"/>
      <c r="AZ177" s="3"/>
      <c r="BA177" s="3"/>
      <c r="BC177" s="13"/>
      <c r="BD177" s="7"/>
      <c r="BE177" s="3"/>
      <c r="BF177" s="3"/>
      <c r="BG177" s="3"/>
      <c r="BH177" s="3"/>
    </row>
    <row r="178" spans="1:60" x14ac:dyDescent="0.3">
      <c r="A178">
        <v>135</v>
      </c>
      <c r="B178" s="1" t="s">
        <v>180</v>
      </c>
      <c r="C178" s="1" t="s">
        <v>30</v>
      </c>
      <c r="D178" s="2">
        <v>42675</v>
      </c>
      <c r="E178" s="3">
        <v>21.96</v>
      </c>
      <c r="F178" s="4">
        <f t="shared" si="257"/>
        <v>4817.1827559055118</v>
      </c>
      <c r="G178" s="7">
        <v>4.3000000000000007</v>
      </c>
      <c r="H178" s="7">
        <v>4.0599999999999996</v>
      </c>
      <c r="I178" s="5">
        <f t="shared" si="258"/>
        <v>5.5813953488372343</v>
      </c>
      <c r="J178" s="4">
        <f t="shared" si="259"/>
        <v>4548.3167416224123</v>
      </c>
      <c r="K178" s="2">
        <v>42760</v>
      </c>
      <c r="L178" s="7"/>
      <c r="M178" s="7"/>
      <c r="N178" s="7"/>
      <c r="O178" s="6"/>
      <c r="P178" s="6"/>
      <c r="Q178" s="6"/>
      <c r="R178" s="4"/>
      <c r="S178" s="4"/>
      <c r="T178" s="4"/>
      <c r="U178" s="4"/>
      <c r="V178" s="4"/>
      <c r="W178" s="4"/>
      <c r="X178" s="10"/>
      <c r="Y178" s="12"/>
      <c r="Z178" s="5"/>
      <c r="AA178" s="4"/>
      <c r="AB178" s="4"/>
      <c r="AC178" s="4"/>
      <c r="AD178" s="4"/>
      <c r="AI178" s="3"/>
      <c r="AJ178" s="3"/>
      <c r="AK178" s="7"/>
      <c r="AL178" s="7"/>
      <c r="AM178" s="7"/>
      <c r="AN178" s="3"/>
      <c r="AO178" s="3"/>
      <c r="AP178" s="7"/>
      <c r="AQ178" s="7"/>
      <c r="AR178" s="7"/>
      <c r="AS178" s="9"/>
      <c r="AT178" s="9"/>
      <c r="AU178" s="9"/>
      <c r="AV178" s="3"/>
      <c r="AW178" s="3"/>
      <c r="AX178" s="3"/>
      <c r="AY178" s="3"/>
      <c r="AZ178" s="3"/>
      <c r="BA178" s="3"/>
      <c r="BC178" s="13"/>
      <c r="BD178" s="7"/>
      <c r="BE178" s="3"/>
      <c r="BF178" s="3"/>
      <c r="BG178" s="3"/>
      <c r="BH178" s="3"/>
    </row>
    <row r="179" spans="1:60" x14ac:dyDescent="0.3">
      <c r="A179">
        <v>136</v>
      </c>
      <c r="B179" s="1" t="s">
        <v>181</v>
      </c>
      <c r="C179" s="1" t="s">
        <v>30</v>
      </c>
      <c r="D179" s="2">
        <v>42675</v>
      </c>
      <c r="E179" s="3">
        <v>22.66</v>
      </c>
      <c r="F179" s="4">
        <f t="shared" si="257"/>
        <v>4973.439842519685</v>
      </c>
      <c r="G179" s="7">
        <v>4.4400000000000004</v>
      </c>
      <c r="H179" s="7">
        <v>4.22</v>
      </c>
      <c r="I179" s="5">
        <f t="shared" si="258"/>
        <v>4.9549549549549692</v>
      </c>
      <c r="J179" s="4">
        <f t="shared" si="259"/>
        <v>4727.0081386110514</v>
      </c>
      <c r="K179" s="2">
        <v>42765</v>
      </c>
      <c r="L179" s="7">
        <v>4.22</v>
      </c>
      <c r="M179" s="7">
        <v>1.62</v>
      </c>
      <c r="N179" s="7">
        <v>2.2200000000000002</v>
      </c>
      <c r="O179" s="6">
        <f t="shared" si="260"/>
        <v>0.38388625592417064</v>
      </c>
      <c r="P179" s="6">
        <f t="shared" si="261"/>
        <v>0.52606635071090058</v>
      </c>
      <c r="Q179" s="6">
        <f t="shared" si="262"/>
        <v>9.0047393364928729E-2</v>
      </c>
      <c r="R179" s="4">
        <f t="shared" si="263"/>
        <v>1909.2352002089788</v>
      </c>
      <c r="S179" s="4">
        <f t="shared" si="264"/>
        <v>2616.359348434527</v>
      </c>
      <c r="T179" s="4">
        <f t="shared" si="265"/>
        <v>4525.5945486435057</v>
      </c>
      <c r="U179" s="4">
        <f t="shared" si="266"/>
        <v>1814.6334560544797</v>
      </c>
      <c r="V179" s="4">
        <f t="shared" si="267"/>
        <v>2486.7199212598425</v>
      </c>
      <c r="W179" s="4">
        <f t="shared" si="268"/>
        <v>4301.3533773143226</v>
      </c>
      <c r="X179" s="10"/>
      <c r="Y179" s="12"/>
      <c r="Z179" s="5"/>
      <c r="AA179" s="4"/>
      <c r="AB179" s="4"/>
      <c r="AC179" s="4"/>
      <c r="AD179" s="4"/>
      <c r="AF179" t="s">
        <v>301</v>
      </c>
      <c r="AG179" t="s">
        <v>30</v>
      </c>
      <c r="AH179" s="8">
        <f>D179</f>
        <v>42675</v>
      </c>
      <c r="AI179" s="3">
        <f>SUM(E179:E181)</f>
        <v>72.819999999999993</v>
      </c>
      <c r="AJ179" s="3">
        <f>(AI179-3*$A$33)*$A$34/(3*$A$35)*$A$36</f>
        <v>5333.575223097112</v>
      </c>
      <c r="AK179" s="7">
        <f>SUM(G179:G181)</f>
        <v>12.940000000000001</v>
      </c>
      <c r="AL179" s="7">
        <f>SUM(H179:H181)</f>
        <v>12.26</v>
      </c>
      <c r="AM179" s="7">
        <f>(AK179-AL179)/AK179*100</f>
        <v>5.2550231839258217</v>
      </c>
      <c r="AN179" s="3">
        <f>AJ179*(1-AM179/100)</f>
        <v>5053.2946085912354</v>
      </c>
      <c r="AO179" s="11">
        <f>K179</f>
        <v>42765</v>
      </c>
      <c r="AP179" s="7">
        <f>SUM(L179:L181)</f>
        <v>12.26</v>
      </c>
      <c r="AQ179" s="7">
        <f t="shared" ref="AQ179" si="344">SUM(M179:M181)</f>
        <v>4.84</v>
      </c>
      <c r="AR179" s="7">
        <f t="shared" ref="AR179" si="345">SUM(N179:N181)</f>
        <v>6.3400000000000007</v>
      </c>
      <c r="AS179" s="9">
        <f>AQ179/AP179</f>
        <v>0.39477977161500816</v>
      </c>
      <c r="AT179" s="9">
        <f>AR179/AP179</f>
        <v>0.51712887438825461</v>
      </c>
      <c r="AU179" s="9">
        <f>1-AS179-AT179</f>
        <v>8.8091353996737287E-2</v>
      </c>
      <c r="AV179" s="3">
        <f>AJ179*AS179</f>
        <v>2105.5876084657439</v>
      </c>
      <c r="AW179" s="3">
        <f>AJ179*AT179</f>
        <v>2758.1457515852935</v>
      </c>
      <c r="AX179" s="3">
        <f>AV179+AW179</f>
        <v>4863.7333600510374</v>
      </c>
      <c r="AY179" s="3">
        <f>AN179*AS179</f>
        <v>1994.938491483</v>
      </c>
      <c r="AZ179" s="3">
        <f>AN179*AT179</f>
        <v>2613.2045528930212</v>
      </c>
      <c r="BA179" s="3">
        <f>AY179+AZ179</f>
        <v>4608.143044376021</v>
      </c>
      <c r="BB179" s="11">
        <f>X180</f>
        <v>42901</v>
      </c>
      <c r="BC179" s="13">
        <f>AVERAGE(Y179:Y181)</f>
        <v>42</v>
      </c>
      <c r="BD179" s="7">
        <f t="shared" ref="BD179" si="346">AVERAGE(Z179:Z181)</f>
        <v>1.18</v>
      </c>
      <c r="BE179" s="3">
        <f t="shared" ref="BE179" si="347">AVERAGE(AA179:AA181)</f>
        <v>81.8</v>
      </c>
      <c r="BF179" s="3">
        <f t="shared" ref="BF179" si="348">AVERAGE(AB179:AB181)</f>
        <v>33.700000000000003</v>
      </c>
      <c r="BG179" s="3">
        <f t="shared" ref="BG179" si="349">AVERAGE(AC179:AC181)</f>
        <v>5.7</v>
      </c>
      <c r="BH179" s="3">
        <f t="shared" ref="BH179" si="350">AVERAGE(AD179:AD181)</f>
        <v>8.9</v>
      </c>
    </row>
    <row r="180" spans="1:60" x14ac:dyDescent="0.3">
      <c r="A180">
        <v>137</v>
      </c>
      <c r="B180" s="1" t="s">
        <v>182</v>
      </c>
      <c r="C180" s="1" t="s">
        <v>30</v>
      </c>
      <c r="D180" s="2">
        <v>42675</v>
      </c>
      <c r="E180" s="3">
        <v>24.8</v>
      </c>
      <c r="F180" s="4">
        <f t="shared" si="257"/>
        <v>5451.1400787401572</v>
      </c>
      <c r="G180" s="7">
        <v>4.2600000000000007</v>
      </c>
      <c r="H180" s="7">
        <v>4.04</v>
      </c>
      <c r="I180" s="5">
        <f t="shared" si="258"/>
        <v>5.1643192488263052</v>
      </c>
      <c r="J180" s="4">
        <f t="shared" si="259"/>
        <v>5169.6258023732935</v>
      </c>
      <c r="K180" s="2">
        <v>42765</v>
      </c>
      <c r="L180" s="7">
        <v>4.04</v>
      </c>
      <c r="M180" s="7">
        <v>1.58</v>
      </c>
      <c r="N180" s="7">
        <v>2.08</v>
      </c>
      <c r="O180" s="6">
        <f t="shared" si="260"/>
        <v>0.3910891089108911</v>
      </c>
      <c r="P180" s="6">
        <f t="shared" si="261"/>
        <v>0.51485148514851486</v>
      </c>
      <c r="Q180" s="6">
        <f t="shared" si="262"/>
        <v>9.4059405940594032E-2</v>
      </c>
      <c r="R180" s="4">
        <f t="shared" si="263"/>
        <v>2131.8815159429328</v>
      </c>
      <c r="S180" s="4">
        <f t="shared" si="264"/>
        <v>2806.5275652919622</v>
      </c>
      <c r="T180" s="4">
        <f t="shared" si="265"/>
        <v>4938.409081234895</v>
      </c>
      <c r="U180" s="4">
        <f t="shared" si="266"/>
        <v>2021.7843484529217</v>
      </c>
      <c r="V180" s="4">
        <f t="shared" si="267"/>
        <v>2661.5895220139728</v>
      </c>
      <c r="W180" s="4">
        <f t="shared" si="268"/>
        <v>4683.373870466894</v>
      </c>
      <c r="X180" s="10">
        <v>42901</v>
      </c>
      <c r="Y180" s="12">
        <v>42</v>
      </c>
      <c r="Z180" s="5">
        <v>1.18</v>
      </c>
      <c r="AA180" s="4">
        <v>81.8</v>
      </c>
      <c r="AB180" s="4">
        <v>33.700000000000003</v>
      </c>
      <c r="AC180" s="4">
        <v>5.7</v>
      </c>
      <c r="AD180" s="4">
        <v>8.9</v>
      </c>
      <c r="AI180" s="3"/>
      <c r="AJ180" s="3"/>
      <c r="AK180" s="7"/>
      <c r="AL180" s="7"/>
      <c r="AM180" s="7"/>
      <c r="AN180" s="3"/>
      <c r="AO180" s="3"/>
      <c r="AP180" s="7"/>
      <c r="AQ180" s="7"/>
      <c r="AR180" s="7"/>
      <c r="AS180" s="9"/>
      <c r="AT180" s="9"/>
      <c r="AU180" s="9"/>
      <c r="AV180" s="3"/>
      <c r="AW180" s="3"/>
      <c r="AX180" s="3"/>
      <c r="AY180" s="3"/>
      <c r="AZ180" s="3"/>
      <c r="BA180" s="3"/>
      <c r="BC180" s="13"/>
      <c r="BD180" s="7"/>
      <c r="BE180" s="3"/>
      <c r="BF180" s="3"/>
      <c r="BG180" s="3"/>
      <c r="BH180" s="3"/>
    </row>
    <row r="181" spans="1:60" x14ac:dyDescent="0.3">
      <c r="A181">
        <v>138</v>
      </c>
      <c r="B181" s="1" t="s">
        <v>183</v>
      </c>
      <c r="C181" s="1" t="s">
        <v>30</v>
      </c>
      <c r="D181" s="2">
        <v>42675</v>
      </c>
      <c r="E181" s="3">
        <v>25.36</v>
      </c>
      <c r="F181" s="4">
        <f t="shared" si="257"/>
        <v>5576.1457480314957</v>
      </c>
      <c r="G181" s="7">
        <v>4.24</v>
      </c>
      <c r="H181" s="7">
        <v>4</v>
      </c>
      <c r="I181" s="5">
        <f t="shared" si="258"/>
        <v>5.660377358490571</v>
      </c>
      <c r="J181" s="4">
        <f t="shared" si="259"/>
        <v>5260.5148566334856</v>
      </c>
      <c r="K181" s="2">
        <v>42760</v>
      </c>
      <c r="L181" s="7">
        <v>4</v>
      </c>
      <c r="M181" s="7">
        <v>1.64</v>
      </c>
      <c r="N181" s="7">
        <v>2.04</v>
      </c>
      <c r="O181" s="6">
        <f t="shared" si="260"/>
        <v>0.41</v>
      </c>
      <c r="P181" s="6">
        <f t="shared" si="261"/>
        <v>0.51</v>
      </c>
      <c r="Q181" s="6">
        <f t="shared" si="262"/>
        <v>8.0000000000000071E-2</v>
      </c>
      <c r="R181" s="4">
        <f t="shared" si="263"/>
        <v>2286.2197566929131</v>
      </c>
      <c r="S181" s="4">
        <f t="shared" si="264"/>
        <v>2843.834331496063</v>
      </c>
      <c r="T181" s="4">
        <f t="shared" si="265"/>
        <v>5130.0540881889756</v>
      </c>
      <c r="U181" s="4">
        <f t="shared" si="266"/>
        <v>2156.811091219729</v>
      </c>
      <c r="V181" s="4">
        <f t="shared" si="267"/>
        <v>2682.8625768830775</v>
      </c>
      <c r="W181" s="4">
        <f t="shared" si="268"/>
        <v>4839.6736681028069</v>
      </c>
      <c r="X181" s="10"/>
      <c r="Y181" s="12"/>
      <c r="Z181" s="5"/>
      <c r="AA181" s="4"/>
      <c r="AB181" s="4"/>
      <c r="AC181" s="4"/>
      <c r="AD181" s="4"/>
      <c r="AI181" s="3"/>
      <c r="AJ181" s="3"/>
      <c r="AK181" s="7"/>
      <c r="AL181" s="7"/>
      <c r="AM181" s="7"/>
      <c r="AN181" s="3"/>
      <c r="AO181" s="3"/>
      <c r="AP181" s="7"/>
      <c r="AQ181" s="7"/>
      <c r="AR181" s="7"/>
      <c r="AS181" s="9"/>
      <c r="AT181" s="9"/>
      <c r="AU181" s="9"/>
      <c r="AV181" s="3"/>
      <c r="AW181" s="3"/>
      <c r="AX181" s="3"/>
      <c r="AY181" s="3"/>
      <c r="AZ181" s="3"/>
      <c r="BA181" s="3"/>
      <c r="BC181" s="13"/>
      <c r="BD181" s="7"/>
      <c r="BE181" s="3"/>
      <c r="BF181" s="3"/>
      <c r="BG181" s="3"/>
      <c r="BH181" s="3"/>
    </row>
    <row r="182" spans="1:60" x14ac:dyDescent="0.3">
      <c r="A182">
        <v>139</v>
      </c>
      <c r="B182" s="1" t="s">
        <v>184</v>
      </c>
      <c r="C182" s="1" t="s">
        <v>30</v>
      </c>
      <c r="D182" s="2">
        <v>42675</v>
      </c>
      <c r="E182" s="3">
        <v>24.36</v>
      </c>
      <c r="F182" s="4">
        <f t="shared" si="257"/>
        <v>5352.9213385826779</v>
      </c>
      <c r="G182" s="7">
        <v>4.3600000000000003</v>
      </c>
      <c r="H182" s="7">
        <v>4.0999999999999996</v>
      </c>
      <c r="I182" s="5">
        <f t="shared" si="258"/>
        <v>5.9633027522935933</v>
      </c>
      <c r="J182" s="4">
        <f t="shared" si="259"/>
        <v>5033.7104330708662</v>
      </c>
      <c r="K182" s="2">
        <v>42765</v>
      </c>
      <c r="L182" s="7">
        <v>4.0999999999999996</v>
      </c>
      <c r="M182" s="7">
        <v>1.66</v>
      </c>
      <c r="N182" s="7">
        <v>2.1</v>
      </c>
      <c r="O182" s="6">
        <f t="shared" si="260"/>
        <v>0.40487804878048783</v>
      </c>
      <c r="P182" s="6">
        <f t="shared" si="261"/>
        <v>0.51219512195121952</v>
      </c>
      <c r="Q182" s="6">
        <f t="shared" si="262"/>
        <v>8.2926829268292646E-2</v>
      </c>
      <c r="R182" s="4">
        <f t="shared" si="263"/>
        <v>2167.2803468407915</v>
      </c>
      <c r="S182" s="4">
        <f t="shared" si="264"/>
        <v>2741.74019781064</v>
      </c>
      <c r="T182" s="4">
        <f t="shared" si="265"/>
        <v>4909.0205446514319</v>
      </c>
      <c r="U182" s="4">
        <f t="shared" si="266"/>
        <v>2038.0388582677167</v>
      </c>
      <c r="V182" s="4">
        <f t="shared" si="267"/>
        <v>2578.2419291338583</v>
      </c>
      <c r="W182" s="4">
        <f t="shared" si="268"/>
        <v>4616.2807874015753</v>
      </c>
      <c r="X182" s="10"/>
      <c r="Y182" s="12"/>
      <c r="Z182" s="5"/>
      <c r="AA182" s="4"/>
      <c r="AB182" s="4"/>
      <c r="AC182" s="4"/>
      <c r="AD182" s="4"/>
      <c r="AF182" t="s">
        <v>302</v>
      </c>
      <c r="AG182" t="s">
        <v>30</v>
      </c>
      <c r="AH182" s="8">
        <f>D182</f>
        <v>42675</v>
      </c>
      <c r="AI182" s="3">
        <f>SUM(E182:E184)</f>
        <v>70.39</v>
      </c>
      <c r="AJ182" s="3">
        <f>(AI182-3*$A$33)*$A$34/(3*$A$35)*$A$36</f>
        <v>5152.7634514435695</v>
      </c>
      <c r="AK182" s="7">
        <f>SUM(G182:G184)</f>
        <v>12.8</v>
      </c>
      <c r="AL182" s="7">
        <f>SUM(H182:H184)</f>
        <v>12.08</v>
      </c>
      <c r="AM182" s="7">
        <f>(AK182-AL182)/AK182*100</f>
        <v>5.6250000000000053</v>
      </c>
      <c r="AN182" s="3">
        <f>AJ182*(1-AM182/100)</f>
        <v>4862.9205072998684</v>
      </c>
      <c r="AO182" s="11">
        <f>K182</f>
        <v>42765</v>
      </c>
      <c r="AP182" s="7">
        <f>SUM(L182:L184)</f>
        <v>12.08</v>
      </c>
      <c r="AQ182" s="7">
        <f t="shared" ref="AQ182" si="351">SUM(M182:M184)</f>
        <v>4.8000000000000007</v>
      </c>
      <c r="AR182" s="7">
        <f t="shared" ref="AR182" si="352">SUM(N182:N184)</f>
        <v>6.02</v>
      </c>
      <c r="AS182" s="9">
        <f>AQ182/AP182</f>
        <v>0.39735099337748347</v>
      </c>
      <c r="AT182" s="9">
        <f>AR182/AP182</f>
        <v>0.49834437086092709</v>
      </c>
      <c r="AU182" s="9">
        <f>1-AS182-AT182</f>
        <v>0.10430463576158944</v>
      </c>
      <c r="AV182" s="3">
        <f>AJ182*AS182</f>
        <v>2047.4556760702926</v>
      </c>
      <c r="AW182" s="3">
        <f>AJ182*AT182</f>
        <v>2567.8506604048248</v>
      </c>
      <c r="AX182" s="3">
        <f>AV182+AW182</f>
        <v>4615.3063364751179</v>
      </c>
      <c r="AY182" s="3">
        <f>AN182*AS182</f>
        <v>1932.2862942913387</v>
      </c>
      <c r="AZ182" s="3">
        <f>AN182*AT182</f>
        <v>2423.4090607570533</v>
      </c>
      <c r="BA182" s="3">
        <f>AY182+AZ182</f>
        <v>4355.6953550483922</v>
      </c>
      <c r="BB182" s="11">
        <f>X183</f>
        <v>42901</v>
      </c>
      <c r="BC182" s="13">
        <f>AVERAGE(Y182:Y184)</f>
        <v>41</v>
      </c>
      <c r="BD182" s="7">
        <f t="shared" ref="BD182" si="353">AVERAGE(Z182:Z184)</f>
        <v>1.19</v>
      </c>
      <c r="BE182" s="3">
        <f t="shared" ref="BE182" si="354">AVERAGE(AA182:AA184)</f>
        <v>82</v>
      </c>
      <c r="BF182" s="3">
        <f t="shared" ref="BF182" si="355">AVERAGE(AB182:AB184)</f>
        <v>32.299999999999997</v>
      </c>
      <c r="BG182" s="3">
        <f t="shared" ref="BG182" si="356">AVERAGE(AC182:AC184)</f>
        <v>5.6</v>
      </c>
      <c r="BH182" s="3">
        <f t="shared" ref="BH182" si="357">AVERAGE(AD182:AD184)</f>
        <v>8.8000000000000007</v>
      </c>
    </row>
    <row r="183" spans="1:60" x14ac:dyDescent="0.3">
      <c r="A183">
        <v>140</v>
      </c>
      <c r="B183" s="1" t="s">
        <v>185</v>
      </c>
      <c r="C183" s="1" t="s">
        <v>30</v>
      </c>
      <c r="D183" s="2">
        <v>42675</v>
      </c>
      <c r="E183" s="3">
        <v>23.98</v>
      </c>
      <c r="F183" s="4">
        <f t="shared" si="257"/>
        <v>5268.0960629921256</v>
      </c>
      <c r="G183" s="7">
        <v>4.12</v>
      </c>
      <c r="H183" s="7">
        <v>3.9</v>
      </c>
      <c r="I183" s="5">
        <f t="shared" si="258"/>
        <v>5.3398058252427232</v>
      </c>
      <c r="J183" s="4">
        <f t="shared" si="259"/>
        <v>4986.7899625410892</v>
      </c>
      <c r="K183" s="2">
        <v>42765</v>
      </c>
      <c r="L183" s="7">
        <v>3.9</v>
      </c>
      <c r="M183" s="7">
        <v>1.54</v>
      </c>
      <c r="N183" s="7">
        <v>1.94</v>
      </c>
      <c r="O183" s="6">
        <f t="shared" si="260"/>
        <v>0.39487179487179491</v>
      </c>
      <c r="P183" s="6">
        <f t="shared" si="261"/>
        <v>0.49743589743589745</v>
      </c>
      <c r="Q183" s="6">
        <f t="shared" si="262"/>
        <v>0.10769230769230764</v>
      </c>
      <c r="R183" s="4">
        <f t="shared" si="263"/>
        <v>2080.222547950737</v>
      </c>
      <c r="S183" s="4">
        <f t="shared" si="264"/>
        <v>2620.540092873006</v>
      </c>
      <c r="T183" s="4">
        <f t="shared" si="265"/>
        <v>4700.7626408237429</v>
      </c>
      <c r="U183" s="4">
        <f t="shared" si="266"/>
        <v>1969.1427031572507</v>
      </c>
      <c r="V183" s="4">
        <f t="shared" si="267"/>
        <v>2480.6083403409521</v>
      </c>
      <c r="W183" s="4">
        <f t="shared" si="268"/>
        <v>4449.7510434982032</v>
      </c>
      <c r="X183" s="10">
        <v>42901</v>
      </c>
      <c r="Y183" s="12">
        <v>41</v>
      </c>
      <c r="Z183" s="5">
        <v>1.19</v>
      </c>
      <c r="AA183" s="4">
        <v>82</v>
      </c>
      <c r="AB183" s="4">
        <v>32.299999999999997</v>
      </c>
      <c r="AC183" s="4">
        <v>5.6</v>
      </c>
      <c r="AD183" s="4">
        <v>8.8000000000000007</v>
      </c>
      <c r="AI183" s="3"/>
      <c r="AJ183" s="3"/>
      <c r="AK183" s="7"/>
      <c r="AL183" s="7"/>
      <c r="AM183" s="7"/>
      <c r="AN183" s="3"/>
      <c r="AO183" s="3"/>
      <c r="AP183" s="7"/>
      <c r="AQ183" s="7"/>
      <c r="AR183" s="7"/>
      <c r="AS183" s="9"/>
      <c r="AT183" s="9"/>
      <c r="AU183" s="9"/>
      <c r="AV183" s="3"/>
      <c r="AW183" s="3"/>
      <c r="AX183" s="3"/>
      <c r="AY183" s="3"/>
      <c r="AZ183" s="3"/>
      <c r="BA183" s="3"/>
      <c r="BC183" s="13"/>
      <c r="BD183" s="7"/>
      <c r="BE183" s="3"/>
      <c r="BF183" s="3"/>
      <c r="BG183" s="3"/>
      <c r="BH183" s="3"/>
    </row>
    <row r="184" spans="1:60" x14ac:dyDescent="0.3">
      <c r="A184">
        <v>141</v>
      </c>
      <c r="B184" s="1" t="s">
        <v>186</v>
      </c>
      <c r="C184" s="1" t="s">
        <v>30</v>
      </c>
      <c r="D184" s="2">
        <v>42675</v>
      </c>
      <c r="E184" s="3">
        <v>22.05</v>
      </c>
      <c r="F184" s="4">
        <f t="shared" si="257"/>
        <v>4837.2729527559059</v>
      </c>
      <c r="G184" s="7">
        <v>4.32</v>
      </c>
      <c r="H184" s="7">
        <v>4.08</v>
      </c>
      <c r="I184" s="5">
        <f t="shared" si="258"/>
        <v>5.5555555555555598</v>
      </c>
      <c r="J184" s="4">
        <f t="shared" si="259"/>
        <v>4568.5355664916888</v>
      </c>
      <c r="K184" s="2">
        <v>42758</v>
      </c>
      <c r="L184" s="7">
        <v>4.08</v>
      </c>
      <c r="M184" s="7">
        <v>1.6</v>
      </c>
      <c r="N184" s="7">
        <v>1.98</v>
      </c>
      <c r="O184" s="6">
        <f t="shared" si="260"/>
        <v>0.39215686274509803</v>
      </c>
      <c r="P184" s="6">
        <f t="shared" si="261"/>
        <v>0.48529411764705882</v>
      </c>
      <c r="Q184" s="6">
        <f t="shared" si="262"/>
        <v>0.1225490196078432</v>
      </c>
      <c r="R184" s="4">
        <f t="shared" si="263"/>
        <v>1896.9697853944729</v>
      </c>
      <c r="S184" s="4">
        <f t="shared" si="264"/>
        <v>2347.50010942566</v>
      </c>
      <c r="T184" s="4">
        <f t="shared" si="265"/>
        <v>4244.469894820133</v>
      </c>
      <c r="U184" s="4">
        <f t="shared" si="266"/>
        <v>1791.5825750947799</v>
      </c>
      <c r="V184" s="4">
        <f t="shared" si="267"/>
        <v>2217.0834366797903</v>
      </c>
      <c r="W184" s="4">
        <f t="shared" si="268"/>
        <v>4008.6660117745705</v>
      </c>
      <c r="X184" s="10"/>
      <c r="Y184" s="12"/>
      <c r="Z184" s="5"/>
      <c r="AA184" s="4"/>
      <c r="AB184" s="4"/>
      <c r="AC184" s="4"/>
      <c r="AD184" s="4"/>
      <c r="AI184" s="3"/>
      <c r="AJ184" s="3"/>
      <c r="AK184" s="7"/>
      <c r="AL184" s="7"/>
      <c r="AM184" s="7"/>
      <c r="AN184" s="3"/>
      <c r="AO184" s="3"/>
      <c r="AP184" s="7"/>
      <c r="AQ184" s="7"/>
      <c r="AR184" s="7"/>
      <c r="AS184" s="9"/>
      <c r="AT184" s="9"/>
      <c r="AU184" s="9"/>
      <c r="AV184" s="3"/>
      <c r="AW184" s="3"/>
      <c r="AX184" s="3"/>
      <c r="AY184" s="3"/>
      <c r="AZ184" s="3"/>
      <c r="BA184" s="3"/>
      <c r="BC184" s="13"/>
      <c r="BD184" s="7"/>
      <c r="BE184" s="3"/>
      <c r="BF184" s="3"/>
      <c r="BG184" s="3"/>
      <c r="BH184" s="3"/>
    </row>
    <row r="185" spans="1:60" x14ac:dyDescent="0.3">
      <c r="A185">
        <v>142</v>
      </c>
      <c r="B185" s="1" t="s">
        <v>187</v>
      </c>
      <c r="C185" s="1" t="s">
        <v>30</v>
      </c>
      <c r="D185" s="2">
        <v>42675</v>
      </c>
      <c r="E185" s="3">
        <v>27.34</v>
      </c>
      <c r="F185" s="4">
        <f t="shared" si="257"/>
        <v>6018.1300787401569</v>
      </c>
      <c r="G185" s="7">
        <v>4.6000000000000005</v>
      </c>
      <c r="H185" s="7">
        <v>4.3600000000000003</v>
      </c>
      <c r="I185" s="5">
        <f t="shared" si="258"/>
        <v>5.2173913043478297</v>
      </c>
      <c r="J185" s="4">
        <f t="shared" si="259"/>
        <v>5704.1406833276269</v>
      </c>
      <c r="K185" s="2">
        <v>42760</v>
      </c>
      <c r="L185" s="7">
        <v>4.3600000000000003</v>
      </c>
      <c r="M185" s="7">
        <v>1.84</v>
      </c>
      <c r="N185" s="7">
        <v>2.2000000000000002</v>
      </c>
      <c r="O185" s="6">
        <f t="shared" si="260"/>
        <v>0.42201834862385318</v>
      </c>
      <c r="P185" s="6">
        <f t="shared" si="261"/>
        <v>0.50458715596330272</v>
      </c>
      <c r="Q185" s="6">
        <f t="shared" si="262"/>
        <v>7.3394495412844152E-2</v>
      </c>
      <c r="R185" s="4">
        <f t="shared" si="263"/>
        <v>2539.7613176334607</v>
      </c>
      <c r="S185" s="4">
        <f t="shared" si="264"/>
        <v>3036.6711406487029</v>
      </c>
      <c r="T185" s="4">
        <f t="shared" si="265"/>
        <v>5576.4324582821637</v>
      </c>
      <c r="U185" s="4">
        <f t="shared" si="266"/>
        <v>2407.2520314960625</v>
      </c>
      <c r="V185" s="4">
        <f t="shared" si="267"/>
        <v>2878.2361246148575</v>
      </c>
      <c r="W185" s="4">
        <f t="shared" si="268"/>
        <v>5285.4881561109196</v>
      </c>
      <c r="X185" s="10"/>
      <c r="Y185" s="12"/>
      <c r="Z185" s="5"/>
      <c r="AA185" s="4"/>
      <c r="AB185" s="4"/>
      <c r="AC185" s="4"/>
      <c r="AD185" s="4"/>
      <c r="AF185" t="s">
        <v>303</v>
      </c>
      <c r="AG185" t="s">
        <v>30</v>
      </c>
      <c r="AH185" s="8">
        <f>D185</f>
        <v>42675</v>
      </c>
      <c r="AI185" s="3">
        <f>SUM(E185:E187)</f>
        <v>75.84</v>
      </c>
      <c r="AJ185" s="3">
        <f>(AI185-3*$A$33)*$A$34/(3*$A$35)*$A$36</f>
        <v>5558.2877952755916</v>
      </c>
      <c r="AK185" s="7">
        <f>SUM(G185:G187)</f>
        <v>13.26</v>
      </c>
      <c r="AL185" s="7">
        <f>SUM(H185:H187)</f>
        <v>12.579999999999998</v>
      </c>
      <c r="AM185" s="7">
        <f>(AK185-AL185)/AK185*100</f>
        <v>5.1282051282051402</v>
      </c>
      <c r="AN185" s="3">
        <f>AJ185*(1-AM185/100)</f>
        <v>5273.2473955178684</v>
      </c>
      <c r="AO185" s="11">
        <f>K185</f>
        <v>42760</v>
      </c>
      <c r="AP185" s="7">
        <f>SUM(L185:L187)</f>
        <v>12.579999999999998</v>
      </c>
      <c r="AQ185" s="7">
        <f t="shared" ref="AQ185" si="358">SUM(M185:M187)</f>
        <v>5.18</v>
      </c>
      <c r="AR185" s="7">
        <f t="shared" ref="AR185" si="359">SUM(N185:N187)</f>
        <v>6.3400000000000007</v>
      </c>
      <c r="AS185" s="9">
        <f>AQ185/AP185</f>
        <v>0.41176470588235298</v>
      </c>
      <c r="AT185" s="9">
        <f>AR185/AP185</f>
        <v>0.50397456279809238</v>
      </c>
      <c r="AU185" s="9">
        <f>1-AS185-AT185</f>
        <v>8.4260731319554583E-2</v>
      </c>
      <c r="AV185" s="3">
        <f>AJ185*AS185</f>
        <v>2288.706739231126</v>
      </c>
      <c r="AW185" s="3">
        <f>AJ185*AT185</f>
        <v>2801.2356615299891</v>
      </c>
      <c r="AX185" s="3">
        <f>AV185+AW185</f>
        <v>5089.9424007611151</v>
      </c>
      <c r="AY185" s="3">
        <f>AN185*AS185</f>
        <v>2171.337162860299</v>
      </c>
      <c r="AZ185" s="3">
        <f>AN185*AT185</f>
        <v>2657.5825506822971</v>
      </c>
      <c r="BA185" s="3">
        <f>AY185+AZ185</f>
        <v>4828.9197135425966</v>
      </c>
      <c r="BB185" s="11">
        <f>X186</f>
        <v>42901</v>
      </c>
      <c r="BC185" s="13">
        <f>AVERAGE(Y185:Y187)</f>
        <v>47</v>
      </c>
      <c r="BD185" s="7">
        <f t="shared" ref="BD185" si="360">AVERAGE(Z185:Z187)</f>
        <v>1.1100000000000001</v>
      </c>
      <c r="BE185" s="3">
        <f t="shared" ref="BE185" si="361">AVERAGE(AA185:AA187)</f>
        <v>81.900000000000006</v>
      </c>
      <c r="BF185" s="3">
        <f t="shared" ref="BF185" si="362">AVERAGE(AB185:AB187)</f>
        <v>31.5</v>
      </c>
      <c r="BG185" s="3">
        <f t="shared" ref="BG185" si="363">AVERAGE(AC185:AC187)</f>
        <v>5.6</v>
      </c>
      <c r="BH185" s="3">
        <f t="shared" ref="BH185" si="364">AVERAGE(AD185:AD187)</f>
        <v>9.1999999999999993</v>
      </c>
    </row>
    <row r="186" spans="1:60" x14ac:dyDescent="0.3">
      <c r="A186">
        <v>143</v>
      </c>
      <c r="B186" s="1" t="s">
        <v>188</v>
      </c>
      <c r="C186" s="1" t="s">
        <v>30</v>
      </c>
      <c r="D186" s="2">
        <v>42675</v>
      </c>
      <c r="E186" s="3">
        <v>25.32</v>
      </c>
      <c r="F186" s="4">
        <f t="shared" si="257"/>
        <v>5567.2167716535432</v>
      </c>
      <c r="G186" s="7">
        <v>4.24</v>
      </c>
      <c r="H186" s="7">
        <v>4.0199999999999996</v>
      </c>
      <c r="I186" s="5">
        <f t="shared" si="258"/>
        <v>5.1886792452830335</v>
      </c>
      <c r="J186" s="4">
        <f t="shared" si="259"/>
        <v>5278.3517504828396</v>
      </c>
      <c r="K186" s="2">
        <v>42765</v>
      </c>
      <c r="L186" s="7">
        <v>4.0199999999999996</v>
      </c>
      <c r="M186" s="7">
        <v>1.66</v>
      </c>
      <c r="N186" s="7">
        <v>2.02</v>
      </c>
      <c r="O186" s="6">
        <f t="shared" si="260"/>
        <v>0.41293532338308458</v>
      </c>
      <c r="P186" s="6">
        <f t="shared" si="261"/>
        <v>0.50248756218905477</v>
      </c>
      <c r="Q186" s="6">
        <f t="shared" si="262"/>
        <v>8.4577114427860645E-2</v>
      </c>
      <c r="R186" s="4">
        <f t="shared" si="263"/>
        <v>2298.9004579464881</v>
      </c>
      <c r="S186" s="4">
        <f t="shared" si="264"/>
        <v>2797.4571837662083</v>
      </c>
      <c r="T186" s="4">
        <f t="shared" si="265"/>
        <v>5096.3576417126969</v>
      </c>
      <c r="U186" s="4">
        <f t="shared" si="266"/>
        <v>2179.6178870153021</v>
      </c>
      <c r="V186" s="4">
        <f t="shared" si="267"/>
        <v>2652.3061034764519</v>
      </c>
      <c r="W186" s="4">
        <f t="shared" si="268"/>
        <v>4831.923990491754</v>
      </c>
      <c r="X186" s="10">
        <v>42901</v>
      </c>
      <c r="Y186" s="12">
        <v>47</v>
      </c>
      <c r="Z186" s="5">
        <v>1.1100000000000001</v>
      </c>
      <c r="AA186" s="4">
        <v>81.900000000000006</v>
      </c>
      <c r="AB186" s="4">
        <v>31.5</v>
      </c>
      <c r="AC186" s="4">
        <v>5.6</v>
      </c>
      <c r="AD186" s="4">
        <v>9.1999999999999993</v>
      </c>
      <c r="AI186" s="3"/>
      <c r="AJ186" s="3"/>
      <c r="AK186" s="7"/>
      <c r="AL186" s="7"/>
      <c r="AM186" s="7"/>
      <c r="AN186" s="3"/>
      <c r="AO186" s="3"/>
      <c r="AP186" s="7"/>
      <c r="AQ186" s="7"/>
      <c r="AR186" s="7"/>
      <c r="AS186" s="9"/>
      <c r="AT186" s="9"/>
      <c r="AU186" s="9"/>
      <c r="AV186" s="3"/>
      <c r="AW186" s="3"/>
      <c r="AX186" s="3"/>
      <c r="AY186" s="3"/>
      <c r="AZ186" s="3"/>
      <c r="BA186" s="3"/>
      <c r="BC186" s="13"/>
      <c r="BD186" s="7"/>
      <c r="BE186" s="3"/>
      <c r="BF186" s="3"/>
      <c r="BG186" s="3"/>
      <c r="BH186" s="3"/>
    </row>
    <row r="187" spans="1:60" x14ac:dyDescent="0.3">
      <c r="A187">
        <v>144</v>
      </c>
      <c r="B187" s="1" t="s">
        <v>189</v>
      </c>
      <c r="C187" s="1" t="s">
        <v>30</v>
      </c>
      <c r="D187" s="2">
        <v>42675</v>
      </c>
      <c r="E187" s="3">
        <v>23.18</v>
      </c>
      <c r="F187" s="4">
        <f t="shared" si="257"/>
        <v>5089.5165354330711</v>
      </c>
      <c r="G187" s="7">
        <v>4.42</v>
      </c>
      <c r="H187" s="7">
        <v>4.2</v>
      </c>
      <c r="I187" s="5">
        <f t="shared" si="258"/>
        <v>4.9773755656108536</v>
      </c>
      <c r="J187" s="4">
        <f t="shared" si="259"/>
        <v>4836.1921829907014</v>
      </c>
      <c r="K187" s="2">
        <v>42765</v>
      </c>
      <c r="L187" s="7">
        <v>4.2</v>
      </c>
      <c r="M187" s="7">
        <v>1.68</v>
      </c>
      <c r="N187" s="7">
        <v>2.12</v>
      </c>
      <c r="O187" s="6">
        <f t="shared" si="260"/>
        <v>0.39999999999999997</v>
      </c>
      <c r="P187" s="6">
        <f t="shared" si="261"/>
        <v>0.50476190476190474</v>
      </c>
      <c r="Q187" s="6">
        <f t="shared" si="262"/>
        <v>9.5238095238095344E-2</v>
      </c>
      <c r="R187" s="4">
        <f t="shared" si="263"/>
        <v>2035.8066141732284</v>
      </c>
      <c r="S187" s="4">
        <f t="shared" si="264"/>
        <v>2568.9940607424073</v>
      </c>
      <c r="T187" s="4">
        <f t="shared" si="265"/>
        <v>4604.8006749156357</v>
      </c>
      <c r="U187" s="4">
        <f t="shared" si="266"/>
        <v>1934.4768731962804</v>
      </c>
      <c r="V187" s="4">
        <f t="shared" si="267"/>
        <v>2441.1255780810206</v>
      </c>
      <c r="W187" s="4">
        <f t="shared" si="268"/>
        <v>4375.602451277301</v>
      </c>
      <c r="X187" s="10"/>
      <c r="Y187" s="12"/>
      <c r="Z187" s="5"/>
      <c r="AA187" s="4"/>
      <c r="AB187" s="4"/>
      <c r="AC187" s="4"/>
      <c r="AD187" s="4"/>
      <c r="AI187" s="3"/>
      <c r="AJ187" s="3"/>
      <c r="AK187" s="7"/>
      <c r="AL187" s="7"/>
      <c r="AM187" s="7"/>
      <c r="AN187" s="3"/>
      <c r="AO187" s="3"/>
      <c r="AP187" s="7"/>
      <c r="AQ187" s="7"/>
      <c r="AR187" s="7"/>
      <c r="AS187" s="9"/>
      <c r="AT187" s="9"/>
      <c r="AU187" s="9"/>
      <c r="AV187" s="3"/>
      <c r="AW187" s="3"/>
      <c r="AX187" s="3"/>
      <c r="AY187" s="3"/>
      <c r="AZ187" s="3"/>
      <c r="BA187" s="3"/>
      <c r="BC187" s="13"/>
      <c r="BD187" s="7"/>
      <c r="BE187" s="3"/>
      <c r="BF187" s="3"/>
      <c r="BG187" s="3"/>
      <c r="BH187" s="3"/>
    </row>
    <row r="188" spans="1:60" x14ac:dyDescent="0.3">
      <c r="A188">
        <v>145</v>
      </c>
      <c r="B188" s="1" t="s">
        <v>190</v>
      </c>
      <c r="C188" s="1" t="s">
        <v>30</v>
      </c>
      <c r="D188" s="2">
        <v>42675</v>
      </c>
      <c r="E188" s="3">
        <v>26.2</v>
      </c>
      <c r="F188" s="4">
        <f t="shared" si="257"/>
        <v>5763.6542519685045</v>
      </c>
      <c r="G188" s="7">
        <v>4.6400000000000006</v>
      </c>
      <c r="H188" s="7">
        <v>4.4000000000000004</v>
      </c>
      <c r="I188" s="5">
        <f t="shared" si="258"/>
        <v>5.172413793103452</v>
      </c>
      <c r="J188" s="4">
        <f t="shared" si="259"/>
        <v>5465.5342044528925</v>
      </c>
      <c r="K188" s="2">
        <v>42758</v>
      </c>
      <c r="L188" s="7">
        <v>4.4000000000000004</v>
      </c>
      <c r="M188" s="7">
        <v>1.74</v>
      </c>
      <c r="N188" s="7">
        <v>2.2999999999999998</v>
      </c>
      <c r="O188" s="6">
        <f t="shared" si="260"/>
        <v>0.39545454545454545</v>
      </c>
      <c r="P188" s="6">
        <f t="shared" si="261"/>
        <v>0.5227272727272726</v>
      </c>
      <c r="Q188" s="6">
        <f t="shared" si="262"/>
        <v>8.1818181818181901E-2</v>
      </c>
      <c r="R188" s="4">
        <f t="shared" si="263"/>
        <v>2279.2632723693632</v>
      </c>
      <c r="S188" s="4">
        <f t="shared" si="264"/>
        <v>3012.8192680744446</v>
      </c>
      <c r="T188" s="4">
        <f t="shared" si="265"/>
        <v>5292.0825404438074</v>
      </c>
      <c r="U188" s="4">
        <f t="shared" si="266"/>
        <v>2161.3703444881894</v>
      </c>
      <c r="V188" s="4">
        <f t="shared" si="267"/>
        <v>2856.9837886912842</v>
      </c>
      <c r="W188" s="4">
        <f t="shared" si="268"/>
        <v>5018.3541331794731</v>
      </c>
      <c r="X188" s="10"/>
      <c r="Y188" s="12"/>
      <c r="Z188" s="5"/>
      <c r="AA188" s="4"/>
      <c r="AB188" s="4"/>
      <c r="AC188" s="4"/>
      <c r="AD188" s="4"/>
      <c r="AF188" t="s">
        <v>304</v>
      </c>
      <c r="AG188" t="str">
        <f>C188</f>
        <v>Machine</v>
      </c>
      <c r="AH188" s="8">
        <f>D188</f>
        <v>42675</v>
      </c>
      <c r="AI188" s="3">
        <f>SUM(E188:E190)</f>
        <v>76.42</v>
      </c>
      <c r="AJ188" s="3">
        <f>(AI188-3*$A$33)*$A$34/(3*$A$35)*$A$36</f>
        <v>5601.4445144356951</v>
      </c>
      <c r="AK188" s="7">
        <f>SUM(G188:G190)</f>
        <v>14.260000000000002</v>
      </c>
      <c r="AL188" s="7">
        <f>SUM(H188:H190)</f>
        <v>13.52</v>
      </c>
      <c r="AM188" s="7">
        <f>(AK188-AL188)/AK188*100</f>
        <v>5.1893408134642485</v>
      </c>
      <c r="AN188" s="3">
        <f>AJ188*(1-AM188/100)</f>
        <v>5310.7664681045289</v>
      </c>
      <c r="AO188" s="11">
        <f>K188</f>
        <v>42758</v>
      </c>
      <c r="AP188" s="7">
        <f>SUM(L188:L190)</f>
        <v>13.52</v>
      </c>
      <c r="AQ188" s="7">
        <f t="shared" ref="AQ188" si="365">SUM(M188:M190)</f>
        <v>5.28</v>
      </c>
      <c r="AR188" s="7">
        <f t="shared" ref="AR188" si="366">SUM(N188:N190)</f>
        <v>6.9</v>
      </c>
      <c r="AS188" s="9">
        <f>AQ188/AP188</f>
        <v>0.39053254437869828</v>
      </c>
      <c r="AT188" s="9">
        <f>AR188/AP188</f>
        <v>0.51035502958579881</v>
      </c>
      <c r="AU188" s="9">
        <f>1-AS188-AT188</f>
        <v>9.9112426035502965E-2</v>
      </c>
      <c r="AV188" s="3">
        <f>AJ188*AS188</f>
        <v>2187.5463784186741</v>
      </c>
      <c r="AW188" s="3">
        <f>AJ188*AT188</f>
        <v>2858.7253808880396</v>
      </c>
      <c r="AX188" s="3">
        <f>AV188+AW188</f>
        <v>5046.2717593067136</v>
      </c>
      <c r="AY188" s="3">
        <f>AN188*AS188</f>
        <v>2074.0271413899345</v>
      </c>
      <c r="AZ188" s="3">
        <f>AN188*AT188</f>
        <v>2710.3763779527553</v>
      </c>
      <c r="BA188" s="3">
        <f>AY188+AZ188</f>
        <v>4784.4035193426898</v>
      </c>
      <c r="BB188" s="11">
        <f>X189</f>
        <v>42901</v>
      </c>
      <c r="BC188" s="13">
        <f>AVERAGE(Y188:Y190)</f>
        <v>39</v>
      </c>
      <c r="BD188" s="7">
        <f t="shared" ref="BD188" si="367">AVERAGE(Z188:Z190)</f>
        <v>1.1599999999999999</v>
      </c>
      <c r="BE188" s="3">
        <f t="shared" ref="BE188" si="368">AVERAGE(AA188:AA190)</f>
        <v>81.599999999999994</v>
      </c>
      <c r="BF188" s="3">
        <f t="shared" ref="BF188" si="369">AVERAGE(AB188:AB190)</f>
        <v>33.200000000000003</v>
      </c>
      <c r="BG188" s="3">
        <f t="shared" ref="BG188" si="370">AVERAGE(AC188:AC190)</f>
        <v>5.3</v>
      </c>
      <c r="BH188" s="3">
        <f t="shared" ref="BH188" si="371">AVERAGE(AD188:AD190)</f>
        <v>9.3000000000000007</v>
      </c>
    </row>
    <row r="189" spans="1:60" x14ac:dyDescent="0.3">
      <c r="A189">
        <v>146</v>
      </c>
      <c r="B189" s="1" t="s">
        <v>191</v>
      </c>
      <c r="C189" s="1" t="s">
        <v>30</v>
      </c>
      <c r="D189" s="2">
        <v>42675</v>
      </c>
      <c r="E189" s="3">
        <v>23.1</v>
      </c>
      <c r="F189" s="4">
        <f t="shared" si="257"/>
        <v>5071.6585826771661</v>
      </c>
      <c r="G189" s="7">
        <v>5.1000000000000005</v>
      </c>
      <c r="H189" s="7">
        <v>4.84</v>
      </c>
      <c r="I189" s="5">
        <f t="shared" si="258"/>
        <v>5.0980392156862866</v>
      </c>
      <c r="J189" s="4">
        <f t="shared" si="259"/>
        <v>4813.1034392465644</v>
      </c>
      <c r="K189" s="2">
        <v>42758</v>
      </c>
      <c r="L189" s="7">
        <v>4.84</v>
      </c>
      <c r="M189" s="7">
        <v>1.86</v>
      </c>
      <c r="N189" s="7">
        <v>2.44</v>
      </c>
      <c r="O189" s="6">
        <f t="shared" si="260"/>
        <v>0.38429752066115708</v>
      </c>
      <c r="P189" s="6">
        <f t="shared" si="261"/>
        <v>0.50413223140495866</v>
      </c>
      <c r="Q189" s="6">
        <f t="shared" si="262"/>
        <v>0.11157024793388426</v>
      </c>
      <c r="R189" s="4">
        <f t="shared" si="263"/>
        <v>1949.0258189627129</v>
      </c>
      <c r="S189" s="4">
        <f t="shared" si="264"/>
        <v>2556.7865582091499</v>
      </c>
      <c r="T189" s="4">
        <f t="shared" si="265"/>
        <v>4505.8123771718629</v>
      </c>
      <c r="U189" s="4">
        <f t="shared" si="266"/>
        <v>1849.6637183881428</v>
      </c>
      <c r="V189" s="4">
        <f t="shared" si="267"/>
        <v>2426.4405768102515</v>
      </c>
      <c r="W189" s="4">
        <f t="shared" si="268"/>
        <v>4276.1042951983945</v>
      </c>
      <c r="X189" s="10">
        <v>42901</v>
      </c>
      <c r="Y189" s="12">
        <v>39</v>
      </c>
      <c r="Z189" s="5">
        <v>1.1599999999999999</v>
      </c>
      <c r="AA189" s="4">
        <v>81.599999999999994</v>
      </c>
      <c r="AB189" s="4">
        <v>33.200000000000003</v>
      </c>
      <c r="AC189" s="4">
        <v>5.3</v>
      </c>
      <c r="AD189" s="4">
        <v>9.3000000000000007</v>
      </c>
      <c r="AI189" s="3"/>
      <c r="AJ189" s="3"/>
      <c r="AK189" s="7"/>
      <c r="AL189" s="7"/>
      <c r="AM189" s="7"/>
      <c r="AN189" s="3"/>
      <c r="AO189" s="3"/>
      <c r="AP189" s="7"/>
      <c r="AQ189" s="7"/>
      <c r="AR189" s="7"/>
      <c r="AS189" s="9"/>
      <c r="AT189" s="9"/>
      <c r="AU189" s="9"/>
      <c r="AV189" s="3"/>
      <c r="AW189" s="3"/>
      <c r="AX189" s="3"/>
      <c r="AY189" s="3"/>
      <c r="AZ189" s="3"/>
      <c r="BA189" s="3"/>
      <c r="BC189" s="13"/>
      <c r="BD189" s="7"/>
      <c r="BE189" s="3"/>
      <c r="BF189" s="3"/>
      <c r="BG189" s="3"/>
      <c r="BH189" s="3"/>
    </row>
    <row r="190" spans="1:60" x14ac:dyDescent="0.3">
      <c r="A190">
        <v>147</v>
      </c>
      <c r="B190" s="1" t="s">
        <v>192</v>
      </c>
      <c r="C190" s="1" t="s">
        <v>30</v>
      </c>
      <c r="D190" s="2">
        <v>42675</v>
      </c>
      <c r="E190" s="3">
        <v>27.12</v>
      </c>
      <c r="F190" s="4">
        <f t="shared" si="257"/>
        <v>5969.0207086614182</v>
      </c>
      <c r="G190" s="7">
        <v>4.5200000000000005</v>
      </c>
      <c r="H190" s="7">
        <v>4.28</v>
      </c>
      <c r="I190" s="5">
        <f t="shared" si="258"/>
        <v>5.3097345132743401</v>
      </c>
      <c r="J190" s="4">
        <f t="shared" si="259"/>
        <v>5652.0815559891298</v>
      </c>
      <c r="K190" s="2">
        <v>42760</v>
      </c>
      <c r="L190" s="7">
        <v>4.28</v>
      </c>
      <c r="M190" s="7">
        <v>1.68</v>
      </c>
      <c r="N190" s="7">
        <v>2.16</v>
      </c>
      <c r="O190" s="6">
        <f t="shared" si="260"/>
        <v>0.3925233644859813</v>
      </c>
      <c r="P190" s="6">
        <f t="shared" si="261"/>
        <v>0.50467289719626174</v>
      </c>
      <c r="Q190" s="6">
        <f t="shared" si="262"/>
        <v>0.10280373831775691</v>
      </c>
      <c r="R190" s="4">
        <f t="shared" si="263"/>
        <v>2342.980091250276</v>
      </c>
      <c r="S190" s="4">
        <f t="shared" si="264"/>
        <v>3012.4029744646414</v>
      </c>
      <c r="T190" s="4">
        <f t="shared" si="265"/>
        <v>5355.3830657149174</v>
      </c>
      <c r="U190" s="4">
        <f t="shared" si="266"/>
        <v>2218.5740687060133</v>
      </c>
      <c r="V190" s="4">
        <f t="shared" si="267"/>
        <v>2852.4523740505892</v>
      </c>
      <c r="W190" s="4">
        <f t="shared" si="268"/>
        <v>5071.0264427566026</v>
      </c>
      <c r="X190" s="10"/>
      <c r="Y190" s="12"/>
      <c r="Z190" s="5"/>
      <c r="AA190" s="4"/>
      <c r="AB190" s="4"/>
      <c r="AC190" s="4"/>
      <c r="AD190" s="4"/>
      <c r="AI190" s="3"/>
      <c r="AJ190" s="3"/>
      <c r="AK190" s="7"/>
      <c r="AL190" s="7"/>
      <c r="AM190" s="7"/>
      <c r="AN190" s="3"/>
      <c r="AO190" s="3"/>
      <c r="AP190" s="7"/>
      <c r="AQ190" s="7"/>
      <c r="AR190" s="7"/>
      <c r="AS190" s="9"/>
      <c r="AT190" s="9"/>
      <c r="AU190" s="9"/>
      <c r="AV190" s="3"/>
      <c r="AW190" s="3"/>
      <c r="AX190" s="3"/>
      <c r="AY190" s="3"/>
      <c r="AZ190" s="3"/>
      <c r="BA190" s="3"/>
      <c r="BC190" s="13"/>
      <c r="BD190" s="7"/>
      <c r="BE190" s="3"/>
      <c r="BF190" s="3"/>
      <c r="BG190" s="3"/>
      <c r="BH190" s="3"/>
    </row>
    <row r="191" spans="1:60" x14ac:dyDescent="0.3">
      <c r="A191">
        <v>148</v>
      </c>
      <c r="B191" s="1" t="s">
        <v>193</v>
      </c>
      <c r="C191" s="1" t="s">
        <v>30</v>
      </c>
      <c r="D191" s="2">
        <v>42675</v>
      </c>
      <c r="E191" s="3">
        <v>24.42</v>
      </c>
      <c r="F191" s="4">
        <f t="shared" si="257"/>
        <v>5366.3148031496066</v>
      </c>
      <c r="G191" s="7">
        <v>4.32</v>
      </c>
      <c r="H191" s="7">
        <v>4.1399999999999997</v>
      </c>
      <c r="I191" s="5">
        <f t="shared" si="258"/>
        <v>4.1666666666666803</v>
      </c>
      <c r="J191" s="4">
        <f t="shared" si="259"/>
        <v>5142.718353018372</v>
      </c>
      <c r="K191" s="2">
        <v>42765</v>
      </c>
      <c r="L191" s="7">
        <v>4.1399999999999997</v>
      </c>
      <c r="M191" s="7">
        <v>1.62</v>
      </c>
      <c r="N191" s="7">
        <v>2.08</v>
      </c>
      <c r="O191" s="6">
        <f t="shared" si="260"/>
        <v>0.39130434782608703</v>
      </c>
      <c r="P191" s="6">
        <f t="shared" si="261"/>
        <v>0.50241545893719808</v>
      </c>
      <c r="Q191" s="6">
        <f t="shared" si="262"/>
        <v>0.10628019323671489</v>
      </c>
      <c r="R191" s="4">
        <f t="shared" si="263"/>
        <v>2099.8623142759334</v>
      </c>
      <c r="S191" s="4">
        <f t="shared" si="264"/>
        <v>2696.1195146258892</v>
      </c>
      <c r="T191" s="4">
        <f t="shared" si="265"/>
        <v>4795.9818289018222</v>
      </c>
      <c r="U191" s="4">
        <f t="shared" si="266"/>
        <v>2012.3680511811024</v>
      </c>
      <c r="V191" s="4">
        <f t="shared" si="267"/>
        <v>2583.7812015164768</v>
      </c>
      <c r="W191" s="4">
        <f t="shared" si="268"/>
        <v>4596.149252697579</v>
      </c>
      <c r="X191" s="10"/>
      <c r="Y191" s="12"/>
      <c r="Z191" s="5"/>
      <c r="AA191" s="4"/>
      <c r="AB191" s="4"/>
      <c r="AC191" s="4"/>
      <c r="AD191" s="4"/>
      <c r="AF191" t="s">
        <v>305</v>
      </c>
      <c r="AG191" t="s">
        <v>30</v>
      </c>
      <c r="AH191" s="8">
        <f>D191</f>
        <v>42675</v>
      </c>
      <c r="AI191" s="3">
        <f>SUM(E191:E193)</f>
        <v>67.34</v>
      </c>
      <c r="AJ191" s="3">
        <f>(AI191-3*$A$33)*$A$34/(3*$A$35)*$A$36</f>
        <v>4925.8186351706036</v>
      </c>
      <c r="AK191" s="7">
        <f>SUM(G191:G193)</f>
        <v>13.42</v>
      </c>
      <c r="AL191" s="7">
        <f>SUM(H191:H193)</f>
        <v>12.8</v>
      </c>
      <c r="AM191" s="7">
        <f>(AK191-AL191)/AK191*100</f>
        <v>4.6199701937406799</v>
      </c>
      <c r="AN191" s="3">
        <f>AJ191*(1-AM191/100)</f>
        <v>4698.2472824279976</v>
      </c>
      <c r="AO191" s="11">
        <f>K191</f>
        <v>42765</v>
      </c>
      <c r="AP191" s="7">
        <f>SUM(L191:L193)</f>
        <v>12.8</v>
      </c>
      <c r="AQ191" s="7">
        <f t="shared" ref="AQ191" si="372">SUM(M191:M193)</f>
        <v>5.0200000000000005</v>
      </c>
      <c r="AR191" s="7">
        <f t="shared" ref="AR191" si="373">SUM(N191:N193)</f>
        <v>6.3800000000000008</v>
      </c>
      <c r="AS191" s="9">
        <f>AQ191/AP191</f>
        <v>0.39218750000000002</v>
      </c>
      <c r="AT191" s="9">
        <f>AR191/AP191</f>
        <v>0.49843750000000003</v>
      </c>
      <c r="AU191" s="9">
        <f>1-AS191-AT191</f>
        <v>0.10937499999999994</v>
      </c>
      <c r="AV191" s="3">
        <f>AJ191*AS191</f>
        <v>1931.8444959809713</v>
      </c>
      <c r="AW191" s="3">
        <f>AJ191*AT191</f>
        <v>2455.2127259678477</v>
      </c>
      <c r="AX191" s="3">
        <f>AV191+AW191</f>
        <v>4387.0572219488186</v>
      </c>
      <c r="AY191" s="3">
        <f>AN191*AS191</f>
        <v>1842.5938560772304</v>
      </c>
      <c r="AZ191" s="3">
        <f>AN191*AT191</f>
        <v>2341.7826298352052</v>
      </c>
      <c r="BA191" s="3">
        <f>AY191+AZ191</f>
        <v>4184.3764859124358</v>
      </c>
      <c r="BB191" s="11">
        <f>X192</f>
        <v>42901</v>
      </c>
      <c r="BC191" s="13">
        <f>AVERAGE(Y191:Y193)</f>
        <v>44</v>
      </c>
      <c r="BD191" s="7">
        <f t="shared" ref="BD191" si="374">AVERAGE(Z191:Z193)</f>
        <v>1.1399999999999999</v>
      </c>
      <c r="BE191" s="3">
        <f t="shared" ref="BE191" si="375">AVERAGE(AA191:AA193)</f>
        <v>82.1</v>
      </c>
      <c r="BF191" s="3">
        <f t="shared" ref="BF191" si="376">AVERAGE(AB191:AB193)</f>
        <v>31.8</v>
      </c>
      <c r="BG191" s="3">
        <f t="shared" ref="BG191" si="377">AVERAGE(AC191:AC193)</f>
        <v>5.5</v>
      </c>
      <c r="BH191" s="3">
        <f t="shared" ref="BH191" si="378">AVERAGE(AD191:AD193)</f>
        <v>9</v>
      </c>
    </row>
    <row r="192" spans="1:60" x14ac:dyDescent="0.3">
      <c r="A192">
        <v>149</v>
      </c>
      <c r="B192" s="1" t="s">
        <v>194</v>
      </c>
      <c r="C192" s="1" t="s">
        <v>30</v>
      </c>
      <c r="D192" s="2">
        <v>42675</v>
      </c>
      <c r="E192" s="3">
        <v>20.78</v>
      </c>
      <c r="F192" s="4">
        <f t="shared" si="257"/>
        <v>4553.7779527559051</v>
      </c>
      <c r="G192" s="7">
        <v>4.5200000000000005</v>
      </c>
      <c r="H192" s="7">
        <v>4.28</v>
      </c>
      <c r="I192" s="5">
        <f t="shared" si="258"/>
        <v>5.3097345132743401</v>
      </c>
      <c r="J192" s="4">
        <f t="shared" si="259"/>
        <v>4311.9844331405466</v>
      </c>
      <c r="K192" s="2">
        <v>42760</v>
      </c>
      <c r="L192" s="7">
        <v>4.28</v>
      </c>
      <c r="M192" s="7">
        <v>1.66</v>
      </c>
      <c r="N192" s="7">
        <v>2.14</v>
      </c>
      <c r="O192" s="6">
        <f t="shared" si="260"/>
        <v>0.38785046728971956</v>
      </c>
      <c r="P192" s="6">
        <f t="shared" si="261"/>
        <v>0.5</v>
      </c>
      <c r="Q192" s="6">
        <f t="shared" si="262"/>
        <v>0.11214953271028039</v>
      </c>
      <c r="R192" s="4">
        <f t="shared" si="263"/>
        <v>1766.1849069100003</v>
      </c>
      <c r="S192" s="4">
        <f t="shared" si="264"/>
        <v>2276.8889763779525</v>
      </c>
      <c r="T192" s="4">
        <f t="shared" si="265"/>
        <v>4043.0738832879529</v>
      </c>
      <c r="U192" s="4">
        <f t="shared" si="266"/>
        <v>1672.4051773395574</v>
      </c>
      <c r="V192" s="4">
        <f t="shared" si="267"/>
        <v>2155.9922165702733</v>
      </c>
      <c r="W192" s="4">
        <f t="shared" si="268"/>
        <v>3828.3973939098305</v>
      </c>
      <c r="X192" s="10">
        <v>42901</v>
      </c>
      <c r="Y192" s="12">
        <v>44</v>
      </c>
      <c r="Z192" s="5">
        <v>1.1399999999999999</v>
      </c>
      <c r="AA192" s="4">
        <v>82.1</v>
      </c>
      <c r="AB192" s="4">
        <v>31.8</v>
      </c>
      <c r="AC192" s="4">
        <v>5.5</v>
      </c>
      <c r="AD192" s="4">
        <v>9</v>
      </c>
      <c r="AI192" s="3"/>
      <c r="AJ192" s="3"/>
      <c r="AK192" s="7"/>
      <c r="AL192" s="7"/>
      <c r="AM192" s="7"/>
      <c r="AN192" s="3"/>
      <c r="AO192" s="3"/>
      <c r="AP192" s="7"/>
      <c r="AQ192" s="7"/>
      <c r="AR192" s="7"/>
      <c r="AS192" s="9"/>
      <c r="AT192" s="9"/>
      <c r="AU192" s="9"/>
      <c r="AV192" s="3"/>
      <c r="AW192" s="3"/>
      <c r="AX192" s="3"/>
      <c r="AY192" s="3"/>
      <c r="AZ192" s="3"/>
      <c r="BA192" s="3"/>
      <c r="BC192" s="13"/>
      <c r="BD192" s="7"/>
      <c r="BE192" s="3"/>
      <c r="BF192" s="3"/>
      <c r="BG192" s="3"/>
      <c r="BH192" s="3"/>
    </row>
    <row r="193" spans="1:60" x14ac:dyDescent="0.3">
      <c r="A193">
        <v>150</v>
      </c>
      <c r="B193" s="1" t="s">
        <v>195</v>
      </c>
      <c r="C193" s="1" t="s">
        <v>30</v>
      </c>
      <c r="D193" s="2">
        <v>42675</v>
      </c>
      <c r="E193" s="3">
        <v>22.14</v>
      </c>
      <c r="F193" s="4">
        <f t="shared" si="257"/>
        <v>4857.3631496062999</v>
      </c>
      <c r="G193" s="7">
        <v>4.58</v>
      </c>
      <c r="H193" s="7">
        <v>4.38</v>
      </c>
      <c r="I193" s="5">
        <f t="shared" si="258"/>
        <v>4.3668122270742398</v>
      </c>
      <c r="J193" s="4">
        <f t="shared" si="259"/>
        <v>4645.2512216758942</v>
      </c>
      <c r="K193" s="2">
        <v>42760</v>
      </c>
      <c r="L193" s="7">
        <v>4.38</v>
      </c>
      <c r="M193" s="7">
        <v>1.74</v>
      </c>
      <c r="N193" s="7">
        <v>2.16</v>
      </c>
      <c r="O193" s="6">
        <f t="shared" si="260"/>
        <v>0.39726027397260277</v>
      </c>
      <c r="P193" s="6">
        <f t="shared" si="261"/>
        <v>0.49315068493150688</v>
      </c>
      <c r="Q193" s="6">
        <f t="shared" si="262"/>
        <v>0.10958904109589035</v>
      </c>
      <c r="R193" s="4">
        <f t="shared" si="263"/>
        <v>1929.6374155970234</v>
      </c>
      <c r="S193" s="4">
        <f t="shared" si="264"/>
        <v>2395.4119641894081</v>
      </c>
      <c r="T193" s="4">
        <f t="shared" si="265"/>
        <v>4325.049379786431</v>
      </c>
      <c r="U193" s="4">
        <f t="shared" si="266"/>
        <v>1845.3737729945335</v>
      </c>
      <c r="V193" s="4">
        <f t="shared" si="267"/>
        <v>2290.8088216483861</v>
      </c>
      <c r="W193" s="4">
        <f t="shared" si="268"/>
        <v>4136.1825946429199</v>
      </c>
      <c r="X193" s="10"/>
      <c r="Y193" s="12"/>
      <c r="Z193" s="5"/>
      <c r="AA193" s="4"/>
      <c r="AB193" s="4"/>
      <c r="AC193" s="4"/>
      <c r="AD193" s="4"/>
      <c r="AI193" s="3"/>
      <c r="AJ193" s="3"/>
      <c r="AK193" s="7"/>
      <c r="AL193" s="7"/>
      <c r="AM193" s="7"/>
      <c r="AN193" s="3"/>
      <c r="AO193" s="3"/>
      <c r="AP193" s="7"/>
      <c r="AQ193" s="7"/>
      <c r="AR193" s="7"/>
      <c r="AS193" s="9"/>
      <c r="AT193" s="9"/>
      <c r="AU193" s="9"/>
      <c r="AV193" s="3"/>
      <c r="AW193" s="3"/>
      <c r="AX193" s="3"/>
      <c r="AY193" s="3"/>
      <c r="AZ193" s="3"/>
      <c r="BA193" s="3"/>
      <c r="BC193" s="13"/>
      <c r="BD193" s="7"/>
      <c r="BE193" s="3"/>
      <c r="BF193" s="3"/>
      <c r="BG193" s="3"/>
      <c r="BH193" s="3"/>
    </row>
    <row r="194" spans="1:60" x14ac:dyDescent="0.3">
      <c r="A194">
        <v>151</v>
      </c>
      <c r="B194" s="1" t="s">
        <v>196</v>
      </c>
      <c r="C194" s="1" t="s">
        <v>30</v>
      </c>
      <c r="D194" s="2">
        <v>42675</v>
      </c>
      <c r="E194" s="3">
        <v>21.62</v>
      </c>
      <c r="F194" s="4">
        <f t="shared" si="257"/>
        <v>4741.2864566929138</v>
      </c>
      <c r="G194" s="7">
        <v>4.9000000000000004</v>
      </c>
      <c r="H194" s="7">
        <v>4.62</v>
      </c>
      <c r="I194" s="5">
        <f t="shared" si="258"/>
        <v>5.7142857142857189</v>
      </c>
      <c r="J194" s="4">
        <f t="shared" si="259"/>
        <v>4470.3558020247474</v>
      </c>
      <c r="K194" s="2">
        <v>42760</v>
      </c>
      <c r="L194" s="7">
        <v>4.62</v>
      </c>
      <c r="M194" s="7">
        <v>1.84</v>
      </c>
      <c r="N194" s="7">
        <v>2.2400000000000002</v>
      </c>
      <c r="O194" s="6">
        <f t="shared" si="260"/>
        <v>0.39826839826839827</v>
      </c>
      <c r="P194" s="6">
        <f t="shared" si="261"/>
        <v>0.48484848484848486</v>
      </c>
      <c r="Q194" s="6">
        <f t="shared" si="262"/>
        <v>0.11688311688311681</v>
      </c>
      <c r="R194" s="4">
        <f t="shared" si="263"/>
        <v>1888.3045628387363</v>
      </c>
      <c r="S194" s="4">
        <f t="shared" si="264"/>
        <v>2298.8055547602007</v>
      </c>
      <c r="T194" s="4">
        <f t="shared" si="265"/>
        <v>4187.110117598937</v>
      </c>
      <c r="U194" s="4">
        <f t="shared" si="266"/>
        <v>1780.4014449622371</v>
      </c>
      <c r="V194" s="4">
        <f t="shared" si="267"/>
        <v>2167.4452373453323</v>
      </c>
      <c r="W194" s="4">
        <f t="shared" si="268"/>
        <v>3947.8466823075696</v>
      </c>
      <c r="X194" s="10"/>
      <c r="Y194" s="12"/>
      <c r="Z194" s="5"/>
      <c r="AA194" s="4"/>
      <c r="AB194" s="4"/>
      <c r="AC194" s="4"/>
      <c r="AD194" s="4"/>
      <c r="AF194" t="s">
        <v>306</v>
      </c>
      <c r="AG194" t="s">
        <v>30</v>
      </c>
      <c r="AH194" s="8">
        <f>D194</f>
        <v>42675</v>
      </c>
      <c r="AI194" s="3">
        <f>SUM(E194:E196)</f>
        <v>69.599999999999994</v>
      </c>
      <c r="AJ194" s="3">
        <f>(AI194-3*$A$33)*$A$34/(3*$A$35)*$A$36</f>
        <v>5093.9810236220465</v>
      </c>
      <c r="AK194" s="7">
        <f>SUM(G194:G196)</f>
        <v>14.08</v>
      </c>
      <c r="AL194" s="7">
        <f>SUM(H194:H196)</f>
        <v>13.34</v>
      </c>
      <c r="AM194" s="7">
        <f>(AK194-AL194)/AK194*100</f>
        <v>5.2556818181818201</v>
      </c>
      <c r="AN194" s="3">
        <f>AJ194*(1-AM194/100)</f>
        <v>4826.2575891419101</v>
      </c>
      <c r="AO194" s="11">
        <f>K194</f>
        <v>42760</v>
      </c>
      <c r="AP194" s="7">
        <f>SUM(L194:L196)</f>
        <v>13.34</v>
      </c>
      <c r="AQ194" s="7">
        <f t="shared" ref="AQ194" si="379">SUM(M194:M196)</f>
        <v>5.2200000000000006</v>
      </c>
      <c r="AR194" s="7">
        <f t="shared" ref="AR194" si="380">SUM(N194:N196)</f>
        <v>6.4600000000000009</v>
      </c>
      <c r="AS194" s="9">
        <f>AQ194/AP194</f>
        <v>0.39130434782608703</v>
      </c>
      <c r="AT194" s="9">
        <f>AR194/AP194</f>
        <v>0.48425787106446783</v>
      </c>
      <c r="AU194" s="9">
        <f>1-AS194-AT194</f>
        <v>0.12443778110944514</v>
      </c>
      <c r="AV194" s="3">
        <f>AJ194*AS194</f>
        <v>1993.296922286888</v>
      </c>
      <c r="AW194" s="3">
        <f>AJ194*AT194</f>
        <v>2466.8004057420108</v>
      </c>
      <c r="AX194" s="3">
        <f>AV194+AW194</f>
        <v>4460.097328028899</v>
      </c>
      <c r="AY194" s="3">
        <f>AN194*AS194</f>
        <v>1888.5355783598782</v>
      </c>
      <c r="AZ194" s="3">
        <f>AN194*AT194</f>
        <v>2337.1532253265923</v>
      </c>
      <c r="BA194" s="3">
        <f>AY194+AZ194</f>
        <v>4225.6888036864702</v>
      </c>
      <c r="BB194" s="11">
        <f>X195</f>
        <v>42901</v>
      </c>
      <c r="BC194" s="13">
        <f>AVERAGE(Y194:Y196)</f>
        <v>40</v>
      </c>
      <c r="BD194" s="7">
        <f t="shared" ref="BD194" si="381">AVERAGE(Z194:Z196)</f>
        <v>1.19</v>
      </c>
      <c r="BE194" s="3">
        <f t="shared" ref="BE194" si="382">AVERAGE(AA194:AA196)</f>
        <v>82.6</v>
      </c>
      <c r="BF194" s="3">
        <f t="shared" ref="BF194" si="383">AVERAGE(AB194:AB196)</f>
        <v>31.7</v>
      </c>
      <c r="BG194" s="3">
        <f t="shared" ref="BG194" si="384">AVERAGE(AC194:AC196)</f>
        <v>5.8</v>
      </c>
      <c r="BH194" s="3">
        <f t="shared" ref="BH194" si="385">AVERAGE(AD194:AD196)</f>
        <v>8.4</v>
      </c>
    </row>
    <row r="195" spans="1:60" x14ac:dyDescent="0.3">
      <c r="A195">
        <v>152</v>
      </c>
      <c r="B195" s="1" t="s">
        <v>197</v>
      </c>
      <c r="C195" s="1" t="s">
        <v>30</v>
      </c>
      <c r="D195" s="2">
        <v>42675</v>
      </c>
      <c r="E195" s="3">
        <v>24.54</v>
      </c>
      <c r="F195" s="4">
        <f t="shared" si="257"/>
        <v>5393.101732283465</v>
      </c>
      <c r="G195" s="7">
        <v>4.28</v>
      </c>
      <c r="H195" s="7">
        <v>4.0599999999999996</v>
      </c>
      <c r="I195" s="5">
        <f t="shared" si="258"/>
        <v>5.140186915887865</v>
      </c>
      <c r="J195" s="4">
        <f t="shared" si="259"/>
        <v>5115.8862226801084</v>
      </c>
      <c r="K195" s="2">
        <v>42760</v>
      </c>
      <c r="L195" s="7">
        <v>4.0599999999999996</v>
      </c>
      <c r="M195" s="7">
        <v>1.6</v>
      </c>
      <c r="N195" s="7">
        <v>2</v>
      </c>
      <c r="O195" s="6">
        <f t="shared" si="260"/>
        <v>0.39408866995073899</v>
      </c>
      <c r="P195" s="6">
        <f t="shared" si="261"/>
        <v>0.49261083743842371</v>
      </c>
      <c r="Q195" s="6">
        <f t="shared" si="262"/>
        <v>0.1133004926108373</v>
      </c>
      <c r="R195" s="4">
        <f t="shared" si="263"/>
        <v>2125.3602885846171</v>
      </c>
      <c r="S195" s="4">
        <f t="shared" si="264"/>
        <v>2656.7003607307711</v>
      </c>
      <c r="T195" s="4">
        <f t="shared" si="265"/>
        <v>4782.0606493153882</v>
      </c>
      <c r="U195" s="4">
        <f t="shared" si="266"/>
        <v>2016.1127971153139</v>
      </c>
      <c r="V195" s="4">
        <f t="shared" si="267"/>
        <v>2520.1409963941423</v>
      </c>
      <c r="W195" s="4">
        <f t="shared" si="268"/>
        <v>4536.253793509456</v>
      </c>
      <c r="X195" s="10">
        <v>42901</v>
      </c>
      <c r="Y195" s="12">
        <v>40</v>
      </c>
      <c r="Z195" s="5">
        <v>1.19</v>
      </c>
      <c r="AA195" s="4">
        <v>82.6</v>
      </c>
      <c r="AB195" s="4">
        <v>31.7</v>
      </c>
      <c r="AC195" s="4">
        <v>5.8</v>
      </c>
      <c r="AD195" s="4">
        <v>8.4</v>
      </c>
      <c r="AI195" s="3"/>
      <c r="AJ195" s="3"/>
      <c r="AK195" s="7"/>
      <c r="AL195" s="7"/>
      <c r="AM195" s="7"/>
      <c r="AN195" s="3"/>
      <c r="AO195" s="3"/>
      <c r="AP195" s="7"/>
      <c r="AQ195" s="7"/>
      <c r="AR195" s="7"/>
      <c r="AS195" s="9"/>
      <c r="AT195" s="9"/>
      <c r="AU195" s="9"/>
      <c r="AV195" s="3"/>
      <c r="AW195" s="3"/>
      <c r="AX195" s="3"/>
      <c r="AY195" s="3"/>
      <c r="AZ195" s="3"/>
      <c r="BA195" s="3"/>
      <c r="BC195" s="13"/>
      <c r="BD195" s="7"/>
      <c r="BE195" s="3"/>
      <c r="BF195" s="3"/>
      <c r="BG195" s="3"/>
      <c r="BH195" s="3"/>
    </row>
    <row r="196" spans="1:60" x14ac:dyDescent="0.3">
      <c r="A196">
        <v>153</v>
      </c>
      <c r="B196" s="1" t="s">
        <v>198</v>
      </c>
      <c r="C196" s="1" t="s">
        <v>30</v>
      </c>
      <c r="D196" s="2">
        <v>42675</v>
      </c>
      <c r="E196" s="3">
        <v>23.44</v>
      </c>
      <c r="F196" s="4">
        <f t="shared" si="257"/>
        <v>5147.5548818897641</v>
      </c>
      <c r="G196" s="7">
        <v>4.9000000000000004</v>
      </c>
      <c r="H196" s="7">
        <v>4.66</v>
      </c>
      <c r="I196" s="5">
        <f t="shared" si="258"/>
        <v>4.897959183673473</v>
      </c>
      <c r="J196" s="4">
        <f t="shared" si="259"/>
        <v>4895.4297448176121</v>
      </c>
      <c r="K196" s="2">
        <v>42760</v>
      </c>
      <c r="L196" s="7">
        <v>4.66</v>
      </c>
      <c r="M196" s="7">
        <v>1.78</v>
      </c>
      <c r="N196" s="7">
        <v>2.2200000000000002</v>
      </c>
      <c r="O196" s="6">
        <f t="shared" si="260"/>
        <v>0.38197424892703863</v>
      </c>
      <c r="P196" s="6">
        <f t="shared" si="261"/>
        <v>0.47639484978540775</v>
      </c>
      <c r="Q196" s="6">
        <f t="shared" si="262"/>
        <v>0.14163090128755368</v>
      </c>
      <c r="R196" s="4">
        <f t="shared" si="263"/>
        <v>1966.2334098205538</v>
      </c>
      <c r="S196" s="4">
        <f t="shared" si="264"/>
        <v>2452.2686347200165</v>
      </c>
      <c r="T196" s="4">
        <f t="shared" si="265"/>
        <v>4418.5020445405698</v>
      </c>
      <c r="U196" s="4">
        <f t="shared" si="266"/>
        <v>1869.9280999517919</v>
      </c>
      <c r="V196" s="4">
        <f t="shared" si="267"/>
        <v>2332.1575179174033</v>
      </c>
      <c r="W196" s="4">
        <f t="shared" si="268"/>
        <v>4202.0856178691956</v>
      </c>
      <c r="X196" s="10"/>
      <c r="Y196" s="12"/>
      <c r="Z196" s="5"/>
      <c r="AA196" s="4"/>
      <c r="AB196" s="4"/>
      <c r="AC196" s="4"/>
      <c r="AD196" s="4"/>
      <c r="AI196" s="3"/>
      <c r="AJ196" s="3"/>
      <c r="AK196" s="7"/>
      <c r="AL196" s="7"/>
      <c r="AM196" s="7"/>
      <c r="AN196" s="3"/>
      <c r="AO196" s="3"/>
      <c r="AP196" s="7"/>
      <c r="AQ196" s="7"/>
      <c r="AR196" s="7"/>
      <c r="AS196" s="9"/>
      <c r="AT196" s="9"/>
      <c r="AU196" s="9"/>
      <c r="AV196" s="3"/>
      <c r="AW196" s="3"/>
      <c r="AX196" s="3"/>
      <c r="AY196" s="3"/>
      <c r="AZ196" s="3"/>
      <c r="BA196" s="3"/>
      <c r="BC196" s="13"/>
      <c r="BD196" s="7"/>
      <c r="BE196" s="3"/>
      <c r="BF196" s="3"/>
      <c r="BG196" s="3"/>
      <c r="BH196" s="3"/>
    </row>
    <row r="197" spans="1:60" x14ac:dyDescent="0.3">
      <c r="A197">
        <v>154</v>
      </c>
      <c r="B197" s="1" t="s">
        <v>199</v>
      </c>
      <c r="C197" s="1" t="s">
        <v>30</v>
      </c>
      <c r="D197" s="2">
        <v>42675</v>
      </c>
      <c r="E197" s="3">
        <v>23.38</v>
      </c>
      <c r="F197" s="4">
        <f t="shared" si="257"/>
        <v>5134.1614173228345</v>
      </c>
      <c r="G197" s="7">
        <v>4.8400000000000007</v>
      </c>
      <c r="H197" s="7">
        <v>4.5999999999999996</v>
      </c>
      <c r="I197" s="5">
        <f t="shared" si="258"/>
        <v>4.9586776859504349</v>
      </c>
      <c r="J197" s="4">
        <f t="shared" si="259"/>
        <v>4879.5749007613704</v>
      </c>
      <c r="K197" s="2">
        <v>42758</v>
      </c>
      <c r="L197" s="7">
        <v>4.5999999999999996</v>
      </c>
      <c r="M197" s="7">
        <v>1.82</v>
      </c>
      <c r="N197" s="7">
        <v>2.2799999999999998</v>
      </c>
      <c r="O197" s="6">
        <f t="shared" si="260"/>
        <v>0.39565217391304353</v>
      </c>
      <c r="P197" s="6">
        <f t="shared" si="261"/>
        <v>0.49565217391304345</v>
      </c>
      <c r="Q197" s="6">
        <f t="shared" si="262"/>
        <v>0.10869565217391303</v>
      </c>
      <c r="R197" s="4">
        <f t="shared" si="263"/>
        <v>2031.3421259842521</v>
      </c>
      <c r="S197" s="4">
        <f t="shared" si="264"/>
        <v>2544.7582677165351</v>
      </c>
      <c r="T197" s="4">
        <f t="shared" si="265"/>
        <v>4576.1003937007872</v>
      </c>
      <c r="U197" s="4">
        <f t="shared" si="266"/>
        <v>1930.6144172577599</v>
      </c>
      <c r="V197" s="4">
        <f t="shared" si="267"/>
        <v>2418.5719073338964</v>
      </c>
      <c r="W197" s="4">
        <f t="shared" si="268"/>
        <v>4349.1863245916566</v>
      </c>
      <c r="X197" s="10"/>
      <c r="Y197" s="12"/>
      <c r="Z197" s="5"/>
      <c r="AA197" s="4"/>
      <c r="AB197" s="4"/>
      <c r="AC197" s="4"/>
      <c r="AD197" s="4"/>
      <c r="AF197" t="s">
        <v>307</v>
      </c>
      <c r="AG197" t="s">
        <v>30</v>
      </c>
      <c r="AH197" s="8">
        <f>D197</f>
        <v>42675</v>
      </c>
      <c r="AI197" s="3">
        <f>SUM(E197:E199)</f>
        <v>72.760000000000005</v>
      </c>
      <c r="AJ197" s="3">
        <f>(AI197-3*$A$33)*$A$34/(3*$A$35)*$A$36</f>
        <v>5329.1107349081367</v>
      </c>
      <c r="AK197" s="7">
        <f>SUM(G197:G199)</f>
        <v>14.360000000000003</v>
      </c>
      <c r="AL197" s="7">
        <f>SUM(H197:H199)</f>
        <v>13.66</v>
      </c>
      <c r="AM197" s="7">
        <f>(AK197-AL197)/AK197*100</f>
        <v>4.874651810584977</v>
      </c>
      <c r="AN197" s="3">
        <f>AJ197*(1-AM197/100)</f>
        <v>5069.3351419808587</v>
      </c>
      <c r="AO197" s="11">
        <f>K197</f>
        <v>42758</v>
      </c>
      <c r="AP197" s="7">
        <f>SUM(L197:L199)</f>
        <v>13.66</v>
      </c>
      <c r="AQ197" s="7">
        <f t="shared" ref="AQ197" si="386">SUM(M197:M199)</f>
        <v>5.48</v>
      </c>
      <c r="AR197" s="7">
        <f t="shared" ref="AR197" si="387">SUM(N197:N199)</f>
        <v>6.84</v>
      </c>
      <c r="AS197" s="9">
        <f>AQ197/AP197</f>
        <v>0.40117130307467058</v>
      </c>
      <c r="AT197" s="9">
        <f>AR197/AP197</f>
        <v>0.50073206442166907</v>
      </c>
      <c r="AU197" s="9">
        <f>1-AS197-AT197</f>
        <v>9.8096632503660297E-2</v>
      </c>
      <c r="AV197" s="3">
        <f>AJ197*AS197</f>
        <v>2137.8862977523127</v>
      </c>
      <c r="AW197" s="3">
        <f>AJ197*AT197</f>
        <v>2668.4566198222292</v>
      </c>
      <c r="AX197" s="3">
        <f>AV197+AW197</f>
        <v>4806.3429175745423</v>
      </c>
      <c r="AY197" s="3">
        <f>AN197*AS197</f>
        <v>2033.6717846306813</v>
      </c>
      <c r="AZ197" s="3">
        <f>AN197*AT197</f>
        <v>2538.3786508893904</v>
      </c>
      <c r="BA197" s="3">
        <f>AY197+AZ197</f>
        <v>4572.0504355200719</v>
      </c>
      <c r="BB197" s="11">
        <f>X198</f>
        <v>42901</v>
      </c>
      <c r="BC197" s="13">
        <f>AVERAGE(Y197:Y199)</f>
        <v>43</v>
      </c>
      <c r="BD197" s="7">
        <f t="shared" ref="BD197" si="388">AVERAGE(Z197:Z199)</f>
        <v>1.1399999999999999</v>
      </c>
      <c r="BE197" s="3">
        <f t="shared" ref="BE197" si="389">AVERAGE(AA197:AA199)</f>
        <v>82</v>
      </c>
      <c r="BF197" s="3">
        <f t="shared" ref="BF197" si="390">AVERAGE(AB197:AB199)</f>
        <v>31.3</v>
      </c>
      <c r="BG197" s="3">
        <f t="shared" ref="BG197" si="391">AVERAGE(AC197:AC199)</f>
        <v>5.5</v>
      </c>
      <c r="BH197" s="3">
        <f t="shared" ref="BH197" si="392">AVERAGE(AD197:AD199)</f>
        <v>8.8000000000000007</v>
      </c>
    </row>
    <row r="198" spans="1:60" x14ac:dyDescent="0.3">
      <c r="A198">
        <v>155</v>
      </c>
      <c r="B198" s="1" t="s">
        <v>200</v>
      </c>
      <c r="C198" s="1" t="s">
        <v>30</v>
      </c>
      <c r="D198" s="2">
        <v>42675</v>
      </c>
      <c r="E198" s="3">
        <v>24.12</v>
      </c>
      <c r="F198" s="4">
        <f t="shared" si="257"/>
        <v>5299.3474803149611</v>
      </c>
      <c r="G198" s="7">
        <v>4.8400000000000007</v>
      </c>
      <c r="H198" s="7">
        <v>4.5999999999999996</v>
      </c>
      <c r="I198" s="5">
        <f t="shared" si="258"/>
        <v>4.9586776859504349</v>
      </c>
      <c r="J198" s="4">
        <f t="shared" si="259"/>
        <v>5036.5699193076071</v>
      </c>
      <c r="K198" s="2">
        <v>42760</v>
      </c>
      <c r="L198" s="7">
        <v>4.5999999999999996</v>
      </c>
      <c r="M198" s="7">
        <v>1.86</v>
      </c>
      <c r="N198" s="7">
        <v>2.2999999999999998</v>
      </c>
      <c r="O198" s="6">
        <f t="shared" si="260"/>
        <v>0.40434782608695657</v>
      </c>
      <c r="P198" s="6">
        <f t="shared" si="261"/>
        <v>0.5</v>
      </c>
      <c r="Q198" s="6">
        <f t="shared" si="262"/>
        <v>9.565217391304337E-2</v>
      </c>
      <c r="R198" s="4">
        <f t="shared" si="263"/>
        <v>2142.7796333447454</v>
      </c>
      <c r="S198" s="4">
        <f t="shared" si="264"/>
        <v>2649.6737401574806</v>
      </c>
      <c r="T198" s="4">
        <f t="shared" si="265"/>
        <v>4792.453373502226</v>
      </c>
      <c r="U198" s="4">
        <f t="shared" si="266"/>
        <v>2036.5260978069891</v>
      </c>
      <c r="V198" s="4">
        <f t="shared" si="267"/>
        <v>2518.2849596538035</v>
      </c>
      <c r="W198" s="4">
        <f t="shared" si="268"/>
        <v>4554.8110574607927</v>
      </c>
      <c r="X198" s="10">
        <v>42901</v>
      </c>
      <c r="Y198" s="12">
        <v>43</v>
      </c>
      <c r="Z198" s="5">
        <v>1.1399999999999999</v>
      </c>
      <c r="AA198" s="4">
        <v>82</v>
      </c>
      <c r="AB198" s="4">
        <v>31.3</v>
      </c>
      <c r="AC198" s="4">
        <v>5.5</v>
      </c>
      <c r="AD198" s="4">
        <v>8.8000000000000007</v>
      </c>
      <c r="AI198" s="3"/>
      <c r="AJ198" s="3"/>
      <c r="AK198" s="7"/>
      <c r="AL198" s="7"/>
      <c r="AM198" s="7"/>
      <c r="AN198" s="3"/>
      <c r="AO198" s="3"/>
      <c r="AP198" s="7"/>
      <c r="AQ198" s="7"/>
      <c r="AR198" s="7"/>
      <c r="AS198" s="9"/>
      <c r="AT198" s="9"/>
      <c r="AU198" s="9"/>
      <c r="AV198" s="3"/>
      <c r="AW198" s="3"/>
      <c r="AX198" s="3"/>
      <c r="AY198" s="3"/>
      <c r="AZ198" s="3"/>
      <c r="BA198" s="3"/>
      <c r="BC198" s="13"/>
      <c r="BD198" s="7"/>
      <c r="BE198" s="3"/>
      <c r="BF198" s="3"/>
      <c r="BG198" s="3"/>
      <c r="BH198" s="3"/>
    </row>
    <row r="199" spans="1:60" x14ac:dyDescent="0.3">
      <c r="A199">
        <v>156</v>
      </c>
      <c r="B199" s="1" t="s">
        <v>201</v>
      </c>
      <c r="C199" s="1" t="s">
        <v>30</v>
      </c>
      <c r="D199" s="2">
        <v>42675</v>
      </c>
      <c r="E199" s="3">
        <v>25.26</v>
      </c>
      <c r="F199" s="4">
        <f t="shared" si="257"/>
        <v>5553.8233070866154</v>
      </c>
      <c r="G199" s="7">
        <v>4.6800000000000006</v>
      </c>
      <c r="H199" s="7">
        <v>4.46</v>
      </c>
      <c r="I199" s="5">
        <f t="shared" si="258"/>
        <v>4.7008547008547144</v>
      </c>
      <c r="J199" s="4">
        <f t="shared" si="259"/>
        <v>5292.7461430782696</v>
      </c>
      <c r="K199" s="2">
        <v>42760</v>
      </c>
      <c r="L199" s="7">
        <v>4.46</v>
      </c>
      <c r="M199" s="7">
        <v>1.8</v>
      </c>
      <c r="N199" s="7">
        <v>2.2599999999999998</v>
      </c>
      <c r="O199" s="6">
        <f t="shared" si="260"/>
        <v>0.40358744394618834</v>
      </c>
      <c r="P199" s="6">
        <f t="shared" si="261"/>
        <v>0.50672645739910305</v>
      </c>
      <c r="Q199" s="6">
        <f t="shared" si="262"/>
        <v>8.9686098654708557E-2</v>
      </c>
      <c r="R199" s="4">
        <f t="shared" si="263"/>
        <v>2241.4533526358537</v>
      </c>
      <c r="S199" s="4">
        <f t="shared" si="264"/>
        <v>2814.2692094205713</v>
      </c>
      <c r="T199" s="4">
        <f t="shared" si="265"/>
        <v>5055.722562056425</v>
      </c>
      <c r="U199" s="4">
        <f t="shared" si="266"/>
        <v>2136.0858873410057</v>
      </c>
      <c r="V199" s="4">
        <f t="shared" si="267"/>
        <v>2681.9745029948176</v>
      </c>
      <c r="W199" s="4">
        <f t="shared" si="268"/>
        <v>4818.0603903358233</v>
      </c>
      <c r="X199" s="10"/>
      <c r="Y199" s="12"/>
      <c r="Z199" s="5"/>
      <c r="AA199" s="4"/>
      <c r="AB199" s="4"/>
      <c r="AC199" s="4"/>
      <c r="AD199" s="4"/>
      <c r="AI199" s="3"/>
      <c r="AJ199" s="3"/>
      <c r="AK199" s="7"/>
      <c r="AL199" s="7"/>
      <c r="AM199" s="7"/>
      <c r="AN199" s="3"/>
      <c r="AO199" s="3"/>
      <c r="AP199" s="7"/>
      <c r="AQ199" s="7"/>
      <c r="AR199" s="7"/>
      <c r="AS199" s="9"/>
      <c r="AT199" s="9"/>
      <c r="AU199" s="9"/>
      <c r="AV199" s="3"/>
      <c r="AW199" s="3"/>
      <c r="AX199" s="3"/>
      <c r="AY199" s="3"/>
      <c r="AZ199" s="3"/>
      <c r="BA199" s="3"/>
      <c r="BC199" s="13"/>
      <c r="BD199" s="7"/>
      <c r="BE199" s="3"/>
      <c r="BF199" s="3"/>
      <c r="BG199" s="3"/>
      <c r="BH199" s="3"/>
    </row>
    <row r="200" spans="1:60" x14ac:dyDescent="0.3">
      <c r="A200">
        <v>157</v>
      </c>
      <c r="B200" s="1" t="s">
        <v>202</v>
      </c>
      <c r="C200" s="1" t="s">
        <v>30</v>
      </c>
      <c r="D200" s="2">
        <v>42675</v>
      </c>
      <c r="E200" s="3">
        <v>23.26</v>
      </c>
      <c r="F200" s="4">
        <f t="shared" si="257"/>
        <v>5107.3744881889761</v>
      </c>
      <c r="G200" s="7">
        <v>4.58</v>
      </c>
      <c r="H200" s="7">
        <v>4.34</v>
      </c>
      <c r="I200" s="5">
        <f t="shared" si="258"/>
        <v>5.2401746724890872</v>
      </c>
      <c r="J200" s="4">
        <f t="shared" si="259"/>
        <v>4839.7391438297282</v>
      </c>
      <c r="K200" s="2">
        <v>42741</v>
      </c>
      <c r="L200" s="7">
        <v>4.34</v>
      </c>
      <c r="M200" s="7">
        <v>1.62</v>
      </c>
      <c r="N200" s="7">
        <v>2.44</v>
      </c>
      <c r="O200" s="6">
        <f t="shared" si="260"/>
        <v>0.37327188940092171</v>
      </c>
      <c r="P200" s="6">
        <f t="shared" si="261"/>
        <v>0.56221198156682028</v>
      </c>
      <c r="Q200" s="6">
        <f t="shared" si="262"/>
        <v>6.4516129032258007E-2</v>
      </c>
      <c r="R200" s="4">
        <f t="shared" si="263"/>
        <v>1906.4393250843646</v>
      </c>
      <c r="S200" s="4">
        <f t="shared" si="264"/>
        <v>2871.4271316085487</v>
      </c>
      <c r="T200" s="4">
        <f t="shared" si="265"/>
        <v>4777.8664566929128</v>
      </c>
      <c r="U200" s="4">
        <f t="shared" si="266"/>
        <v>1806.5385744249218</v>
      </c>
      <c r="V200" s="4">
        <f t="shared" si="267"/>
        <v>2720.9593343190177</v>
      </c>
      <c r="W200" s="4">
        <f t="shared" si="268"/>
        <v>4527.4979087439397</v>
      </c>
      <c r="X200" s="10"/>
      <c r="Y200" s="12"/>
      <c r="Z200" s="5"/>
      <c r="AA200" s="4"/>
      <c r="AB200" s="4"/>
      <c r="AC200" s="4"/>
      <c r="AD200" s="4"/>
      <c r="AF200" t="s">
        <v>308</v>
      </c>
      <c r="AG200" t="str">
        <f>C200</f>
        <v>Machine</v>
      </c>
      <c r="AH200" s="8">
        <f>D200</f>
        <v>42675</v>
      </c>
      <c r="AI200" s="3">
        <f>SUM(E200:E202)</f>
        <v>71.22</v>
      </c>
      <c r="AJ200" s="3">
        <f>(AI200-3*$A$33)*$A$34/(3*$A$35)*$A$36</f>
        <v>5214.5222047244088</v>
      </c>
      <c r="AK200" s="7">
        <f>SUM(G200:G202)</f>
        <v>13.7</v>
      </c>
      <c r="AL200" s="7">
        <f>SUM(H200:H202)</f>
        <v>12.999999999999998</v>
      </c>
      <c r="AM200" s="7">
        <f>(AK200-AL200)/AK200*100</f>
        <v>5.1094890510948989</v>
      </c>
      <c r="AN200" s="3">
        <f>AJ200*(1-AM200/100)</f>
        <v>4948.0867636071025</v>
      </c>
      <c r="AO200" s="11">
        <f>K200</f>
        <v>42741</v>
      </c>
      <c r="AP200" s="7">
        <f>SUM(L200:L202)</f>
        <v>12.999999999999998</v>
      </c>
      <c r="AQ200" s="7">
        <f t="shared" ref="AQ200" si="393">SUM(M200:M202)</f>
        <v>4.9800000000000004</v>
      </c>
      <c r="AR200" s="7">
        <f t="shared" ref="AR200" si="394">SUM(N200:N202)</f>
        <v>6.78</v>
      </c>
      <c r="AS200" s="9">
        <f>AQ200/AP200</f>
        <v>0.38307692307692315</v>
      </c>
      <c r="AT200" s="9">
        <f>AR200/AP200</f>
        <v>0.52153846153846162</v>
      </c>
      <c r="AU200" s="9">
        <f>1-AS200-AT200</f>
        <v>9.538461538461529E-2</v>
      </c>
      <c r="AV200" s="3">
        <f>AJ200*AS200</f>
        <v>1997.5631215021201</v>
      </c>
      <c r="AW200" s="3">
        <f>AJ200*AT200</f>
        <v>2719.5738883101153</v>
      </c>
      <c r="AX200" s="3">
        <f>AV200+AW200</f>
        <v>4717.1370098122352</v>
      </c>
      <c r="AY200" s="3">
        <f>AN200*AS200</f>
        <v>1895.4978525202596</v>
      </c>
      <c r="AZ200" s="3">
        <f>AN200*AT200</f>
        <v>2580.6175582504738</v>
      </c>
      <c r="BA200" s="3">
        <f>AY200+AZ200</f>
        <v>4476.1154107707334</v>
      </c>
      <c r="BB200" s="11">
        <f>X201</f>
        <v>42901</v>
      </c>
      <c r="BC200" s="13">
        <f>AVERAGE(Y200:Y202)</f>
        <v>37</v>
      </c>
      <c r="BD200" s="7">
        <f t="shared" ref="BD200" si="395">AVERAGE(Z200:Z202)</f>
        <v>1.1499999999999999</v>
      </c>
      <c r="BE200" s="3">
        <f t="shared" ref="BE200" si="396">AVERAGE(AA200:AA202)</f>
        <v>81.5</v>
      </c>
      <c r="BF200" s="3">
        <f t="shared" ref="BF200" si="397">AVERAGE(AB200:AB202)</f>
        <v>30.6</v>
      </c>
      <c r="BG200" s="3">
        <f t="shared" ref="BG200" si="398">AVERAGE(AC200:AC202)</f>
        <v>5.5</v>
      </c>
      <c r="BH200" s="3">
        <f t="shared" ref="BH200" si="399">AVERAGE(AD200:AD202)</f>
        <v>9.6</v>
      </c>
    </row>
    <row r="201" spans="1:60" x14ac:dyDescent="0.3">
      <c r="A201">
        <v>158</v>
      </c>
      <c r="B201" s="1" t="s">
        <v>203</v>
      </c>
      <c r="C201" s="1" t="s">
        <v>30</v>
      </c>
      <c r="D201" s="2">
        <v>42675</v>
      </c>
      <c r="E201" s="3">
        <v>23.94</v>
      </c>
      <c r="F201" s="4">
        <f t="shared" si="257"/>
        <v>5259.1670866141731</v>
      </c>
      <c r="G201" s="7">
        <v>4.2600000000000007</v>
      </c>
      <c r="H201" s="7">
        <v>4.0599999999999996</v>
      </c>
      <c r="I201" s="5">
        <f t="shared" si="258"/>
        <v>4.6948356807511979</v>
      </c>
      <c r="J201" s="4">
        <f t="shared" si="259"/>
        <v>5012.2578337214873</v>
      </c>
      <c r="K201" s="2">
        <v>42758</v>
      </c>
      <c r="L201" s="7">
        <v>4.0599999999999996</v>
      </c>
      <c r="M201" s="7">
        <v>1.58</v>
      </c>
      <c r="N201" s="7">
        <v>2.04</v>
      </c>
      <c r="O201" s="6">
        <f t="shared" si="260"/>
        <v>0.38916256157635476</v>
      </c>
      <c r="P201" s="6">
        <f t="shared" si="261"/>
        <v>0.50246305418719217</v>
      </c>
      <c r="Q201" s="6">
        <f t="shared" si="262"/>
        <v>0.10837438423645307</v>
      </c>
      <c r="R201" s="4">
        <f t="shared" si="263"/>
        <v>2046.6709351848265</v>
      </c>
      <c r="S201" s="4">
        <f t="shared" si="264"/>
        <v>2642.5371568209148</v>
      </c>
      <c r="T201" s="4">
        <f t="shared" si="265"/>
        <v>4689.2080920057415</v>
      </c>
      <c r="U201" s="4">
        <f t="shared" si="266"/>
        <v>1950.5830978522049</v>
      </c>
      <c r="V201" s="4">
        <f t="shared" si="267"/>
        <v>2518.4743795053782</v>
      </c>
      <c r="W201" s="4">
        <f t="shared" si="268"/>
        <v>4469.0574773575827</v>
      </c>
      <c r="X201" s="10">
        <v>42901</v>
      </c>
      <c r="Y201" s="12">
        <v>37</v>
      </c>
      <c r="Z201" s="5">
        <v>1.1499999999999999</v>
      </c>
      <c r="AA201" s="4">
        <v>81.5</v>
      </c>
      <c r="AB201" s="4">
        <v>30.6</v>
      </c>
      <c r="AC201" s="4">
        <v>5.5</v>
      </c>
      <c r="AD201" s="4">
        <v>9.6</v>
      </c>
      <c r="AI201" s="3"/>
      <c r="AJ201" s="3"/>
      <c r="AK201" s="7"/>
      <c r="AL201" s="7"/>
      <c r="AM201" s="7"/>
      <c r="AN201" s="3"/>
      <c r="AO201" s="3"/>
      <c r="AP201" s="7"/>
      <c r="AQ201" s="7"/>
      <c r="AR201" s="7"/>
      <c r="AS201" s="9"/>
      <c r="AT201" s="9"/>
      <c r="AU201" s="9"/>
      <c r="AV201" s="3"/>
      <c r="AW201" s="3"/>
      <c r="AX201" s="3"/>
      <c r="AY201" s="3"/>
      <c r="AZ201" s="3"/>
      <c r="BA201" s="3"/>
      <c r="BC201" s="13"/>
      <c r="BD201" s="7"/>
      <c r="BE201" s="3"/>
      <c r="BF201" s="3"/>
      <c r="BG201" s="3"/>
      <c r="BH201" s="3"/>
    </row>
    <row r="202" spans="1:60" x14ac:dyDescent="0.3">
      <c r="A202">
        <v>159</v>
      </c>
      <c r="B202" s="1" t="s">
        <v>204</v>
      </c>
      <c r="C202" s="1" t="s">
        <v>30</v>
      </c>
      <c r="D202" s="2">
        <v>42675</v>
      </c>
      <c r="E202" s="3">
        <v>24.02</v>
      </c>
      <c r="F202" s="4">
        <f t="shared" si="257"/>
        <v>5277.025039370078</v>
      </c>
      <c r="G202" s="7">
        <v>4.8600000000000003</v>
      </c>
      <c r="H202" s="7">
        <v>4.5999999999999996</v>
      </c>
      <c r="I202" s="5">
        <f t="shared" si="258"/>
        <v>5.349794238683141</v>
      </c>
      <c r="J202" s="4">
        <f t="shared" si="259"/>
        <v>4994.7150578399915</v>
      </c>
      <c r="K202" s="2">
        <v>42758</v>
      </c>
      <c r="L202" s="7">
        <v>4.5999999999999996</v>
      </c>
      <c r="M202" s="7">
        <v>1.78</v>
      </c>
      <c r="N202" s="7">
        <v>2.2999999999999998</v>
      </c>
      <c r="O202" s="6">
        <f t="shared" si="260"/>
        <v>0.38695652173913048</v>
      </c>
      <c r="P202" s="6">
        <f t="shared" si="261"/>
        <v>0.5</v>
      </c>
      <c r="Q202" s="6">
        <f t="shared" si="262"/>
        <v>0.11304347826086958</v>
      </c>
      <c r="R202" s="4">
        <f t="shared" si="263"/>
        <v>2041.9792543649435</v>
      </c>
      <c r="S202" s="4">
        <f t="shared" si="264"/>
        <v>2638.512519685039</v>
      </c>
      <c r="T202" s="4">
        <f t="shared" si="265"/>
        <v>4680.4917740499823</v>
      </c>
      <c r="U202" s="4">
        <f t="shared" si="266"/>
        <v>1932.737565859823</v>
      </c>
      <c r="V202" s="4">
        <f t="shared" si="267"/>
        <v>2497.3575289199957</v>
      </c>
      <c r="W202" s="4">
        <f t="shared" si="268"/>
        <v>4430.0950947798192</v>
      </c>
      <c r="X202" s="10"/>
      <c r="Y202" s="12"/>
      <c r="Z202" s="5"/>
      <c r="AA202" s="4"/>
      <c r="AB202" s="4"/>
      <c r="AC202" s="4"/>
      <c r="AD202" s="4"/>
      <c r="AI202" s="3"/>
      <c r="AJ202" s="3"/>
      <c r="AK202" s="7"/>
      <c r="AL202" s="7"/>
      <c r="AM202" s="7"/>
      <c r="AN202" s="3"/>
      <c r="AO202" s="3"/>
      <c r="AP202" s="7"/>
      <c r="AQ202" s="7"/>
      <c r="AR202" s="7"/>
      <c r="AS202" s="9"/>
      <c r="AT202" s="9"/>
      <c r="AU202" s="9"/>
      <c r="AV202" s="3"/>
      <c r="AW202" s="3"/>
      <c r="AX202" s="3"/>
      <c r="AY202" s="3"/>
      <c r="AZ202" s="3"/>
      <c r="BA202" s="3"/>
      <c r="BC202" s="13"/>
      <c r="BD202" s="7"/>
      <c r="BE202" s="3"/>
      <c r="BF202" s="3"/>
      <c r="BG202" s="3"/>
      <c r="BH202" s="3"/>
    </row>
    <row r="203" spans="1:60" x14ac:dyDescent="0.3">
      <c r="A203">
        <v>160</v>
      </c>
      <c r="B203" s="1" t="s">
        <v>205</v>
      </c>
      <c r="C203" s="1" t="s">
        <v>30</v>
      </c>
      <c r="D203" s="2">
        <v>42675</v>
      </c>
      <c r="E203" s="3">
        <v>23.18</v>
      </c>
      <c r="F203" s="4">
        <f t="shared" si="257"/>
        <v>5089.5165354330711</v>
      </c>
      <c r="G203" s="7">
        <v>4.9000000000000004</v>
      </c>
      <c r="H203" s="7">
        <v>4.5999999999999996</v>
      </c>
      <c r="I203" s="5">
        <f t="shared" si="258"/>
        <v>6.1224489795918506</v>
      </c>
      <c r="J203" s="4">
        <f t="shared" si="259"/>
        <v>4777.9134822432907</v>
      </c>
      <c r="K203" s="2">
        <v>42758</v>
      </c>
      <c r="L203" s="7">
        <v>4.5999999999999996</v>
      </c>
      <c r="M203" s="7">
        <v>1.84</v>
      </c>
      <c r="N203" s="7">
        <v>2.36</v>
      </c>
      <c r="O203" s="6">
        <f t="shared" si="260"/>
        <v>0.4</v>
      </c>
      <c r="P203" s="6">
        <f t="shared" si="261"/>
        <v>0.5130434782608696</v>
      </c>
      <c r="Q203" s="6">
        <f t="shared" si="262"/>
        <v>8.6956521739130377E-2</v>
      </c>
      <c r="R203" s="4">
        <f t="shared" si="263"/>
        <v>2035.8066141732286</v>
      </c>
      <c r="S203" s="4">
        <f t="shared" si="264"/>
        <v>2611.1432660047931</v>
      </c>
      <c r="T203" s="4">
        <f t="shared" si="265"/>
        <v>4646.9498801780219</v>
      </c>
      <c r="U203" s="4">
        <f t="shared" si="266"/>
        <v>1911.1653928973165</v>
      </c>
      <c r="V203" s="4">
        <f t="shared" si="267"/>
        <v>2451.2773517596015</v>
      </c>
      <c r="W203" s="4">
        <f t="shared" si="268"/>
        <v>4362.442744656918</v>
      </c>
      <c r="X203" s="10"/>
      <c r="Y203" s="12"/>
      <c r="Z203" s="5"/>
      <c r="AA203" s="4"/>
      <c r="AB203" s="4"/>
      <c r="AC203" s="4"/>
      <c r="AD203" s="4"/>
      <c r="AF203" t="s">
        <v>309</v>
      </c>
      <c r="AG203" t="s">
        <v>30</v>
      </c>
      <c r="AH203" s="8">
        <f>D203</f>
        <v>42675</v>
      </c>
      <c r="AI203" s="3">
        <f>SUM(E203:E205)</f>
        <v>67.539999999999992</v>
      </c>
      <c r="AJ203" s="3">
        <f>(AI203-3*$A$33)*$A$34/(3*$A$35)*$A$36</f>
        <v>4940.7002624671904</v>
      </c>
      <c r="AK203" s="7">
        <f>SUM(G203:G205)</f>
        <v>13.66</v>
      </c>
      <c r="AL203" s="7">
        <f>SUM(H203:H205)</f>
        <v>12.920000000000002</v>
      </c>
      <c r="AM203" s="7">
        <f>(AK203-AL203)/AK203*100</f>
        <v>5.4172767203513796</v>
      </c>
      <c r="AN203" s="3">
        <f>AJ203*(1-AM203/100)</f>
        <v>4673.0488573262155</v>
      </c>
      <c r="AO203" s="11">
        <f>K203</f>
        <v>42758</v>
      </c>
      <c r="AP203" s="7">
        <f>SUM(L203:L205)</f>
        <v>12.920000000000002</v>
      </c>
      <c r="AQ203" s="7">
        <f t="shared" ref="AQ203" si="400">SUM(M203:M205)</f>
        <v>5.24</v>
      </c>
      <c r="AR203" s="7">
        <f t="shared" ref="AR203" si="401">SUM(N203:N205)</f>
        <v>6.6400000000000006</v>
      </c>
      <c r="AS203" s="9">
        <f>AQ203/AP203</f>
        <v>0.40557275541795662</v>
      </c>
      <c r="AT203" s="9">
        <f>AR203/AP203</f>
        <v>0.51393188854489158</v>
      </c>
      <c r="AU203" s="9">
        <f>1-AS203-AT203</f>
        <v>8.0495356037151744E-2</v>
      </c>
      <c r="AV203" s="3">
        <f>AJ203*AS203</f>
        <v>2003.8134191430399</v>
      </c>
      <c r="AW203" s="3">
        <f>AJ203*AT203</f>
        <v>2539.1834166240046</v>
      </c>
      <c r="AX203" s="3">
        <f>AV203+AW203</f>
        <v>4542.9968357670441</v>
      </c>
      <c r="AY203" s="3">
        <f>AN203*AS203</f>
        <v>1895.2613012685269</v>
      </c>
      <c r="AZ203" s="3">
        <f>AN203*AT203</f>
        <v>2401.6288245082096</v>
      </c>
      <c r="BA203" s="3">
        <f>AY203+AZ203</f>
        <v>4296.8901257767366</v>
      </c>
      <c r="BB203" s="11">
        <f>X204</f>
        <v>42901</v>
      </c>
      <c r="BC203" s="13">
        <f>AVERAGE(Y203:Y205)</f>
        <v>42</v>
      </c>
      <c r="BD203" s="7">
        <f t="shared" ref="BD203" si="402">AVERAGE(Z203:Z205)</f>
        <v>1.18</v>
      </c>
      <c r="BE203" s="3">
        <f t="shared" ref="BE203" si="403">AVERAGE(AA203:AA205)</f>
        <v>82.5</v>
      </c>
      <c r="BF203" s="3">
        <f t="shared" ref="BF203" si="404">AVERAGE(AB203:AB205)</f>
        <v>31.8</v>
      </c>
      <c r="BG203" s="3">
        <f t="shared" ref="BG203" si="405">AVERAGE(AC203:AC205)</f>
        <v>5.6</v>
      </c>
      <c r="BH203" s="3">
        <f t="shared" ref="BH203" si="406">AVERAGE(AD203:AD205)</f>
        <v>8.8000000000000007</v>
      </c>
    </row>
    <row r="204" spans="1:60" x14ac:dyDescent="0.3">
      <c r="A204">
        <v>161</v>
      </c>
      <c r="B204" s="1" t="s">
        <v>206</v>
      </c>
      <c r="C204" s="1" t="s">
        <v>30</v>
      </c>
      <c r="D204" s="2">
        <v>42675</v>
      </c>
      <c r="E204" s="3">
        <v>21.18</v>
      </c>
      <c r="F204" s="4">
        <f t="shared" si="257"/>
        <v>4643.0677165354336</v>
      </c>
      <c r="G204" s="7">
        <v>4.4400000000000004</v>
      </c>
      <c r="H204" s="7">
        <v>4.2</v>
      </c>
      <c r="I204" s="5">
        <f t="shared" si="258"/>
        <v>5.4054054054054097</v>
      </c>
      <c r="J204" s="4">
        <f t="shared" si="259"/>
        <v>4392.091083209194</v>
      </c>
      <c r="K204" s="2">
        <v>42758</v>
      </c>
      <c r="L204" s="7">
        <v>4.2</v>
      </c>
      <c r="M204" s="7">
        <v>1.68</v>
      </c>
      <c r="N204" s="7">
        <v>2.14</v>
      </c>
      <c r="O204" s="6">
        <f t="shared" si="260"/>
        <v>0.39999999999999997</v>
      </c>
      <c r="P204" s="6">
        <f t="shared" si="261"/>
        <v>0.50952380952380949</v>
      </c>
      <c r="Q204" s="6">
        <f t="shared" si="262"/>
        <v>9.0476190476190599E-2</v>
      </c>
      <c r="R204" s="4">
        <f t="shared" si="263"/>
        <v>1857.2270866141732</v>
      </c>
      <c r="S204" s="4">
        <f t="shared" si="264"/>
        <v>2365.7535508061492</v>
      </c>
      <c r="T204" s="4">
        <f t="shared" si="265"/>
        <v>4222.9806374203226</v>
      </c>
      <c r="U204" s="4">
        <f t="shared" si="266"/>
        <v>1756.8364332836775</v>
      </c>
      <c r="V204" s="4">
        <f t="shared" si="267"/>
        <v>2237.8749804923036</v>
      </c>
      <c r="W204" s="4">
        <f t="shared" si="268"/>
        <v>3994.7114137759809</v>
      </c>
      <c r="X204" s="10">
        <v>42901</v>
      </c>
      <c r="Y204" s="12">
        <v>42</v>
      </c>
      <c r="Z204" s="5">
        <v>1.18</v>
      </c>
      <c r="AA204" s="4">
        <v>82.5</v>
      </c>
      <c r="AB204" s="4">
        <v>31.8</v>
      </c>
      <c r="AC204" s="4">
        <v>5.6</v>
      </c>
      <c r="AD204" s="4">
        <v>8.8000000000000007</v>
      </c>
      <c r="AI204" s="3"/>
      <c r="AJ204" s="3"/>
      <c r="AK204" s="7"/>
      <c r="AL204" s="7"/>
      <c r="AM204" s="7"/>
      <c r="AN204" s="3"/>
      <c r="AO204" s="3"/>
      <c r="AP204" s="7"/>
      <c r="AQ204" s="7"/>
      <c r="AR204" s="7"/>
      <c r="AS204" s="9"/>
      <c r="AT204" s="9"/>
      <c r="AU204" s="9"/>
      <c r="AV204" s="3"/>
      <c r="AW204" s="3"/>
      <c r="AX204" s="3"/>
      <c r="AY204" s="3"/>
      <c r="AZ204" s="3"/>
      <c r="BA204" s="3"/>
      <c r="BC204" s="13"/>
      <c r="BD204" s="7"/>
      <c r="BE204" s="3"/>
      <c r="BF204" s="3"/>
      <c r="BG204" s="3"/>
      <c r="BH204" s="3"/>
    </row>
    <row r="205" spans="1:60" x14ac:dyDescent="0.3">
      <c r="A205">
        <v>162</v>
      </c>
      <c r="B205" s="1" t="s">
        <v>207</v>
      </c>
      <c r="C205" s="1" t="s">
        <v>30</v>
      </c>
      <c r="D205" s="2">
        <v>42675</v>
      </c>
      <c r="E205" s="3">
        <v>23.18</v>
      </c>
      <c r="F205" s="4">
        <f t="shared" si="257"/>
        <v>5089.5165354330711</v>
      </c>
      <c r="G205" s="7">
        <v>4.32</v>
      </c>
      <c r="H205" s="7">
        <v>4.12</v>
      </c>
      <c r="I205" s="5">
        <f t="shared" si="258"/>
        <v>4.6296296296296333</v>
      </c>
      <c r="J205" s="4">
        <f t="shared" si="259"/>
        <v>4853.8907699037627</v>
      </c>
      <c r="K205" s="2">
        <v>42758</v>
      </c>
      <c r="L205" s="7">
        <v>4.12</v>
      </c>
      <c r="M205" s="7">
        <v>1.72</v>
      </c>
      <c r="N205" s="7">
        <v>2.14</v>
      </c>
      <c r="O205" s="6">
        <f t="shared" si="260"/>
        <v>0.41747572815533979</v>
      </c>
      <c r="P205" s="6">
        <f t="shared" si="261"/>
        <v>0.51941747572815533</v>
      </c>
      <c r="Q205" s="6">
        <f t="shared" si="262"/>
        <v>6.3106796116504826E-2</v>
      </c>
      <c r="R205" s="4">
        <f t="shared" si="263"/>
        <v>2124.7496215885635</v>
      </c>
      <c r="S205" s="4">
        <f t="shared" si="264"/>
        <v>2643.5838315113524</v>
      </c>
      <c r="T205" s="4">
        <f t="shared" si="265"/>
        <v>4768.3334530999164</v>
      </c>
      <c r="U205" s="4">
        <f t="shared" si="266"/>
        <v>2026.3815835520561</v>
      </c>
      <c r="V205" s="4">
        <f t="shared" si="267"/>
        <v>2521.1956911636048</v>
      </c>
      <c r="W205" s="4">
        <f t="shared" si="268"/>
        <v>4547.5772747156607</v>
      </c>
      <c r="X205" s="10"/>
      <c r="Y205" s="12"/>
      <c r="Z205" s="5"/>
      <c r="AA205" s="4"/>
      <c r="AB205" s="4"/>
      <c r="AC205" s="4"/>
      <c r="AD205" s="4"/>
      <c r="AI205" s="3"/>
      <c r="AJ205" s="3"/>
      <c r="AK205" s="7"/>
      <c r="AL205" s="7"/>
      <c r="AM205" s="7"/>
      <c r="AN205" s="3"/>
      <c r="AO205" s="3"/>
      <c r="AP205" s="7"/>
      <c r="AQ205" s="7"/>
      <c r="AR205" s="7"/>
      <c r="AS205" s="9"/>
      <c r="AT205" s="9"/>
      <c r="AU205" s="9"/>
      <c r="AV205" s="3"/>
      <c r="AW205" s="3"/>
      <c r="AX205" s="3"/>
      <c r="AY205" s="3"/>
      <c r="AZ205" s="3"/>
      <c r="BA205" s="3"/>
      <c r="BC205" s="13"/>
      <c r="BD205" s="7"/>
      <c r="BE205" s="3"/>
      <c r="BF205" s="3"/>
      <c r="BG205" s="3"/>
      <c r="BH205" s="3"/>
    </row>
    <row r="206" spans="1:60" x14ac:dyDescent="0.3">
      <c r="A206">
        <v>163</v>
      </c>
      <c r="B206" s="1" t="s">
        <v>208</v>
      </c>
      <c r="C206" s="1" t="s">
        <v>30</v>
      </c>
      <c r="D206" s="2">
        <v>42675</v>
      </c>
      <c r="E206" s="3">
        <v>24.9</v>
      </c>
      <c r="F206" s="4">
        <f t="shared" si="257"/>
        <v>5473.4625196850384</v>
      </c>
      <c r="G206" s="7">
        <v>4.7200000000000006</v>
      </c>
      <c r="H206" s="7">
        <v>4.46</v>
      </c>
      <c r="I206" s="5">
        <f t="shared" si="258"/>
        <v>5.5084745762712002</v>
      </c>
      <c r="J206" s="4">
        <f t="shared" si="259"/>
        <v>5171.9582283464551</v>
      </c>
      <c r="K206" s="2">
        <v>42758</v>
      </c>
      <c r="L206" s="7">
        <v>4.46</v>
      </c>
      <c r="M206" s="7">
        <v>1.78</v>
      </c>
      <c r="N206" s="7">
        <v>2.2400000000000002</v>
      </c>
      <c r="O206" s="6">
        <f t="shared" si="260"/>
        <v>0.3991031390134529</v>
      </c>
      <c r="P206" s="6">
        <f t="shared" si="261"/>
        <v>0.50224215246636772</v>
      </c>
      <c r="Q206" s="6">
        <f t="shared" si="262"/>
        <v>9.8654708520179324E-2</v>
      </c>
      <c r="R206" s="4">
        <f t="shared" si="263"/>
        <v>2184.4760728787819</v>
      </c>
      <c r="S206" s="4">
        <f t="shared" si="264"/>
        <v>2749.0035973306021</v>
      </c>
      <c r="T206" s="4">
        <f t="shared" si="265"/>
        <v>4933.4796702093845</v>
      </c>
      <c r="U206" s="4">
        <f t="shared" si="266"/>
        <v>2064.1447637795268</v>
      </c>
      <c r="V206" s="4">
        <f t="shared" si="267"/>
        <v>2597.5754330708655</v>
      </c>
      <c r="W206" s="4">
        <f t="shared" si="268"/>
        <v>4661.7201968503923</v>
      </c>
      <c r="X206" s="10"/>
      <c r="Y206" s="12"/>
      <c r="Z206" s="5"/>
      <c r="AA206" s="4"/>
      <c r="AB206" s="4"/>
      <c r="AC206" s="4"/>
      <c r="AD206" s="4"/>
      <c r="AF206" t="s">
        <v>310</v>
      </c>
      <c r="AG206" t="s">
        <v>30</v>
      </c>
      <c r="AH206" s="8">
        <f>D206</f>
        <v>42675</v>
      </c>
      <c r="AI206" s="3">
        <f>SUM(E206:E208)</f>
        <v>76.739999999999995</v>
      </c>
      <c r="AJ206" s="3">
        <f>(AI206-3*$A$33)*$A$34/(3*$A$35)*$A$36</f>
        <v>5625.2551181102363</v>
      </c>
      <c r="AK206" s="7">
        <f>SUM(G206:G208)</f>
        <v>13.680000000000001</v>
      </c>
      <c r="AL206" s="7">
        <f>SUM(H206:H208)</f>
        <v>12.979999999999999</v>
      </c>
      <c r="AM206" s="7">
        <f>(AK206-AL206)/AK206*100</f>
        <v>5.1169590643275056</v>
      </c>
      <c r="AN206" s="3">
        <f>AJ206*(1-AM206/100)</f>
        <v>5337.413116452547</v>
      </c>
      <c r="AO206" s="11">
        <f>K206</f>
        <v>42758</v>
      </c>
      <c r="AP206" s="7">
        <f>SUM(L206:L208)</f>
        <v>12.979999999999999</v>
      </c>
      <c r="AQ206" s="7">
        <f t="shared" ref="AQ206" si="407">SUM(M206:M208)</f>
        <v>5.1000000000000005</v>
      </c>
      <c r="AR206" s="7">
        <f t="shared" ref="AR206" si="408">SUM(N206:N208)</f>
        <v>6.48</v>
      </c>
      <c r="AS206" s="9">
        <f>AQ206/AP206</f>
        <v>0.39291217257318961</v>
      </c>
      <c r="AT206" s="9">
        <f>AR206/AP206</f>
        <v>0.49922958397534678</v>
      </c>
      <c r="AU206" s="9">
        <f>1-AS206-AT206</f>
        <v>0.10785824345146355</v>
      </c>
      <c r="AV206" s="3">
        <f>AJ206*AS206</f>
        <v>2210.2312097351473</v>
      </c>
      <c r="AW206" s="3">
        <f>AJ206*AT206</f>
        <v>2808.2937723693635</v>
      </c>
      <c r="AX206" s="3">
        <f>AV206+AW206</f>
        <v>5018.5249821045109</v>
      </c>
      <c r="AY206" s="3">
        <f>AN206*AS206</f>
        <v>2097.1345835060088</v>
      </c>
      <c r="AZ206" s="3">
        <f>AN206*AT206</f>
        <v>2664.5945296311643</v>
      </c>
      <c r="BA206" s="3">
        <f>AY206+AZ206</f>
        <v>4761.729113137173</v>
      </c>
      <c r="BB206" s="11">
        <f>X207</f>
        <v>42901</v>
      </c>
      <c r="BC206" s="13">
        <f>AVERAGE(Y206:Y208)</f>
        <v>44</v>
      </c>
      <c r="BD206" s="7">
        <f t="shared" ref="BD206" si="409">AVERAGE(Z206:Z208)</f>
        <v>1.19</v>
      </c>
      <c r="BE206" s="3">
        <f t="shared" ref="BE206" si="410">AVERAGE(AA206:AA208)</f>
        <v>83</v>
      </c>
      <c r="BF206" s="3">
        <f t="shared" ref="BF206" si="411">AVERAGE(AB206:AB208)</f>
        <v>31.7</v>
      </c>
      <c r="BG206" s="3">
        <f t="shared" ref="BG206" si="412">AVERAGE(AC206:AC208)</f>
        <v>5.7</v>
      </c>
      <c r="BH206" s="3">
        <f t="shared" ref="BH206" si="413">AVERAGE(AD206:AD208)</f>
        <v>8.5</v>
      </c>
    </row>
    <row r="207" spans="1:60" x14ac:dyDescent="0.3">
      <c r="A207">
        <v>164</v>
      </c>
      <c r="B207" s="1" t="s">
        <v>209</v>
      </c>
      <c r="C207" s="1" t="s">
        <v>30</v>
      </c>
      <c r="D207" s="2">
        <v>42675</v>
      </c>
      <c r="E207" s="3">
        <v>26.84</v>
      </c>
      <c r="F207" s="4">
        <f t="shared" si="257"/>
        <v>5906.517874015748</v>
      </c>
      <c r="G207" s="7">
        <v>4.1400000000000006</v>
      </c>
      <c r="H207" s="7">
        <v>3.92</v>
      </c>
      <c r="I207" s="5">
        <f t="shared" si="258"/>
        <v>5.3140096618357635</v>
      </c>
      <c r="J207" s="4">
        <f t="shared" si="259"/>
        <v>5592.644943512495</v>
      </c>
      <c r="K207" s="2">
        <v>42758</v>
      </c>
      <c r="L207" s="7">
        <v>3.92</v>
      </c>
      <c r="M207" s="7">
        <v>1.58</v>
      </c>
      <c r="N207" s="7">
        <v>1.96</v>
      </c>
      <c r="O207" s="6">
        <f t="shared" si="260"/>
        <v>0.40306122448979592</v>
      </c>
      <c r="P207" s="6">
        <f t="shared" si="261"/>
        <v>0.5</v>
      </c>
      <c r="Q207" s="6">
        <f t="shared" si="262"/>
        <v>9.6938775510204023E-2</v>
      </c>
      <c r="R207" s="4">
        <f t="shared" si="263"/>
        <v>2380.6883267716535</v>
      </c>
      <c r="S207" s="4">
        <f t="shared" si="264"/>
        <v>2953.258937007874</v>
      </c>
      <c r="T207" s="4">
        <f t="shared" si="265"/>
        <v>5333.9472637795279</v>
      </c>
      <c r="U207" s="4">
        <f t="shared" si="266"/>
        <v>2254.178319068812</v>
      </c>
      <c r="V207" s="4">
        <f t="shared" si="267"/>
        <v>2796.3224717562475</v>
      </c>
      <c r="W207" s="4">
        <f t="shared" si="268"/>
        <v>5050.5007908250591</v>
      </c>
      <c r="X207" s="10">
        <v>42901</v>
      </c>
      <c r="Y207" s="12">
        <v>44</v>
      </c>
      <c r="Z207" s="5">
        <v>1.19</v>
      </c>
      <c r="AA207" s="4">
        <v>83</v>
      </c>
      <c r="AB207" s="4">
        <v>31.7</v>
      </c>
      <c r="AC207" s="4">
        <v>5.7</v>
      </c>
      <c r="AD207" s="4">
        <v>8.5</v>
      </c>
      <c r="AI207" s="3"/>
      <c r="AJ207" s="3"/>
      <c r="AK207" s="7"/>
      <c r="AL207" s="7"/>
      <c r="AM207" s="7"/>
      <c r="AN207" s="3"/>
      <c r="AO207" s="3"/>
      <c r="AP207" s="7"/>
      <c r="AQ207" s="7"/>
      <c r="AR207" s="7"/>
      <c r="AS207" s="9"/>
      <c r="AT207" s="9"/>
      <c r="AU207" s="9"/>
      <c r="AV207" s="3"/>
      <c r="AW207" s="3"/>
      <c r="AX207" s="3"/>
      <c r="AY207" s="3"/>
      <c r="AZ207" s="3"/>
      <c r="BA207" s="3"/>
      <c r="BC207" s="13"/>
      <c r="BD207" s="7"/>
      <c r="BE207" s="3"/>
      <c r="BF207" s="3"/>
      <c r="BG207" s="3"/>
      <c r="BH207" s="3"/>
    </row>
    <row r="208" spans="1:60" x14ac:dyDescent="0.3">
      <c r="A208">
        <v>165</v>
      </c>
      <c r="B208" s="1" t="s">
        <v>210</v>
      </c>
      <c r="C208" s="1" t="s">
        <v>30</v>
      </c>
      <c r="D208" s="2">
        <v>42675</v>
      </c>
      <c r="E208" s="3">
        <v>25</v>
      </c>
      <c r="F208" s="4">
        <f t="shared" si="257"/>
        <v>5495.7849606299214</v>
      </c>
      <c r="G208" s="7">
        <v>4.82</v>
      </c>
      <c r="H208" s="7">
        <v>4.5999999999999996</v>
      </c>
      <c r="I208" s="5">
        <f t="shared" si="258"/>
        <v>4.5643153526971085</v>
      </c>
      <c r="J208" s="4">
        <f t="shared" si="259"/>
        <v>5244.9400039206712</v>
      </c>
      <c r="K208" s="2">
        <v>44936</v>
      </c>
      <c r="L208" s="7">
        <v>4.5999999999999996</v>
      </c>
      <c r="M208" s="7">
        <v>1.74</v>
      </c>
      <c r="N208" s="7">
        <v>2.2799999999999998</v>
      </c>
      <c r="O208" s="6">
        <f t="shared" si="260"/>
        <v>0.37826086956521743</v>
      </c>
      <c r="P208" s="6">
        <f t="shared" si="261"/>
        <v>0.49565217391304345</v>
      </c>
      <c r="Q208" s="6">
        <f t="shared" si="262"/>
        <v>0.12608695652173912</v>
      </c>
      <c r="R208" s="4">
        <f t="shared" si="263"/>
        <v>2078.8403981513184</v>
      </c>
      <c r="S208" s="4">
        <f t="shared" si="264"/>
        <v>2723.9977630948306</v>
      </c>
      <c r="T208" s="4">
        <f t="shared" si="265"/>
        <v>4802.838161246149</v>
      </c>
      <c r="U208" s="4">
        <f t="shared" si="266"/>
        <v>1983.9555667004279</v>
      </c>
      <c r="V208" s="4">
        <f t="shared" si="267"/>
        <v>2599.6659149867673</v>
      </c>
      <c r="W208" s="4">
        <f t="shared" si="268"/>
        <v>4583.6214816871952</v>
      </c>
      <c r="X208" s="10"/>
      <c r="Y208" s="12"/>
      <c r="Z208" s="5"/>
      <c r="AA208" s="4"/>
      <c r="AB208" s="4"/>
      <c r="AC208" s="4"/>
      <c r="AD208" s="4"/>
      <c r="AI208" s="3"/>
      <c r="AJ208" s="3"/>
      <c r="AK208" s="7"/>
      <c r="AL208" s="7"/>
      <c r="AM208" s="7"/>
      <c r="AN208" s="3"/>
      <c r="AO208" s="3"/>
      <c r="AP208" s="7"/>
      <c r="AQ208" s="7"/>
      <c r="AR208" s="7"/>
      <c r="AS208" s="9"/>
      <c r="AT208" s="9"/>
      <c r="AU208" s="9"/>
      <c r="AV208" s="3"/>
      <c r="AW208" s="3"/>
      <c r="AX208" s="3"/>
      <c r="AY208" s="3"/>
      <c r="AZ208" s="3"/>
      <c r="BA208" s="3"/>
      <c r="BC208" s="13"/>
      <c r="BD208" s="7"/>
      <c r="BE208" s="3"/>
      <c r="BF208" s="3"/>
      <c r="BG208" s="3"/>
      <c r="BH208" s="3"/>
    </row>
    <row r="209" spans="1:60" x14ac:dyDescent="0.3">
      <c r="A209">
        <v>166</v>
      </c>
      <c r="B209" s="1" t="s">
        <v>211</v>
      </c>
      <c r="C209" s="1" t="s">
        <v>30</v>
      </c>
      <c r="D209" s="2">
        <v>42675</v>
      </c>
      <c r="E209" s="3">
        <v>25.6</v>
      </c>
      <c r="F209" s="4">
        <f t="shared" ref="F209:F235" si="414">(E209-$A$33)*$A$34/$A$35*$A$36</f>
        <v>5629.7196062992125</v>
      </c>
      <c r="G209" s="7">
        <v>4.5600000000000005</v>
      </c>
      <c r="H209" s="7">
        <v>4.34</v>
      </c>
      <c r="I209" s="5">
        <f t="shared" ref="I209:I235" si="415">(G209-H209)/G209*100</f>
        <v>4.8245614035087856</v>
      </c>
      <c r="J209" s="4">
        <f t="shared" ref="J209:J235" si="416">F209*(1-I209/100)</f>
        <v>5358.1103270479334</v>
      </c>
      <c r="K209" s="2">
        <v>42758</v>
      </c>
      <c r="L209" s="7">
        <v>4.34</v>
      </c>
      <c r="M209" s="7">
        <v>1.74</v>
      </c>
      <c r="N209" s="7">
        <v>2.2000000000000002</v>
      </c>
      <c r="O209" s="6">
        <f t="shared" ref="O209:O235" si="417">M209/L209</f>
        <v>0.4009216589861751</v>
      </c>
      <c r="P209" s="6">
        <f t="shared" ref="P209:P235" si="418">N209/L209</f>
        <v>0.50691244239631339</v>
      </c>
      <c r="Q209" s="6">
        <f t="shared" ref="Q209:Q235" si="419">1-O209-P209</f>
        <v>9.2165898617511566E-2</v>
      </c>
      <c r="R209" s="4">
        <f t="shared" ref="R209:R235" si="420">F209*O209</f>
        <v>2257.076524184477</v>
      </c>
      <c r="S209" s="4">
        <f t="shared" ref="S209:S235" si="421">F209*P209</f>
        <v>2853.7749156355458</v>
      </c>
      <c r="T209" s="4">
        <f t="shared" ref="T209:T235" si="422">R209+S209</f>
        <v>5110.8514398200223</v>
      </c>
      <c r="U209" s="4">
        <f t="shared" ref="U209:U235" si="423">J209*O209</f>
        <v>2148.1824813510148</v>
      </c>
      <c r="V209" s="4">
        <f t="shared" ref="V209:V235" si="424">J209*P209</f>
        <v>2716.0927925127776</v>
      </c>
      <c r="W209" s="4">
        <f t="shared" ref="W209:W235" si="425">U209+V209</f>
        <v>4864.2752738637919</v>
      </c>
      <c r="X209" s="10"/>
      <c r="Y209" s="12"/>
      <c r="Z209" s="5"/>
      <c r="AA209" s="4"/>
      <c r="AB209" s="4"/>
      <c r="AC209" s="4"/>
      <c r="AD209" s="4"/>
      <c r="AF209" t="s">
        <v>311</v>
      </c>
      <c r="AG209" t="s">
        <v>30</v>
      </c>
      <c r="AH209" s="8">
        <f>D209</f>
        <v>42675</v>
      </c>
      <c r="AI209" s="3">
        <f>SUM(E209:E211)</f>
        <v>72.5</v>
      </c>
      <c r="AJ209" s="3">
        <f>(AI209-3*$A$33)*$A$34/(3*$A$35)*$A$36</f>
        <v>5309.7646194225727</v>
      </c>
      <c r="AK209" s="7">
        <f>SUM(G209:G211)</f>
        <v>13.380000000000003</v>
      </c>
      <c r="AL209" s="7">
        <f>SUM(H209:H211)</f>
        <v>12.719999999999999</v>
      </c>
      <c r="AM209" s="7">
        <f>(AK209-AL209)/AK209*100</f>
        <v>4.9327354260089953</v>
      </c>
      <c r="AN209" s="3">
        <f>AJ209*(1-AM209/100)</f>
        <v>5047.847979002624</v>
      </c>
      <c r="AO209" s="11">
        <f>K209</f>
        <v>42758</v>
      </c>
      <c r="AP209" s="7">
        <f>SUM(L209:L211)</f>
        <v>12.719999999999999</v>
      </c>
      <c r="AQ209" s="7">
        <f t="shared" ref="AQ209" si="426">SUM(M209:M211)</f>
        <v>5.16</v>
      </c>
      <c r="AR209" s="7">
        <f t="shared" ref="AR209" si="427">SUM(N209:N211)</f>
        <v>6.44</v>
      </c>
      <c r="AS209" s="9">
        <f>AQ209/AP209</f>
        <v>0.40566037735849059</v>
      </c>
      <c r="AT209" s="9">
        <f>AR209/AP209</f>
        <v>0.50628930817610074</v>
      </c>
      <c r="AU209" s="9">
        <f>1-AS209-AT209</f>
        <v>8.8050314465408674E-2</v>
      </c>
      <c r="AV209" s="3">
        <f>AJ209*AS209</f>
        <v>2153.9611191997228</v>
      </c>
      <c r="AW209" s="3">
        <f>AJ209*AT209</f>
        <v>2688.277055745391</v>
      </c>
      <c r="AX209" s="3">
        <f>AV209+AW209</f>
        <v>4842.2381749451142</v>
      </c>
      <c r="AY209" s="3">
        <f>AN209*AS209</f>
        <v>2047.7119160104985</v>
      </c>
      <c r="AZ209" s="3">
        <f>AN209*AT209</f>
        <v>2555.6714610673666</v>
      </c>
      <c r="BA209" s="3">
        <f>AY209+AZ209</f>
        <v>4603.3833770778656</v>
      </c>
      <c r="BB209" s="11">
        <f>X210</f>
        <v>42901</v>
      </c>
      <c r="BC209" s="13">
        <f>AVERAGE(Y209:Y211)</f>
        <v>47</v>
      </c>
      <c r="BD209" s="7">
        <f t="shared" ref="BD209" si="428">AVERAGE(Z209:Z211)</f>
        <v>1.1499999999999999</v>
      </c>
      <c r="BE209" s="3">
        <f t="shared" ref="BE209" si="429">AVERAGE(AA209:AA211)</f>
        <v>81.7</v>
      </c>
      <c r="BF209" s="3">
        <f t="shared" ref="BF209" si="430">AVERAGE(AB209:AB211)</f>
        <v>31.9</v>
      </c>
      <c r="BG209" s="3">
        <f t="shared" ref="BG209" si="431">AVERAGE(AC209:AC211)</f>
        <v>5</v>
      </c>
      <c r="BH209" s="3">
        <f t="shared" ref="BH209" si="432">AVERAGE(AD209:AD211)</f>
        <v>9.5</v>
      </c>
    </row>
    <row r="210" spans="1:60" x14ac:dyDescent="0.3">
      <c r="A210">
        <v>167</v>
      </c>
      <c r="B210" s="1" t="s">
        <v>212</v>
      </c>
      <c r="C210" s="1" t="s">
        <v>30</v>
      </c>
      <c r="D210" s="2">
        <v>42675</v>
      </c>
      <c r="E210" s="3">
        <v>22.34</v>
      </c>
      <c r="F210" s="4">
        <f t="shared" si="414"/>
        <v>4902.0080314960633</v>
      </c>
      <c r="G210" s="7">
        <v>4.4800000000000004</v>
      </c>
      <c r="H210" s="7">
        <v>4.24</v>
      </c>
      <c r="I210" s="5">
        <f t="shared" si="415"/>
        <v>5.3571428571428621</v>
      </c>
      <c r="J210" s="4">
        <f t="shared" si="416"/>
        <v>4639.4004583802025</v>
      </c>
      <c r="K210" s="2">
        <v>42758</v>
      </c>
      <c r="L210" s="7">
        <v>4.24</v>
      </c>
      <c r="M210" s="7">
        <v>1.76</v>
      </c>
      <c r="N210" s="7">
        <v>2.12</v>
      </c>
      <c r="O210" s="6">
        <f t="shared" si="417"/>
        <v>0.41509433962264147</v>
      </c>
      <c r="P210" s="6">
        <f t="shared" si="418"/>
        <v>0.5</v>
      </c>
      <c r="Q210" s="6">
        <f t="shared" si="419"/>
        <v>8.4905660377358583E-2</v>
      </c>
      <c r="R210" s="4">
        <f t="shared" si="420"/>
        <v>2034.7957866587431</v>
      </c>
      <c r="S210" s="4">
        <f t="shared" si="421"/>
        <v>2451.0040157480316</v>
      </c>
      <c r="T210" s="4">
        <f t="shared" si="422"/>
        <v>4485.7998024067747</v>
      </c>
      <c r="U210" s="4">
        <f t="shared" si="423"/>
        <v>1925.7888695163103</v>
      </c>
      <c r="V210" s="4">
        <f t="shared" si="424"/>
        <v>2319.7002291901013</v>
      </c>
      <c r="W210" s="4">
        <f t="shared" si="425"/>
        <v>4245.4890987064118</v>
      </c>
      <c r="X210" s="10">
        <v>42901</v>
      </c>
      <c r="Y210" s="12">
        <v>47</v>
      </c>
      <c r="Z210" s="5">
        <v>1.1499999999999999</v>
      </c>
      <c r="AA210" s="4">
        <v>81.7</v>
      </c>
      <c r="AB210" s="4">
        <v>31.9</v>
      </c>
      <c r="AC210" s="4">
        <v>5</v>
      </c>
      <c r="AD210" s="4">
        <v>9.5</v>
      </c>
      <c r="AI210" s="3"/>
      <c r="AJ210" s="3"/>
      <c r="AK210" s="7"/>
      <c r="AL210" s="7"/>
      <c r="AM210" s="7"/>
      <c r="AN210" s="3"/>
      <c r="AO210" s="3"/>
      <c r="AP210" s="7"/>
      <c r="AQ210" s="7"/>
      <c r="AR210" s="7"/>
      <c r="AS210" s="9"/>
      <c r="AT210" s="9"/>
      <c r="AU210" s="9"/>
      <c r="AV210" s="3"/>
      <c r="AW210" s="3"/>
      <c r="AX210" s="3"/>
      <c r="AY210" s="3"/>
      <c r="AZ210" s="3"/>
      <c r="BA210" s="3"/>
      <c r="BC210" s="13"/>
      <c r="BD210" s="7"/>
      <c r="BE210" s="3"/>
      <c r="BF210" s="3"/>
      <c r="BG210" s="3"/>
      <c r="BH210" s="3"/>
    </row>
    <row r="211" spans="1:60" x14ac:dyDescent="0.3">
      <c r="A211">
        <v>168</v>
      </c>
      <c r="B211" s="1" t="s">
        <v>213</v>
      </c>
      <c r="C211" s="1" t="s">
        <v>30</v>
      </c>
      <c r="D211" s="2">
        <v>42675</v>
      </c>
      <c r="E211" s="3">
        <v>24.56</v>
      </c>
      <c r="F211" s="4">
        <f t="shared" si="414"/>
        <v>5397.5662204724404</v>
      </c>
      <c r="G211" s="7">
        <v>4.3400000000000007</v>
      </c>
      <c r="H211" s="7">
        <v>4.1399999999999997</v>
      </c>
      <c r="I211" s="5">
        <f t="shared" si="415"/>
        <v>4.6082949308755996</v>
      </c>
      <c r="J211" s="4">
        <f t="shared" si="416"/>
        <v>5148.8304499437554</v>
      </c>
      <c r="K211" s="2">
        <v>42758</v>
      </c>
      <c r="L211" s="7">
        <v>4.1399999999999997</v>
      </c>
      <c r="M211" s="7">
        <v>1.66</v>
      </c>
      <c r="N211" s="7">
        <v>2.12</v>
      </c>
      <c r="O211" s="6">
        <f t="shared" si="417"/>
        <v>0.40096618357487923</v>
      </c>
      <c r="P211" s="6">
        <f t="shared" si="418"/>
        <v>0.51207729468599039</v>
      </c>
      <c r="Q211" s="6">
        <f t="shared" si="419"/>
        <v>8.6956521739130377E-2</v>
      </c>
      <c r="R211" s="4">
        <f t="shared" si="420"/>
        <v>2164.2415280155196</v>
      </c>
      <c r="S211" s="4">
        <f t="shared" si="421"/>
        <v>2763.9711080680131</v>
      </c>
      <c r="T211" s="4">
        <f t="shared" si="422"/>
        <v>4928.2126360835327</v>
      </c>
      <c r="U211" s="4">
        <f t="shared" si="423"/>
        <v>2064.5068953880759</v>
      </c>
      <c r="V211" s="4">
        <f t="shared" si="424"/>
        <v>2636.5991676040489</v>
      </c>
      <c r="W211" s="4">
        <f t="shared" si="425"/>
        <v>4701.1060629921249</v>
      </c>
      <c r="X211" s="10"/>
      <c r="Y211" s="12"/>
      <c r="Z211" s="5"/>
      <c r="AA211" s="4"/>
      <c r="AB211" s="4"/>
      <c r="AC211" s="4"/>
      <c r="AD211" s="4"/>
      <c r="AI211" s="3"/>
      <c r="AJ211" s="3"/>
      <c r="AK211" s="7"/>
      <c r="AL211" s="7"/>
      <c r="AM211" s="7"/>
      <c r="AN211" s="3"/>
      <c r="AO211" s="3"/>
      <c r="AP211" s="7"/>
      <c r="AQ211" s="7"/>
      <c r="AR211" s="7"/>
      <c r="AS211" s="9"/>
      <c r="AT211" s="9"/>
      <c r="AU211" s="9"/>
      <c r="AV211" s="3"/>
      <c r="AW211" s="3"/>
      <c r="AX211" s="3"/>
      <c r="AY211" s="3"/>
      <c r="AZ211" s="3"/>
      <c r="BA211" s="3"/>
      <c r="BC211" s="13"/>
      <c r="BD211" s="7"/>
      <c r="BE211" s="3"/>
      <c r="BF211" s="3"/>
      <c r="BG211" s="3"/>
      <c r="BH211" s="3"/>
    </row>
    <row r="212" spans="1:60" x14ac:dyDescent="0.3">
      <c r="A212">
        <v>169</v>
      </c>
      <c r="B212" s="1" t="s">
        <v>214</v>
      </c>
      <c r="C212" s="1" t="s">
        <v>30</v>
      </c>
      <c r="D212" s="2">
        <v>42675</v>
      </c>
      <c r="E212" s="3">
        <v>18.18</v>
      </c>
      <c r="F212" s="4">
        <f t="shared" si="414"/>
        <v>3973.3944881889765</v>
      </c>
      <c r="G212" s="7">
        <v>4.58</v>
      </c>
      <c r="H212" s="7">
        <v>4.3600000000000003</v>
      </c>
      <c r="I212" s="5">
        <f t="shared" si="415"/>
        <v>4.8034934497816542</v>
      </c>
      <c r="J212" s="4">
        <f t="shared" si="416"/>
        <v>3782.5327442148337</v>
      </c>
      <c r="K212" s="2">
        <v>42757</v>
      </c>
      <c r="L212" s="7">
        <v>4.3600000000000003</v>
      </c>
      <c r="M212" s="7">
        <v>1.64</v>
      </c>
      <c r="N212" s="7">
        <v>2.2200000000000002</v>
      </c>
      <c r="O212" s="6">
        <f t="shared" si="417"/>
        <v>0.37614678899082565</v>
      </c>
      <c r="P212" s="6">
        <f t="shared" si="418"/>
        <v>0.50917431192660556</v>
      </c>
      <c r="Q212" s="6">
        <f t="shared" si="419"/>
        <v>0.11467889908256879</v>
      </c>
      <c r="R212" s="4">
        <f t="shared" si="420"/>
        <v>1494.5795781261286</v>
      </c>
      <c r="S212" s="4">
        <f t="shared" si="421"/>
        <v>2023.1504045365891</v>
      </c>
      <c r="T212" s="4">
        <f t="shared" si="422"/>
        <v>3517.7299826627177</v>
      </c>
      <c r="U212" s="4">
        <f t="shared" si="423"/>
        <v>1422.7875459890658</v>
      </c>
      <c r="V212" s="4">
        <f t="shared" si="424"/>
        <v>1925.9685073754431</v>
      </c>
      <c r="W212" s="4">
        <f t="shared" si="425"/>
        <v>3348.7560533645092</v>
      </c>
      <c r="X212" s="10"/>
      <c r="Y212" s="12"/>
      <c r="Z212" s="5"/>
      <c r="AA212" s="4"/>
      <c r="AB212" s="4"/>
      <c r="AC212" s="4"/>
      <c r="AD212" s="4"/>
      <c r="AF212" t="s">
        <v>299</v>
      </c>
      <c r="AG212" t="str">
        <f>C212</f>
        <v>Machine</v>
      </c>
      <c r="AH212" s="8">
        <f>D212</f>
        <v>42675</v>
      </c>
      <c r="AI212" s="3">
        <f>SUM(E212:E214)</f>
        <v>53.24</v>
      </c>
      <c r="AJ212" s="3">
        <f>(AI212-3*$A$33)*$A$34/(3*$A$35)*$A$36</f>
        <v>3876.663910761155</v>
      </c>
      <c r="AK212" s="7">
        <f>SUM(G212:G214)</f>
        <v>13.88</v>
      </c>
      <c r="AL212" s="7">
        <f>SUM(H212:H214)</f>
        <v>13.02</v>
      </c>
      <c r="AM212" s="7">
        <f>(AK212-AL212)/AK212*100</f>
        <v>6.195965417867443</v>
      </c>
      <c r="AN212" s="3">
        <f>AJ212*(1-AM212/100)</f>
        <v>3636.4671554834463</v>
      </c>
      <c r="AO212" s="11">
        <f>K212</f>
        <v>42757</v>
      </c>
      <c r="AP212" s="7">
        <f>SUM(L212:L214)</f>
        <v>13.02</v>
      </c>
      <c r="AQ212" s="7">
        <f t="shared" ref="AQ212" si="433">SUM(M212:M214)</f>
        <v>4.96</v>
      </c>
      <c r="AR212" s="7">
        <f t="shared" ref="AR212" si="434">SUM(N212:N214)</f>
        <v>6.5400000000000009</v>
      </c>
      <c r="AS212" s="9">
        <f>AQ212/AP212</f>
        <v>0.38095238095238099</v>
      </c>
      <c r="AT212" s="9">
        <f>AR212/AP212</f>
        <v>0.50230414746543783</v>
      </c>
      <c r="AU212" s="9">
        <f>1-AS212-AT212</f>
        <v>0.11674347158218124</v>
      </c>
      <c r="AV212" s="3">
        <f>AJ212*AS212</f>
        <v>1476.8243469566305</v>
      </c>
      <c r="AW212" s="3">
        <f>AJ212*AT212</f>
        <v>1947.2643607049122</v>
      </c>
      <c r="AX212" s="3">
        <f>AV212+AW212</f>
        <v>3424.0887076615427</v>
      </c>
      <c r="AY212" s="3">
        <f>AN212*AS212</f>
        <v>1385.3208211365511</v>
      </c>
      <c r="AZ212" s="3">
        <f>AN212*AT212</f>
        <v>1826.6125343211781</v>
      </c>
      <c r="BA212" s="3">
        <f>AY212+AZ212</f>
        <v>3211.9333554577292</v>
      </c>
      <c r="BB212" s="11">
        <f>X213</f>
        <v>42901</v>
      </c>
      <c r="BC212" s="13">
        <f>AVERAGE(Y212:Y214)</f>
        <v>36</v>
      </c>
      <c r="BD212" s="7">
        <f t="shared" ref="BD212" si="435">AVERAGE(Z212:Z214)</f>
        <v>1.1499999999999999</v>
      </c>
      <c r="BE212" s="3">
        <f t="shared" ref="BE212" si="436">AVERAGE(AA212:AA214)</f>
        <v>82.7</v>
      </c>
      <c r="BF212" s="3">
        <f t="shared" ref="BF212" si="437">AVERAGE(AB212:AB214)</f>
        <v>31.5</v>
      </c>
      <c r="BG212" s="3">
        <f t="shared" ref="BG212" si="438">AVERAGE(AC212:AC214)</f>
        <v>5.6</v>
      </c>
      <c r="BH212" s="3">
        <f t="shared" ref="BH212" si="439">AVERAGE(AD212:AD214)</f>
        <v>9</v>
      </c>
    </row>
    <row r="213" spans="1:60" x14ac:dyDescent="0.3">
      <c r="A213">
        <v>170</v>
      </c>
      <c r="B213" s="1" t="s">
        <v>215</v>
      </c>
      <c r="C213" s="1" t="s">
        <v>30</v>
      </c>
      <c r="D213" s="2">
        <v>42675</v>
      </c>
      <c r="E213" s="3">
        <v>18.239999999999998</v>
      </c>
      <c r="F213" s="4">
        <f t="shared" si="414"/>
        <v>3986.7879527559053</v>
      </c>
      <c r="G213" s="7">
        <v>4.5599999999999996</v>
      </c>
      <c r="H213" s="7">
        <v>4.34</v>
      </c>
      <c r="I213" s="5">
        <f t="shared" si="415"/>
        <v>4.8245614035087669</v>
      </c>
      <c r="J213" s="4">
        <f t="shared" si="416"/>
        <v>3794.4429199475067</v>
      </c>
      <c r="K213" s="2">
        <v>42758</v>
      </c>
      <c r="L213" s="7">
        <v>4.34</v>
      </c>
      <c r="M213" s="7">
        <v>1.68</v>
      </c>
      <c r="N213" s="7">
        <v>2.1800000000000002</v>
      </c>
      <c r="O213" s="6">
        <f t="shared" si="417"/>
        <v>0.38709677419354838</v>
      </c>
      <c r="P213" s="6">
        <f t="shared" si="418"/>
        <v>0.50230414746543783</v>
      </c>
      <c r="Q213" s="6">
        <f t="shared" si="419"/>
        <v>0.11059907834101379</v>
      </c>
      <c r="R213" s="4">
        <f t="shared" si="420"/>
        <v>1543.2727559055118</v>
      </c>
      <c r="S213" s="4">
        <f t="shared" si="421"/>
        <v>2002.5801237345333</v>
      </c>
      <c r="T213" s="4">
        <f t="shared" si="422"/>
        <v>3545.8528796400451</v>
      </c>
      <c r="U213" s="4">
        <f t="shared" si="423"/>
        <v>1468.8166141732283</v>
      </c>
      <c r="V213" s="4">
        <f t="shared" si="424"/>
        <v>1905.964416010499</v>
      </c>
      <c r="W213" s="4">
        <f t="shared" si="425"/>
        <v>3374.7810301837271</v>
      </c>
      <c r="X213" s="10">
        <v>42901</v>
      </c>
      <c r="Y213" s="12">
        <v>36</v>
      </c>
      <c r="Z213" s="5">
        <v>1.1499999999999999</v>
      </c>
      <c r="AA213" s="4">
        <v>82.7</v>
      </c>
      <c r="AB213" s="4">
        <v>31.5</v>
      </c>
      <c r="AC213" s="4">
        <v>5.6</v>
      </c>
      <c r="AD213" s="4">
        <v>9</v>
      </c>
      <c r="AI213" s="3"/>
      <c r="AJ213" s="3"/>
      <c r="AK213" s="7"/>
      <c r="AL213" s="7"/>
      <c r="AM213" s="7"/>
      <c r="AN213" s="3"/>
      <c r="AO213" s="3"/>
      <c r="AP213" s="7"/>
      <c r="AQ213" s="7"/>
      <c r="AR213" s="7"/>
      <c r="AS213" s="9"/>
      <c r="AT213" s="9"/>
      <c r="AU213" s="9"/>
      <c r="AV213" s="3"/>
      <c r="AW213" s="3"/>
      <c r="AX213" s="3"/>
      <c r="AY213" s="3"/>
      <c r="AZ213" s="3"/>
      <c r="BA213" s="3"/>
      <c r="BC213" s="13"/>
      <c r="BD213" s="7"/>
      <c r="BE213" s="3"/>
      <c r="BF213" s="3"/>
      <c r="BG213" s="3"/>
      <c r="BH213" s="3"/>
    </row>
    <row r="214" spans="1:60" x14ac:dyDescent="0.3">
      <c r="A214">
        <v>171</v>
      </c>
      <c r="B214" s="1" t="s">
        <v>216</v>
      </c>
      <c r="C214" s="1" t="s">
        <v>30</v>
      </c>
      <c r="D214" s="2">
        <v>42675</v>
      </c>
      <c r="E214" s="3">
        <v>16.82</v>
      </c>
      <c r="F214" s="4">
        <f t="shared" si="414"/>
        <v>3669.8092913385826</v>
      </c>
      <c r="G214" s="7">
        <v>4.74</v>
      </c>
      <c r="H214" s="7">
        <v>4.32</v>
      </c>
      <c r="I214" s="5">
        <f t="shared" si="415"/>
        <v>8.8607594936708853</v>
      </c>
      <c r="J214" s="4">
        <f t="shared" si="416"/>
        <v>3344.6363161566828</v>
      </c>
      <c r="K214" s="2">
        <v>42758</v>
      </c>
      <c r="L214" s="7">
        <v>4.32</v>
      </c>
      <c r="M214" s="7">
        <v>1.64</v>
      </c>
      <c r="N214" s="7">
        <v>2.14</v>
      </c>
      <c r="O214" s="6">
        <f t="shared" si="417"/>
        <v>0.37962962962962959</v>
      </c>
      <c r="P214" s="6">
        <f t="shared" si="418"/>
        <v>0.49537037037037035</v>
      </c>
      <c r="Q214" s="6">
        <f t="shared" si="419"/>
        <v>0.12500000000000011</v>
      </c>
      <c r="R214" s="4">
        <f t="shared" si="420"/>
        <v>1393.1683420822396</v>
      </c>
      <c r="S214" s="4">
        <f t="shared" si="421"/>
        <v>1817.9147878390199</v>
      </c>
      <c r="T214" s="4">
        <f t="shared" si="422"/>
        <v>3211.0831299212596</v>
      </c>
      <c r="U214" s="4">
        <f t="shared" si="423"/>
        <v>1269.7230459483703</v>
      </c>
      <c r="V214" s="4">
        <f t="shared" si="424"/>
        <v>1656.833730688727</v>
      </c>
      <c r="W214" s="4">
        <f t="shared" si="425"/>
        <v>2926.5567766370973</v>
      </c>
      <c r="X214" s="10"/>
      <c r="Y214" s="12"/>
      <c r="Z214" s="5"/>
      <c r="AA214" s="4"/>
      <c r="AB214" s="4"/>
      <c r="AC214" s="4"/>
      <c r="AD214" s="4"/>
      <c r="AI214" s="3"/>
      <c r="AJ214" s="3"/>
      <c r="AK214" s="7"/>
      <c r="AL214" s="7"/>
      <c r="AM214" s="7"/>
      <c r="AN214" s="3"/>
      <c r="AO214" s="3"/>
      <c r="AP214" s="7"/>
      <c r="AQ214" s="7"/>
      <c r="AR214" s="7"/>
      <c r="AS214" s="9"/>
      <c r="AT214" s="9"/>
      <c r="AU214" s="9"/>
      <c r="AV214" s="3"/>
      <c r="AW214" s="3"/>
      <c r="AX214" s="3"/>
      <c r="AY214" s="3"/>
      <c r="AZ214" s="3"/>
      <c r="BA214" s="3"/>
      <c r="BC214" s="13"/>
      <c r="BD214" s="7"/>
      <c r="BE214" s="3"/>
      <c r="BF214" s="3"/>
      <c r="BG214" s="3"/>
      <c r="BH214" s="3"/>
    </row>
    <row r="215" spans="1:60" x14ac:dyDescent="0.3">
      <c r="A215">
        <v>172</v>
      </c>
      <c r="B215" s="1" t="s">
        <v>217</v>
      </c>
      <c r="C215" s="1" t="s">
        <v>30</v>
      </c>
      <c r="D215" s="2">
        <v>42675</v>
      </c>
      <c r="E215" s="3">
        <v>21.38</v>
      </c>
      <c r="F215" s="4">
        <f t="shared" si="414"/>
        <v>4687.712598425197</v>
      </c>
      <c r="G215" s="7">
        <v>5.0599999999999996</v>
      </c>
      <c r="H215" s="7">
        <v>4.82</v>
      </c>
      <c r="I215" s="5">
        <f t="shared" si="415"/>
        <v>4.743083003952556</v>
      </c>
      <c r="J215" s="4">
        <f t="shared" si="416"/>
        <v>4465.3704988951486</v>
      </c>
      <c r="K215" s="2">
        <v>42758</v>
      </c>
      <c r="L215" s="7">
        <v>4.82</v>
      </c>
      <c r="M215" s="7">
        <v>1.92</v>
      </c>
      <c r="N215" s="7">
        <v>2.46</v>
      </c>
      <c r="O215" s="6">
        <f t="shared" si="417"/>
        <v>0.39834024896265557</v>
      </c>
      <c r="P215" s="6">
        <f t="shared" si="418"/>
        <v>0.51037344398340245</v>
      </c>
      <c r="Q215" s="6">
        <f t="shared" si="419"/>
        <v>9.1286307053942028E-2</v>
      </c>
      <c r="R215" s="4">
        <f t="shared" si="420"/>
        <v>1867.30460352207</v>
      </c>
      <c r="S215" s="4">
        <f t="shared" si="421"/>
        <v>2392.484023262652</v>
      </c>
      <c r="T215" s="4">
        <f t="shared" si="422"/>
        <v>4259.7886267847225</v>
      </c>
      <c r="U215" s="4">
        <f t="shared" si="423"/>
        <v>1778.736796240391</v>
      </c>
      <c r="V215" s="4">
        <f t="shared" si="424"/>
        <v>2279.0065201830012</v>
      </c>
      <c r="W215" s="4">
        <f t="shared" si="425"/>
        <v>4057.7433164233921</v>
      </c>
      <c r="X215" s="10"/>
      <c r="Y215" s="12"/>
      <c r="Z215" s="5"/>
      <c r="AA215" s="4"/>
      <c r="AB215" s="4"/>
      <c r="AC215" s="4"/>
      <c r="AD215" s="4"/>
      <c r="AF215" t="s">
        <v>312</v>
      </c>
      <c r="AG215" t="s">
        <v>30</v>
      </c>
      <c r="AH215" s="8">
        <f>D215</f>
        <v>42675</v>
      </c>
      <c r="AI215" s="3">
        <f>SUM(E215:E217)</f>
        <v>62.64</v>
      </c>
      <c r="AJ215" s="3">
        <f>(AI215-3*$A$33)*$A$34/(3*$A$35)*$A$36</f>
        <v>4576.1003937007872</v>
      </c>
      <c r="AK215" s="7">
        <f>SUM(G215:G217)</f>
        <v>13.479999999999999</v>
      </c>
      <c r="AL215" s="7">
        <f>SUM(H215:H217)</f>
        <v>12.84</v>
      </c>
      <c r="AM215" s="7">
        <f>(AK215-AL215)/AK215*100</f>
        <v>4.7477744807121578</v>
      </c>
      <c r="AN215" s="3">
        <f>AJ215*(1-AM215/100)</f>
        <v>4358.8374669968925</v>
      </c>
      <c r="AO215" s="11">
        <f>K215</f>
        <v>42758</v>
      </c>
      <c r="AP215" s="7">
        <f>SUM(L215:L217)</f>
        <v>12.84</v>
      </c>
      <c r="AQ215" s="7">
        <f t="shared" ref="AQ215" si="440">SUM(M215:M217)</f>
        <v>5.08</v>
      </c>
      <c r="AR215" s="7">
        <f t="shared" ref="AR215" si="441">SUM(N215:N217)</f>
        <v>6.620000000000001</v>
      </c>
      <c r="AS215" s="9">
        <f>AQ215/AP215</f>
        <v>0.39563862928348908</v>
      </c>
      <c r="AT215" s="9">
        <f>AR215/AP215</f>
        <v>0.51557632398753905</v>
      </c>
      <c r="AU215" s="9">
        <f>1-AS215-AT215</f>
        <v>8.8785046728971917E-2</v>
      </c>
      <c r="AV215" s="3">
        <f>AJ215*AS215</f>
        <v>1810.4820872274142</v>
      </c>
      <c r="AW215" s="3">
        <f>AJ215*AT215</f>
        <v>2359.329019182182</v>
      </c>
      <c r="AX215" s="3">
        <f>AV215+AW215</f>
        <v>4169.8111064095965</v>
      </c>
      <c r="AY215" s="3">
        <f>AN215*AS215</f>
        <v>1724.5244807121662</v>
      </c>
      <c r="AZ215" s="3">
        <f>AN215*AT215</f>
        <v>2247.313398093414</v>
      </c>
      <c r="BA215" s="3">
        <f>AY215+AZ215</f>
        <v>3971.8378788055802</v>
      </c>
      <c r="BB215" s="11">
        <f>X216</f>
        <v>42901</v>
      </c>
      <c r="BC215" s="13">
        <f>AVERAGE(Y215:Y217)</f>
        <v>44</v>
      </c>
      <c r="BD215" s="7">
        <f t="shared" ref="BD215" si="442">AVERAGE(Z215:Z217)</f>
        <v>1.0900000000000001</v>
      </c>
      <c r="BE215" s="3">
        <f t="shared" ref="BE215" si="443">AVERAGE(AA215:AA217)</f>
        <v>81.2</v>
      </c>
      <c r="BF215" s="3">
        <f t="shared" ref="BF215" si="444">AVERAGE(AB215:AB217)</f>
        <v>30.2</v>
      </c>
      <c r="BG215" s="3">
        <f t="shared" ref="BG215" si="445">AVERAGE(AC215:AC217)</f>
        <v>5.3</v>
      </c>
      <c r="BH215" s="3">
        <f t="shared" ref="BH215" si="446">AVERAGE(AD215:AD217)</f>
        <v>10.1</v>
      </c>
    </row>
    <row r="216" spans="1:60" x14ac:dyDescent="0.3">
      <c r="A216">
        <v>173</v>
      </c>
      <c r="B216" s="1" t="s">
        <v>218</v>
      </c>
      <c r="C216" s="1" t="s">
        <v>30</v>
      </c>
      <c r="D216" s="2">
        <v>42675</v>
      </c>
      <c r="E216" s="3">
        <v>20.5</v>
      </c>
      <c r="F216" s="4">
        <f t="shared" si="414"/>
        <v>4491.2751181102367</v>
      </c>
      <c r="G216" s="7">
        <v>4.16</v>
      </c>
      <c r="H216" s="7">
        <v>3.94</v>
      </c>
      <c r="I216" s="5">
        <f t="shared" si="415"/>
        <v>5.2884615384615437</v>
      </c>
      <c r="J216" s="4">
        <f t="shared" si="416"/>
        <v>4253.7557609024834</v>
      </c>
      <c r="K216" s="2">
        <v>42758</v>
      </c>
      <c r="L216" s="7">
        <v>3.94</v>
      </c>
      <c r="M216" s="7">
        <v>1.58</v>
      </c>
      <c r="N216" s="7">
        <v>2.02</v>
      </c>
      <c r="O216" s="6">
        <f t="shared" si="417"/>
        <v>0.40101522842639598</v>
      </c>
      <c r="P216" s="6">
        <f t="shared" si="418"/>
        <v>0.51269035532994922</v>
      </c>
      <c r="Q216" s="6">
        <f t="shared" si="419"/>
        <v>8.6294416243654859E-2</v>
      </c>
      <c r="R216" s="4">
        <f t="shared" si="420"/>
        <v>1801.0697174147651</v>
      </c>
      <c r="S216" s="4">
        <f t="shared" si="421"/>
        <v>2302.6334361884969</v>
      </c>
      <c r="T216" s="4">
        <f t="shared" si="422"/>
        <v>4103.7031536032619</v>
      </c>
      <c r="U216" s="4">
        <f t="shared" si="423"/>
        <v>1705.8208381284071</v>
      </c>
      <c r="V216" s="4">
        <f t="shared" si="424"/>
        <v>2180.8595525439127</v>
      </c>
      <c r="W216" s="4">
        <f t="shared" si="425"/>
        <v>3886.6803906723198</v>
      </c>
      <c r="X216" s="10">
        <v>42901</v>
      </c>
      <c r="Y216" s="12">
        <v>44</v>
      </c>
      <c r="Z216" s="5">
        <v>1.0900000000000001</v>
      </c>
      <c r="AA216" s="4">
        <v>81.2</v>
      </c>
      <c r="AB216" s="4">
        <v>30.2</v>
      </c>
      <c r="AC216" s="4">
        <v>5.3</v>
      </c>
      <c r="AD216" s="4">
        <v>10.1</v>
      </c>
      <c r="AI216" s="3"/>
      <c r="AJ216" s="3"/>
      <c r="AK216" s="7"/>
      <c r="AL216" s="7"/>
      <c r="AM216" s="7"/>
      <c r="AN216" s="3"/>
      <c r="AO216" s="3"/>
      <c r="AP216" s="7"/>
      <c r="AQ216" s="7"/>
      <c r="AR216" s="7"/>
      <c r="AS216" s="9"/>
      <c r="AT216" s="9"/>
      <c r="AU216" s="9"/>
      <c r="AV216" s="3"/>
      <c r="AW216" s="3"/>
      <c r="AX216" s="3"/>
      <c r="AY216" s="3"/>
      <c r="AZ216" s="3"/>
      <c r="BA216" s="3"/>
      <c r="BC216" s="13"/>
      <c r="BD216" s="7"/>
      <c r="BE216" s="3"/>
      <c r="BF216" s="3"/>
      <c r="BG216" s="3"/>
      <c r="BH216" s="3"/>
    </row>
    <row r="217" spans="1:60" x14ac:dyDescent="0.3">
      <c r="A217">
        <v>174</v>
      </c>
      <c r="B217" s="1" t="s">
        <v>219</v>
      </c>
      <c r="C217" s="1" t="s">
        <v>30</v>
      </c>
      <c r="D217" s="2">
        <v>42675</v>
      </c>
      <c r="E217" s="3">
        <v>20.76</v>
      </c>
      <c r="F217" s="4">
        <f t="shared" si="414"/>
        <v>4549.3134645669297</v>
      </c>
      <c r="G217" s="7">
        <v>4.26</v>
      </c>
      <c r="H217" s="7">
        <v>4.08</v>
      </c>
      <c r="I217" s="5">
        <f t="shared" si="415"/>
        <v>4.2253521126760498</v>
      </c>
      <c r="J217" s="4">
        <f t="shared" si="416"/>
        <v>4357.0889519795946</v>
      </c>
      <c r="K217" s="2">
        <v>42758</v>
      </c>
      <c r="L217" s="7">
        <v>4.08</v>
      </c>
      <c r="M217" s="7">
        <v>1.58</v>
      </c>
      <c r="N217" s="7">
        <v>2.14</v>
      </c>
      <c r="O217" s="6">
        <f t="shared" si="417"/>
        <v>0.38725490196078433</v>
      </c>
      <c r="P217" s="6">
        <f t="shared" si="418"/>
        <v>0.52450980392156865</v>
      </c>
      <c r="Q217" s="6">
        <f t="shared" si="419"/>
        <v>8.8235294117647078E-2</v>
      </c>
      <c r="R217" s="4">
        <f t="shared" si="420"/>
        <v>1761.7439397097423</v>
      </c>
      <c r="S217" s="4">
        <f t="shared" si="421"/>
        <v>2386.1595132777525</v>
      </c>
      <c r="T217" s="4">
        <f t="shared" si="422"/>
        <v>4147.9034529874953</v>
      </c>
      <c r="U217" s="4">
        <f t="shared" si="423"/>
        <v>1687.3040549332745</v>
      </c>
      <c r="V217" s="4">
        <f t="shared" si="424"/>
        <v>2285.3358718716504</v>
      </c>
      <c r="W217" s="4">
        <f t="shared" si="425"/>
        <v>3972.6399268049249</v>
      </c>
      <c r="X217" s="10"/>
      <c r="Y217" s="12"/>
      <c r="Z217" s="5"/>
      <c r="AA217" s="4"/>
      <c r="AB217" s="4"/>
      <c r="AC217" s="4"/>
      <c r="AD217" s="4"/>
      <c r="AI217" s="3"/>
      <c r="AJ217" s="3"/>
      <c r="AK217" s="7"/>
      <c r="AL217" s="7"/>
      <c r="AM217" s="7"/>
      <c r="AN217" s="3"/>
      <c r="AO217" s="3"/>
      <c r="AP217" s="7"/>
      <c r="AQ217" s="7"/>
      <c r="AR217" s="7"/>
      <c r="AS217" s="9"/>
      <c r="AT217" s="9"/>
      <c r="AU217" s="9"/>
      <c r="AV217" s="3"/>
      <c r="AW217" s="3"/>
      <c r="AX217" s="3"/>
      <c r="AY217" s="3"/>
      <c r="AZ217" s="3"/>
      <c r="BA217" s="3"/>
      <c r="BC217" s="13"/>
      <c r="BD217" s="7"/>
      <c r="BE217" s="3"/>
      <c r="BF217" s="3"/>
      <c r="BG217" s="3"/>
      <c r="BH217" s="3"/>
    </row>
    <row r="218" spans="1:60" x14ac:dyDescent="0.3">
      <c r="A218">
        <v>175</v>
      </c>
      <c r="B218" s="1" t="s">
        <v>220</v>
      </c>
      <c r="C218" s="1" t="s">
        <v>30</v>
      </c>
      <c r="D218" s="2">
        <v>42675</v>
      </c>
      <c r="E218" s="3">
        <v>22.16</v>
      </c>
      <c r="F218" s="4">
        <f t="shared" si="414"/>
        <v>4861.8276377952761</v>
      </c>
      <c r="G218" s="7">
        <v>4.4000000000000004</v>
      </c>
      <c r="H218" s="7">
        <v>4.18</v>
      </c>
      <c r="I218" s="5">
        <f t="shared" si="415"/>
        <v>5.0000000000000142</v>
      </c>
      <c r="J218" s="4">
        <f t="shared" si="416"/>
        <v>4618.7362559055118</v>
      </c>
      <c r="K218" s="2">
        <v>42758</v>
      </c>
      <c r="L218" s="7">
        <v>4.18</v>
      </c>
      <c r="M218" s="7">
        <v>1.66</v>
      </c>
      <c r="N218" s="7">
        <v>2.04</v>
      </c>
      <c r="O218" s="6">
        <f t="shared" si="417"/>
        <v>0.39712918660287083</v>
      </c>
      <c r="P218" s="6">
        <f t="shared" si="418"/>
        <v>0.48803827751196177</v>
      </c>
      <c r="Q218" s="6">
        <f t="shared" si="419"/>
        <v>0.11483253588516745</v>
      </c>
      <c r="R218" s="4">
        <f t="shared" si="420"/>
        <v>1930.7736552009949</v>
      </c>
      <c r="S218" s="4">
        <f t="shared" si="421"/>
        <v>2372.7579859096563</v>
      </c>
      <c r="T218" s="4">
        <f t="shared" si="422"/>
        <v>4303.5316411106514</v>
      </c>
      <c r="U218" s="4">
        <f t="shared" si="423"/>
        <v>1834.2349724409451</v>
      </c>
      <c r="V218" s="4">
        <f t="shared" si="424"/>
        <v>2254.1200866141735</v>
      </c>
      <c r="W218" s="4">
        <f t="shared" si="425"/>
        <v>4088.3550590551185</v>
      </c>
      <c r="X218" s="10"/>
      <c r="Y218" s="12"/>
      <c r="Z218" s="5"/>
      <c r="AA218" s="4"/>
      <c r="AB218" s="4"/>
      <c r="AC218" s="4"/>
      <c r="AD218" s="4"/>
      <c r="AF218" t="s">
        <v>313</v>
      </c>
      <c r="AG218" t="s">
        <v>30</v>
      </c>
      <c r="AH218" s="8">
        <f>D218</f>
        <v>42675</v>
      </c>
      <c r="AI218" s="3">
        <f>SUM(E218:E220)</f>
        <v>68.8</v>
      </c>
      <c r="AJ218" s="3">
        <f>(AI218-3*$A$33)*$A$34/(3*$A$35)*$A$36</f>
        <v>5034.4545144356953</v>
      </c>
      <c r="AK218" s="7">
        <f>SUM(G218:G220)</f>
        <v>13.18</v>
      </c>
      <c r="AL218" s="7">
        <f>SUM(H218:H220)</f>
        <v>12.58</v>
      </c>
      <c r="AM218" s="7">
        <f>(AK218-AL218)/AK218*100</f>
        <v>4.5523520485584195</v>
      </c>
      <c r="AN218" s="3">
        <f>AJ218*(1-AM218/100)</f>
        <v>4805.2684212140402</v>
      </c>
      <c r="AO218" s="11">
        <f>K218</f>
        <v>42758</v>
      </c>
      <c r="AP218" s="7">
        <f>SUM(L218:L220)</f>
        <v>12.58</v>
      </c>
      <c r="AQ218" s="7">
        <f t="shared" ref="AQ218" si="447">SUM(M218:M220)</f>
        <v>5.0199999999999996</v>
      </c>
      <c r="AR218" s="7">
        <f t="shared" ref="AR218" si="448">SUM(N218:N220)</f>
        <v>6.18</v>
      </c>
      <c r="AS218" s="9">
        <f>AQ218/AP218</f>
        <v>0.39904610492845782</v>
      </c>
      <c r="AT218" s="9">
        <f>AR218/AP218</f>
        <v>0.49125596184419712</v>
      </c>
      <c r="AU218" s="9">
        <f>1-AS218-AT218</f>
        <v>0.10969793322734506</v>
      </c>
      <c r="AV218" s="3">
        <f>AJ218*AS218</f>
        <v>2008.9794644250546</v>
      </c>
      <c r="AW218" s="3">
        <f>AJ218*AT218</f>
        <v>2473.2057948499678</v>
      </c>
      <c r="AX218" s="3">
        <f>AV218+AW218</f>
        <v>4482.185259275022</v>
      </c>
      <c r="AY218" s="3">
        <f>AN218*AS218</f>
        <v>1917.5236466211827</v>
      </c>
      <c r="AZ218" s="3">
        <f>AN218*AT218</f>
        <v>2360.6167601830498</v>
      </c>
      <c r="BA218" s="3">
        <f>AY218+AZ218</f>
        <v>4278.140406804232</v>
      </c>
      <c r="BB218" s="11">
        <f>X219</f>
        <v>42901</v>
      </c>
      <c r="BC218" s="13">
        <f>AVERAGE(Y218:Y220)</f>
        <v>47</v>
      </c>
      <c r="BD218" s="7">
        <f t="shared" ref="BD218" si="449">AVERAGE(Z218:Z220)</f>
        <v>1.17</v>
      </c>
      <c r="BE218" s="3">
        <f t="shared" ref="BE218" si="450">AVERAGE(AA218:AA220)</f>
        <v>81.900000000000006</v>
      </c>
      <c r="BF218" s="3">
        <f t="shared" ref="BF218" si="451">AVERAGE(AB218:AB220)</f>
        <v>32.4</v>
      </c>
      <c r="BG218" s="3">
        <f t="shared" ref="BG218" si="452">AVERAGE(AC218:AC220)</f>
        <v>5.2</v>
      </c>
      <c r="BH218" s="3">
        <f t="shared" ref="BH218" si="453">AVERAGE(AD218:AD220)</f>
        <v>9</v>
      </c>
    </row>
    <row r="219" spans="1:60" x14ac:dyDescent="0.3">
      <c r="A219">
        <v>176</v>
      </c>
      <c r="B219" s="1" t="s">
        <v>221</v>
      </c>
      <c r="C219" s="1" t="s">
        <v>30</v>
      </c>
      <c r="D219" s="2">
        <v>42675</v>
      </c>
      <c r="E219" s="3">
        <v>23.62</v>
      </c>
      <c r="F219" s="4">
        <f t="shared" si="414"/>
        <v>5187.7352755905513</v>
      </c>
      <c r="G219" s="7">
        <v>4.34</v>
      </c>
      <c r="H219" s="7">
        <v>4.1399999999999997</v>
      </c>
      <c r="I219" s="5">
        <f t="shared" si="415"/>
        <v>4.6082949308755801</v>
      </c>
      <c r="J219" s="4">
        <f t="shared" si="416"/>
        <v>4948.6691338582677</v>
      </c>
      <c r="K219" s="2">
        <v>42758</v>
      </c>
      <c r="L219" s="7">
        <v>4.1399999999999997</v>
      </c>
      <c r="M219" s="7">
        <v>1.68</v>
      </c>
      <c r="N219" s="7">
        <v>2.08</v>
      </c>
      <c r="O219" s="6">
        <f t="shared" si="417"/>
        <v>0.40579710144927539</v>
      </c>
      <c r="P219" s="6">
        <f t="shared" si="418"/>
        <v>0.50241545893719808</v>
      </c>
      <c r="Q219" s="6">
        <f t="shared" si="419"/>
        <v>9.1787439613526534E-2</v>
      </c>
      <c r="R219" s="4">
        <f t="shared" si="420"/>
        <v>2105.1679379208035</v>
      </c>
      <c r="S219" s="4">
        <f t="shared" si="421"/>
        <v>2606.3983993305187</v>
      </c>
      <c r="T219" s="4">
        <f t="shared" si="422"/>
        <v>4711.5663372513227</v>
      </c>
      <c r="U219" s="4">
        <f t="shared" si="423"/>
        <v>2008.1555905511811</v>
      </c>
      <c r="V219" s="4">
        <f t="shared" si="424"/>
        <v>2486.287874015748</v>
      </c>
      <c r="W219" s="4">
        <f t="shared" si="425"/>
        <v>4494.4434645669289</v>
      </c>
      <c r="X219" s="10">
        <v>42901</v>
      </c>
      <c r="Y219" s="12">
        <v>47</v>
      </c>
      <c r="Z219" s="5">
        <v>1.17</v>
      </c>
      <c r="AA219" s="4">
        <v>81.900000000000006</v>
      </c>
      <c r="AB219" s="4">
        <v>32.4</v>
      </c>
      <c r="AC219" s="4">
        <v>5.2</v>
      </c>
      <c r="AD219" s="4">
        <v>9</v>
      </c>
      <c r="AI219" s="3"/>
      <c r="AJ219" s="3"/>
      <c r="AK219" s="7"/>
      <c r="AL219" s="7"/>
      <c r="AM219" s="7"/>
      <c r="AN219" s="3"/>
      <c r="AO219" s="3"/>
      <c r="AP219" s="7"/>
      <c r="AQ219" s="7"/>
      <c r="AR219" s="7"/>
      <c r="AS219" s="9"/>
      <c r="AT219" s="9"/>
      <c r="AU219" s="9"/>
      <c r="AV219" s="3"/>
      <c r="AW219" s="3"/>
      <c r="AX219" s="3"/>
      <c r="AY219" s="3"/>
      <c r="AZ219" s="3"/>
      <c r="BA219" s="3"/>
      <c r="BC219" s="13"/>
      <c r="BD219" s="7"/>
      <c r="BE219" s="3"/>
      <c r="BF219" s="3"/>
      <c r="BG219" s="3"/>
      <c r="BH219" s="3"/>
    </row>
    <row r="220" spans="1:60" x14ac:dyDescent="0.3">
      <c r="A220">
        <v>177</v>
      </c>
      <c r="B220" s="1" t="s">
        <v>222</v>
      </c>
      <c r="C220" s="1" t="s">
        <v>30</v>
      </c>
      <c r="D220" s="2">
        <v>42675</v>
      </c>
      <c r="E220" s="3">
        <v>23.02</v>
      </c>
      <c r="F220" s="4">
        <f t="shared" si="414"/>
        <v>5053.8006299212602</v>
      </c>
      <c r="G220" s="7">
        <v>4.4400000000000004</v>
      </c>
      <c r="H220" s="7">
        <v>4.26</v>
      </c>
      <c r="I220" s="5">
        <f t="shared" si="415"/>
        <v>4.0540540540540677</v>
      </c>
      <c r="J220" s="4">
        <f t="shared" si="416"/>
        <v>4848.9168206001277</v>
      </c>
      <c r="K220" s="2">
        <v>42758</v>
      </c>
      <c r="L220" s="7">
        <v>4.26</v>
      </c>
      <c r="M220" s="7">
        <v>1.68</v>
      </c>
      <c r="N220" s="7">
        <v>2.06</v>
      </c>
      <c r="O220" s="6">
        <f t="shared" si="417"/>
        <v>0.39436619718309862</v>
      </c>
      <c r="P220" s="6">
        <f t="shared" si="418"/>
        <v>0.48356807511737093</v>
      </c>
      <c r="Q220" s="6">
        <f t="shared" si="419"/>
        <v>0.12206572769953045</v>
      </c>
      <c r="R220" s="4">
        <f t="shared" si="420"/>
        <v>1993.0481357435958</v>
      </c>
      <c r="S220" s="4">
        <f t="shared" si="421"/>
        <v>2443.8566426379807</v>
      </c>
      <c r="T220" s="4">
        <f t="shared" si="422"/>
        <v>4436.9047783815768</v>
      </c>
      <c r="U220" s="4">
        <f t="shared" si="423"/>
        <v>1912.2488869972335</v>
      </c>
      <c r="V220" s="4">
        <f t="shared" si="424"/>
        <v>2344.7813733418461</v>
      </c>
      <c r="W220" s="4">
        <f t="shared" si="425"/>
        <v>4257.0302603390792</v>
      </c>
      <c r="X220" s="10"/>
      <c r="Y220" s="12"/>
      <c r="Z220" s="5"/>
      <c r="AA220" s="4"/>
      <c r="AB220" s="4"/>
      <c r="AC220" s="4"/>
      <c r="AD220" s="4"/>
      <c r="AI220" s="3"/>
      <c r="AJ220" s="3"/>
      <c r="AK220" s="7"/>
      <c r="AL220" s="7"/>
      <c r="AM220" s="7"/>
      <c r="AN220" s="3"/>
      <c r="AO220" s="3"/>
      <c r="AP220" s="7"/>
      <c r="AQ220" s="7"/>
      <c r="AR220" s="7"/>
      <c r="AS220" s="9"/>
      <c r="AT220" s="9"/>
      <c r="AU220" s="9"/>
      <c r="AV220" s="3"/>
      <c r="AW220" s="3"/>
      <c r="AX220" s="3"/>
      <c r="AY220" s="3"/>
      <c r="AZ220" s="3"/>
      <c r="BA220" s="3"/>
      <c r="BC220" s="13"/>
      <c r="BD220" s="7"/>
      <c r="BE220" s="3"/>
      <c r="BF220" s="3"/>
      <c r="BG220" s="3"/>
      <c r="BH220" s="3"/>
    </row>
    <row r="221" spans="1:60" x14ac:dyDescent="0.3">
      <c r="A221">
        <v>178</v>
      </c>
      <c r="B221" s="1" t="s">
        <v>223</v>
      </c>
      <c r="C221" s="1" t="s">
        <v>30</v>
      </c>
      <c r="D221" s="2">
        <v>42675</v>
      </c>
      <c r="E221" s="3">
        <v>22.18</v>
      </c>
      <c r="F221" s="4">
        <f t="shared" si="414"/>
        <v>4866.2921259842524</v>
      </c>
      <c r="G221" s="7">
        <v>4.32</v>
      </c>
      <c r="H221" s="7">
        <v>4.16</v>
      </c>
      <c r="I221" s="5">
        <f t="shared" si="415"/>
        <v>3.7037037037037068</v>
      </c>
      <c r="J221" s="4">
        <f t="shared" si="416"/>
        <v>4686.0590842811316</v>
      </c>
      <c r="K221" s="2">
        <v>42758</v>
      </c>
      <c r="L221" s="7">
        <v>4.16</v>
      </c>
      <c r="M221" s="7">
        <v>1.66</v>
      </c>
      <c r="N221" s="7">
        <v>2.06</v>
      </c>
      <c r="O221" s="6">
        <f t="shared" si="417"/>
        <v>0.39903846153846151</v>
      </c>
      <c r="P221" s="6">
        <f t="shared" si="418"/>
        <v>0.49519230769230771</v>
      </c>
      <c r="Q221" s="6">
        <f t="shared" si="419"/>
        <v>0.10576923076923084</v>
      </c>
      <c r="R221" s="4">
        <f t="shared" si="420"/>
        <v>1941.8377233494853</v>
      </c>
      <c r="S221" s="4">
        <f t="shared" si="421"/>
        <v>2409.7504277710482</v>
      </c>
      <c r="T221" s="4">
        <f t="shared" si="422"/>
        <v>4351.5881511205334</v>
      </c>
      <c r="U221" s="4">
        <f t="shared" si="423"/>
        <v>1869.9178076698745</v>
      </c>
      <c r="V221" s="4">
        <f t="shared" si="424"/>
        <v>2320.5004119276759</v>
      </c>
      <c r="W221" s="4">
        <f t="shared" si="425"/>
        <v>4190.41821959755</v>
      </c>
      <c r="X221" s="10"/>
      <c r="Y221" s="12"/>
      <c r="Z221" s="5"/>
      <c r="AA221" s="4"/>
      <c r="AB221" s="4"/>
      <c r="AC221" s="4"/>
      <c r="AD221" s="4"/>
      <c r="AF221" t="s">
        <v>314</v>
      </c>
      <c r="AG221" t="s">
        <v>30</v>
      </c>
      <c r="AH221" s="8">
        <f>D221</f>
        <v>42675</v>
      </c>
      <c r="AI221" s="3">
        <f>SUM(E221:E223)</f>
        <v>71.38</v>
      </c>
      <c r="AJ221" s="3">
        <f>(AI221-3*$A$33)*$A$34/(3*$A$35)*$A$36</f>
        <v>5226.4275065616794</v>
      </c>
      <c r="AK221" s="7">
        <f>SUM(G221:G223)</f>
        <v>12.900000000000002</v>
      </c>
      <c r="AL221" s="7">
        <f>SUM(H221:H223)</f>
        <v>12.360000000000001</v>
      </c>
      <c r="AM221" s="7">
        <f>(AK221-AL221)/AK221*100</f>
        <v>4.1860465116279135</v>
      </c>
      <c r="AN221" s="3">
        <f>AJ221*(1-AM221/100)</f>
        <v>5007.6468202404922</v>
      </c>
      <c r="AO221" s="11">
        <f>K221</f>
        <v>42758</v>
      </c>
      <c r="AP221" s="7">
        <f>SUM(L221:L223)</f>
        <v>8.4400000000000013</v>
      </c>
      <c r="AQ221" s="7">
        <f t="shared" ref="AQ221" si="454">SUM(M221:M223)</f>
        <v>3.34</v>
      </c>
      <c r="AR221" s="7">
        <f t="shared" ref="AR221" si="455">SUM(N221:N223)</f>
        <v>4.16</v>
      </c>
      <c r="AS221" s="9">
        <f>AQ221/AP221</f>
        <v>0.39573459715639803</v>
      </c>
      <c r="AT221" s="9">
        <f>AR221/AP221</f>
        <v>0.49289099526066343</v>
      </c>
      <c r="AU221" s="9">
        <f>1-AS221-AT221</f>
        <v>0.11137440758293854</v>
      </c>
      <c r="AV221" s="3">
        <f>AJ221*AS221</f>
        <v>2068.278183876304</v>
      </c>
      <c r="AW221" s="3">
        <f>AJ221*AT221</f>
        <v>2576.0590553668935</v>
      </c>
      <c r="AX221" s="3">
        <f>AV221+AW221</f>
        <v>4644.3372392431975</v>
      </c>
      <c r="AY221" s="3">
        <f>AN221*AS221</f>
        <v>1981.6990971093887</v>
      </c>
      <c r="AZ221" s="3">
        <f>AN221*AT221</f>
        <v>2468.2240251422327</v>
      </c>
      <c r="BA221" s="3">
        <f>AY221+AZ221</f>
        <v>4449.923122251621</v>
      </c>
      <c r="BB221" s="11">
        <f>X222</f>
        <v>42901</v>
      </c>
      <c r="BC221" s="13">
        <f>AVERAGE(Y221:Y223)</f>
        <v>46</v>
      </c>
      <c r="BD221" s="7">
        <f t="shared" ref="BD221" si="456">AVERAGE(Z221:Z223)</f>
        <v>1.1100000000000001</v>
      </c>
      <c r="BE221" s="3">
        <f t="shared" ref="BE221" si="457">AVERAGE(AA221:AA223)</f>
        <v>80.7</v>
      </c>
      <c r="BF221" s="3">
        <f t="shared" ref="BF221" si="458">AVERAGE(AB221:AB223)</f>
        <v>30.6</v>
      </c>
      <c r="BG221" s="3">
        <f t="shared" ref="BG221" si="459">AVERAGE(AC221:AC223)</f>
        <v>5.3</v>
      </c>
      <c r="BH221" s="3">
        <f t="shared" ref="BH221" si="460">AVERAGE(AD221:AD223)</f>
        <v>9.9</v>
      </c>
    </row>
    <row r="222" spans="1:60" x14ac:dyDescent="0.3">
      <c r="A222">
        <v>179</v>
      </c>
      <c r="B222" s="1" t="s">
        <v>224</v>
      </c>
      <c r="C222" s="1" t="s">
        <v>30</v>
      </c>
      <c r="D222" s="2">
        <v>42675</v>
      </c>
      <c r="E222" s="3">
        <v>23.64</v>
      </c>
      <c r="F222" s="4">
        <f t="shared" si="414"/>
        <v>5192.1997637795266</v>
      </c>
      <c r="G222" s="7">
        <v>4.46</v>
      </c>
      <c r="H222" s="7">
        <v>4.28</v>
      </c>
      <c r="I222" s="5">
        <f t="shared" si="415"/>
        <v>4.0358744394618773</v>
      </c>
      <c r="J222" s="4">
        <f t="shared" si="416"/>
        <v>4982.6491006673486</v>
      </c>
      <c r="K222" s="2">
        <v>42758</v>
      </c>
      <c r="L222" s="7">
        <v>4.28</v>
      </c>
      <c r="M222" s="7">
        <v>1.68</v>
      </c>
      <c r="N222" s="7">
        <v>2.1</v>
      </c>
      <c r="O222" s="6">
        <f t="shared" si="417"/>
        <v>0.3925233644859813</v>
      </c>
      <c r="P222" s="6">
        <f t="shared" si="418"/>
        <v>0.49065420560747663</v>
      </c>
      <c r="Q222" s="6">
        <f t="shared" si="419"/>
        <v>0.11682242990654201</v>
      </c>
      <c r="R222" s="4">
        <f t="shared" si="420"/>
        <v>2038.0597203620571</v>
      </c>
      <c r="S222" s="4">
        <f t="shared" si="421"/>
        <v>2547.5746504525714</v>
      </c>
      <c r="T222" s="4">
        <f t="shared" si="422"/>
        <v>4585.6343708146287</v>
      </c>
      <c r="U222" s="4">
        <f t="shared" si="423"/>
        <v>1955.8061890469967</v>
      </c>
      <c r="V222" s="4">
        <f t="shared" si="424"/>
        <v>2444.7577363087457</v>
      </c>
      <c r="W222" s="4">
        <f t="shared" si="425"/>
        <v>4400.563925355742</v>
      </c>
      <c r="X222" s="10">
        <v>42901</v>
      </c>
      <c r="Y222" s="12">
        <v>46</v>
      </c>
      <c r="Z222" s="5">
        <v>1.1100000000000001</v>
      </c>
      <c r="AA222" s="4">
        <v>80.7</v>
      </c>
      <c r="AB222" s="4">
        <v>30.6</v>
      </c>
      <c r="AC222" s="4">
        <v>5.3</v>
      </c>
      <c r="AD222" s="4">
        <v>9.9</v>
      </c>
      <c r="AI222" s="3"/>
      <c r="AJ222" s="3"/>
      <c r="AK222" s="7"/>
      <c r="AL222" s="7"/>
      <c r="AM222" s="7"/>
      <c r="AN222" s="3"/>
      <c r="AO222" s="3"/>
      <c r="AP222" s="7"/>
      <c r="AQ222" s="7"/>
      <c r="AR222" s="7"/>
      <c r="AS222" s="9"/>
      <c r="AT222" s="9"/>
      <c r="AU222" s="9"/>
      <c r="AV222" s="3"/>
      <c r="AW222" s="3"/>
      <c r="AX222" s="3"/>
      <c r="AY222" s="3"/>
      <c r="AZ222" s="3"/>
      <c r="BA222" s="3"/>
      <c r="BC222" s="13"/>
      <c r="BD222" s="7"/>
      <c r="BE222" s="3"/>
      <c r="BF222" s="3"/>
      <c r="BG222" s="3"/>
      <c r="BH222" s="3"/>
    </row>
    <row r="223" spans="1:60" x14ac:dyDescent="0.3">
      <c r="A223">
        <v>180</v>
      </c>
      <c r="B223" s="1" t="s">
        <v>225</v>
      </c>
      <c r="C223" s="1" t="s">
        <v>30</v>
      </c>
      <c r="D223" s="2">
        <v>42675</v>
      </c>
      <c r="E223" s="3">
        <v>25.56</v>
      </c>
      <c r="F223" s="4">
        <f t="shared" si="414"/>
        <v>5620.7906299212591</v>
      </c>
      <c r="G223" s="7">
        <v>4.12</v>
      </c>
      <c r="H223" s="7">
        <v>3.92</v>
      </c>
      <c r="I223" s="5">
        <f t="shared" si="415"/>
        <v>4.854368932038839</v>
      </c>
      <c r="J223" s="4">
        <f t="shared" si="416"/>
        <v>5347.9367158474115</v>
      </c>
      <c r="K223" s="2">
        <v>42758</v>
      </c>
      <c r="L223" s="7"/>
      <c r="M223" s="7"/>
      <c r="N223" s="7"/>
      <c r="O223" s="6"/>
      <c r="P223" s="6"/>
      <c r="Q223" s="6"/>
      <c r="R223" s="4"/>
      <c r="S223" s="4"/>
      <c r="T223" s="4"/>
      <c r="U223" s="4"/>
      <c r="V223" s="4"/>
      <c r="W223" s="4"/>
      <c r="X223" s="10"/>
      <c r="Y223" s="12"/>
      <c r="Z223" s="5"/>
      <c r="AA223" s="4"/>
      <c r="AB223" s="4"/>
      <c r="AC223" s="4"/>
      <c r="AD223" s="4"/>
      <c r="AI223" s="3"/>
      <c r="AJ223" s="3"/>
      <c r="AK223" s="7"/>
      <c r="AL223" s="7"/>
      <c r="AM223" s="7"/>
      <c r="AN223" s="3"/>
      <c r="AO223" s="3"/>
      <c r="AP223" s="7"/>
      <c r="AQ223" s="7"/>
      <c r="AR223" s="7"/>
      <c r="AS223" s="9"/>
      <c r="AT223" s="9"/>
      <c r="AU223" s="9"/>
      <c r="AV223" s="3"/>
      <c r="AW223" s="3"/>
      <c r="AX223" s="3"/>
      <c r="AY223" s="3"/>
      <c r="AZ223" s="3"/>
      <c r="BA223" s="3"/>
      <c r="BC223" s="13"/>
      <c r="BD223" s="7"/>
      <c r="BE223" s="3"/>
      <c r="BF223" s="3"/>
      <c r="BG223" s="3"/>
      <c r="BH223" s="3"/>
    </row>
    <row r="224" spans="1:60" x14ac:dyDescent="0.3">
      <c r="A224">
        <v>181</v>
      </c>
      <c r="B224" s="1" t="s">
        <v>226</v>
      </c>
      <c r="C224" s="1" t="s">
        <v>30</v>
      </c>
      <c r="D224" s="2">
        <v>42675</v>
      </c>
      <c r="E224" s="3">
        <v>23.52</v>
      </c>
      <c r="F224" s="4">
        <f t="shared" si="414"/>
        <v>5165.4128346456691</v>
      </c>
      <c r="G224" s="7">
        <v>4.38</v>
      </c>
      <c r="H224" s="7">
        <v>4.22</v>
      </c>
      <c r="I224" s="5">
        <f t="shared" si="415"/>
        <v>3.6529680365296837</v>
      </c>
      <c r="J224" s="4">
        <f t="shared" si="416"/>
        <v>4976.7219548412613</v>
      </c>
      <c r="K224" s="2">
        <v>42782</v>
      </c>
      <c r="L224" s="7">
        <v>4.22</v>
      </c>
      <c r="M224" s="7">
        <v>1.7</v>
      </c>
      <c r="N224" s="7">
        <v>2.16</v>
      </c>
      <c r="O224" s="6">
        <f t="shared" si="417"/>
        <v>0.40284360189573459</v>
      </c>
      <c r="P224" s="6">
        <f t="shared" si="418"/>
        <v>0.51184834123222755</v>
      </c>
      <c r="Q224" s="6">
        <f t="shared" si="419"/>
        <v>8.5308056872037796E-2</v>
      </c>
      <c r="R224" s="4">
        <f t="shared" si="420"/>
        <v>2080.8535115871177</v>
      </c>
      <c r="S224" s="4">
        <f t="shared" si="421"/>
        <v>2643.9079911930444</v>
      </c>
      <c r="T224" s="4">
        <f t="shared" si="422"/>
        <v>4724.7615027801621</v>
      </c>
      <c r="U224" s="4">
        <f t="shared" si="423"/>
        <v>2004.8405979218351</v>
      </c>
      <c r="V224" s="4">
        <f t="shared" si="424"/>
        <v>2547.3268773595087</v>
      </c>
      <c r="W224" s="4">
        <f t="shared" si="425"/>
        <v>4552.1674752813433</v>
      </c>
      <c r="X224" s="10"/>
      <c r="Y224" s="12"/>
      <c r="Z224" s="5"/>
      <c r="AA224" s="4"/>
      <c r="AB224" s="4"/>
      <c r="AC224" s="4"/>
      <c r="AD224" s="4"/>
      <c r="AF224" t="s">
        <v>315</v>
      </c>
      <c r="AG224" t="str">
        <f>C224</f>
        <v>Machine</v>
      </c>
      <c r="AH224" s="8">
        <f>D224</f>
        <v>42675</v>
      </c>
      <c r="AI224" s="3">
        <f>SUM(E224:E226)</f>
        <v>66.48</v>
      </c>
      <c r="AJ224" s="3">
        <f>(AI224-3*$A$33)*$A$34/(3*$A$35)*$A$36</f>
        <v>4861.8276377952761</v>
      </c>
      <c r="AK224" s="7">
        <f>SUM(G224:G226)</f>
        <v>12.12</v>
      </c>
      <c r="AL224" s="7">
        <f>SUM(H224:H226)</f>
        <v>11.68</v>
      </c>
      <c r="AM224" s="7">
        <f>(AK224-AL224)/AK224*100</f>
        <v>3.6303630363036263</v>
      </c>
      <c r="AN224" s="3">
        <f>AJ224*(1-AM224/100)</f>
        <v>4685.3256443439623</v>
      </c>
      <c r="AO224" s="11">
        <f>K224</f>
        <v>42782</v>
      </c>
      <c r="AP224" s="7">
        <f>SUM(L224:L226)</f>
        <v>11.68</v>
      </c>
      <c r="AQ224" s="7">
        <f t="shared" ref="AQ224" si="461">SUM(M224:M226)</f>
        <v>4.6400000000000006</v>
      </c>
      <c r="AR224" s="7">
        <f t="shared" ref="AR224" si="462">SUM(N224:N226)</f>
        <v>5.92</v>
      </c>
      <c r="AS224" s="9">
        <f>AQ224/AP224</f>
        <v>0.39726027397260277</v>
      </c>
      <c r="AT224" s="9">
        <f>AR224/AP224</f>
        <v>0.50684931506849318</v>
      </c>
      <c r="AU224" s="9">
        <f>1-AS224-AT224</f>
        <v>9.5890410958904049E-2</v>
      </c>
      <c r="AV224" s="3">
        <f>AJ224*AS224</f>
        <v>1931.4109793981236</v>
      </c>
      <c r="AW224" s="3">
        <f>AJ224*AT224</f>
        <v>2464.2140081976058</v>
      </c>
      <c r="AX224" s="3">
        <f>AV224+AW224</f>
        <v>4395.6249875957292</v>
      </c>
      <c r="AY224" s="3">
        <f>AN224*AS224</f>
        <v>1861.2937491229441</v>
      </c>
      <c r="AZ224" s="3">
        <f>AN224*AT224</f>
        <v>2374.7540937085837</v>
      </c>
      <c r="BA224" s="3">
        <f>AY224+AZ224</f>
        <v>4236.0478428315273</v>
      </c>
      <c r="BB224" s="11">
        <f>X225</f>
        <v>42901</v>
      </c>
      <c r="BC224" s="13">
        <f>AVERAGE(Y224:Y226)</f>
        <v>37</v>
      </c>
      <c r="BD224" s="7">
        <f t="shared" ref="BD224" si="463">AVERAGE(Z224:Z226)</f>
        <v>1.17</v>
      </c>
      <c r="BE224" s="3">
        <f t="shared" ref="BE224" si="464">AVERAGE(AA224:AA226)</f>
        <v>81.5</v>
      </c>
      <c r="BF224" s="3">
        <f t="shared" ref="BF224" si="465">AVERAGE(AB224:AB226)</f>
        <v>32.200000000000003</v>
      </c>
      <c r="BG224" s="3">
        <f t="shared" ref="BG224" si="466">AVERAGE(AC224:AC226)</f>
        <v>5.8</v>
      </c>
      <c r="BH224" s="3">
        <f t="shared" ref="BH224" si="467">AVERAGE(AD224:AD226)</f>
        <v>8.6999999999999993</v>
      </c>
    </row>
    <row r="225" spans="1:60" x14ac:dyDescent="0.3">
      <c r="A225">
        <v>182</v>
      </c>
      <c r="B225" s="1" t="s">
        <v>227</v>
      </c>
      <c r="C225" s="1" t="s">
        <v>30</v>
      </c>
      <c r="D225" s="2">
        <v>42675</v>
      </c>
      <c r="E225" s="3">
        <v>22.1</v>
      </c>
      <c r="F225" s="4">
        <f t="shared" si="414"/>
        <v>4848.4341732283474</v>
      </c>
      <c r="G225" s="7">
        <v>3.8799999999999994</v>
      </c>
      <c r="H225" s="7">
        <v>3.72</v>
      </c>
      <c r="I225" s="5">
        <f t="shared" si="415"/>
        <v>4.1237113402061665</v>
      </c>
      <c r="J225" s="4">
        <f t="shared" si="416"/>
        <v>4648.4987434044988</v>
      </c>
      <c r="K225" s="2">
        <v>42774</v>
      </c>
      <c r="L225" s="7">
        <v>3.72</v>
      </c>
      <c r="M225" s="7">
        <v>1.46</v>
      </c>
      <c r="N225" s="7">
        <v>1.86</v>
      </c>
      <c r="O225" s="6">
        <f t="shared" si="417"/>
        <v>0.39247311827956988</v>
      </c>
      <c r="P225" s="6">
        <f t="shared" si="418"/>
        <v>0.5</v>
      </c>
      <c r="Q225" s="6">
        <f t="shared" si="419"/>
        <v>0.10752688172043012</v>
      </c>
      <c r="R225" s="4">
        <f t="shared" si="420"/>
        <v>1902.8800787401578</v>
      </c>
      <c r="S225" s="4">
        <f t="shared" si="421"/>
        <v>2424.2170866141737</v>
      </c>
      <c r="T225" s="4">
        <f t="shared" si="422"/>
        <v>4327.0971653543311</v>
      </c>
      <c r="U225" s="4">
        <f t="shared" si="423"/>
        <v>1824.4107971426258</v>
      </c>
      <c r="V225" s="4">
        <f t="shared" si="424"/>
        <v>2324.2493717022494</v>
      </c>
      <c r="W225" s="4">
        <f t="shared" si="425"/>
        <v>4148.6601688448754</v>
      </c>
      <c r="X225" s="10">
        <v>42901</v>
      </c>
      <c r="Y225" s="12">
        <v>37</v>
      </c>
      <c r="Z225" s="5">
        <v>1.17</v>
      </c>
      <c r="AA225" s="4">
        <v>81.5</v>
      </c>
      <c r="AB225" s="4">
        <v>32.200000000000003</v>
      </c>
      <c r="AC225" s="4">
        <v>5.8</v>
      </c>
      <c r="AD225" s="4">
        <v>8.6999999999999993</v>
      </c>
      <c r="AI225" s="3"/>
      <c r="AJ225" s="3"/>
      <c r="AK225" s="7"/>
      <c r="AL225" s="7"/>
      <c r="AM225" s="7"/>
      <c r="AN225" s="3"/>
      <c r="AO225" s="3"/>
      <c r="AP225" s="7"/>
      <c r="AQ225" s="7"/>
      <c r="AR225" s="7"/>
      <c r="AS225" s="9"/>
      <c r="AT225" s="9"/>
      <c r="AU225" s="9"/>
      <c r="AV225" s="3"/>
      <c r="AW225" s="3"/>
      <c r="AX225" s="3"/>
      <c r="AY225" s="3"/>
      <c r="AZ225" s="3"/>
      <c r="BA225" s="3"/>
      <c r="BC225" s="13"/>
      <c r="BD225" s="7"/>
      <c r="BE225" s="3"/>
      <c r="BF225" s="3"/>
      <c r="BG225" s="3"/>
      <c r="BH225" s="3"/>
    </row>
    <row r="226" spans="1:60" x14ac:dyDescent="0.3">
      <c r="A226">
        <v>183</v>
      </c>
      <c r="B226" s="1" t="s">
        <v>228</v>
      </c>
      <c r="C226" s="1" t="s">
        <v>30</v>
      </c>
      <c r="D226" s="2">
        <v>42675</v>
      </c>
      <c r="E226" s="3">
        <v>20.86</v>
      </c>
      <c r="F226" s="4">
        <f t="shared" si="414"/>
        <v>4571.635905511811</v>
      </c>
      <c r="G226" s="7">
        <v>3.86</v>
      </c>
      <c r="H226" s="7">
        <v>3.74</v>
      </c>
      <c r="I226" s="5">
        <f t="shared" si="415"/>
        <v>3.1088082901554315</v>
      </c>
      <c r="J226" s="4">
        <f t="shared" si="416"/>
        <v>4429.5125094855375</v>
      </c>
      <c r="K226" s="2">
        <v>42774</v>
      </c>
      <c r="L226" s="7">
        <v>3.74</v>
      </c>
      <c r="M226" s="7">
        <v>1.48</v>
      </c>
      <c r="N226" s="7">
        <v>1.9</v>
      </c>
      <c r="O226" s="6">
        <f t="shared" si="417"/>
        <v>0.39572192513368981</v>
      </c>
      <c r="P226" s="6">
        <f t="shared" si="418"/>
        <v>0.50802139037433147</v>
      </c>
      <c r="Q226" s="6">
        <f t="shared" si="419"/>
        <v>9.6256684491978661E-2</v>
      </c>
      <c r="R226" s="4">
        <f t="shared" si="420"/>
        <v>1809.0965615394332</v>
      </c>
      <c r="S226" s="4">
        <f t="shared" si="421"/>
        <v>2322.4888290033259</v>
      </c>
      <c r="T226" s="4">
        <f t="shared" si="422"/>
        <v>4131.5853905427593</v>
      </c>
      <c r="U226" s="4">
        <f t="shared" si="423"/>
        <v>1752.8552176573783</v>
      </c>
      <c r="V226" s="4">
        <f t="shared" si="424"/>
        <v>2250.2871037493369</v>
      </c>
      <c r="W226" s="4">
        <f t="shared" si="425"/>
        <v>4003.1423214067154</v>
      </c>
      <c r="X226" s="10"/>
      <c r="Y226" s="12"/>
      <c r="Z226" s="5"/>
      <c r="AA226" s="4"/>
      <c r="AB226" s="4"/>
      <c r="AC226" s="4"/>
      <c r="AD226" s="4"/>
      <c r="AI226" s="3"/>
      <c r="AJ226" s="3"/>
      <c r="AK226" s="7"/>
      <c r="AL226" s="7"/>
      <c r="AM226" s="7"/>
      <c r="AN226" s="3"/>
      <c r="AO226" s="3"/>
      <c r="AP226" s="7"/>
      <c r="AQ226" s="7"/>
      <c r="AR226" s="7"/>
      <c r="AS226" s="9"/>
      <c r="AT226" s="9"/>
      <c r="AU226" s="9"/>
      <c r="AV226" s="3"/>
      <c r="AW226" s="3"/>
      <c r="AX226" s="3"/>
      <c r="AY226" s="3"/>
      <c r="AZ226" s="3"/>
      <c r="BA226" s="3"/>
      <c r="BC226" s="13"/>
      <c r="BD226" s="7"/>
      <c r="BE226" s="3"/>
      <c r="BF226" s="3"/>
      <c r="BG226" s="3"/>
      <c r="BH226" s="3"/>
    </row>
    <row r="227" spans="1:60" x14ac:dyDescent="0.3">
      <c r="A227">
        <v>184</v>
      </c>
      <c r="B227" s="1" t="s">
        <v>229</v>
      </c>
      <c r="C227" s="1" t="s">
        <v>30</v>
      </c>
      <c r="D227" s="2">
        <v>42675</v>
      </c>
      <c r="E227" s="3">
        <v>17.72</v>
      </c>
      <c r="F227" s="4">
        <f t="shared" si="414"/>
        <v>3870.7112598425197</v>
      </c>
      <c r="G227" s="7">
        <v>3.98</v>
      </c>
      <c r="H227" s="7">
        <v>3.86</v>
      </c>
      <c r="I227" s="5">
        <f t="shared" si="415"/>
        <v>3.015075376884425</v>
      </c>
      <c r="J227" s="4">
        <f t="shared" si="416"/>
        <v>3754.0063977367149</v>
      </c>
      <c r="K227" s="2">
        <v>42774</v>
      </c>
      <c r="L227" s="7">
        <v>3.86</v>
      </c>
      <c r="M227" s="7">
        <v>1.58</v>
      </c>
      <c r="N227" s="7">
        <v>1.98</v>
      </c>
      <c r="O227" s="6">
        <f t="shared" si="417"/>
        <v>0.40932642487046633</v>
      </c>
      <c r="P227" s="6">
        <f t="shared" si="418"/>
        <v>0.51295336787564771</v>
      </c>
      <c r="Q227" s="6">
        <f t="shared" si="419"/>
        <v>7.7720207253885953E-2</v>
      </c>
      <c r="R227" s="4">
        <f t="shared" si="420"/>
        <v>1584.3844016971973</v>
      </c>
      <c r="S227" s="4">
        <f t="shared" si="421"/>
        <v>1985.4943768104117</v>
      </c>
      <c r="T227" s="4">
        <f t="shared" si="422"/>
        <v>3569.8787785076092</v>
      </c>
      <c r="U227" s="4">
        <f t="shared" si="423"/>
        <v>1536.6140177264274</v>
      </c>
      <c r="V227" s="4">
        <f t="shared" si="424"/>
        <v>1925.6302247457763</v>
      </c>
      <c r="W227" s="4">
        <f t="shared" si="425"/>
        <v>3462.244242472204</v>
      </c>
      <c r="X227" s="10"/>
      <c r="Y227" s="12"/>
      <c r="Z227" s="5"/>
      <c r="AA227" s="4"/>
      <c r="AB227" s="4"/>
      <c r="AC227" s="4"/>
      <c r="AD227" s="4"/>
      <c r="AF227" t="s">
        <v>316</v>
      </c>
      <c r="AG227" t="s">
        <v>30</v>
      </c>
      <c r="AH227" s="8">
        <f>D227</f>
        <v>42675</v>
      </c>
      <c r="AI227" s="3">
        <f>SUM(E227:E229)</f>
        <v>47.959999999999994</v>
      </c>
      <c r="AJ227" s="3">
        <f>(AI227-3*$A$33)*$A$34/(3*$A$35)*$A$36</f>
        <v>3483.7889501312329</v>
      </c>
      <c r="AK227" s="7">
        <f>SUM(G227:G229)</f>
        <v>12.08</v>
      </c>
      <c r="AL227" s="7">
        <f>SUM(H227:H229)</f>
        <v>11.64</v>
      </c>
      <c r="AM227" s="7">
        <f>(AK227-AL227)/AK227*100</f>
        <v>3.6423841059602604</v>
      </c>
      <c r="AN227" s="3">
        <f>AJ227*(1-AM227/100)</f>
        <v>3356.8959751264529</v>
      </c>
      <c r="AO227" s="11">
        <f>K227</f>
        <v>42774</v>
      </c>
      <c r="AP227" s="7">
        <f>SUM(L227:L229)</f>
        <v>11.64</v>
      </c>
      <c r="AQ227" s="7">
        <f t="shared" ref="AQ227" si="468">SUM(M227:M229)</f>
        <v>4.8</v>
      </c>
      <c r="AR227" s="7">
        <f t="shared" ref="AR227" si="469">SUM(N227:N229)</f>
        <v>5.9799999999999995</v>
      </c>
      <c r="AS227" s="9">
        <f>AQ227/AP227</f>
        <v>0.41237113402061853</v>
      </c>
      <c r="AT227" s="9">
        <f>AR227/AP227</f>
        <v>0.5137457044673539</v>
      </c>
      <c r="AU227" s="9">
        <f>1-AS227-AT227</f>
        <v>7.3883161512027562E-2</v>
      </c>
      <c r="AV227" s="3">
        <f>AJ227*AS227</f>
        <v>1436.6140000541166</v>
      </c>
      <c r="AW227" s="3">
        <f>AJ227*AT227</f>
        <v>1789.7816084007536</v>
      </c>
      <c r="AX227" s="3">
        <f>AV227+AW227</f>
        <v>3226.3956084548699</v>
      </c>
      <c r="AY227" s="3">
        <f>AN227*AS227</f>
        <v>1384.2870000521455</v>
      </c>
      <c r="AZ227" s="3">
        <f>AN227*AT227</f>
        <v>1724.5908875649645</v>
      </c>
      <c r="BA227" s="3">
        <f>AY227+AZ227</f>
        <v>3108.87788761711</v>
      </c>
      <c r="BB227" s="11">
        <f>X228</f>
        <v>42901</v>
      </c>
      <c r="BC227" s="13">
        <f>AVERAGE(Y227:Y229)</f>
        <v>50</v>
      </c>
      <c r="BD227" s="7">
        <f t="shared" ref="BD227" si="470">AVERAGE(Z227:Z229)</f>
        <v>1.0900000000000001</v>
      </c>
      <c r="BE227" s="3">
        <f t="shared" ref="BE227" si="471">AVERAGE(AA227:AA229)</f>
        <v>80.400000000000006</v>
      </c>
      <c r="BF227" s="3">
        <f t="shared" ref="BF227" si="472">AVERAGE(AB227:AB229)</f>
        <v>31.8</v>
      </c>
      <c r="BG227" s="3">
        <f t="shared" ref="BG227" si="473">AVERAGE(AC227:AC229)</f>
        <v>5.3</v>
      </c>
      <c r="BH227" s="3">
        <f t="shared" ref="BH227" si="474">AVERAGE(AD227:AD229)</f>
        <v>10</v>
      </c>
    </row>
    <row r="228" spans="1:60" x14ac:dyDescent="0.3">
      <c r="A228">
        <v>185</v>
      </c>
      <c r="B228" s="1" t="s">
        <v>230</v>
      </c>
      <c r="C228" s="1" t="s">
        <v>30</v>
      </c>
      <c r="D228" s="2">
        <v>42675</v>
      </c>
      <c r="E228" s="3">
        <v>14.26</v>
      </c>
      <c r="F228" s="4">
        <f t="shared" si="414"/>
        <v>3098.3548031496061</v>
      </c>
      <c r="G228" s="7">
        <v>4.12</v>
      </c>
      <c r="H228" s="7">
        <v>3.96</v>
      </c>
      <c r="I228" s="5">
        <f t="shared" si="415"/>
        <v>3.8834951456310711</v>
      </c>
      <c r="J228" s="4">
        <f t="shared" si="416"/>
        <v>2978.0303447748643</v>
      </c>
      <c r="K228" s="2">
        <v>42774</v>
      </c>
      <c r="L228" s="7">
        <v>3.96</v>
      </c>
      <c r="M228" s="7">
        <v>1.64</v>
      </c>
      <c r="N228" s="7">
        <v>2.04</v>
      </c>
      <c r="O228" s="6">
        <f t="shared" si="417"/>
        <v>0.41414141414141414</v>
      </c>
      <c r="P228" s="6">
        <f t="shared" si="418"/>
        <v>0.51515151515151514</v>
      </c>
      <c r="Q228" s="6">
        <f t="shared" si="419"/>
        <v>7.0707070707070718E-2</v>
      </c>
      <c r="R228" s="4">
        <f t="shared" si="420"/>
        <v>1283.1570396882207</v>
      </c>
      <c r="S228" s="4">
        <f t="shared" si="421"/>
        <v>1596.1221713194941</v>
      </c>
      <c r="T228" s="4">
        <f t="shared" si="422"/>
        <v>2879.2792110077148</v>
      </c>
      <c r="U228" s="4">
        <f t="shared" si="423"/>
        <v>1233.3256983411054</v>
      </c>
      <c r="V228" s="4">
        <f t="shared" si="424"/>
        <v>1534.1368442779603</v>
      </c>
      <c r="W228" s="4">
        <f t="shared" si="425"/>
        <v>2767.462542619066</v>
      </c>
      <c r="X228" s="10">
        <v>42901</v>
      </c>
      <c r="Y228" s="12">
        <v>50</v>
      </c>
      <c r="Z228" s="5">
        <v>1.0900000000000001</v>
      </c>
      <c r="AA228" s="4">
        <v>80.400000000000006</v>
      </c>
      <c r="AB228" s="4">
        <v>31.8</v>
      </c>
      <c r="AC228" s="4">
        <v>5.3</v>
      </c>
      <c r="AD228" s="4">
        <v>10</v>
      </c>
      <c r="AI228" s="3"/>
      <c r="AJ228" s="3"/>
      <c r="AK228" s="7"/>
      <c r="AL228" s="7"/>
      <c r="AM228" s="7"/>
      <c r="AN228" s="3"/>
      <c r="AO228" s="3"/>
      <c r="AP228" s="7"/>
      <c r="AQ228" s="7"/>
      <c r="AR228" s="7"/>
      <c r="AS228" s="9"/>
      <c r="AT228" s="9"/>
      <c r="AU228" s="9"/>
      <c r="AV228" s="3"/>
      <c r="AW228" s="3"/>
      <c r="AX228" s="3"/>
      <c r="AY228" s="3"/>
      <c r="AZ228" s="3"/>
      <c r="BA228" s="3"/>
      <c r="BC228" s="13"/>
      <c r="BD228" s="7"/>
      <c r="BE228" s="3"/>
      <c r="BF228" s="3"/>
      <c r="BG228" s="3"/>
      <c r="BH228" s="3"/>
    </row>
    <row r="229" spans="1:60" x14ac:dyDescent="0.3">
      <c r="A229">
        <v>186</v>
      </c>
      <c r="B229" s="1" t="s">
        <v>231</v>
      </c>
      <c r="C229" s="1" t="s">
        <v>30</v>
      </c>
      <c r="D229" s="2">
        <v>42675</v>
      </c>
      <c r="E229" s="3">
        <v>15.98</v>
      </c>
      <c r="F229" s="4">
        <f t="shared" si="414"/>
        <v>3482.3007874015748</v>
      </c>
      <c r="G229" s="7">
        <v>3.98</v>
      </c>
      <c r="H229" s="7">
        <v>3.82</v>
      </c>
      <c r="I229" s="5">
        <f t="shared" si="415"/>
        <v>4.020100502512566</v>
      </c>
      <c r="J229" s="4">
        <f t="shared" si="416"/>
        <v>3342.308795948245</v>
      </c>
      <c r="K229" s="2">
        <v>42774</v>
      </c>
      <c r="L229" s="7">
        <v>3.82</v>
      </c>
      <c r="M229" s="7">
        <v>1.58</v>
      </c>
      <c r="N229" s="7">
        <v>1.96</v>
      </c>
      <c r="O229" s="6">
        <f t="shared" si="417"/>
        <v>0.41361256544502623</v>
      </c>
      <c r="P229" s="6">
        <f t="shared" si="418"/>
        <v>0.51308900523560208</v>
      </c>
      <c r="Q229" s="6">
        <f t="shared" si="419"/>
        <v>7.3298429319371694E-2</v>
      </c>
      <c r="R229" s="4">
        <f t="shared" si="420"/>
        <v>1440.3233623284002</v>
      </c>
      <c r="S229" s="4">
        <f t="shared" si="421"/>
        <v>1786.7302469390279</v>
      </c>
      <c r="T229" s="4">
        <f t="shared" si="422"/>
        <v>3227.0536092674283</v>
      </c>
      <c r="U229" s="4">
        <f t="shared" si="423"/>
        <v>1382.4209156016302</v>
      </c>
      <c r="V229" s="4">
        <f t="shared" si="424"/>
        <v>1714.901895303288</v>
      </c>
      <c r="W229" s="4">
        <f t="shared" si="425"/>
        <v>3097.3228109049182</v>
      </c>
      <c r="X229" s="10"/>
      <c r="Y229" s="12"/>
      <c r="Z229" s="5"/>
      <c r="AA229" s="4"/>
      <c r="AB229" s="4"/>
      <c r="AC229" s="4"/>
      <c r="AD229" s="4"/>
      <c r="AI229" s="3"/>
      <c r="AJ229" s="3"/>
      <c r="AK229" s="7"/>
      <c r="AL229" s="7"/>
      <c r="AM229" s="7"/>
      <c r="AN229" s="3"/>
      <c r="AO229" s="3"/>
      <c r="AP229" s="7"/>
      <c r="AQ229" s="7"/>
      <c r="AR229" s="7"/>
      <c r="AS229" s="9"/>
      <c r="AT229" s="9"/>
      <c r="AU229" s="9"/>
      <c r="AV229" s="3"/>
      <c r="AW229" s="3"/>
      <c r="AX229" s="3"/>
      <c r="AY229" s="3"/>
      <c r="AZ229" s="3"/>
      <c r="BA229" s="3"/>
      <c r="BC229" s="13"/>
      <c r="BD229" s="7"/>
      <c r="BE229" s="3"/>
      <c r="BF229" s="3"/>
      <c r="BG229" s="3"/>
      <c r="BH229" s="3"/>
    </row>
    <row r="230" spans="1:60" x14ac:dyDescent="0.3">
      <c r="A230">
        <v>187</v>
      </c>
      <c r="B230" s="1" t="s">
        <v>232</v>
      </c>
      <c r="C230" s="1" t="s">
        <v>30</v>
      </c>
      <c r="D230" s="2">
        <v>42675</v>
      </c>
      <c r="E230" s="3">
        <v>22.08</v>
      </c>
      <c r="F230" s="4">
        <f t="shared" si="414"/>
        <v>4843.9696850393693</v>
      </c>
      <c r="G230" s="7">
        <v>4.3400000000000007</v>
      </c>
      <c r="H230" s="7">
        <v>4.22</v>
      </c>
      <c r="I230" s="5">
        <f t="shared" si="415"/>
        <v>2.7649769585253678</v>
      </c>
      <c r="J230" s="4">
        <f t="shared" si="416"/>
        <v>4710.0350393700774</v>
      </c>
      <c r="K230" s="2">
        <v>42765</v>
      </c>
      <c r="L230" s="7">
        <v>4.22</v>
      </c>
      <c r="M230" s="7">
        <v>1.74</v>
      </c>
      <c r="N230" s="7">
        <v>2.1800000000000002</v>
      </c>
      <c r="O230" s="6">
        <f t="shared" si="417"/>
        <v>0.41232227488151663</v>
      </c>
      <c r="P230" s="6">
        <f t="shared" si="418"/>
        <v>0.5165876777251186</v>
      </c>
      <c r="Q230" s="6">
        <f t="shared" si="419"/>
        <v>7.1090047393364775E-2</v>
      </c>
      <c r="R230" s="4">
        <f t="shared" si="420"/>
        <v>1997.2765999925364</v>
      </c>
      <c r="S230" s="4">
        <f t="shared" si="421"/>
        <v>2502.3350505653621</v>
      </c>
      <c r="T230" s="4">
        <f t="shared" si="422"/>
        <v>4499.6116505578984</v>
      </c>
      <c r="U230" s="4">
        <f t="shared" si="423"/>
        <v>1942.052362204724</v>
      </c>
      <c r="V230" s="4">
        <f t="shared" si="424"/>
        <v>2433.1460629921257</v>
      </c>
      <c r="W230" s="4">
        <f t="shared" si="425"/>
        <v>4375.1984251968497</v>
      </c>
      <c r="X230" s="10"/>
      <c r="Y230" s="12"/>
      <c r="Z230" s="5"/>
      <c r="AA230" s="4"/>
      <c r="AB230" s="4"/>
      <c r="AC230" s="4"/>
      <c r="AD230" s="4"/>
      <c r="AF230" t="s">
        <v>317</v>
      </c>
      <c r="AG230" t="s">
        <v>30</v>
      </c>
      <c r="AH230" s="8">
        <f>D230</f>
        <v>42675</v>
      </c>
      <c r="AI230" s="3">
        <f>SUM(E230:E232)</f>
        <v>72.599999999999994</v>
      </c>
      <c r="AJ230" s="3">
        <f>(AI230-3*$A$33)*$A$34/(3*$A$35)*$A$36</f>
        <v>5317.2054330708652</v>
      </c>
      <c r="AK230" s="7">
        <f>SUM(G230:G232)</f>
        <v>12.900000000000002</v>
      </c>
      <c r="AL230" s="7">
        <f>SUM(H230:H232)</f>
        <v>12.46</v>
      </c>
      <c r="AM230" s="7">
        <f>(AK230-AL230)/AK230*100</f>
        <v>3.4108527131783042</v>
      </c>
      <c r="AN230" s="3">
        <f>AJ230*(1-AM230/100)</f>
        <v>5135.843387291703</v>
      </c>
      <c r="AO230" s="11">
        <f>K230</f>
        <v>42765</v>
      </c>
      <c r="AP230" s="7">
        <f>SUM(L230:L232)</f>
        <v>12.46</v>
      </c>
      <c r="AQ230" s="7">
        <f t="shared" ref="AQ230" si="475">SUM(M230:M232)</f>
        <v>5.12</v>
      </c>
      <c r="AR230" s="7">
        <f t="shared" ref="AR230" si="476">SUM(N230:N232)</f>
        <v>6.4399999999999995</v>
      </c>
      <c r="AS230" s="9">
        <f>AQ230/AP230</f>
        <v>0.41091492776886035</v>
      </c>
      <c r="AT230" s="9">
        <f>AR230/AP230</f>
        <v>0.51685393258426959</v>
      </c>
      <c r="AU230" s="9">
        <f>1-AS230-AT230</f>
        <v>7.2231139646870002E-2</v>
      </c>
      <c r="AV230" s="3">
        <f>AJ230*AS230</f>
        <v>2184.9190864625066</v>
      </c>
      <c r="AW230" s="3">
        <f>AJ230*AT230</f>
        <v>2748.2185384411209</v>
      </c>
      <c r="AX230" s="3">
        <f>AV230+AW230</f>
        <v>4933.1376249036275</v>
      </c>
      <c r="AY230" s="3">
        <f>AN230*AS230</f>
        <v>2110.3947145211491</v>
      </c>
      <c r="AZ230" s="3">
        <f>AN230*AT230</f>
        <v>2654.4808518586328</v>
      </c>
      <c r="BA230" s="3">
        <f>AY230+AZ230</f>
        <v>4764.875566379782</v>
      </c>
      <c r="BB230" s="11">
        <f>X231</f>
        <v>42901</v>
      </c>
      <c r="BC230" s="13">
        <f>AVERAGE(Y230:Y232)</f>
        <v>43</v>
      </c>
      <c r="BD230" s="7">
        <f t="shared" ref="BD230" si="477">AVERAGE(Z230:Z232)</f>
        <v>1.1499999999999999</v>
      </c>
      <c r="BE230" s="3">
        <f t="shared" ref="BE230" si="478">AVERAGE(AA230:AA232)</f>
        <v>81.099999999999994</v>
      </c>
      <c r="BF230" s="3">
        <f t="shared" ref="BF230" si="479">AVERAGE(AB230:AB232)</f>
        <v>32.200000000000003</v>
      </c>
      <c r="BG230" s="3">
        <f t="shared" ref="BG230" si="480">AVERAGE(AC230:AC232)</f>
        <v>5.4</v>
      </c>
      <c r="BH230" s="3">
        <f t="shared" ref="BH230" si="481">AVERAGE(AD230:AD232)</f>
        <v>9.5</v>
      </c>
    </row>
    <row r="231" spans="1:60" x14ac:dyDescent="0.3">
      <c r="A231">
        <v>188</v>
      </c>
      <c r="B231" s="1" t="s">
        <v>233</v>
      </c>
      <c r="C231" s="1" t="s">
        <v>30</v>
      </c>
      <c r="D231" s="2">
        <v>42675</v>
      </c>
      <c r="E231" s="3">
        <v>25.3</v>
      </c>
      <c r="F231" s="4">
        <f t="shared" si="414"/>
        <v>5562.752283464567</v>
      </c>
      <c r="G231" s="7">
        <v>4.54</v>
      </c>
      <c r="H231" s="7">
        <v>4.3600000000000003</v>
      </c>
      <c r="I231" s="5">
        <f t="shared" si="415"/>
        <v>3.9647577092510953</v>
      </c>
      <c r="J231" s="4">
        <f t="shared" si="416"/>
        <v>5342.2026334593638</v>
      </c>
      <c r="K231" s="2">
        <v>42765</v>
      </c>
      <c r="L231" s="7">
        <v>4.3600000000000003</v>
      </c>
      <c r="M231" s="7">
        <v>1.8</v>
      </c>
      <c r="N231" s="7">
        <v>2.2599999999999998</v>
      </c>
      <c r="O231" s="6">
        <f t="shared" si="417"/>
        <v>0.41284403669724767</v>
      </c>
      <c r="P231" s="6">
        <f t="shared" si="418"/>
        <v>0.5183486238532109</v>
      </c>
      <c r="Q231" s="6">
        <f t="shared" si="419"/>
        <v>6.8807339449541427E-2</v>
      </c>
      <c r="R231" s="4">
        <f t="shared" si="420"/>
        <v>2296.5491078523442</v>
      </c>
      <c r="S231" s="4">
        <f t="shared" si="421"/>
        <v>2883.4449909701648</v>
      </c>
      <c r="T231" s="4">
        <f t="shared" si="422"/>
        <v>5179.9940988225089</v>
      </c>
      <c r="U231" s="4">
        <f t="shared" si="423"/>
        <v>2205.4965000520306</v>
      </c>
      <c r="V231" s="4">
        <f t="shared" si="424"/>
        <v>2769.1233833986603</v>
      </c>
      <c r="W231" s="4">
        <f t="shared" si="425"/>
        <v>4974.6198834506904</v>
      </c>
      <c r="X231" s="10">
        <v>42901</v>
      </c>
      <c r="Y231" s="12">
        <v>43</v>
      </c>
      <c r="Z231" s="5">
        <v>1.1499999999999999</v>
      </c>
      <c r="AA231" s="4">
        <v>81.099999999999994</v>
      </c>
      <c r="AB231" s="4">
        <v>32.200000000000003</v>
      </c>
      <c r="AC231" s="4">
        <v>5.4</v>
      </c>
      <c r="AD231" s="4">
        <v>9.5</v>
      </c>
      <c r="AI231" s="3"/>
      <c r="AJ231" s="3"/>
      <c r="AK231" s="7"/>
      <c r="AL231" s="7"/>
      <c r="AM231" s="7"/>
      <c r="AN231" s="3"/>
      <c r="AO231" s="3"/>
      <c r="AP231" s="7"/>
      <c r="AQ231" s="7"/>
      <c r="AR231" s="7"/>
      <c r="AS231" s="9"/>
      <c r="AT231" s="9"/>
      <c r="AU231" s="9"/>
      <c r="AV231" s="3"/>
      <c r="AW231" s="3"/>
      <c r="AX231" s="3"/>
      <c r="AY231" s="3"/>
      <c r="AZ231" s="3"/>
      <c r="BA231" s="3"/>
      <c r="BC231" s="13"/>
      <c r="BD231" s="7"/>
      <c r="BE231" s="3"/>
      <c r="BF231" s="3"/>
      <c r="BG231" s="3"/>
      <c r="BH231" s="3"/>
    </row>
    <row r="232" spans="1:60" x14ac:dyDescent="0.3">
      <c r="A232">
        <v>189</v>
      </c>
      <c r="B232" s="1" t="s">
        <v>234</v>
      </c>
      <c r="C232" s="1" t="s">
        <v>30</v>
      </c>
      <c r="D232" s="2">
        <v>42675</v>
      </c>
      <c r="E232" s="3">
        <v>25.22</v>
      </c>
      <c r="F232" s="4">
        <f t="shared" si="414"/>
        <v>5544.894330708662</v>
      </c>
      <c r="G232" s="7">
        <v>4.0200000000000005</v>
      </c>
      <c r="H232" s="7">
        <v>3.88</v>
      </c>
      <c r="I232" s="5">
        <f t="shared" si="415"/>
        <v>3.4825870646766308</v>
      </c>
      <c r="J232" s="4">
        <f t="shared" si="416"/>
        <v>5351.7885579974145</v>
      </c>
      <c r="K232" s="2">
        <v>42774</v>
      </c>
      <c r="L232" s="7">
        <v>3.88</v>
      </c>
      <c r="M232" s="7">
        <v>1.58</v>
      </c>
      <c r="N232" s="7">
        <v>2</v>
      </c>
      <c r="O232" s="6">
        <f t="shared" si="417"/>
        <v>0.40721649484536088</v>
      </c>
      <c r="P232" s="6">
        <f t="shared" si="418"/>
        <v>0.51546391752577325</v>
      </c>
      <c r="Q232" s="6">
        <f t="shared" si="419"/>
        <v>7.7319587628865816E-2</v>
      </c>
      <c r="R232" s="4">
        <f t="shared" si="420"/>
        <v>2257.9724336390946</v>
      </c>
      <c r="S232" s="4">
        <f t="shared" si="421"/>
        <v>2858.1929539735374</v>
      </c>
      <c r="T232" s="4">
        <f t="shared" si="422"/>
        <v>5116.165387612632</v>
      </c>
      <c r="U232" s="4">
        <f t="shared" si="423"/>
        <v>2179.3365777412155</v>
      </c>
      <c r="V232" s="4">
        <f t="shared" si="424"/>
        <v>2758.6538958749561</v>
      </c>
      <c r="W232" s="4">
        <f t="shared" si="425"/>
        <v>4937.9904736161716</v>
      </c>
      <c r="X232" s="10"/>
      <c r="Y232" s="12"/>
      <c r="Z232" s="5"/>
      <c r="AA232" s="4"/>
      <c r="AB232" s="4"/>
      <c r="AC232" s="4"/>
      <c r="AD232" s="4"/>
      <c r="AI232" s="3"/>
      <c r="AJ232" s="3"/>
      <c r="AK232" s="7"/>
      <c r="AL232" s="7"/>
      <c r="AM232" s="7"/>
      <c r="AN232" s="3"/>
      <c r="AO232" s="3"/>
      <c r="AP232" s="7"/>
      <c r="AQ232" s="7"/>
      <c r="AR232" s="7"/>
      <c r="AS232" s="9"/>
      <c r="AT232" s="9"/>
      <c r="AU232" s="9"/>
      <c r="AV232" s="3"/>
      <c r="AW232" s="3"/>
      <c r="AX232" s="3"/>
      <c r="AY232" s="3"/>
      <c r="AZ232" s="3"/>
      <c r="BA232" s="3"/>
      <c r="BC232" s="13"/>
      <c r="BD232" s="7"/>
      <c r="BE232" s="3"/>
      <c r="BF232" s="3"/>
      <c r="BG232" s="3"/>
      <c r="BH232" s="3"/>
    </row>
    <row r="233" spans="1:60" x14ac:dyDescent="0.3">
      <c r="A233">
        <v>190</v>
      </c>
      <c r="B233" s="1" t="s">
        <v>235</v>
      </c>
      <c r="C233" s="1" t="s">
        <v>30</v>
      </c>
      <c r="D233" s="2">
        <v>42675</v>
      </c>
      <c r="E233" s="3">
        <v>27.26</v>
      </c>
      <c r="F233" s="4">
        <f t="shared" si="414"/>
        <v>6000.2721259842519</v>
      </c>
      <c r="G233" s="7">
        <v>4.32</v>
      </c>
      <c r="H233" s="7">
        <v>4.18</v>
      </c>
      <c r="I233" s="5">
        <f t="shared" si="415"/>
        <v>3.2407407407407538</v>
      </c>
      <c r="J233" s="4">
        <f t="shared" si="416"/>
        <v>5805.8188626421688</v>
      </c>
      <c r="K233" s="2">
        <v>42774</v>
      </c>
      <c r="L233" s="7">
        <v>4.18</v>
      </c>
      <c r="M233" s="7">
        <v>1.66</v>
      </c>
      <c r="N233" s="7">
        <v>2.12</v>
      </c>
      <c r="O233" s="6">
        <f t="shared" si="417"/>
        <v>0.39712918660287083</v>
      </c>
      <c r="P233" s="6">
        <f t="shared" si="418"/>
        <v>0.50717703349282306</v>
      </c>
      <c r="Q233" s="6">
        <f t="shared" si="419"/>
        <v>9.5693779904306164E-2</v>
      </c>
      <c r="R233" s="4">
        <f t="shared" si="420"/>
        <v>2382.8831887880046</v>
      </c>
      <c r="S233" s="4">
        <f t="shared" si="421"/>
        <v>3043.2002170063674</v>
      </c>
      <c r="T233" s="4">
        <f t="shared" si="422"/>
        <v>5426.0834057943721</v>
      </c>
      <c r="U233" s="4">
        <f t="shared" si="423"/>
        <v>2305.6601224846891</v>
      </c>
      <c r="V233" s="4">
        <f t="shared" si="424"/>
        <v>2944.5779877515311</v>
      </c>
      <c r="W233" s="4">
        <f t="shared" si="425"/>
        <v>5250.2381102362197</v>
      </c>
      <c r="X233" s="10"/>
      <c r="Y233" s="12"/>
      <c r="Z233" s="5"/>
      <c r="AA233" s="4"/>
      <c r="AB233" s="4"/>
      <c r="AC233" s="4"/>
      <c r="AD233" s="4"/>
      <c r="AF233" t="s">
        <v>318</v>
      </c>
      <c r="AG233" t="s">
        <v>30</v>
      </c>
      <c r="AH233" s="8">
        <f>D233</f>
        <v>42675</v>
      </c>
      <c r="AI233" s="3">
        <f>SUM(E233:E235)</f>
        <v>79.44</v>
      </c>
      <c r="AJ233" s="3">
        <f>(AI233-3*$A$33)*$A$34/(3*$A$35)*$A$36</f>
        <v>5826.1570866141728</v>
      </c>
      <c r="AK233" s="7">
        <f>SUM(G233:G235)</f>
        <v>12.98</v>
      </c>
      <c r="AL233" s="7">
        <f>SUM(H233:H235)</f>
        <v>12.52</v>
      </c>
      <c r="AM233" s="7">
        <f>(AK233-AL233)/AK233*100</f>
        <v>3.5439137134052454</v>
      </c>
      <c r="AN233" s="3">
        <f>AJ233*(1-AM233/100)</f>
        <v>5619.6831066571222</v>
      </c>
      <c r="AO233" s="11">
        <f>K233</f>
        <v>42774</v>
      </c>
      <c r="AP233" s="7">
        <f>SUM(L233:L235)</f>
        <v>12.52</v>
      </c>
      <c r="AQ233" s="7">
        <f t="shared" ref="AQ233" si="482">SUM(M233:M235)</f>
        <v>5.0599999999999996</v>
      </c>
      <c r="AR233" s="7">
        <f t="shared" ref="AR233" si="483">SUM(N233:N235)</f>
        <v>6.26</v>
      </c>
      <c r="AS233" s="9">
        <f>AQ233/AP233</f>
        <v>0.40415335463258784</v>
      </c>
      <c r="AT233" s="9">
        <f>AR233/AP233</f>
        <v>0.5</v>
      </c>
      <c r="AU233" s="9">
        <f>1-AS233-AT233</f>
        <v>9.5846645367412164E-2</v>
      </c>
      <c r="AV233" s="3">
        <f>AJ233*AS233</f>
        <v>2354.6609311715424</v>
      </c>
      <c r="AW233" s="3">
        <f>AJ233*AT233</f>
        <v>2913.0785433070864</v>
      </c>
      <c r="AX233" s="3">
        <f>AV233+AW233</f>
        <v>5267.7394744786288</v>
      </c>
      <c r="AY233" s="3">
        <f>AN233*AS233</f>
        <v>2271.2137795275589</v>
      </c>
      <c r="AZ233" s="3">
        <f>AN233*AT233</f>
        <v>2809.8415533285611</v>
      </c>
      <c r="BA233" s="3">
        <f>AY233+AZ233</f>
        <v>5081.05533285612</v>
      </c>
      <c r="BB233" s="11">
        <f>X234</f>
        <v>42901</v>
      </c>
      <c r="BC233" s="13">
        <f>AVERAGE(Y233:Y235)</f>
        <v>43</v>
      </c>
      <c r="BD233" s="7">
        <f t="shared" ref="BD233" si="484">AVERAGE(Z233:Z235)</f>
        <v>1.1299999999999999</v>
      </c>
      <c r="BE233" s="3">
        <f t="shared" ref="BE233" si="485">AVERAGE(AA233:AA235)</f>
        <v>80.8</v>
      </c>
      <c r="BF233" s="3">
        <f t="shared" ref="BF233" si="486">AVERAGE(AB233:AB235)</f>
        <v>31.4</v>
      </c>
      <c r="BG233" s="3">
        <f t="shared" ref="BG233" si="487">AVERAGE(AC233:AC235)</f>
        <v>5.4</v>
      </c>
      <c r="BH233" s="3">
        <f t="shared" ref="BH233" si="488">AVERAGE(AD233:AD235)</f>
        <v>10.3</v>
      </c>
    </row>
    <row r="234" spans="1:60" x14ac:dyDescent="0.3">
      <c r="A234">
        <v>191</v>
      </c>
      <c r="B234" s="1" t="s">
        <v>236</v>
      </c>
      <c r="C234" s="1" t="s">
        <v>30</v>
      </c>
      <c r="D234" s="2">
        <v>42675</v>
      </c>
      <c r="E234" s="3">
        <v>25.02</v>
      </c>
      <c r="F234" s="4">
        <f t="shared" si="414"/>
        <v>5500.2494488188977</v>
      </c>
      <c r="G234" s="7">
        <v>4.1400000000000006</v>
      </c>
      <c r="H234" s="7">
        <v>4</v>
      </c>
      <c r="I234" s="5">
        <f t="shared" si="415"/>
        <v>3.3816425120773075</v>
      </c>
      <c r="J234" s="4">
        <f t="shared" si="416"/>
        <v>5314.2506751873398</v>
      </c>
      <c r="K234" s="2">
        <v>42774</v>
      </c>
      <c r="L234" s="7">
        <v>4</v>
      </c>
      <c r="M234" s="7">
        <v>1.64</v>
      </c>
      <c r="N234" s="7">
        <v>1.98</v>
      </c>
      <c r="O234" s="6">
        <f t="shared" si="417"/>
        <v>0.41</v>
      </c>
      <c r="P234" s="6">
        <f t="shared" si="418"/>
        <v>0.495</v>
      </c>
      <c r="Q234" s="6">
        <f t="shared" si="419"/>
        <v>9.5000000000000084E-2</v>
      </c>
      <c r="R234" s="4">
        <f t="shared" si="420"/>
        <v>2255.1022740157478</v>
      </c>
      <c r="S234" s="4">
        <f t="shared" si="421"/>
        <v>2722.6234771653544</v>
      </c>
      <c r="T234" s="4">
        <f t="shared" si="422"/>
        <v>4977.7257511811022</v>
      </c>
      <c r="U234" s="4">
        <f t="shared" si="423"/>
        <v>2178.8427768268093</v>
      </c>
      <c r="V234" s="4">
        <f t="shared" si="424"/>
        <v>2630.5540842177334</v>
      </c>
      <c r="W234" s="4">
        <f t="shared" si="425"/>
        <v>4809.3968610445427</v>
      </c>
      <c r="X234" s="10">
        <v>42901</v>
      </c>
      <c r="Y234" s="12">
        <v>43</v>
      </c>
      <c r="Z234" s="5">
        <v>1.1299999999999999</v>
      </c>
      <c r="AA234" s="4">
        <v>80.8</v>
      </c>
      <c r="AB234" s="4">
        <v>31.4</v>
      </c>
      <c r="AC234" s="4">
        <v>5.4</v>
      </c>
      <c r="AD234" s="4">
        <v>10.3</v>
      </c>
      <c r="AI234" s="3"/>
      <c r="AJ234" s="3"/>
      <c r="AK234" s="7"/>
      <c r="AL234" s="7"/>
      <c r="AM234" s="7"/>
      <c r="AN234" s="3"/>
      <c r="AO234" s="3"/>
      <c r="AP234" s="7"/>
      <c r="AQ234" s="7"/>
      <c r="AR234" s="7"/>
      <c r="AS234" s="9"/>
      <c r="AT234" s="9"/>
      <c r="AU234" s="9"/>
      <c r="AV234" s="3"/>
      <c r="AW234" s="3"/>
      <c r="AX234" s="3"/>
      <c r="AY234" s="3"/>
      <c r="AZ234" s="3"/>
      <c r="BA234" s="3"/>
      <c r="BC234" s="13"/>
      <c r="BD234" s="7"/>
      <c r="BE234" s="3"/>
      <c r="BF234" s="3"/>
      <c r="BG234" s="3"/>
      <c r="BH234" s="3"/>
    </row>
    <row r="235" spans="1:60" x14ac:dyDescent="0.3">
      <c r="A235">
        <v>192</v>
      </c>
      <c r="B235" s="1" t="s">
        <v>237</v>
      </c>
      <c r="C235" s="1" t="s">
        <v>30</v>
      </c>
      <c r="D235" s="2">
        <v>42675</v>
      </c>
      <c r="E235" s="3">
        <v>27.16</v>
      </c>
      <c r="F235" s="4">
        <f t="shared" si="414"/>
        <v>5977.9496850393698</v>
      </c>
      <c r="G235" s="7">
        <v>4.5200000000000005</v>
      </c>
      <c r="H235" s="7">
        <v>4.34</v>
      </c>
      <c r="I235" s="5">
        <f t="shared" si="415"/>
        <v>3.9823008849557655</v>
      </c>
      <c r="J235" s="4">
        <f t="shared" si="416"/>
        <v>5739.8897418298366</v>
      </c>
      <c r="K235" s="2">
        <v>42774</v>
      </c>
      <c r="L235" s="7">
        <v>4.34</v>
      </c>
      <c r="M235" s="7">
        <v>1.76</v>
      </c>
      <c r="N235" s="7">
        <v>2.16</v>
      </c>
      <c r="O235" s="6">
        <f t="shared" si="417"/>
        <v>0.40552995391705071</v>
      </c>
      <c r="P235" s="6">
        <f t="shared" si="418"/>
        <v>0.49769585253456228</v>
      </c>
      <c r="Q235" s="6">
        <f t="shared" si="419"/>
        <v>9.6774193548387011E-2</v>
      </c>
      <c r="R235" s="4">
        <f t="shared" si="420"/>
        <v>2424.2376602924633</v>
      </c>
      <c r="S235" s="4">
        <f t="shared" si="421"/>
        <v>2975.2007649043871</v>
      </c>
      <c r="T235" s="4">
        <f t="shared" si="422"/>
        <v>5399.4384251968504</v>
      </c>
      <c r="U235" s="4">
        <f t="shared" si="423"/>
        <v>2327.6972224932056</v>
      </c>
      <c r="V235" s="4">
        <f t="shared" si="424"/>
        <v>2856.7193185143892</v>
      </c>
      <c r="W235" s="4">
        <f t="shared" si="425"/>
        <v>5184.4165410075948</v>
      </c>
      <c r="X235" s="10"/>
      <c r="Y235" s="12"/>
      <c r="Z235" s="5"/>
      <c r="AA235" s="4"/>
      <c r="AB235" s="4"/>
      <c r="AC235" s="4"/>
      <c r="AD235" s="4"/>
      <c r="AI235" s="3"/>
      <c r="AJ235" s="3"/>
      <c r="AK235" s="7"/>
      <c r="AL235" s="7"/>
      <c r="AM235" s="7"/>
      <c r="AN235" s="3"/>
      <c r="AO235" s="3"/>
      <c r="AP235" s="7"/>
      <c r="AQ235" s="7"/>
      <c r="AR235" s="7"/>
      <c r="AS235" s="9"/>
      <c r="AT235" s="9"/>
      <c r="AU235" s="9"/>
      <c r="AV235" s="3"/>
      <c r="AW235" s="3"/>
      <c r="AX235" s="3"/>
      <c r="AY235" s="3"/>
      <c r="AZ235" s="3"/>
      <c r="BA2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74ED-B270-4962-A7F2-21DE7C85D8A3}">
  <dimension ref="A1:AC70"/>
  <sheetViews>
    <sheetView workbookViewId="0"/>
  </sheetViews>
  <sheetFormatPr defaultRowHeight="14.4" x14ac:dyDescent="0.3"/>
  <cols>
    <col min="3" max="5" width="10.5546875" bestFit="1" customWidth="1"/>
    <col min="7" max="7" width="10.5546875" bestFit="1" customWidth="1"/>
    <col min="10" max="10" width="10.5546875" bestFit="1" customWidth="1"/>
    <col min="12" max="12" width="8.88671875" customWidth="1"/>
    <col min="16" max="16" width="9.5546875" bestFit="1" customWidth="1"/>
    <col min="23" max="23" width="10.5546875" bestFit="1" customWidth="1"/>
  </cols>
  <sheetData>
    <row r="1" spans="1:29" x14ac:dyDescent="0.3">
      <c r="A1" s="1"/>
      <c r="B1" s="1" t="s">
        <v>0</v>
      </c>
      <c r="C1" s="1" t="s">
        <v>0</v>
      </c>
      <c r="D1" t="s">
        <v>0</v>
      </c>
      <c r="E1" s="1" t="s">
        <v>0</v>
      </c>
      <c r="F1" t="s">
        <v>35</v>
      </c>
      <c r="G1" t="s">
        <v>35</v>
      </c>
      <c r="H1" s="1" t="s">
        <v>35</v>
      </c>
      <c r="I1" s="1" t="s">
        <v>35</v>
      </c>
      <c r="J1" s="1" t="s">
        <v>7</v>
      </c>
      <c r="K1" t="s">
        <v>7</v>
      </c>
      <c r="L1" t="s">
        <v>7</v>
      </c>
      <c r="M1" t="s">
        <v>7</v>
      </c>
      <c r="N1" s="1" t="s">
        <v>7</v>
      </c>
      <c r="O1" s="1" t="s">
        <v>7</v>
      </c>
      <c r="P1" s="1" t="s">
        <v>7</v>
      </c>
      <c r="Q1" s="1" t="s">
        <v>15</v>
      </c>
      <c r="R1" s="1" t="s">
        <v>15</v>
      </c>
      <c r="S1" s="1" t="s">
        <v>15</v>
      </c>
      <c r="T1" s="1" t="s">
        <v>15</v>
      </c>
      <c r="U1" s="1" t="s">
        <v>15</v>
      </c>
      <c r="V1" s="1" t="s">
        <v>15</v>
      </c>
      <c r="W1" s="1" t="s">
        <v>319</v>
      </c>
      <c r="X1" s="1" t="s">
        <v>319</v>
      </c>
      <c r="Y1" s="1" t="s">
        <v>319</v>
      </c>
      <c r="Z1" s="1" t="s">
        <v>319</v>
      </c>
      <c r="AA1" s="1" t="s">
        <v>319</v>
      </c>
      <c r="AB1" s="1" t="s">
        <v>319</v>
      </c>
      <c r="AC1" s="1" t="s">
        <v>319</v>
      </c>
    </row>
    <row r="2" spans="1:29" x14ac:dyDescent="0.3">
      <c r="A2" s="1"/>
      <c r="B2" s="1"/>
      <c r="C2" s="1"/>
      <c r="E2" s="1"/>
      <c r="F2" t="s">
        <v>36</v>
      </c>
      <c r="G2" t="s">
        <v>37</v>
      </c>
      <c r="H2" s="1"/>
      <c r="I2" s="1"/>
      <c r="J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3">
      <c r="A3" s="1"/>
      <c r="B3" s="1"/>
      <c r="C3" s="1"/>
      <c r="D3" t="s">
        <v>1</v>
      </c>
      <c r="E3" s="1"/>
      <c r="F3" t="s">
        <v>8</v>
      </c>
      <c r="G3" t="s">
        <v>8</v>
      </c>
      <c r="H3" s="1"/>
      <c r="I3" s="1"/>
      <c r="J3" s="1" t="s">
        <v>23</v>
      </c>
      <c r="K3" t="s">
        <v>8</v>
      </c>
      <c r="L3" t="s">
        <v>9</v>
      </c>
      <c r="M3" t="s">
        <v>10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3">
      <c r="A4" s="1" t="s">
        <v>19</v>
      </c>
      <c r="B4" s="1" t="s">
        <v>20</v>
      </c>
      <c r="C4" s="1" t="s">
        <v>2</v>
      </c>
      <c r="D4" t="s">
        <v>32</v>
      </c>
      <c r="E4" s="1" t="s">
        <v>3</v>
      </c>
      <c r="F4" t="s">
        <v>34</v>
      </c>
      <c r="G4" t="s">
        <v>34</v>
      </c>
      <c r="H4" s="1" t="s">
        <v>38</v>
      </c>
      <c r="I4" s="1" t="s">
        <v>39</v>
      </c>
      <c r="J4" s="1" t="s">
        <v>24</v>
      </c>
      <c r="K4" t="s">
        <v>41</v>
      </c>
      <c r="L4" t="s">
        <v>41</v>
      </c>
      <c r="M4" t="s">
        <v>42</v>
      </c>
      <c r="N4" s="1" t="s">
        <v>11</v>
      </c>
      <c r="O4" s="1" t="s">
        <v>12</v>
      </c>
      <c r="P4" s="1" t="s">
        <v>13</v>
      </c>
      <c r="Q4" s="1" t="s">
        <v>16</v>
      </c>
      <c r="R4" s="1" t="s">
        <v>17</v>
      </c>
      <c r="S4" s="1" t="s">
        <v>18</v>
      </c>
      <c r="T4" s="1" t="s">
        <v>43</v>
      </c>
      <c r="U4" s="1" t="s">
        <v>44</v>
      </c>
      <c r="V4" s="1" t="s">
        <v>45</v>
      </c>
      <c r="W4" s="1" t="s">
        <v>320</v>
      </c>
      <c r="X4" s="1" t="s">
        <v>321</v>
      </c>
      <c r="Y4" s="1" t="s">
        <v>322</v>
      </c>
      <c r="Z4" s="1" t="s">
        <v>323</v>
      </c>
      <c r="AA4" s="1" t="s">
        <v>324</v>
      </c>
      <c r="AB4" s="1" t="s">
        <v>327</v>
      </c>
      <c r="AC4" s="1" t="s">
        <v>328</v>
      </c>
    </row>
    <row r="5" spans="1:29" x14ac:dyDescent="0.3">
      <c r="A5" s="1"/>
      <c r="B5" s="1"/>
      <c r="C5" s="1"/>
      <c r="D5" t="s">
        <v>31</v>
      </c>
      <c r="E5" s="1" t="s">
        <v>4</v>
      </c>
      <c r="F5" t="s">
        <v>31</v>
      </c>
      <c r="G5" t="s">
        <v>31</v>
      </c>
      <c r="H5" s="1" t="s">
        <v>40</v>
      </c>
      <c r="I5" s="1" t="s">
        <v>4</v>
      </c>
      <c r="J5" s="1"/>
      <c r="K5" s="7" t="s">
        <v>31</v>
      </c>
      <c r="L5" s="7" t="s">
        <v>31</v>
      </c>
      <c r="M5" s="7" t="s">
        <v>31</v>
      </c>
      <c r="N5" s="5" t="s">
        <v>14</v>
      </c>
      <c r="O5" s="5" t="s">
        <v>14</v>
      </c>
      <c r="P5" s="1" t="s">
        <v>14</v>
      </c>
      <c r="Q5" s="1" t="s">
        <v>4</v>
      </c>
      <c r="R5" s="1" t="s">
        <v>4</v>
      </c>
      <c r="S5" s="1" t="s">
        <v>4</v>
      </c>
      <c r="T5" s="1" t="s">
        <v>4</v>
      </c>
      <c r="U5" s="1" t="s">
        <v>4</v>
      </c>
      <c r="V5" s="1" t="s">
        <v>4</v>
      </c>
      <c r="W5" s="1"/>
      <c r="X5" s="1"/>
      <c r="Y5" s="1" t="s">
        <v>325</v>
      </c>
      <c r="Z5" s="1" t="s">
        <v>40</v>
      </c>
      <c r="AA5" s="1" t="s">
        <v>326</v>
      </c>
      <c r="AB5" s="1" t="s">
        <v>40</v>
      </c>
      <c r="AC5" s="1" t="s">
        <v>40</v>
      </c>
    </row>
    <row r="6" spans="1:29" x14ac:dyDescent="0.3">
      <c r="A6" s="1" t="s">
        <v>19</v>
      </c>
      <c r="B6" s="1" t="s">
        <v>20</v>
      </c>
      <c r="C6" s="1" t="s">
        <v>2</v>
      </c>
      <c r="E6" s="1" t="s">
        <v>3</v>
      </c>
      <c r="H6" s="1" t="s">
        <v>38</v>
      </c>
      <c r="I6" s="1" t="s">
        <v>39</v>
      </c>
      <c r="J6" s="1" t="s">
        <v>24</v>
      </c>
      <c r="N6" s="1" t="s">
        <v>11</v>
      </c>
      <c r="O6" s="1" t="s">
        <v>12</v>
      </c>
      <c r="P6" s="1" t="s">
        <v>13</v>
      </c>
      <c r="Q6" s="1" t="s">
        <v>16</v>
      </c>
      <c r="R6" s="1" t="s">
        <v>17</v>
      </c>
      <c r="S6" s="1" t="s">
        <v>18</v>
      </c>
      <c r="T6" s="1" t="s">
        <v>43</v>
      </c>
      <c r="U6" s="1" t="s">
        <v>44</v>
      </c>
      <c r="V6" s="1" t="s">
        <v>45</v>
      </c>
      <c r="W6" s="1" t="s">
        <v>320</v>
      </c>
      <c r="X6" s="1" t="s">
        <v>321</v>
      </c>
      <c r="Y6" s="1" t="s">
        <v>322</v>
      </c>
      <c r="Z6" s="1" t="s">
        <v>323</v>
      </c>
      <c r="AA6" s="1" t="s">
        <v>324</v>
      </c>
      <c r="AB6" s="1" t="s">
        <v>327</v>
      </c>
      <c r="AC6" s="1" t="s">
        <v>328</v>
      </c>
    </row>
    <row r="7" spans="1:29" x14ac:dyDescent="0.3">
      <c r="A7" s="1" t="s">
        <v>255</v>
      </c>
      <c r="B7" s="1" t="s">
        <v>30</v>
      </c>
      <c r="C7" s="10">
        <v>42675</v>
      </c>
      <c r="D7" s="3">
        <v>73.539999999999992</v>
      </c>
      <c r="E7" s="4">
        <v>5387.1490813648279</v>
      </c>
      <c r="F7" s="7">
        <v>13.3</v>
      </c>
      <c r="G7" s="7">
        <v>12.719999999999999</v>
      </c>
      <c r="H7" s="5">
        <v>4.360902255639111</v>
      </c>
      <c r="I7" s="4">
        <v>5152.2207755609479</v>
      </c>
      <c r="J7" s="10">
        <v>42765</v>
      </c>
      <c r="K7" s="7">
        <v>12.719999999999999</v>
      </c>
      <c r="L7" s="7">
        <v>5.28</v>
      </c>
      <c r="M7" s="7">
        <v>6.66</v>
      </c>
      <c r="N7" s="6">
        <v>0.41509433962264158</v>
      </c>
      <c r="O7" s="6">
        <v>0.52358490566037741</v>
      </c>
      <c r="P7" s="6">
        <v>6.1320754716980952E-2</v>
      </c>
      <c r="Q7" s="4">
        <v>2236.1750903778534</v>
      </c>
      <c r="R7" s="4">
        <v>2820.6299435447922</v>
      </c>
      <c r="S7" s="4">
        <v>5056.8050339226456</v>
      </c>
      <c r="T7" s="4">
        <v>2138.657680421526</v>
      </c>
      <c r="U7" s="4">
        <v>2697.6250287135153</v>
      </c>
      <c r="V7" s="4">
        <v>4836.2827091350409</v>
      </c>
      <c r="W7" s="10">
        <v>42901</v>
      </c>
      <c r="X7" s="12">
        <v>46</v>
      </c>
      <c r="Y7" s="5">
        <v>1.1299999999999999</v>
      </c>
      <c r="Z7" s="4">
        <v>81.400000000000006</v>
      </c>
      <c r="AA7" s="4">
        <v>32.200000000000003</v>
      </c>
      <c r="AB7" s="4">
        <v>5.0999999999999996</v>
      </c>
      <c r="AC7" s="4">
        <v>9.6</v>
      </c>
    </row>
    <row r="8" spans="1:29" x14ac:dyDescent="0.3">
      <c r="A8" s="1" t="s">
        <v>256</v>
      </c>
      <c r="B8" s="1" t="s">
        <v>30</v>
      </c>
      <c r="C8" s="10">
        <v>42675</v>
      </c>
      <c r="D8" s="3">
        <v>77.62</v>
      </c>
      <c r="E8" s="4">
        <v>5690.7342782152236</v>
      </c>
      <c r="F8" s="7">
        <v>13.66</v>
      </c>
      <c r="G8" s="7">
        <v>13</v>
      </c>
      <c r="H8" s="5">
        <v>4.8316251830161061</v>
      </c>
      <c r="I8" s="4">
        <v>5415.7793277304472</v>
      </c>
      <c r="J8" s="10">
        <v>42774</v>
      </c>
      <c r="K8" s="7">
        <v>13</v>
      </c>
      <c r="L8" s="7">
        <v>5.28</v>
      </c>
      <c r="M8" s="7">
        <v>6.66</v>
      </c>
      <c r="N8" s="6">
        <v>0.4061538461538462</v>
      </c>
      <c r="O8" s="6">
        <v>0.51230769230769235</v>
      </c>
      <c r="P8" s="6">
        <v>8.1538461538461449E-2</v>
      </c>
      <c r="Q8" s="4">
        <v>2311.3136145366448</v>
      </c>
      <c r="R8" s="4">
        <v>2915.4069456087227</v>
      </c>
      <c r="S8" s="4">
        <v>5226.7205601453679</v>
      </c>
      <c r="T8" s="4">
        <v>2199.6396038782127</v>
      </c>
      <c r="U8" s="4">
        <v>2774.5454094372908</v>
      </c>
      <c r="V8" s="4">
        <v>4974.185013315504</v>
      </c>
      <c r="W8" s="10">
        <v>42901</v>
      </c>
      <c r="X8" s="12">
        <v>42</v>
      </c>
      <c r="Y8" s="5">
        <v>1.18</v>
      </c>
      <c r="Z8" s="4">
        <v>81.5</v>
      </c>
      <c r="AA8" s="4">
        <v>32.299999999999997</v>
      </c>
      <c r="AB8" s="4">
        <v>5.0999999999999996</v>
      </c>
      <c r="AC8" s="4">
        <v>9.1</v>
      </c>
    </row>
    <row r="9" spans="1:29" x14ac:dyDescent="0.3">
      <c r="A9" s="1" t="s">
        <v>258</v>
      </c>
      <c r="B9" s="1" t="s">
        <v>30</v>
      </c>
      <c r="C9" s="10">
        <v>42675</v>
      </c>
      <c r="D9" s="3">
        <v>78.959999999999994</v>
      </c>
      <c r="E9" s="4">
        <v>5790.441181102362</v>
      </c>
      <c r="F9" s="7">
        <v>13.120000000000001</v>
      </c>
      <c r="G9" s="7">
        <v>12.48</v>
      </c>
      <c r="H9" s="5">
        <v>4.8780487804878083</v>
      </c>
      <c r="I9" s="4">
        <v>5507.9806356827339</v>
      </c>
      <c r="J9" s="10">
        <v>42774</v>
      </c>
      <c r="K9" s="7">
        <v>12.48</v>
      </c>
      <c r="L9" s="7">
        <v>5.21</v>
      </c>
      <c r="M9" s="7">
        <v>6.4</v>
      </c>
      <c r="N9" s="6">
        <v>0.41746794871794868</v>
      </c>
      <c r="O9" s="6">
        <v>0.51282051282051289</v>
      </c>
      <c r="P9" s="6">
        <v>6.9711538461538436E-2</v>
      </c>
      <c r="Q9" s="4">
        <v>2417.3236020467389</v>
      </c>
      <c r="R9" s="4">
        <v>2969.4570159499294</v>
      </c>
      <c r="S9" s="4">
        <v>5386.7806179966683</v>
      </c>
      <c r="T9" s="4">
        <v>2299.405377556654</v>
      </c>
      <c r="U9" s="4">
        <v>2824.605454196274</v>
      </c>
      <c r="V9" s="4">
        <v>5124.0108317529284</v>
      </c>
      <c r="W9" s="10">
        <v>42901</v>
      </c>
      <c r="X9" s="12">
        <v>43</v>
      </c>
      <c r="Y9" s="5">
        <v>1.19</v>
      </c>
      <c r="Z9" s="4">
        <v>82.3</v>
      </c>
      <c r="AA9" s="4">
        <v>34.4</v>
      </c>
      <c r="AB9" s="4">
        <v>5.5</v>
      </c>
      <c r="AC9" s="4">
        <v>8.5</v>
      </c>
    </row>
    <row r="10" spans="1:29" x14ac:dyDescent="0.3">
      <c r="A10" s="1" t="s">
        <v>259</v>
      </c>
      <c r="B10" s="1" t="s">
        <v>30</v>
      </c>
      <c r="C10" s="10">
        <v>42675</v>
      </c>
      <c r="D10" s="3">
        <v>76.08</v>
      </c>
      <c r="E10" s="4">
        <v>5576.1457480314957</v>
      </c>
      <c r="F10" s="7">
        <v>13.32</v>
      </c>
      <c r="G10" s="7">
        <v>12.66</v>
      </c>
      <c r="H10" s="5">
        <v>4.9549549549549559</v>
      </c>
      <c r="I10" s="4">
        <v>5299.8502379938991</v>
      </c>
      <c r="J10" s="10">
        <v>42765</v>
      </c>
      <c r="K10" s="7">
        <v>12.66</v>
      </c>
      <c r="L10" s="7">
        <v>5.3</v>
      </c>
      <c r="M10" s="7">
        <v>6.4600000000000009</v>
      </c>
      <c r="N10" s="6">
        <v>0.41864139020537122</v>
      </c>
      <c r="O10" s="6">
        <v>0.51026856240126384</v>
      </c>
      <c r="P10" s="6">
        <v>7.1090047393364997E-2</v>
      </c>
      <c r="Q10" s="4">
        <v>2334.4054079436751</v>
      </c>
      <c r="R10" s="4">
        <v>2845.3318745879515</v>
      </c>
      <c r="S10" s="4">
        <v>5179.737282531627</v>
      </c>
      <c r="T10" s="4">
        <v>2218.7366715140333</v>
      </c>
      <c r="U10" s="4">
        <v>2704.3469618831427</v>
      </c>
      <c r="V10" s="4">
        <v>4923.0836333971765</v>
      </c>
      <c r="W10" s="10">
        <v>42901</v>
      </c>
      <c r="X10" s="12">
        <v>48</v>
      </c>
      <c r="Y10" s="5">
        <v>1.1299999999999999</v>
      </c>
      <c r="Z10" s="4">
        <v>82.3</v>
      </c>
      <c r="AA10" s="4">
        <v>32.299999999999997</v>
      </c>
      <c r="AB10" s="4">
        <v>5.5</v>
      </c>
      <c r="AC10" s="4">
        <v>8.9</v>
      </c>
    </row>
    <row r="11" spans="1:29" x14ac:dyDescent="0.3">
      <c r="A11" s="1" t="s">
        <v>260</v>
      </c>
      <c r="B11" s="1" t="s">
        <v>30</v>
      </c>
      <c r="C11" s="10">
        <v>42675</v>
      </c>
      <c r="D11" s="3">
        <v>67.86</v>
      </c>
      <c r="E11" s="4">
        <v>4964.5108661417316</v>
      </c>
      <c r="F11" s="7">
        <v>13.360000000000001</v>
      </c>
      <c r="G11" s="7">
        <v>12.66</v>
      </c>
      <c r="H11" s="5">
        <v>5.2395209580838396</v>
      </c>
      <c r="I11" s="4">
        <v>4704.3942788438862</v>
      </c>
      <c r="J11" s="10">
        <v>42782</v>
      </c>
      <c r="K11" s="7">
        <v>12.66</v>
      </c>
      <c r="L11" s="7">
        <v>5.04</v>
      </c>
      <c r="M11" s="7">
        <v>6.6400000000000006</v>
      </c>
      <c r="N11" s="6">
        <v>0.3981042654028436</v>
      </c>
      <c r="O11" s="6">
        <v>0.52448657187993686</v>
      </c>
      <c r="P11" s="6">
        <v>7.7409162717219537E-2</v>
      </c>
      <c r="Q11" s="4">
        <v>1976.3929514497888</v>
      </c>
      <c r="R11" s="4">
        <v>2603.8192852433731</v>
      </c>
      <c r="S11" s="4">
        <v>4580.2122366931617</v>
      </c>
      <c r="T11" s="4">
        <v>1872.8394285444856</v>
      </c>
      <c r="U11" s="4">
        <v>2467.3916280824178</v>
      </c>
      <c r="V11" s="4">
        <v>4340.2310566269034</v>
      </c>
      <c r="W11" s="10">
        <v>42901</v>
      </c>
      <c r="X11" s="12">
        <v>42</v>
      </c>
      <c r="Y11" s="5">
        <v>1.19</v>
      </c>
      <c r="Z11" s="4">
        <v>82.3</v>
      </c>
      <c r="AA11" s="4">
        <v>32.1</v>
      </c>
      <c r="AB11" s="4">
        <v>5.7</v>
      </c>
      <c r="AC11" s="4">
        <v>9</v>
      </c>
    </row>
    <row r="12" spans="1:29" x14ac:dyDescent="0.3">
      <c r="A12" s="1" t="s">
        <v>261</v>
      </c>
      <c r="B12" s="1" t="s">
        <v>30</v>
      </c>
      <c r="C12" s="10">
        <v>42675</v>
      </c>
      <c r="D12" s="3">
        <v>74.12</v>
      </c>
      <c r="E12" s="4">
        <v>5430.3058005249341</v>
      </c>
      <c r="F12" s="7">
        <v>13.040000000000001</v>
      </c>
      <c r="G12" s="7">
        <v>12.42</v>
      </c>
      <c r="H12" s="5">
        <v>4.7546012269938727</v>
      </c>
      <c r="I12" s="4">
        <v>5172.1164143036558</v>
      </c>
      <c r="J12" s="10">
        <v>42782</v>
      </c>
      <c r="K12" s="7">
        <v>12.42</v>
      </c>
      <c r="L12" s="7">
        <v>5.0200000000000005</v>
      </c>
      <c r="M12" s="7">
        <v>6.48</v>
      </c>
      <c r="N12" s="6">
        <v>0.40418679549114334</v>
      </c>
      <c r="O12" s="6">
        <v>0.52173913043478259</v>
      </c>
      <c r="P12" s="6">
        <v>7.407407407407407E-2</v>
      </c>
      <c r="Q12" s="4">
        <v>2194.8579000511409</v>
      </c>
      <c r="R12" s="4">
        <v>2833.2030263608349</v>
      </c>
      <c r="S12" s="4">
        <v>5028.0609264119757</v>
      </c>
      <c r="T12" s="4">
        <v>2090.5011594045372</v>
      </c>
      <c r="U12" s="4">
        <v>2698.4955205062552</v>
      </c>
      <c r="V12" s="4">
        <v>4788.9966799107924</v>
      </c>
      <c r="W12" s="10">
        <v>42901</v>
      </c>
      <c r="X12" s="12">
        <v>44</v>
      </c>
      <c r="Y12" s="5">
        <v>1.1499999999999999</v>
      </c>
      <c r="Z12" s="4">
        <v>81.900000000000006</v>
      </c>
      <c r="AA12" s="4">
        <v>33</v>
      </c>
      <c r="AB12" s="4">
        <v>5.4</v>
      </c>
      <c r="AC12" s="4">
        <v>9.4</v>
      </c>
    </row>
    <row r="13" spans="1:29" x14ac:dyDescent="0.3">
      <c r="A13" s="1" t="s">
        <v>262</v>
      </c>
      <c r="B13" s="1" t="s">
        <v>30</v>
      </c>
      <c r="C13" s="10">
        <v>42675</v>
      </c>
      <c r="D13" s="3">
        <v>63.819999999999993</v>
      </c>
      <c r="E13" s="4">
        <v>4663.9019947506558</v>
      </c>
      <c r="F13" s="7">
        <v>12.640000000000002</v>
      </c>
      <c r="G13" s="7">
        <v>12.02</v>
      </c>
      <c r="H13" s="5">
        <v>4.9050632911392622</v>
      </c>
      <c r="I13" s="4">
        <v>4435.1346500714299</v>
      </c>
      <c r="J13" s="10">
        <v>42782</v>
      </c>
      <c r="K13" s="7">
        <v>12.02</v>
      </c>
      <c r="L13" s="7">
        <v>5.08</v>
      </c>
      <c r="M13" s="7">
        <v>6.2200000000000006</v>
      </c>
      <c r="N13" s="6">
        <v>0.4226289517470882</v>
      </c>
      <c r="O13" s="6">
        <v>0.51747088186356083</v>
      </c>
      <c r="P13" s="6">
        <v>5.9900166389350917E-2</v>
      </c>
      <c r="Q13" s="4">
        <v>1971.1000110926234</v>
      </c>
      <c r="R13" s="4">
        <v>2413.4334781488424</v>
      </c>
      <c r="S13" s="4">
        <v>4384.5334892414658</v>
      </c>
      <c r="T13" s="4">
        <v>1874.4163080168773</v>
      </c>
      <c r="U13" s="4">
        <v>2295.0530385560983</v>
      </c>
      <c r="V13" s="4">
        <v>4169.4693465729761</v>
      </c>
      <c r="W13" s="10">
        <v>42901</v>
      </c>
      <c r="X13" s="12">
        <v>47</v>
      </c>
      <c r="Y13" s="5">
        <v>1.1200000000000001</v>
      </c>
      <c r="Z13" s="4">
        <v>81.2</v>
      </c>
      <c r="AA13" s="4">
        <v>31.6</v>
      </c>
      <c r="AB13" s="4">
        <v>5.6</v>
      </c>
      <c r="AC13" s="4">
        <v>10.1</v>
      </c>
    </row>
    <row r="14" spans="1:29" x14ac:dyDescent="0.3">
      <c r="A14" s="1" t="s">
        <v>263</v>
      </c>
      <c r="B14" s="1" t="s">
        <v>30</v>
      </c>
      <c r="C14" s="10">
        <v>42675</v>
      </c>
      <c r="D14" s="3">
        <v>61.16</v>
      </c>
      <c r="E14" s="4">
        <v>4465.9763517060364</v>
      </c>
      <c r="F14" s="7">
        <v>12.68</v>
      </c>
      <c r="G14" s="7">
        <v>12.079999999999998</v>
      </c>
      <c r="H14" s="5">
        <v>4.7318611987381818</v>
      </c>
      <c r="I14" s="4">
        <v>4254.6525495748356</v>
      </c>
      <c r="J14" s="10">
        <v>42774</v>
      </c>
      <c r="K14" s="7">
        <v>12.079999999999998</v>
      </c>
      <c r="L14" s="7">
        <v>5.14</v>
      </c>
      <c r="M14" s="7">
        <v>6.2200000000000006</v>
      </c>
      <c r="N14" s="6">
        <v>0.42549668874172186</v>
      </c>
      <c r="O14" s="6">
        <v>0.51490066225165576</v>
      </c>
      <c r="P14" s="6">
        <v>5.9602649006622377E-2</v>
      </c>
      <c r="Q14" s="4">
        <v>1900.2581496497539</v>
      </c>
      <c r="R14" s="4">
        <v>2299.5341810936716</v>
      </c>
      <c r="S14" s="4">
        <v>4199.7923307434257</v>
      </c>
      <c r="T14" s="4">
        <v>1810.3405715906172</v>
      </c>
      <c r="U14" s="4">
        <v>2190.7234154267785</v>
      </c>
      <c r="V14" s="4">
        <v>4001.0639870173954</v>
      </c>
      <c r="W14" s="10">
        <v>42901</v>
      </c>
      <c r="X14" s="12">
        <v>51</v>
      </c>
      <c r="Y14" s="5">
        <v>1.1100000000000001</v>
      </c>
      <c r="Z14" s="4">
        <v>81.900000000000006</v>
      </c>
      <c r="AA14" s="4">
        <v>33</v>
      </c>
      <c r="AB14" s="4">
        <v>5.2</v>
      </c>
      <c r="AC14" s="4">
        <v>8.9</v>
      </c>
    </row>
    <row r="15" spans="1:29" x14ac:dyDescent="0.3">
      <c r="A15" s="1" t="s">
        <v>264</v>
      </c>
      <c r="B15" s="1" t="s">
        <v>30</v>
      </c>
      <c r="C15" s="10">
        <v>42675</v>
      </c>
      <c r="D15" s="3">
        <v>72.7</v>
      </c>
      <c r="E15" s="4">
        <v>5324.6462467191604</v>
      </c>
      <c r="F15" s="7">
        <v>13.52</v>
      </c>
      <c r="G15" s="7">
        <v>12.84</v>
      </c>
      <c r="H15" s="5">
        <v>5.0295857988165658</v>
      </c>
      <c r="I15" s="4">
        <v>5056.8385952569542</v>
      </c>
      <c r="J15" s="10">
        <v>42782</v>
      </c>
      <c r="K15" s="7">
        <v>12.84</v>
      </c>
      <c r="L15" s="7">
        <v>5.16</v>
      </c>
      <c r="M15" s="7">
        <v>6.68</v>
      </c>
      <c r="N15" s="6">
        <v>0.40186915887850466</v>
      </c>
      <c r="O15" s="6">
        <v>0.52024922118380057</v>
      </c>
      <c r="P15" s="6">
        <v>7.7881619937694824E-2</v>
      </c>
      <c r="Q15" s="4">
        <v>2139.8111084946158</v>
      </c>
      <c r="R15" s="4">
        <v>2770.1430629348902</v>
      </c>
      <c r="S15" s="4">
        <v>4909.9541714295065</v>
      </c>
      <c r="T15" s="4">
        <v>2032.1874728602713</v>
      </c>
      <c r="U15" s="4">
        <v>2630.8163408346145</v>
      </c>
      <c r="V15" s="4">
        <v>4663.003813694886</v>
      </c>
      <c r="W15" s="10">
        <v>42901</v>
      </c>
      <c r="X15" s="12">
        <v>46</v>
      </c>
      <c r="Y15" s="5">
        <v>1.1299999999999999</v>
      </c>
      <c r="Z15" s="4">
        <v>81.5</v>
      </c>
      <c r="AA15" s="4">
        <v>32</v>
      </c>
      <c r="AB15" s="4">
        <v>5.7</v>
      </c>
      <c r="AC15" s="4">
        <v>9.6</v>
      </c>
    </row>
    <row r="16" spans="1:29" x14ac:dyDescent="0.3">
      <c r="A16" s="1" t="s">
        <v>265</v>
      </c>
      <c r="B16" s="1" t="s">
        <v>30</v>
      </c>
      <c r="C16" s="10">
        <v>42675</v>
      </c>
      <c r="D16" s="3">
        <v>69.539999999999992</v>
      </c>
      <c r="E16" s="4">
        <v>5089.5165354330693</v>
      </c>
      <c r="F16" s="7">
        <v>12.920000000000002</v>
      </c>
      <c r="G16" s="7">
        <v>12.32</v>
      </c>
      <c r="H16" s="5">
        <v>4.6439628482972246</v>
      </c>
      <c r="I16" s="4">
        <v>4853.1612783696137</v>
      </c>
      <c r="J16" s="10">
        <v>42782</v>
      </c>
      <c r="K16" s="7">
        <v>12.32</v>
      </c>
      <c r="L16" s="7">
        <v>5.1000000000000005</v>
      </c>
      <c r="M16" s="7">
        <v>6.3800000000000008</v>
      </c>
      <c r="N16" s="6">
        <v>0.41396103896103897</v>
      </c>
      <c r="O16" s="6">
        <v>0.5178571428571429</v>
      </c>
      <c r="P16" s="6">
        <v>6.8181818181818121E-2</v>
      </c>
      <c r="Q16" s="4">
        <v>2106.8615528172609</v>
      </c>
      <c r="R16" s="4">
        <v>2635.6424915635539</v>
      </c>
      <c r="S16" s="4">
        <v>4742.5040443808148</v>
      </c>
      <c r="T16" s="4">
        <v>2009.0196850393693</v>
      </c>
      <c r="U16" s="4">
        <v>2513.2442334414072</v>
      </c>
      <c r="V16" s="4">
        <v>4522.2639184807767</v>
      </c>
      <c r="W16" s="10">
        <v>42901</v>
      </c>
      <c r="X16" s="12">
        <v>44</v>
      </c>
      <c r="Y16" s="5">
        <v>1.17</v>
      </c>
      <c r="Z16" s="4">
        <v>83.3</v>
      </c>
      <c r="AA16" s="4">
        <v>32.1</v>
      </c>
      <c r="AB16" s="4">
        <v>5</v>
      </c>
      <c r="AC16" s="4">
        <v>8.5</v>
      </c>
    </row>
    <row r="17" spans="1:29" x14ac:dyDescent="0.3">
      <c r="A17" s="1" t="s">
        <v>257</v>
      </c>
      <c r="B17" s="1" t="s">
        <v>30</v>
      </c>
      <c r="C17" s="10">
        <v>42675</v>
      </c>
      <c r="D17" s="3">
        <v>59.08</v>
      </c>
      <c r="E17" s="4">
        <v>4311.2074278215214</v>
      </c>
      <c r="F17" s="7">
        <v>12.700000000000001</v>
      </c>
      <c r="G17" s="7">
        <v>12.04</v>
      </c>
      <c r="H17" s="5">
        <v>5.1968503937008022</v>
      </c>
      <c r="I17" s="4">
        <v>4087.1604276355206</v>
      </c>
      <c r="J17" s="10">
        <v>42782</v>
      </c>
      <c r="K17" s="7">
        <v>12.04</v>
      </c>
      <c r="L17" s="7">
        <v>5</v>
      </c>
      <c r="M17" s="7">
        <v>6.3000000000000007</v>
      </c>
      <c r="N17" s="6">
        <v>0.41528239202657813</v>
      </c>
      <c r="O17" s="6">
        <v>0.52325581395348841</v>
      </c>
      <c r="P17" s="6">
        <v>6.1461794019933458E-2</v>
      </c>
      <c r="Q17" s="4">
        <v>1790.3685331484726</v>
      </c>
      <c r="R17" s="4">
        <v>2255.8643517670753</v>
      </c>
      <c r="S17" s="4">
        <v>4046.2328849155479</v>
      </c>
      <c r="T17" s="4">
        <v>1697.3257589848511</v>
      </c>
      <c r="U17" s="4">
        <v>2138.6304563209119</v>
      </c>
      <c r="V17" s="4">
        <v>3835.9562153057632</v>
      </c>
      <c r="W17" s="10">
        <v>42901</v>
      </c>
      <c r="X17" s="12">
        <v>47</v>
      </c>
      <c r="Y17" s="5">
        <v>1.1399999999999999</v>
      </c>
      <c r="Z17" s="4">
        <v>83</v>
      </c>
      <c r="AA17" s="4">
        <v>31.4</v>
      </c>
      <c r="AB17" s="4">
        <v>5.3</v>
      </c>
      <c r="AC17" s="4">
        <v>8.6999999999999993</v>
      </c>
    </row>
    <row r="18" spans="1:29" x14ac:dyDescent="0.3">
      <c r="A18" s="1" t="s">
        <v>266</v>
      </c>
      <c r="B18" s="1" t="s">
        <v>30</v>
      </c>
      <c r="C18" s="10">
        <v>42675</v>
      </c>
      <c r="D18" s="3">
        <v>64.38</v>
      </c>
      <c r="E18" s="4">
        <v>4705.570551181102</v>
      </c>
      <c r="F18" s="7">
        <v>12.360000000000001</v>
      </c>
      <c r="G18" s="7">
        <v>11.74</v>
      </c>
      <c r="H18" s="5">
        <v>5.0161812297734709</v>
      </c>
      <c r="I18" s="4">
        <v>4469.5306044390072</v>
      </c>
      <c r="J18" s="10">
        <v>42782</v>
      </c>
      <c r="K18" s="7">
        <v>11.74</v>
      </c>
      <c r="L18" s="7">
        <v>4.96</v>
      </c>
      <c r="M18" s="7">
        <v>6</v>
      </c>
      <c r="N18" s="6">
        <v>0.42248722316865417</v>
      </c>
      <c r="O18" s="6">
        <v>0.51107325383304936</v>
      </c>
      <c r="P18" s="6">
        <v>6.6439522998296474E-2</v>
      </c>
      <c r="Q18" s="4">
        <v>1988.0434355926973</v>
      </c>
      <c r="R18" s="4">
        <v>2404.8912527331013</v>
      </c>
      <c r="S18" s="4">
        <v>4392.9346883257986</v>
      </c>
      <c r="T18" s="4">
        <v>1888.3195739367527</v>
      </c>
      <c r="U18" s="4">
        <v>2284.2575491170392</v>
      </c>
      <c r="V18" s="4">
        <v>4172.5771230537921</v>
      </c>
      <c r="W18" s="10">
        <v>42901</v>
      </c>
      <c r="X18" s="12">
        <v>48</v>
      </c>
      <c r="Y18" s="5">
        <v>1.1200000000000001</v>
      </c>
      <c r="Z18" s="4">
        <v>81.2</v>
      </c>
      <c r="AA18" s="4">
        <v>31.1</v>
      </c>
      <c r="AB18" s="4">
        <v>5.3</v>
      </c>
      <c r="AC18" s="4">
        <v>9.8000000000000007</v>
      </c>
    </row>
    <row r="19" spans="1:29" x14ac:dyDescent="0.3">
      <c r="A19" s="1" t="s">
        <v>267</v>
      </c>
      <c r="B19" s="1" t="s">
        <v>30</v>
      </c>
      <c r="C19" s="10">
        <v>42675</v>
      </c>
      <c r="D19" s="3">
        <v>69.64</v>
      </c>
      <c r="E19" s="4">
        <v>5096.9573490813646</v>
      </c>
      <c r="F19" s="7">
        <v>12.46</v>
      </c>
      <c r="G19" s="7">
        <v>11.76</v>
      </c>
      <c r="H19" s="5">
        <v>5.617977528089896</v>
      </c>
      <c r="I19" s="4">
        <v>4810.6114305936471</v>
      </c>
      <c r="J19" s="10">
        <v>42793</v>
      </c>
      <c r="K19" s="7">
        <v>11.76</v>
      </c>
      <c r="L19" s="7">
        <v>4.68</v>
      </c>
      <c r="M19" s="7">
        <v>6.1400000000000006</v>
      </c>
      <c r="N19" s="6">
        <v>0.39795918367346939</v>
      </c>
      <c r="O19" s="6">
        <v>0.52210884353741505</v>
      </c>
      <c r="P19" s="6">
        <v>7.9931972789115568E-2</v>
      </c>
      <c r="Q19" s="4">
        <v>2028.3809858589104</v>
      </c>
      <c r="R19" s="4">
        <v>2661.1665070884001</v>
      </c>
      <c r="S19" s="4">
        <v>4689.5474929473103</v>
      </c>
      <c r="T19" s="4">
        <v>1914.4269978893085</v>
      </c>
      <c r="U19" s="4">
        <v>2511.662770735119</v>
      </c>
      <c r="V19" s="4">
        <v>4426.089768624428</v>
      </c>
      <c r="W19" s="10">
        <v>42901</v>
      </c>
      <c r="X19" s="12">
        <v>42</v>
      </c>
      <c r="Y19" s="5">
        <v>1.19</v>
      </c>
      <c r="Z19" s="4">
        <v>83.4</v>
      </c>
      <c r="AA19" s="4">
        <v>33.4</v>
      </c>
      <c r="AB19" s="4">
        <v>5.4</v>
      </c>
      <c r="AC19" s="4">
        <v>8.1999999999999993</v>
      </c>
    </row>
    <row r="20" spans="1:29" x14ac:dyDescent="0.3">
      <c r="A20" s="1" t="s">
        <v>268</v>
      </c>
      <c r="B20" s="1" t="s">
        <v>30</v>
      </c>
      <c r="C20" s="10">
        <v>42675</v>
      </c>
      <c r="D20" s="3">
        <v>64.459999999999994</v>
      </c>
      <c r="E20" s="4">
        <v>4711.5232020997364</v>
      </c>
      <c r="F20" s="7">
        <v>12.260000000000002</v>
      </c>
      <c r="G20" s="7">
        <v>11.579999999999998</v>
      </c>
      <c r="H20" s="5">
        <v>5.5464926590538592</v>
      </c>
      <c r="I20" s="4">
        <v>4450.1989135656549</v>
      </c>
      <c r="J20" s="10">
        <v>42793</v>
      </c>
      <c r="K20" s="7">
        <v>11.579999999999998</v>
      </c>
      <c r="L20" s="7">
        <v>4.7200000000000006</v>
      </c>
      <c r="M20" s="7">
        <v>6.0399999999999991</v>
      </c>
      <c r="N20" s="6">
        <v>0.4075993091537134</v>
      </c>
      <c r="O20" s="6">
        <v>0.52158894645941278</v>
      </c>
      <c r="P20" s="6">
        <v>7.0811744386873876E-2</v>
      </c>
      <c r="Q20" s="4">
        <v>1920.4136022375442</v>
      </c>
      <c r="R20" s="4">
        <v>2457.4784232022803</v>
      </c>
      <c r="S20" s="4">
        <v>4377.8920254398245</v>
      </c>
      <c r="T20" s="4">
        <v>1813.8980027659668</v>
      </c>
      <c r="U20" s="4">
        <v>2321.1745628615336</v>
      </c>
      <c r="V20" s="4">
        <v>4135.0725656275008</v>
      </c>
      <c r="W20" s="10">
        <v>42901</v>
      </c>
      <c r="X20" s="12">
        <v>42</v>
      </c>
      <c r="Y20" s="5">
        <v>1.19</v>
      </c>
      <c r="Z20" s="4">
        <v>82.2</v>
      </c>
      <c r="AA20" s="4">
        <v>34.200000000000003</v>
      </c>
      <c r="AB20" s="4">
        <v>5.4</v>
      </c>
      <c r="AC20" s="4">
        <v>8.9</v>
      </c>
    </row>
    <row r="21" spans="1:29" x14ac:dyDescent="0.3">
      <c r="A21" s="1" t="s">
        <v>269</v>
      </c>
      <c r="B21" s="1" t="s">
        <v>30</v>
      </c>
      <c r="C21" s="10">
        <v>42675</v>
      </c>
      <c r="D21" s="3">
        <v>72.680000000000007</v>
      </c>
      <c r="E21" s="4">
        <v>5323.1580839895023</v>
      </c>
      <c r="F21" s="7">
        <v>13.120000000000001</v>
      </c>
      <c r="G21" s="7">
        <v>12.399999999999999</v>
      </c>
      <c r="H21" s="5">
        <v>5.4878048780487987</v>
      </c>
      <c r="I21" s="4">
        <v>5031.0335549900774</v>
      </c>
      <c r="J21" s="10">
        <v>42793</v>
      </c>
      <c r="K21" s="7">
        <v>12.399999999999999</v>
      </c>
      <c r="L21" s="7">
        <v>5.16</v>
      </c>
      <c r="M21" s="7">
        <v>6.32</v>
      </c>
      <c r="N21" s="6">
        <v>0.41612903225806458</v>
      </c>
      <c r="O21" s="6">
        <v>0.50967741935483879</v>
      </c>
      <c r="P21" s="6">
        <v>7.4193548387096575E-2</v>
      </c>
      <c r="Q21" s="4">
        <v>2215.120622047245</v>
      </c>
      <c r="R21" s="4">
        <v>2713.0934750656179</v>
      </c>
      <c r="S21" s="4">
        <v>4928.2140971128629</v>
      </c>
      <c r="T21" s="4">
        <v>2093.5591244958714</v>
      </c>
      <c r="U21" s="4">
        <v>2564.204198994943</v>
      </c>
      <c r="V21" s="4">
        <v>4657.7633234908144</v>
      </c>
      <c r="W21" s="10">
        <v>42901</v>
      </c>
      <c r="X21" s="12">
        <v>45</v>
      </c>
      <c r="Y21" s="5">
        <v>1.17</v>
      </c>
      <c r="Z21" s="4">
        <v>82.8</v>
      </c>
      <c r="AA21" s="4">
        <v>32.799999999999997</v>
      </c>
      <c r="AB21" s="4">
        <v>5.4</v>
      </c>
      <c r="AC21" s="4">
        <v>8.6</v>
      </c>
    </row>
    <row r="22" spans="1:29" x14ac:dyDescent="0.3">
      <c r="A22" s="1" t="s">
        <v>270</v>
      </c>
      <c r="B22" s="1" t="s">
        <v>30</v>
      </c>
      <c r="C22" s="10">
        <v>42675</v>
      </c>
      <c r="D22" s="3">
        <v>81.2</v>
      </c>
      <c r="E22" s="4">
        <v>5957.1154068241458</v>
      </c>
      <c r="F22" s="7">
        <v>13.540000000000001</v>
      </c>
      <c r="G22" s="7">
        <v>12.84</v>
      </c>
      <c r="H22" s="5">
        <v>5.169867060561308</v>
      </c>
      <c r="I22" s="4">
        <v>5649.140459647122</v>
      </c>
      <c r="J22" s="10">
        <v>42793</v>
      </c>
      <c r="K22" s="7">
        <v>12.84</v>
      </c>
      <c r="L22" s="7">
        <v>5.36</v>
      </c>
      <c r="M22" s="7">
        <v>6.5399999999999991</v>
      </c>
      <c r="N22" s="6">
        <v>0.41744548286604366</v>
      </c>
      <c r="O22" s="6">
        <v>0.50934579439252325</v>
      </c>
      <c r="P22" s="6">
        <v>7.3208722741433085E-2</v>
      </c>
      <c r="Q22" s="4">
        <v>2486.7709174904535</v>
      </c>
      <c r="R22" s="4">
        <v>3034.2316791767839</v>
      </c>
      <c r="S22" s="4">
        <v>5521.0025966672374</v>
      </c>
      <c r="T22" s="4">
        <v>2358.2081669554968</v>
      </c>
      <c r="U22" s="4">
        <v>2877.3659350539074</v>
      </c>
      <c r="V22" s="4">
        <v>5235.5741020094047</v>
      </c>
      <c r="W22" s="10">
        <v>42901</v>
      </c>
      <c r="X22" s="12">
        <v>47</v>
      </c>
      <c r="Y22" s="5">
        <v>1.1499999999999999</v>
      </c>
      <c r="Z22" s="4">
        <v>81.900000000000006</v>
      </c>
      <c r="AA22" s="4">
        <v>32.5</v>
      </c>
      <c r="AB22" s="4">
        <v>5.5</v>
      </c>
      <c r="AC22" s="4">
        <v>8.6999999999999993</v>
      </c>
    </row>
    <row r="23" spans="1:29" x14ac:dyDescent="0.3">
      <c r="A23" s="1" t="s">
        <v>271</v>
      </c>
      <c r="B23" s="1" t="s">
        <v>30</v>
      </c>
      <c r="C23" s="10">
        <v>42675</v>
      </c>
      <c r="D23" s="3">
        <v>69.28</v>
      </c>
      <c r="E23" s="4">
        <v>5070.1704199475062</v>
      </c>
      <c r="F23" s="7">
        <v>13.64</v>
      </c>
      <c r="G23" s="7">
        <v>12.940000000000001</v>
      </c>
      <c r="H23" s="5">
        <v>5.1319648093841588</v>
      </c>
      <c r="I23" s="4">
        <v>4809.971058219995</v>
      </c>
      <c r="J23" s="10">
        <v>42782</v>
      </c>
      <c r="K23" s="7">
        <v>12.940000000000001</v>
      </c>
      <c r="L23" s="7">
        <v>5.0999999999999996</v>
      </c>
      <c r="M23" s="7">
        <v>6.6400000000000006</v>
      </c>
      <c r="N23" s="6">
        <v>0.39412673879443577</v>
      </c>
      <c r="O23" s="6">
        <v>0.51313755795981453</v>
      </c>
      <c r="P23" s="6">
        <v>9.2735703245749646E-2</v>
      </c>
      <c r="Q23" s="4">
        <v>1998.2897327459254</v>
      </c>
      <c r="R23" s="4">
        <v>2601.6948677319506</v>
      </c>
      <c r="S23" s="4">
        <v>4599.9846004778756</v>
      </c>
      <c r="T23" s="4">
        <v>1895.7382068718678</v>
      </c>
      <c r="U23" s="4">
        <v>2468.176802672393</v>
      </c>
      <c r="V23" s="4">
        <v>4363.915009544261</v>
      </c>
      <c r="W23" s="10">
        <v>42901</v>
      </c>
      <c r="X23" s="12">
        <v>41</v>
      </c>
      <c r="Y23" s="5">
        <v>1.1499999999999999</v>
      </c>
      <c r="Z23" s="4">
        <v>81.400000000000006</v>
      </c>
      <c r="AA23" s="4">
        <v>31</v>
      </c>
      <c r="AB23" s="4">
        <v>5.7</v>
      </c>
      <c r="AC23" s="4">
        <v>9.9</v>
      </c>
    </row>
    <row r="24" spans="1:29" x14ac:dyDescent="0.3">
      <c r="A24" s="1" t="s">
        <v>272</v>
      </c>
      <c r="B24" s="1" t="s">
        <v>30</v>
      </c>
      <c r="C24" s="10">
        <v>42675</v>
      </c>
      <c r="D24" s="3">
        <v>71.64</v>
      </c>
      <c r="E24" s="4">
        <v>5245.7736220472443</v>
      </c>
      <c r="F24" s="7">
        <v>12.940000000000001</v>
      </c>
      <c r="G24" s="7">
        <v>12.3</v>
      </c>
      <c r="H24" s="5">
        <v>4.9459041731066504</v>
      </c>
      <c r="I24" s="4">
        <v>4986.3226855626817</v>
      </c>
      <c r="J24" s="10">
        <v>42793</v>
      </c>
      <c r="K24" s="7">
        <v>12.3</v>
      </c>
      <c r="L24" s="7">
        <v>5.04</v>
      </c>
      <c r="M24" s="7">
        <v>6.2</v>
      </c>
      <c r="N24" s="6">
        <v>0.40975609756097559</v>
      </c>
      <c r="O24" s="6">
        <v>0.50406504065040647</v>
      </c>
      <c r="P24" s="6">
        <v>8.6178861788618E-2</v>
      </c>
      <c r="Q24" s="4">
        <v>2149.4877280583828</v>
      </c>
      <c r="R24" s="4">
        <v>2644.2110940400744</v>
      </c>
      <c r="S24" s="4">
        <v>4793.6988220984567</v>
      </c>
      <c r="T24" s="4">
        <v>2043.176124815928</v>
      </c>
      <c r="U24" s="4">
        <v>2513.430947194197</v>
      </c>
      <c r="V24" s="4">
        <v>4556.6070720101252</v>
      </c>
      <c r="W24" s="10">
        <v>42901</v>
      </c>
      <c r="X24" s="12">
        <v>44</v>
      </c>
      <c r="Y24" s="5">
        <v>1.1599999999999999</v>
      </c>
      <c r="Z24" s="4">
        <v>82.1</v>
      </c>
      <c r="AA24" s="4">
        <v>31.7</v>
      </c>
      <c r="AB24" s="4">
        <v>5.6</v>
      </c>
      <c r="AC24" s="4">
        <v>9</v>
      </c>
    </row>
    <row r="25" spans="1:29" x14ac:dyDescent="0.3">
      <c r="A25" s="1" t="s">
        <v>273</v>
      </c>
      <c r="B25" s="1" t="s">
        <v>30</v>
      </c>
      <c r="C25" s="10">
        <v>42675</v>
      </c>
      <c r="D25" s="3">
        <v>74.08</v>
      </c>
      <c r="E25" s="4">
        <v>5427.3294750656169</v>
      </c>
      <c r="F25" s="7">
        <v>13.760000000000002</v>
      </c>
      <c r="G25" s="7">
        <v>13.120000000000001</v>
      </c>
      <c r="H25" s="5">
        <v>4.6511627906976782</v>
      </c>
      <c r="I25" s="4">
        <v>5174.8955459927975</v>
      </c>
      <c r="J25" s="10">
        <v>42782</v>
      </c>
      <c r="K25" s="7">
        <v>13.120000000000001</v>
      </c>
      <c r="L25" s="7">
        <v>5.38</v>
      </c>
      <c r="M25" s="7">
        <v>6.74</v>
      </c>
      <c r="N25" s="6">
        <v>0.41006097560975607</v>
      </c>
      <c r="O25" s="6">
        <v>0.51371951219512191</v>
      </c>
      <c r="P25" s="6">
        <v>7.6219512195122019E-2</v>
      </c>
      <c r="Q25" s="4">
        <v>2225.5360195009921</v>
      </c>
      <c r="R25" s="4">
        <v>2788.1250504529157</v>
      </c>
      <c r="S25" s="4">
        <v>5013.6610699539078</v>
      </c>
      <c r="T25" s="4">
        <v>2122.0227162683877</v>
      </c>
      <c r="U25" s="4">
        <v>2658.4448155481291</v>
      </c>
      <c r="V25" s="4">
        <v>4780.4675318165173</v>
      </c>
      <c r="W25" s="10">
        <v>42901</v>
      </c>
      <c r="X25" s="12">
        <v>44</v>
      </c>
      <c r="Y25" s="5">
        <v>1.1499999999999999</v>
      </c>
      <c r="Z25" s="4">
        <v>81.5</v>
      </c>
      <c r="AA25" s="4">
        <v>32.1</v>
      </c>
      <c r="AB25" s="4">
        <v>6.1</v>
      </c>
      <c r="AC25" s="4">
        <v>9.3000000000000007</v>
      </c>
    </row>
    <row r="26" spans="1:29" x14ac:dyDescent="0.3">
      <c r="A26" s="1" t="s">
        <v>274</v>
      </c>
      <c r="B26" s="1" t="s">
        <v>30</v>
      </c>
      <c r="C26" s="10">
        <v>42675</v>
      </c>
      <c r="D26" s="3">
        <v>65.400000000000006</v>
      </c>
      <c r="E26" s="4">
        <v>4781.466850393701</v>
      </c>
      <c r="F26" s="7">
        <v>12.420000000000002</v>
      </c>
      <c r="G26" s="7">
        <v>11.879999999999999</v>
      </c>
      <c r="H26" s="5">
        <v>4.3478260869565428</v>
      </c>
      <c r="I26" s="4">
        <v>4573.5769873331046</v>
      </c>
      <c r="J26" s="10">
        <v>42782</v>
      </c>
      <c r="K26" s="7">
        <v>11.879999999999999</v>
      </c>
      <c r="L26" s="7">
        <v>5.08</v>
      </c>
      <c r="M26" s="7">
        <v>6.0399999999999991</v>
      </c>
      <c r="N26" s="6">
        <v>0.42760942760942766</v>
      </c>
      <c r="O26" s="6">
        <v>0.50841750841750843</v>
      </c>
      <c r="P26" s="6">
        <v>6.3973063973063904E-2</v>
      </c>
      <c r="Q26" s="4">
        <v>2044.6003030303034</v>
      </c>
      <c r="R26" s="4">
        <v>2430.9814626580769</v>
      </c>
      <c r="S26" s="4">
        <v>4475.5817656883801</v>
      </c>
      <c r="T26" s="4">
        <v>1955.7046376811595</v>
      </c>
      <c r="U26" s="4">
        <v>2325.2866164555517</v>
      </c>
      <c r="V26" s="4">
        <v>4280.9912541367112</v>
      </c>
      <c r="W26" s="10">
        <v>42901</v>
      </c>
      <c r="X26" s="12">
        <v>48</v>
      </c>
      <c r="Y26" s="5">
        <v>1.1200000000000001</v>
      </c>
      <c r="Z26" s="4">
        <v>81.7</v>
      </c>
      <c r="AA26" s="4">
        <v>32.5</v>
      </c>
      <c r="AB26" s="4">
        <v>5.3</v>
      </c>
      <c r="AC26" s="4">
        <v>9.8000000000000007</v>
      </c>
    </row>
    <row r="27" spans="1:29" x14ac:dyDescent="0.3">
      <c r="A27" s="1" t="s">
        <v>275</v>
      </c>
      <c r="B27" s="1" t="s">
        <v>30</v>
      </c>
      <c r="C27" s="10">
        <v>42675</v>
      </c>
      <c r="D27" s="3">
        <v>66.039999999999992</v>
      </c>
      <c r="E27" s="4">
        <v>4829.0880577427815</v>
      </c>
      <c r="F27" s="7">
        <v>13.24</v>
      </c>
      <c r="G27" s="7">
        <v>12.599999999999998</v>
      </c>
      <c r="H27" s="5">
        <v>4.8338368580060598</v>
      </c>
      <c r="I27" s="4">
        <v>4595.6578193020423</v>
      </c>
      <c r="J27" s="10">
        <v>42782</v>
      </c>
      <c r="K27" s="7">
        <v>12.599999999999998</v>
      </c>
      <c r="L27" s="7">
        <v>4.9799999999999995</v>
      </c>
      <c r="M27" s="7">
        <v>6.4</v>
      </c>
      <c r="N27" s="6">
        <v>0.39523809523809528</v>
      </c>
      <c r="O27" s="6">
        <v>0.50793650793650802</v>
      </c>
      <c r="P27" s="6">
        <v>9.6825396825396703E-2</v>
      </c>
      <c r="Q27" s="4">
        <v>1908.6395656792899</v>
      </c>
      <c r="R27" s="4">
        <v>2452.8701245677626</v>
      </c>
      <c r="S27" s="4">
        <v>4361.5096902470523</v>
      </c>
      <c r="T27" s="4">
        <v>1816.3790428669979</v>
      </c>
      <c r="U27" s="4">
        <v>2334.3023844073869</v>
      </c>
      <c r="V27" s="4">
        <v>4150.681427274385</v>
      </c>
      <c r="W27" s="10">
        <v>42901</v>
      </c>
      <c r="X27" s="12">
        <v>36</v>
      </c>
      <c r="Y27" s="5">
        <v>1.1599999999999999</v>
      </c>
      <c r="Z27" s="4">
        <v>80.400000000000006</v>
      </c>
      <c r="AA27" s="4">
        <v>32.200000000000003</v>
      </c>
      <c r="AB27" s="4">
        <v>5.3</v>
      </c>
      <c r="AC27" s="4">
        <v>10</v>
      </c>
    </row>
    <row r="28" spans="1:29" x14ac:dyDescent="0.3">
      <c r="A28" s="1" t="s">
        <v>276</v>
      </c>
      <c r="B28" s="1" t="s">
        <v>30</v>
      </c>
      <c r="C28" s="10">
        <v>42675</v>
      </c>
      <c r="D28" s="3">
        <v>71.56</v>
      </c>
      <c r="E28" s="4">
        <v>5239.820971128609</v>
      </c>
      <c r="F28" s="7">
        <v>14.060000000000002</v>
      </c>
      <c r="G28" s="7">
        <v>13.379999999999999</v>
      </c>
      <c r="H28" s="5">
        <v>4.8364153627311746</v>
      </c>
      <c r="I28" s="4">
        <v>4986.4014647013355</v>
      </c>
      <c r="J28" s="10">
        <v>42782</v>
      </c>
      <c r="K28" s="7">
        <v>13.379999999999999</v>
      </c>
      <c r="L28" s="7">
        <v>5.36</v>
      </c>
      <c r="M28" s="7">
        <v>6.9399999999999995</v>
      </c>
      <c r="N28" s="6">
        <v>0.40059790732436479</v>
      </c>
      <c r="O28" s="6">
        <v>0.51868460388639759</v>
      </c>
      <c r="P28" s="6">
        <v>8.0717488789237568E-2</v>
      </c>
      <c r="Q28" s="4">
        <v>2099.0613157884418</v>
      </c>
      <c r="R28" s="4">
        <v>2717.8144648454818</v>
      </c>
      <c r="S28" s="4">
        <v>4816.8757806339236</v>
      </c>
      <c r="T28" s="4">
        <v>1997.5419918385023</v>
      </c>
      <c r="U28" s="4">
        <v>2586.3696685371651</v>
      </c>
      <c r="V28" s="4">
        <v>4583.9116603756675</v>
      </c>
      <c r="W28" s="10">
        <v>42901</v>
      </c>
      <c r="X28" s="12">
        <v>41</v>
      </c>
      <c r="Y28" s="5">
        <v>1.1499999999999999</v>
      </c>
      <c r="Z28" s="4">
        <v>80.5</v>
      </c>
      <c r="AA28" s="4">
        <v>31.7</v>
      </c>
      <c r="AB28" s="4">
        <v>5.7</v>
      </c>
      <c r="AC28" s="4">
        <v>9.5</v>
      </c>
    </row>
    <row r="29" spans="1:29" x14ac:dyDescent="0.3">
      <c r="A29" s="1" t="s">
        <v>277</v>
      </c>
      <c r="B29" s="1" t="s">
        <v>30</v>
      </c>
      <c r="C29" s="10">
        <v>42675</v>
      </c>
      <c r="D29" s="3">
        <v>71.539999999999992</v>
      </c>
      <c r="E29" s="4">
        <v>5238.3328083989491</v>
      </c>
      <c r="F29" s="7">
        <v>13.600000000000001</v>
      </c>
      <c r="G29" s="7">
        <v>12.94</v>
      </c>
      <c r="H29" s="5">
        <v>4.8529411764706012</v>
      </c>
      <c r="I29" s="4">
        <v>4984.1195985795875</v>
      </c>
      <c r="J29" s="10">
        <v>42782</v>
      </c>
      <c r="K29" s="7">
        <v>12.94</v>
      </c>
      <c r="L29" s="7">
        <v>5.36</v>
      </c>
      <c r="M29" s="7">
        <v>6.52</v>
      </c>
      <c r="N29" s="6">
        <v>0.41421947449768165</v>
      </c>
      <c r="O29" s="6">
        <v>0.50386398763523954</v>
      </c>
      <c r="P29" s="6">
        <v>8.1916537867078754E-2</v>
      </c>
      <c r="Q29" s="4">
        <v>2169.8194631389774</v>
      </c>
      <c r="R29" s="4">
        <v>2639.4072574003976</v>
      </c>
      <c r="S29" s="4">
        <v>4809.2267205393746</v>
      </c>
      <c r="T29" s="4">
        <v>2064.5194009572328</v>
      </c>
      <c r="U29" s="4">
        <v>2511.3183757912602</v>
      </c>
      <c r="V29" s="4">
        <v>4575.8377767484926</v>
      </c>
      <c r="W29" s="10">
        <v>42901</v>
      </c>
      <c r="X29" s="12">
        <v>45</v>
      </c>
      <c r="Y29" s="5">
        <v>1.1599999999999999</v>
      </c>
      <c r="Z29" s="4">
        <v>81.599999999999994</v>
      </c>
      <c r="AA29" s="4">
        <v>32.4</v>
      </c>
      <c r="AB29" s="4">
        <v>5.6</v>
      </c>
      <c r="AC29" s="4">
        <v>8.9</v>
      </c>
    </row>
    <row r="30" spans="1:29" x14ac:dyDescent="0.3">
      <c r="A30" s="1" t="s">
        <v>278</v>
      </c>
      <c r="B30" s="1" t="s">
        <v>30</v>
      </c>
      <c r="C30" s="10">
        <v>42675</v>
      </c>
      <c r="D30" s="3">
        <v>69.02000000000001</v>
      </c>
      <c r="E30" s="4">
        <v>5050.824304461943</v>
      </c>
      <c r="F30" s="7">
        <v>13.260000000000002</v>
      </c>
      <c r="G30" s="7">
        <v>12.600000000000001</v>
      </c>
      <c r="H30" s="5">
        <v>4.9773755656108598</v>
      </c>
      <c r="I30" s="4">
        <v>4799.4258096697195</v>
      </c>
      <c r="J30" s="10">
        <v>42782</v>
      </c>
      <c r="K30" s="7">
        <v>12.600000000000001</v>
      </c>
      <c r="L30" s="7">
        <v>5.36</v>
      </c>
      <c r="M30" s="7">
        <v>6.4200000000000008</v>
      </c>
      <c r="N30" s="6">
        <v>0.42539682539682538</v>
      </c>
      <c r="O30" s="6">
        <v>0.50952380952380949</v>
      </c>
      <c r="P30" s="6">
        <v>6.507936507936507E-2</v>
      </c>
      <c r="Q30" s="4">
        <v>2148.604624755239</v>
      </c>
      <c r="R30" s="4">
        <v>2573.5152408448948</v>
      </c>
      <c r="S30" s="4">
        <v>4722.1198656001343</v>
      </c>
      <c r="T30" s="4">
        <v>2041.660503161087</v>
      </c>
      <c r="U30" s="4">
        <v>2445.4217220698092</v>
      </c>
      <c r="V30" s="4">
        <v>4487.0822252308963</v>
      </c>
      <c r="W30" s="10">
        <v>42901</v>
      </c>
      <c r="X30" s="12">
        <v>45</v>
      </c>
      <c r="Y30" s="5">
        <v>1.1100000000000001</v>
      </c>
      <c r="Z30" s="4">
        <v>81.099999999999994</v>
      </c>
      <c r="AA30" s="4">
        <v>30.8</v>
      </c>
      <c r="AB30" s="4">
        <v>5.6</v>
      </c>
      <c r="AC30" s="4">
        <v>10.1</v>
      </c>
    </row>
    <row r="31" spans="1:29" x14ac:dyDescent="0.3">
      <c r="A31" s="1" t="s">
        <v>279</v>
      </c>
      <c r="B31" s="1" t="s">
        <v>30</v>
      </c>
      <c r="C31" s="10">
        <v>42675</v>
      </c>
      <c r="D31" s="3">
        <v>51.92</v>
      </c>
      <c r="E31" s="4">
        <v>3778.4451706036748</v>
      </c>
      <c r="F31" s="7">
        <v>13.059999999999999</v>
      </c>
      <c r="G31" s="7">
        <v>12.46</v>
      </c>
      <c r="H31" s="5">
        <v>4.5941807044410252</v>
      </c>
      <c r="I31" s="4">
        <v>3604.856571647917</v>
      </c>
      <c r="J31" s="10">
        <v>42774</v>
      </c>
      <c r="K31" s="7">
        <v>12.46</v>
      </c>
      <c r="L31" s="7">
        <v>4.76</v>
      </c>
      <c r="M31" s="7">
        <v>6.2</v>
      </c>
      <c r="N31" s="6">
        <v>0.38202247191011229</v>
      </c>
      <c r="O31" s="6">
        <v>0.4975922953451043</v>
      </c>
      <c r="P31" s="6">
        <v>0.12038523274478341</v>
      </c>
      <c r="Q31" s="4">
        <v>1443.4509640508418</v>
      </c>
      <c r="R31" s="4">
        <v>1880.1252052763068</v>
      </c>
      <c r="S31" s="4">
        <v>3323.5761693271488</v>
      </c>
      <c r="T31" s="4">
        <v>1377.1362183823501</v>
      </c>
      <c r="U31" s="4">
        <v>1793.7488558761704</v>
      </c>
      <c r="V31" s="4">
        <v>3170.8850742585205</v>
      </c>
      <c r="W31" s="10">
        <v>42901</v>
      </c>
      <c r="X31" s="12">
        <v>34</v>
      </c>
      <c r="Y31" s="5">
        <v>1.18</v>
      </c>
      <c r="Z31" s="4">
        <v>82</v>
      </c>
      <c r="AA31" s="4">
        <v>32.4</v>
      </c>
      <c r="AB31" s="4">
        <v>5.5</v>
      </c>
      <c r="AC31" s="4">
        <v>8.9</v>
      </c>
    </row>
    <row r="32" spans="1:29" x14ac:dyDescent="0.3">
      <c r="A32" s="1" t="s">
        <v>280</v>
      </c>
      <c r="B32" s="1" t="s">
        <v>30</v>
      </c>
      <c r="C32" s="10">
        <v>42675</v>
      </c>
      <c r="D32" s="3">
        <v>50.76</v>
      </c>
      <c r="E32" s="4">
        <v>3692.1317322834639</v>
      </c>
      <c r="F32" s="7">
        <v>13.36</v>
      </c>
      <c r="G32" s="7">
        <v>12.780000000000001</v>
      </c>
      <c r="H32" s="5">
        <v>4.3413173652694486</v>
      </c>
      <c r="I32" s="4">
        <v>3531.844576241218</v>
      </c>
      <c r="J32" s="10">
        <v>42774</v>
      </c>
      <c r="K32" s="7">
        <v>12.780000000000001</v>
      </c>
      <c r="L32" s="7">
        <v>5.0599999999999996</v>
      </c>
      <c r="M32" s="7">
        <v>6.68</v>
      </c>
      <c r="N32" s="6">
        <v>0.39593114241001559</v>
      </c>
      <c r="O32" s="6">
        <v>0.52269170579029722</v>
      </c>
      <c r="P32" s="6">
        <v>8.1377151799687186E-2</v>
      </c>
      <c r="Q32" s="4">
        <v>1461.8299346912618</v>
      </c>
      <c r="R32" s="4">
        <v>1929.8466331497286</v>
      </c>
      <c r="S32" s="4">
        <v>3391.6765678409902</v>
      </c>
      <c r="T32" s="4">
        <v>1398.3672578858029</v>
      </c>
      <c r="U32" s="4">
        <v>1846.0658661417317</v>
      </c>
      <c r="V32" s="4">
        <v>3244.4331240275346</v>
      </c>
      <c r="W32" s="10">
        <v>42901</v>
      </c>
      <c r="X32" s="12">
        <v>43</v>
      </c>
      <c r="Y32" s="5">
        <v>1.1299999999999999</v>
      </c>
      <c r="Z32" s="4">
        <v>81.8</v>
      </c>
      <c r="AA32" s="4">
        <v>31.5</v>
      </c>
      <c r="AB32" s="4">
        <v>5.3</v>
      </c>
      <c r="AC32" s="4">
        <v>9.4</v>
      </c>
    </row>
    <row r="33" spans="1:29" x14ac:dyDescent="0.3">
      <c r="A33" s="1" t="s">
        <v>281</v>
      </c>
      <c r="B33" s="1" t="s">
        <v>30</v>
      </c>
      <c r="C33" s="10">
        <v>42675</v>
      </c>
      <c r="D33" s="3">
        <v>66.040000000000006</v>
      </c>
      <c r="E33" s="4">
        <v>4829.0880577427824</v>
      </c>
      <c r="F33" s="7">
        <v>12.620000000000001</v>
      </c>
      <c r="G33" s="7">
        <v>12.079999999999998</v>
      </c>
      <c r="H33" s="5">
        <v>4.2789223454833811</v>
      </c>
      <c r="I33" s="4">
        <v>4622.4551297569569</v>
      </c>
      <c r="J33" s="10">
        <v>42774</v>
      </c>
      <c r="K33" s="7">
        <v>12.079999999999998</v>
      </c>
      <c r="L33" s="7">
        <v>5.04</v>
      </c>
      <c r="M33" s="7">
        <v>6.22</v>
      </c>
      <c r="N33" s="6">
        <v>0.41721854304635769</v>
      </c>
      <c r="O33" s="6">
        <v>0.51490066225165565</v>
      </c>
      <c r="P33" s="6">
        <v>6.7880794701986602E-2</v>
      </c>
      <c r="Q33" s="4">
        <v>2014.785083694009</v>
      </c>
      <c r="R33" s="4">
        <v>2486.50063900332</v>
      </c>
      <c r="S33" s="4">
        <v>4501.2857226973292</v>
      </c>
      <c r="T33" s="4">
        <v>1928.5739945343598</v>
      </c>
      <c r="U33" s="4">
        <v>2380.10520754042</v>
      </c>
      <c r="V33" s="4">
        <v>4308.6792020747798</v>
      </c>
      <c r="W33" s="10">
        <v>42901</v>
      </c>
      <c r="X33" s="12">
        <v>46</v>
      </c>
      <c r="Y33" s="5">
        <v>1.1299999999999999</v>
      </c>
      <c r="Z33" s="4">
        <v>80.5</v>
      </c>
      <c r="AA33" s="4">
        <v>31.8</v>
      </c>
      <c r="AB33" s="4">
        <v>5.5</v>
      </c>
      <c r="AC33" s="4">
        <v>9.9</v>
      </c>
    </row>
    <row r="34" spans="1:29" x14ac:dyDescent="0.3">
      <c r="A34" s="1" t="s">
        <v>282</v>
      </c>
      <c r="B34" s="1" t="s">
        <v>30</v>
      </c>
      <c r="C34" s="10">
        <v>42675</v>
      </c>
      <c r="D34" s="3">
        <v>41.980000000000004</v>
      </c>
      <c r="E34" s="4">
        <v>3038.828293963255</v>
      </c>
      <c r="F34" s="7">
        <v>12.440000000000001</v>
      </c>
      <c r="G34" s="7">
        <v>11.84</v>
      </c>
      <c r="H34" s="5">
        <v>4.8231511254019397</v>
      </c>
      <c r="I34" s="4">
        <v>2892.261012903934</v>
      </c>
      <c r="J34" s="10">
        <v>42774</v>
      </c>
      <c r="K34" s="7">
        <v>11.84</v>
      </c>
      <c r="L34" s="7">
        <v>5.04</v>
      </c>
      <c r="M34" s="7">
        <v>6.08</v>
      </c>
      <c r="N34" s="6">
        <v>0.42567567567567566</v>
      </c>
      <c r="O34" s="6">
        <v>0.51351351351351349</v>
      </c>
      <c r="P34" s="6">
        <v>6.0810810810810856E-2</v>
      </c>
      <c r="Q34" s="4">
        <v>1293.5552872951694</v>
      </c>
      <c r="R34" s="4">
        <v>1560.4793941973471</v>
      </c>
      <c r="S34" s="4">
        <v>2854.0346814925165</v>
      </c>
      <c r="T34" s="4">
        <v>1231.1651608982961</v>
      </c>
      <c r="U34" s="4">
        <v>1485.2151147344525</v>
      </c>
      <c r="V34" s="4">
        <v>2716.3802756327486</v>
      </c>
      <c r="W34" s="10">
        <v>42901</v>
      </c>
      <c r="X34" s="12">
        <v>47</v>
      </c>
      <c r="Y34" s="5">
        <v>1.03</v>
      </c>
      <c r="Z34" s="4">
        <v>79.3</v>
      </c>
      <c r="AA34" s="4">
        <v>28.7</v>
      </c>
      <c r="AB34" s="4">
        <v>5.3</v>
      </c>
      <c r="AC34" s="4">
        <v>11.7</v>
      </c>
    </row>
    <row r="35" spans="1:29" x14ac:dyDescent="0.3">
      <c r="A35" s="1" t="s">
        <v>283</v>
      </c>
      <c r="B35" s="1" t="s">
        <v>30</v>
      </c>
      <c r="C35" s="10">
        <v>42675</v>
      </c>
      <c r="D35" s="3">
        <v>52</v>
      </c>
      <c r="E35" s="4">
        <v>3784.3978215223096</v>
      </c>
      <c r="F35" s="7">
        <v>13.46</v>
      </c>
      <c r="G35" s="7">
        <v>12.82</v>
      </c>
      <c r="H35" s="5">
        <v>4.7548291233283839</v>
      </c>
      <c r="I35" s="4">
        <v>3604.4561717619617</v>
      </c>
      <c r="J35" s="10">
        <v>42774</v>
      </c>
      <c r="K35" s="7">
        <v>12.82</v>
      </c>
      <c r="L35" s="7">
        <v>4.9000000000000004</v>
      </c>
      <c r="M35" s="7">
        <v>6.48</v>
      </c>
      <c r="N35" s="6">
        <v>0.38221528861154447</v>
      </c>
      <c r="O35" s="6">
        <v>0.50546021840873634</v>
      </c>
      <c r="P35" s="6">
        <v>0.11232449297971925</v>
      </c>
      <c r="Q35" s="4">
        <v>1446.4547055740497</v>
      </c>
      <c r="R35" s="4">
        <v>1912.8625494122127</v>
      </c>
      <c r="S35" s="4">
        <v>3359.3172549862625</v>
      </c>
      <c r="T35" s="4">
        <v>1377.6782559776609</v>
      </c>
      <c r="U35" s="4">
        <v>1821.9092038235187</v>
      </c>
      <c r="V35" s="4">
        <v>3199.5874598011796</v>
      </c>
      <c r="W35" s="10">
        <v>42901</v>
      </c>
      <c r="X35" s="12">
        <v>36</v>
      </c>
      <c r="Y35" s="5">
        <v>1.17</v>
      </c>
      <c r="Z35" s="4">
        <v>82.1</v>
      </c>
      <c r="AA35" s="4">
        <v>33.200000000000003</v>
      </c>
      <c r="AB35" s="4">
        <v>5.6</v>
      </c>
      <c r="AC35" s="4">
        <v>8.9</v>
      </c>
    </row>
    <row r="36" spans="1:29" x14ac:dyDescent="0.3">
      <c r="A36" s="1" t="s">
        <v>284</v>
      </c>
      <c r="B36" s="1" t="s">
        <v>30</v>
      </c>
      <c r="C36" s="10">
        <v>42675</v>
      </c>
      <c r="D36" s="3">
        <v>54.14</v>
      </c>
      <c r="E36" s="4">
        <v>3943.6312335958</v>
      </c>
      <c r="F36" s="7">
        <v>11.979999999999999</v>
      </c>
      <c r="G36" s="7">
        <v>11.42</v>
      </c>
      <c r="H36" s="5">
        <v>4.6744574290484033</v>
      </c>
      <c r="I36" s="4">
        <v>3759.2878704227078</v>
      </c>
      <c r="J36" s="10">
        <v>42774</v>
      </c>
      <c r="K36" s="7">
        <v>11.42</v>
      </c>
      <c r="L36" s="7">
        <v>4.66</v>
      </c>
      <c r="M36" s="7">
        <v>5.9399999999999995</v>
      </c>
      <c r="N36" s="6">
        <v>0.40805604203152368</v>
      </c>
      <c r="O36" s="6">
        <v>0.52014010507880903</v>
      </c>
      <c r="P36" s="6">
        <v>7.1803852889667286E-2</v>
      </c>
      <c r="Q36" s="4">
        <v>1609.2225524129974</v>
      </c>
      <c r="R36" s="4">
        <v>2051.2407642345929</v>
      </c>
      <c r="S36" s="4">
        <v>3660.4633166475905</v>
      </c>
      <c r="T36" s="4">
        <v>1534.0001292618056</v>
      </c>
      <c r="U36" s="4">
        <v>1955.3563879431595</v>
      </c>
      <c r="V36" s="4">
        <v>3489.3565172049648</v>
      </c>
      <c r="W36" s="10">
        <v>42901</v>
      </c>
      <c r="X36" s="12">
        <v>43</v>
      </c>
      <c r="Y36" s="5">
        <v>1.1200000000000001</v>
      </c>
      <c r="Z36" s="4">
        <v>82</v>
      </c>
      <c r="AA36" s="4">
        <v>32</v>
      </c>
      <c r="AB36" s="4">
        <v>5.4</v>
      </c>
      <c r="AC36" s="4">
        <v>9.4</v>
      </c>
    </row>
    <row r="37" spans="1:29" x14ac:dyDescent="0.3">
      <c r="A37" s="1" t="s">
        <v>285</v>
      </c>
      <c r="B37" s="1" t="s">
        <v>30</v>
      </c>
      <c r="C37" s="10">
        <v>42675</v>
      </c>
      <c r="D37" s="3">
        <v>69.38</v>
      </c>
      <c r="E37" s="4">
        <v>5077.6112335958005</v>
      </c>
      <c r="F37" s="7">
        <v>13.560000000000002</v>
      </c>
      <c r="G37" s="7">
        <v>12.879999999999999</v>
      </c>
      <c r="H37" s="5">
        <v>5.0147492625368963</v>
      </c>
      <c r="I37" s="4">
        <v>4822.9817617045646</v>
      </c>
      <c r="J37" s="10">
        <v>42774</v>
      </c>
      <c r="K37" s="7">
        <v>12.879999999999999</v>
      </c>
      <c r="L37" s="7">
        <v>5.2</v>
      </c>
      <c r="M37" s="7">
        <v>6.66</v>
      </c>
      <c r="N37" s="6">
        <v>0.4037267080745342</v>
      </c>
      <c r="O37" s="6">
        <v>0.51708074534161497</v>
      </c>
      <c r="P37" s="6">
        <v>7.9192546583850887E-2</v>
      </c>
      <c r="Q37" s="4">
        <v>2049.967268221907</v>
      </c>
      <c r="R37" s="4">
        <v>2625.5350012226736</v>
      </c>
      <c r="S37" s="4">
        <v>4675.5022694445806</v>
      </c>
      <c r="T37" s="4">
        <v>1947.1665497565014</v>
      </c>
      <c r="U37" s="4">
        <v>2493.8710041112113</v>
      </c>
      <c r="V37" s="4">
        <v>4441.0375538677126</v>
      </c>
      <c r="W37" s="10">
        <v>42901</v>
      </c>
      <c r="X37" s="12">
        <v>43</v>
      </c>
      <c r="Y37" s="5">
        <v>1.1599999999999999</v>
      </c>
      <c r="Z37" s="4">
        <v>82.1</v>
      </c>
      <c r="AA37" s="4">
        <v>31.2</v>
      </c>
      <c r="AB37" s="4">
        <v>5.9</v>
      </c>
      <c r="AC37" s="4">
        <v>8.8000000000000007</v>
      </c>
    </row>
    <row r="38" spans="1:29" x14ac:dyDescent="0.3">
      <c r="A38" s="1" t="s">
        <v>286</v>
      </c>
      <c r="B38" s="1" t="s">
        <v>30</v>
      </c>
      <c r="C38" s="10">
        <v>42675</v>
      </c>
      <c r="D38" s="3">
        <v>75.44</v>
      </c>
      <c r="E38" s="4">
        <v>5528.5245406824142</v>
      </c>
      <c r="F38" s="7">
        <v>13.280000000000001</v>
      </c>
      <c r="G38" s="7">
        <v>12.719999999999999</v>
      </c>
      <c r="H38" s="5">
        <v>4.216867469879535</v>
      </c>
      <c r="I38" s="4">
        <v>5295.3939877620705</v>
      </c>
      <c r="J38" s="10">
        <v>42774</v>
      </c>
      <c r="K38" s="7">
        <v>12.719999999999999</v>
      </c>
      <c r="L38" s="7">
        <v>5.42</v>
      </c>
      <c r="M38" s="7">
        <v>6.42</v>
      </c>
      <c r="N38" s="6">
        <v>0.42610062893081763</v>
      </c>
      <c r="O38" s="6">
        <v>0.50471698113207553</v>
      </c>
      <c r="P38" s="6">
        <v>6.9182389937106903E-2</v>
      </c>
      <c r="Q38" s="4">
        <v>2355.7077838442365</v>
      </c>
      <c r="R38" s="4">
        <v>2790.3402162878224</v>
      </c>
      <c r="S38" s="4">
        <v>5146.0480001320593</v>
      </c>
      <c r="T38" s="4">
        <v>2256.3707086218888</v>
      </c>
      <c r="U38" s="4">
        <v>2672.6752674082149</v>
      </c>
      <c r="V38" s="4">
        <v>4929.0459760301037</v>
      </c>
      <c r="W38" s="10">
        <v>42901</v>
      </c>
      <c r="X38" s="12">
        <v>44</v>
      </c>
      <c r="Y38" s="5">
        <v>1.1200000000000001</v>
      </c>
      <c r="Z38" s="4">
        <v>80.900000000000006</v>
      </c>
      <c r="AA38" s="4">
        <v>32</v>
      </c>
      <c r="AB38" s="4">
        <v>5.4</v>
      </c>
      <c r="AC38" s="4">
        <v>9.4</v>
      </c>
    </row>
    <row r="39" spans="1:29" x14ac:dyDescent="0.3">
      <c r="A39" s="1" t="s">
        <v>287</v>
      </c>
      <c r="B39" s="1" t="s">
        <v>30</v>
      </c>
      <c r="C39" s="10">
        <v>42675</v>
      </c>
      <c r="D39" s="3">
        <v>62.08</v>
      </c>
      <c r="E39" s="4">
        <v>4534.431837270341</v>
      </c>
      <c r="F39" s="7">
        <v>13.06</v>
      </c>
      <c r="G39" s="7">
        <v>12.48</v>
      </c>
      <c r="H39" s="5">
        <v>4.4410413476263404</v>
      </c>
      <c r="I39" s="4">
        <v>4333.0558444972321</v>
      </c>
      <c r="J39" s="10">
        <v>42774</v>
      </c>
      <c r="K39" s="7">
        <v>12.48</v>
      </c>
      <c r="L39" s="7">
        <v>4.9399999999999995</v>
      </c>
      <c r="M39" s="7">
        <v>6.3800000000000008</v>
      </c>
      <c r="N39" s="6">
        <v>0.39583333333333326</v>
      </c>
      <c r="O39" s="6">
        <v>0.51121794871794879</v>
      </c>
      <c r="P39" s="6">
        <v>9.2948717948717952E-2</v>
      </c>
      <c r="Q39" s="4">
        <v>1794.8792689195097</v>
      </c>
      <c r="R39" s="4">
        <v>2318.0829424507033</v>
      </c>
      <c r="S39" s="4">
        <v>4112.9622113702135</v>
      </c>
      <c r="T39" s="4">
        <v>1715.1679384468207</v>
      </c>
      <c r="U39" s="4">
        <v>2215.1359205041945</v>
      </c>
      <c r="V39" s="4">
        <v>3930.3038589510152</v>
      </c>
      <c r="W39" s="10">
        <v>42901</v>
      </c>
      <c r="X39" s="12">
        <v>40</v>
      </c>
      <c r="Y39" s="5">
        <v>1.1499999999999999</v>
      </c>
      <c r="Z39" s="4">
        <v>81.2</v>
      </c>
      <c r="AA39" s="4">
        <v>32</v>
      </c>
      <c r="AB39" s="4">
        <v>5.8</v>
      </c>
      <c r="AC39" s="4">
        <v>9.9</v>
      </c>
    </row>
    <row r="40" spans="1:29" x14ac:dyDescent="0.3">
      <c r="A40" s="1" t="s">
        <v>288</v>
      </c>
      <c r="B40" s="1" t="s">
        <v>30</v>
      </c>
      <c r="C40" s="10">
        <v>42675</v>
      </c>
      <c r="D40" s="3">
        <v>60.019999999999996</v>
      </c>
      <c r="E40" s="4">
        <v>4381.151076115485</v>
      </c>
      <c r="F40" s="7">
        <v>12.7</v>
      </c>
      <c r="G40" s="7">
        <v>12.14</v>
      </c>
      <c r="H40" s="5">
        <v>4.4094488188976282</v>
      </c>
      <c r="I40" s="4">
        <v>4187.9664617355902</v>
      </c>
      <c r="J40" s="10">
        <v>42774</v>
      </c>
      <c r="K40" s="7">
        <v>12.14</v>
      </c>
      <c r="L40" s="7">
        <v>4.84</v>
      </c>
      <c r="M40" s="7">
        <v>6.2</v>
      </c>
      <c r="N40" s="6">
        <v>0.39868204283360786</v>
      </c>
      <c r="O40" s="6">
        <v>0.51070840197693579</v>
      </c>
      <c r="P40" s="6">
        <v>9.0609555189456348E-2</v>
      </c>
      <c r="Q40" s="4">
        <v>1746.686260988381</v>
      </c>
      <c r="R40" s="4">
        <v>2237.490664902472</v>
      </c>
      <c r="S40" s="4">
        <v>3984.176925890853</v>
      </c>
      <c r="T40" s="4">
        <v>1669.6670242833818</v>
      </c>
      <c r="U40" s="4">
        <v>2138.8296592059851</v>
      </c>
      <c r="V40" s="4">
        <v>3808.4966834893667</v>
      </c>
      <c r="W40" s="10">
        <v>42901</v>
      </c>
      <c r="X40" s="12">
        <v>45</v>
      </c>
      <c r="Y40" s="5">
        <v>1.1499999999999999</v>
      </c>
      <c r="Z40" s="4">
        <v>83.1</v>
      </c>
      <c r="AA40" s="4">
        <v>32.799999999999997</v>
      </c>
      <c r="AB40" s="4">
        <v>5.3</v>
      </c>
      <c r="AC40" s="4">
        <v>8.6999999999999993</v>
      </c>
    </row>
    <row r="41" spans="1:29" x14ac:dyDescent="0.3">
      <c r="A41" s="1" t="s">
        <v>289</v>
      </c>
      <c r="B41" s="1" t="s">
        <v>30</v>
      </c>
      <c r="C41" s="10">
        <v>42675</v>
      </c>
      <c r="D41" s="3">
        <v>59</v>
      </c>
      <c r="E41" s="4">
        <v>4305.254776902887</v>
      </c>
      <c r="F41" s="7">
        <v>11.86</v>
      </c>
      <c r="G41" s="7">
        <v>11.379999999999999</v>
      </c>
      <c r="H41" s="5">
        <v>4.047217537942668</v>
      </c>
      <c r="I41" s="4">
        <v>4131.0117505189592</v>
      </c>
      <c r="J41" s="10">
        <v>42774</v>
      </c>
      <c r="K41" s="7">
        <v>11.379999999999999</v>
      </c>
      <c r="L41" s="7">
        <v>4.76</v>
      </c>
      <c r="M41" s="7">
        <v>5.84</v>
      </c>
      <c r="N41" s="6">
        <v>0.41827768014059757</v>
      </c>
      <c r="O41" s="6">
        <v>0.51318101933216176</v>
      </c>
      <c r="P41" s="6">
        <v>6.8541300527240612E-2</v>
      </c>
      <c r="Q41" s="4">
        <v>1800.7919804971655</v>
      </c>
      <c r="R41" s="4">
        <v>2209.3750348956823</v>
      </c>
      <c r="S41" s="4">
        <v>4010.167015392848</v>
      </c>
      <c r="T41" s="4">
        <v>1727.9100116406194</v>
      </c>
      <c r="U41" s="4">
        <v>2119.9568210044572</v>
      </c>
      <c r="V41" s="4">
        <v>3847.8668326450766</v>
      </c>
      <c r="W41" s="10">
        <v>42901</v>
      </c>
      <c r="X41" s="12">
        <v>49</v>
      </c>
      <c r="Y41" s="5">
        <v>1.1200000000000001</v>
      </c>
      <c r="Z41" s="4">
        <v>81.7</v>
      </c>
      <c r="AA41" s="4">
        <v>31.4</v>
      </c>
      <c r="AB41" s="4">
        <v>5.4</v>
      </c>
      <c r="AC41" s="4">
        <v>9.6999999999999993</v>
      </c>
    </row>
    <row r="42" spans="1:29" x14ac:dyDescent="0.3">
      <c r="A42" s="1" t="s">
        <v>290</v>
      </c>
      <c r="B42" s="1" t="s">
        <v>30</v>
      </c>
      <c r="C42" s="10">
        <v>42675</v>
      </c>
      <c r="D42" s="3">
        <v>70.64</v>
      </c>
      <c r="E42" s="4">
        <v>5171.3654855643044</v>
      </c>
      <c r="F42" s="7">
        <v>12.620000000000001</v>
      </c>
      <c r="G42" s="7">
        <v>12.100000000000001</v>
      </c>
      <c r="H42" s="5">
        <v>4.1204437400950829</v>
      </c>
      <c r="I42" s="4">
        <v>4958.2822801369321</v>
      </c>
      <c r="J42" s="10">
        <v>42774</v>
      </c>
      <c r="K42" s="7">
        <v>12.100000000000001</v>
      </c>
      <c r="L42" s="7">
        <v>5.0999999999999996</v>
      </c>
      <c r="M42" s="7">
        <v>5.98</v>
      </c>
      <c r="N42" s="6">
        <v>0.42148760330578505</v>
      </c>
      <c r="O42" s="6">
        <v>0.4942148760330578</v>
      </c>
      <c r="P42" s="6">
        <v>8.4297520661157144E-2</v>
      </c>
      <c r="Q42" s="4">
        <v>2179.6664443287559</v>
      </c>
      <c r="R42" s="4">
        <v>2555.7657523697967</v>
      </c>
      <c r="S42" s="4">
        <v>4735.4321966985526</v>
      </c>
      <c r="T42" s="4">
        <v>2089.8545147684586</v>
      </c>
      <c r="U42" s="4">
        <v>2450.456862414781</v>
      </c>
      <c r="V42" s="4">
        <v>4540.3113771832395</v>
      </c>
      <c r="W42" s="10">
        <v>42901</v>
      </c>
      <c r="X42" s="12">
        <v>46</v>
      </c>
      <c r="Y42" s="5">
        <v>1.1499999999999999</v>
      </c>
      <c r="Z42" s="4">
        <v>82.4</v>
      </c>
      <c r="AA42" s="4">
        <v>30.3</v>
      </c>
      <c r="AB42" s="4">
        <v>5.6</v>
      </c>
      <c r="AC42" s="4">
        <v>9.1</v>
      </c>
    </row>
    <row r="43" spans="1:29" x14ac:dyDescent="0.3">
      <c r="A43" s="1" t="s">
        <v>291</v>
      </c>
      <c r="B43" s="1" t="s">
        <v>30</v>
      </c>
      <c r="C43" s="10">
        <v>42675</v>
      </c>
      <c r="D43" s="3">
        <v>54.679999999999993</v>
      </c>
      <c r="E43" s="4">
        <v>3983.8116272965872</v>
      </c>
      <c r="F43" s="7">
        <v>12.98</v>
      </c>
      <c r="G43" s="7">
        <v>12.28</v>
      </c>
      <c r="H43" s="5">
        <v>5.3929121725731974</v>
      </c>
      <c r="I43" s="4">
        <v>3768.9681651157234</v>
      </c>
      <c r="J43" s="10">
        <v>42765</v>
      </c>
      <c r="K43" s="7">
        <v>12.28</v>
      </c>
      <c r="L43" s="7">
        <v>4.7200000000000006</v>
      </c>
      <c r="M43" s="7">
        <v>6.120000000000001</v>
      </c>
      <c r="N43" s="6">
        <v>0.3843648208469056</v>
      </c>
      <c r="O43" s="6">
        <v>0.4983713355048861</v>
      </c>
      <c r="P43" s="6">
        <v>0.1172638436482083</v>
      </c>
      <c r="Q43" s="4">
        <v>1531.2370424136723</v>
      </c>
      <c r="R43" s="4">
        <v>1985.4175210956937</v>
      </c>
      <c r="S43" s="4">
        <v>3516.6545635093662</v>
      </c>
      <c r="T43" s="4">
        <v>1448.6587735623955</v>
      </c>
      <c r="U43" s="4">
        <v>1878.3456979241232</v>
      </c>
      <c r="V43" s="4">
        <v>3327.0044714865189</v>
      </c>
      <c r="W43" s="10">
        <v>42901</v>
      </c>
      <c r="X43" s="12">
        <v>31</v>
      </c>
      <c r="Y43" s="5">
        <v>1.19</v>
      </c>
      <c r="Z43" s="4">
        <v>81.099999999999994</v>
      </c>
      <c r="AA43" s="4">
        <v>32.9</v>
      </c>
      <c r="AB43" s="4">
        <v>5.8</v>
      </c>
      <c r="AC43" s="4">
        <v>9.5</v>
      </c>
    </row>
    <row r="44" spans="1:29" x14ac:dyDescent="0.3">
      <c r="A44" s="1" t="s">
        <v>292</v>
      </c>
      <c r="B44" s="1" t="s">
        <v>30</v>
      </c>
      <c r="C44" s="10">
        <v>42675</v>
      </c>
      <c r="D44" s="3">
        <v>60.8</v>
      </c>
      <c r="E44" s="4">
        <v>4439.189422572178</v>
      </c>
      <c r="F44" s="7">
        <v>13.360000000000001</v>
      </c>
      <c r="G44" s="7">
        <v>12.7</v>
      </c>
      <c r="H44" s="5">
        <v>4.9401197604790559</v>
      </c>
      <c r="I44" s="4">
        <v>4219.8881487025938</v>
      </c>
      <c r="J44" s="10">
        <v>42758</v>
      </c>
      <c r="K44" s="7">
        <v>12.7</v>
      </c>
      <c r="L44" s="7">
        <v>5.0200000000000005</v>
      </c>
      <c r="M44" s="7">
        <v>6.58</v>
      </c>
      <c r="N44" s="6">
        <v>0.39527559055118117</v>
      </c>
      <c r="O44" s="6">
        <v>0.51811023622047248</v>
      </c>
      <c r="P44" s="6">
        <v>8.6614173228346414E-2</v>
      </c>
      <c r="Q44" s="4">
        <v>1754.7032205757746</v>
      </c>
      <c r="R44" s="4">
        <v>2299.9894803562938</v>
      </c>
      <c r="S44" s="4">
        <v>4054.6927009320684</v>
      </c>
      <c r="T44" s="4">
        <v>1668.0187800383483</v>
      </c>
      <c r="U44" s="4">
        <v>2186.3672455482733</v>
      </c>
      <c r="V44" s="4">
        <v>3854.3860255866216</v>
      </c>
      <c r="W44" s="10">
        <v>42901</v>
      </c>
      <c r="X44" s="12">
        <v>42</v>
      </c>
      <c r="Y44" s="5">
        <v>1.2</v>
      </c>
      <c r="Z44" s="4">
        <v>83.1</v>
      </c>
      <c r="AA44" s="4">
        <v>32.9</v>
      </c>
      <c r="AB44" s="4">
        <v>5.3</v>
      </c>
      <c r="AC44" s="4">
        <v>8.6999999999999993</v>
      </c>
    </row>
    <row r="45" spans="1:29" x14ac:dyDescent="0.3">
      <c r="A45" s="1" t="s">
        <v>293</v>
      </c>
      <c r="B45" s="1" t="s">
        <v>30</v>
      </c>
      <c r="C45" s="10">
        <v>42675</v>
      </c>
      <c r="D45" s="3">
        <v>78.7</v>
      </c>
      <c r="E45" s="4">
        <v>5771.095065616797</v>
      </c>
      <c r="F45" s="7">
        <v>13.76</v>
      </c>
      <c r="G45" s="7">
        <v>13.079999999999998</v>
      </c>
      <c r="H45" s="5">
        <v>4.9418604651162896</v>
      </c>
      <c r="I45" s="4">
        <v>5485.8956001648039</v>
      </c>
      <c r="J45" s="10">
        <v>42765</v>
      </c>
      <c r="K45" s="7">
        <v>13.079999999999998</v>
      </c>
      <c r="L45" s="7">
        <v>5.3</v>
      </c>
      <c r="M45" s="7">
        <v>6.6400000000000006</v>
      </c>
      <c r="N45" s="6">
        <v>0.40519877675840982</v>
      </c>
      <c r="O45" s="6">
        <v>0.50764525993883802</v>
      </c>
      <c r="P45" s="6">
        <v>8.7155963302752215E-2</v>
      </c>
      <c r="Q45" s="4">
        <v>2338.440661144421</v>
      </c>
      <c r="R45" s="4">
        <v>2929.6690547167846</v>
      </c>
      <c r="S45" s="4">
        <v>5268.1097158612056</v>
      </c>
      <c r="T45" s="4">
        <v>2222.8781866111212</v>
      </c>
      <c r="U45" s="4">
        <v>2784.8888979429898</v>
      </c>
      <c r="V45" s="4">
        <v>5007.7670845541106</v>
      </c>
      <c r="W45" s="10">
        <v>42901</v>
      </c>
      <c r="X45" s="12">
        <v>46</v>
      </c>
      <c r="Y45" s="5">
        <v>1.18</v>
      </c>
      <c r="Z45" s="4">
        <v>83.4</v>
      </c>
      <c r="AA45" s="4">
        <v>33.5</v>
      </c>
      <c r="AB45" s="4">
        <v>5.9</v>
      </c>
      <c r="AC45" s="4">
        <v>8.3000000000000007</v>
      </c>
    </row>
    <row r="46" spans="1:29" x14ac:dyDescent="0.3">
      <c r="A46" s="1" t="s">
        <v>294</v>
      </c>
      <c r="B46" s="1" t="s">
        <v>30</v>
      </c>
      <c r="C46" s="10">
        <v>42675</v>
      </c>
      <c r="D46" s="3">
        <v>70.040000000000006</v>
      </c>
      <c r="E46" s="4">
        <v>5126.7206036745401</v>
      </c>
      <c r="F46" s="7">
        <v>12.900000000000002</v>
      </c>
      <c r="G46" s="7">
        <v>12.219999999999999</v>
      </c>
      <c r="H46" s="5">
        <v>5.2713178294573888</v>
      </c>
      <c r="I46" s="4">
        <v>4856.474866426579</v>
      </c>
      <c r="J46" s="10">
        <v>42765</v>
      </c>
      <c r="K46" s="7">
        <v>12.219999999999999</v>
      </c>
      <c r="L46" s="7">
        <v>4.8800000000000008</v>
      </c>
      <c r="M46" s="7">
        <v>6.2</v>
      </c>
      <c r="N46" s="6">
        <v>0.39934533551554841</v>
      </c>
      <c r="O46" s="6">
        <v>0.50736497545008186</v>
      </c>
      <c r="P46" s="6">
        <v>9.3289689034369738E-2</v>
      </c>
      <c r="Q46" s="4">
        <v>2047.331959568884</v>
      </c>
      <c r="R46" s="4">
        <v>2601.1184732227621</v>
      </c>
      <c r="S46" s="4">
        <v>4648.4504327916457</v>
      </c>
      <c r="T46" s="4">
        <v>1939.4105849559503</v>
      </c>
      <c r="U46" s="4">
        <v>2464.0052513784608</v>
      </c>
      <c r="V46" s="4">
        <v>4403.4158363344113</v>
      </c>
      <c r="W46" s="10">
        <v>42901</v>
      </c>
      <c r="X46" s="12">
        <v>43</v>
      </c>
      <c r="Y46" s="5">
        <v>1.1499999999999999</v>
      </c>
      <c r="Z46" s="4">
        <v>81.5</v>
      </c>
      <c r="AA46" s="4">
        <v>33.1</v>
      </c>
      <c r="AB46" s="4">
        <v>5.6</v>
      </c>
      <c r="AC46" s="4">
        <v>9.9</v>
      </c>
    </row>
    <row r="47" spans="1:29" x14ac:dyDescent="0.3">
      <c r="A47" s="1" t="s">
        <v>295</v>
      </c>
      <c r="B47" s="1" t="s">
        <v>30</v>
      </c>
      <c r="C47" s="10">
        <v>42675</v>
      </c>
      <c r="D47" s="3">
        <v>54.72</v>
      </c>
      <c r="E47" s="4">
        <v>3986.7879527559053</v>
      </c>
      <c r="F47" s="7">
        <v>14.200000000000003</v>
      </c>
      <c r="G47" s="7">
        <v>13.4</v>
      </c>
      <c r="H47" s="5">
        <v>5.6338028169014249</v>
      </c>
      <c r="I47" s="4">
        <v>3762.1801807696565</v>
      </c>
      <c r="J47" s="10">
        <v>42765</v>
      </c>
      <c r="K47" s="7">
        <v>13.4</v>
      </c>
      <c r="L47" s="7">
        <v>5.12</v>
      </c>
      <c r="M47" s="7">
        <v>6.7600000000000007</v>
      </c>
      <c r="N47" s="6">
        <v>0.38208955223880597</v>
      </c>
      <c r="O47" s="6">
        <v>0.5044776119402985</v>
      </c>
      <c r="P47" s="6">
        <v>0.11343283582089558</v>
      </c>
      <c r="Q47" s="4">
        <v>1523.3100237395697</v>
      </c>
      <c r="R47" s="4">
        <v>2011.2452657186507</v>
      </c>
      <c r="S47" s="4">
        <v>3534.5552894582206</v>
      </c>
      <c r="T47" s="4">
        <v>1437.4897407119881</v>
      </c>
      <c r="U47" s="4">
        <v>1897.9356732837969</v>
      </c>
      <c r="V47" s="4">
        <v>3335.4254139957848</v>
      </c>
      <c r="W47" s="10">
        <v>42901</v>
      </c>
      <c r="X47" s="12">
        <v>39</v>
      </c>
      <c r="Y47" s="5">
        <v>1.1399999999999999</v>
      </c>
      <c r="Z47" s="4">
        <v>80.5</v>
      </c>
      <c r="AA47" s="4">
        <v>32</v>
      </c>
      <c r="AB47" s="4">
        <v>5.0999999999999996</v>
      </c>
      <c r="AC47" s="4">
        <v>10.199999999999999</v>
      </c>
    </row>
    <row r="48" spans="1:29" x14ac:dyDescent="0.3">
      <c r="A48" s="1" t="s">
        <v>296</v>
      </c>
      <c r="B48" s="1" t="s">
        <v>30</v>
      </c>
      <c r="C48" s="10">
        <v>42675</v>
      </c>
      <c r="D48" s="3">
        <v>57.84</v>
      </c>
      <c r="E48" s="4">
        <v>4218.9413385826765</v>
      </c>
      <c r="F48" s="7">
        <v>14</v>
      </c>
      <c r="G48" s="7">
        <v>13.260000000000002</v>
      </c>
      <c r="H48" s="5">
        <v>5.2857142857142749</v>
      </c>
      <c r="I48" s="4">
        <v>3995.9401535433071</v>
      </c>
      <c r="J48" s="10">
        <v>42765</v>
      </c>
      <c r="K48" s="7">
        <v>13.260000000000002</v>
      </c>
      <c r="L48" s="7">
        <v>5.32</v>
      </c>
      <c r="M48" s="7">
        <v>6.86</v>
      </c>
      <c r="N48" s="6">
        <v>0.40120663650075411</v>
      </c>
      <c r="O48" s="6">
        <v>0.51734539969834081</v>
      </c>
      <c r="P48" s="6">
        <v>8.1447963800905132E-2</v>
      </c>
      <c r="Q48" s="4">
        <v>1692.6672640467448</v>
      </c>
      <c r="R48" s="4">
        <v>2182.6498931129076</v>
      </c>
      <c r="S48" s="4">
        <v>3875.3171571596522</v>
      </c>
      <c r="T48" s="4">
        <v>1603.1977086614172</v>
      </c>
      <c r="U48" s="4">
        <v>2067.2812559055114</v>
      </c>
      <c r="V48" s="4">
        <v>3670.4789645669289</v>
      </c>
      <c r="W48" s="10">
        <v>42901</v>
      </c>
      <c r="X48" s="12">
        <v>48</v>
      </c>
      <c r="Y48" s="5">
        <v>1.1299999999999999</v>
      </c>
      <c r="Z48" s="4">
        <v>82.2</v>
      </c>
      <c r="AA48" s="4">
        <v>31.3</v>
      </c>
      <c r="AB48" s="4">
        <v>4.9000000000000004</v>
      </c>
      <c r="AC48" s="4">
        <v>9.1999999999999993</v>
      </c>
    </row>
    <row r="49" spans="1:29" x14ac:dyDescent="0.3">
      <c r="A49" s="1" t="s">
        <v>297</v>
      </c>
      <c r="B49" s="1" t="s">
        <v>30</v>
      </c>
      <c r="C49" s="10">
        <v>42675</v>
      </c>
      <c r="D49" s="3">
        <v>67.199999999999989</v>
      </c>
      <c r="E49" s="4">
        <v>4915.401496062992</v>
      </c>
      <c r="F49" s="7">
        <v>13.06</v>
      </c>
      <c r="G49" s="7">
        <v>12.399999999999999</v>
      </c>
      <c r="H49" s="5">
        <v>5.0535987748851605</v>
      </c>
      <c r="I49" s="4">
        <v>4666.9968262772654</v>
      </c>
      <c r="J49" s="10">
        <v>42760</v>
      </c>
      <c r="K49" s="7">
        <v>12.399999999999999</v>
      </c>
      <c r="L49" s="7">
        <v>4.96</v>
      </c>
      <c r="M49" s="7">
        <v>6.12</v>
      </c>
      <c r="N49" s="6">
        <v>0.4</v>
      </c>
      <c r="O49" s="6">
        <v>0.49354838709677423</v>
      </c>
      <c r="P49" s="6">
        <v>0.10645161290322575</v>
      </c>
      <c r="Q49" s="4">
        <v>1966.1605984251969</v>
      </c>
      <c r="R49" s="4">
        <v>2425.9884803149607</v>
      </c>
      <c r="S49" s="4">
        <v>4392.1490787401581</v>
      </c>
      <c r="T49" s="4">
        <v>1866.7987305109064</v>
      </c>
      <c r="U49" s="4">
        <v>2303.3887561949086</v>
      </c>
      <c r="V49" s="4">
        <v>4170.187486705815</v>
      </c>
      <c r="W49" s="10">
        <v>42901</v>
      </c>
      <c r="X49" s="12">
        <v>44</v>
      </c>
      <c r="Y49" s="5">
        <v>1.18</v>
      </c>
      <c r="Z49" s="4">
        <v>82.5</v>
      </c>
      <c r="AA49" s="4">
        <v>34.5</v>
      </c>
      <c r="AB49" s="4">
        <v>5.3</v>
      </c>
      <c r="AC49" s="4">
        <v>8.6999999999999993</v>
      </c>
    </row>
    <row r="50" spans="1:29" x14ac:dyDescent="0.3">
      <c r="A50" s="1" t="s">
        <v>298</v>
      </c>
      <c r="B50" s="1" t="s">
        <v>30</v>
      </c>
      <c r="C50" s="10">
        <v>42675</v>
      </c>
      <c r="D50" s="3">
        <v>78.819999999999993</v>
      </c>
      <c r="E50" s="4">
        <v>5780.0240419947504</v>
      </c>
      <c r="F50" s="7">
        <v>13.72</v>
      </c>
      <c r="G50" s="7">
        <v>13.04</v>
      </c>
      <c r="H50" s="5">
        <v>4.9562682215743541</v>
      </c>
      <c r="I50" s="4">
        <v>5493.5505472020068</v>
      </c>
      <c r="J50" s="10">
        <v>42765</v>
      </c>
      <c r="K50" s="7">
        <v>13.04</v>
      </c>
      <c r="L50" s="7">
        <v>5.12</v>
      </c>
      <c r="M50" s="7">
        <v>6.6199999999999992</v>
      </c>
      <c r="N50" s="6">
        <v>0.39263803680981596</v>
      </c>
      <c r="O50" s="6">
        <v>0.50766871165644167</v>
      </c>
      <c r="P50" s="6">
        <v>9.9693251533742422E-2</v>
      </c>
      <c r="Q50" s="4">
        <v>2269.4572925623561</v>
      </c>
      <c r="R50" s="4">
        <v>2934.3373587427336</v>
      </c>
      <c r="S50" s="4">
        <v>5203.7946513050902</v>
      </c>
      <c r="T50" s="4">
        <v>2156.9769019688861</v>
      </c>
      <c r="U50" s="4">
        <v>2788.9037287175829</v>
      </c>
      <c r="V50" s="4">
        <v>4945.880630686469</v>
      </c>
      <c r="W50" s="10">
        <v>42901</v>
      </c>
      <c r="X50" s="12">
        <v>45</v>
      </c>
      <c r="Y50" s="5">
        <v>1.1200000000000001</v>
      </c>
      <c r="Z50" s="4">
        <v>79.900000000000006</v>
      </c>
      <c r="AA50" s="4">
        <v>32.200000000000003</v>
      </c>
      <c r="AB50" s="4">
        <v>5.2</v>
      </c>
      <c r="AC50" s="4">
        <v>10.1</v>
      </c>
    </row>
    <row r="51" spans="1:29" x14ac:dyDescent="0.3">
      <c r="A51" s="1" t="s">
        <v>300</v>
      </c>
      <c r="B51" s="1" t="s">
        <v>30</v>
      </c>
      <c r="C51" s="10">
        <v>42675</v>
      </c>
      <c r="D51" s="3">
        <v>65.84</v>
      </c>
      <c r="E51" s="4">
        <v>4814.2064304461937</v>
      </c>
      <c r="F51" s="7">
        <v>12.64</v>
      </c>
      <c r="G51" s="7">
        <v>11.98</v>
      </c>
      <c r="H51" s="5">
        <v>5.2215189873417733</v>
      </c>
      <c r="I51" s="4">
        <v>4562.8317275906165</v>
      </c>
      <c r="J51" s="10">
        <v>42760</v>
      </c>
      <c r="K51" s="7">
        <v>7.92</v>
      </c>
      <c r="L51" s="7">
        <v>3.16</v>
      </c>
      <c r="M51" s="7">
        <v>4.08</v>
      </c>
      <c r="N51" s="6">
        <v>0.39898989898989901</v>
      </c>
      <c r="O51" s="6">
        <v>0.51515151515151514</v>
      </c>
      <c r="P51" s="6">
        <v>8.5858585858585856E-2</v>
      </c>
      <c r="Q51" s="4">
        <v>1920.8197374002491</v>
      </c>
      <c r="R51" s="4">
        <v>2480.045736896524</v>
      </c>
      <c r="S51" s="4">
        <v>4400.8654742967728</v>
      </c>
      <c r="T51" s="4">
        <v>1820.5237700992864</v>
      </c>
      <c r="U51" s="4">
        <v>2350.5496778497113</v>
      </c>
      <c r="V51" s="4">
        <v>4171.0734479489975</v>
      </c>
      <c r="W51" s="10">
        <v>42901</v>
      </c>
      <c r="X51" s="12">
        <v>47</v>
      </c>
      <c r="Y51" s="5">
        <v>1.1200000000000001</v>
      </c>
      <c r="Z51" s="4">
        <v>82.2</v>
      </c>
      <c r="AA51" s="4">
        <v>31.3</v>
      </c>
      <c r="AB51" s="4">
        <v>5.2</v>
      </c>
      <c r="AC51" s="4">
        <v>9.4</v>
      </c>
    </row>
    <row r="52" spans="1:29" x14ac:dyDescent="0.3">
      <c r="A52" s="1" t="s">
        <v>301</v>
      </c>
      <c r="B52" s="1" t="s">
        <v>30</v>
      </c>
      <c r="C52" s="10">
        <v>42675</v>
      </c>
      <c r="D52" s="3">
        <v>72.819999999999993</v>
      </c>
      <c r="E52" s="4">
        <v>5333.575223097112</v>
      </c>
      <c r="F52" s="7">
        <v>12.940000000000001</v>
      </c>
      <c r="G52" s="7">
        <v>12.26</v>
      </c>
      <c r="H52" s="5">
        <v>5.2550231839258217</v>
      </c>
      <c r="I52" s="4">
        <v>5053.2946085912354</v>
      </c>
      <c r="J52" s="10">
        <v>42765</v>
      </c>
      <c r="K52" s="7">
        <v>12.26</v>
      </c>
      <c r="L52" s="7">
        <v>4.84</v>
      </c>
      <c r="M52" s="7">
        <v>6.3400000000000007</v>
      </c>
      <c r="N52" s="6">
        <v>0.39477977161500816</v>
      </c>
      <c r="O52" s="6">
        <v>0.51712887438825461</v>
      </c>
      <c r="P52" s="6">
        <v>8.8091353996737287E-2</v>
      </c>
      <c r="Q52" s="4">
        <v>2105.5876084657439</v>
      </c>
      <c r="R52" s="4">
        <v>2758.1457515852935</v>
      </c>
      <c r="S52" s="4">
        <v>4863.7333600510374</v>
      </c>
      <c r="T52" s="4">
        <v>1994.938491483</v>
      </c>
      <c r="U52" s="4">
        <v>2613.2045528930212</v>
      </c>
      <c r="V52" s="4">
        <v>4608.143044376021</v>
      </c>
      <c r="W52" s="10">
        <v>42901</v>
      </c>
      <c r="X52" s="12">
        <v>42</v>
      </c>
      <c r="Y52" s="5">
        <v>1.18</v>
      </c>
      <c r="Z52" s="4">
        <v>81.8</v>
      </c>
      <c r="AA52" s="4">
        <v>33.700000000000003</v>
      </c>
      <c r="AB52" s="4">
        <v>5.7</v>
      </c>
      <c r="AC52" s="4">
        <v>8.9</v>
      </c>
    </row>
    <row r="53" spans="1:29" x14ac:dyDescent="0.3">
      <c r="A53" s="1" t="s">
        <v>302</v>
      </c>
      <c r="B53" s="1" t="s">
        <v>30</v>
      </c>
      <c r="C53" s="10">
        <v>42675</v>
      </c>
      <c r="D53" s="3">
        <v>70.39</v>
      </c>
      <c r="E53" s="4">
        <v>5152.7634514435695</v>
      </c>
      <c r="F53" s="7">
        <v>12.8</v>
      </c>
      <c r="G53" s="7">
        <v>12.08</v>
      </c>
      <c r="H53" s="5">
        <v>5.6250000000000053</v>
      </c>
      <c r="I53" s="4">
        <v>4862.9205072998684</v>
      </c>
      <c r="J53" s="10">
        <v>42765</v>
      </c>
      <c r="K53" s="7">
        <v>12.08</v>
      </c>
      <c r="L53" s="7">
        <v>4.8000000000000007</v>
      </c>
      <c r="M53" s="7">
        <v>6.02</v>
      </c>
      <c r="N53" s="6">
        <v>0.39735099337748347</v>
      </c>
      <c r="O53" s="6">
        <v>0.49834437086092709</v>
      </c>
      <c r="P53" s="6">
        <v>0.10430463576158944</v>
      </c>
      <c r="Q53" s="4">
        <v>2047.4556760702926</v>
      </c>
      <c r="R53" s="4">
        <v>2567.8506604048248</v>
      </c>
      <c r="S53" s="4">
        <v>4615.3063364751179</v>
      </c>
      <c r="T53" s="4">
        <v>1932.2862942913387</v>
      </c>
      <c r="U53" s="4">
        <v>2423.4090607570533</v>
      </c>
      <c r="V53" s="4">
        <v>4355.6953550483922</v>
      </c>
      <c r="W53" s="10">
        <v>42901</v>
      </c>
      <c r="X53" s="12">
        <v>41</v>
      </c>
      <c r="Y53" s="5">
        <v>1.19</v>
      </c>
      <c r="Z53" s="4">
        <v>82</v>
      </c>
      <c r="AA53" s="4">
        <v>32.299999999999997</v>
      </c>
      <c r="AB53" s="4">
        <v>5.6</v>
      </c>
      <c r="AC53" s="4">
        <v>8.8000000000000007</v>
      </c>
    </row>
    <row r="54" spans="1:29" x14ac:dyDescent="0.3">
      <c r="A54" s="1" t="s">
        <v>303</v>
      </c>
      <c r="B54" s="1" t="s">
        <v>30</v>
      </c>
      <c r="C54" s="10">
        <v>42675</v>
      </c>
      <c r="D54" s="3">
        <v>75.84</v>
      </c>
      <c r="E54" s="4">
        <v>5558.2877952755916</v>
      </c>
      <c r="F54" s="7">
        <v>13.26</v>
      </c>
      <c r="G54" s="7">
        <v>12.579999999999998</v>
      </c>
      <c r="H54" s="5">
        <v>5.1282051282051402</v>
      </c>
      <c r="I54" s="4">
        <v>5273.2473955178684</v>
      </c>
      <c r="J54" s="10">
        <v>42760</v>
      </c>
      <c r="K54" s="7">
        <v>12.579999999999998</v>
      </c>
      <c r="L54" s="7">
        <v>5.18</v>
      </c>
      <c r="M54" s="7">
        <v>6.3400000000000007</v>
      </c>
      <c r="N54" s="6">
        <v>0.41176470588235298</v>
      </c>
      <c r="O54" s="6">
        <v>0.50397456279809238</v>
      </c>
      <c r="P54" s="6">
        <v>8.4260731319554583E-2</v>
      </c>
      <c r="Q54" s="4">
        <v>2288.706739231126</v>
      </c>
      <c r="R54" s="4">
        <v>2801.2356615299891</v>
      </c>
      <c r="S54" s="4">
        <v>5089.9424007611151</v>
      </c>
      <c r="T54" s="4">
        <v>2171.337162860299</v>
      </c>
      <c r="U54" s="4">
        <v>2657.5825506822971</v>
      </c>
      <c r="V54" s="4">
        <v>4828.9197135425966</v>
      </c>
      <c r="W54" s="10">
        <v>42901</v>
      </c>
      <c r="X54" s="12">
        <v>47</v>
      </c>
      <c r="Y54" s="5">
        <v>1.1100000000000001</v>
      </c>
      <c r="Z54" s="4">
        <v>81.900000000000006</v>
      </c>
      <c r="AA54" s="4">
        <v>31.5</v>
      </c>
      <c r="AB54" s="4">
        <v>5.6</v>
      </c>
      <c r="AC54" s="4">
        <v>9.1999999999999993</v>
      </c>
    </row>
    <row r="55" spans="1:29" x14ac:dyDescent="0.3">
      <c r="A55" s="1" t="s">
        <v>304</v>
      </c>
      <c r="B55" s="1" t="s">
        <v>30</v>
      </c>
      <c r="C55" s="10">
        <v>42675</v>
      </c>
      <c r="D55" s="3">
        <v>76.42</v>
      </c>
      <c r="E55" s="4">
        <v>5601.4445144356951</v>
      </c>
      <c r="F55" s="7">
        <v>14.260000000000002</v>
      </c>
      <c r="G55" s="7">
        <v>13.52</v>
      </c>
      <c r="H55" s="5">
        <v>5.1893408134642485</v>
      </c>
      <c r="I55" s="4">
        <v>5310.7664681045289</v>
      </c>
      <c r="J55" s="10">
        <v>42758</v>
      </c>
      <c r="K55" s="7">
        <v>13.52</v>
      </c>
      <c r="L55" s="7">
        <v>5.28</v>
      </c>
      <c r="M55" s="7">
        <v>6.9</v>
      </c>
      <c r="N55" s="6">
        <v>0.39053254437869828</v>
      </c>
      <c r="O55" s="6">
        <v>0.51035502958579881</v>
      </c>
      <c r="P55" s="6">
        <v>9.9112426035502965E-2</v>
      </c>
      <c r="Q55" s="4">
        <v>2187.5463784186741</v>
      </c>
      <c r="R55" s="4">
        <v>2858.7253808880396</v>
      </c>
      <c r="S55" s="4">
        <v>5046.2717593067136</v>
      </c>
      <c r="T55" s="4">
        <v>2074.0271413899345</v>
      </c>
      <c r="U55" s="4">
        <v>2710.3763779527553</v>
      </c>
      <c r="V55" s="4">
        <v>4784.4035193426898</v>
      </c>
      <c r="W55" s="10">
        <v>42901</v>
      </c>
      <c r="X55" s="12">
        <v>39</v>
      </c>
      <c r="Y55" s="5">
        <v>1.1599999999999999</v>
      </c>
      <c r="Z55" s="4">
        <v>81.599999999999994</v>
      </c>
      <c r="AA55" s="4">
        <v>33.200000000000003</v>
      </c>
      <c r="AB55" s="4">
        <v>5.3</v>
      </c>
      <c r="AC55" s="4">
        <v>9.3000000000000007</v>
      </c>
    </row>
    <row r="56" spans="1:29" x14ac:dyDescent="0.3">
      <c r="A56" s="1" t="s">
        <v>305</v>
      </c>
      <c r="B56" s="1" t="s">
        <v>30</v>
      </c>
      <c r="C56" s="10">
        <v>42675</v>
      </c>
      <c r="D56" s="3">
        <v>67.34</v>
      </c>
      <c r="E56" s="4">
        <v>4925.8186351706036</v>
      </c>
      <c r="F56" s="7">
        <v>13.42</v>
      </c>
      <c r="G56" s="7">
        <v>12.8</v>
      </c>
      <c r="H56" s="5">
        <v>4.6199701937406799</v>
      </c>
      <c r="I56" s="4">
        <v>4698.2472824279976</v>
      </c>
      <c r="J56" s="10">
        <v>42765</v>
      </c>
      <c r="K56" s="7">
        <v>12.8</v>
      </c>
      <c r="L56" s="7">
        <v>5.0200000000000005</v>
      </c>
      <c r="M56" s="7">
        <v>6.3800000000000008</v>
      </c>
      <c r="N56" s="6">
        <v>0.39218750000000002</v>
      </c>
      <c r="O56" s="6">
        <v>0.49843750000000003</v>
      </c>
      <c r="P56" s="6">
        <v>0.10937499999999994</v>
      </c>
      <c r="Q56" s="4">
        <v>1931.8444959809713</v>
      </c>
      <c r="R56" s="4">
        <v>2455.2127259678477</v>
      </c>
      <c r="S56" s="4">
        <v>4387.0572219488186</v>
      </c>
      <c r="T56" s="4">
        <v>1842.5938560772304</v>
      </c>
      <c r="U56" s="4">
        <v>2341.7826298352052</v>
      </c>
      <c r="V56" s="4">
        <v>4184.3764859124358</v>
      </c>
      <c r="W56" s="10">
        <v>42901</v>
      </c>
      <c r="X56" s="12">
        <v>44</v>
      </c>
      <c r="Y56" s="5">
        <v>1.1399999999999999</v>
      </c>
      <c r="Z56" s="4">
        <v>82.1</v>
      </c>
      <c r="AA56" s="4">
        <v>31.8</v>
      </c>
      <c r="AB56" s="4">
        <v>5.5</v>
      </c>
      <c r="AC56" s="4">
        <v>9</v>
      </c>
    </row>
    <row r="57" spans="1:29" x14ac:dyDescent="0.3">
      <c r="A57" s="1" t="s">
        <v>306</v>
      </c>
      <c r="B57" s="1" t="s">
        <v>30</v>
      </c>
      <c r="C57" s="10">
        <v>42675</v>
      </c>
      <c r="D57" s="3">
        <v>69.599999999999994</v>
      </c>
      <c r="E57" s="4">
        <v>5093.9810236220465</v>
      </c>
      <c r="F57" s="7">
        <v>14.08</v>
      </c>
      <c r="G57" s="7">
        <v>13.34</v>
      </c>
      <c r="H57" s="5">
        <v>5.2556818181818201</v>
      </c>
      <c r="I57" s="4">
        <v>4826.2575891419101</v>
      </c>
      <c r="J57" s="10">
        <v>42760</v>
      </c>
      <c r="K57" s="7">
        <v>13.34</v>
      </c>
      <c r="L57" s="7">
        <v>5.2200000000000006</v>
      </c>
      <c r="M57" s="7">
        <v>6.4600000000000009</v>
      </c>
      <c r="N57" s="6">
        <v>0.39130434782608703</v>
      </c>
      <c r="O57" s="6">
        <v>0.48425787106446783</v>
      </c>
      <c r="P57" s="6">
        <v>0.12443778110944514</v>
      </c>
      <c r="Q57" s="4">
        <v>1993.296922286888</v>
      </c>
      <c r="R57" s="4">
        <v>2466.8004057420108</v>
      </c>
      <c r="S57" s="4">
        <v>4460.097328028899</v>
      </c>
      <c r="T57" s="4">
        <v>1888.5355783598782</v>
      </c>
      <c r="U57" s="4">
        <v>2337.1532253265923</v>
      </c>
      <c r="V57" s="4">
        <v>4225.6888036864702</v>
      </c>
      <c r="W57" s="10">
        <v>42901</v>
      </c>
      <c r="X57" s="12">
        <v>40</v>
      </c>
      <c r="Y57" s="5">
        <v>1.19</v>
      </c>
      <c r="Z57" s="4">
        <v>82.6</v>
      </c>
      <c r="AA57" s="4">
        <v>31.7</v>
      </c>
      <c r="AB57" s="4">
        <v>5.8</v>
      </c>
      <c r="AC57" s="4">
        <v>8.4</v>
      </c>
    </row>
    <row r="58" spans="1:29" x14ac:dyDescent="0.3">
      <c r="A58" s="1" t="s">
        <v>307</v>
      </c>
      <c r="B58" s="1" t="s">
        <v>30</v>
      </c>
      <c r="C58" s="10">
        <v>42675</v>
      </c>
      <c r="D58" s="3">
        <v>72.760000000000005</v>
      </c>
      <c r="E58" s="4">
        <v>5329.1107349081367</v>
      </c>
      <c r="F58" s="7">
        <v>14.360000000000003</v>
      </c>
      <c r="G58" s="7">
        <v>13.66</v>
      </c>
      <c r="H58" s="5">
        <v>4.874651810584977</v>
      </c>
      <c r="I58" s="4">
        <v>5069.3351419808587</v>
      </c>
      <c r="J58" s="10">
        <v>42758</v>
      </c>
      <c r="K58" s="7">
        <v>13.66</v>
      </c>
      <c r="L58" s="7">
        <v>5.48</v>
      </c>
      <c r="M58" s="7">
        <v>6.84</v>
      </c>
      <c r="N58" s="6">
        <v>0.40117130307467058</v>
      </c>
      <c r="O58" s="6">
        <v>0.50073206442166907</v>
      </c>
      <c r="P58" s="6">
        <v>9.8096632503660297E-2</v>
      </c>
      <c r="Q58" s="4">
        <v>2137.8862977523127</v>
      </c>
      <c r="R58" s="4">
        <v>2668.4566198222292</v>
      </c>
      <c r="S58" s="4">
        <v>4806.3429175745423</v>
      </c>
      <c r="T58" s="4">
        <v>2033.6717846306813</v>
      </c>
      <c r="U58" s="4">
        <v>2538.3786508893904</v>
      </c>
      <c r="V58" s="4">
        <v>4572.0504355200719</v>
      </c>
      <c r="W58" s="10">
        <v>42901</v>
      </c>
      <c r="X58" s="12">
        <v>43</v>
      </c>
      <c r="Y58" s="5">
        <v>1.1399999999999999</v>
      </c>
      <c r="Z58" s="4">
        <v>82</v>
      </c>
      <c r="AA58" s="4">
        <v>31.3</v>
      </c>
      <c r="AB58" s="4">
        <v>5.5</v>
      </c>
      <c r="AC58" s="4">
        <v>8.8000000000000007</v>
      </c>
    </row>
    <row r="59" spans="1:29" x14ac:dyDescent="0.3">
      <c r="A59" s="1" t="s">
        <v>308</v>
      </c>
      <c r="B59" s="1" t="s">
        <v>30</v>
      </c>
      <c r="C59" s="10">
        <v>42675</v>
      </c>
      <c r="D59" s="3">
        <v>71.22</v>
      </c>
      <c r="E59" s="4">
        <v>5214.5222047244088</v>
      </c>
      <c r="F59" s="7">
        <v>13.7</v>
      </c>
      <c r="G59" s="7">
        <v>12.999999999999998</v>
      </c>
      <c r="H59" s="5">
        <v>5.1094890510948989</v>
      </c>
      <c r="I59" s="4">
        <v>4948.0867636071025</v>
      </c>
      <c r="J59" s="10">
        <v>42741</v>
      </c>
      <c r="K59" s="7">
        <v>12.999999999999998</v>
      </c>
      <c r="L59" s="7">
        <v>4.9800000000000004</v>
      </c>
      <c r="M59" s="7">
        <v>6.78</v>
      </c>
      <c r="N59" s="6">
        <v>0.38307692307692315</v>
      </c>
      <c r="O59" s="6">
        <v>0.52153846153846162</v>
      </c>
      <c r="P59" s="6">
        <v>9.538461538461529E-2</v>
      </c>
      <c r="Q59" s="4">
        <v>1997.5631215021201</v>
      </c>
      <c r="R59" s="4">
        <v>2719.5738883101153</v>
      </c>
      <c r="S59" s="4">
        <v>4717.1370098122352</v>
      </c>
      <c r="T59" s="4">
        <v>1895.4978525202596</v>
      </c>
      <c r="U59" s="4">
        <v>2580.6175582504738</v>
      </c>
      <c r="V59" s="4">
        <v>4476.1154107707334</v>
      </c>
      <c r="W59" s="10">
        <v>42901</v>
      </c>
      <c r="X59" s="12">
        <v>37</v>
      </c>
      <c r="Y59" s="5">
        <v>1.1499999999999999</v>
      </c>
      <c r="Z59" s="4">
        <v>81.5</v>
      </c>
      <c r="AA59" s="4">
        <v>30.6</v>
      </c>
      <c r="AB59" s="4">
        <v>5.5</v>
      </c>
      <c r="AC59" s="4">
        <v>9.6</v>
      </c>
    </row>
    <row r="60" spans="1:29" x14ac:dyDescent="0.3">
      <c r="A60" s="1" t="s">
        <v>309</v>
      </c>
      <c r="B60" s="1" t="s">
        <v>30</v>
      </c>
      <c r="C60" s="10">
        <v>42675</v>
      </c>
      <c r="D60" s="3">
        <v>67.539999999999992</v>
      </c>
      <c r="E60" s="4">
        <v>4940.7002624671904</v>
      </c>
      <c r="F60" s="7">
        <v>13.66</v>
      </c>
      <c r="G60" s="7">
        <v>12.920000000000002</v>
      </c>
      <c r="H60" s="5">
        <v>5.4172767203513796</v>
      </c>
      <c r="I60" s="4">
        <v>4673.0488573262155</v>
      </c>
      <c r="J60" s="10">
        <v>42758</v>
      </c>
      <c r="K60" s="7">
        <v>12.920000000000002</v>
      </c>
      <c r="L60" s="7">
        <v>5.24</v>
      </c>
      <c r="M60" s="7">
        <v>6.6400000000000006</v>
      </c>
      <c r="N60" s="6">
        <v>0.40557275541795662</v>
      </c>
      <c r="O60" s="6">
        <v>0.51393188854489158</v>
      </c>
      <c r="P60" s="6">
        <v>8.0495356037151744E-2</v>
      </c>
      <c r="Q60" s="4">
        <v>2003.8134191430399</v>
      </c>
      <c r="R60" s="4">
        <v>2539.1834166240046</v>
      </c>
      <c r="S60" s="4">
        <v>4542.9968357670441</v>
      </c>
      <c r="T60" s="4">
        <v>1895.2613012685269</v>
      </c>
      <c r="U60" s="4">
        <v>2401.6288245082096</v>
      </c>
      <c r="V60" s="4">
        <v>4296.8901257767366</v>
      </c>
      <c r="W60" s="10">
        <v>42901</v>
      </c>
      <c r="X60" s="12">
        <v>42</v>
      </c>
      <c r="Y60" s="5">
        <v>1.18</v>
      </c>
      <c r="Z60" s="4">
        <v>82.5</v>
      </c>
      <c r="AA60" s="4">
        <v>31.8</v>
      </c>
      <c r="AB60" s="4">
        <v>5.6</v>
      </c>
      <c r="AC60" s="4">
        <v>8.8000000000000007</v>
      </c>
    </row>
    <row r="61" spans="1:29" x14ac:dyDescent="0.3">
      <c r="A61" s="1" t="s">
        <v>310</v>
      </c>
      <c r="B61" s="1" t="s">
        <v>30</v>
      </c>
      <c r="C61" s="10">
        <v>42675</v>
      </c>
      <c r="D61" s="3">
        <v>76.739999999999995</v>
      </c>
      <c r="E61" s="4">
        <v>5625.2551181102363</v>
      </c>
      <c r="F61" s="7">
        <v>13.680000000000001</v>
      </c>
      <c r="G61" s="7">
        <v>12.979999999999999</v>
      </c>
      <c r="H61" s="5">
        <v>5.1169590643275056</v>
      </c>
      <c r="I61" s="4">
        <v>5337.413116452547</v>
      </c>
      <c r="J61" s="10">
        <v>42758</v>
      </c>
      <c r="K61" s="7">
        <v>12.979999999999999</v>
      </c>
      <c r="L61" s="7">
        <v>5.1000000000000005</v>
      </c>
      <c r="M61" s="7">
        <v>6.48</v>
      </c>
      <c r="N61" s="6">
        <v>0.39291217257318961</v>
      </c>
      <c r="O61" s="6">
        <v>0.49922958397534678</v>
      </c>
      <c r="P61" s="6">
        <v>0.10785824345146355</v>
      </c>
      <c r="Q61" s="4">
        <v>2210.2312097351473</v>
      </c>
      <c r="R61" s="4">
        <v>2808.2937723693635</v>
      </c>
      <c r="S61" s="4">
        <v>5018.5249821045109</v>
      </c>
      <c r="T61" s="4">
        <v>2097.1345835060088</v>
      </c>
      <c r="U61" s="4">
        <v>2664.5945296311643</v>
      </c>
      <c r="V61" s="4">
        <v>4761.729113137173</v>
      </c>
      <c r="W61" s="10">
        <v>42901</v>
      </c>
      <c r="X61" s="12">
        <v>44</v>
      </c>
      <c r="Y61" s="5">
        <v>1.19</v>
      </c>
      <c r="Z61" s="4">
        <v>83</v>
      </c>
      <c r="AA61" s="4">
        <v>31.7</v>
      </c>
      <c r="AB61" s="4">
        <v>5.7</v>
      </c>
      <c r="AC61" s="4">
        <v>8.5</v>
      </c>
    </row>
    <row r="62" spans="1:29" x14ac:dyDescent="0.3">
      <c r="A62" s="1" t="s">
        <v>311</v>
      </c>
      <c r="B62" s="1" t="s">
        <v>30</v>
      </c>
      <c r="C62" s="10">
        <v>42675</v>
      </c>
      <c r="D62" s="3">
        <v>72.5</v>
      </c>
      <c r="E62" s="4">
        <v>5309.7646194225727</v>
      </c>
      <c r="F62" s="7">
        <v>13.380000000000003</v>
      </c>
      <c r="G62" s="7">
        <v>12.719999999999999</v>
      </c>
      <c r="H62" s="5">
        <v>4.9327354260089953</v>
      </c>
      <c r="I62" s="4">
        <v>5047.847979002624</v>
      </c>
      <c r="J62" s="10">
        <v>42758</v>
      </c>
      <c r="K62" s="7">
        <v>12.719999999999999</v>
      </c>
      <c r="L62" s="7">
        <v>5.16</v>
      </c>
      <c r="M62" s="7">
        <v>6.44</v>
      </c>
      <c r="N62" s="6">
        <v>0.40566037735849059</v>
      </c>
      <c r="O62" s="6">
        <v>0.50628930817610074</v>
      </c>
      <c r="P62" s="6">
        <v>8.8050314465408674E-2</v>
      </c>
      <c r="Q62" s="4">
        <v>2153.9611191997228</v>
      </c>
      <c r="R62" s="4">
        <v>2688.277055745391</v>
      </c>
      <c r="S62" s="4">
        <v>4842.2381749451142</v>
      </c>
      <c r="T62" s="4">
        <v>2047.7119160104985</v>
      </c>
      <c r="U62" s="4">
        <v>2555.6714610673666</v>
      </c>
      <c r="V62" s="4">
        <v>4603.3833770778656</v>
      </c>
      <c r="W62" s="10">
        <v>42901</v>
      </c>
      <c r="X62" s="12">
        <v>47</v>
      </c>
      <c r="Y62" s="5">
        <v>1.1499999999999999</v>
      </c>
      <c r="Z62" s="4">
        <v>81.7</v>
      </c>
      <c r="AA62" s="4">
        <v>31.9</v>
      </c>
      <c r="AB62" s="4">
        <v>5</v>
      </c>
      <c r="AC62" s="4">
        <v>9.5</v>
      </c>
    </row>
    <row r="63" spans="1:29" x14ac:dyDescent="0.3">
      <c r="A63" s="1" t="s">
        <v>299</v>
      </c>
      <c r="B63" s="1" t="s">
        <v>30</v>
      </c>
      <c r="C63" s="10">
        <v>42675</v>
      </c>
      <c r="D63" s="3">
        <v>53.24</v>
      </c>
      <c r="E63" s="4">
        <v>3876.663910761155</v>
      </c>
      <c r="F63" s="7">
        <v>13.88</v>
      </c>
      <c r="G63" s="7">
        <v>13.02</v>
      </c>
      <c r="H63" s="5">
        <v>6.195965417867443</v>
      </c>
      <c r="I63" s="4">
        <v>3636.4671554834463</v>
      </c>
      <c r="J63" s="10">
        <v>42757</v>
      </c>
      <c r="K63" s="7">
        <v>13.02</v>
      </c>
      <c r="L63" s="7">
        <v>4.96</v>
      </c>
      <c r="M63" s="7">
        <v>6.5400000000000009</v>
      </c>
      <c r="N63" s="6">
        <v>0.38095238095238099</v>
      </c>
      <c r="O63" s="6">
        <v>0.50230414746543783</v>
      </c>
      <c r="P63" s="6">
        <v>0.11674347158218124</v>
      </c>
      <c r="Q63" s="4">
        <v>1476.8243469566305</v>
      </c>
      <c r="R63" s="4">
        <v>1947.2643607049122</v>
      </c>
      <c r="S63" s="4">
        <v>3424.0887076615427</v>
      </c>
      <c r="T63" s="4">
        <v>1385.3208211365511</v>
      </c>
      <c r="U63" s="4">
        <v>1826.6125343211781</v>
      </c>
      <c r="V63" s="4">
        <v>3211.9333554577292</v>
      </c>
      <c r="W63" s="10">
        <v>42901</v>
      </c>
      <c r="X63" s="12">
        <v>36</v>
      </c>
      <c r="Y63" s="5">
        <v>1.1499999999999999</v>
      </c>
      <c r="Z63" s="4">
        <v>82.7</v>
      </c>
      <c r="AA63" s="4">
        <v>31.5</v>
      </c>
      <c r="AB63" s="4">
        <v>5.6</v>
      </c>
      <c r="AC63" s="4">
        <v>9</v>
      </c>
    </row>
    <row r="64" spans="1:29" x14ac:dyDescent="0.3">
      <c r="A64" s="1" t="s">
        <v>312</v>
      </c>
      <c r="B64" s="1" t="s">
        <v>30</v>
      </c>
      <c r="C64" s="10">
        <v>42675</v>
      </c>
      <c r="D64" s="3">
        <v>62.64</v>
      </c>
      <c r="E64" s="4">
        <v>4576.1003937007872</v>
      </c>
      <c r="F64" s="7">
        <v>13.479999999999999</v>
      </c>
      <c r="G64" s="7">
        <v>12.84</v>
      </c>
      <c r="H64" s="5">
        <v>4.7477744807121578</v>
      </c>
      <c r="I64" s="4">
        <v>4358.8374669968925</v>
      </c>
      <c r="J64" s="10">
        <v>42758</v>
      </c>
      <c r="K64" s="7">
        <v>12.84</v>
      </c>
      <c r="L64" s="7">
        <v>5.08</v>
      </c>
      <c r="M64" s="7">
        <v>6.620000000000001</v>
      </c>
      <c r="N64" s="6">
        <v>0.39563862928348908</v>
      </c>
      <c r="O64" s="6">
        <v>0.51557632398753905</v>
      </c>
      <c r="P64" s="6">
        <v>8.8785046728971917E-2</v>
      </c>
      <c r="Q64" s="4">
        <v>1810.4820872274142</v>
      </c>
      <c r="R64" s="4">
        <v>2359.329019182182</v>
      </c>
      <c r="S64" s="4">
        <v>4169.8111064095965</v>
      </c>
      <c r="T64" s="4">
        <v>1724.5244807121662</v>
      </c>
      <c r="U64" s="4">
        <v>2247.313398093414</v>
      </c>
      <c r="V64" s="4">
        <v>3971.8378788055802</v>
      </c>
      <c r="W64" s="10">
        <v>42901</v>
      </c>
      <c r="X64" s="12">
        <v>44</v>
      </c>
      <c r="Y64" s="5">
        <v>1.0900000000000001</v>
      </c>
      <c r="Z64" s="4">
        <v>81.2</v>
      </c>
      <c r="AA64" s="4">
        <v>30.2</v>
      </c>
      <c r="AB64" s="4">
        <v>5.3</v>
      </c>
      <c r="AC64" s="4">
        <v>10.1</v>
      </c>
    </row>
    <row r="65" spans="1:29" x14ac:dyDescent="0.3">
      <c r="A65" s="1" t="s">
        <v>313</v>
      </c>
      <c r="B65" s="1" t="s">
        <v>30</v>
      </c>
      <c r="C65" s="10">
        <v>42675</v>
      </c>
      <c r="D65" s="3">
        <v>68.8</v>
      </c>
      <c r="E65" s="4">
        <v>5034.4545144356953</v>
      </c>
      <c r="F65" s="7">
        <v>13.18</v>
      </c>
      <c r="G65" s="7">
        <v>12.58</v>
      </c>
      <c r="H65" s="5">
        <v>4.5523520485584195</v>
      </c>
      <c r="I65" s="4">
        <v>4805.2684212140402</v>
      </c>
      <c r="J65" s="10">
        <v>42758</v>
      </c>
      <c r="K65" s="7">
        <v>12.58</v>
      </c>
      <c r="L65" s="7">
        <v>5.0199999999999996</v>
      </c>
      <c r="M65" s="7">
        <v>6.18</v>
      </c>
      <c r="N65" s="6">
        <v>0.39904610492845782</v>
      </c>
      <c r="O65" s="6">
        <v>0.49125596184419712</v>
      </c>
      <c r="P65" s="6">
        <v>0.10969793322734506</v>
      </c>
      <c r="Q65" s="4">
        <v>2008.9794644250546</v>
      </c>
      <c r="R65" s="4">
        <v>2473.2057948499678</v>
      </c>
      <c r="S65" s="4">
        <v>4482.185259275022</v>
      </c>
      <c r="T65" s="4">
        <v>1917.5236466211827</v>
      </c>
      <c r="U65" s="4">
        <v>2360.6167601830498</v>
      </c>
      <c r="V65" s="4">
        <v>4278.140406804232</v>
      </c>
      <c r="W65" s="10">
        <v>42901</v>
      </c>
      <c r="X65" s="12">
        <v>47</v>
      </c>
      <c r="Y65" s="5">
        <v>1.17</v>
      </c>
      <c r="Z65" s="4">
        <v>81.900000000000006</v>
      </c>
      <c r="AA65" s="4">
        <v>32.4</v>
      </c>
      <c r="AB65" s="4">
        <v>5.2</v>
      </c>
      <c r="AC65" s="4">
        <v>9</v>
      </c>
    </row>
    <row r="66" spans="1:29" x14ac:dyDescent="0.3">
      <c r="A66" s="1" t="s">
        <v>314</v>
      </c>
      <c r="B66" s="1" t="s">
        <v>30</v>
      </c>
      <c r="C66" s="10">
        <v>42675</v>
      </c>
      <c r="D66" s="3">
        <v>71.38</v>
      </c>
      <c r="E66" s="4">
        <v>5226.4275065616794</v>
      </c>
      <c r="F66" s="7">
        <v>12.900000000000002</v>
      </c>
      <c r="G66" s="7">
        <v>12.360000000000001</v>
      </c>
      <c r="H66" s="5">
        <v>4.1860465116279135</v>
      </c>
      <c r="I66" s="4">
        <v>5007.6468202404922</v>
      </c>
      <c r="J66" s="10">
        <v>42758</v>
      </c>
      <c r="K66" s="7">
        <v>8.4400000000000013</v>
      </c>
      <c r="L66" s="7">
        <v>3.34</v>
      </c>
      <c r="M66" s="7">
        <v>4.16</v>
      </c>
      <c r="N66" s="6">
        <v>0.39573459715639803</v>
      </c>
      <c r="O66" s="6">
        <v>0.49289099526066343</v>
      </c>
      <c r="P66" s="6">
        <v>0.11137440758293854</v>
      </c>
      <c r="Q66" s="4">
        <v>2068.278183876304</v>
      </c>
      <c r="R66" s="4">
        <v>2576.0590553668935</v>
      </c>
      <c r="S66" s="4">
        <v>4644.3372392431975</v>
      </c>
      <c r="T66" s="4">
        <v>1981.6990971093887</v>
      </c>
      <c r="U66" s="4">
        <v>2468.2240251422327</v>
      </c>
      <c r="V66" s="4">
        <v>4449.923122251621</v>
      </c>
      <c r="W66" s="10">
        <v>42901</v>
      </c>
      <c r="X66" s="12">
        <v>46</v>
      </c>
      <c r="Y66" s="5">
        <v>1.1100000000000001</v>
      </c>
      <c r="Z66" s="4">
        <v>80.7</v>
      </c>
      <c r="AA66" s="4">
        <v>30.6</v>
      </c>
      <c r="AB66" s="4">
        <v>5.3</v>
      </c>
      <c r="AC66" s="4">
        <v>9.9</v>
      </c>
    </row>
    <row r="67" spans="1:29" x14ac:dyDescent="0.3">
      <c r="A67" s="1" t="s">
        <v>315</v>
      </c>
      <c r="B67" s="1" t="s">
        <v>30</v>
      </c>
      <c r="C67" s="10">
        <v>42675</v>
      </c>
      <c r="D67" s="3">
        <v>66.48</v>
      </c>
      <c r="E67" s="4">
        <v>4861.8276377952761</v>
      </c>
      <c r="F67" s="7">
        <v>12.12</v>
      </c>
      <c r="G67" s="7">
        <v>11.68</v>
      </c>
      <c r="H67" s="5">
        <v>3.6303630363036263</v>
      </c>
      <c r="I67" s="4">
        <v>4685.3256443439623</v>
      </c>
      <c r="J67" s="10">
        <v>42782</v>
      </c>
      <c r="K67" s="7">
        <v>11.68</v>
      </c>
      <c r="L67" s="7">
        <v>4.6400000000000006</v>
      </c>
      <c r="M67" s="7">
        <v>5.92</v>
      </c>
      <c r="N67" s="6">
        <v>0.39726027397260277</v>
      </c>
      <c r="O67" s="6">
        <v>0.50684931506849318</v>
      </c>
      <c r="P67" s="6">
        <v>9.5890410958904049E-2</v>
      </c>
      <c r="Q67" s="4">
        <v>1931.4109793981236</v>
      </c>
      <c r="R67" s="4">
        <v>2464.2140081976058</v>
      </c>
      <c r="S67" s="4">
        <v>4395.6249875957292</v>
      </c>
      <c r="T67" s="4">
        <v>1861.2937491229441</v>
      </c>
      <c r="U67" s="4">
        <v>2374.7540937085837</v>
      </c>
      <c r="V67" s="4">
        <v>4236.0478428315273</v>
      </c>
      <c r="W67" s="10">
        <v>42901</v>
      </c>
      <c r="X67" s="12">
        <v>37</v>
      </c>
      <c r="Y67" s="5">
        <v>1.17</v>
      </c>
      <c r="Z67" s="4">
        <v>81.5</v>
      </c>
      <c r="AA67" s="4">
        <v>32.200000000000003</v>
      </c>
      <c r="AB67" s="4">
        <v>5.8</v>
      </c>
      <c r="AC67" s="4">
        <v>8.6999999999999993</v>
      </c>
    </row>
    <row r="68" spans="1:29" x14ac:dyDescent="0.3">
      <c r="A68" s="1" t="s">
        <v>316</v>
      </c>
      <c r="B68" s="1" t="s">
        <v>30</v>
      </c>
      <c r="C68" s="10">
        <v>42675</v>
      </c>
      <c r="D68" s="3">
        <v>47.959999999999994</v>
      </c>
      <c r="E68" s="4">
        <v>3483.7889501312329</v>
      </c>
      <c r="F68" s="7">
        <v>12.08</v>
      </c>
      <c r="G68" s="7">
        <v>11.64</v>
      </c>
      <c r="H68" s="5">
        <v>3.6423841059602604</v>
      </c>
      <c r="I68" s="4">
        <v>3356.8959751264529</v>
      </c>
      <c r="J68" s="10">
        <v>42774</v>
      </c>
      <c r="K68" s="7">
        <v>11.64</v>
      </c>
      <c r="L68" s="7">
        <v>4.8</v>
      </c>
      <c r="M68" s="7">
        <v>5.9799999999999995</v>
      </c>
      <c r="N68" s="6">
        <v>0.41237113402061853</v>
      </c>
      <c r="O68" s="6">
        <v>0.5137457044673539</v>
      </c>
      <c r="P68" s="6">
        <v>7.3883161512027562E-2</v>
      </c>
      <c r="Q68" s="4">
        <v>1436.6140000541166</v>
      </c>
      <c r="R68" s="4">
        <v>1789.7816084007536</v>
      </c>
      <c r="S68" s="4">
        <v>3226.3956084548699</v>
      </c>
      <c r="T68" s="4">
        <v>1384.2870000521455</v>
      </c>
      <c r="U68" s="4">
        <v>1724.5908875649645</v>
      </c>
      <c r="V68" s="4">
        <v>3108.87788761711</v>
      </c>
      <c r="W68" s="10">
        <v>42901</v>
      </c>
      <c r="X68" s="12">
        <v>50</v>
      </c>
      <c r="Y68" s="5">
        <v>1.0900000000000001</v>
      </c>
      <c r="Z68" s="4">
        <v>80.400000000000006</v>
      </c>
      <c r="AA68" s="4">
        <v>31.8</v>
      </c>
      <c r="AB68" s="4">
        <v>5.3</v>
      </c>
      <c r="AC68" s="4">
        <v>10</v>
      </c>
    </row>
    <row r="69" spans="1:29" x14ac:dyDescent="0.3">
      <c r="A69" s="1" t="s">
        <v>317</v>
      </c>
      <c r="B69" s="1" t="s">
        <v>30</v>
      </c>
      <c r="C69" s="10">
        <v>42675</v>
      </c>
      <c r="D69" s="3">
        <v>72.599999999999994</v>
      </c>
      <c r="E69" s="4">
        <v>5317.2054330708652</v>
      </c>
      <c r="F69" s="7">
        <v>12.900000000000002</v>
      </c>
      <c r="G69" s="7">
        <v>12.46</v>
      </c>
      <c r="H69" s="5">
        <v>3.4108527131783042</v>
      </c>
      <c r="I69" s="4">
        <v>5135.843387291703</v>
      </c>
      <c r="J69" s="10">
        <v>42765</v>
      </c>
      <c r="K69" s="7">
        <v>12.46</v>
      </c>
      <c r="L69" s="7">
        <v>5.12</v>
      </c>
      <c r="M69" s="7">
        <v>6.4399999999999995</v>
      </c>
      <c r="N69" s="6">
        <v>0.41091492776886035</v>
      </c>
      <c r="O69" s="6">
        <v>0.51685393258426959</v>
      </c>
      <c r="P69" s="6">
        <v>7.2231139646870002E-2</v>
      </c>
      <c r="Q69" s="4">
        <v>2184.9190864625066</v>
      </c>
      <c r="R69" s="4">
        <v>2748.2185384411209</v>
      </c>
      <c r="S69" s="4">
        <v>4933.1376249036275</v>
      </c>
      <c r="T69" s="4">
        <v>2110.3947145211491</v>
      </c>
      <c r="U69" s="4">
        <v>2654.4808518586328</v>
      </c>
      <c r="V69" s="4">
        <v>4764.875566379782</v>
      </c>
      <c r="W69" s="10">
        <v>42901</v>
      </c>
      <c r="X69" s="12">
        <v>43</v>
      </c>
      <c r="Y69" s="5">
        <v>1.1499999999999999</v>
      </c>
      <c r="Z69" s="4">
        <v>81.099999999999994</v>
      </c>
      <c r="AA69" s="4">
        <v>32.200000000000003</v>
      </c>
      <c r="AB69" s="4">
        <v>5.4</v>
      </c>
      <c r="AC69" s="4">
        <v>9.5</v>
      </c>
    </row>
    <row r="70" spans="1:29" x14ac:dyDescent="0.3">
      <c r="A70" s="1" t="s">
        <v>318</v>
      </c>
      <c r="B70" s="1" t="s">
        <v>30</v>
      </c>
      <c r="C70" s="10">
        <v>42675</v>
      </c>
      <c r="D70" s="3">
        <v>79.44</v>
      </c>
      <c r="E70" s="4">
        <v>5826.1570866141728</v>
      </c>
      <c r="F70" s="7">
        <v>12.98</v>
      </c>
      <c r="G70" s="7">
        <v>12.52</v>
      </c>
      <c r="H70" s="5">
        <v>3.5439137134052454</v>
      </c>
      <c r="I70" s="4">
        <v>5619.6831066571222</v>
      </c>
      <c r="J70" s="10">
        <v>42774</v>
      </c>
      <c r="K70" s="7">
        <v>12.52</v>
      </c>
      <c r="L70" s="7">
        <v>5.0599999999999996</v>
      </c>
      <c r="M70" s="7">
        <v>6.26</v>
      </c>
      <c r="N70" s="6">
        <v>0.40415335463258784</v>
      </c>
      <c r="O70" s="6">
        <v>0.5</v>
      </c>
      <c r="P70" s="6">
        <v>9.5846645367412164E-2</v>
      </c>
      <c r="Q70" s="4">
        <v>2354.6609311715424</v>
      </c>
      <c r="R70" s="4">
        <v>2913.0785433070864</v>
      </c>
      <c r="S70" s="4">
        <v>5267.7394744786288</v>
      </c>
      <c r="T70" s="4">
        <v>2271.2137795275589</v>
      </c>
      <c r="U70" s="4">
        <v>2809.8415533285611</v>
      </c>
      <c r="V70" s="4">
        <v>5081.05533285612</v>
      </c>
      <c r="W70" s="10">
        <v>42901</v>
      </c>
      <c r="X70" s="12">
        <v>43</v>
      </c>
      <c r="Y70" s="5">
        <v>1.1299999999999999</v>
      </c>
      <c r="Z70" s="4">
        <v>80.8</v>
      </c>
      <c r="AA70" s="4">
        <v>31.4</v>
      </c>
      <c r="AB70" s="4">
        <v>5.4</v>
      </c>
      <c r="AC70" s="4">
        <v>10.3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B3377-5681-4E15-8414-2D9FDC9EE7E5}">
  <dimension ref="A1:M197"/>
  <sheetViews>
    <sheetView workbookViewId="0"/>
  </sheetViews>
  <sheetFormatPr defaultRowHeight="14.4" x14ac:dyDescent="0.3"/>
  <sheetData>
    <row r="1" spans="1:13" x14ac:dyDescent="0.3">
      <c r="B1" t="s">
        <v>338</v>
      </c>
      <c r="C1" t="s">
        <v>338</v>
      </c>
    </row>
    <row r="2" spans="1:13" x14ac:dyDescent="0.3">
      <c r="B2" t="s">
        <v>339</v>
      </c>
      <c r="C2" t="s">
        <v>339</v>
      </c>
    </row>
    <row r="4" spans="1:13" x14ac:dyDescent="0.3">
      <c r="B4" t="s">
        <v>336</v>
      </c>
      <c r="C4" t="s">
        <v>337</v>
      </c>
    </row>
    <row r="5" spans="1:13" x14ac:dyDescent="0.3">
      <c r="A5" t="s">
        <v>26</v>
      </c>
      <c r="B5" t="s">
        <v>4</v>
      </c>
      <c r="C5" t="s">
        <v>4</v>
      </c>
      <c r="M5">
        <v>0</v>
      </c>
    </row>
    <row r="6" spans="1:13" x14ac:dyDescent="0.3">
      <c r="A6" t="s">
        <v>46</v>
      </c>
      <c r="B6">
        <v>2231.7080000000001</v>
      </c>
      <c r="C6">
        <v>2838.15</v>
      </c>
      <c r="M6">
        <v>3500</v>
      </c>
    </row>
    <row r="7" spans="1:13" x14ac:dyDescent="0.3">
      <c r="A7" t="s">
        <v>47</v>
      </c>
      <c r="B7">
        <v>2185.0309999999999</v>
      </c>
      <c r="C7">
        <v>2762.6819999999998</v>
      </c>
    </row>
    <row r="8" spans="1:13" x14ac:dyDescent="0.3">
      <c r="A8" t="s">
        <v>48</v>
      </c>
      <c r="B8">
        <v>1998.9590000000001</v>
      </c>
      <c r="C8">
        <v>2492.819</v>
      </c>
    </row>
    <row r="9" spans="1:13" x14ac:dyDescent="0.3">
      <c r="A9" t="s">
        <v>49</v>
      </c>
      <c r="B9">
        <v>2344.1489999999999</v>
      </c>
      <c r="C9">
        <v>2943.2089999999998</v>
      </c>
    </row>
    <row r="10" spans="1:13" x14ac:dyDescent="0.3">
      <c r="A10" t="s">
        <v>50</v>
      </c>
      <c r="B10">
        <v>1962.4059999999999</v>
      </c>
      <c r="C10">
        <v>2481.203</v>
      </c>
    </row>
    <row r="11" spans="1:13" x14ac:dyDescent="0.3">
      <c r="A11" t="s">
        <v>51</v>
      </c>
      <c r="B11">
        <v>2297.6640000000002</v>
      </c>
      <c r="C11">
        <v>2905.0920000000001</v>
      </c>
    </row>
    <row r="12" spans="1:13" x14ac:dyDescent="0.3">
      <c r="A12" t="s">
        <v>52</v>
      </c>
      <c r="B12">
        <v>2286.9029999999998</v>
      </c>
      <c r="C12">
        <v>2831.4029999999998</v>
      </c>
    </row>
    <row r="13" spans="1:13" x14ac:dyDescent="0.3">
      <c r="A13" t="s">
        <v>53</v>
      </c>
      <c r="B13">
        <v>2418.1210000000001</v>
      </c>
      <c r="C13">
        <v>2913.0569999999998</v>
      </c>
    </row>
    <row r="14" spans="1:13" x14ac:dyDescent="0.3">
      <c r="A14" t="s">
        <v>54</v>
      </c>
      <c r="B14">
        <v>2195.616</v>
      </c>
      <c r="C14">
        <v>2726.424</v>
      </c>
    </row>
    <row r="15" spans="1:13" x14ac:dyDescent="0.3">
      <c r="A15" t="s">
        <v>55</v>
      </c>
      <c r="B15">
        <v>2159.951</v>
      </c>
      <c r="C15">
        <v>2606.027</v>
      </c>
    </row>
    <row r="16" spans="1:13" x14ac:dyDescent="0.3">
      <c r="A16" t="s">
        <v>56</v>
      </c>
      <c r="B16">
        <v>2362.607</v>
      </c>
      <c r="C16">
        <v>2884.578</v>
      </c>
    </row>
    <row r="17" spans="1:13" x14ac:dyDescent="0.3">
      <c r="A17" t="s">
        <v>57</v>
      </c>
      <c r="B17">
        <v>2133.645</v>
      </c>
      <c r="C17">
        <v>2624.1379999999999</v>
      </c>
    </row>
    <row r="18" spans="1:13" x14ac:dyDescent="0.3">
      <c r="A18" t="s">
        <v>58</v>
      </c>
      <c r="B18">
        <v>1875.655</v>
      </c>
      <c r="C18">
        <v>2396.67</v>
      </c>
    </row>
    <row r="19" spans="1:13" x14ac:dyDescent="0.3">
      <c r="A19" t="s">
        <v>59</v>
      </c>
      <c r="B19">
        <v>2029.54</v>
      </c>
      <c r="C19">
        <v>2665.299</v>
      </c>
    </row>
    <row r="20" spans="1:13" x14ac:dyDescent="0.3">
      <c r="A20" t="s">
        <v>60</v>
      </c>
      <c r="B20">
        <v>1714.26</v>
      </c>
      <c r="C20">
        <v>2343.5450000000001</v>
      </c>
    </row>
    <row r="21" spans="1:13" x14ac:dyDescent="0.3">
      <c r="A21" t="s">
        <v>61</v>
      </c>
      <c r="B21">
        <v>2032.35</v>
      </c>
      <c r="C21">
        <v>2588.8270000000002</v>
      </c>
    </row>
    <row r="22" spans="1:13" x14ac:dyDescent="0.3">
      <c r="A22" t="s">
        <v>62</v>
      </c>
      <c r="B22">
        <v>2096.3679999999999</v>
      </c>
      <c r="C22">
        <v>2699.0740000000001</v>
      </c>
    </row>
    <row r="23" spans="1:13" x14ac:dyDescent="0.3">
      <c r="A23" t="s">
        <v>63</v>
      </c>
      <c r="B23">
        <v>2143.0720000000001</v>
      </c>
      <c r="C23">
        <v>2808.163</v>
      </c>
      <c r="M23">
        <v>0</v>
      </c>
    </row>
    <row r="24" spans="1:13" x14ac:dyDescent="0.3">
      <c r="A24" t="s">
        <v>64</v>
      </c>
      <c r="B24">
        <v>1901.33</v>
      </c>
      <c r="C24">
        <v>2313.6669999999999</v>
      </c>
      <c r="M24">
        <v>3500</v>
      </c>
    </row>
    <row r="25" spans="1:13" x14ac:dyDescent="0.3">
      <c r="A25" t="s">
        <v>65</v>
      </c>
      <c r="B25">
        <v>1878.6569999999999</v>
      </c>
      <c r="C25">
        <v>2337.3980000000001</v>
      </c>
    </row>
    <row r="26" spans="1:13" x14ac:dyDescent="0.3">
      <c r="A26" t="s">
        <v>66</v>
      </c>
      <c r="B26">
        <v>1843.453</v>
      </c>
      <c r="C26">
        <v>2233.8310000000001</v>
      </c>
    </row>
    <row r="27" spans="1:13" x14ac:dyDescent="0.3">
      <c r="A27" t="s">
        <v>67</v>
      </c>
      <c r="B27">
        <v>1488.6</v>
      </c>
      <c r="C27">
        <v>1826.9179999999999</v>
      </c>
    </row>
    <row r="28" spans="1:13" x14ac:dyDescent="0.3">
      <c r="A28" t="s">
        <v>68</v>
      </c>
      <c r="B28">
        <v>1905.921</v>
      </c>
      <c r="C28">
        <v>2322.1570000000002</v>
      </c>
    </row>
    <row r="29" spans="1:13" x14ac:dyDescent="0.3">
      <c r="A29" t="s">
        <v>69</v>
      </c>
      <c r="B29">
        <v>2039.894</v>
      </c>
      <c r="C29">
        <v>2413.0450000000001</v>
      </c>
    </row>
    <row r="30" spans="1:13" x14ac:dyDescent="0.3">
      <c r="A30" t="s">
        <v>70</v>
      </c>
      <c r="B30">
        <v>2011.0650000000001</v>
      </c>
      <c r="C30">
        <v>2572.2930000000001</v>
      </c>
    </row>
    <row r="31" spans="1:13" x14ac:dyDescent="0.3">
      <c r="A31" t="s">
        <v>71</v>
      </c>
      <c r="B31">
        <v>2235.9</v>
      </c>
      <c r="C31">
        <v>2881.8270000000002</v>
      </c>
    </row>
    <row r="32" spans="1:13" x14ac:dyDescent="0.3">
      <c r="A32" t="s">
        <v>72</v>
      </c>
      <c r="B32">
        <v>1852.3720000000001</v>
      </c>
      <c r="C32">
        <v>2439.7089999999998</v>
      </c>
    </row>
    <row r="33" spans="1:3" x14ac:dyDescent="0.3">
      <c r="A33" t="s">
        <v>73</v>
      </c>
      <c r="B33">
        <v>2189.223</v>
      </c>
      <c r="C33">
        <v>2767.9830000000002</v>
      </c>
    </row>
    <row r="34" spans="1:3" x14ac:dyDescent="0.3">
      <c r="A34" t="s">
        <v>74</v>
      </c>
      <c r="B34">
        <v>1956.61</v>
      </c>
      <c r="C34">
        <v>2463.88</v>
      </c>
    </row>
    <row r="35" spans="1:3" x14ac:dyDescent="0.3">
      <c r="A35" t="s">
        <v>75</v>
      </c>
      <c r="B35">
        <v>1879.9780000000001</v>
      </c>
      <c r="C35">
        <v>2312.1559999999999</v>
      </c>
    </row>
    <row r="36" spans="1:3" x14ac:dyDescent="0.3">
      <c r="A36" t="s">
        <v>76</v>
      </c>
      <c r="B36">
        <v>1547.605</v>
      </c>
      <c r="C36">
        <v>1971.354</v>
      </c>
    </row>
    <row r="37" spans="1:3" x14ac:dyDescent="0.3">
      <c r="A37" t="s">
        <v>77</v>
      </c>
      <c r="B37">
        <v>1704.0889999999999</v>
      </c>
      <c r="C37">
        <v>2140.0189999999998</v>
      </c>
    </row>
    <row r="38" spans="1:3" x14ac:dyDescent="0.3">
      <c r="A38" t="s">
        <v>78</v>
      </c>
      <c r="B38">
        <v>1840.337</v>
      </c>
      <c r="C38">
        <v>2300.4209999999998</v>
      </c>
    </row>
    <row r="39" spans="1:3" x14ac:dyDescent="0.3">
      <c r="A39" t="s">
        <v>79</v>
      </c>
      <c r="B39">
        <v>1985.8040000000001</v>
      </c>
      <c r="C39">
        <v>2424.529</v>
      </c>
    </row>
    <row r="40" spans="1:3" x14ac:dyDescent="0.3">
      <c r="A40" t="s">
        <v>80</v>
      </c>
      <c r="B40">
        <v>1820.9960000000001</v>
      </c>
      <c r="C40">
        <v>2189.5309999999999</v>
      </c>
    </row>
    <row r="41" spans="1:3" x14ac:dyDescent="0.3">
      <c r="A41" t="s">
        <v>81</v>
      </c>
      <c r="B41">
        <v>1857.2270000000001</v>
      </c>
      <c r="C41">
        <v>2238.1970000000001</v>
      </c>
    </row>
    <row r="42" spans="1:3" x14ac:dyDescent="0.3">
      <c r="A42" t="s">
        <v>82</v>
      </c>
      <c r="B42">
        <v>2046.2940000000001</v>
      </c>
      <c r="C42">
        <v>2595.3000000000002</v>
      </c>
    </row>
    <row r="43" spans="1:3" x14ac:dyDescent="0.3">
      <c r="A43" t="s">
        <v>83</v>
      </c>
      <c r="B43">
        <v>1799.01</v>
      </c>
      <c r="C43">
        <v>2464.3969999999999</v>
      </c>
    </row>
    <row r="44" spans="1:3" x14ac:dyDescent="0.3">
      <c r="A44" t="s">
        <v>84</v>
      </c>
      <c r="B44">
        <v>1898.867</v>
      </c>
      <c r="C44">
        <v>2475.739</v>
      </c>
    </row>
    <row r="45" spans="1:3" x14ac:dyDescent="0.3">
      <c r="A45" t="s">
        <v>85</v>
      </c>
      <c r="B45">
        <v>1906.9580000000001</v>
      </c>
      <c r="C45">
        <v>2451.8040000000001</v>
      </c>
    </row>
    <row r="46" spans="1:3" x14ac:dyDescent="0.3">
      <c r="A46" t="s">
        <v>86</v>
      </c>
      <c r="B46">
        <v>1766.8810000000001</v>
      </c>
      <c r="C46">
        <v>2281.2890000000002</v>
      </c>
    </row>
    <row r="47" spans="1:3" x14ac:dyDescent="0.3">
      <c r="A47" t="s">
        <v>87</v>
      </c>
      <c r="B47">
        <v>1766.6310000000001</v>
      </c>
      <c r="C47">
        <v>2230.3710000000001</v>
      </c>
    </row>
    <row r="48" spans="1:3" x14ac:dyDescent="0.3">
      <c r="A48" t="s">
        <v>88</v>
      </c>
      <c r="B48">
        <v>1931.4259999999999</v>
      </c>
      <c r="C48">
        <v>2368.2959999999998</v>
      </c>
    </row>
    <row r="49" spans="1:3" x14ac:dyDescent="0.3">
      <c r="A49" t="s">
        <v>89</v>
      </c>
      <c r="B49">
        <v>2171.431</v>
      </c>
      <c r="C49">
        <v>2640.2620000000002</v>
      </c>
    </row>
    <row r="50" spans="1:3" x14ac:dyDescent="0.3">
      <c r="A50" t="s">
        <v>90</v>
      </c>
      <c r="B50">
        <v>2176.8519999999999</v>
      </c>
      <c r="C50">
        <v>2683.0970000000002</v>
      </c>
    </row>
    <row r="51" spans="1:3" x14ac:dyDescent="0.3">
      <c r="A51" t="s">
        <v>91</v>
      </c>
      <c r="B51">
        <v>2323.2930000000001</v>
      </c>
      <c r="C51">
        <v>2859.4369999999999</v>
      </c>
    </row>
    <row r="52" spans="1:3" x14ac:dyDescent="0.3">
      <c r="A52" t="s">
        <v>92</v>
      </c>
      <c r="B52">
        <v>2612.6179999999999</v>
      </c>
      <c r="C52">
        <v>3141.3629999999998</v>
      </c>
    </row>
    <row r="53" spans="1:3" x14ac:dyDescent="0.3">
      <c r="A53" t="s">
        <v>93</v>
      </c>
      <c r="B53">
        <v>2144.6</v>
      </c>
      <c r="C53">
        <v>2628.8649999999998</v>
      </c>
    </row>
    <row r="54" spans="1:3" x14ac:dyDescent="0.3">
      <c r="A54" t="s">
        <v>94</v>
      </c>
      <c r="B54">
        <v>2040.252</v>
      </c>
      <c r="C54">
        <v>2643.0540000000001</v>
      </c>
    </row>
    <row r="55" spans="1:3" x14ac:dyDescent="0.3">
      <c r="A55" t="s">
        <v>95</v>
      </c>
      <c r="B55">
        <v>1915.941</v>
      </c>
      <c r="C55">
        <v>2507.2809999999999</v>
      </c>
    </row>
    <row r="56" spans="1:3" x14ac:dyDescent="0.3">
      <c r="A56" t="s">
        <v>96</v>
      </c>
      <c r="B56">
        <v>1731.912</v>
      </c>
      <c r="C56">
        <v>2255.5140000000001</v>
      </c>
    </row>
    <row r="57" spans="1:3" x14ac:dyDescent="0.3">
      <c r="A57" t="s">
        <v>97</v>
      </c>
      <c r="B57">
        <v>1990.174</v>
      </c>
      <c r="C57">
        <v>2470.5610000000001</v>
      </c>
    </row>
    <row r="58" spans="1:3" x14ac:dyDescent="0.3">
      <c r="A58" t="s">
        <v>98</v>
      </c>
      <c r="B58">
        <v>1950.5050000000001</v>
      </c>
      <c r="C58">
        <v>2389.3679999999999</v>
      </c>
    </row>
    <row r="59" spans="1:3" x14ac:dyDescent="0.3">
      <c r="A59" t="s">
        <v>99</v>
      </c>
      <c r="B59">
        <v>2192.1680000000001</v>
      </c>
      <c r="C59">
        <v>2682.181</v>
      </c>
    </row>
    <row r="60" spans="1:3" x14ac:dyDescent="0.3">
      <c r="A60" t="s">
        <v>100</v>
      </c>
      <c r="B60">
        <v>1830.5619999999999</v>
      </c>
      <c r="C60">
        <v>2375.373</v>
      </c>
    </row>
    <row r="61" spans="1:3" x14ac:dyDescent="0.3">
      <c r="A61" t="s">
        <v>101</v>
      </c>
      <c r="B61">
        <v>2223.1460000000002</v>
      </c>
      <c r="C61">
        <v>2749.0509999999999</v>
      </c>
    </row>
    <row r="62" spans="1:3" x14ac:dyDescent="0.3">
      <c r="A62" t="s">
        <v>102</v>
      </c>
      <c r="B62">
        <v>2317.4540000000002</v>
      </c>
      <c r="C62">
        <v>2846.4380000000001</v>
      </c>
    </row>
    <row r="63" spans="1:3" x14ac:dyDescent="0.3">
      <c r="A63" t="s">
        <v>103</v>
      </c>
      <c r="B63">
        <v>2031.2570000000001</v>
      </c>
      <c r="C63">
        <v>2381.473</v>
      </c>
    </row>
    <row r="64" spans="1:3" x14ac:dyDescent="0.3">
      <c r="A64" t="s">
        <v>104</v>
      </c>
      <c r="B64">
        <v>1710.47</v>
      </c>
      <c r="C64">
        <v>2048.5859999999998</v>
      </c>
    </row>
    <row r="65" spans="1:3" x14ac:dyDescent="0.3">
      <c r="A65" t="s">
        <v>105</v>
      </c>
      <c r="B65">
        <v>2122.9639999999999</v>
      </c>
      <c r="C65">
        <v>2542.3150000000001</v>
      </c>
    </row>
    <row r="66" spans="1:3" x14ac:dyDescent="0.3">
      <c r="A66" t="s">
        <v>106</v>
      </c>
      <c r="B66">
        <v>1954.258</v>
      </c>
      <c r="C66">
        <v>2509.4450000000002</v>
      </c>
    </row>
    <row r="67" spans="1:3" x14ac:dyDescent="0.3">
      <c r="A67" t="s">
        <v>107</v>
      </c>
      <c r="B67">
        <v>1799.8109999999999</v>
      </c>
      <c r="C67">
        <v>2337.4169999999999</v>
      </c>
    </row>
    <row r="68" spans="1:3" x14ac:dyDescent="0.3">
      <c r="A68" t="s">
        <v>108</v>
      </c>
      <c r="B68">
        <v>1691.819</v>
      </c>
      <c r="C68">
        <v>2155.0549999999998</v>
      </c>
    </row>
    <row r="69" spans="1:3" x14ac:dyDescent="0.3">
      <c r="A69" t="s">
        <v>109</v>
      </c>
      <c r="B69">
        <v>1959.2950000000001</v>
      </c>
      <c r="C69">
        <v>2582.7060000000001</v>
      </c>
    </row>
    <row r="70" spans="1:3" x14ac:dyDescent="0.3">
      <c r="A70" t="s">
        <v>110</v>
      </c>
      <c r="B70">
        <v>1892.0419999999999</v>
      </c>
      <c r="C70">
        <v>2500.9760000000001</v>
      </c>
    </row>
    <row r="71" spans="1:3" x14ac:dyDescent="0.3">
      <c r="A71" t="s">
        <v>111</v>
      </c>
      <c r="B71">
        <v>2144.0239999999999</v>
      </c>
      <c r="C71">
        <v>2674.2660000000001</v>
      </c>
    </row>
    <row r="72" spans="1:3" x14ac:dyDescent="0.3">
      <c r="A72" t="s">
        <v>112</v>
      </c>
      <c r="B72">
        <v>2126.8820000000001</v>
      </c>
      <c r="C72">
        <v>2582.643</v>
      </c>
    </row>
    <row r="73" spans="1:3" x14ac:dyDescent="0.3">
      <c r="A73" t="s">
        <v>113</v>
      </c>
      <c r="B73">
        <v>1921.8209999999999</v>
      </c>
      <c r="C73">
        <v>2335.116</v>
      </c>
    </row>
    <row r="74" spans="1:3" x14ac:dyDescent="0.3">
      <c r="A74" t="s">
        <v>114</v>
      </c>
      <c r="B74">
        <v>2148.1660000000002</v>
      </c>
      <c r="C74">
        <v>2620.2910000000002</v>
      </c>
    </row>
    <row r="75" spans="1:3" x14ac:dyDescent="0.3">
      <c r="A75" t="s">
        <v>115</v>
      </c>
      <c r="B75">
        <v>2078.6660000000002</v>
      </c>
      <c r="C75">
        <v>2507.9549999999999</v>
      </c>
    </row>
    <row r="76" spans="1:3" x14ac:dyDescent="0.3">
      <c r="A76" t="s">
        <v>116</v>
      </c>
      <c r="B76">
        <v>1951.5450000000001</v>
      </c>
      <c r="C76">
        <v>2323.268</v>
      </c>
    </row>
    <row r="77" spans="1:3" x14ac:dyDescent="0.3">
      <c r="A77" t="s">
        <v>117</v>
      </c>
      <c r="B77">
        <v>2095.2809999999999</v>
      </c>
      <c r="C77">
        <v>2505.2269999999999</v>
      </c>
    </row>
    <row r="78" spans="1:3" x14ac:dyDescent="0.3">
      <c r="A78" t="s">
        <v>118</v>
      </c>
      <c r="B78">
        <v>1448.508</v>
      </c>
      <c r="C78">
        <v>1906.8969999999999</v>
      </c>
    </row>
    <row r="79" spans="1:3" x14ac:dyDescent="0.3">
      <c r="A79" t="s">
        <v>119</v>
      </c>
      <c r="B79">
        <v>1296.577</v>
      </c>
      <c r="C79">
        <v>1751.221</v>
      </c>
    </row>
    <row r="80" spans="1:3" x14ac:dyDescent="0.3">
      <c r="A80" t="s">
        <v>120</v>
      </c>
      <c r="B80">
        <v>1387.4570000000001</v>
      </c>
      <c r="C80">
        <v>1725.8610000000001</v>
      </c>
    </row>
    <row r="81" spans="1:3" x14ac:dyDescent="0.3">
      <c r="A81" t="s">
        <v>121</v>
      </c>
      <c r="B81">
        <v>1556.7139999999999</v>
      </c>
      <c r="C81">
        <v>2088.2750000000001</v>
      </c>
    </row>
    <row r="82" spans="1:3" x14ac:dyDescent="0.3">
      <c r="A82" t="s">
        <v>122</v>
      </c>
      <c r="B82">
        <v>1357.434</v>
      </c>
      <c r="C82">
        <v>1784.492</v>
      </c>
    </row>
    <row r="83" spans="1:3" x14ac:dyDescent="0.3">
      <c r="A83" t="s">
        <v>123</v>
      </c>
      <c r="B83">
        <v>1278.778</v>
      </c>
      <c r="C83">
        <v>1668.6489999999999</v>
      </c>
    </row>
    <row r="84" spans="1:3" x14ac:dyDescent="0.3">
      <c r="A84" t="s">
        <v>124</v>
      </c>
      <c r="B84">
        <v>1845.7909999999999</v>
      </c>
      <c r="C84">
        <v>2366.3989999999999</v>
      </c>
    </row>
    <row r="85" spans="1:3" x14ac:dyDescent="0.3">
      <c r="A85" t="s">
        <v>125</v>
      </c>
      <c r="B85">
        <v>2031.43</v>
      </c>
      <c r="C85">
        <v>2502.127</v>
      </c>
    </row>
    <row r="86" spans="1:3" x14ac:dyDescent="0.3">
      <c r="A86" t="s">
        <v>126</v>
      </c>
      <c r="B86">
        <v>1901.473</v>
      </c>
      <c r="C86">
        <v>2273.5010000000002</v>
      </c>
    </row>
    <row r="87" spans="1:3" x14ac:dyDescent="0.3">
      <c r="A87" t="s">
        <v>127</v>
      </c>
      <c r="B87">
        <v>1365.8530000000001</v>
      </c>
      <c r="C87">
        <v>1662.0619999999999</v>
      </c>
    </row>
    <row r="88" spans="1:3" x14ac:dyDescent="0.3">
      <c r="A88" t="s">
        <v>128</v>
      </c>
      <c r="B88">
        <v>1197.4169999999999</v>
      </c>
      <c r="C88">
        <v>1404.3779999999999</v>
      </c>
    </row>
    <row r="89" spans="1:3" x14ac:dyDescent="0.3">
      <c r="A89" t="s">
        <v>129</v>
      </c>
      <c r="B89">
        <v>1130.1880000000001</v>
      </c>
      <c r="C89">
        <v>1387.049</v>
      </c>
    </row>
    <row r="90" spans="1:3" x14ac:dyDescent="0.3">
      <c r="A90" t="s">
        <v>130</v>
      </c>
      <c r="B90">
        <v>1436.5029999999999</v>
      </c>
      <c r="C90">
        <v>1903.799</v>
      </c>
    </row>
    <row r="91" spans="1:3" x14ac:dyDescent="0.3">
      <c r="A91" t="s">
        <v>131</v>
      </c>
      <c r="B91">
        <v>1449.9559999999999</v>
      </c>
      <c r="C91">
        <v>1899.942</v>
      </c>
    </row>
    <row r="92" spans="1:3" x14ac:dyDescent="0.3">
      <c r="A92" t="s">
        <v>132</v>
      </c>
      <c r="B92">
        <v>1246.8679999999999</v>
      </c>
      <c r="C92">
        <v>1662.49</v>
      </c>
    </row>
    <row r="93" spans="1:3" x14ac:dyDescent="0.3">
      <c r="A93" t="s">
        <v>133</v>
      </c>
      <c r="B93">
        <v>1516.5730000000001</v>
      </c>
      <c r="C93">
        <v>1955.5809999999999</v>
      </c>
    </row>
    <row r="94" spans="1:3" x14ac:dyDescent="0.3">
      <c r="A94" t="s">
        <v>134</v>
      </c>
      <c r="B94">
        <v>1441.106</v>
      </c>
      <c r="C94">
        <v>1890.2819999999999</v>
      </c>
    </row>
    <row r="95" spans="1:3" x14ac:dyDescent="0.3">
      <c r="A95" t="s">
        <v>135</v>
      </c>
      <c r="B95">
        <v>1648.704</v>
      </c>
      <c r="C95">
        <v>2019.662</v>
      </c>
    </row>
    <row r="96" spans="1:3" x14ac:dyDescent="0.3">
      <c r="A96" t="s">
        <v>136</v>
      </c>
      <c r="B96">
        <v>1883.3869999999999</v>
      </c>
      <c r="C96">
        <v>2418.4409999999998</v>
      </c>
    </row>
    <row r="97" spans="1:3" x14ac:dyDescent="0.3">
      <c r="A97" t="s">
        <v>137</v>
      </c>
      <c r="B97">
        <v>2139.9140000000002</v>
      </c>
      <c r="C97">
        <v>2586.7089999999998</v>
      </c>
    </row>
    <row r="98" spans="1:3" x14ac:dyDescent="0.3">
      <c r="A98" t="s">
        <v>138</v>
      </c>
      <c r="B98">
        <v>1819.729</v>
      </c>
      <c r="C98">
        <v>2471.2379999999998</v>
      </c>
    </row>
    <row r="99" spans="1:3" x14ac:dyDescent="0.3">
      <c r="A99" t="s">
        <v>139</v>
      </c>
      <c r="B99">
        <v>2294.9879999999998</v>
      </c>
      <c r="C99">
        <v>2753.9859999999999</v>
      </c>
    </row>
    <row r="100" spans="1:3" x14ac:dyDescent="0.3">
      <c r="A100" t="s">
        <v>140</v>
      </c>
      <c r="B100">
        <v>2266.904</v>
      </c>
      <c r="C100">
        <v>2632.5329999999999</v>
      </c>
    </row>
    <row r="101" spans="1:3" x14ac:dyDescent="0.3">
      <c r="A101" t="s">
        <v>141</v>
      </c>
      <c r="B101">
        <v>2205.8670000000002</v>
      </c>
      <c r="C101">
        <v>2632</v>
      </c>
    </row>
    <row r="102" spans="1:3" x14ac:dyDescent="0.3">
      <c r="A102" t="s">
        <v>142</v>
      </c>
      <c r="B102">
        <v>1621.1859999999999</v>
      </c>
      <c r="C102">
        <v>2161.5810000000001</v>
      </c>
    </row>
    <row r="103" spans="1:3" x14ac:dyDescent="0.3">
      <c r="A103" t="s">
        <v>143</v>
      </c>
      <c r="B103">
        <v>1773.183</v>
      </c>
      <c r="C103">
        <v>2294.7069999999999</v>
      </c>
    </row>
    <row r="104" spans="1:3" x14ac:dyDescent="0.3">
      <c r="A104" t="s">
        <v>144</v>
      </c>
      <c r="B104">
        <v>1751.211</v>
      </c>
      <c r="C104">
        <v>2189.0129999999999</v>
      </c>
    </row>
    <row r="105" spans="1:3" x14ac:dyDescent="0.3">
      <c r="A105" t="s">
        <v>145</v>
      </c>
      <c r="B105">
        <v>1691.451</v>
      </c>
      <c r="C105">
        <v>2177.7440000000001</v>
      </c>
    </row>
    <row r="106" spans="1:3" x14ac:dyDescent="0.3">
      <c r="A106" t="s">
        <v>146</v>
      </c>
      <c r="B106">
        <v>1619.865</v>
      </c>
      <c r="C106">
        <v>2040.6089999999999</v>
      </c>
    </row>
    <row r="107" spans="1:3" x14ac:dyDescent="0.3">
      <c r="A107" t="s">
        <v>147</v>
      </c>
      <c r="B107">
        <v>1698.3910000000001</v>
      </c>
      <c r="C107">
        <v>2197.9169999999999</v>
      </c>
    </row>
    <row r="108" spans="1:3" x14ac:dyDescent="0.3">
      <c r="A108" t="s">
        <v>148</v>
      </c>
      <c r="B108">
        <v>1659.634</v>
      </c>
      <c r="C108">
        <v>2037.778</v>
      </c>
    </row>
    <row r="109" spans="1:3" x14ac:dyDescent="0.3">
      <c r="A109" t="s">
        <v>149</v>
      </c>
      <c r="B109">
        <v>1874.7629999999999</v>
      </c>
      <c r="C109">
        <v>2288.672</v>
      </c>
    </row>
    <row r="110" spans="1:3" x14ac:dyDescent="0.3">
      <c r="A110" t="s">
        <v>150</v>
      </c>
      <c r="B110">
        <v>1645.5840000000001</v>
      </c>
      <c r="C110">
        <v>2026.8779999999999</v>
      </c>
    </row>
    <row r="111" spans="1:3" x14ac:dyDescent="0.3">
      <c r="A111" t="s">
        <v>151</v>
      </c>
      <c r="B111">
        <v>2172.9490000000001</v>
      </c>
      <c r="C111">
        <v>2591.83</v>
      </c>
    </row>
    <row r="112" spans="1:3" x14ac:dyDescent="0.3">
      <c r="A112" t="s">
        <v>152</v>
      </c>
      <c r="B112">
        <v>2161.9740000000002</v>
      </c>
      <c r="C112">
        <v>2559.5790000000002</v>
      </c>
    </row>
    <row r="113" spans="1:3" x14ac:dyDescent="0.3">
      <c r="A113" t="s">
        <v>153</v>
      </c>
      <c r="B113">
        <v>1930.566</v>
      </c>
      <c r="C113">
        <v>2203.1170000000002</v>
      </c>
    </row>
    <row r="114" spans="1:3" x14ac:dyDescent="0.3">
      <c r="A114" t="s">
        <v>154</v>
      </c>
      <c r="B114">
        <v>1685.0640000000001</v>
      </c>
      <c r="C114">
        <v>2208.8000000000002</v>
      </c>
    </row>
    <row r="115" spans="1:3" x14ac:dyDescent="0.3">
      <c r="A115" t="s">
        <v>155</v>
      </c>
      <c r="B115">
        <v>1443.2940000000001</v>
      </c>
      <c r="C115">
        <v>1865.721</v>
      </c>
    </row>
    <row r="116" spans="1:3" x14ac:dyDescent="0.3">
      <c r="A116" t="s">
        <v>156</v>
      </c>
      <c r="B116">
        <v>1229.329</v>
      </c>
      <c r="C116">
        <v>1582.761</v>
      </c>
    </row>
    <row r="117" spans="1:3" x14ac:dyDescent="0.3">
      <c r="A117" t="s">
        <v>157</v>
      </c>
      <c r="B117">
        <v>1573.6510000000001</v>
      </c>
      <c r="C117">
        <v>2121.0079999999998</v>
      </c>
    </row>
    <row r="118" spans="1:3" x14ac:dyDescent="0.3">
      <c r="A118" t="s">
        <v>158</v>
      </c>
      <c r="B118">
        <v>1765.579</v>
      </c>
      <c r="C118">
        <v>2273.183</v>
      </c>
    </row>
    <row r="119" spans="1:3" x14ac:dyDescent="0.3">
      <c r="A119" t="s">
        <v>159</v>
      </c>
      <c r="B119">
        <v>1671.4659999999999</v>
      </c>
      <c r="C119">
        <v>2158.0949999999998</v>
      </c>
    </row>
    <row r="120" spans="1:3" x14ac:dyDescent="0.3">
      <c r="A120" t="s">
        <v>160</v>
      </c>
      <c r="B120">
        <v>2235.0340000000001</v>
      </c>
      <c r="C120">
        <v>2762.402</v>
      </c>
    </row>
    <row r="121" spans="1:3" x14ac:dyDescent="0.3">
      <c r="A121" t="s">
        <v>161</v>
      </c>
      <c r="B121">
        <v>2299.6640000000002</v>
      </c>
      <c r="C121">
        <v>2934.0540000000001</v>
      </c>
    </row>
    <row r="122" spans="1:3" x14ac:dyDescent="0.3">
      <c r="A122" t="s">
        <v>162</v>
      </c>
      <c r="B122">
        <v>2132.4459999999999</v>
      </c>
      <c r="C122">
        <v>2659.5680000000002</v>
      </c>
    </row>
    <row r="123" spans="1:3" x14ac:dyDescent="0.3">
      <c r="A123" t="s">
        <v>163</v>
      </c>
      <c r="B123">
        <v>2023.3530000000001</v>
      </c>
      <c r="C123">
        <v>2509.982</v>
      </c>
    </row>
    <row r="124" spans="1:3" x14ac:dyDescent="0.3">
      <c r="A124" t="s">
        <v>164</v>
      </c>
      <c r="B124">
        <v>1811.5519999999999</v>
      </c>
      <c r="C124">
        <v>2259.1120000000001</v>
      </c>
    </row>
    <row r="125" spans="1:3" x14ac:dyDescent="0.3">
      <c r="A125" t="s">
        <v>165</v>
      </c>
      <c r="B125">
        <v>1978.4949999999999</v>
      </c>
      <c r="C125">
        <v>2621.5059999999999</v>
      </c>
    </row>
    <row r="126" spans="1:3" x14ac:dyDescent="0.3">
      <c r="A126" t="s">
        <v>166</v>
      </c>
      <c r="B126">
        <v>1537.4069999999999</v>
      </c>
      <c r="C126">
        <v>2026.5820000000001</v>
      </c>
    </row>
    <row r="127" spans="1:3" x14ac:dyDescent="0.3">
      <c r="A127" t="s">
        <v>167</v>
      </c>
      <c r="B127">
        <v>1447.175</v>
      </c>
      <c r="C127">
        <v>1906.866</v>
      </c>
    </row>
    <row r="128" spans="1:3" x14ac:dyDescent="0.3">
      <c r="A128" t="s">
        <v>168</v>
      </c>
      <c r="B128">
        <v>1328.8779999999999</v>
      </c>
      <c r="C128">
        <v>1761.164</v>
      </c>
    </row>
    <row r="129" spans="1:3" x14ac:dyDescent="0.3">
      <c r="A129" t="s">
        <v>169</v>
      </c>
      <c r="B129">
        <v>1629.1079999999999</v>
      </c>
      <c r="C129">
        <v>2137.1089999999999</v>
      </c>
    </row>
    <row r="130" spans="1:3" x14ac:dyDescent="0.3">
      <c r="A130" t="s">
        <v>170</v>
      </c>
      <c r="B130">
        <v>1631.6559999999999</v>
      </c>
      <c r="C130">
        <v>2156.7869999999998</v>
      </c>
    </row>
    <row r="131" spans="1:3" x14ac:dyDescent="0.3">
      <c r="A131" t="s">
        <v>171</v>
      </c>
      <c r="B131">
        <v>1548.1690000000001</v>
      </c>
      <c r="C131">
        <v>1908.2090000000001</v>
      </c>
    </row>
    <row r="132" spans="1:3" x14ac:dyDescent="0.3">
      <c r="A132" t="s">
        <v>172</v>
      </c>
      <c r="B132">
        <v>1824.5930000000001</v>
      </c>
      <c r="C132">
        <v>2248.9169999999999</v>
      </c>
    </row>
    <row r="133" spans="1:3" x14ac:dyDescent="0.3">
      <c r="A133" t="s">
        <v>173</v>
      </c>
      <c r="B133">
        <v>1912.9639999999999</v>
      </c>
      <c r="C133">
        <v>2374.7139999999999</v>
      </c>
    </row>
    <row r="134" spans="1:3" x14ac:dyDescent="0.3">
      <c r="A134" t="s">
        <v>174</v>
      </c>
      <c r="B134">
        <v>1860.0170000000001</v>
      </c>
      <c r="C134">
        <v>2281.6210000000001</v>
      </c>
    </row>
    <row r="135" spans="1:3" x14ac:dyDescent="0.3">
      <c r="A135" t="s">
        <v>175</v>
      </c>
      <c r="B135">
        <v>2066.6669999999999</v>
      </c>
      <c r="C135">
        <v>2850.576</v>
      </c>
    </row>
    <row r="136" spans="1:3" x14ac:dyDescent="0.3">
      <c r="A136" t="s">
        <v>176</v>
      </c>
      <c r="B136">
        <v>2018.703</v>
      </c>
      <c r="C136">
        <v>2582.0619999999999</v>
      </c>
    </row>
    <row r="137" spans="1:3" x14ac:dyDescent="0.3">
      <c r="A137" t="s">
        <v>177</v>
      </c>
      <c r="B137">
        <v>2387.6329999999998</v>
      </c>
      <c r="C137">
        <v>2905.4319999999998</v>
      </c>
    </row>
    <row r="138" spans="1:3" x14ac:dyDescent="0.3">
      <c r="A138" t="s">
        <v>178</v>
      </c>
      <c r="B138">
        <v>1778.259</v>
      </c>
      <c r="C138">
        <v>2327.1039999999998</v>
      </c>
    </row>
    <row r="139" spans="1:3" x14ac:dyDescent="0.3">
      <c r="A139" t="s">
        <v>179</v>
      </c>
      <c r="B139">
        <v>1872.5719999999999</v>
      </c>
      <c r="C139">
        <v>2383.2739999999999</v>
      </c>
    </row>
    <row r="140" spans="1:3" x14ac:dyDescent="0.3">
      <c r="A140" t="s">
        <v>180</v>
      </c>
      <c r="B140">
        <v>2330.172</v>
      </c>
      <c r="C140">
        <v>1837.251</v>
      </c>
    </row>
    <row r="141" spans="1:3" x14ac:dyDescent="0.3">
      <c r="A141" t="s">
        <v>181</v>
      </c>
      <c r="B141">
        <v>1814.633</v>
      </c>
      <c r="C141">
        <v>2486.7199999999998</v>
      </c>
    </row>
    <row r="142" spans="1:3" x14ac:dyDescent="0.3">
      <c r="A142" t="s">
        <v>182</v>
      </c>
      <c r="B142">
        <v>2021.7840000000001</v>
      </c>
      <c r="C142">
        <v>2661.59</v>
      </c>
    </row>
    <row r="143" spans="1:3" x14ac:dyDescent="0.3">
      <c r="A143" t="s">
        <v>183</v>
      </c>
      <c r="B143">
        <v>2156.8110000000001</v>
      </c>
      <c r="C143">
        <v>2682.8629999999998</v>
      </c>
    </row>
    <row r="144" spans="1:3" x14ac:dyDescent="0.3">
      <c r="A144" t="s">
        <v>184</v>
      </c>
      <c r="B144">
        <v>2038.039</v>
      </c>
      <c r="C144">
        <v>2578.2420000000002</v>
      </c>
    </row>
    <row r="145" spans="1:3" x14ac:dyDescent="0.3">
      <c r="A145" t="s">
        <v>185</v>
      </c>
      <c r="B145">
        <v>1969.143</v>
      </c>
      <c r="C145">
        <v>2480.6080000000002</v>
      </c>
    </row>
    <row r="146" spans="1:3" x14ac:dyDescent="0.3">
      <c r="A146" t="s">
        <v>186</v>
      </c>
      <c r="B146">
        <v>1791.5830000000001</v>
      </c>
      <c r="C146">
        <v>2217.0830000000001</v>
      </c>
    </row>
    <row r="147" spans="1:3" x14ac:dyDescent="0.3">
      <c r="A147" t="s">
        <v>187</v>
      </c>
      <c r="B147">
        <v>2407.252</v>
      </c>
      <c r="C147">
        <v>2878.2359999999999</v>
      </c>
    </row>
    <row r="148" spans="1:3" x14ac:dyDescent="0.3">
      <c r="A148" t="s">
        <v>188</v>
      </c>
      <c r="B148">
        <v>2179.6179999999999</v>
      </c>
      <c r="C148">
        <v>2652.306</v>
      </c>
    </row>
    <row r="149" spans="1:3" x14ac:dyDescent="0.3">
      <c r="A149" t="s">
        <v>189</v>
      </c>
      <c r="B149">
        <v>1934.4770000000001</v>
      </c>
      <c r="C149">
        <v>2441.1260000000002</v>
      </c>
    </row>
    <row r="150" spans="1:3" x14ac:dyDescent="0.3">
      <c r="A150" t="s">
        <v>190</v>
      </c>
      <c r="B150">
        <v>2161.37</v>
      </c>
      <c r="C150">
        <v>2856.9839999999999</v>
      </c>
    </row>
    <row r="151" spans="1:3" x14ac:dyDescent="0.3">
      <c r="A151" t="s">
        <v>191</v>
      </c>
      <c r="B151">
        <v>1849.664</v>
      </c>
      <c r="C151">
        <v>2426.4409999999998</v>
      </c>
    </row>
    <row r="152" spans="1:3" x14ac:dyDescent="0.3">
      <c r="A152" t="s">
        <v>192</v>
      </c>
      <c r="B152">
        <v>2218.5740000000001</v>
      </c>
      <c r="C152">
        <v>2852.4520000000002</v>
      </c>
    </row>
    <row r="153" spans="1:3" x14ac:dyDescent="0.3">
      <c r="A153" t="s">
        <v>193</v>
      </c>
      <c r="B153">
        <v>2012.3679999999999</v>
      </c>
      <c r="C153">
        <v>2583.7809999999999</v>
      </c>
    </row>
    <row r="154" spans="1:3" x14ac:dyDescent="0.3">
      <c r="A154" t="s">
        <v>194</v>
      </c>
      <c r="B154">
        <v>1672.405</v>
      </c>
      <c r="C154">
        <v>2155.9920000000002</v>
      </c>
    </row>
    <row r="155" spans="1:3" x14ac:dyDescent="0.3">
      <c r="A155" t="s">
        <v>195</v>
      </c>
      <c r="B155">
        <v>1845.374</v>
      </c>
      <c r="C155">
        <v>2290.8090000000002</v>
      </c>
    </row>
    <row r="156" spans="1:3" x14ac:dyDescent="0.3">
      <c r="A156" t="s">
        <v>196</v>
      </c>
      <c r="B156">
        <v>1780.4010000000001</v>
      </c>
      <c r="C156">
        <v>2167.4450000000002</v>
      </c>
    </row>
    <row r="157" spans="1:3" x14ac:dyDescent="0.3">
      <c r="A157" t="s">
        <v>197</v>
      </c>
      <c r="B157">
        <v>2016.1130000000001</v>
      </c>
      <c r="C157">
        <v>2520.1410000000001</v>
      </c>
    </row>
    <row r="158" spans="1:3" x14ac:dyDescent="0.3">
      <c r="A158" t="s">
        <v>198</v>
      </c>
      <c r="B158">
        <v>1869.9280000000001</v>
      </c>
      <c r="C158">
        <v>2332.1579999999999</v>
      </c>
    </row>
    <row r="159" spans="1:3" x14ac:dyDescent="0.3">
      <c r="A159" t="s">
        <v>199</v>
      </c>
      <c r="B159">
        <v>1930.614</v>
      </c>
      <c r="C159">
        <v>2418.5720000000001</v>
      </c>
    </row>
    <row r="160" spans="1:3" x14ac:dyDescent="0.3">
      <c r="A160" t="s">
        <v>200</v>
      </c>
      <c r="B160">
        <v>2036.5260000000001</v>
      </c>
      <c r="C160">
        <v>2518.2849999999999</v>
      </c>
    </row>
    <row r="161" spans="1:3" x14ac:dyDescent="0.3">
      <c r="A161" t="s">
        <v>201</v>
      </c>
      <c r="B161">
        <v>2136.0859999999998</v>
      </c>
      <c r="C161">
        <v>2681.9749999999999</v>
      </c>
    </row>
    <row r="162" spans="1:3" x14ac:dyDescent="0.3">
      <c r="A162" t="s">
        <v>202</v>
      </c>
      <c r="B162">
        <v>1806.539</v>
      </c>
      <c r="C162">
        <v>2720.9589999999998</v>
      </c>
    </row>
    <row r="163" spans="1:3" x14ac:dyDescent="0.3">
      <c r="A163" t="s">
        <v>203</v>
      </c>
      <c r="B163">
        <v>1950.5830000000001</v>
      </c>
      <c r="C163">
        <v>2518.4740000000002</v>
      </c>
    </row>
    <row r="164" spans="1:3" x14ac:dyDescent="0.3">
      <c r="A164" t="s">
        <v>204</v>
      </c>
      <c r="B164">
        <v>1932.7380000000001</v>
      </c>
      <c r="C164">
        <v>2497.3580000000002</v>
      </c>
    </row>
    <row r="165" spans="1:3" x14ac:dyDescent="0.3">
      <c r="A165" t="s">
        <v>205</v>
      </c>
      <c r="B165">
        <v>1911.165</v>
      </c>
      <c r="C165">
        <v>2451.277</v>
      </c>
    </row>
    <row r="166" spans="1:3" x14ac:dyDescent="0.3">
      <c r="A166" t="s">
        <v>206</v>
      </c>
      <c r="B166">
        <v>1756.836</v>
      </c>
      <c r="C166">
        <v>2237.875</v>
      </c>
    </row>
    <row r="167" spans="1:3" x14ac:dyDescent="0.3">
      <c r="A167" t="s">
        <v>207</v>
      </c>
      <c r="B167">
        <v>2026.3820000000001</v>
      </c>
      <c r="C167">
        <v>2521.1959999999999</v>
      </c>
    </row>
    <row r="168" spans="1:3" x14ac:dyDescent="0.3">
      <c r="A168" t="s">
        <v>208</v>
      </c>
      <c r="B168">
        <v>2064.145</v>
      </c>
      <c r="C168">
        <v>2597.5749999999998</v>
      </c>
    </row>
    <row r="169" spans="1:3" x14ac:dyDescent="0.3">
      <c r="A169" t="s">
        <v>209</v>
      </c>
      <c r="B169">
        <v>2254.1779999999999</v>
      </c>
      <c r="C169">
        <v>2796.3220000000001</v>
      </c>
    </row>
    <row r="170" spans="1:3" x14ac:dyDescent="0.3">
      <c r="A170" t="s">
        <v>210</v>
      </c>
      <c r="B170">
        <v>1983.9559999999999</v>
      </c>
      <c r="C170">
        <v>2599.6660000000002</v>
      </c>
    </row>
    <row r="171" spans="1:3" x14ac:dyDescent="0.3">
      <c r="A171" t="s">
        <v>211</v>
      </c>
      <c r="B171">
        <v>2148.1819999999998</v>
      </c>
      <c r="C171">
        <v>2716.0929999999998</v>
      </c>
    </row>
    <row r="172" spans="1:3" x14ac:dyDescent="0.3">
      <c r="A172" t="s">
        <v>212</v>
      </c>
      <c r="B172">
        <v>1925.789</v>
      </c>
      <c r="C172">
        <v>2319.6999999999998</v>
      </c>
    </row>
    <row r="173" spans="1:3" x14ac:dyDescent="0.3">
      <c r="A173" t="s">
        <v>213</v>
      </c>
      <c r="B173">
        <v>2064.5070000000001</v>
      </c>
      <c r="C173">
        <v>2636.5990000000002</v>
      </c>
    </row>
    <row r="174" spans="1:3" x14ac:dyDescent="0.3">
      <c r="A174" t="s">
        <v>214</v>
      </c>
      <c r="B174">
        <v>1422.788</v>
      </c>
      <c r="C174">
        <v>1925.9690000000001</v>
      </c>
    </row>
    <row r="175" spans="1:3" x14ac:dyDescent="0.3">
      <c r="A175" t="s">
        <v>215</v>
      </c>
      <c r="B175">
        <v>1468.817</v>
      </c>
      <c r="C175">
        <v>1905.9639999999999</v>
      </c>
    </row>
    <row r="176" spans="1:3" x14ac:dyDescent="0.3">
      <c r="A176" t="s">
        <v>216</v>
      </c>
      <c r="B176">
        <v>1269.723</v>
      </c>
      <c r="C176">
        <v>1656.8340000000001</v>
      </c>
    </row>
    <row r="177" spans="1:3" x14ac:dyDescent="0.3">
      <c r="A177" t="s">
        <v>217</v>
      </c>
      <c r="B177">
        <v>1778.7370000000001</v>
      </c>
      <c r="C177">
        <v>2279.0070000000001</v>
      </c>
    </row>
    <row r="178" spans="1:3" x14ac:dyDescent="0.3">
      <c r="A178" t="s">
        <v>218</v>
      </c>
      <c r="B178">
        <v>1705.8209999999999</v>
      </c>
      <c r="C178">
        <v>2180.86</v>
      </c>
    </row>
    <row r="179" spans="1:3" x14ac:dyDescent="0.3">
      <c r="A179" t="s">
        <v>219</v>
      </c>
      <c r="B179">
        <v>1687.3040000000001</v>
      </c>
      <c r="C179">
        <v>2285.3359999999998</v>
      </c>
    </row>
    <row r="180" spans="1:3" x14ac:dyDescent="0.3">
      <c r="A180" t="s">
        <v>220</v>
      </c>
      <c r="B180">
        <v>1834.2349999999999</v>
      </c>
      <c r="C180">
        <v>2254.12</v>
      </c>
    </row>
    <row r="181" spans="1:3" x14ac:dyDescent="0.3">
      <c r="A181" t="s">
        <v>221</v>
      </c>
      <c r="B181">
        <v>2008.1559999999999</v>
      </c>
      <c r="C181">
        <v>2486.288</v>
      </c>
    </row>
    <row r="182" spans="1:3" x14ac:dyDescent="0.3">
      <c r="A182" t="s">
        <v>222</v>
      </c>
      <c r="B182">
        <v>1912.249</v>
      </c>
      <c r="C182">
        <v>2344.7809999999999</v>
      </c>
    </row>
    <row r="183" spans="1:3" x14ac:dyDescent="0.3">
      <c r="A183" t="s">
        <v>223</v>
      </c>
      <c r="B183">
        <v>1869.9179999999999</v>
      </c>
      <c r="C183">
        <v>2320.5</v>
      </c>
    </row>
    <row r="184" spans="1:3" x14ac:dyDescent="0.3">
      <c r="A184" t="s">
        <v>224</v>
      </c>
      <c r="B184">
        <v>1955.806</v>
      </c>
      <c r="C184">
        <v>2444.7579999999998</v>
      </c>
    </row>
    <row r="185" spans="1:3" x14ac:dyDescent="0.3">
      <c r="A185" t="s">
        <v>225</v>
      </c>
      <c r="B185">
        <v>1473.4110000000001</v>
      </c>
      <c r="C185">
        <v>2128.261</v>
      </c>
    </row>
    <row r="186" spans="1:3" x14ac:dyDescent="0.3">
      <c r="A186" t="s">
        <v>226</v>
      </c>
      <c r="B186">
        <v>2004.8409999999999</v>
      </c>
      <c r="C186">
        <v>2547.3270000000002</v>
      </c>
    </row>
    <row r="187" spans="1:3" x14ac:dyDescent="0.3">
      <c r="A187" t="s">
        <v>227</v>
      </c>
      <c r="B187">
        <v>1824.4110000000001</v>
      </c>
      <c r="C187">
        <v>2324.2489999999998</v>
      </c>
    </row>
    <row r="188" spans="1:3" x14ac:dyDescent="0.3">
      <c r="A188" t="s">
        <v>228</v>
      </c>
      <c r="B188">
        <v>1752.855</v>
      </c>
      <c r="C188">
        <v>2250.2869999999998</v>
      </c>
    </row>
    <row r="189" spans="1:3" x14ac:dyDescent="0.3">
      <c r="A189" t="s">
        <v>229</v>
      </c>
      <c r="B189">
        <v>1536.614</v>
      </c>
      <c r="C189">
        <v>1925.63</v>
      </c>
    </row>
    <row r="190" spans="1:3" x14ac:dyDescent="0.3">
      <c r="A190" t="s">
        <v>230</v>
      </c>
      <c r="B190">
        <v>1233.326</v>
      </c>
      <c r="C190">
        <v>1534.1369999999999</v>
      </c>
    </row>
    <row r="191" spans="1:3" x14ac:dyDescent="0.3">
      <c r="A191" t="s">
        <v>231</v>
      </c>
      <c r="B191">
        <v>1382.421</v>
      </c>
      <c r="C191">
        <v>1714.902</v>
      </c>
    </row>
    <row r="192" spans="1:3" x14ac:dyDescent="0.3">
      <c r="A192" t="s">
        <v>232</v>
      </c>
      <c r="B192">
        <v>1942.0519999999999</v>
      </c>
      <c r="C192">
        <v>2433.1460000000002</v>
      </c>
    </row>
    <row r="193" spans="1:3" x14ac:dyDescent="0.3">
      <c r="A193" t="s">
        <v>233</v>
      </c>
      <c r="B193">
        <v>2205.4969999999998</v>
      </c>
      <c r="C193">
        <v>2769.123</v>
      </c>
    </row>
    <row r="194" spans="1:3" x14ac:dyDescent="0.3">
      <c r="A194" t="s">
        <v>234</v>
      </c>
      <c r="B194">
        <v>2179.337</v>
      </c>
      <c r="C194">
        <v>2758.654</v>
      </c>
    </row>
    <row r="195" spans="1:3" x14ac:dyDescent="0.3">
      <c r="A195" t="s">
        <v>235</v>
      </c>
      <c r="B195">
        <v>2305.66</v>
      </c>
      <c r="C195">
        <v>2944.578</v>
      </c>
    </row>
    <row r="196" spans="1:3" x14ac:dyDescent="0.3">
      <c r="A196" t="s">
        <v>236</v>
      </c>
      <c r="B196">
        <v>2178.8429999999998</v>
      </c>
      <c r="C196">
        <v>2630.5540000000001</v>
      </c>
    </row>
    <row r="197" spans="1:3" x14ac:dyDescent="0.3">
      <c r="A197" t="s">
        <v>237</v>
      </c>
      <c r="B197">
        <v>2327.6970000000001</v>
      </c>
      <c r="C197">
        <v>2856.7190000000001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Scale</vt:lpstr>
      <vt:lpstr>Plot Scale</vt:lpstr>
      <vt:lpstr>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2023-09-06T13:49:24Z</dcterms:created>
  <dcterms:modified xsi:type="dcterms:W3CDTF">2023-10-05T15:54:06Z</dcterms:modified>
</cp:coreProperties>
</file>