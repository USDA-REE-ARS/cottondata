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6_F013B4_CO_ITR\"/>
    </mc:Choice>
  </mc:AlternateContent>
  <xr:revisionPtr revIDLastSave="0" documentId="13_ncr:1_{4CB968B6-0519-4F80-B41D-E7A783AA53AB}" xr6:coauthVersionLast="47" xr6:coauthVersionMax="47" xr10:uidLastSave="{00000000-0000-0000-0000-000000000000}"/>
  <bookViews>
    <workbookView xWindow="-1515" yWindow="-27630" windowWidth="17850" windowHeight="19275" tabRatio="756" xr2:uid="{00000000-000D-0000-FFFF-FFFF00000000}"/>
  </bookViews>
  <sheets>
    <sheet name="Irrigation" sheetId="4" r:id="rId1"/>
    <sheet name="Other" sheetId="2" r:id="rId2"/>
    <sheet name="IrrigationDF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4" l="1"/>
  <c r="AD94" i="4" s="1"/>
  <c r="AE48" i="4"/>
  <c r="AF48" i="4"/>
  <c r="AG48" i="4"/>
  <c r="AH48" i="4"/>
  <c r="AI48" i="4"/>
  <c r="AJ48" i="4"/>
  <c r="AK48" i="4"/>
  <c r="AD51" i="4"/>
  <c r="AE51" i="4"/>
  <c r="AF51" i="4"/>
  <c r="AG51" i="4"/>
  <c r="AH51" i="4"/>
  <c r="AI51" i="4"/>
  <c r="AJ51" i="4"/>
  <c r="AK51" i="4"/>
  <c r="AD52" i="4"/>
  <c r="AE52" i="4"/>
  <c r="AE94" i="4" s="1"/>
  <c r="AF52" i="4"/>
  <c r="AF94" i="4" s="1"/>
  <c r="AG52" i="4"/>
  <c r="AG94" i="4" s="1"/>
  <c r="AH52" i="4"/>
  <c r="AH94" i="4" s="1"/>
  <c r="AI52" i="4"/>
  <c r="AI94" i="4" s="1"/>
  <c r="AJ52" i="4"/>
  <c r="AJ94" i="4" s="1"/>
  <c r="AK52" i="4"/>
  <c r="AK94" i="4" s="1"/>
  <c r="AD53" i="4"/>
  <c r="AE53" i="4"/>
  <c r="AF53" i="4"/>
  <c r="AG53" i="4"/>
  <c r="AH53" i="4"/>
  <c r="AI53" i="4"/>
  <c r="AJ53" i="4"/>
  <c r="AK53" i="4"/>
  <c r="AD54" i="4"/>
  <c r="AE54" i="4"/>
  <c r="AF54" i="4"/>
  <c r="AG54" i="4"/>
  <c r="AH54" i="4"/>
  <c r="AI54" i="4"/>
  <c r="AJ54" i="4"/>
  <c r="AK54" i="4"/>
  <c r="AD56" i="4"/>
  <c r="AE56" i="4"/>
  <c r="AF56" i="4"/>
  <c r="AG56" i="4"/>
  <c r="AH56" i="4"/>
  <c r="AI56" i="4"/>
  <c r="AJ56" i="4"/>
  <c r="AK56" i="4"/>
  <c r="AD57" i="4"/>
  <c r="AE57" i="4"/>
  <c r="AF57" i="4"/>
  <c r="AG57" i="4"/>
  <c r="AH57" i="4"/>
  <c r="AI57" i="4"/>
  <c r="AJ57" i="4"/>
  <c r="AK57" i="4"/>
  <c r="AD58" i="4"/>
  <c r="AE58" i="4"/>
  <c r="AF58" i="4"/>
  <c r="AG58" i="4"/>
  <c r="AH58" i="4"/>
  <c r="AI58" i="4"/>
  <c r="AJ58" i="4"/>
  <c r="AK58" i="4"/>
  <c r="AD59" i="4"/>
  <c r="AE59" i="4"/>
  <c r="AF59" i="4"/>
  <c r="AG59" i="4"/>
  <c r="AH59" i="4"/>
  <c r="AI59" i="4"/>
  <c r="AJ59" i="4"/>
  <c r="AK59" i="4"/>
  <c r="AD60" i="4"/>
  <c r="AE60" i="4"/>
  <c r="AF60" i="4"/>
  <c r="AG60" i="4"/>
  <c r="AH60" i="4"/>
  <c r="AI60" i="4"/>
  <c r="AJ60" i="4"/>
  <c r="AK60" i="4"/>
  <c r="AD61" i="4"/>
  <c r="AE61" i="4"/>
  <c r="AF61" i="4"/>
  <c r="AG61" i="4"/>
  <c r="AH61" i="4"/>
  <c r="AI61" i="4"/>
  <c r="AJ61" i="4"/>
  <c r="AK61" i="4"/>
  <c r="AD62" i="4"/>
  <c r="AE62" i="4"/>
  <c r="AF62" i="4"/>
  <c r="AG62" i="4"/>
  <c r="AH62" i="4"/>
  <c r="AI62" i="4"/>
  <c r="AJ62" i="4"/>
  <c r="AK62" i="4"/>
  <c r="AD63" i="4"/>
  <c r="AE63" i="4"/>
  <c r="AF63" i="4"/>
  <c r="AG63" i="4"/>
  <c r="AH63" i="4"/>
  <c r="AI63" i="4"/>
  <c r="AJ63" i="4"/>
  <c r="AK63" i="4"/>
  <c r="AD64" i="4"/>
  <c r="AE64" i="4"/>
  <c r="AF64" i="4"/>
  <c r="AG64" i="4"/>
  <c r="AH64" i="4"/>
  <c r="AI64" i="4"/>
  <c r="AJ64" i="4"/>
  <c r="AK64" i="4"/>
  <c r="AD65" i="4"/>
  <c r="AE65" i="4"/>
  <c r="AF65" i="4"/>
  <c r="AG65" i="4"/>
  <c r="AH65" i="4"/>
  <c r="AI65" i="4"/>
  <c r="AJ65" i="4"/>
  <c r="AK65" i="4"/>
  <c r="AD67" i="4"/>
  <c r="AE67" i="4"/>
  <c r="AF67" i="4"/>
  <c r="AG67" i="4"/>
  <c r="AH67" i="4"/>
  <c r="AI67" i="4"/>
  <c r="AJ67" i="4"/>
  <c r="AK67" i="4"/>
  <c r="AD68" i="4"/>
  <c r="AE68" i="4"/>
  <c r="AF68" i="4"/>
  <c r="AG68" i="4"/>
  <c r="AH68" i="4"/>
  <c r="AI68" i="4"/>
  <c r="AJ68" i="4"/>
  <c r="AK68" i="4"/>
  <c r="AD69" i="4"/>
  <c r="AE69" i="4"/>
  <c r="AF69" i="4"/>
  <c r="AG69" i="4"/>
  <c r="AH69" i="4"/>
  <c r="AI69" i="4"/>
  <c r="AJ69" i="4"/>
  <c r="AK69" i="4"/>
  <c r="AD70" i="4"/>
  <c r="AE70" i="4"/>
  <c r="AF70" i="4"/>
  <c r="AG70" i="4"/>
  <c r="AH70" i="4"/>
  <c r="AI70" i="4"/>
  <c r="AJ70" i="4"/>
  <c r="AK70" i="4"/>
  <c r="AD71" i="4"/>
  <c r="AE71" i="4"/>
  <c r="AF71" i="4"/>
  <c r="AG71" i="4"/>
  <c r="AH71" i="4"/>
  <c r="AI71" i="4"/>
  <c r="AJ71" i="4"/>
  <c r="AK71" i="4"/>
  <c r="AD72" i="4"/>
  <c r="AE72" i="4"/>
  <c r="AF72" i="4"/>
  <c r="AG72" i="4"/>
  <c r="AH72" i="4"/>
  <c r="AI72" i="4"/>
  <c r="AJ72" i="4"/>
  <c r="AK72" i="4"/>
  <c r="AD73" i="4"/>
  <c r="AE73" i="4"/>
  <c r="AF73" i="4"/>
  <c r="AG73" i="4"/>
  <c r="AH73" i="4"/>
  <c r="AI73" i="4"/>
  <c r="AJ73" i="4"/>
  <c r="AK73" i="4"/>
  <c r="AD74" i="4"/>
  <c r="AE74" i="4"/>
  <c r="AF74" i="4"/>
  <c r="AG74" i="4"/>
  <c r="AH74" i="4"/>
  <c r="AI74" i="4"/>
  <c r="AJ74" i="4"/>
  <c r="AK74" i="4"/>
  <c r="AD75" i="4"/>
  <c r="AE75" i="4"/>
  <c r="AF75" i="4"/>
  <c r="AG75" i="4"/>
  <c r="AH75" i="4"/>
  <c r="AI75" i="4"/>
  <c r="AJ75" i="4"/>
  <c r="AK75" i="4"/>
  <c r="AD76" i="4"/>
  <c r="AE76" i="4"/>
  <c r="AF76" i="4"/>
  <c r="AG76" i="4"/>
  <c r="AH76" i="4"/>
  <c r="AI76" i="4"/>
  <c r="AJ76" i="4"/>
  <c r="AK76" i="4"/>
  <c r="AD77" i="4"/>
  <c r="AE77" i="4"/>
  <c r="AF77" i="4"/>
  <c r="AG77" i="4"/>
  <c r="AH77" i="4"/>
  <c r="AI77" i="4"/>
  <c r="AJ77" i="4"/>
  <c r="AK77" i="4"/>
  <c r="AD78" i="4"/>
  <c r="AE78" i="4"/>
  <c r="AF78" i="4"/>
  <c r="AG78" i="4"/>
  <c r="AH78" i="4"/>
  <c r="AI78" i="4"/>
  <c r="AJ78" i="4"/>
  <c r="AK78" i="4"/>
  <c r="AD79" i="4"/>
  <c r="AE79" i="4"/>
  <c r="AF79" i="4"/>
  <c r="AG79" i="4"/>
  <c r="AH79" i="4"/>
  <c r="AI79" i="4"/>
  <c r="AJ79" i="4"/>
  <c r="AK79" i="4"/>
  <c r="AD80" i="4"/>
  <c r="AE80" i="4"/>
  <c r="AF80" i="4"/>
  <c r="AG80" i="4"/>
  <c r="AH80" i="4"/>
  <c r="AI80" i="4"/>
  <c r="AJ80" i="4"/>
  <c r="AK80" i="4"/>
  <c r="AD81" i="4"/>
  <c r="AE81" i="4"/>
  <c r="AF81" i="4"/>
  <c r="AG81" i="4"/>
  <c r="AH81" i="4"/>
  <c r="AI81" i="4"/>
  <c r="AJ81" i="4"/>
  <c r="AK81" i="4"/>
  <c r="AD82" i="4"/>
  <c r="AE82" i="4"/>
  <c r="AF82" i="4"/>
  <c r="AG82" i="4"/>
  <c r="AH82" i="4"/>
  <c r="AI82" i="4"/>
  <c r="AJ82" i="4"/>
  <c r="AK82" i="4"/>
  <c r="AD83" i="4"/>
  <c r="AE83" i="4"/>
  <c r="AF83" i="4"/>
  <c r="AG83" i="4"/>
  <c r="AH83" i="4"/>
  <c r="AI83" i="4"/>
  <c r="AJ83" i="4"/>
  <c r="AK83" i="4"/>
  <c r="AD84" i="4"/>
  <c r="AE84" i="4"/>
  <c r="AF84" i="4"/>
  <c r="AG84" i="4"/>
  <c r="AH84" i="4"/>
  <c r="AI84" i="4"/>
  <c r="AJ84" i="4"/>
  <c r="AK84" i="4"/>
  <c r="AD85" i="4"/>
  <c r="AE85" i="4"/>
  <c r="AF85" i="4"/>
  <c r="AG85" i="4"/>
  <c r="AH85" i="4"/>
  <c r="AI85" i="4"/>
  <c r="AJ85" i="4"/>
  <c r="AK85" i="4"/>
  <c r="AD86" i="4"/>
  <c r="AE86" i="4"/>
  <c r="AF86" i="4"/>
  <c r="AG86" i="4"/>
  <c r="AH86" i="4"/>
  <c r="AI86" i="4"/>
  <c r="AJ86" i="4"/>
  <c r="AK86" i="4"/>
  <c r="AD87" i="4"/>
  <c r="AE87" i="4"/>
  <c r="AF87" i="4"/>
  <c r="AG87" i="4"/>
  <c r="AH87" i="4"/>
  <c r="AI87" i="4"/>
  <c r="AJ87" i="4"/>
  <c r="AK87" i="4"/>
  <c r="AD88" i="4"/>
  <c r="AE88" i="4"/>
  <c r="AF88" i="4"/>
  <c r="AG88" i="4"/>
  <c r="AH88" i="4"/>
  <c r="AI88" i="4"/>
  <c r="AJ88" i="4"/>
  <c r="AK88" i="4"/>
  <c r="AD89" i="4"/>
  <c r="AE89" i="4"/>
  <c r="AF89" i="4"/>
  <c r="AG89" i="4"/>
  <c r="AH89" i="4"/>
  <c r="AI89" i="4"/>
  <c r="AJ89" i="4"/>
  <c r="AK89" i="4"/>
  <c r="AD90" i="4"/>
  <c r="AE90" i="4"/>
  <c r="AF90" i="4"/>
  <c r="AG90" i="4"/>
  <c r="AH90" i="4"/>
  <c r="AI90" i="4"/>
  <c r="AJ90" i="4"/>
  <c r="AK90" i="4"/>
  <c r="AD91" i="4"/>
  <c r="AE91" i="4"/>
  <c r="AF91" i="4"/>
  <c r="AG91" i="4"/>
  <c r="AH91" i="4"/>
  <c r="AI91" i="4"/>
  <c r="AJ91" i="4"/>
  <c r="AK91" i="4"/>
  <c r="AD92" i="4"/>
  <c r="AE92" i="4"/>
  <c r="AF92" i="4"/>
  <c r="AG92" i="4"/>
  <c r="AH92" i="4"/>
  <c r="AI92" i="4"/>
  <c r="AJ92" i="4"/>
  <c r="AK92" i="4"/>
  <c r="G92" i="4" l="1"/>
  <c r="G91" i="4"/>
  <c r="Q58" i="4"/>
  <c r="M48" i="4"/>
  <c r="K90" i="4" l="1"/>
  <c r="AB92" i="4" l="1"/>
  <c r="AB91" i="4"/>
  <c r="AB90" i="4"/>
  <c r="AB89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98" i="4" s="1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Z51" i="4"/>
  <c r="AA51" i="4"/>
  <c r="AB51" i="4"/>
  <c r="Z52" i="4"/>
  <c r="AA52" i="4"/>
  <c r="AB52" i="4"/>
  <c r="Z53" i="4"/>
  <c r="AA53" i="4"/>
  <c r="AB53" i="4"/>
  <c r="Z54" i="4"/>
  <c r="AA54" i="4"/>
  <c r="AB54" i="4"/>
  <c r="Z56" i="4"/>
  <c r="AA56" i="4"/>
  <c r="AB56" i="4"/>
  <c r="Z57" i="4"/>
  <c r="AA57" i="4"/>
  <c r="AB57" i="4"/>
  <c r="Z58" i="4"/>
  <c r="AA58" i="4"/>
  <c r="AB58" i="4"/>
  <c r="Z59" i="4"/>
  <c r="AA59" i="4"/>
  <c r="AB59" i="4"/>
  <c r="Z60" i="4"/>
  <c r="AA60" i="4"/>
  <c r="AB60" i="4"/>
  <c r="Z61" i="4"/>
  <c r="AA61" i="4"/>
  <c r="AB61" i="4"/>
  <c r="Z62" i="4"/>
  <c r="AA62" i="4"/>
  <c r="AB62" i="4"/>
  <c r="Z63" i="4"/>
  <c r="AA63" i="4"/>
  <c r="AB63" i="4"/>
  <c r="Z64" i="4"/>
  <c r="AA64" i="4"/>
  <c r="AB64" i="4"/>
  <c r="Z65" i="4"/>
  <c r="AA65" i="4"/>
  <c r="AB65" i="4"/>
  <c r="Z67" i="4"/>
  <c r="AA67" i="4"/>
  <c r="AB67" i="4"/>
  <c r="Z68" i="4"/>
  <c r="AA68" i="4"/>
  <c r="AB68" i="4"/>
  <c r="Z69" i="4"/>
  <c r="AA69" i="4"/>
  <c r="AB69" i="4"/>
  <c r="Y69" i="4"/>
  <c r="Y68" i="4"/>
  <c r="Y67" i="4"/>
  <c r="Y65" i="4"/>
  <c r="Y64" i="4"/>
  <c r="Y63" i="4"/>
  <c r="Y62" i="4"/>
  <c r="Y61" i="4"/>
  <c r="Y60" i="4"/>
  <c r="Y59" i="4"/>
  <c r="Y58" i="4"/>
  <c r="Y57" i="4"/>
  <c r="Y56" i="4"/>
  <c r="Y54" i="4"/>
  <c r="Y53" i="4"/>
  <c r="Y52" i="4"/>
  <c r="Y51" i="4"/>
  <c r="X67" i="4"/>
  <c r="X68" i="4"/>
  <c r="X69" i="4"/>
  <c r="X56" i="4"/>
  <c r="X57" i="4"/>
  <c r="X58" i="4"/>
  <c r="X59" i="4"/>
  <c r="X60" i="4"/>
  <c r="X61" i="4"/>
  <c r="X62" i="4"/>
  <c r="X63" i="4"/>
  <c r="X64" i="4"/>
  <c r="X65" i="4"/>
  <c r="X51" i="4"/>
  <c r="X52" i="4"/>
  <c r="X53" i="4"/>
  <c r="X54" i="4"/>
  <c r="U67" i="4"/>
  <c r="V67" i="4"/>
  <c r="U68" i="4"/>
  <c r="V68" i="4"/>
  <c r="U69" i="4"/>
  <c r="V69" i="4"/>
  <c r="U56" i="4"/>
  <c r="V56" i="4"/>
  <c r="U57" i="4"/>
  <c r="V57" i="4"/>
  <c r="U58" i="4"/>
  <c r="V58" i="4"/>
  <c r="U59" i="4"/>
  <c r="V59" i="4"/>
  <c r="U60" i="4"/>
  <c r="V60" i="4"/>
  <c r="U61" i="4"/>
  <c r="V61" i="4"/>
  <c r="U62" i="4"/>
  <c r="V62" i="4"/>
  <c r="U63" i="4"/>
  <c r="V63" i="4"/>
  <c r="U64" i="4"/>
  <c r="V64" i="4"/>
  <c r="U65" i="4"/>
  <c r="V65" i="4"/>
  <c r="U51" i="4"/>
  <c r="V51" i="4"/>
  <c r="U52" i="4"/>
  <c r="V52" i="4"/>
  <c r="U53" i="4"/>
  <c r="V53" i="4"/>
  <c r="U54" i="4"/>
  <c r="V54" i="4"/>
  <c r="R51" i="4"/>
  <c r="S51" i="4"/>
  <c r="T51" i="4"/>
  <c r="R52" i="4"/>
  <c r="S52" i="4"/>
  <c r="T52" i="4"/>
  <c r="R53" i="4"/>
  <c r="S53" i="4"/>
  <c r="T53" i="4"/>
  <c r="R54" i="4"/>
  <c r="S54" i="4"/>
  <c r="T54" i="4"/>
  <c r="R56" i="4"/>
  <c r="S56" i="4"/>
  <c r="T56" i="4"/>
  <c r="R57" i="4"/>
  <c r="S57" i="4"/>
  <c r="T57" i="4"/>
  <c r="R58" i="4"/>
  <c r="S58" i="4"/>
  <c r="T58" i="4"/>
  <c r="R59" i="4"/>
  <c r="S59" i="4"/>
  <c r="T59" i="4"/>
  <c r="R60" i="4"/>
  <c r="S60" i="4"/>
  <c r="T60" i="4"/>
  <c r="R61" i="4"/>
  <c r="S61" i="4"/>
  <c r="T61" i="4"/>
  <c r="R62" i="4"/>
  <c r="S62" i="4"/>
  <c r="T62" i="4"/>
  <c r="R63" i="4"/>
  <c r="S63" i="4"/>
  <c r="T63" i="4"/>
  <c r="R64" i="4"/>
  <c r="S64" i="4"/>
  <c r="T64" i="4"/>
  <c r="R65" i="4"/>
  <c r="S65" i="4"/>
  <c r="T65" i="4"/>
  <c r="R67" i="4"/>
  <c r="S67" i="4"/>
  <c r="T67" i="4"/>
  <c r="R68" i="4"/>
  <c r="S68" i="4"/>
  <c r="T68" i="4"/>
  <c r="R69" i="4"/>
  <c r="S69" i="4"/>
  <c r="T69" i="4"/>
  <c r="Q69" i="4"/>
  <c r="Q68" i="4"/>
  <c r="Q67" i="4"/>
  <c r="Q65" i="4"/>
  <c r="Q64" i="4"/>
  <c r="Q63" i="4"/>
  <c r="Q62" i="4"/>
  <c r="Q61" i="4"/>
  <c r="Q60" i="4"/>
  <c r="Q59" i="4"/>
  <c r="Q57" i="4"/>
  <c r="Q56" i="4"/>
  <c r="Q54" i="4"/>
  <c r="Q53" i="4"/>
  <c r="Q52" i="4"/>
  <c r="Q51" i="4"/>
  <c r="N51" i="4"/>
  <c r="O51" i="4"/>
  <c r="P51" i="4"/>
  <c r="N52" i="4"/>
  <c r="O52" i="4"/>
  <c r="P52" i="4"/>
  <c r="N53" i="4"/>
  <c r="O53" i="4"/>
  <c r="P53" i="4"/>
  <c r="N54" i="4"/>
  <c r="O54" i="4"/>
  <c r="P54" i="4"/>
  <c r="N56" i="4"/>
  <c r="O56" i="4"/>
  <c r="P56" i="4"/>
  <c r="N57" i="4"/>
  <c r="O57" i="4"/>
  <c r="P57" i="4"/>
  <c r="N58" i="4"/>
  <c r="O58" i="4"/>
  <c r="P58" i="4"/>
  <c r="N59" i="4"/>
  <c r="O59" i="4"/>
  <c r="P59" i="4"/>
  <c r="N60" i="4"/>
  <c r="O60" i="4"/>
  <c r="P60" i="4"/>
  <c r="N61" i="4"/>
  <c r="O61" i="4"/>
  <c r="P61" i="4"/>
  <c r="N62" i="4"/>
  <c r="O62" i="4"/>
  <c r="P62" i="4"/>
  <c r="N63" i="4"/>
  <c r="O63" i="4"/>
  <c r="P63" i="4"/>
  <c r="N64" i="4"/>
  <c r="O64" i="4"/>
  <c r="P64" i="4"/>
  <c r="N65" i="4"/>
  <c r="O65" i="4"/>
  <c r="P65" i="4"/>
  <c r="N67" i="4"/>
  <c r="O67" i="4"/>
  <c r="P67" i="4"/>
  <c r="N68" i="4"/>
  <c r="O68" i="4"/>
  <c r="P68" i="4"/>
  <c r="N69" i="4"/>
  <c r="O69" i="4"/>
  <c r="P69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5" i="4"/>
  <c r="M64" i="4"/>
  <c r="M63" i="4"/>
  <c r="M62" i="4"/>
  <c r="M61" i="4"/>
  <c r="M60" i="4"/>
  <c r="M59" i="4"/>
  <c r="M58" i="4"/>
  <c r="M57" i="4"/>
  <c r="M56" i="4"/>
  <c r="M54" i="4"/>
  <c r="M53" i="4"/>
  <c r="M52" i="4"/>
  <c r="M51" i="4"/>
  <c r="M97" i="4" s="1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5" i="4"/>
  <c r="W64" i="4"/>
  <c r="W63" i="4"/>
  <c r="W62" i="4"/>
  <c r="W61" i="4"/>
  <c r="W60" i="4"/>
  <c r="W59" i="4"/>
  <c r="W58" i="4"/>
  <c r="W57" i="4"/>
  <c r="W56" i="4"/>
  <c r="W54" i="4"/>
  <c r="W53" i="4"/>
  <c r="W52" i="4"/>
  <c r="W51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W97" i="4" l="1"/>
  <c r="N98" i="4"/>
  <c r="Q97" i="4"/>
  <c r="P98" i="4"/>
  <c r="Z98" i="4"/>
  <c r="R97" i="4"/>
  <c r="AA98" i="4"/>
  <c r="M98" i="4"/>
  <c r="Z97" i="4"/>
  <c r="S97" i="4"/>
  <c r="X97" i="4"/>
  <c r="U97" i="4"/>
  <c r="X98" i="4"/>
  <c r="R98" i="4"/>
  <c r="AB97" i="4"/>
  <c r="T98" i="4"/>
  <c r="Q98" i="4"/>
  <c r="P97" i="4"/>
  <c r="O97" i="4"/>
  <c r="N97" i="4"/>
  <c r="T97" i="4"/>
  <c r="Y98" i="4"/>
  <c r="V97" i="4"/>
  <c r="V98" i="4"/>
  <c r="W98" i="4"/>
  <c r="U98" i="4"/>
  <c r="S98" i="4"/>
  <c r="Y97" i="4"/>
  <c r="AA97" i="4"/>
  <c r="O98" i="4"/>
  <c r="M94" i="4"/>
  <c r="V94" i="4"/>
  <c r="N94" i="4"/>
  <c r="R94" i="4"/>
  <c r="Z94" i="4"/>
  <c r="P94" i="4"/>
  <c r="U94" i="4"/>
  <c r="AB94" i="4"/>
  <c r="X94" i="4"/>
  <c r="T94" i="4"/>
  <c r="Y94" i="4"/>
  <c r="Q94" i="4"/>
  <c r="AA94" i="4"/>
  <c r="W94" i="4"/>
  <c r="S94" i="4"/>
  <c r="O94" i="4"/>
  <c r="E92" i="4"/>
  <c r="E91" i="4"/>
  <c r="H92" i="4" l="1"/>
  <c r="H91" i="4"/>
  <c r="F91" i="4"/>
  <c r="F92" i="4"/>
  <c r="G90" i="4" l="1"/>
  <c r="H90" i="4" s="1"/>
  <c r="G89" i="4"/>
  <c r="H89" i="4" s="1"/>
  <c r="G88" i="4"/>
  <c r="H88" i="4" s="1"/>
  <c r="E88" i="4"/>
  <c r="F88" i="4" s="1"/>
  <c r="E90" i="4"/>
  <c r="F90" i="4" s="1"/>
  <c r="E89" i="4"/>
  <c r="F89" i="4" s="1"/>
  <c r="G86" i="4" l="1"/>
  <c r="H86" i="4" s="1"/>
  <c r="G85" i="4"/>
  <c r="H85" i="4" s="1"/>
  <c r="E86" i="4"/>
  <c r="E85" i="4"/>
  <c r="F85" i="4" s="1"/>
  <c r="G87" i="4"/>
  <c r="H87" i="4" s="1"/>
  <c r="F86" i="4"/>
  <c r="E87" i="4"/>
  <c r="F87" i="4" s="1"/>
  <c r="G83" i="4"/>
  <c r="G82" i="4"/>
  <c r="E83" i="4" l="1"/>
  <c r="E82" i="4"/>
  <c r="H82" i="4" l="1"/>
  <c r="H83" i="4"/>
  <c r="G84" i="4"/>
  <c r="H84" i="4" s="1"/>
  <c r="F82" i="4"/>
  <c r="F83" i="4"/>
  <c r="E84" i="4"/>
  <c r="F84" i="4" s="1"/>
  <c r="E80" i="4"/>
  <c r="G81" i="4" l="1"/>
  <c r="E81" i="4"/>
  <c r="H81" i="4" l="1"/>
  <c r="G80" i="4"/>
  <c r="H80" i="4" s="1"/>
  <c r="G79" i="4"/>
  <c r="H79" i="4" s="1"/>
  <c r="F80" i="4"/>
  <c r="F81" i="4"/>
  <c r="E79" i="4"/>
  <c r="F79" i="4" s="1"/>
  <c r="G78" i="4" l="1"/>
  <c r="G77" i="4"/>
  <c r="G76" i="4"/>
  <c r="E77" i="4"/>
  <c r="E76" i="4"/>
  <c r="E78" i="4"/>
  <c r="H76" i="4" l="1"/>
  <c r="H77" i="4"/>
  <c r="H78" i="4"/>
  <c r="F76" i="4"/>
  <c r="F77" i="4"/>
  <c r="F78" i="4"/>
  <c r="G75" i="4" l="1"/>
  <c r="H75" i="4" s="1"/>
  <c r="G74" i="4"/>
  <c r="H74" i="4" s="1"/>
  <c r="G73" i="4"/>
  <c r="H73" i="4" s="1"/>
  <c r="E75" i="4"/>
  <c r="F75" i="4" s="1"/>
  <c r="E74" i="4"/>
  <c r="F74" i="4" s="1"/>
  <c r="E73" i="4"/>
  <c r="F73" i="4" s="1"/>
  <c r="G70" i="4" l="1"/>
  <c r="E70" i="4"/>
  <c r="G72" i="4" l="1"/>
  <c r="H72" i="4" s="1"/>
  <c r="G71" i="4"/>
  <c r="H71" i="4" s="1"/>
  <c r="E72" i="4"/>
  <c r="F72" i="4" s="1"/>
  <c r="E71" i="4"/>
  <c r="F71" i="4" s="1"/>
  <c r="F70" i="4"/>
  <c r="H70" i="4"/>
  <c r="G69" i="4" l="1"/>
  <c r="H69" i="4" s="1"/>
  <c r="G68" i="4"/>
  <c r="H68" i="4" s="1"/>
  <c r="G67" i="4"/>
  <c r="H67" i="4" s="1"/>
  <c r="E69" i="4"/>
  <c r="F69" i="4" s="1"/>
  <c r="E68" i="4"/>
  <c r="F68" i="4" s="1"/>
  <c r="E67" i="4"/>
  <c r="F67" i="4" s="1"/>
  <c r="H66" i="4" l="1"/>
  <c r="F66" i="4"/>
  <c r="G65" i="4"/>
  <c r="H65" i="4" s="1"/>
  <c r="G64" i="4"/>
  <c r="H64" i="4" s="1"/>
  <c r="E65" i="4"/>
  <c r="F65" i="4" s="1"/>
  <c r="E64" i="4"/>
  <c r="F64" i="4" s="1"/>
  <c r="G63" i="4" l="1"/>
  <c r="H63" i="4" s="1"/>
  <c r="G62" i="4"/>
  <c r="H62" i="4" s="1"/>
  <c r="G61" i="4"/>
  <c r="H61" i="4" s="1"/>
  <c r="E63" i="4"/>
  <c r="F63" i="4" s="1"/>
  <c r="E62" i="4"/>
  <c r="F62" i="4" s="1"/>
  <c r="E61" i="4"/>
  <c r="F61" i="4" s="1"/>
  <c r="G60" i="4" l="1"/>
  <c r="H60" i="4" s="1"/>
  <c r="G59" i="4"/>
  <c r="H59" i="4" s="1"/>
  <c r="G58" i="4"/>
  <c r="H58" i="4" s="1"/>
  <c r="E60" i="4"/>
  <c r="F60" i="4" s="1"/>
  <c r="E59" i="4"/>
  <c r="F59" i="4" s="1"/>
  <c r="E58" i="4"/>
  <c r="F58" i="4" s="1"/>
  <c r="E57" i="4"/>
  <c r="G57" i="4" l="1"/>
  <c r="H57" i="4" s="1"/>
  <c r="G56" i="4" l="1"/>
  <c r="H56" i="4" s="1"/>
  <c r="E56" i="4"/>
  <c r="F56" i="4" s="1"/>
  <c r="G54" i="4"/>
  <c r="H54" i="4" s="1"/>
  <c r="H55" i="4"/>
  <c r="F55" i="4"/>
  <c r="E54" i="4"/>
  <c r="F54" i="4" s="1"/>
  <c r="F57" i="4"/>
  <c r="G52" i="4" l="1"/>
  <c r="E53" i="4"/>
  <c r="E52" i="4"/>
  <c r="E51" i="4"/>
  <c r="G51" i="4"/>
  <c r="G53" i="4"/>
  <c r="H49" i="4" l="1"/>
  <c r="H50" i="4"/>
  <c r="H51" i="4"/>
  <c r="H52" i="4"/>
  <c r="F49" i="4"/>
  <c r="F50" i="4"/>
  <c r="H53" i="4"/>
  <c r="F52" i="4" l="1"/>
  <c r="F53" i="4"/>
  <c r="F51" i="4"/>
  <c r="H37" i="4" l="1"/>
  <c r="H38" i="4"/>
  <c r="H39" i="4"/>
  <c r="H40" i="4"/>
  <c r="H41" i="4"/>
  <c r="F42" i="4"/>
  <c r="F43" i="4"/>
  <c r="F44" i="4"/>
  <c r="F45" i="4"/>
  <c r="H45" i="4" l="1"/>
  <c r="G48" i="4"/>
  <c r="G93" i="4" s="1"/>
  <c r="E48" i="4"/>
  <c r="E93" i="4" l="1"/>
  <c r="F48" i="4"/>
  <c r="F93" i="4" s="1"/>
  <c r="H48" i="4"/>
  <c r="H93" i="4" s="1"/>
  <c r="G44" i="4"/>
  <c r="H44" i="4" s="1"/>
  <c r="G43" i="4" l="1"/>
  <c r="H43" i="4" l="1"/>
  <c r="G42" i="4"/>
  <c r="H42" i="4" s="1"/>
  <c r="G36" i="4" l="1"/>
  <c r="H36" i="4" s="1"/>
  <c r="G35" i="4"/>
  <c r="H35" i="4" s="1"/>
  <c r="G34" i="4"/>
  <c r="H34" i="4" s="1"/>
  <c r="G33" i="4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G15" i="4"/>
  <c r="H15" i="4" s="1"/>
  <c r="G14" i="4"/>
  <c r="H14" i="4" s="1"/>
  <c r="G13" i="4"/>
  <c r="H13" i="4" s="1"/>
  <c r="G12" i="4"/>
  <c r="H12" i="4" s="1"/>
  <c r="G11" i="4"/>
  <c r="H11" i="4" s="1"/>
  <c r="G10" i="4"/>
  <c r="G94" i="4" l="1"/>
  <c r="G16" i="4"/>
  <c r="G31" i="4"/>
  <c r="H33" i="4"/>
  <c r="H46" i="4" s="1"/>
  <c r="G46" i="4"/>
  <c r="H18" i="4"/>
  <c r="H10" i="4"/>
  <c r="H16" i="4" s="1"/>
  <c r="H31" i="4" l="1"/>
  <c r="H94" i="4"/>
  <c r="E41" i="4"/>
  <c r="F41" i="4" s="1"/>
  <c r="E40" i="4" l="1"/>
  <c r="F40" i="4" s="1"/>
  <c r="E39" i="4" l="1"/>
  <c r="F39" i="4" s="1"/>
  <c r="E38" i="4" l="1"/>
  <c r="F38" i="4" s="1"/>
  <c r="E37" i="4" l="1"/>
  <c r="F37" i="4" s="1"/>
  <c r="E36" i="4" l="1"/>
  <c r="E35" i="4"/>
  <c r="E33" i="4" l="1"/>
  <c r="E34" i="4" l="1"/>
  <c r="E46" i="4" s="1"/>
  <c r="F35" i="4"/>
  <c r="F36" i="4"/>
  <c r="F33" i="4"/>
  <c r="N96" i="4" l="1"/>
  <c r="P96" i="4"/>
  <c r="Q96" i="4"/>
  <c r="S96" i="4"/>
  <c r="U96" i="4"/>
  <c r="W96" i="4"/>
  <c r="X96" i="4"/>
  <c r="Z96" i="4"/>
  <c r="AA96" i="4"/>
  <c r="M96" i="4"/>
  <c r="O96" i="4"/>
  <c r="R96" i="4"/>
  <c r="T96" i="4"/>
  <c r="V96" i="4"/>
  <c r="Y96" i="4"/>
  <c r="AB96" i="4"/>
  <c r="F34" i="4"/>
  <c r="F46" i="4" s="1"/>
  <c r="E30" i="4"/>
  <c r="F30" i="4" s="1"/>
  <c r="E29" i="4"/>
  <c r="F29" i="4" s="1"/>
  <c r="E28" i="4" l="1"/>
  <c r="F28" i="4" l="1"/>
  <c r="E27" i="4" l="1"/>
  <c r="F27" i="4" s="1"/>
  <c r="E26" i="4"/>
  <c r="F26" i="4" s="1"/>
  <c r="F5" i="4"/>
  <c r="F4" i="4"/>
  <c r="F3" i="4"/>
  <c r="E25" i="4" l="1"/>
  <c r="F25" i="4" l="1"/>
  <c r="E24" i="4" l="1"/>
  <c r="F24" i="4" s="1"/>
  <c r="E23" i="4"/>
  <c r="F23" i="4" s="1"/>
  <c r="E22" i="4"/>
  <c r="F22" i="4" s="1"/>
  <c r="E21" i="4" l="1"/>
  <c r="F21" i="4" s="1"/>
  <c r="E20" i="4" l="1"/>
  <c r="F20" i="4" s="1"/>
  <c r="E19" i="4" l="1"/>
  <c r="F19" i="4" s="1"/>
  <c r="E18" i="4"/>
  <c r="E12" i="4"/>
  <c r="C4" i="4"/>
  <c r="C5" i="4"/>
  <c r="C3" i="4"/>
  <c r="E94" i="4" l="1"/>
  <c r="E96" i="4" s="1"/>
  <c r="E99" i="4" s="1"/>
  <c r="E97" i="4"/>
  <c r="E31" i="4"/>
  <c r="F18" i="4"/>
  <c r="E15" i="4"/>
  <c r="F15" i="4" s="1"/>
  <c r="E14" i="4"/>
  <c r="F14" i="4" s="1"/>
  <c r="E13" i="4"/>
  <c r="F13" i="4" s="1"/>
  <c r="F12" i="4"/>
  <c r="E11" i="4"/>
  <c r="F11" i="4" s="1"/>
  <c r="E10" i="4"/>
  <c r="N95" i="4" l="1"/>
  <c r="N100" i="4" s="1"/>
  <c r="O95" i="4"/>
  <c r="O100" i="4" s="1"/>
  <c r="Q95" i="4"/>
  <c r="Q100" i="4" s="1"/>
  <c r="R95" i="4"/>
  <c r="R100" i="4" s="1"/>
  <c r="S95" i="4"/>
  <c r="S100" i="4" s="1"/>
  <c r="T95" i="4"/>
  <c r="T100" i="4" s="1"/>
  <c r="U95" i="4"/>
  <c r="U100" i="4" s="1"/>
  <c r="V95" i="4"/>
  <c r="V100" i="4" s="1"/>
  <c r="W95" i="4"/>
  <c r="W100" i="4" s="1"/>
  <c r="X95" i="4"/>
  <c r="X100" i="4" s="1"/>
  <c r="AA95" i="4"/>
  <c r="AA100" i="4" s="1"/>
  <c r="P95" i="4"/>
  <c r="P100" i="4" s="1"/>
  <c r="Y95" i="4"/>
  <c r="Y100" i="4" s="1"/>
  <c r="Z95" i="4"/>
  <c r="Z100" i="4" s="1"/>
  <c r="AB95" i="4"/>
  <c r="AB100" i="4" s="1"/>
  <c r="M95" i="4"/>
  <c r="M100" i="4" s="1"/>
  <c r="F31" i="4"/>
  <c r="F94" i="4"/>
  <c r="F10" i="4"/>
  <c r="F16" i="4" s="1"/>
  <c r="E16" i="4"/>
</calcChain>
</file>

<file path=xl/sharedStrings.xml><?xml version="1.0" encoding="utf-8"?>
<sst xmlns="http://schemas.openxmlformats.org/spreadsheetml/2006/main" count="288" uniqueCount="119">
  <si>
    <t>Round-up rye cover crop</t>
  </si>
  <si>
    <t>Soil samples for nitrogen analysis, 32 location plus 3 in Span 1 and 3 in Span 7, depth of 120 cm.</t>
  </si>
  <si>
    <t>Test strip till rig</t>
  </si>
  <si>
    <t>Deep rip</t>
  </si>
  <si>
    <t>Double disc</t>
  </si>
  <si>
    <t>Land Plane and Linear dry run (x2) to establish wheel tracks</t>
  </si>
  <si>
    <t>Speed</t>
  </si>
  <si>
    <t>Depth</t>
  </si>
  <si>
    <t>Date</t>
  </si>
  <si>
    <t>DOY</t>
  </si>
  <si>
    <t>Rye Cover</t>
  </si>
  <si>
    <t>mm</t>
  </si>
  <si>
    <t>Linear</t>
  </si>
  <si>
    <t>100%+100%+50%</t>
  </si>
  <si>
    <t>100%+100%+50%+50%</t>
  </si>
  <si>
    <t>50%+50%+50%</t>
  </si>
  <si>
    <t>inch</t>
  </si>
  <si>
    <t>Depth (mm)</t>
  </si>
  <si>
    <t>Depth (in)</t>
  </si>
  <si>
    <t>100%+100%</t>
  </si>
  <si>
    <t>Pre-water</t>
  </si>
  <si>
    <t>50%+50%</t>
  </si>
  <si>
    <t>Run up borders on wheel tracks, installed a single access tube in Span 3, Start pre-water</t>
  </si>
  <si>
    <t>50%+50%+50%+50%</t>
  </si>
  <si>
    <t>50%+50%+50%+100%</t>
  </si>
  <si>
    <t>Changed to #12 nozzles</t>
  </si>
  <si>
    <t>#11</t>
  </si>
  <si>
    <t>#12</t>
  </si>
  <si>
    <t>Crossover board went out on Vision panel halfway through last run.</t>
  </si>
  <si>
    <t>50%+50%+50%+100%+100%</t>
  </si>
  <si>
    <t>Burndown of weeds (Carfentrazone-ethyl &amp; Paraquat dichloride)</t>
  </si>
  <si>
    <t>Field cultivation to remove sprayer ruts; S-tine Prowl pre-emergent herbicide)</t>
  </si>
  <si>
    <t>Flagged Span 2-6, Ran linear dry to establish wheel tracks</t>
  </si>
  <si>
    <t>No field entry due to spray, Ran linear dry to establish wheel tracks</t>
  </si>
  <si>
    <t>Planted Span 2-6, Flagged Span 1 &amp; 7</t>
  </si>
  <si>
    <t>Planted Span 1 &amp; 7, Ran up wheel track berms</t>
  </si>
  <si>
    <t>Emergence</t>
  </si>
  <si>
    <t>50%.</t>
  </si>
  <si>
    <t>50%+25%+100%</t>
  </si>
  <si>
    <t>25%.</t>
  </si>
  <si>
    <t>Tested fertigation rig</t>
  </si>
  <si>
    <t>64%+64%</t>
  </si>
  <si>
    <t>Installed first neutron tube</t>
  </si>
  <si>
    <t>Planting1</t>
  </si>
  <si>
    <t>Planting2</t>
  </si>
  <si>
    <t xml:space="preserve">Emergence </t>
  </si>
  <si>
    <t>50%+50%+50%+50%+50%</t>
  </si>
  <si>
    <t>Planted Span 2, second planting</t>
  </si>
  <si>
    <t>Cotton</t>
  </si>
  <si>
    <t>Switched to bubbler pads</t>
  </si>
  <si>
    <t>Installed 8 access tubes in Span 1-2</t>
  </si>
  <si>
    <t>Fertigate (37 kg/ha)</t>
  </si>
  <si>
    <t>Weeding crew to hand weed - Black nightshade and annual ryegrass</t>
  </si>
  <si>
    <t>Started VRI treatments (P1 rates at each speed are now 83.33% less for 100% rate treatment)</t>
  </si>
  <si>
    <t xml:space="preserve">Cotton </t>
  </si>
  <si>
    <t>50%+50%+100%</t>
  </si>
  <si>
    <t>VRI nodes not communicating well.</t>
  </si>
  <si>
    <t>Fertigate (37 kg/ha) - NO VRI!</t>
  </si>
  <si>
    <t>50%+50%+100%+100%</t>
  </si>
  <si>
    <t>100% (x8)</t>
  </si>
  <si>
    <t>100% (x6)</t>
  </si>
  <si>
    <t>Aerial apply Flonicamid for Lygus</t>
  </si>
  <si>
    <t>50%+100% (x5)</t>
  </si>
  <si>
    <t>F13 Rain Gauge (Span 3)</t>
  </si>
  <si>
    <t>Aerial apply Flonicamid for Lygus and mepiquat chloride (Pix)</t>
  </si>
  <si>
    <t>50% + 100% (x3)</t>
  </si>
  <si>
    <t>Aerial apply Sulfoxaflor, Surfactant for Lygus</t>
  </si>
  <si>
    <t>Switched Span 7 to 80% rate to end of season</t>
  </si>
  <si>
    <t>100% (x4)</t>
  </si>
  <si>
    <t>Aerial apply Flupyradifurone and Surfactant to control white fly</t>
  </si>
  <si>
    <t>50%+100%(x3)</t>
  </si>
  <si>
    <t>50%+100%(x1)</t>
  </si>
  <si>
    <t>Aerial apply Pyriproxyfen, Surfactant for white fly</t>
  </si>
  <si>
    <t>Apply Diuron, Thidiazuron for defolation</t>
  </si>
  <si>
    <t>Apply Diuron, Thidiazuron, Ethephon for defolation</t>
  </si>
  <si>
    <t>Harvest with 4-row picker</t>
  </si>
  <si>
    <t>Chop stalks</t>
  </si>
  <si>
    <t>Dig around neutron tubes</t>
  </si>
  <si>
    <t>Pull neutron tubes</t>
  </si>
  <si>
    <t>Run root puller</t>
  </si>
  <si>
    <t>Land plane</t>
  </si>
  <si>
    <t>Harvest final harvest areas with 2-row picker</t>
  </si>
  <si>
    <t>Moldboard plow</t>
  </si>
  <si>
    <t>Order cotton seed from Fertizona - Deltapine 1549 B2XF</t>
  </si>
  <si>
    <t>60-60</t>
  </si>
  <si>
    <t>60-80</t>
  </si>
  <si>
    <t>60-100</t>
  </si>
  <si>
    <t>60-120</t>
  </si>
  <si>
    <t>80-60</t>
  </si>
  <si>
    <t>80-80</t>
  </si>
  <si>
    <t>80-100</t>
  </si>
  <si>
    <t>80-120</t>
  </si>
  <si>
    <t>100-60</t>
  </si>
  <si>
    <t>100-80</t>
  </si>
  <si>
    <t>100-100</t>
  </si>
  <si>
    <t>100-120</t>
  </si>
  <si>
    <t>120-60</t>
  </si>
  <si>
    <t>120-80</t>
  </si>
  <si>
    <t>120-100</t>
  </si>
  <si>
    <t>120-120</t>
  </si>
  <si>
    <t>Switched to T2 VRI rates (1157 AZMET heat units from planting to now)</t>
  </si>
  <si>
    <t>Total</t>
  </si>
  <si>
    <t>P1-060</t>
  </si>
  <si>
    <t>P1-080</t>
  </si>
  <si>
    <t>P1-100</t>
  </si>
  <si>
    <t>P1-120</t>
  </si>
  <si>
    <t>P2-060</t>
  </si>
  <si>
    <t>P2-080</t>
  </si>
  <si>
    <t>P2-100</t>
  </si>
  <si>
    <t>P2-120</t>
  </si>
  <si>
    <t>Preplant</t>
  </si>
  <si>
    <t>&lt;480GDD</t>
  </si>
  <si>
    <t>480-1155</t>
  </si>
  <si>
    <t>&gt;1155</t>
  </si>
  <si>
    <t>Time1</t>
  </si>
  <si>
    <t>Time2</t>
  </si>
  <si>
    <t>Time3</t>
  </si>
  <si>
    <t>Time4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</si>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</sst>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right"/>
    </xf>
    <xf numFmtId="165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1"/>
  <sheetViews>
    <sheetView tabSelected="1" workbookViewId="0"/>
  </sheetViews>
  <sheetFormatPr defaultRowHeight="15" x14ac:dyDescent="0.25"/>
  <cols>
    <col min="1" max="1" width="10.85546875" bestFit="1" customWidth="1"/>
    <col min="2" max="2" width="9.7109375" bestFit="1" customWidth="1"/>
    <col min="4" max="4" width="25.28515625" bestFit="1" customWidth="1"/>
    <col min="10" max="10" width="9.7109375" bestFit="1" customWidth="1"/>
  </cols>
  <sheetData>
    <row r="1" spans="1:8" x14ac:dyDescent="0.25">
      <c r="A1" t="s">
        <v>6</v>
      </c>
      <c r="B1" t="s">
        <v>17</v>
      </c>
      <c r="C1" t="s">
        <v>18</v>
      </c>
      <c r="E1" t="s">
        <v>17</v>
      </c>
      <c r="F1" t="s">
        <v>18</v>
      </c>
    </row>
    <row r="2" spans="1:8" x14ac:dyDescent="0.25">
      <c r="B2" t="s">
        <v>26</v>
      </c>
      <c r="C2" t="s">
        <v>26</v>
      </c>
      <c r="E2" t="s">
        <v>27</v>
      </c>
      <c r="F2" t="s">
        <v>27</v>
      </c>
    </row>
    <row r="3" spans="1:8" x14ac:dyDescent="0.25">
      <c r="A3" s="2">
        <v>1</v>
      </c>
      <c r="B3">
        <v>3.4</v>
      </c>
      <c r="C3" s="3">
        <f>B3/25.4</f>
        <v>0.13385826771653545</v>
      </c>
      <c r="E3" s="4">
        <v>4</v>
      </c>
      <c r="F3" s="3">
        <f>E3/25.4</f>
        <v>0.15748031496062992</v>
      </c>
    </row>
    <row r="4" spans="1:8" x14ac:dyDescent="0.25">
      <c r="A4" s="2">
        <v>0.5</v>
      </c>
      <c r="B4">
        <v>6.7</v>
      </c>
      <c r="C4" s="3">
        <f>B4/25.4</f>
        <v>0.26377952755905515</v>
      </c>
      <c r="E4" s="4">
        <v>8</v>
      </c>
      <c r="F4" s="3">
        <f>E4/25.4</f>
        <v>0.31496062992125984</v>
      </c>
    </row>
    <row r="5" spans="1:8" x14ac:dyDescent="0.25">
      <c r="A5" s="2">
        <v>0.25</v>
      </c>
      <c r="B5">
        <v>13.3</v>
      </c>
      <c r="C5" s="3">
        <f>B5/25.4</f>
        <v>0.52362204724409456</v>
      </c>
      <c r="E5" s="4">
        <v>15.9</v>
      </c>
      <c r="F5" s="3">
        <f>E5/25.4</f>
        <v>0.62598425196850394</v>
      </c>
    </row>
    <row r="7" spans="1:8" x14ac:dyDescent="0.25">
      <c r="E7" t="s">
        <v>43</v>
      </c>
      <c r="F7" t="s">
        <v>43</v>
      </c>
      <c r="G7" t="s">
        <v>44</v>
      </c>
      <c r="H7" t="s">
        <v>44</v>
      </c>
    </row>
    <row r="8" spans="1:8" x14ac:dyDescent="0.25">
      <c r="D8" t="s">
        <v>12</v>
      </c>
      <c r="E8" t="s">
        <v>7</v>
      </c>
      <c r="F8" t="s">
        <v>7</v>
      </c>
      <c r="G8" t="s">
        <v>7</v>
      </c>
      <c r="H8" t="s">
        <v>7</v>
      </c>
    </row>
    <row r="9" spans="1:8" x14ac:dyDescent="0.25">
      <c r="B9" t="s">
        <v>8</v>
      </c>
      <c r="C9" t="s">
        <v>9</v>
      </c>
      <c r="D9" t="s">
        <v>6</v>
      </c>
      <c r="E9" t="s">
        <v>11</v>
      </c>
      <c r="F9" t="s">
        <v>16</v>
      </c>
      <c r="G9" t="s">
        <v>11</v>
      </c>
      <c r="H9" t="s">
        <v>16</v>
      </c>
    </row>
    <row r="10" spans="1:8" x14ac:dyDescent="0.25">
      <c r="A10" t="s">
        <v>10</v>
      </c>
      <c r="B10" s="1">
        <v>42381</v>
      </c>
      <c r="C10">
        <v>12</v>
      </c>
      <c r="D10" s="5">
        <v>0.25</v>
      </c>
      <c r="E10" s="4">
        <f>13.3</f>
        <v>13.3</v>
      </c>
      <c r="F10" s="4">
        <f>E10/25.4</f>
        <v>0.52362204724409456</v>
      </c>
      <c r="G10" s="4">
        <f>13.3</f>
        <v>13.3</v>
      </c>
      <c r="H10" s="4">
        <f>G10/25.4</f>
        <v>0.52362204724409456</v>
      </c>
    </row>
    <row r="11" spans="1:8" x14ac:dyDescent="0.25">
      <c r="A11" t="s">
        <v>10</v>
      </c>
      <c r="B11" s="1">
        <v>42382</v>
      </c>
      <c r="C11">
        <v>13</v>
      </c>
      <c r="D11" s="5">
        <v>0.25</v>
      </c>
      <c r="E11" s="4">
        <f>13.3</f>
        <v>13.3</v>
      </c>
      <c r="F11" s="4">
        <f t="shared" ref="F11:F21" si="0">E11/25.4</f>
        <v>0.52362204724409456</v>
      </c>
      <c r="G11" s="4">
        <f>13.3</f>
        <v>13.3</v>
      </c>
      <c r="H11" s="4">
        <f t="shared" ref="H11:H15" si="1">G11/25.4</f>
        <v>0.52362204724409456</v>
      </c>
    </row>
    <row r="12" spans="1:8" x14ac:dyDescent="0.25">
      <c r="A12" t="s">
        <v>10</v>
      </c>
      <c r="B12" s="1">
        <v>42397</v>
      </c>
      <c r="C12">
        <v>28</v>
      </c>
      <c r="D12" s="2" t="s">
        <v>19</v>
      </c>
      <c r="E12" s="4">
        <f>3.4*2</f>
        <v>6.8</v>
      </c>
      <c r="F12" s="4">
        <f t="shared" si="0"/>
        <v>0.26771653543307089</v>
      </c>
      <c r="G12" s="4">
        <f>3.4*2</f>
        <v>6.8</v>
      </c>
      <c r="H12" s="4">
        <f t="shared" si="1"/>
        <v>0.26771653543307089</v>
      </c>
    </row>
    <row r="13" spans="1:8" x14ac:dyDescent="0.25">
      <c r="A13" t="s">
        <v>10</v>
      </c>
      <c r="B13" s="1">
        <v>42398</v>
      </c>
      <c r="C13">
        <v>29</v>
      </c>
      <c r="D13" s="2" t="s">
        <v>13</v>
      </c>
      <c r="E13" s="4">
        <f>3.4*2+6.7</f>
        <v>13.5</v>
      </c>
      <c r="F13" s="4">
        <f t="shared" si="0"/>
        <v>0.53149606299212604</v>
      </c>
      <c r="G13" s="4">
        <f>3.4*2+6.7</f>
        <v>13.5</v>
      </c>
      <c r="H13" s="4">
        <f t="shared" si="1"/>
        <v>0.53149606299212604</v>
      </c>
    </row>
    <row r="14" spans="1:8" x14ac:dyDescent="0.25">
      <c r="A14" t="s">
        <v>10</v>
      </c>
      <c r="B14" s="1">
        <v>42404</v>
      </c>
      <c r="C14">
        <v>35</v>
      </c>
      <c r="D14" s="2" t="s">
        <v>14</v>
      </c>
      <c r="E14" s="4">
        <f>3.4*2+6.7*2</f>
        <v>20.2</v>
      </c>
      <c r="F14" s="4">
        <f t="shared" si="0"/>
        <v>0.79527559055118113</v>
      </c>
      <c r="G14" s="4">
        <f>3.4*2+6.7*2</f>
        <v>20.2</v>
      </c>
      <c r="H14" s="4">
        <f t="shared" si="1"/>
        <v>0.79527559055118113</v>
      </c>
    </row>
    <row r="15" spans="1:8" x14ac:dyDescent="0.25">
      <c r="A15" t="s">
        <v>10</v>
      </c>
      <c r="B15" s="1">
        <v>42411</v>
      </c>
      <c r="C15">
        <v>42</v>
      </c>
      <c r="D15" t="s">
        <v>15</v>
      </c>
      <c r="E15" s="4">
        <f>6.7*3</f>
        <v>20.100000000000001</v>
      </c>
      <c r="F15" s="4">
        <f t="shared" si="0"/>
        <v>0.7913385826771655</v>
      </c>
      <c r="G15" s="4">
        <f>6.7*3</f>
        <v>20.100000000000001</v>
      </c>
      <c r="H15" s="4">
        <f t="shared" si="1"/>
        <v>0.7913385826771655</v>
      </c>
    </row>
    <row r="16" spans="1:8" x14ac:dyDescent="0.25">
      <c r="B16" s="1"/>
      <c r="E16" s="4">
        <f>SUM(E10:E15)</f>
        <v>87.199999999999989</v>
      </c>
      <c r="F16" s="4">
        <f>SUM(F10:F15)</f>
        <v>3.4330708661417324</v>
      </c>
      <c r="G16" s="4">
        <f>SUM(G10:G15)</f>
        <v>87.199999999999989</v>
      </c>
      <c r="H16" s="4">
        <f>SUM(H10:H15)</f>
        <v>3.4330708661417324</v>
      </c>
    </row>
    <row r="17" spans="1:13" x14ac:dyDescent="0.25">
      <c r="B17" s="1"/>
      <c r="E17" s="4"/>
      <c r="F17" s="4"/>
      <c r="G17" s="4"/>
      <c r="H17" s="4"/>
    </row>
    <row r="18" spans="1:13" x14ac:dyDescent="0.25">
      <c r="A18" t="s">
        <v>20</v>
      </c>
      <c r="B18" s="1">
        <v>42439</v>
      </c>
      <c r="C18">
        <v>70</v>
      </c>
      <c r="D18" s="2" t="s">
        <v>21</v>
      </c>
      <c r="E18" s="4">
        <f>6.7*2</f>
        <v>13.4</v>
      </c>
      <c r="F18" s="4">
        <f t="shared" si="0"/>
        <v>0.5275590551181103</v>
      </c>
      <c r="G18" s="4">
        <f>6.7*2</f>
        <v>13.4</v>
      </c>
      <c r="H18" s="4">
        <f t="shared" ref="H18:H30" si="2">G18/25.4</f>
        <v>0.5275590551181103</v>
      </c>
    </row>
    <row r="19" spans="1:13" x14ac:dyDescent="0.25">
      <c r="A19" t="s">
        <v>20</v>
      </c>
      <c r="B19" s="1">
        <v>42440</v>
      </c>
      <c r="C19">
        <v>71</v>
      </c>
      <c r="D19" s="2" t="s">
        <v>23</v>
      </c>
      <c r="E19" s="4">
        <f>6.7*4</f>
        <v>26.8</v>
      </c>
      <c r="F19" s="4">
        <f t="shared" si="0"/>
        <v>1.0551181102362206</v>
      </c>
      <c r="G19" s="4">
        <f>6.7*4</f>
        <v>26.8</v>
      </c>
      <c r="H19" s="4">
        <f t="shared" si="2"/>
        <v>1.0551181102362206</v>
      </c>
    </row>
    <row r="20" spans="1:13" x14ac:dyDescent="0.25">
      <c r="A20" t="s">
        <v>20</v>
      </c>
      <c r="B20" s="1">
        <v>42443</v>
      </c>
      <c r="C20">
        <v>74</v>
      </c>
      <c r="D20" s="2" t="s">
        <v>15</v>
      </c>
      <c r="E20" s="4">
        <f>6.7*3</f>
        <v>20.100000000000001</v>
      </c>
      <c r="F20" s="4">
        <f t="shared" si="0"/>
        <v>0.7913385826771655</v>
      </c>
      <c r="G20" s="4">
        <f>6.7*3</f>
        <v>20.100000000000001</v>
      </c>
      <c r="H20" s="4">
        <f t="shared" si="2"/>
        <v>0.7913385826771655</v>
      </c>
    </row>
    <row r="21" spans="1:13" x14ac:dyDescent="0.25">
      <c r="A21" t="s">
        <v>20</v>
      </c>
      <c r="B21" s="1">
        <v>42444</v>
      </c>
      <c r="C21">
        <v>75</v>
      </c>
      <c r="D21" s="2" t="s">
        <v>15</v>
      </c>
      <c r="E21" s="4">
        <f>6.7*3</f>
        <v>20.100000000000001</v>
      </c>
      <c r="F21" s="4">
        <f t="shared" si="0"/>
        <v>0.7913385826771655</v>
      </c>
      <c r="G21" s="4">
        <f>6.7*3</f>
        <v>20.100000000000001</v>
      </c>
      <c r="H21" s="4">
        <f t="shared" si="2"/>
        <v>0.7913385826771655</v>
      </c>
    </row>
    <row r="22" spans="1:13" x14ac:dyDescent="0.25">
      <c r="A22" t="s">
        <v>20</v>
      </c>
      <c r="B22" s="1">
        <v>42445</v>
      </c>
      <c r="C22">
        <v>76</v>
      </c>
      <c r="D22" s="2" t="s">
        <v>24</v>
      </c>
      <c r="E22" s="4">
        <f>6.7*3+3.4</f>
        <v>23.5</v>
      </c>
      <c r="F22" s="4">
        <f t="shared" ref="F22:F30" si="3">E22/25.4</f>
        <v>0.92519685039370081</v>
      </c>
      <c r="G22" s="4">
        <f>6.7*3+3.4</f>
        <v>23.5</v>
      </c>
      <c r="H22" s="4">
        <f t="shared" si="2"/>
        <v>0.92519685039370081</v>
      </c>
    </row>
    <row r="23" spans="1:13" x14ac:dyDescent="0.25">
      <c r="A23" t="s">
        <v>20</v>
      </c>
      <c r="B23" s="1">
        <v>42446</v>
      </c>
      <c r="C23">
        <v>77</v>
      </c>
      <c r="D23" s="2" t="s">
        <v>23</v>
      </c>
      <c r="E23" s="4">
        <f>6.7*4</f>
        <v>26.8</v>
      </c>
      <c r="F23" s="4">
        <f t="shared" si="3"/>
        <v>1.0551181102362206</v>
      </c>
      <c r="G23" s="4">
        <f>6.7*4</f>
        <v>26.8</v>
      </c>
      <c r="H23" s="4">
        <f t="shared" si="2"/>
        <v>1.0551181102362206</v>
      </c>
    </row>
    <row r="24" spans="1:13" x14ac:dyDescent="0.25">
      <c r="A24" t="s">
        <v>20</v>
      </c>
      <c r="B24" s="1">
        <v>42447</v>
      </c>
      <c r="C24">
        <v>78</v>
      </c>
      <c r="D24" s="2" t="s">
        <v>15</v>
      </c>
      <c r="E24" s="4">
        <f>6.7*3</f>
        <v>20.100000000000001</v>
      </c>
      <c r="F24" s="4">
        <f t="shared" si="3"/>
        <v>0.7913385826771655</v>
      </c>
      <c r="G24" s="4">
        <f>6.7*3</f>
        <v>20.100000000000001</v>
      </c>
      <c r="H24" s="4">
        <f t="shared" si="2"/>
        <v>0.7913385826771655</v>
      </c>
    </row>
    <row r="25" spans="1:13" x14ac:dyDescent="0.25">
      <c r="A25" t="s">
        <v>20</v>
      </c>
      <c r="B25" s="1">
        <v>42450</v>
      </c>
      <c r="C25">
        <v>81</v>
      </c>
      <c r="D25" s="2" t="s">
        <v>15</v>
      </c>
      <c r="E25" s="4">
        <f>6.7*3</f>
        <v>20.100000000000001</v>
      </c>
      <c r="F25" s="4">
        <f t="shared" si="3"/>
        <v>0.7913385826771655</v>
      </c>
      <c r="G25" s="4">
        <f>6.7*3</f>
        <v>20.100000000000001</v>
      </c>
      <c r="H25" s="4">
        <f t="shared" si="2"/>
        <v>0.7913385826771655</v>
      </c>
      <c r="I25" t="s">
        <v>28</v>
      </c>
    </row>
    <row r="26" spans="1:13" x14ac:dyDescent="0.25">
      <c r="A26" t="s">
        <v>20</v>
      </c>
      <c r="B26" s="1">
        <v>42460</v>
      </c>
      <c r="C26">
        <v>91</v>
      </c>
      <c r="D26" s="2" t="s">
        <v>21</v>
      </c>
      <c r="E26" s="4">
        <f>8*2</f>
        <v>16</v>
      </c>
      <c r="F26" s="4">
        <f t="shared" si="3"/>
        <v>0.62992125984251968</v>
      </c>
      <c r="G26" s="4">
        <f>8*2</f>
        <v>16</v>
      </c>
      <c r="H26" s="4">
        <f t="shared" si="2"/>
        <v>0.62992125984251968</v>
      </c>
      <c r="I26" t="s">
        <v>25</v>
      </c>
      <c r="M26" s="4"/>
    </row>
    <row r="27" spans="1:13" x14ac:dyDescent="0.25">
      <c r="A27" t="s">
        <v>20</v>
      </c>
      <c r="B27" s="1">
        <v>42461</v>
      </c>
      <c r="C27">
        <v>92</v>
      </c>
      <c r="D27" s="2" t="s">
        <v>15</v>
      </c>
      <c r="E27" s="4">
        <f>8*3</f>
        <v>24</v>
      </c>
      <c r="F27" s="4">
        <f t="shared" si="3"/>
        <v>0.94488188976377963</v>
      </c>
      <c r="G27" s="4">
        <f>8*3</f>
        <v>24</v>
      </c>
      <c r="H27" s="4">
        <f t="shared" si="2"/>
        <v>0.94488188976377963</v>
      </c>
      <c r="M27" s="4"/>
    </row>
    <row r="28" spans="1:13" x14ac:dyDescent="0.25">
      <c r="A28" t="s">
        <v>20</v>
      </c>
      <c r="B28" s="1">
        <v>42464</v>
      </c>
      <c r="C28">
        <v>95</v>
      </c>
      <c r="D28" s="2" t="s">
        <v>23</v>
      </c>
      <c r="E28" s="4">
        <f>8*4</f>
        <v>32</v>
      </c>
      <c r="F28" s="4">
        <f t="shared" si="3"/>
        <v>1.2598425196850394</v>
      </c>
      <c r="G28" s="4">
        <f>8*4</f>
        <v>32</v>
      </c>
      <c r="H28" s="4">
        <f t="shared" si="2"/>
        <v>1.2598425196850394</v>
      </c>
      <c r="J28" s="4"/>
      <c r="M28" s="4"/>
    </row>
    <row r="29" spans="1:13" x14ac:dyDescent="0.25">
      <c r="A29" t="s">
        <v>20</v>
      </c>
      <c r="B29" s="1">
        <v>42465</v>
      </c>
      <c r="C29">
        <v>96</v>
      </c>
      <c r="D29" s="2" t="s">
        <v>23</v>
      </c>
      <c r="E29" s="4">
        <f>8*4</f>
        <v>32</v>
      </c>
      <c r="F29" s="4">
        <f t="shared" si="3"/>
        <v>1.2598425196850394</v>
      </c>
      <c r="G29" s="4">
        <f>8*4</f>
        <v>32</v>
      </c>
      <c r="H29" s="4">
        <f t="shared" si="2"/>
        <v>1.2598425196850394</v>
      </c>
      <c r="M29" s="4"/>
    </row>
    <row r="30" spans="1:13" x14ac:dyDescent="0.25">
      <c r="A30" t="s">
        <v>20</v>
      </c>
      <c r="B30" s="1">
        <v>42466</v>
      </c>
      <c r="C30">
        <v>97</v>
      </c>
      <c r="D30" s="2" t="s">
        <v>29</v>
      </c>
      <c r="E30" s="4">
        <f>8*3+4*2</f>
        <v>32</v>
      </c>
      <c r="F30" s="4">
        <f t="shared" si="3"/>
        <v>1.2598425196850394</v>
      </c>
      <c r="G30" s="4">
        <f>8*3+4*2</f>
        <v>32</v>
      </c>
      <c r="H30" s="4">
        <f t="shared" si="2"/>
        <v>1.2598425196850394</v>
      </c>
    </row>
    <row r="31" spans="1:13" x14ac:dyDescent="0.25">
      <c r="E31" s="4">
        <f>SUM(E18:E30)</f>
        <v>306.89999999999998</v>
      </c>
      <c r="F31" s="4">
        <f>SUM(F18:F30)</f>
        <v>12.082677165354331</v>
      </c>
      <c r="G31" s="4">
        <f>SUM(G18:G30)</f>
        <v>306.89999999999998</v>
      </c>
      <c r="H31" s="4">
        <f>SUM(H18:H30)</f>
        <v>12.082677165354331</v>
      </c>
    </row>
    <row r="32" spans="1:13" x14ac:dyDescent="0.25">
      <c r="E32" s="4"/>
      <c r="F32" s="4"/>
      <c r="G32" s="4"/>
      <c r="H32" s="4"/>
      <c r="M32" s="4"/>
    </row>
    <row r="33" spans="1:37" x14ac:dyDescent="0.25">
      <c r="A33" t="s">
        <v>36</v>
      </c>
      <c r="B33" s="1">
        <v>42486</v>
      </c>
      <c r="C33">
        <v>117</v>
      </c>
      <c r="D33" s="2" t="s">
        <v>37</v>
      </c>
      <c r="E33" s="4">
        <f>8*1</f>
        <v>8</v>
      </c>
      <c r="F33" s="4">
        <f t="shared" ref="F33:F45" si="4">E33/25.4</f>
        <v>0.31496062992125984</v>
      </c>
      <c r="G33" s="4">
        <f>8*1</f>
        <v>8</v>
      </c>
      <c r="H33" s="4">
        <f t="shared" ref="H33:H41" si="5">G33/25.4</f>
        <v>0.31496062992125984</v>
      </c>
      <c r="L33" s="4"/>
      <c r="M33" s="4"/>
    </row>
    <row r="34" spans="1:37" x14ac:dyDescent="0.25">
      <c r="A34" t="s">
        <v>36</v>
      </c>
      <c r="B34" s="1">
        <v>42487</v>
      </c>
      <c r="C34">
        <v>118</v>
      </c>
      <c r="D34" s="2" t="s">
        <v>15</v>
      </c>
      <c r="E34" s="4">
        <f>8*3</f>
        <v>24</v>
      </c>
      <c r="F34" s="4">
        <f t="shared" si="4"/>
        <v>0.94488188976377963</v>
      </c>
      <c r="G34" s="4">
        <f>8*3</f>
        <v>24</v>
      </c>
      <c r="H34" s="4">
        <f t="shared" si="5"/>
        <v>0.94488188976377963</v>
      </c>
      <c r="L34" s="4"/>
      <c r="M34" s="4"/>
    </row>
    <row r="35" spans="1:37" x14ac:dyDescent="0.25">
      <c r="A35" t="s">
        <v>36</v>
      </c>
      <c r="B35" s="1">
        <v>42488</v>
      </c>
      <c r="C35">
        <v>119</v>
      </c>
      <c r="D35" s="2" t="s">
        <v>38</v>
      </c>
      <c r="E35" s="4">
        <f>8+15.9+4</f>
        <v>27.9</v>
      </c>
      <c r="F35" s="4">
        <f t="shared" si="4"/>
        <v>1.0984251968503937</v>
      </c>
      <c r="G35" s="4">
        <f>8+15.9+4</f>
        <v>27.9</v>
      </c>
      <c r="H35" s="4">
        <f t="shared" si="5"/>
        <v>1.0984251968503937</v>
      </c>
      <c r="L35" s="4"/>
      <c r="M35" s="4"/>
    </row>
    <row r="36" spans="1:37" x14ac:dyDescent="0.25">
      <c r="A36" t="s">
        <v>36</v>
      </c>
      <c r="B36" s="1">
        <v>42489</v>
      </c>
      <c r="C36">
        <v>120</v>
      </c>
      <c r="D36" s="2" t="s">
        <v>39</v>
      </c>
      <c r="E36" s="4">
        <f>15.9</f>
        <v>15.9</v>
      </c>
      <c r="F36" s="4">
        <f t="shared" si="4"/>
        <v>0.62598425196850394</v>
      </c>
      <c r="G36" s="4">
        <f>15.9</f>
        <v>15.9</v>
      </c>
      <c r="H36" s="4">
        <f t="shared" si="5"/>
        <v>0.62598425196850394</v>
      </c>
      <c r="I36" t="s">
        <v>40</v>
      </c>
      <c r="L36" s="4"/>
      <c r="M36" s="4"/>
    </row>
    <row r="37" spans="1:37" x14ac:dyDescent="0.25">
      <c r="A37" t="s">
        <v>36</v>
      </c>
      <c r="B37" s="1">
        <v>42494</v>
      </c>
      <c r="C37">
        <v>125</v>
      </c>
      <c r="D37" s="2" t="s">
        <v>41</v>
      </c>
      <c r="E37" s="4">
        <f>6.3*2</f>
        <v>12.6</v>
      </c>
      <c r="F37" s="4">
        <f t="shared" si="4"/>
        <v>0.49606299212598426</v>
      </c>
      <c r="G37" s="4">
        <v>0</v>
      </c>
      <c r="H37" s="4">
        <f t="shared" si="5"/>
        <v>0</v>
      </c>
      <c r="L37" s="4"/>
      <c r="M37" s="4"/>
    </row>
    <row r="38" spans="1:37" x14ac:dyDescent="0.25">
      <c r="A38" t="s">
        <v>36</v>
      </c>
      <c r="B38" s="1">
        <v>42496</v>
      </c>
      <c r="C38">
        <v>127</v>
      </c>
      <c r="D38" s="2" t="s">
        <v>41</v>
      </c>
      <c r="E38" s="4">
        <f>6.3*2</f>
        <v>12.6</v>
      </c>
      <c r="F38" s="4">
        <f t="shared" si="4"/>
        <v>0.49606299212598426</v>
      </c>
      <c r="G38" s="4">
        <v>0</v>
      </c>
      <c r="H38" s="4">
        <f t="shared" si="5"/>
        <v>0</v>
      </c>
      <c r="L38" s="4"/>
      <c r="M38" s="4"/>
    </row>
    <row r="39" spans="1:37" x14ac:dyDescent="0.25">
      <c r="A39" t="s">
        <v>36</v>
      </c>
      <c r="B39" s="1">
        <v>42499</v>
      </c>
      <c r="C39">
        <v>130</v>
      </c>
      <c r="D39" s="2" t="s">
        <v>19</v>
      </c>
      <c r="E39" s="4">
        <f>4*2</f>
        <v>8</v>
      </c>
      <c r="F39" s="4">
        <f t="shared" si="4"/>
        <v>0.31496062992125984</v>
      </c>
      <c r="G39" s="4">
        <v>0</v>
      </c>
      <c r="H39" s="4">
        <f t="shared" si="5"/>
        <v>0</v>
      </c>
      <c r="L39" s="4"/>
      <c r="M39" s="4"/>
    </row>
    <row r="40" spans="1:37" x14ac:dyDescent="0.25">
      <c r="A40" t="s">
        <v>36</v>
      </c>
      <c r="B40" s="1">
        <v>42501</v>
      </c>
      <c r="C40">
        <v>132</v>
      </c>
      <c r="D40" s="2" t="s">
        <v>19</v>
      </c>
      <c r="E40" s="4">
        <f>4*2</f>
        <v>8</v>
      </c>
      <c r="F40" s="4">
        <f t="shared" si="4"/>
        <v>0.31496062992125984</v>
      </c>
      <c r="G40" s="4">
        <v>0</v>
      </c>
      <c r="H40" s="4">
        <f t="shared" si="5"/>
        <v>0</v>
      </c>
      <c r="L40" s="4"/>
      <c r="M40" s="4"/>
    </row>
    <row r="41" spans="1:37" x14ac:dyDescent="0.25">
      <c r="A41" t="s">
        <v>36</v>
      </c>
      <c r="B41" s="1">
        <v>42504</v>
      </c>
      <c r="C41">
        <v>135</v>
      </c>
      <c r="D41" s="2" t="s">
        <v>19</v>
      </c>
      <c r="E41" s="4">
        <f>4*2</f>
        <v>8</v>
      </c>
      <c r="F41" s="4">
        <f t="shared" si="4"/>
        <v>0.31496062992125984</v>
      </c>
      <c r="G41" s="4">
        <v>0</v>
      </c>
      <c r="H41" s="4">
        <f t="shared" si="5"/>
        <v>0</v>
      </c>
      <c r="L41" s="4"/>
      <c r="M41" s="4"/>
    </row>
    <row r="42" spans="1:37" x14ac:dyDescent="0.25">
      <c r="A42" t="s">
        <v>36</v>
      </c>
      <c r="B42" s="1">
        <v>42509</v>
      </c>
      <c r="C42">
        <v>140</v>
      </c>
      <c r="D42" s="2" t="s">
        <v>46</v>
      </c>
      <c r="E42" s="4">
        <v>0</v>
      </c>
      <c r="F42" s="4">
        <f t="shared" si="4"/>
        <v>0</v>
      </c>
      <c r="G42" s="4">
        <f>8*5</f>
        <v>40</v>
      </c>
      <c r="H42" s="4">
        <f t="shared" ref="H42" si="6">G42/25.4</f>
        <v>1.5748031496062993</v>
      </c>
      <c r="L42" s="4"/>
      <c r="M42" s="4"/>
    </row>
    <row r="43" spans="1:37" x14ac:dyDescent="0.25">
      <c r="A43" t="s">
        <v>45</v>
      </c>
      <c r="B43" s="1">
        <v>42510</v>
      </c>
      <c r="C43">
        <v>141</v>
      </c>
      <c r="D43" s="2" t="s">
        <v>23</v>
      </c>
      <c r="E43" s="4">
        <v>0</v>
      </c>
      <c r="F43" s="4">
        <f t="shared" si="4"/>
        <v>0</v>
      </c>
      <c r="G43" s="4">
        <f>8*4</f>
        <v>32</v>
      </c>
      <c r="H43" s="4">
        <f>G43/25.4</f>
        <v>1.2598425196850394</v>
      </c>
      <c r="L43" s="4"/>
      <c r="M43" s="4"/>
    </row>
    <row r="44" spans="1:37" x14ac:dyDescent="0.25">
      <c r="A44" t="s">
        <v>45</v>
      </c>
      <c r="B44" s="1">
        <v>42514</v>
      </c>
      <c r="C44">
        <v>145</v>
      </c>
      <c r="D44" s="2" t="s">
        <v>21</v>
      </c>
      <c r="E44" s="4">
        <v>0</v>
      </c>
      <c r="F44" s="4">
        <f t="shared" si="4"/>
        <v>0</v>
      </c>
      <c r="G44" s="4">
        <f>8*2</f>
        <v>16</v>
      </c>
      <c r="H44" s="4">
        <f>G44/25.4</f>
        <v>0.62992125984251968</v>
      </c>
      <c r="L44" s="4"/>
      <c r="M44" s="4"/>
    </row>
    <row r="45" spans="1:37" x14ac:dyDescent="0.25">
      <c r="A45" t="s">
        <v>45</v>
      </c>
      <c r="B45" s="1">
        <v>42516</v>
      </c>
      <c r="C45">
        <v>147</v>
      </c>
      <c r="D45" s="2">
        <v>0.25</v>
      </c>
      <c r="E45" s="4">
        <v>0</v>
      </c>
      <c r="F45" s="4">
        <f t="shared" si="4"/>
        <v>0</v>
      </c>
      <c r="G45" s="4">
        <v>15.9</v>
      </c>
      <c r="H45" s="4">
        <f>G45/25.4</f>
        <v>0.62598425196850394</v>
      </c>
      <c r="L45" s="4"/>
      <c r="M45" s="4"/>
    </row>
    <row r="46" spans="1:37" x14ac:dyDescent="0.25">
      <c r="E46" s="4">
        <f>SUM(E33:E45)</f>
        <v>124.99999999999999</v>
      </c>
      <c r="F46" s="4">
        <f t="shared" ref="F46:H46" si="7">SUM(F33:F45)</f>
        <v>4.9212598425196861</v>
      </c>
      <c r="G46" s="4">
        <f t="shared" si="7"/>
        <v>179.70000000000002</v>
      </c>
      <c r="H46" s="4">
        <f t="shared" si="7"/>
        <v>7.0748031496062991</v>
      </c>
      <c r="L46" s="4"/>
      <c r="M46" s="4"/>
    </row>
    <row r="47" spans="1:37" x14ac:dyDescent="0.25">
      <c r="M47" s="7" t="s">
        <v>84</v>
      </c>
      <c r="N47" s="7" t="s">
        <v>85</v>
      </c>
      <c r="O47" s="8" t="s">
        <v>86</v>
      </c>
      <c r="P47" s="8" t="s">
        <v>87</v>
      </c>
      <c r="Q47" s="8" t="s">
        <v>88</v>
      </c>
      <c r="R47" s="8" t="s">
        <v>89</v>
      </c>
      <c r="S47" s="8" t="s">
        <v>90</v>
      </c>
      <c r="T47" s="8" t="s">
        <v>91</v>
      </c>
      <c r="U47" s="8" t="s">
        <v>92</v>
      </c>
      <c r="V47" s="8" t="s">
        <v>93</v>
      </c>
      <c r="W47" s="8" t="s">
        <v>94</v>
      </c>
      <c r="X47" s="8" t="s">
        <v>95</v>
      </c>
      <c r="Y47" s="8" t="s">
        <v>96</v>
      </c>
      <c r="Z47" s="8" t="s">
        <v>97</v>
      </c>
      <c r="AA47" s="8" t="s">
        <v>98</v>
      </c>
      <c r="AB47" s="8" t="s">
        <v>99</v>
      </c>
      <c r="AD47" t="s">
        <v>102</v>
      </c>
      <c r="AE47" t="s">
        <v>103</v>
      </c>
      <c r="AF47" t="s">
        <v>104</v>
      </c>
      <c r="AG47" t="s">
        <v>105</v>
      </c>
      <c r="AH47" t="s">
        <v>106</v>
      </c>
      <c r="AI47" t="s">
        <v>107</v>
      </c>
      <c r="AJ47" t="s">
        <v>108</v>
      </c>
      <c r="AK47" t="s">
        <v>109</v>
      </c>
    </row>
    <row r="48" spans="1:37" x14ac:dyDescent="0.25">
      <c r="A48" t="s">
        <v>48</v>
      </c>
      <c r="B48" s="1">
        <v>42517</v>
      </c>
      <c r="C48">
        <v>148</v>
      </c>
      <c r="D48" s="2" t="s">
        <v>21</v>
      </c>
      <c r="E48" s="4">
        <f>8*2</f>
        <v>16</v>
      </c>
      <c r="F48" s="4">
        <f t="shared" ref="F48:F69" si="8">E48/25.4</f>
        <v>0.62992125984251968</v>
      </c>
      <c r="G48" s="4">
        <f>8*2</f>
        <v>16</v>
      </c>
      <c r="H48" s="4">
        <f t="shared" ref="H48:H69" si="9">G48/25.4</f>
        <v>0.62992125984251968</v>
      </c>
      <c r="I48" t="s">
        <v>49</v>
      </c>
      <c r="L48" s="4"/>
      <c r="M48" s="7">
        <f>8*2</f>
        <v>16</v>
      </c>
      <c r="N48" s="7">
        <f t="shared" ref="N48:AB48" si="10">8*2</f>
        <v>16</v>
      </c>
      <c r="O48" s="7">
        <f t="shared" si="10"/>
        <v>16</v>
      </c>
      <c r="P48" s="7">
        <f t="shared" si="10"/>
        <v>16</v>
      </c>
      <c r="Q48" s="7">
        <f t="shared" si="10"/>
        <v>16</v>
      </c>
      <c r="R48" s="7">
        <f t="shared" si="10"/>
        <v>16</v>
      </c>
      <c r="S48" s="7">
        <f t="shared" si="10"/>
        <v>16</v>
      </c>
      <c r="T48" s="7">
        <f t="shared" si="10"/>
        <v>16</v>
      </c>
      <c r="U48" s="7">
        <f t="shared" si="10"/>
        <v>16</v>
      </c>
      <c r="V48" s="7">
        <f t="shared" si="10"/>
        <v>16</v>
      </c>
      <c r="W48" s="7">
        <f t="shared" si="10"/>
        <v>16</v>
      </c>
      <c r="X48" s="7">
        <f t="shared" si="10"/>
        <v>16</v>
      </c>
      <c r="Y48" s="7">
        <f t="shared" si="10"/>
        <v>16</v>
      </c>
      <c r="Z48" s="7">
        <f t="shared" si="10"/>
        <v>16</v>
      </c>
      <c r="AA48" s="7">
        <f t="shared" si="10"/>
        <v>16</v>
      </c>
      <c r="AB48" s="7">
        <f t="shared" si="10"/>
        <v>16</v>
      </c>
      <c r="AD48" s="4">
        <f t="shared" ref="AD48:AK48" si="11">8*2</f>
        <v>16</v>
      </c>
      <c r="AE48" s="4">
        <f t="shared" si="11"/>
        <v>16</v>
      </c>
      <c r="AF48" s="4">
        <f t="shared" si="11"/>
        <v>16</v>
      </c>
      <c r="AG48" s="4">
        <f t="shared" si="11"/>
        <v>16</v>
      </c>
      <c r="AH48" s="4">
        <f t="shared" si="11"/>
        <v>16</v>
      </c>
      <c r="AI48" s="4">
        <f t="shared" si="11"/>
        <v>16</v>
      </c>
      <c r="AJ48" s="4">
        <f t="shared" si="11"/>
        <v>16</v>
      </c>
      <c r="AK48" s="4">
        <f t="shared" si="11"/>
        <v>16</v>
      </c>
    </row>
    <row r="49" spans="1:37" x14ac:dyDescent="0.25">
      <c r="A49" t="s">
        <v>48</v>
      </c>
      <c r="B49" s="1">
        <v>42523</v>
      </c>
      <c r="C49">
        <v>154</v>
      </c>
      <c r="D49" s="2">
        <v>0.25</v>
      </c>
      <c r="E49" s="4">
        <v>15.9</v>
      </c>
      <c r="F49" s="4">
        <f t="shared" si="8"/>
        <v>0.62598425196850394</v>
      </c>
      <c r="G49" s="4">
        <v>0</v>
      </c>
      <c r="H49" s="4">
        <f t="shared" si="9"/>
        <v>0</v>
      </c>
      <c r="L49" s="4"/>
      <c r="M49" s="7">
        <v>15.9</v>
      </c>
      <c r="N49" s="7">
        <v>15.9</v>
      </c>
      <c r="O49" s="7">
        <v>15.9</v>
      </c>
      <c r="P49" s="7">
        <v>15.9</v>
      </c>
      <c r="Q49" s="7">
        <v>15.9</v>
      </c>
      <c r="R49" s="7">
        <v>15.9</v>
      </c>
      <c r="S49" s="7">
        <v>15.9</v>
      </c>
      <c r="T49" s="7">
        <v>15.9</v>
      </c>
      <c r="U49" s="7">
        <v>15.9</v>
      </c>
      <c r="V49" s="7">
        <v>15.9</v>
      </c>
      <c r="W49" s="7">
        <v>15.9</v>
      </c>
      <c r="X49" s="7">
        <v>15.9</v>
      </c>
      <c r="Y49" s="7">
        <v>15.9</v>
      </c>
      <c r="Z49" s="7">
        <v>15.9</v>
      </c>
      <c r="AA49" s="7">
        <v>15.9</v>
      </c>
      <c r="AB49" s="7">
        <v>15.9</v>
      </c>
      <c r="AD49" s="4">
        <v>15.9</v>
      </c>
      <c r="AE49" s="4">
        <v>15.9</v>
      </c>
      <c r="AF49" s="4">
        <v>15.9</v>
      </c>
      <c r="AG49" s="4">
        <v>15.9</v>
      </c>
      <c r="AH49" s="4">
        <v>0</v>
      </c>
      <c r="AI49" s="4">
        <v>0</v>
      </c>
      <c r="AJ49" s="4">
        <v>0</v>
      </c>
      <c r="AK49" s="4">
        <v>0</v>
      </c>
    </row>
    <row r="50" spans="1:37" x14ac:dyDescent="0.25">
      <c r="A50" t="s">
        <v>48</v>
      </c>
      <c r="B50" s="1">
        <v>42524</v>
      </c>
      <c r="C50">
        <v>155</v>
      </c>
      <c r="D50" s="2">
        <v>0.25</v>
      </c>
      <c r="E50" s="4">
        <v>15.9</v>
      </c>
      <c r="F50" s="4">
        <f t="shared" si="8"/>
        <v>0.62598425196850394</v>
      </c>
      <c r="G50" s="4">
        <v>15.9</v>
      </c>
      <c r="H50" s="4">
        <f t="shared" si="9"/>
        <v>0.62598425196850394</v>
      </c>
      <c r="I50" t="s">
        <v>51</v>
      </c>
      <c r="L50" s="4"/>
      <c r="M50" s="7">
        <v>15.9</v>
      </c>
      <c r="N50" s="7">
        <v>15.9</v>
      </c>
      <c r="O50" s="7">
        <v>15.9</v>
      </c>
      <c r="P50" s="7">
        <v>15.9</v>
      </c>
      <c r="Q50" s="7">
        <v>15.9</v>
      </c>
      <c r="R50" s="7">
        <v>15.9</v>
      </c>
      <c r="S50" s="7">
        <v>15.9</v>
      </c>
      <c r="T50" s="7">
        <v>15.9</v>
      </c>
      <c r="U50" s="7">
        <v>15.9</v>
      </c>
      <c r="V50" s="7">
        <v>15.9</v>
      </c>
      <c r="W50" s="7">
        <v>15.9</v>
      </c>
      <c r="X50" s="7">
        <v>15.9</v>
      </c>
      <c r="Y50" s="7">
        <v>15.9</v>
      </c>
      <c r="Z50" s="7">
        <v>15.9</v>
      </c>
      <c r="AA50" s="7">
        <v>15.9</v>
      </c>
      <c r="AB50" s="7">
        <v>15.9</v>
      </c>
      <c r="AD50" s="4">
        <v>15.9</v>
      </c>
      <c r="AE50" s="4">
        <v>15.9</v>
      </c>
      <c r="AF50" s="4">
        <v>15.9</v>
      </c>
      <c r="AG50" s="4">
        <v>15.9</v>
      </c>
      <c r="AH50" s="4">
        <v>15.9</v>
      </c>
      <c r="AI50" s="4">
        <v>15.9</v>
      </c>
      <c r="AJ50" s="4">
        <v>15.9</v>
      </c>
      <c r="AK50" s="4">
        <v>15.9</v>
      </c>
    </row>
    <row r="51" spans="1:37" x14ac:dyDescent="0.25">
      <c r="A51" t="s">
        <v>48</v>
      </c>
      <c r="B51" s="1">
        <v>42528</v>
      </c>
      <c r="C51">
        <v>160</v>
      </c>
      <c r="D51" t="s">
        <v>14</v>
      </c>
      <c r="E51" s="4">
        <f>(4*2+8*2)*0.8333</f>
        <v>19.999200000000002</v>
      </c>
      <c r="F51" s="4">
        <f t="shared" si="8"/>
        <v>0.78737007874015763</v>
      </c>
      <c r="G51" s="4">
        <f>(4*2+8*2)*0.2778</f>
        <v>6.6671999999999993</v>
      </c>
      <c r="H51" s="4">
        <f t="shared" si="9"/>
        <v>0.26248818897637793</v>
      </c>
      <c r="I51" t="s">
        <v>53</v>
      </c>
      <c r="L51" s="4"/>
      <c r="M51" s="7">
        <f>(4*2+8*2)*0.5</f>
        <v>12</v>
      </c>
      <c r="N51" s="7">
        <f t="shared" ref="N51:P51" si="12">(4*2+8*2)*0.5</f>
        <v>12</v>
      </c>
      <c r="O51" s="7">
        <f t="shared" si="12"/>
        <v>12</v>
      </c>
      <c r="P51" s="7">
        <f t="shared" si="12"/>
        <v>12</v>
      </c>
      <c r="Q51" s="7">
        <f>(4*2+8*2)*0.6667</f>
        <v>16.000799999999998</v>
      </c>
      <c r="R51" s="7">
        <f t="shared" ref="R51:T51" si="13">(4*2+8*2)*0.6667</f>
        <v>16.000799999999998</v>
      </c>
      <c r="S51" s="7">
        <f t="shared" si="13"/>
        <v>16.000799999999998</v>
      </c>
      <c r="T51" s="7">
        <f t="shared" si="13"/>
        <v>16.000799999999998</v>
      </c>
      <c r="U51" s="7">
        <f t="shared" ref="U51:V51" si="14">(4*2+8*2)*0.8333</f>
        <v>19.999200000000002</v>
      </c>
      <c r="V51" s="7">
        <f t="shared" si="14"/>
        <v>19.999200000000002</v>
      </c>
      <c r="W51" s="7">
        <f>(4*2+8*2)*0.8333</f>
        <v>19.999200000000002</v>
      </c>
      <c r="X51" s="7">
        <f>(4*2+8*2)*0.8333</f>
        <v>19.999200000000002</v>
      </c>
      <c r="Y51" s="7">
        <f>(4*2+8*2)*1</f>
        <v>24</v>
      </c>
      <c r="Z51" s="7">
        <f t="shared" ref="Z51:AB51" si="15">(4*2+8*2)*1</f>
        <v>24</v>
      </c>
      <c r="AA51" s="7">
        <f t="shared" si="15"/>
        <v>24</v>
      </c>
      <c r="AB51" s="7">
        <f t="shared" si="15"/>
        <v>24</v>
      </c>
      <c r="AD51" s="4">
        <f>(4*2+8*2)*0.5</f>
        <v>12</v>
      </c>
      <c r="AE51" s="4">
        <f>(4*2+8*2)*0.6667</f>
        <v>16.000799999999998</v>
      </c>
      <c r="AF51" s="4">
        <f>(4*2+8*2)*0.8333</f>
        <v>19.999200000000002</v>
      </c>
      <c r="AG51" s="4">
        <f>(4*2+8*2)*1</f>
        <v>24</v>
      </c>
      <c r="AH51" s="4">
        <f>(4*2+8*2)*0.2778*0.6</f>
        <v>4.0003199999999994</v>
      </c>
      <c r="AI51" s="4">
        <f>(4*2+8*2)*0.2778*0.8</f>
        <v>5.3337599999999998</v>
      </c>
      <c r="AJ51" s="4">
        <f>(4*2+8*2)*0.2778</f>
        <v>6.6671999999999993</v>
      </c>
      <c r="AK51" s="4">
        <f>(4*2+8*2)*0.2778*1.2</f>
        <v>8.0006399999999989</v>
      </c>
    </row>
    <row r="52" spans="1:37" x14ac:dyDescent="0.25">
      <c r="A52" t="s">
        <v>48</v>
      </c>
      <c r="B52" s="1">
        <v>42529</v>
      </c>
      <c r="C52">
        <v>161</v>
      </c>
      <c r="D52" t="s">
        <v>21</v>
      </c>
      <c r="E52" s="4">
        <f>8*2*0.8333</f>
        <v>13.332800000000001</v>
      </c>
      <c r="F52" s="4">
        <f t="shared" si="8"/>
        <v>0.52491338582677172</v>
      </c>
      <c r="G52" s="4">
        <f>8*2*0.2778</f>
        <v>4.4447999999999999</v>
      </c>
      <c r="H52" s="4">
        <f t="shared" si="9"/>
        <v>0.17499212598425198</v>
      </c>
      <c r="L52" s="4"/>
      <c r="M52" s="7">
        <f>8*2*0.5</f>
        <v>8</v>
      </c>
      <c r="N52" s="7">
        <f t="shared" ref="N52:P53" si="16">8*2*0.5</f>
        <v>8</v>
      </c>
      <c r="O52" s="7">
        <f t="shared" si="16"/>
        <v>8</v>
      </c>
      <c r="P52" s="7">
        <f t="shared" si="16"/>
        <v>8</v>
      </c>
      <c r="Q52" s="7">
        <f>8*2*0.6667</f>
        <v>10.667199999999999</v>
      </c>
      <c r="R52" s="7">
        <f t="shared" ref="R52:T53" si="17">8*2*0.6667</f>
        <v>10.667199999999999</v>
      </c>
      <c r="S52" s="7">
        <f t="shared" si="17"/>
        <v>10.667199999999999</v>
      </c>
      <c r="T52" s="7">
        <f t="shared" si="17"/>
        <v>10.667199999999999</v>
      </c>
      <c r="U52" s="7">
        <f t="shared" ref="U52:V53" si="18">8*2*0.8333</f>
        <v>13.332800000000001</v>
      </c>
      <c r="V52" s="7">
        <f t="shared" si="18"/>
        <v>13.332800000000001</v>
      </c>
      <c r="W52" s="7">
        <f>8*2*0.8333</f>
        <v>13.332800000000001</v>
      </c>
      <c r="X52" s="7">
        <f>8*2*0.8333</f>
        <v>13.332800000000001</v>
      </c>
      <c r="Y52" s="7">
        <f>8*2*1</f>
        <v>16</v>
      </c>
      <c r="Z52" s="7">
        <f t="shared" ref="Z52:AB53" si="19">8*2*1</f>
        <v>16</v>
      </c>
      <c r="AA52" s="7">
        <f t="shared" si="19"/>
        <v>16</v>
      </c>
      <c r="AB52" s="7">
        <f t="shared" si="19"/>
        <v>16</v>
      </c>
      <c r="AD52" s="4">
        <f>8*2*0.5</f>
        <v>8</v>
      </c>
      <c r="AE52" s="4">
        <f>8*2*0.6667</f>
        <v>10.667199999999999</v>
      </c>
      <c r="AF52" s="4">
        <f>8*2*0.8333</f>
        <v>13.332800000000001</v>
      </c>
      <c r="AG52" s="4">
        <f>8*2*1</f>
        <v>16</v>
      </c>
      <c r="AH52" s="4">
        <f>8*2*0.2778*0.6</f>
        <v>2.6668799999999999</v>
      </c>
      <c r="AI52" s="4">
        <f>8*2*0.2778*0.8</f>
        <v>3.5558399999999999</v>
      </c>
      <c r="AJ52" s="4">
        <f>8*2*0.2778</f>
        <v>4.4447999999999999</v>
      </c>
      <c r="AK52" s="4">
        <f>8*2*0.2778*1.2</f>
        <v>5.3337599999999998</v>
      </c>
    </row>
    <row r="53" spans="1:37" x14ac:dyDescent="0.25">
      <c r="A53" t="s">
        <v>48</v>
      </c>
      <c r="B53" s="1">
        <v>42530</v>
      </c>
      <c r="C53">
        <v>162</v>
      </c>
      <c r="D53" t="s">
        <v>21</v>
      </c>
      <c r="E53" s="4">
        <f>8*2*0.8333</f>
        <v>13.332800000000001</v>
      </c>
      <c r="F53" s="4">
        <f t="shared" si="8"/>
        <v>0.52491338582677172</v>
      </c>
      <c r="G53" s="4">
        <f t="shared" ref="G53" si="20">8*2*0.2778</f>
        <v>4.4447999999999999</v>
      </c>
      <c r="H53" s="4">
        <f t="shared" si="9"/>
        <v>0.17499212598425198</v>
      </c>
      <c r="L53" s="4"/>
      <c r="M53" s="7">
        <f>8*2*0.5</f>
        <v>8</v>
      </c>
      <c r="N53" s="7">
        <f t="shared" si="16"/>
        <v>8</v>
      </c>
      <c r="O53" s="7">
        <f t="shared" si="16"/>
        <v>8</v>
      </c>
      <c r="P53" s="7">
        <f t="shared" si="16"/>
        <v>8</v>
      </c>
      <c r="Q53" s="7">
        <f>8*2*0.6667</f>
        <v>10.667199999999999</v>
      </c>
      <c r="R53" s="7">
        <f t="shared" si="17"/>
        <v>10.667199999999999</v>
      </c>
      <c r="S53" s="7">
        <f t="shared" si="17"/>
        <v>10.667199999999999</v>
      </c>
      <c r="T53" s="7">
        <f t="shared" si="17"/>
        <v>10.667199999999999</v>
      </c>
      <c r="U53" s="7">
        <f t="shared" si="18"/>
        <v>13.332800000000001</v>
      </c>
      <c r="V53" s="7">
        <f t="shared" si="18"/>
        <v>13.332800000000001</v>
      </c>
      <c r="W53" s="7">
        <f>8*2*0.8333</f>
        <v>13.332800000000001</v>
      </c>
      <c r="X53" s="7">
        <f>8*2*0.8333</f>
        <v>13.332800000000001</v>
      </c>
      <c r="Y53" s="7">
        <f>8*2*1</f>
        <v>16</v>
      </c>
      <c r="Z53" s="7">
        <f t="shared" si="19"/>
        <v>16</v>
      </c>
      <c r="AA53" s="7">
        <f t="shared" si="19"/>
        <v>16</v>
      </c>
      <c r="AB53" s="7">
        <f t="shared" si="19"/>
        <v>16</v>
      </c>
      <c r="AD53" s="4">
        <f>8*2*0.5</f>
        <v>8</v>
      </c>
      <c r="AE53" s="4">
        <f>8*2*0.6667</f>
        <v>10.667199999999999</v>
      </c>
      <c r="AF53" s="4">
        <f>8*2*0.8333</f>
        <v>13.332800000000001</v>
      </c>
      <c r="AG53" s="4">
        <f>8*2*1</f>
        <v>16</v>
      </c>
      <c r="AH53" s="4">
        <f>8*2*0.2778*0.6</f>
        <v>2.6668799999999999</v>
      </c>
      <c r="AI53" s="4">
        <f>8*2*0.2778*0.8</f>
        <v>3.5558399999999999</v>
      </c>
      <c r="AJ53" s="4">
        <f t="shared" ref="AJ53" si="21">8*2*0.2778</f>
        <v>4.4447999999999999</v>
      </c>
      <c r="AK53" s="4">
        <f>8*2*0.2778*1.2</f>
        <v>5.3337599999999998</v>
      </c>
    </row>
    <row r="54" spans="1:37" x14ac:dyDescent="0.25">
      <c r="A54" t="s">
        <v>54</v>
      </c>
      <c r="B54" s="1">
        <v>42536</v>
      </c>
      <c r="C54">
        <v>167</v>
      </c>
      <c r="D54" t="s">
        <v>15</v>
      </c>
      <c r="E54" s="4">
        <f>(8*3)*0.8333</f>
        <v>19.999200000000002</v>
      </c>
      <c r="F54" s="4">
        <f t="shared" si="8"/>
        <v>0.78737007874015763</v>
      </c>
      <c r="G54" s="4">
        <f>(8*3)*0.2222</f>
        <v>5.3328000000000007</v>
      </c>
      <c r="H54" s="4">
        <f t="shared" si="9"/>
        <v>0.20995275590551185</v>
      </c>
      <c r="L54" s="4"/>
      <c r="M54" s="7">
        <f>(8*3)*0.5</f>
        <v>12</v>
      </c>
      <c r="N54" s="7">
        <f t="shared" ref="N54:P54" si="22">(8*3)*0.5</f>
        <v>12</v>
      </c>
      <c r="O54" s="7">
        <f t="shared" si="22"/>
        <v>12</v>
      </c>
      <c r="P54" s="7">
        <f t="shared" si="22"/>
        <v>12</v>
      </c>
      <c r="Q54" s="7">
        <f>(8*3)*0.6667</f>
        <v>16.000799999999998</v>
      </c>
      <c r="R54" s="7">
        <f t="shared" ref="R54:T54" si="23">(8*3)*0.6667</f>
        <v>16.000799999999998</v>
      </c>
      <c r="S54" s="7">
        <f t="shared" si="23"/>
        <v>16.000799999999998</v>
      </c>
      <c r="T54" s="7">
        <f t="shared" si="23"/>
        <v>16.000799999999998</v>
      </c>
      <c r="U54" s="7">
        <f t="shared" ref="U54:V54" si="24">(8*3)*0.8333</f>
        <v>19.999200000000002</v>
      </c>
      <c r="V54" s="7">
        <f t="shared" si="24"/>
        <v>19.999200000000002</v>
      </c>
      <c r="W54" s="7">
        <f>(8*3)*0.8333</f>
        <v>19.999200000000002</v>
      </c>
      <c r="X54" s="7">
        <f>(8*3)*0.8333</f>
        <v>19.999200000000002</v>
      </c>
      <c r="Y54" s="7">
        <f>(8*3)*1</f>
        <v>24</v>
      </c>
      <c r="Z54" s="7">
        <f t="shared" ref="Z54:AB54" si="25">(8*3)*1</f>
        <v>24</v>
      </c>
      <c r="AA54" s="7">
        <f t="shared" si="25"/>
        <v>24</v>
      </c>
      <c r="AB54" s="7">
        <f t="shared" si="25"/>
        <v>24</v>
      </c>
      <c r="AD54" s="4">
        <f>(8*3)*0.5</f>
        <v>12</v>
      </c>
      <c r="AE54" s="4">
        <f>(8*3)*0.6667</f>
        <v>16.000799999999998</v>
      </c>
      <c r="AF54" s="4">
        <f>(8*3)*0.8333</f>
        <v>19.999200000000002</v>
      </c>
      <c r="AG54" s="4">
        <f>(8*3)*1</f>
        <v>24</v>
      </c>
      <c r="AH54" s="4">
        <f>(8*3)*0.2222*0.6</f>
        <v>3.1996800000000003</v>
      </c>
      <c r="AI54" s="4">
        <f>(8*3)*0.2222*0.8</f>
        <v>4.2662400000000007</v>
      </c>
      <c r="AJ54" s="4">
        <f>(8*3)*0.2222</f>
        <v>5.3328000000000007</v>
      </c>
      <c r="AK54" s="4">
        <f>(8*3)*0.2222*1.2</f>
        <v>6.3993600000000006</v>
      </c>
    </row>
    <row r="55" spans="1:37" x14ac:dyDescent="0.25">
      <c r="A55" t="s">
        <v>54</v>
      </c>
      <c r="B55" s="1">
        <v>42537</v>
      </c>
      <c r="C55">
        <v>168</v>
      </c>
      <c r="D55" s="2">
        <v>0.25</v>
      </c>
      <c r="E55" s="4">
        <v>15.9</v>
      </c>
      <c r="F55" s="4">
        <f t="shared" si="8"/>
        <v>0.62598425196850394</v>
      </c>
      <c r="G55" s="4">
        <v>15.9</v>
      </c>
      <c r="H55" s="4">
        <f t="shared" si="9"/>
        <v>0.62598425196850394</v>
      </c>
      <c r="I55" t="s">
        <v>57</v>
      </c>
      <c r="L55" s="4"/>
      <c r="M55" s="7">
        <v>15.9</v>
      </c>
      <c r="N55" s="7">
        <v>15.9</v>
      </c>
      <c r="O55" s="7">
        <v>15.9</v>
      </c>
      <c r="P55" s="7">
        <v>15.9</v>
      </c>
      <c r="Q55" s="7">
        <v>15.9</v>
      </c>
      <c r="R55" s="7">
        <v>15.9</v>
      </c>
      <c r="S55" s="7">
        <v>15.9</v>
      </c>
      <c r="T55" s="7">
        <v>15.9</v>
      </c>
      <c r="U55" s="7">
        <v>15.9</v>
      </c>
      <c r="V55" s="7">
        <v>15.9</v>
      </c>
      <c r="W55" s="7">
        <v>15.9</v>
      </c>
      <c r="X55" s="7">
        <v>15.9</v>
      </c>
      <c r="Y55" s="7">
        <v>15.9</v>
      </c>
      <c r="Z55" s="7">
        <v>15.9</v>
      </c>
      <c r="AA55" s="7">
        <v>15.9</v>
      </c>
      <c r="AB55" s="7">
        <v>15.9</v>
      </c>
      <c r="AD55" s="4">
        <v>15.9</v>
      </c>
      <c r="AE55" s="4">
        <v>15.9</v>
      </c>
      <c r="AF55" s="4">
        <v>15.9</v>
      </c>
      <c r="AG55" s="4">
        <v>15.9</v>
      </c>
      <c r="AH55" s="4">
        <v>15.9</v>
      </c>
      <c r="AI55" s="4">
        <v>15.9</v>
      </c>
      <c r="AJ55" s="4">
        <v>15.9</v>
      </c>
      <c r="AK55" s="4">
        <v>15.9</v>
      </c>
    </row>
    <row r="56" spans="1:37" x14ac:dyDescent="0.25">
      <c r="A56" t="s">
        <v>48</v>
      </c>
      <c r="B56" s="1">
        <v>42537</v>
      </c>
      <c r="C56">
        <v>168</v>
      </c>
      <c r="D56" s="2">
        <v>0.5</v>
      </c>
      <c r="E56" s="4">
        <f>(8*1)*0.8333</f>
        <v>6.6664000000000003</v>
      </c>
      <c r="F56" s="4">
        <f t="shared" si="8"/>
        <v>0.26245669291338586</v>
      </c>
      <c r="G56" s="4">
        <f>(8*1)*0.2222</f>
        <v>1.7776000000000001</v>
      </c>
      <c r="H56" s="4">
        <f t="shared" si="9"/>
        <v>6.9984251968503941E-2</v>
      </c>
      <c r="I56" t="s">
        <v>56</v>
      </c>
      <c r="L56" s="4"/>
      <c r="M56" s="7">
        <f>(8*1)*0.5</f>
        <v>4</v>
      </c>
      <c r="N56" s="7">
        <f t="shared" ref="N56:P56" si="26">(8*1)*0.5</f>
        <v>4</v>
      </c>
      <c r="O56" s="7">
        <f t="shared" si="26"/>
        <v>4</v>
      </c>
      <c r="P56" s="7">
        <f t="shared" si="26"/>
        <v>4</v>
      </c>
      <c r="Q56" s="7">
        <f>(8*1)*0.6667</f>
        <v>5.3335999999999997</v>
      </c>
      <c r="R56" s="7">
        <f t="shared" ref="R56:T56" si="27">(8*1)*0.6667</f>
        <v>5.3335999999999997</v>
      </c>
      <c r="S56" s="7">
        <f t="shared" si="27"/>
        <v>5.3335999999999997</v>
      </c>
      <c r="T56" s="7">
        <f t="shared" si="27"/>
        <v>5.3335999999999997</v>
      </c>
      <c r="U56" s="7">
        <f t="shared" ref="U56:V56" si="28">(8*1)*0.8333</f>
        <v>6.6664000000000003</v>
      </c>
      <c r="V56" s="7">
        <f t="shared" si="28"/>
        <v>6.6664000000000003</v>
      </c>
      <c r="W56" s="7">
        <f>(8*1)*0.8333</f>
        <v>6.6664000000000003</v>
      </c>
      <c r="X56" s="7">
        <f>(8*1)*0.8333</f>
        <v>6.6664000000000003</v>
      </c>
      <c r="Y56" s="7">
        <f>(8*1)*1</f>
        <v>8</v>
      </c>
      <c r="Z56" s="7">
        <f t="shared" ref="Z56:AB56" si="29">(8*1)*1</f>
        <v>8</v>
      </c>
      <c r="AA56" s="7">
        <f t="shared" si="29"/>
        <v>8</v>
      </c>
      <c r="AB56" s="7">
        <f t="shared" si="29"/>
        <v>8</v>
      </c>
      <c r="AD56" s="4">
        <f>(8*1)*0.5</f>
        <v>4</v>
      </c>
      <c r="AE56" s="4">
        <f>(8*1)*0.6667</f>
        <v>5.3335999999999997</v>
      </c>
      <c r="AF56" s="4">
        <f>(8*1)*0.8333</f>
        <v>6.6664000000000003</v>
      </c>
      <c r="AG56" s="4">
        <f>(8*1)*1</f>
        <v>8</v>
      </c>
      <c r="AH56" s="4">
        <f>(8*1)*0.2222*0.6</f>
        <v>1.06656</v>
      </c>
      <c r="AI56" s="4">
        <f>(8*1)*0.2222*0.8</f>
        <v>1.4220800000000002</v>
      </c>
      <c r="AJ56" s="4">
        <f>(8*1)*0.2222</f>
        <v>1.7776000000000001</v>
      </c>
      <c r="AK56" s="4">
        <f>(8*1)*0.2222*1.2</f>
        <v>2.1331199999999999</v>
      </c>
    </row>
    <row r="57" spans="1:37" x14ac:dyDescent="0.25">
      <c r="A57" t="s">
        <v>48</v>
      </c>
      <c r="B57" s="1">
        <v>42538</v>
      </c>
      <c r="C57">
        <v>169</v>
      </c>
      <c r="D57" t="s">
        <v>55</v>
      </c>
      <c r="E57" s="4">
        <f>(8*2+4*1)*0.8333</f>
        <v>16.666</v>
      </c>
      <c r="F57" s="4">
        <f t="shared" si="8"/>
        <v>0.65614173228346462</v>
      </c>
      <c r="G57" s="4">
        <f>(8*2+4*1)*0.2222</f>
        <v>4.444</v>
      </c>
      <c r="H57" s="4">
        <f t="shared" si="9"/>
        <v>0.17496062992125985</v>
      </c>
      <c r="L57" s="4"/>
      <c r="M57" s="7">
        <f>(8*2+4*1)*0.5</f>
        <v>10</v>
      </c>
      <c r="N57" s="7">
        <f t="shared" ref="N57:P57" si="30">(8*2+4*1)*0.5</f>
        <v>10</v>
      </c>
      <c r="O57" s="7">
        <f t="shared" si="30"/>
        <v>10</v>
      </c>
      <c r="P57" s="7">
        <f t="shared" si="30"/>
        <v>10</v>
      </c>
      <c r="Q57" s="7">
        <f>(8*2+4*1)*0.6667</f>
        <v>13.334</v>
      </c>
      <c r="R57" s="7">
        <f t="shared" ref="R57:T57" si="31">(8*2+4*1)*0.6667</f>
        <v>13.334</v>
      </c>
      <c r="S57" s="7">
        <f t="shared" si="31"/>
        <v>13.334</v>
      </c>
      <c r="T57" s="7">
        <f t="shared" si="31"/>
        <v>13.334</v>
      </c>
      <c r="U57" s="7">
        <f t="shared" ref="U57:V57" si="32">(8*2+4*1)*0.8333</f>
        <v>16.666</v>
      </c>
      <c r="V57" s="7">
        <f t="shared" si="32"/>
        <v>16.666</v>
      </c>
      <c r="W57" s="7">
        <f>(8*2+4*1)*0.8333</f>
        <v>16.666</v>
      </c>
      <c r="X57" s="7">
        <f>(8*2+4*1)*0.8333</f>
        <v>16.666</v>
      </c>
      <c r="Y57" s="7">
        <f>(8*2+4*1)*1</f>
        <v>20</v>
      </c>
      <c r="Z57" s="7">
        <f t="shared" ref="Z57:AB57" si="33">(8*2+4*1)*1</f>
        <v>20</v>
      </c>
      <c r="AA57" s="7">
        <f t="shared" si="33"/>
        <v>20</v>
      </c>
      <c r="AB57" s="7">
        <f t="shared" si="33"/>
        <v>20</v>
      </c>
      <c r="AD57" s="4">
        <f>(8*2+4*1)*0.5</f>
        <v>10</v>
      </c>
      <c r="AE57" s="4">
        <f>(8*2+4*1)*0.6667</f>
        <v>13.334</v>
      </c>
      <c r="AF57" s="4">
        <f>(8*2+4*1)*0.8333</f>
        <v>16.666</v>
      </c>
      <c r="AG57" s="4">
        <f>(8*2+4*1)*1</f>
        <v>20</v>
      </c>
      <c r="AH57" s="4">
        <f>(8*2+4*1)*0.2222*0.6</f>
        <v>2.6663999999999999</v>
      </c>
      <c r="AI57" s="4">
        <f>(8*2+4*1)*0.2222*0.8</f>
        <v>3.5552000000000001</v>
      </c>
      <c r="AJ57" s="4">
        <f>(8*2+4*1)*0.2222</f>
        <v>4.444</v>
      </c>
      <c r="AK57" s="4">
        <f>(8*2+4*1)*0.2222*1.2</f>
        <v>5.3327999999999998</v>
      </c>
    </row>
    <row r="58" spans="1:37" x14ac:dyDescent="0.25">
      <c r="A58" t="s">
        <v>48</v>
      </c>
      <c r="B58" s="1">
        <v>42543</v>
      </c>
      <c r="C58">
        <v>174</v>
      </c>
      <c r="D58" t="s">
        <v>23</v>
      </c>
      <c r="E58" s="4">
        <f>(8*4)*0.8333</f>
        <v>26.665600000000001</v>
      </c>
      <c r="F58" s="4">
        <f t="shared" si="8"/>
        <v>1.0498267716535434</v>
      </c>
      <c r="G58" s="4">
        <f>(8*4)*0.3704</f>
        <v>11.8528</v>
      </c>
      <c r="H58" s="4">
        <f t="shared" si="9"/>
        <v>0.46664566929133861</v>
      </c>
      <c r="L58" s="4"/>
      <c r="M58" s="7">
        <f>(8*4)*0.5</f>
        <v>16</v>
      </c>
      <c r="N58" s="7">
        <f t="shared" ref="N58:P59" si="34">(8*4)*0.5</f>
        <v>16</v>
      </c>
      <c r="O58" s="7">
        <f t="shared" si="34"/>
        <v>16</v>
      </c>
      <c r="P58" s="7">
        <f t="shared" si="34"/>
        <v>16</v>
      </c>
      <c r="Q58" s="7">
        <f>(8*4)*0.6667</f>
        <v>21.334399999999999</v>
      </c>
      <c r="R58" s="7">
        <f t="shared" ref="R58:T59" si="35">(8*4)*0.6667</f>
        <v>21.334399999999999</v>
      </c>
      <c r="S58" s="7">
        <f t="shared" si="35"/>
        <v>21.334399999999999</v>
      </c>
      <c r="T58" s="7">
        <f t="shared" si="35"/>
        <v>21.334399999999999</v>
      </c>
      <c r="U58" s="7">
        <f t="shared" ref="U58:V58" si="36">(8*4)*0.8333</f>
        <v>26.665600000000001</v>
      </c>
      <c r="V58" s="7">
        <f t="shared" si="36"/>
        <v>26.665600000000001</v>
      </c>
      <c r="W58" s="7">
        <f>(8*4)*0.8333</f>
        <v>26.665600000000001</v>
      </c>
      <c r="X58" s="7">
        <f>(8*4)*0.8333</f>
        <v>26.665600000000001</v>
      </c>
      <c r="Y58" s="7">
        <f>(8*4)*1</f>
        <v>32</v>
      </c>
      <c r="Z58" s="7">
        <f t="shared" ref="Z58:AB59" si="37">(8*4)*1</f>
        <v>32</v>
      </c>
      <c r="AA58" s="7">
        <f t="shared" si="37"/>
        <v>32</v>
      </c>
      <c r="AB58" s="7">
        <f t="shared" si="37"/>
        <v>32</v>
      </c>
      <c r="AD58" s="4">
        <f>(8*4)*0.5</f>
        <v>16</v>
      </c>
      <c r="AE58" s="4">
        <f>(8*4)*0.6667</f>
        <v>21.334399999999999</v>
      </c>
      <c r="AF58" s="4">
        <f>(8*4)*0.8333</f>
        <v>26.665600000000001</v>
      </c>
      <c r="AG58" s="4">
        <f>(8*4)*1</f>
        <v>32</v>
      </c>
      <c r="AH58" s="4">
        <f>(8*4)*0.3704*0.6</f>
        <v>7.1116799999999998</v>
      </c>
      <c r="AI58" s="4">
        <f>(8*4)*0.3704*0.8</f>
        <v>9.4822400000000009</v>
      </c>
      <c r="AJ58" s="4">
        <f>(8*4)*0.3704</f>
        <v>11.8528</v>
      </c>
      <c r="AK58" s="4">
        <f>(8*4)*0.3704*1.2</f>
        <v>14.22336</v>
      </c>
    </row>
    <row r="59" spans="1:37" x14ac:dyDescent="0.25">
      <c r="A59" t="s">
        <v>48</v>
      </c>
      <c r="B59" s="1">
        <v>42544</v>
      </c>
      <c r="C59">
        <v>175</v>
      </c>
      <c r="D59" t="s">
        <v>23</v>
      </c>
      <c r="E59" s="4">
        <f t="shared" ref="E59" si="38">(8*4)*0.8333</f>
        <v>26.665600000000001</v>
      </c>
      <c r="F59" s="4">
        <f t="shared" si="8"/>
        <v>1.0498267716535434</v>
      </c>
      <c r="G59" s="4">
        <f>(8*4)*0.3704</f>
        <v>11.8528</v>
      </c>
      <c r="H59" s="4">
        <f t="shared" si="9"/>
        <v>0.46664566929133861</v>
      </c>
      <c r="L59" s="4"/>
      <c r="M59" s="7">
        <f>(8*4)*0.5</f>
        <v>16</v>
      </c>
      <c r="N59" s="7">
        <f t="shared" si="34"/>
        <v>16</v>
      </c>
      <c r="O59" s="7">
        <f t="shared" si="34"/>
        <v>16</v>
      </c>
      <c r="P59" s="7">
        <f t="shared" si="34"/>
        <v>16</v>
      </c>
      <c r="Q59" s="7">
        <f>(8*4)*0.6667</f>
        <v>21.334399999999999</v>
      </c>
      <c r="R59" s="7">
        <f t="shared" si="35"/>
        <v>21.334399999999999</v>
      </c>
      <c r="S59" s="7">
        <f t="shared" si="35"/>
        <v>21.334399999999999</v>
      </c>
      <c r="T59" s="7">
        <f t="shared" si="35"/>
        <v>21.334399999999999</v>
      </c>
      <c r="U59" s="7">
        <f t="shared" ref="U59:X59" si="39">(8*4)*0.8333</f>
        <v>26.665600000000001</v>
      </c>
      <c r="V59" s="7">
        <f t="shared" si="39"/>
        <v>26.665600000000001</v>
      </c>
      <c r="W59" s="7">
        <f t="shared" si="39"/>
        <v>26.665600000000001</v>
      </c>
      <c r="X59" s="7">
        <f t="shared" si="39"/>
        <v>26.665600000000001</v>
      </c>
      <c r="Y59" s="7">
        <f>(8*4)*1</f>
        <v>32</v>
      </c>
      <c r="Z59" s="7">
        <f t="shared" si="37"/>
        <v>32</v>
      </c>
      <c r="AA59" s="7">
        <f t="shared" si="37"/>
        <v>32</v>
      </c>
      <c r="AB59" s="7">
        <f t="shared" si="37"/>
        <v>32</v>
      </c>
      <c r="AD59" s="4">
        <f>(8*4)*0.5</f>
        <v>16</v>
      </c>
      <c r="AE59" s="4">
        <f>(8*4)*0.6667</f>
        <v>21.334399999999999</v>
      </c>
      <c r="AF59" s="4">
        <f t="shared" ref="AF59" si="40">(8*4)*0.8333</f>
        <v>26.665600000000001</v>
      </c>
      <c r="AG59" s="4">
        <f>(8*4)*1</f>
        <v>32</v>
      </c>
      <c r="AH59" s="4">
        <f>(8*4)*0.3704*0.6</f>
        <v>7.1116799999999998</v>
      </c>
      <c r="AI59" s="4">
        <f>(8*4)*0.3704*0.8</f>
        <v>9.4822400000000009</v>
      </c>
      <c r="AJ59" s="4">
        <f>(8*4)*0.3704</f>
        <v>11.8528</v>
      </c>
      <c r="AK59" s="4">
        <f>(8*4)*0.3704*1.2</f>
        <v>14.22336</v>
      </c>
    </row>
    <row r="60" spans="1:37" x14ac:dyDescent="0.25">
      <c r="A60" t="s">
        <v>48</v>
      </c>
      <c r="B60" s="1">
        <v>42545</v>
      </c>
      <c r="C60">
        <v>176</v>
      </c>
      <c r="D60" t="s">
        <v>58</v>
      </c>
      <c r="E60" s="4">
        <f>(8*2+4*2)*0.8333</f>
        <v>19.999200000000002</v>
      </c>
      <c r="F60" s="4">
        <f t="shared" si="8"/>
        <v>0.78737007874015763</v>
      </c>
      <c r="G60" s="4">
        <f>(8*2+4*2)*0.3704</f>
        <v>8.8895999999999997</v>
      </c>
      <c r="H60" s="4">
        <f t="shared" si="9"/>
        <v>0.34998425196850397</v>
      </c>
      <c r="L60" s="4"/>
      <c r="M60" s="7">
        <f>(8*2+4*2)*0.5</f>
        <v>12</v>
      </c>
      <c r="N60" s="7">
        <f t="shared" ref="N60:P60" si="41">(8*2+4*2)*0.5</f>
        <v>12</v>
      </c>
      <c r="O60" s="7">
        <f t="shared" si="41"/>
        <v>12</v>
      </c>
      <c r="P60" s="7">
        <f t="shared" si="41"/>
        <v>12</v>
      </c>
      <c r="Q60" s="7">
        <f>(8*2+4*2)*0.6667</f>
        <v>16.000799999999998</v>
      </c>
      <c r="R60" s="7">
        <f t="shared" ref="R60:T60" si="42">(8*2+4*2)*0.6667</f>
        <v>16.000799999999998</v>
      </c>
      <c r="S60" s="7">
        <f t="shared" si="42"/>
        <v>16.000799999999998</v>
      </c>
      <c r="T60" s="7">
        <f t="shared" si="42"/>
        <v>16.000799999999998</v>
      </c>
      <c r="U60" s="7">
        <f t="shared" ref="U60:V60" si="43">(8*2+4*2)*0.8333</f>
        <v>19.999200000000002</v>
      </c>
      <c r="V60" s="7">
        <f t="shared" si="43"/>
        <v>19.999200000000002</v>
      </c>
      <c r="W60" s="7">
        <f>(8*2+4*2)*0.8333</f>
        <v>19.999200000000002</v>
      </c>
      <c r="X60" s="7">
        <f>(8*2+4*2)*0.8333</f>
        <v>19.999200000000002</v>
      </c>
      <c r="Y60" s="7">
        <f>(8*2+4*2)*1</f>
        <v>24</v>
      </c>
      <c r="Z60" s="7">
        <f t="shared" ref="Z60:AB60" si="44">(8*2+4*2)*1</f>
        <v>24</v>
      </c>
      <c r="AA60" s="7">
        <f t="shared" si="44"/>
        <v>24</v>
      </c>
      <c r="AB60" s="7">
        <f t="shared" si="44"/>
        <v>24</v>
      </c>
      <c r="AD60" s="4">
        <f>(8*2+4*2)*0.5</f>
        <v>12</v>
      </c>
      <c r="AE60" s="4">
        <f>(8*2+4*2)*0.6667</f>
        <v>16.000799999999998</v>
      </c>
      <c r="AF60" s="4">
        <f>(8*2+4*2)*0.8333</f>
        <v>19.999200000000002</v>
      </c>
      <c r="AG60" s="4">
        <f>(8*2+4*2)*1</f>
        <v>24</v>
      </c>
      <c r="AH60" s="4">
        <f>(8*2+4*2)*0.3704*0.6</f>
        <v>5.3337599999999998</v>
      </c>
      <c r="AI60" s="4">
        <f>(8*2+4*2)*0.3704*0.8</f>
        <v>7.1116799999999998</v>
      </c>
      <c r="AJ60" s="4">
        <f>(8*2+4*2)*0.3704</f>
        <v>8.8895999999999997</v>
      </c>
      <c r="AK60" s="4">
        <f>(8*2+4*2)*0.3704*1.2</f>
        <v>10.66752</v>
      </c>
    </row>
    <row r="61" spans="1:37" x14ac:dyDescent="0.25">
      <c r="A61" t="s">
        <v>54</v>
      </c>
      <c r="B61" s="1">
        <v>42550</v>
      </c>
      <c r="C61">
        <v>181</v>
      </c>
      <c r="D61" t="s">
        <v>59</v>
      </c>
      <c r="E61" s="4">
        <f>(4*8)*0.8333</f>
        <v>26.665600000000001</v>
      </c>
      <c r="F61" s="4">
        <f t="shared" si="8"/>
        <v>1.0498267716535434</v>
      </c>
      <c r="G61" s="4">
        <f>(4*8)*0.6019</f>
        <v>19.2608</v>
      </c>
      <c r="H61" s="4">
        <f t="shared" si="9"/>
        <v>0.75829921259842525</v>
      </c>
      <c r="L61" s="4"/>
      <c r="M61" s="7">
        <f>(4*8)*0.5</f>
        <v>16</v>
      </c>
      <c r="N61" s="7">
        <f t="shared" ref="N61:P62" si="45">(4*8)*0.5</f>
        <v>16</v>
      </c>
      <c r="O61" s="7">
        <f t="shared" si="45"/>
        <v>16</v>
      </c>
      <c r="P61" s="7">
        <f t="shared" si="45"/>
        <v>16</v>
      </c>
      <c r="Q61" s="7">
        <f>(4*8)*0.6667</f>
        <v>21.334399999999999</v>
      </c>
      <c r="R61" s="7">
        <f t="shared" ref="R61:T62" si="46">(4*8)*0.6667</f>
        <v>21.334399999999999</v>
      </c>
      <c r="S61" s="7">
        <f t="shared" si="46"/>
        <v>21.334399999999999</v>
      </c>
      <c r="T61" s="7">
        <f t="shared" si="46"/>
        <v>21.334399999999999</v>
      </c>
      <c r="U61" s="7">
        <f t="shared" ref="U61:V62" si="47">(4*8)*0.8333</f>
        <v>26.665600000000001</v>
      </c>
      <c r="V61" s="7">
        <f t="shared" si="47"/>
        <v>26.665600000000001</v>
      </c>
      <c r="W61" s="7">
        <f>(4*8)*0.8333</f>
        <v>26.665600000000001</v>
      </c>
      <c r="X61" s="7">
        <f>(4*8)*0.8333</f>
        <v>26.665600000000001</v>
      </c>
      <c r="Y61" s="7">
        <f>(4*8)*1</f>
        <v>32</v>
      </c>
      <c r="Z61" s="7">
        <f t="shared" ref="Z61:AB62" si="48">(4*8)*1</f>
        <v>32</v>
      </c>
      <c r="AA61" s="7">
        <f t="shared" si="48"/>
        <v>32</v>
      </c>
      <c r="AB61" s="7">
        <f t="shared" si="48"/>
        <v>32</v>
      </c>
      <c r="AD61" s="4">
        <f>(4*8)*0.5</f>
        <v>16</v>
      </c>
      <c r="AE61" s="4">
        <f>(4*8)*0.6667</f>
        <v>21.334399999999999</v>
      </c>
      <c r="AF61" s="4">
        <f>(4*8)*0.8333</f>
        <v>26.665600000000001</v>
      </c>
      <c r="AG61" s="4">
        <f>(4*8)*1</f>
        <v>32</v>
      </c>
      <c r="AH61" s="4">
        <f>(4*8)*0.6019*0.6</f>
        <v>11.556479999999999</v>
      </c>
      <c r="AI61" s="4">
        <f>(4*8)*0.6019*0.8</f>
        <v>15.40864</v>
      </c>
      <c r="AJ61" s="4">
        <f>(4*8)*0.6019</f>
        <v>19.2608</v>
      </c>
      <c r="AK61" s="4">
        <f>(4*8)*0.6019*1.2</f>
        <v>23.112959999999998</v>
      </c>
    </row>
    <row r="62" spans="1:37" x14ac:dyDescent="0.25">
      <c r="A62" t="s">
        <v>54</v>
      </c>
      <c r="B62" s="1">
        <v>42551</v>
      </c>
      <c r="C62">
        <v>182</v>
      </c>
      <c r="D62" t="s">
        <v>59</v>
      </c>
      <c r="E62" s="4">
        <f>(4*8)*0.8333</f>
        <v>26.665600000000001</v>
      </c>
      <c r="F62" s="4">
        <f t="shared" si="8"/>
        <v>1.0498267716535434</v>
      </c>
      <c r="G62" s="4">
        <f>(4*8)*0.6019</f>
        <v>19.2608</v>
      </c>
      <c r="H62" s="4">
        <f t="shared" si="9"/>
        <v>0.75829921259842525</v>
      </c>
      <c r="L62" s="4"/>
      <c r="M62" s="7">
        <f>(4*8)*0.5</f>
        <v>16</v>
      </c>
      <c r="N62" s="7">
        <f t="shared" si="45"/>
        <v>16</v>
      </c>
      <c r="O62" s="7">
        <f t="shared" si="45"/>
        <v>16</v>
      </c>
      <c r="P62" s="7">
        <f t="shared" si="45"/>
        <v>16</v>
      </c>
      <c r="Q62" s="7">
        <f>(4*8)*0.6667</f>
        <v>21.334399999999999</v>
      </c>
      <c r="R62" s="7">
        <f t="shared" si="46"/>
        <v>21.334399999999999</v>
      </c>
      <c r="S62" s="7">
        <f t="shared" si="46"/>
        <v>21.334399999999999</v>
      </c>
      <c r="T62" s="7">
        <f t="shared" si="46"/>
        <v>21.334399999999999</v>
      </c>
      <c r="U62" s="7">
        <f t="shared" si="47"/>
        <v>26.665600000000001</v>
      </c>
      <c r="V62" s="7">
        <f t="shared" si="47"/>
        <v>26.665600000000001</v>
      </c>
      <c r="W62" s="7">
        <f>(4*8)*0.8333</f>
        <v>26.665600000000001</v>
      </c>
      <c r="X62" s="7">
        <f>(4*8)*0.8333</f>
        <v>26.665600000000001</v>
      </c>
      <c r="Y62" s="7">
        <f>(4*8)*1</f>
        <v>32</v>
      </c>
      <c r="Z62" s="7">
        <f t="shared" si="48"/>
        <v>32</v>
      </c>
      <c r="AA62" s="7">
        <f t="shared" si="48"/>
        <v>32</v>
      </c>
      <c r="AB62" s="7">
        <f t="shared" si="48"/>
        <v>32</v>
      </c>
      <c r="AD62" s="4">
        <f>(4*8)*0.5</f>
        <v>16</v>
      </c>
      <c r="AE62" s="4">
        <f>(4*8)*0.6667</f>
        <v>21.334399999999999</v>
      </c>
      <c r="AF62" s="4">
        <f>(4*8)*0.8333</f>
        <v>26.665600000000001</v>
      </c>
      <c r="AG62" s="4">
        <f>(4*8)*1</f>
        <v>32</v>
      </c>
      <c r="AH62" s="4">
        <f>(4*8)*0.6019*0.6</f>
        <v>11.556479999999999</v>
      </c>
      <c r="AI62" s="4">
        <f>(4*8)*0.6019*0.8</f>
        <v>15.40864</v>
      </c>
      <c r="AJ62" s="4">
        <f>(4*8)*0.6019</f>
        <v>19.2608</v>
      </c>
      <c r="AK62" s="4">
        <f>(4*8)*0.6019*1.2</f>
        <v>23.112959999999998</v>
      </c>
    </row>
    <row r="63" spans="1:37" x14ac:dyDescent="0.25">
      <c r="A63" t="s">
        <v>54</v>
      </c>
      <c r="B63" s="1">
        <v>42552</v>
      </c>
      <c r="C63">
        <v>183</v>
      </c>
      <c r="D63" t="s">
        <v>60</v>
      </c>
      <c r="E63" s="4">
        <f>(4*6)*0.8333</f>
        <v>19.999200000000002</v>
      </c>
      <c r="F63" s="4">
        <f t="shared" si="8"/>
        <v>0.78737007874015763</v>
      </c>
      <c r="G63" s="4">
        <f>(4*6)*0.6019</f>
        <v>14.445599999999999</v>
      </c>
      <c r="H63" s="4">
        <f t="shared" si="9"/>
        <v>0.56872440944881886</v>
      </c>
      <c r="L63" s="4"/>
      <c r="M63" s="7">
        <f>(4*6)*0.5</f>
        <v>12</v>
      </c>
      <c r="N63" s="7">
        <f t="shared" ref="N63:P63" si="49">(4*6)*0.5</f>
        <v>12</v>
      </c>
      <c r="O63" s="7">
        <f t="shared" si="49"/>
        <v>12</v>
      </c>
      <c r="P63" s="7">
        <f t="shared" si="49"/>
        <v>12</v>
      </c>
      <c r="Q63" s="7">
        <f>(4*6)*0.6667</f>
        <v>16.000799999999998</v>
      </c>
      <c r="R63" s="7">
        <f t="shared" ref="R63:T63" si="50">(4*6)*0.6667</f>
        <v>16.000799999999998</v>
      </c>
      <c r="S63" s="7">
        <f t="shared" si="50"/>
        <v>16.000799999999998</v>
      </c>
      <c r="T63" s="7">
        <f t="shared" si="50"/>
        <v>16.000799999999998</v>
      </c>
      <c r="U63" s="7">
        <f t="shared" ref="U63:V63" si="51">(4*6)*0.8333</f>
        <v>19.999200000000002</v>
      </c>
      <c r="V63" s="7">
        <f t="shared" si="51"/>
        <v>19.999200000000002</v>
      </c>
      <c r="W63" s="7">
        <f>(4*6)*0.8333</f>
        <v>19.999200000000002</v>
      </c>
      <c r="X63" s="7">
        <f>(4*6)*0.8333</f>
        <v>19.999200000000002</v>
      </c>
      <c r="Y63" s="7">
        <f>(4*6)*1</f>
        <v>24</v>
      </c>
      <c r="Z63" s="7">
        <f t="shared" ref="Z63:AB63" si="52">(4*6)*1</f>
        <v>24</v>
      </c>
      <c r="AA63" s="7">
        <f t="shared" si="52"/>
        <v>24</v>
      </c>
      <c r="AB63" s="7">
        <f t="shared" si="52"/>
        <v>24</v>
      </c>
      <c r="AD63" s="4">
        <f>(4*6)*0.5</f>
        <v>12</v>
      </c>
      <c r="AE63" s="4">
        <f>(4*6)*0.6667</f>
        <v>16.000799999999998</v>
      </c>
      <c r="AF63" s="4">
        <f>(4*6)*0.8333</f>
        <v>19.999200000000002</v>
      </c>
      <c r="AG63" s="4">
        <f>(4*6)*1</f>
        <v>24</v>
      </c>
      <c r="AH63" s="4">
        <f>(4*6)*0.6019*0.6</f>
        <v>8.6673599999999986</v>
      </c>
      <c r="AI63" s="4">
        <f>(4*6)*0.6019*0.8</f>
        <v>11.556480000000001</v>
      </c>
      <c r="AJ63" s="4">
        <f>(4*6)*0.6019</f>
        <v>14.445599999999999</v>
      </c>
      <c r="AK63" s="4">
        <f>(4*6)*0.6019*1.2</f>
        <v>17.334719999999997</v>
      </c>
    </row>
    <row r="64" spans="1:37" x14ac:dyDescent="0.25">
      <c r="A64" t="s">
        <v>54</v>
      </c>
      <c r="B64" s="1">
        <v>42557</v>
      </c>
      <c r="C64">
        <v>188</v>
      </c>
      <c r="D64" t="s">
        <v>59</v>
      </c>
      <c r="E64" s="4">
        <f>(4*8)*0.8333</f>
        <v>26.665600000000001</v>
      </c>
      <c r="F64" s="4">
        <f>E64/25.4</f>
        <v>1.0498267716535434</v>
      </c>
      <c r="G64" s="4">
        <f>(4*8)*0.7778</f>
        <v>24.889600000000002</v>
      </c>
      <c r="H64" s="4">
        <f>G64/25.4</f>
        <v>0.9799055118110237</v>
      </c>
      <c r="L64" s="4"/>
      <c r="M64" s="7">
        <f>(4*8)*0.5</f>
        <v>16</v>
      </c>
      <c r="N64" s="7">
        <f t="shared" ref="N64:P64" si="53">(4*8)*0.5</f>
        <v>16</v>
      </c>
      <c r="O64" s="7">
        <f t="shared" si="53"/>
        <v>16</v>
      </c>
      <c r="P64" s="7">
        <f t="shared" si="53"/>
        <v>16</v>
      </c>
      <c r="Q64" s="7">
        <f>(4*8)*0.6667</f>
        <v>21.334399999999999</v>
      </c>
      <c r="R64" s="7">
        <f t="shared" ref="R64:T64" si="54">(4*8)*0.6667</f>
        <v>21.334399999999999</v>
      </c>
      <c r="S64" s="7">
        <f t="shared" si="54"/>
        <v>21.334399999999999</v>
      </c>
      <c r="T64" s="7">
        <f t="shared" si="54"/>
        <v>21.334399999999999</v>
      </c>
      <c r="U64" s="7">
        <f t="shared" ref="U64:V64" si="55">(4*8)*0.8333</f>
        <v>26.665600000000001</v>
      </c>
      <c r="V64" s="7">
        <f t="shared" si="55"/>
        <v>26.665600000000001</v>
      </c>
      <c r="W64" s="7">
        <f>(4*8)*0.8333</f>
        <v>26.665600000000001</v>
      </c>
      <c r="X64" s="7">
        <f>(4*8)*0.8333</f>
        <v>26.665600000000001</v>
      </c>
      <c r="Y64" s="7">
        <f>(4*8)*1</f>
        <v>32</v>
      </c>
      <c r="Z64" s="7">
        <f t="shared" ref="Z64:AB64" si="56">(4*8)*1</f>
        <v>32</v>
      </c>
      <c r="AA64" s="7">
        <f t="shared" si="56"/>
        <v>32</v>
      </c>
      <c r="AB64" s="7">
        <f t="shared" si="56"/>
        <v>32</v>
      </c>
      <c r="AD64" s="4">
        <f>(4*8)*0.5</f>
        <v>16</v>
      </c>
      <c r="AE64" s="4">
        <f>(4*8)*0.6667</f>
        <v>21.334399999999999</v>
      </c>
      <c r="AF64" s="4">
        <f>(4*8)*0.8333</f>
        <v>26.665600000000001</v>
      </c>
      <c r="AG64" s="4">
        <f>(4*8)*1</f>
        <v>32</v>
      </c>
      <c r="AH64" s="4">
        <f>(4*8)*0.7778*0.6</f>
        <v>14.933759999999999</v>
      </c>
      <c r="AI64" s="4">
        <f>(4*8)*0.7778*0.8</f>
        <v>19.911680000000004</v>
      </c>
      <c r="AJ64" s="4">
        <f>(4*8)*0.7778</f>
        <v>24.889600000000002</v>
      </c>
      <c r="AK64" s="4">
        <f>(4*8)*0.7778*1.2</f>
        <v>29.867519999999999</v>
      </c>
    </row>
    <row r="65" spans="1:37" x14ac:dyDescent="0.25">
      <c r="A65" t="s">
        <v>54</v>
      </c>
      <c r="B65" s="1">
        <v>42558</v>
      </c>
      <c r="C65">
        <v>189</v>
      </c>
      <c r="D65" t="s">
        <v>60</v>
      </c>
      <c r="E65" s="4">
        <f>(4*6)*0.8333</f>
        <v>19.999200000000002</v>
      </c>
      <c r="F65" s="4">
        <f t="shared" si="8"/>
        <v>0.78737007874015763</v>
      </c>
      <c r="G65" s="4">
        <f>(4*6)*0.7778</f>
        <v>18.667200000000001</v>
      </c>
      <c r="H65" s="4">
        <f t="shared" si="9"/>
        <v>0.73492913385826775</v>
      </c>
      <c r="L65" s="4"/>
      <c r="M65" s="7">
        <f>(4*6)*0.5</f>
        <v>12</v>
      </c>
      <c r="N65" s="7">
        <f t="shared" ref="N65:P65" si="57">(4*6)*0.5</f>
        <v>12</v>
      </c>
      <c r="O65" s="7">
        <f t="shared" si="57"/>
        <v>12</v>
      </c>
      <c r="P65" s="7">
        <f t="shared" si="57"/>
        <v>12</v>
      </c>
      <c r="Q65" s="7">
        <f>(4*6)*0.6667</f>
        <v>16.000799999999998</v>
      </c>
      <c r="R65" s="7">
        <f t="shared" ref="R65:T65" si="58">(4*6)*0.6667</f>
        <v>16.000799999999998</v>
      </c>
      <c r="S65" s="7">
        <f t="shared" si="58"/>
        <v>16.000799999999998</v>
      </c>
      <c r="T65" s="7">
        <f t="shared" si="58"/>
        <v>16.000799999999998</v>
      </c>
      <c r="U65" s="7">
        <f t="shared" ref="U65:V65" si="59">(4*6)*0.8333</f>
        <v>19.999200000000002</v>
      </c>
      <c r="V65" s="7">
        <f t="shared" si="59"/>
        <v>19.999200000000002</v>
      </c>
      <c r="W65" s="7">
        <f>(4*6)*0.8333</f>
        <v>19.999200000000002</v>
      </c>
      <c r="X65" s="7">
        <f>(4*6)*0.8333</f>
        <v>19.999200000000002</v>
      </c>
      <c r="Y65" s="7">
        <f>(4*6)*1</f>
        <v>24</v>
      </c>
      <c r="Z65" s="7">
        <f t="shared" ref="Z65:AB65" si="60">(4*6)*1</f>
        <v>24</v>
      </c>
      <c r="AA65" s="7">
        <f t="shared" si="60"/>
        <v>24</v>
      </c>
      <c r="AB65" s="7">
        <f t="shared" si="60"/>
        <v>24</v>
      </c>
      <c r="AD65" s="4">
        <f>(4*6)*0.5</f>
        <v>12</v>
      </c>
      <c r="AE65" s="4">
        <f>(4*6)*0.6667</f>
        <v>16.000799999999998</v>
      </c>
      <c r="AF65" s="4">
        <f>(4*6)*0.8333</f>
        <v>19.999200000000002</v>
      </c>
      <c r="AG65" s="4">
        <f>(4*6)*1</f>
        <v>24</v>
      </c>
      <c r="AH65" s="4">
        <f>(4*6)*0.7778*0.6</f>
        <v>11.20032</v>
      </c>
      <c r="AI65" s="4">
        <f>(4*6)*0.7778*0.8</f>
        <v>14.933760000000001</v>
      </c>
      <c r="AJ65" s="4">
        <f>(4*6)*0.7778</f>
        <v>18.667200000000001</v>
      </c>
      <c r="AK65" s="4">
        <f>(4*6)*0.7778*1.2</f>
        <v>22.400639999999999</v>
      </c>
    </row>
    <row r="66" spans="1:37" x14ac:dyDescent="0.25">
      <c r="A66" t="s">
        <v>54</v>
      </c>
      <c r="B66" s="1">
        <v>42559</v>
      </c>
      <c r="C66">
        <v>190</v>
      </c>
      <c r="D66" s="2">
        <v>0.25</v>
      </c>
      <c r="E66">
        <v>15.9</v>
      </c>
      <c r="F66" s="4">
        <f t="shared" si="8"/>
        <v>0.62598425196850394</v>
      </c>
      <c r="G66">
        <v>15.9</v>
      </c>
      <c r="H66" s="4">
        <f t="shared" si="9"/>
        <v>0.62598425196850394</v>
      </c>
      <c r="I66" t="s">
        <v>57</v>
      </c>
      <c r="M66" s="8">
        <v>15.9</v>
      </c>
      <c r="N66" s="8">
        <v>15.9</v>
      </c>
      <c r="O66" s="8">
        <v>15.9</v>
      </c>
      <c r="P66" s="8">
        <v>15.9</v>
      </c>
      <c r="Q66" s="8">
        <v>15.9</v>
      </c>
      <c r="R66" s="8">
        <v>15.9</v>
      </c>
      <c r="S66" s="8">
        <v>15.9</v>
      </c>
      <c r="T66" s="8">
        <v>15.9</v>
      </c>
      <c r="U66" s="8">
        <v>15.9</v>
      </c>
      <c r="V66" s="8">
        <v>15.9</v>
      </c>
      <c r="W66" s="8">
        <v>15.9</v>
      </c>
      <c r="X66" s="8">
        <v>15.9</v>
      </c>
      <c r="Y66" s="8">
        <v>15.9</v>
      </c>
      <c r="Z66" s="8">
        <v>15.9</v>
      </c>
      <c r="AA66" s="8">
        <v>15.9</v>
      </c>
      <c r="AB66" s="8">
        <v>15.9</v>
      </c>
      <c r="AD66">
        <v>15.9</v>
      </c>
      <c r="AE66">
        <v>15.9</v>
      </c>
      <c r="AF66">
        <v>15.9</v>
      </c>
      <c r="AG66">
        <v>15.9</v>
      </c>
      <c r="AH66">
        <v>15.9</v>
      </c>
      <c r="AI66">
        <v>15.9</v>
      </c>
      <c r="AJ66">
        <v>15.9</v>
      </c>
      <c r="AK66">
        <v>15.9</v>
      </c>
    </row>
    <row r="67" spans="1:37" x14ac:dyDescent="0.25">
      <c r="A67" t="s">
        <v>48</v>
      </c>
      <c r="B67" s="1">
        <v>42564</v>
      </c>
      <c r="C67">
        <v>195</v>
      </c>
      <c r="D67" t="s">
        <v>59</v>
      </c>
      <c r="E67" s="4">
        <f>(4*8)*0.8333</f>
        <v>26.665600000000001</v>
      </c>
      <c r="F67" s="4">
        <f t="shared" si="8"/>
        <v>1.0498267716535434</v>
      </c>
      <c r="G67" s="4">
        <f>(4*8)*0.787</f>
        <v>25.184000000000001</v>
      </c>
      <c r="H67" s="4">
        <f>G67/25.4</f>
        <v>0.99149606299212611</v>
      </c>
      <c r="L67" s="4"/>
      <c r="M67" s="7">
        <f>(4*8)*0.5</f>
        <v>16</v>
      </c>
      <c r="N67" s="7">
        <f t="shared" ref="N67:P68" si="61">(4*8)*0.5</f>
        <v>16</v>
      </c>
      <c r="O67" s="7">
        <f t="shared" si="61"/>
        <v>16</v>
      </c>
      <c r="P67" s="7">
        <f t="shared" si="61"/>
        <v>16</v>
      </c>
      <c r="Q67" s="7">
        <f>(4*8)*0.6667</f>
        <v>21.334399999999999</v>
      </c>
      <c r="R67" s="7">
        <f t="shared" ref="R67:T68" si="62">(4*8)*0.6667</f>
        <v>21.334399999999999</v>
      </c>
      <c r="S67" s="7">
        <f t="shared" si="62"/>
        <v>21.334399999999999</v>
      </c>
      <c r="T67" s="7">
        <f t="shared" si="62"/>
        <v>21.334399999999999</v>
      </c>
      <c r="U67" s="7">
        <f t="shared" ref="U67:V68" si="63">(4*8)*0.8333</f>
        <v>26.665600000000001</v>
      </c>
      <c r="V67" s="7">
        <f t="shared" si="63"/>
        <v>26.665600000000001</v>
      </c>
      <c r="W67" s="7">
        <f>(4*8)*0.8333</f>
        <v>26.665600000000001</v>
      </c>
      <c r="X67" s="7">
        <f>(4*8)*0.8333</f>
        <v>26.665600000000001</v>
      </c>
      <c r="Y67" s="7">
        <f>(4*8)*1</f>
        <v>32</v>
      </c>
      <c r="Z67" s="7">
        <f t="shared" ref="Z67:AB68" si="64">(4*8)*1</f>
        <v>32</v>
      </c>
      <c r="AA67" s="7">
        <f t="shared" si="64"/>
        <v>32</v>
      </c>
      <c r="AB67" s="7">
        <f t="shared" si="64"/>
        <v>32</v>
      </c>
      <c r="AD67" s="4">
        <f>(4*8)*0.5</f>
        <v>16</v>
      </c>
      <c r="AE67" s="4">
        <f>(4*8)*0.6667</f>
        <v>21.334399999999999</v>
      </c>
      <c r="AF67" s="4">
        <f>(4*8)*0.8333</f>
        <v>26.665600000000001</v>
      </c>
      <c r="AG67" s="4">
        <f>(4*8)*1</f>
        <v>32</v>
      </c>
      <c r="AH67" s="4">
        <f>(4*8)*0.787*0.6</f>
        <v>15.1104</v>
      </c>
      <c r="AI67" s="4">
        <f>(4*8)*0.787*0.8</f>
        <v>20.147200000000002</v>
      </c>
      <c r="AJ67" s="4">
        <f>(4*8)*0.787</f>
        <v>25.184000000000001</v>
      </c>
      <c r="AK67" s="4">
        <f>(4*8)*0.787*1.2</f>
        <v>30.220800000000001</v>
      </c>
    </row>
    <row r="68" spans="1:37" x14ac:dyDescent="0.25">
      <c r="A68" t="s">
        <v>48</v>
      </c>
      <c r="B68" s="1">
        <v>42565</v>
      </c>
      <c r="C68">
        <v>196</v>
      </c>
      <c r="D68" t="s">
        <v>59</v>
      </c>
      <c r="E68" s="4">
        <f>(4*8)*0.8333</f>
        <v>26.665600000000001</v>
      </c>
      <c r="F68" s="4">
        <f t="shared" si="8"/>
        <v>1.0498267716535434</v>
      </c>
      <c r="G68" s="4">
        <f>(4*8)*0.787</f>
        <v>25.184000000000001</v>
      </c>
      <c r="H68" s="4">
        <f t="shared" si="9"/>
        <v>0.99149606299212611</v>
      </c>
      <c r="L68" s="4"/>
      <c r="M68" s="7">
        <f>(4*8)*0.5</f>
        <v>16</v>
      </c>
      <c r="N68" s="7">
        <f t="shared" si="61"/>
        <v>16</v>
      </c>
      <c r="O68" s="7">
        <f t="shared" si="61"/>
        <v>16</v>
      </c>
      <c r="P68" s="7">
        <f t="shared" si="61"/>
        <v>16</v>
      </c>
      <c r="Q68" s="7">
        <f>(4*8)*0.6667</f>
        <v>21.334399999999999</v>
      </c>
      <c r="R68" s="7">
        <f t="shared" si="62"/>
        <v>21.334399999999999</v>
      </c>
      <c r="S68" s="7">
        <f t="shared" si="62"/>
        <v>21.334399999999999</v>
      </c>
      <c r="T68" s="7">
        <f t="shared" si="62"/>
        <v>21.334399999999999</v>
      </c>
      <c r="U68" s="7">
        <f t="shared" si="63"/>
        <v>26.665600000000001</v>
      </c>
      <c r="V68" s="7">
        <f t="shared" si="63"/>
        <v>26.665600000000001</v>
      </c>
      <c r="W68" s="7">
        <f>(4*8)*0.8333</f>
        <v>26.665600000000001</v>
      </c>
      <c r="X68" s="7">
        <f>(4*8)*0.8333</f>
        <v>26.665600000000001</v>
      </c>
      <c r="Y68" s="7">
        <f>(4*8)*1</f>
        <v>32</v>
      </c>
      <c r="Z68" s="7">
        <f t="shared" si="64"/>
        <v>32</v>
      </c>
      <c r="AA68" s="7">
        <f t="shared" si="64"/>
        <v>32</v>
      </c>
      <c r="AB68" s="7">
        <f t="shared" si="64"/>
        <v>32</v>
      </c>
      <c r="AD68" s="4">
        <f>(4*8)*0.5</f>
        <v>16</v>
      </c>
      <c r="AE68" s="4">
        <f>(4*8)*0.6667</f>
        <v>21.334399999999999</v>
      </c>
      <c r="AF68" s="4">
        <f>(4*8)*0.8333</f>
        <v>26.665600000000001</v>
      </c>
      <c r="AG68" s="4">
        <f>(4*8)*1</f>
        <v>32</v>
      </c>
      <c r="AH68" s="4">
        <f>(4*8)*0.787*0.6</f>
        <v>15.1104</v>
      </c>
      <c r="AI68" s="4">
        <f>(4*8)*0.787*0.8</f>
        <v>20.147200000000002</v>
      </c>
      <c r="AJ68" s="4">
        <f>(4*8)*0.787</f>
        <v>25.184000000000001</v>
      </c>
      <c r="AK68" s="4">
        <f>(4*8)*0.787*1.2</f>
        <v>30.220800000000001</v>
      </c>
    </row>
    <row r="69" spans="1:37" x14ac:dyDescent="0.25">
      <c r="A69" t="s">
        <v>48</v>
      </c>
      <c r="B69" s="1">
        <v>42566</v>
      </c>
      <c r="C69">
        <v>197</v>
      </c>
      <c r="D69" t="s">
        <v>60</v>
      </c>
      <c r="E69" s="4">
        <f>(4*6)*0.8333</f>
        <v>19.999200000000002</v>
      </c>
      <c r="F69" s="4">
        <f t="shared" si="8"/>
        <v>0.78737007874015763</v>
      </c>
      <c r="G69" s="4">
        <f>(4*6)*0.787</f>
        <v>18.888000000000002</v>
      </c>
      <c r="H69" s="4">
        <f t="shared" si="9"/>
        <v>0.74362204724409464</v>
      </c>
      <c r="L69" s="4"/>
      <c r="M69" s="7">
        <f>(4*6)*0.5</f>
        <v>12</v>
      </c>
      <c r="N69" s="7">
        <f t="shared" ref="N69:P69" si="65">(4*6)*0.5</f>
        <v>12</v>
      </c>
      <c r="O69" s="7">
        <f t="shared" si="65"/>
        <v>12</v>
      </c>
      <c r="P69" s="7">
        <f t="shared" si="65"/>
        <v>12</v>
      </c>
      <c r="Q69" s="7">
        <f>(4*6)*0.6667</f>
        <v>16.000799999999998</v>
      </c>
      <c r="R69" s="7">
        <f t="shared" ref="R69:T69" si="66">(4*6)*0.6667</f>
        <v>16.000799999999998</v>
      </c>
      <c r="S69" s="7">
        <f t="shared" si="66"/>
        <v>16.000799999999998</v>
      </c>
      <c r="T69" s="7">
        <f t="shared" si="66"/>
        <v>16.000799999999998</v>
      </c>
      <c r="U69" s="7">
        <f t="shared" ref="U69:V69" si="67">(4*6)*0.8333</f>
        <v>19.999200000000002</v>
      </c>
      <c r="V69" s="7">
        <f t="shared" si="67"/>
        <v>19.999200000000002</v>
      </c>
      <c r="W69" s="7">
        <f>(4*6)*0.8333</f>
        <v>19.999200000000002</v>
      </c>
      <c r="X69" s="7">
        <f>(4*6)*0.8333</f>
        <v>19.999200000000002</v>
      </c>
      <c r="Y69" s="7">
        <f>(4*6)*1</f>
        <v>24</v>
      </c>
      <c r="Z69" s="7">
        <f t="shared" ref="Z69:AB69" si="68">(4*6)*1</f>
        <v>24</v>
      </c>
      <c r="AA69" s="7">
        <f t="shared" si="68"/>
        <v>24</v>
      </c>
      <c r="AB69" s="7">
        <f t="shared" si="68"/>
        <v>24</v>
      </c>
      <c r="AD69" s="4">
        <f>(4*6)*0.5</f>
        <v>12</v>
      </c>
      <c r="AE69" s="4">
        <f>(4*6)*0.6667</f>
        <v>16.000799999999998</v>
      </c>
      <c r="AF69" s="4">
        <f>(4*6)*0.8333</f>
        <v>19.999200000000002</v>
      </c>
      <c r="AG69" s="4">
        <f>(4*6)*1</f>
        <v>24</v>
      </c>
      <c r="AH69" s="4">
        <f>(4*6)*0.787*0.6</f>
        <v>11.332800000000001</v>
      </c>
      <c r="AI69" s="4">
        <f>(4*6)*0.787*0.8</f>
        <v>15.110400000000002</v>
      </c>
      <c r="AJ69" s="4">
        <f>(4*6)*0.787</f>
        <v>18.888000000000002</v>
      </c>
      <c r="AK69" s="4">
        <f>(4*6)*0.787*1.2</f>
        <v>22.665600000000001</v>
      </c>
    </row>
    <row r="70" spans="1:37" x14ac:dyDescent="0.25">
      <c r="A70" t="s">
        <v>48</v>
      </c>
      <c r="B70" s="1">
        <v>42571</v>
      </c>
      <c r="C70">
        <v>202</v>
      </c>
      <c r="D70" t="s">
        <v>62</v>
      </c>
      <c r="E70" s="4">
        <f>(8*1+4*5)*0.8333</f>
        <v>23.3324</v>
      </c>
      <c r="F70" s="4">
        <f t="shared" ref="F70:F92" si="69">E70/25.4</f>
        <v>0.91859842519685042</v>
      </c>
      <c r="G70" s="4">
        <f>(8*1+4*5)*0.8333</f>
        <v>23.3324</v>
      </c>
      <c r="H70" s="4">
        <f t="shared" ref="H70:H72" si="70">G70/25.4</f>
        <v>0.91859842519685042</v>
      </c>
      <c r="I70" t="s">
        <v>100</v>
      </c>
      <c r="L70" s="4"/>
      <c r="M70" s="7">
        <f>(8*1+4*5)*0.5</f>
        <v>14</v>
      </c>
      <c r="N70" s="7">
        <f>(8*1+4*5)*0.6667</f>
        <v>18.6676</v>
      </c>
      <c r="O70" s="7">
        <f>(8*1+4*5)*0.8333</f>
        <v>23.3324</v>
      </c>
      <c r="P70" s="7">
        <f>(8*1+4*5)*1</f>
        <v>28</v>
      </c>
      <c r="Q70" s="7">
        <f>(8*1+4*5)*0.5</f>
        <v>14</v>
      </c>
      <c r="R70" s="7">
        <f>(8*1+4*5)*0.6667</f>
        <v>18.6676</v>
      </c>
      <c r="S70" s="7">
        <f>(8*1+4*5)*0.8333</f>
        <v>23.3324</v>
      </c>
      <c r="T70" s="7">
        <f>(8*1+4*5)*1</f>
        <v>28</v>
      </c>
      <c r="U70" s="7">
        <f>(8*1+4*5)*0.5</f>
        <v>14</v>
      </c>
      <c r="V70" s="7">
        <f>(8*1+4*5)*0.6667</f>
        <v>18.6676</v>
      </c>
      <c r="W70" s="7">
        <f>(8*1+4*5)*0.8333</f>
        <v>23.3324</v>
      </c>
      <c r="X70" s="7">
        <f>(8*1+4*5)*1</f>
        <v>28</v>
      </c>
      <c r="Y70" s="7">
        <f>(8*1+4*5)*0.5</f>
        <v>14</v>
      </c>
      <c r="Z70" s="7">
        <f>(8*1+4*5)*0.6667</f>
        <v>18.6676</v>
      </c>
      <c r="AA70" s="7">
        <f>(8*1+4*5)*0.8333</f>
        <v>23.3324</v>
      </c>
      <c r="AB70" s="7">
        <f>(8*1+4*5)*1</f>
        <v>28</v>
      </c>
      <c r="AD70" s="4">
        <f>(8*1+4*5)*0.5</f>
        <v>14</v>
      </c>
      <c r="AE70" s="4">
        <f>(8*1+4*5)*0.6667</f>
        <v>18.6676</v>
      </c>
      <c r="AF70" s="4">
        <f>(8*1+4*5)*0.8333</f>
        <v>23.3324</v>
      </c>
      <c r="AG70" s="4">
        <f>(8*1+4*5)*1</f>
        <v>28</v>
      </c>
      <c r="AH70" s="4">
        <f>(8*1+4*5)*0.8333*0.6</f>
        <v>13.99944</v>
      </c>
      <c r="AI70" s="4">
        <f>(8*1+4*5)*0.8333*0.8</f>
        <v>18.66592</v>
      </c>
      <c r="AJ70" s="4">
        <f>(8*1+4*5)*0.8333</f>
        <v>23.3324</v>
      </c>
      <c r="AK70" s="4">
        <f>(8*1+4*5)*0.8333*1.2</f>
        <v>27.99888</v>
      </c>
    </row>
    <row r="71" spans="1:37" x14ac:dyDescent="0.25">
      <c r="A71" t="s">
        <v>48</v>
      </c>
      <c r="B71" s="1">
        <v>42572</v>
      </c>
      <c r="C71">
        <v>203</v>
      </c>
      <c r="D71" t="s">
        <v>59</v>
      </c>
      <c r="E71" s="4">
        <f>(4*8)*0.8333</f>
        <v>26.665600000000001</v>
      </c>
      <c r="F71" s="4">
        <f t="shared" si="69"/>
        <v>1.0498267716535434</v>
      </c>
      <c r="G71" s="4">
        <f>(4*8)*0.8333</f>
        <v>26.665600000000001</v>
      </c>
      <c r="H71" s="4">
        <f t="shared" si="70"/>
        <v>1.0498267716535434</v>
      </c>
      <c r="L71" s="4"/>
      <c r="M71" s="7">
        <f>(4*8)*0.5</f>
        <v>16</v>
      </c>
      <c r="N71" s="7">
        <f>(4*8)*0.6667</f>
        <v>21.334399999999999</v>
      </c>
      <c r="O71" s="7">
        <f>(4*8)*0.8333</f>
        <v>26.665600000000001</v>
      </c>
      <c r="P71" s="7">
        <f>(4*8)*1</f>
        <v>32</v>
      </c>
      <c r="Q71" s="7">
        <f>(4*8)*0.5</f>
        <v>16</v>
      </c>
      <c r="R71" s="7">
        <f>(4*8)*0.6667</f>
        <v>21.334399999999999</v>
      </c>
      <c r="S71" s="7">
        <f>(4*8)*0.8333</f>
        <v>26.665600000000001</v>
      </c>
      <c r="T71" s="7">
        <f>(4*8)*1</f>
        <v>32</v>
      </c>
      <c r="U71" s="7">
        <f>(4*8)*0.5</f>
        <v>16</v>
      </c>
      <c r="V71" s="7">
        <f>(4*8)*0.6667</f>
        <v>21.334399999999999</v>
      </c>
      <c r="W71" s="7">
        <f>(4*8)*0.8333</f>
        <v>26.665600000000001</v>
      </c>
      <c r="X71" s="7">
        <f>(4*8)*1</f>
        <v>32</v>
      </c>
      <c r="Y71" s="7">
        <f>(4*8)*0.5</f>
        <v>16</v>
      </c>
      <c r="Z71" s="7">
        <f>(4*8)*0.6667</f>
        <v>21.334399999999999</v>
      </c>
      <c r="AA71" s="7">
        <f>(4*8)*0.8333</f>
        <v>26.665600000000001</v>
      </c>
      <c r="AB71" s="7">
        <f>(4*8)*1</f>
        <v>32</v>
      </c>
      <c r="AD71" s="4">
        <f>(4*8)*0.5</f>
        <v>16</v>
      </c>
      <c r="AE71" s="4">
        <f>(4*8)*0.6667</f>
        <v>21.334399999999999</v>
      </c>
      <c r="AF71" s="4">
        <f>(4*8)*0.8333</f>
        <v>26.665600000000001</v>
      </c>
      <c r="AG71" s="4">
        <f>(4*8)*1</f>
        <v>32</v>
      </c>
      <c r="AH71" s="4">
        <f>(4*8)*0.8333*0.6</f>
        <v>15.999359999999999</v>
      </c>
      <c r="AI71" s="4">
        <f>(4*8)*0.8333*0.8</f>
        <v>21.332480000000004</v>
      </c>
      <c r="AJ71" s="4">
        <f>(4*8)*0.8333</f>
        <v>26.665600000000001</v>
      </c>
      <c r="AK71" s="4">
        <f>(4*8)*0.8333*1.2</f>
        <v>31.998719999999999</v>
      </c>
    </row>
    <row r="72" spans="1:37" x14ac:dyDescent="0.25">
      <c r="A72" t="s">
        <v>48</v>
      </c>
      <c r="B72" s="1">
        <v>42573</v>
      </c>
      <c r="C72">
        <v>204</v>
      </c>
      <c r="D72" t="s">
        <v>60</v>
      </c>
      <c r="E72" s="4">
        <f>(4*6)*0.8333</f>
        <v>19.999200000000002</v>
      </c>
      <c r="F72" s="4">
        <f t="shared" si="69"/>
        <v>0.78737007874015763</v>
      </c>
      <c r="G72" s="4">
        <f>(4*6)*0.8333</f>
        <v>19.999200000000002</v>
      </c>
      <c r="H72" s="4">
        <f t="shared" si="70"/>
        <v>0.78737007874015763</v>
      </c>
      <c r="L72" s="4"/>
      <c r="M72" s="7">
        <f>(4*6)*0.5</f>
        <v>12</v>
      </c>
      <c r="N72" s="7">
        <f>(4*6)*0.6667</f>
        <v>16.000799999999998</v>
      </c>
      <c r="O72" s="7">
        <f>(4*6)*0.8333</f>
        <v>19.999200000000002</v>
      </c>
      <c r="P72" s="7">
        <f>(4*6)*1</f>
        <v>24</v>
      </c>
      <c r="Q72" s="7">
        <f>(4*6)*0.5</f>
        <v>12</v>
      </c>
      <c r="R72" s="7">
        <f>(4*6)*0.6667</f>
        <v>16.000799999999998</v>
      </c>
      <c r="S72" s="7">
        <f>(4*6)*0.8333</f>
        <v>19.999200000000002</v>
      </c>
      <c r="T72" s="7">
        <f>(4*6)*1</f>
        <v>24</v>
      </c>
      <c r="U72" s="7">
        <f>(4*6)*0.5</f>
        <v>12</v>
      </c>
      <c r="V72" s="7">
        <f>(4*6)*0.6667</f>
        <v>16.000799999999998</v>
      </c>
      <c r="W72" s="7">
        <f>(4*6)*0.8333</f>
        <v>19.999200000000002</v>
      </c>
      <c r="X72" s="7">
        <f>(4*6)*1</f>
        <v>24</v>
      </c>
      <c r="Y72" s="7">
        <f>(4*6)*0.5</f>
        <v>12</v>
      </c>
      <c r="Z72" s="7">
        <f>(4*6)*0.6667</f>
        <v>16.000799999999998</v>
      </c>
      <c r="AA72" s="7">
        <f>(4*6)*0.8333</f>
        <v>19.999200000000002</v>
      </c>
      <c r="AB72" s="7">
        <f>(4*6)*1</f>
        <v>24</v>
      </c>
      <c r="AD72" s="4">
        <f>(4*6)*0.5</f>
        <v>12</v>
      </c>
      <c r="AE72" s="4">
        <f>(4*6)*0.6667</f>
        <v>16.000799999999998</v>
      </c>
      <c r="AF72" s="4">
        <f>(4*6)*0.8333</f>
        <v>19.999200000000002</v>
      </c>
      <c r="AG72" s="4">
        <f>(4*6)*1</f>
        <v>24</v>
      </c>
      <c r="AH72" s="4">
        <f>(4*6)*0.8333*0.6</f>
        <v>11.99952</v>
      </c>
      <c r="AI72" s="4">
        <f>(4*6)*0.8333*0.8</f>
        <v>15.999360000000003</v>
      </c>
      <c r="AJ72" s="4">
        <f>(4*6)*0.8333</f>
        <v>19.999200000000002</v>
      </c>
      <c r="AK72" s="4">
        <f>(4*6)*0.8333*1.2</f>
        <v>23.999040000000001</v>
      </c>
    </row>
    <row r="73" spans="1:37" x14ac:dyDescent="0.25">
      <c r="A73" t="s">
        <v>48</v>
      </c>
      <c r="B73" s="1">
        <v>42578</v>
      </c>
      <c r="C73">
        <v>209</v>
      </c>
      <c r="D73" t="s">
        <v>59</v>
      </c>
      <c r="E73" s="4">
        <f>(4*8)*0.8333</f>
        <v>26.665600000000001</v>
      </c>
      <c r="F73" s="4">
        <f t="shared" si="69"/>
        <v>1.0498267716535434</v>
      </c>
      <c r="G73" s="4">
        <f>(4*8)*0.787</f>
        <v>25.184000000000001</v>
      </c>
      <c r="H73" s="4">
        <f>G73/25.4</f>
        <v>0.99149606299212611</v>
      </c>
      <c r="L73" s="4"/>
      <c r="M73" s="7">
        <f>(4*8)*0.5</f>
        <v>16</v>
      </c>
      <c r="N73" s="7">
        <f>(4*8)*0.6667</f>
        <v>21.334399999999999</v>
      </c>
      <c r="O73" s="7">
        <f>(4*8)*0.8333</f>
        <v>26.665600000000001</v>
      </c>
      <c r="P73" s="7">
        <f>(4*8)*1</f>
        <v>32</v>
      </c>
      <c r="Q73" s="7">
        <f>(4*8)*0.5</f>
        <v>16</v>
      </c>
      <c r="R73" s="7">
        <f>(4*8)*0.6667</f>
        <v>21.334399999999999</v>
      </c>
      <c r="S73" s="7">
        <f>(4*8)*0.8333</f>
        <v>26.665600000000001</v>
      </c>
      <c r="T73" s="7">
        <f>(4*8)*1</f>
        <v>32</v>
      </c>
      <c r="U73" s="7">
        <f>(4*8)*0.5</f>
        <v>16</v>
      </c>
      <c r="V73" s="7">
        <f>(4*8)*0.6667</f>
        <v>21.334399999999999</v>
      </c>
      <c r="W73" s="7">
        <f>(4*8)*0.8333</f>
        <v>26.665600000000001</v>
      </c>
      <c r="X73" s="7">
        <f>(4*8)*1</f>
        <v>32</v>
      </c>
      <c r="Y73" s="7">
        <f>(4*8)*0.5</f>
        <v>16</v>
      </c>
      <c r="Z73" s="7">
        <f>(4*8)*0.6667</f>
        <v>21.334399999999999</v>
      </c>
      <c r="AA73" s="7">
        <f>(4*8)*0.8333</f>
        <v>26.665600000000001</v>
      </c>
      <c r="AB73" s="7">
        <f>(4*8)*1</f>
        <v>32</v>
      </c>
      <c r="AD73" s="4">
        <f>(4*8)*0.5</f>
        <v>16</v>
      </c>
      <c r="AE73" s="4">
        <f>(4*8)*0.6667</f>
        <v>21.334399999999999</v>
      </c>
      <c r="AF73" s="4">
        <f>(4*8)*0.8333</f>
        <v>26.665600000000001</v>
      </c>
      <c r="AG73" s="4">
        <f>(4*8)*1</f>
        <v>32</v>
      </c>
      <c r="AH73" s="4">
        <f>(4*8)*0.787*0.6</f>
        <v>15.1104</v>
      </c>
      <c r="AI73" s="4">
        <f>(4*8)*0.787*0.8</f>
        <v>20.147200000000002</v>
      </c>
      <c r="AJ73" s="4">
        <f>(4*8)*0.787</f>
        <v>25.184000000000001</v>
      </c>
      <c r="AK73" s="4">
        <f>(4*8)*0.787*1.2</f>
        <v>30.220800000000001</v>
      </c>
    </row>
    <row r="74" spans="1:37" x14ac:dyDescent="0.25">
      <c r="A74" t="s">
        <v>48</v>
      </c>
      <c r="B74" s="1">
        <v>42579</v>
      </c>
      <c r="C74">
        <v>210</v>
      </c>
      <c r="D74" t="s">
        <v>59</v>
      </c>
      <c r="E74" s="4">
        <f>(4*8)*0.8333</f>
        <v>26.665600000000001</v>
      </c>
      <c r="F74" s="4">
        <f t="shared" si="69"/>
        <v>1.0498267716535434</v>
      </c>
      <c r="G74" s="4">
        <f>(4*8)*0.787</f>
        <v>25.184000000000001</v>
      </c>
      <c r="H74" s="4">
        <f t="shared" ref="H74:H92" si="71">G74/25.4</f>
        <v>0.99149606299212611</v>
      </c>
      <c r="L74" s="4"/>
      <c r="M74" s="7">
        <f>(4*8)*0.5</f>
        <v>16</v>
      </c>
      <c r="N74" s="7">
        <f>(4*8)*0.6667</f>
        <v>21.334399999999999</v>
      </c>
      <c r="O74" s="7">
        <f>(4*8)*0.8333</f>
        <v>26.665600000000001</v>
      </c>
      <c r="P74" s="7">
        <f>(4*8)*1</f>
        <v>32</v>
      </c>
      <c r="Q74" s="7">
        <f>(4*8)*0.5</f>
        <v>16</v>
      </c>
      <c r="R74" s="7">
        <f>(4*8)*0.6667</f>
        <v>21.334399999999999</v>
      </c>
      <c r="S74" s="7">
        <f>(4*8)*0.8333</f>
        <v>26.665600000000001</v>
      </c>
      <c r="T74" s="7">
        <f>(4*8)*1</f>
        <v>32</v>
      </c>
      <c r="U74" s="7">
        <f>(4*8)*0.5</f>
        <v>16</v>
      </c>
      <c r="V74" s="7">
        <f>(4*8)*0.6667</f>
        <v>21.334399999999999</v>
      </c>
      <c r="W74" s="7">
        <f>(4*8)*0.8333</f>
        <v>26.665600000000001</v>
      </c>
      <c r="X74" s="7">
        <f>(4*8)*1</f>
        <v>32</v>
      </c>
      <c r="Y74" s="7">
        <f>(4*8)*0.5</f>
        <v>16</v>
      </c>
      <c r="Z74" s="7">
        <f>(4*8)*0.6667</f>
        <v>21.334399999999999</v>
      </c>
      <c r="AA74" s="7">
        <f>(4*8)*0.8333</f>
        <v>26.665600000000001</v>
      </c>
      <c r="AB74" s="7">
        <f>(4*8)*1</f>
        <v>32</v>
      </c>
      <c r="AD74" s="4">
        <f>(4*8)*0.5</f>
        <v>16</v>
      </c>
      <c r="AE74" s="4">
        <f>(4*8)*0.6667</f>
        <v>21.334399999999999</v>
      </c>
      <c r="AF74" s="4">
        <f>(4*8)*0.8333</f>
        <v>26.665600000000001</v>
      </c>
      <c r="AG74" s="4">
        <f>(4*8)*1</f>
        <v>32</v>
      </c>
      <c r="AH74" s="4">
        <f>(4*8)*0.787*0.6</f>
        <v>15.1104</v>
      </c>
      <c r="AI74" s="4">
        <f>(4*8)*0.787*0.8</f>
        <v>20.147200000000002</v>
      </c>
      <c r="AJ74" s="4">
        <f>(4*8)*0.787</f>
        <v>25.184000000000001</v>
      </c>
      <c r="AK74" s="4">
        <f>(4*8)*0.787*1.2</f>
        <v>30.220800000000001</v>
      </c>
    </row>
    <row r="75" spans="1:37" x14ac:dyDescent="0.25">
      <c r="A75" t="s">
        <v>48</v>
      </c>
      <c r="B75" s="1">
        <v>42580</v>
      </c>
      <c r="C75">
        <v>211</v>
      </c>
      <c r="D75" t="s">
        <v>60</v>
      </c>
      <c r="E75" s="4">
        <f>(4*6)*0.8333</f>
        <v>19.999200000000002</v>
      </c>
      <c r="F75" s="4">
        <f t="shared" si="69"/>
        <v>0.78737007874015763</v>
      </c>
      <c r="G75" s="4">
        <f>(4*6)*0.787</f>
        <v>18.888000000000002</v>
      </c>
      <c r="H75" s="4">
        <f t="shared" si="71"/>
        <v>0.74362204724409464</v>
      </c>
      <c r="L75" s="4"/>
      <c r="M75" s="7">
        <f>(4*6)*0.5</f>
        <v>12</v>
      </c>
      <c r="N75" s="7">
        <f>(4*6)*0.6667</f>
        <v>16.000799999999998</v>
      </c>
      <c r="O75" s="7">
        <f>(4*6)*0.8333</f>
        <v>19.999200000000002</v>
      </c>
      <c r="P75" s="7">
        <f>(4*6)*1</f>
        <v>24</v>
      </c>
      <c r="Q75" s="7">
        <f>(4*6)*0.5</f>
        <v>12</v>
      </c>
      <c r="R75" s="7">
        <f>(4*6)*0.6667</f>
        <v>16.000799999999998</v>
      </c>
      <c r="S75" s="7">
        <f>(4*6)*0.8333</f>
        <v>19.999200000000002</v>
      </c>
      <c r="T75" s="7">
        <f>(4*6)*1</f>
        <v>24</v>
      </c>
      <c r="U75" s="7">
        <f>(4*6)*0.5</f>
        <v>12</v>
      </c>
      <c r="V75" s="7">
        <f>(4*6)*0.6667</f>
        <v>16.000799999999998</v>
      </c>
      <c r="W75" s="7">
        <f>(4*6)*0.8333</f>
        <v>19.999200000000002</v>
      </c>
      <c r="X75" s="7">
        <f>(4*6)*1</f>
        <v>24</v>
      </c>
      <c r="Y75" s="7">
        <f>(4*6)*0.5</f>
        <v>12</v>
      </c>
      <c r="Z75" s="7">
        <f>(4*6)*0.6667</f>
        <v>16.000799999999998</v>
      </c>
      <c r="AA75" s="7">
        <f>(4*6)*0.8333</f>
        <v>19.999200000000002</v>
      </c>
      <c r="AB75" s="7">
        <f>(4*6)*1</f>
        <v>24</v>
      </c>
      <c r="AD75" s="4">
        <f>(4*6)*0.5</f>
        <v>12</v>
      </c>
      <c r="AE75" s="4">
        <f>(4*6)*0.6667</f>
        <v>16.000799999999998</v>
      </c>
      <c r="AF75" s="4">
        <f>(4*6)*0.8333</f>
        <v>19.999200000000002</v>
      </c>
      <c r="AG75" s="4">
        <f>(4*6)*1</f>
        <v>24</v>
      </c>
      <c r="AH75" s="4">
        <f>(4*6)*0.787*0.6</f>
        <v>11.332800000000001</v>
      </c>
      <c r="AI75" s="4">
        <f>(4*6)*0.787*0.8</f>
        <v>15.110400000000002</v>
      </c>
      <c r="AJ75" s="4">
        <f>(4*6)*0.787</f>
        <v>18.888000000000002</v>
      </c>
      <c r="AK75" s="4">
        <f>(4*6)*0.787*1.2</f>
        <v>22.665600000000001</v>
      </c>
    </row>
    <row r="76" spans="1:37" x14ac:dyDescent="0.25">
      <c r="A76" t="s">
        <v>48</v>
      </c>
      <c r="B76" s="1">
        <v>42585</v>
      </c>
      <c r="C76">
        <v>216</v>
      </c>
      <c r="D76" t="s">
        <v>65</v>
      </c>
      <c r="E76" s="4">
        <f>(8*1 + 4*3)*0.8333</f>
        <v>16.666</v>
      </c>
      <c r="F76" s="4">
        <f t="shared" si="69"/>
        <v>0.65614173228346462</v>
      </c>
      <c r="G76" s="4">
        <f>(8*1 + 4*3)*0.8333</f>
        <v>16.666</v>
      </c>
      <c r="H76" s="4">
        <f t="shared" si="71"/>
        <v>0.65614173228346462</v>
      </c>
      <c r="L76" s="4"/>
      <c r="M76" s="7">
        <f>(8*1 + 4*3)*0.5</f>
        <v>10</v>
      </c>
      <c r="N76" s="7">
        <f>(8*1 + 4*3)*0.6667</f>
        <v>13.334</v>
      </c>
      <c r="O76" s="7">
        <f>(8*1 + 4*3)*0.8333</f>
        <v>16.666</v>
      </c>
      <c r="P76" s="7">
        <f>(8*1 + 4*3)*1</f>
        <v>20</v>
      </c>
      <c r="Q76" s="7">
        <f>(8*1 + 4*3)*0.5</f>
        <v>10</v>
      </c>
      <c r="R76" s="7">
        <f>(8*1 + 4*3)*0.6667</f>
        <v>13.334</v>
      </c>
      <c r="S76" s="7">
        <f>(8*1 + 4*3)*0.8333</f>
        <v>16.666</v>
      </c>
      <c r="T76" s="7">
        <f>(8*1 + 4*3)*1</f>
        <v>20</v>
      </c>
      <c r="U76" s="7">
        <f>(8*1 + 4*3)*0.5</f>
        <v>10</v>
      </c>
      <c r="V76" s="7">
        <f>(8*1 + 4*3)*0.6667</f>
        <v>13.334</v>
      </c>
      <c r="W76" s="7">
        <f>(8*1 + 4*3)*0.8333</f>
        <v>16.666</v>
      </c>
      <c r="X76" s="7">
        <f>(8*1 + 4*3)*1</f>
        <v>20</v>
      </c>
      <c r="Y76" s="7">
        <f>(8*1 + 4*3)*0.5</f>
        <v>10</v>
      </c>
      <c r="Z76" s="7">
        <f>(8*1 + 4*3)*0.6667</f>
        <v>13.334</v>
      </c>
      <c r="AA76" s="7">
        <f>(8*1 + 4*3)*0.8333</f>
        <v>16.666</v>
      </c>
      <c r="AB76" s="7">
        <f>(8*1 + 4*3)*1</f>
        <v>20</v>
      </c>
      <c r="AD76" s="4">
        <f>(8*1 + 4*3)*0.5</f>
        <v>10</v>
      </c>
      <c r="AE76" s="4">
        <f>(8*1 + 4*3)*0.6667</f>
        <v>13.334</v>
      </c>
      <c r="AF76" s="4">
        <f>(8*1 + 4*3)*0.8333</f>
        <v>16.666</v>
      </c>
      <c r="AG76" s="4">
        <f>(8*1 + 4*3)*1</f>
        <v>20</v>
      </c>
      <c r="AH76" s="4">
        <f>(8*1 + 4*3)*0.8333*0.6</f>
        <v>9.9995999999999992</v>
      </c>
      <c r="AI76" s="4">
        <f>(8*1 + 4*3)*0.8333*0.8</f>
        <v>13.332800000000001</v>
      </c>
      <c r="AJ76" s="4">
        <f>(8*1 + 4*3)*0.8333</f>
        <v>16.666</v>
      </c>
      <c r="AK76" s="4">
        <f>(8*1 + 4*3)*0.8333*1.2</f>
        <v>19.999199999999998</v>
      </c>
    </row>
    <row r="77" spans="1:37" x14ac:dyDescent="0.25">
      <c r="A77" t="s">
        <v>48</v>
      </c>
      <c r="B77" s="1">
        <v>42586</v>
      </c>
      <c r="C77">
        <v>217</v>
      </c>
      <c r="D77" t="s">
        <v>59</v>
      </c>
      <c r="E77" s="4">
        <f>(4*8)*0.8333</f>
        <v>26.665600000000001</v>
      </c>
      <c r="F77" s="4">
        <f t="shared" si="69"/>
        <v>1.0498267716535434</v>
      </c>
      <c r="G77" s="4">
        <f>(4*8)*0.8333</f>
        <v>26.665600000000001</v>
      </c>
      <c r="H77" s="4">
        <f t="shared" si="71"/>
        <v>1.0498267716535434</v>
      </c>
      <c r="L77" s="4"/>
      <c r="M77" s="7">
        <f>(4*8)*0.5</f>
        <v>16</v>
      </c>
      <c r="N77" s="7">
        <f>(4*8)*0.6667</f>
        <v>21.334399999999999</v>
      </c>
      <c r="O77" s="7">
        <f>(4*8)*0.8333</f>
        <v>26.665600000000001</v>
      </c>
      <c r="P77" s="7">
        <f>(4*8)*1</f>
        <v>32</v>
      </c>
      <c r="Q77" s="7">
        <f>(4*8)*0.5</f>
        <v>16</v>
      </c>
      <c r="R77" s="7">
        <f>(4*8)*0.6667</f>
        <v>21.334399999999999</v>
      </c>
      <c r="S77" s="7">
        <f>(4*8)*0.8333</f>
        <v>26.665600000000001</v>
      </c>
      <c r="T77" s="7">
        <f>(4*8)*1</f>
        <v>32</v>
      </c>
      <c r="U77" s="7">
        <f>(4*8)*0.5</f>
        <v>16</v>
      </c>
      <c r="V77" s="7">
        <f>(4*8)*0.6667</f>
        <v>21.334399999999999</v>
      </c>
      <c r="W77" s="7">
        <f>(4*8)*0.8333</f>
        <v>26.665600000000001</v>
      </c>
      <c r="X77" s="7">
        <f>(4*8)*1</f>
        <v>32</v>
      </c>
      <c r="Y77" s="7">
        <f>(4*8)*0.5</f>
        <v>16</v>
      </c>
      <c r="Z77" s="7">
        <f>(4*8)*0.6667</f>
        <v>21.334399999999999</v>
      </c>
      <c r="AA77" s="7">
        <f>(4*8)*0.8333</f>
        <v>26.665600000000001</v>
      </c>
      <c r="AB77" s="7">
        <f>(4*8)*1</f>
        <v>32</v>
      </c>
      <c r="AD77" s="4">
        <f>(4*8)*0.5</f>
        <v>16</v>
      </c>
      <c r="AE77" s="4">
        <f>(4*8)*0.6667</f>
        <v>21.334399999999999</v>
      </c>
      <c r="AF77" s="4">
        <f>(4*8)*0.8333</f>
        <v>26.665600000000001</v>
      </c>
      <c r="AG77" s="4">
        <f>(4*8)*1</f>
        <v>32</v>
      </c>
      <c r="AH77" s="4">
        <f>(4*8)*0.8333*0.6</f>
        <v>15.999359999999999</v>
      </c>
      <c r="AI77" s="4">
        <f>(4*8)*0.8333*0.8</f>
        <v>21.332480000000004</v>
      </c>
      <c r="AJ77" s="4">
        <f>(4*8)*0.8333</f>
        <v>26.665600000000001</v>
      </c>
      <c r="AK77" s="4">
        <f>(4*8)*0.8333*1.2</f>
        <v>31.998719999999999</v>
      </c>
    </row>
    <row r="78" spans="1:37" x14ac:dyDescent="0.25">
      <c r="A78" t="s">
        <v>48</v>
      </c>
      <c r="B78" s="1">
        <v>42587</v>
      </c>
      <c r="C78">
        <v>218</v>
      </c>
      <c r="D78" t="s">
        <v>65</v>
      </c>
      <c r="E78" s="4">
        <f>(8*1 + 4*3)*0.8333</f>
        <v>16.666</v>
      </c>
      <c r="F78" s="4">
        <f t="shared" si="69"/>
        <v>0.65614173228346462</v>
      </c>
      <c r="G78" s="4">
        <f>(8*1 + 4*3)*0.8333</f>
        <v>16.666</v>
      </c>
      <c r="H78" s="4">
        <f t="shared" si="71"/>
        <v>0.65614173228346462</v>
      </c>
      <c r="L78" s="4"/>
      <c r="M78" s="7">
        <f>(8*1 + 4*3)*0.5</f>
        <v>10</v>
      </c>
      <c r="N78" s="7">
        <f>(8*1 + 4*3)*0.6667</f>
        <v>13.334</v>
      </c>
      <c r="O78" s="7">
        <f>(8*1 + 4*3)*0.8333</f>
        <v>16.666</v>
      </c>
      <c r="P78" s="7">
        <f>(8*1 + 4*3)*1</f>
        <v>20</v>
      </c>
      <c r="Q78" s="7">
        <f>(8*1 + 4*3)*0.5</f>
        <v>10</v>
      </c>
      <c r="R78" s="7">
        <f>(8*1 + 4*3)*0.6667</f>
        <v>13.334</v>
      </c>
      <c r="S78" s="7">
        <f>(8*1 + 4*3)*0.8333</f>
        <v>16.666</v>
      </c>
      <c r="T78" s="7">
        <f>(8*1 + 4*3)*1</f>
        <v>20</v>
      </c>
      <c r="U78" s="7">
        <f>(8*1 + 4*3)*0.5</f>
        <v>10</v>
      </c>
      <c r="V78" s="7">
        <f>(8*1 + 4*3)*0.6667</f>
        <v>13.334</v>
      </c>
      <c r="W78" s="7">
        <f>(8*1 + 4*3)*0.8333</f>
        <v>16.666</v>
      </c>
      <c r="X78" s="7">
        <f>(8*1 + 4*3)*1</f>
        <v>20</v>
      </c>
      <c r="Y78" s="7">
        <f>(8*1 + 4*3)*0.5</f>
        <v>10</v>
      </c>
      <c r="Z78" s="7">
        <f>(8*1 + 4*3)*0.6667</f>
        <v>13.334</v>
      </c>
      <c r="AA78" s="7">
        <f>(8*1 + 4*3)*0.8333</f>
        <v>16.666</v>
      </c>
      <c r="AB78" s="7">
        <f>(8*1 + 4*3)*1</f>
        <v>20</v>
      </c>
      <c r="AD78" s="4">
        <f>(8*1 + 4*3)*0.5</f>
        <v>10</v>
      </c>
      <c r="AE78" s="4">
        <f>(8*1 + 4*3)*0.6667</f>
        <v>13.334</v>
      </c>
      <c r="AF78" s="4">
        <f>(8*1 + 4*3)*0.8333</f>
        <v>16.666</v>
      </c>
      <c r="AG78" s="4">
        <f>(8*1 + 4*3)*1</f>
        <v>20</v>
      </c>
      <c r="AH78" s="4">
        <f>(8*1 + 4*3)*0.8333*0.6</f>
        <v>9.9995999999999992</v>
      </c>
      <c r="AI78" s="4">
        <f>(8*1 + 4*3)*0.8333*0.8</f>
        <v>13.332800000000001</v>
      </c>
      <c r="AJ78" s="4">
        <f>(8*1 + 4*3)*0.8333</f>
        <v>16.666</v>
      </c>
      <c r="AK78" s="4">
        <f>(8*1 + 4*3)*0.8333*1.2</f>
        <v>19.999199999999998</v>
      </c>
    </row>
    <row r="79" spans="1:37" x14ac:dyDescent="0.25">
      <c r="A79" t="s">
        <v>48</v>
      </c>
      <c r="B79" s="1">
        <v>42592</v>
      </c>
      <c r="C79">
        <v>223</v>
      </c>
      <c r="D79" t="s">
        <v>68</v>
      </c>
      <c r="E79" s="4">
        <f>(4*4)*0.8333</f>
        <v>13.332800000000001</v>
      </c>
      <c r="F79" s="4">
        <f t="shared" si="69"/>
        <v>0.52491338582677172</v>
      </c>
      <c r="G79" s="4">
        <f>(4*4)*0.8333</f>
        <v>13.332800000000001</v>
      </c>
      <c r="H79" s="4">
        <f t="shared" si="71"/>
        <v>0.52491338582677172</v>
      </c>
      <c r="L79" s="4"/>
      <c r="M79" s="7">
        <f>(4*4)*0.5</f>
        <v>8</v>
      </c>
      <c r="N79" s="7">
        <f>(4*4)*0.6667</f>
        <v>10.667199999999999</v>
      </c>
      <c r="O79" s="7">
        <f>(4*4)*0.8333</f>
        <v>13.332800000000001</v>
      </c>
      <c r="P79" s="7">
        <f>(4*4)*1</f>
        <v>16</v>
      </c>
      <c r="Q79" s="7">
        <f>(4*4)*0.5</f>
        <v>8</v>
      </c>
      <c r="R79" s="7">
        <f>(4*4)*0.6667</f>
        <v>10.667199999999999</v>
      </c>
      <c r="S79" s="7">
        <f>(4*4)*0.8333</f>
        <v>13.332800000000001</v>
      </c>
      <c r="T79" s="7">
        <f>(4*4)*1</f>
        <v>16</v>
      </c>
      <c r="U79" s="7">
        <f>(4*4)*0.5</f>
        <v>8</v>
      </c>
      <c r="V79" s="7">
        <f>(4*4)*0.6667</f>
        <v>10.667199999999999</v>
      </c>
      <c r="W79" s="7">
        <f>(4*4)*0.8333</f>
        <v>13.332800000000001</v>
      </c>
      <c r="X79" s="7">
        <f>(4*4)*1</f>
        <v>16</v>
      </c>
      <c r="Y79" s="7">
        <f>(4*4)*0.5</f>
        <v>8</v>
      </c>
      <c r="Z79" s="7">
        <f>(4*4)*0.6667</f>
        <v>10.667199999999999</v>
      </c>
      <c r="AA79" s="7">
        <f>(4*4)*0.8333</f>
        <v>13.332800000000001</v>
      </c>
      <c r="AB79" s="7">
        <f>(4*4)*1</f>
        <v>16</v>
      </c>
      <c r="AD79" s="4">
        <f>(4*4)*0.5</f>
        <v>8</v>
      </c>
      <c r="AE79" s="4">
        <f>(4*4)*0.6667</f>
        <v>10.667199999999999</v>
      </c>
      <c r="AF79" s="4">
        <f>(4*4)*0.8333</f>
        <v>13.332800000000001</v>
      </c>
      <c r="AG79" s="4">
        <f>(4*4)*1</f>
        <v>16</v>
      </c>
      <c r="AH79" s="4">
        <f>(4*4)*0.8333*0.6</f>
        <v>7.9996799999999997</v>
      </c>
      <c r="AI79" s="4">
        <f>(4*4)*0.8333*0.8</f>
        <v>10.666240000000002</v>
      </c>
      <c r="AJ79" s="4">
        <f>(4*4)*0.8333</f>
        <v>13.332800000000001</v>
      </c>
      <c r="AK79" s="4">
        <f>(4*4)*0.8333*1.2</f>
        <v>15.999359999999999</v>
      </c>
    </row>
    <row r="80" spans="1:37" x14ac:dyDescent="0.25">
      <c r="A80" t="s">
        <v>48</v>
      </c>
      <c r="B80" s="1">
        <v>42593</v>
      </c>
      <c r="C80">
        <v>224</v>
      </c>
      <c r="D80" t="s">
        <v>60</v>
      </c>
      <c r="E80" s="4">
        <f>(4*6)*0.8333</f>
        <v>19.999200000000002</v>
      </c>
      <c r="F80" s="4">
        <f t="shared" si="69"/>
        <v>0.78737007874015763</v>
      </c>
      <c r="G80" s="4">
        <f>(4*6)*0.8333</f>
        <v>19.999200000000002</v>
      </c>
      <c r="H80" s="4">
        <f t="shared" si="71"/>
        <v>0.78737007874015763</v>
      </c>
      <c r="I80" t="s">
        <v>67</v>
      </c>
      <c r="L80" s="4"/>
      <c r="M80" s="7">
        <f>(4*6)*0.5</f>
        <v>12</v>
      </c>
      <c r="N80" s="7">
        <f>(4*6)*0.6667</f>
        <v>16.000799999999998</v>
      </c>
      <c r="O80" s="7">
        <f>(4*6)*0.8333</f>
        <v>19.999200000000002</v>
      </c>
      <c r="P80" s="7">
        <f>(4*6)*1</f>
        <v>24</v>
      </c>
      <c r="Q80" s="7">
        <f>(4*6)*0.5</f>
        <v>12</v>
      </c>
      <c r="R80" s="7">
        <f>(4*6)*0.6667</f>
        <v>16.000799999999998</v>
      </c>
      <c r="S80" s="7">
        <f>(4*6)*0.8333</f>
        <v>19.999200000000002</v>
      </c>
      <c r="T80" s="7">
        <f>(4*6)*1</f>
        <v>24</v>
      </c>
      <c r="U80" s="7">
        <f>(4*6)*0.5</f>
        <v>12</v>
      </c>
      <c r="V80" s="7">
        <f>(4*6)*0.6667</f>
        <v>16.000799999999998</v>
      </c>
      <c r="W80" s="7">
        <f>(4*6)*0.8333</f>
        <v>19.999200000000002</v>
      </c>
      <c r="X80" s="7">
        <f>(4*6)*1</f>
        <v>24</v>
      </c>
      <c r="Y80" s="7">
        <f>(4*6)*0.5</f>
        <v>12</v>
      </c>
      <c r="Z80" s="7">
        <f>(4*6)*0.6667</f>
        <v>16.000799999999998</v>
      </c>
      <c r="AA80" s="7">
        <f>(4*6)*0.8333</f>
        <v>19.999200000000002</v>
      </c>
      <c r="AB80" s="7">
        <f>(4*6)*1</f>
        <v>24</v>
      </c>
      <c r="AD80" s="4">
        <f>(4*6)*0.5</f>
        <v>12</v>
      </c>
      <c r="AE80" s="4">
        <f>(4*6)*0.6667</f>
        <v>16.000799999999998</v>
      </c>
      <c r="AF80" s="4">
        <f>(4*6)*0.8333</f>
        <v>19.999200000000002</v>
      </c>
      <c r="AG80" s="4">
        <f>(4*6)*1</f>
        <v>24</v>
      </c>
      <c r="AH80" s="4">
        <f>(4*6)*0.8333*0.6</f>
        <v>11.99952</v>
      </c>
      <c r="AI80" s="4">
        <f>(4*6)*0.8333*0.8</f>
        <v>15.999360000000003</v>
      </c>
      <c r="AJ80" s="4">
        <f>(4*6)*0.8333</f>
        <v>19.999200000000002</v>
      </c>
      <c r="AK80" s="4">
        <f>(4*6)*0.8333*1.2</f>
        <v>23.999040000000001</v>
      </c>
    </row>
    <row r="81" spans="1:37" x14ac:dyDescent="0.25">
      <c r="A81" t="s">
        <v>48</v>
      </c>
      <c r="B81" s="1">
        <v>42594</v>
      </c>
      <c r="C81">
        <v>225</v>
      </c>
      <c r="D81" t="s">
        <v>65</v>
      </c>
      <c r="E81" s="4">
        <f>(8*1+4*3)*0.8333</f>
        <v>16.666</v>
      </c>
      <c r="F81" s="4">
        <f t="shared" si="69"/>
        <v>0.65614173228346462</v>
      </c>
      <c r="G81" s="4">
        <f>(8*1+4*3)*0.8333</f>
        <v>16.666</v>
      </c>
      <c r="H81" s="4">
        <f t="shared" si="71"/>
        <v>0.65614173228346462</v>
      </c>
      <c r="L81" s="4"/>
      <c r="M81" s="7">
        <f>(8*1+4*3)*0.5</f>
        <v>10</v>
      </c>
      <c r="N81" s="7">
        <f>(8*1+4*3)*0.6667</f>
        <v>13.334</v>
      </c>
      <c r="O81" s="7">
        <f>(8*1+4*3)*0.8333</f>
        <v>16.666</v>
      </c>
      <c r="P81" s="7">
        <f>(8*1+4*3)*1</f>
        <v>20</v>
      </c>
      <c r="Q81" s="7">
        <f>(8*1+4*3)*0.5</f>
        <v>10</v>
      </c>
      <c r="R81" s="7">
        <f>(8*1+4*3)*0.6667</f>
        <v>13.334</v>
      </c>
      <c r="S81" s="7">
        <f>(8*1+4*3)*0.8333</f>
        <v>16.666</v>
      </c>
      <c r="T81" s="7">
        <f>(8*1+4*3)*1</f>
        <v>20</v>
      </c>
      <c r="U81" s="7">
        <f>(8*1+4*3)*0.5</f>
        <v>10</v>
      </c>
      <c r="V81" s="7">
        <f>(8*1+4*3)*0.6667</f>
        <v>13.334</v>
      </c>
      <c r="W81" s="7">
        <f>(8*1+4*3)*0.8333</f>
        <v>16.666</v>
      </c>
      <c r="X81" s="7">
        <f>(8*1+4*3)*1</f>
        <v>20</v>
      </c>
      <c r="Y81" s="7">
        <f>(8*1+4*3)*0.5</f>
        <v>10</v>
      </c>
      <c r="Z81" s="7">
        <f>(8*1+4*3)*0.6667</f>
        <v>13.334</v>
      </c>
      <c r="AA81" s="7">
        <f>(8*1+4*3)*0.8333</f>
        <v>16.666</v>
      </c>
      <c r="AB81" s="7">
        <f>(8*1+4*3)*1</f>
        <v>20</v>
      </c>
      <c r="AD81" s="4">
        <f>(8*1+4*3)*0.5</f>
        <v>10</v>
      </c>
      <c r="AE81" s="4">
        <f>(8*1+4*3)*0.6667</f>
        <v>13.334</v>
      </c>
      <c r="AF81" s="4">
        <f>(8*1+4*3)*0.8333</f>
        <v>16.666</v>
      </c>
      <c r="AG81" s="4">
        <f>(8*1+4*3)*1</f>
        <v>20</v>
      </c>
      <c r="AH81" s="4">
        <f>(8*1+4*3)*0.8333*0.6</f>
        <v>9.9995999999999992</v>
      </c>
      <c r="AI81" s="4">
        <f>(8*1+4*3)*0.8333*0.8</f>
        <v>13.332800000000001</v>
      </c>
      <c r="AJ81" s="4">
        <f>(8*1+4*3)*0.8333</f>
        <v>16.666</v>
      </c>
      <c r="AK81" s="4">
        <f>(8*1+4*3)*0.8333*1.2</f>
        <v>19.999199999999998</v>
      </c>
    </row>
    <row r="82" spans="1:37" x14ac:dyDescent="0.25">
      <c r="A82" t="s">
        <v>48</v>
      </c>
      <c r="B82" s="1">
        <v>42599</v>
      </c>
      <c r="C82">
        <v>230</v>
      </c>
      <c r="D82" t="s">
        <v>68</v>
      </c>
      <c r="E82" s="4">
        <f>(4*4)*0.8333</f>
        <v>13.332800000000001</v>
      </c>
      <c r="F82" s="4">
        <f t="shared" si="69"/>
        <v>0.52491338582677172</v>
      </c>
      <c r="G82" s="4">
        <f>(4*4)*0.8333</f>
        <v>13.332800000000001</v>
      </c>
      <c r="H82" s="4">
        <f t="shared" si="71"/>
        <v>0.52491338582677172</v>
      </c>
      <c r="J82" t="s">
        <v>63</v>
      </c>
      <c r="L82" s="4"/>
      <c r="M82" s="7">
        <f>(4*4)*0.5</f>
        <v>8</v>
      </c>
      <c r="N82" s="7">
        <f>(4*4)*0.6667</f>
        <v>10.667199999999999</v>
      </c>
      <c r="O82" s="7">
        <f>(4*4)*0.8333</f>
        <v>13.332800000000001</v>
      </c>
      <c r="P82" s="7">
        <f>(4*4)*1</f>
        <v>16</v>
      </c>
      <c r="Q82" s="7">
        <f>(4*4)*0.5</f>
        <v>8</v>
      </c>
      <c r="R82" s="7">
        <f>(4*4)*0.6667</f>
        <v>10.667199999999999</v>
      </c>
      <c r="S82" s="7">
        <f>(4*4)*0.8333</f>
        <v>13.332800000000001</v>
      </c>
      <c r="T82" s="7">
        <f>(4*4)*1</f>
        <v>16</v>
      </c>
      <c r="U82" s="7">
        <f>(4*4)*0.5</f>
        <v>8</v>
      </c>
      <c r="V82" s="7">
        <f>(4*4)*0.6667</f>
        <v>10.667199999999999</v>
      </c>
      <c r="W82" s="7">
        <f>(4*4)*0.8333</f>
        <v>13.332800000000001</v>
      </c>
      <c r="X82" s="7">
        <f>(4*4)*1</f>
        <v>16</v>
      </c>
      <c r="Y82" s="7">
        <f>(4*4)*0.5</f>
        <v>8</v>
      </c>
      <c r="Z82" s="7">
        <f>(4*4)*0.6667</f>
        <v>10.667199999999999</v>
      </c>
      <c r="AA82" s="7">
        <f>(4*4)*0.8333</f>
        <v>13.332800000000001</v>
      </c>
      <c r="AB82" s="7">
        <f>(4*4)*1</f>
        <v>16</v>
      </c>
      <c r="AD82" s="4">
        <f>(4*4)*0.5</f>
        <v>8</v>
      </c>
      <c r="AE82" s="4">
        <f>(4*4)*0.6667</f>
        <v>10.667199999999999</v>
      </c>
      <c r="AF82" s="4">
        <f>(4*4)*0.8333</f>
        <v>13.332800000000001</v>
      </c>
      <c r="AG82" s="4">
        <f>(4*4)*1</f>
        <v>16</v>
      </c>
      <c r="AH82" s="4">
        <f>(4*4)*0.8333*0.6</f>
        <v>7.9996799999999997</v>
      </c>
      <c r="AI82" s="4">
        <f>(4*4)*0.8333*0.8</f>
        <v>10.666240000000002</v>
      </c>
      <c r="AJ82" s="4">
        <f>(4*4)*0.8333</f>
        <v>13.332800000000001</v>
      </c>
      <c r="AK82" s="4">
        <f>(4*4)*0.8333*1.2</f>
        <v>15.999359999999999</v>
      </c>
    </row>
    <row r="83" spans="1:37" x14ac:dyDescent="0.25">
      <c r="A83" t="s">
        <v>48</v>
      </c>
      <c r="B83" s="1">
        <v>42600</v>
      </c>
      <c r="C83">
        <v>231</v>
      </c>
      <c r="D83" t="s">
        <v>59</v>
      </c>
      <c r="E83" s="4">
        <f>(4*8)*0.8333</f>
        <v>26.665600000000001</v>
      </c>
      <c r="F83" s="4">
        <f t="shared" si="69"/>
        <v>1.0498267716535434</v>
      </c>
      <c r="G83" s="4">
        <f>(4*8)*0.8333</f>
        <v>26.665600000000001</v>
      </c>
      <c r="H83" s="4">
        <f t="shared" si="71"/>
        <v>1.0498267716535434</v>
      </c>
      <c r="J83" s="1">
        <v>42570</v>
      </c>
      <c r="K83" s="6">
        <v>5.3</v>
      </c>
      <c r="L83" s="4"/>
      <c r="M83" s="7">
        <f>(4*8)*0.5</f>
        <v>16</v>
      </c>
      <c r="N83" s="7">
        <f>(4*8)*0.6667</f>
        <v>21.334399999999999</v>
      </c>
      <c r="O83" s="7">
        <f>(4*8)*0.8333</f>
        <v>26.665600000000001</v>
      </c>
      <c r="P83" s="7">
        <f>(4*8)*1</f>
        <v>32</v>
      </c>
      <c r="Q83" s="7">
        <f>(4*8)*0.5</f>
        <v>16</v>
      </c>
      <c r="R83" s="7">
        <f>(4*8)*0.6667</f>
        <v>21.334399999999999</v>
      </c>
      <c r="S83" s="7">
        <f>(4*8)*0.8333</f>
        <v>26.665600000000001</v>
      </c>
      <c r="T83" s="7">
        <f>(4*8)*1</f>
        <v>32</v>
      </c>
      <c r="U83" s="7">
        <f>(4*8)*0.5</f>
        <v>16</v>
      </c>
      <c r="V83" s="7">
        <f>(4*8)*0.6667</f>
        <v>21.334399999999999</v>
      </c>
      <c r="W83" s="7">
        <f>(4*8)*0.8333</f>
        <v>26.665600000000001</v>
      </c>
      <c r="X83" s="7">
        <f>(4*8)*1</f>
        <v>32</v>
      </c>
      <c r="Y83" s="7">
        <f>(4*8)*0.5</f>
        <v>16</v>
      </c>
      <c r="Z83" s="7">
        <f>(4*8)*0.6667</f>
        <v>21.334399999999999</v>
      </c>
      <c r="AA83" s="7">
        <f>(4*8)*0.8333</f>
        <v>26.665600000000001</v>
      </c>
      <c r="AB83" s="7">
        <f>(4*8)*1</f>
        <v>32</v>
      </c>
      <c r="AD83" s="4">
        <f>(4*8)*0.5</f>
        <v>16</v>
      </c>
      <c r="AE83" s="4">
        <f>(4*8)*0.6667</f>
        <v>21.334399999999999</v>
      </c>
      <c r="AF83" s="4">
        <f>(4*8)*0.8333</f>
        <v>26.665600000000001</v>
      </c>
      <c r="AG83" s="4">
        <f>(4*8)*1</f>
        <v>32</v>
      </c>
      <c r="AH83" s="4">
        <f>(4*8)*0.8333*0.6</f>
        <v>15.999359999999999</v>
      </c>
      <c r="AI83" s="4">
        <f>(4*8)*0.8333*0.8</f>
        <v>21.332480000000004</v>
      </c>
      <c r="AJ83" s="4">
        <f>(4*8)*0.8333</f>
        <v>26.665600000000001</v>
      </c>
      <c r="AK83" s="4">
        <f>(4*8)*0.8333*1.2</f>
        <v>31.998719999999999</v>
      </c>
    </row>
    <row r="84" spans="1:37" x14ac:dyDescent="0.25">
      <c r="A84" t="s">
        <v>48</v>
      </c>
      <c r="B84" s="1">
        <v>42601</v>
      </c>
      <c r="C84">
        <v>232</v>
      </c>
      <c r="D84" t="s">
        <v>60</v>
      </c>
      <c r="E84" s="4">
        <f t="shared" ref="E84:G87" si="72">(4*6)*0.8333</f>
        <v>19.999200000000002</v>
      </c>
      <c r="F84" s="4">
        <f t="shared" si="69"/>
        <v>0.78737007874015763</v>
      </c>
      <c r="G84" s="4">
        <f t="shared" si="72"/>
        <v>19.999200000000002</v>
      </c>
      <c r="H84" s="4">
        <f t="shared" si="71"/>
        <v>0.78737007874015763</v>
      </c>
      <c r="J84" s="1">
        <v>42580</v>
      </c>
      <c r="K84" s="6">
        <v>11</v>
      </c>
      <c r="L84" s="4"/>
      <c r="M84" s="7">
        <f>(4*6)*0.5</f>
        <v>12</v>
      </c>
      <c r="N84" s="7">
        <f>(4*6)*0.6667</f>
        <v>16.000799999999998</v>
      </c>
      <c r="O84" s="7">
        <f t="shared" ref="O84:O87" si="73">(4*6)*0.8333</f>
        <v>19.999200000000002</v>
      </c>
      <c r="P84" s="7">
        <f>(4*6)*1</f>
        <v>24</v>
      </c>
      <c r="Q84" s="7">
        <f>(4*6)*0.5</f>
        <v>12</v>
      </c>
      <c r="R84" s="7">
        <f>(4*6)*0.6667</f>
        <v>16.000799999999998</v>
      </c>
      <c r="S84" s="7">
        <f t="shared" ref="S84:S87" si="74">(4*6)*0.8333</f>
        <v>19.999200000000002</v>
      </c>
      <c r="T84" s="7">
        <f>(4*6)*1</f>
        <v>24</v>
      </c>
      <c r="U84" s="7">
        <f>(4*6)*0.5</f>
        <v>12</v>
      </c>
      <c r="V84" s="7">
        <f>(4*6)*0.6667</f>
        <v>16.000799999999998</v>
      </c>
      <c r="W84" s="7">
        <f t="shared" ref="W84:W87" si="75">(4*6)*0.8333</f>
        <v>19.999200000000002</v>
      </c>
      <c r="X84" s="7">
        <f>(4*6)*1</f>
        <v>24</v>
      </c>
      <c r="Y84" s="7">
        <f>(4*6)*0.5</f>
        <v>12</v>
      </c>
      <c r="Z84" s="7">
        <f>(4*6)*0.6667</f>
        <v>16.000799999999998</v>
      </c>
      <c r="AA84" s="7">
        <f t="shared" ref="AA84:AA87" si="76">(4*6)*0.8333</f>
        <v>19.999200000000002</v>
      </c>
      <c r="AB84" s="7">
        <f>(4*6)*1</f>
        <v>24</v>
      </c>
      <c r="AD84" s="4">
        <f>(4*6)*0.5</f>
        <v>12</v>
      </c>
      <c r="AE84" s="4">
        <f>(4*6)*0.6667</f>
        <v>16.000799999999998</v>
      </c>
      <c r="AF84" s="4">
        <f t="shared" ref="AF84:AF87" si="77">(4*6)*0.8333</f>
        <v>19.999200000000002</v>
      </c>
      <c r="AG84" s="4">
        <f>(4*6)*1</f>
        <v>24</v>
      </c>
      <c r="AH84" s="4">
        <f>(4*6)*0.8333*0.6</f>
        <v>11.99952</v>
      </c>
      <c r="AI84" s="4">
        <f>(4*6)*0.8333*0.8</f>
        <v>15.999360000000003</v>
      </c>
      <c r="AJ84" s="4">
        <f t="shared" ref="AJ84:AJ87" si="78">(4*6)*0.8333</f>
        <v>19.999200000000002</v>
      </c>
      <c r="AK84" s="4">
        <f>(4*6)*0.8333*1.2</f>
        <v>23.999040000000001</v>
      </c>
    </row>
    <row r="85" spans="1:37" x14ac:dyDescent="0.25">
      <c r="A85" t="s">
        <v>48</v>
      </c>
      <c r="B85" s="1">
        <v>42606</v>
      </c>
      <c r="C85">
        <v>237</v>
      </c>
      <c r="D85" t="s">
        <v>70</v>
      </c>
      <c r="E85" s="4">
        <f>(8+4*3)*0.8333</f>
        <v>16.666</v>
      </c>
      <c r="F85" s="4">
        <f t="shared" si="69"/>
        <v>0.65614173228346462</v>
      </c>
      <c r="G85" s="4">
        <f>(8+4*3)*0.8333</f>
        <v>16.666</v>
      </c>
      <c r="H85" s="4">
        <f t="shared" si="71"/>
        <v>0.65614173228346462</v>
      </c>
      <c r="J85" s="1">
        <v>42583</v>
      </c>
      <c r="K85" s="6">
        <v>2</v>
      </c>
      <c r="L85" s="4"/>
      <c r="M85" s="7">
        <f>(8+4*3)*0.5</f>
        <v>10</v>
      </c>
      <c r="N85" s="7">
        <f>(8+4*3)*0.6667</f>
        <v>13.334</v>
      </c>
      <c r="O85" s="7">
        <f>(8+4*3)*0.8333</f>
        <v>16.666</v>
      </c>
      <c r="P85" s="7">
        <f>(8+4*3)*1</f>
        <v>20</v>
      </c>
      <c r="Q85" s="7">
        <f>(8+4*3)*0.5</f>
        <v>10</v>
      </c>
      <c r="R85" s="7">
        <f>(8+4*3)*0.6667</f>
        <v>13.334</v>
      </c>
      <c r="S85" s="7">
        <f>(8+4*3)*0.8333</f>
        <v>16.666</v>
      </c>
      <c r="T85" s="7">
        <f>(8+4*3)*1</f>
        <v>20</v>
      </c>
      <c r="U85" s="7">
        <f>(8+4*3)*0.5</f>
        <v>10</v>
      </c>
      <c r="V85" s="7">
        <f>(8+4*3)*0.6667</f>
        <v>13.334</v>
      </c>
      <c r="W85" s="7">
        <f>(8+4*3)*0.8333</f>
        <v>16.666</v>
      </c>
      <c r="X85" s="7">
        <f>(8+4*3)*1</f>
        <v>20</v>
      </c>
      <c r="Y85" s="7">
        <f>(8+4*3)*0.5</f>
        <v>10</v>
      </c>
      <c r="Z85" s="7">
        <f>(8+4*3)*0.6667</f>
        <v>13.334</v>
      </c>
      <c r="AA85" s="7">
        <f>(8+4*3)*0.8333</f>
        <v>16.666</v>
      </c>
      <c r="AB85" s="7">
        <f>(8+4*3)*1</f>
        <v>20</v>
      </c>
      <c r="AD85" s="4">
        <f>(8+4*3)*0.5</f>
        <v>10</v>
      </c>
      <c r="AE85" s="4">
        <f>(8+4*3)*0.6667</f>
        <v>13.334</v>
      </c>
      <c r="AF85" s="4">
        <f>(8+4*3)*0.8333</f>
        <v>16.666</v>
      </c>
      <c r="AG85" s="4">
        <f>(8+4*3)*1</f>
        <v>20</v>
      </c>
      <c r="AH85" s="4">
        <f>(8+4*3)*0.8333*0.6</f>
        <v>9.9995999999999992</v>
      </c>
      <c r="AI85" s="4">
        <f>(8+4*3)*0.8333*0.8</f>
        <v>13.332800000000001</v>
      </c>
      <c r="AJ85" s="4">
        <f>(8+4*3)*0.8333</f>
        <v>16.666</v>
      </c>
      <c r="AK85" s="4">
        <f>(8+4*3)*0.8333*1.2</f>
        <v>19.999199999999998</v>
      </c>
    </row>
    <row r="86" spans="1:37" x14ac:dyDescent="0.25">
      <c r="A86" t="s">
        <v>48</v>
      </c>
      <c r="B86" s="1">
        <v>42607</v>
      </c>
      <c r="C86">
        <v>238</v>
      </c>
      <c r="D86" t="s">
        <v>59</v>
      </c>
      <c r="E86" s="4">
        <f>(4*8)*0.8333</f>
        <v>26.665600000000001</v>
      </c>
      <c r="F86" s="4">
        <f t="shared" si="69"/>
        <v>1.0498267716535434</v>
      </c>
      <c r="G86" s="4">
        <f>(4*8)*0.8333</f>
        <v>26.665600000000001</v>
      </c>
      <c r="H86" s="4">
        <f t="shared" si="71"/>
        <v>1.0498267716535434</v>
      </c>
      <c r="J86" s="1">
        <v>42585</v>
      </c>
      <c r="K86" s="6">
        <v>3.9</v>
      </c>
      <c r="L86" s="4"/>
      <c r="M86" s="7">
        <f>(4*8)*0.5</f>
        <v>16</v>
      </c>
      <c r="N86" s="7">
        <f>(4*8)*0.6667</f>
        <v>21.334399999999999</v>
      </c>
      <c r="O86" s="7">
        <f>(4*8)*0.8333</f>
        <v>26.665600000000001</v>
      </c>
      <c r="P86" s="7">
        <f>(4*8)*1</f>
        <v>32</v>
      </c>
      <c r="Q86" s="7">
        <f>(4*8)*0.5</f>
        <v>16</v>
      </c>
      <c r="R86" s="7">
        <f>(4*8)*0.6667</f>
        <v>21.334399999999999</v>
      </c>
      <c r="S86" s="7">
        <f>(4*8)*0.8333</f>
        <v>26.665600000000001</v>
      </c>
      <c r="T86" s="7">
        <f>(4*8)*1</f>
        <v>32</v>
      </c>
      <c r="U86" s="7">
        <f>(4*8)*0.5</f>
        <v>16</v>
      </c>
      <c r="V86" s="7">
        <f>(4*8)*0.6667</f>
        <v>21.334399999999999</v>
      </c>
      <c r="W86" s="7">
        <f>(4*8)*0.8333</f>
        <v>26.665600000000001</v>
      </c>
      <c r="X86" s="7">
        <f>(4*8)*1</f>
        <v>32</v>
      </c>
      <c r="Y86" s="7">
        <f>(4*8)*0.5</f>
        <v>16</v>
      </c>
      <c r="Z86" s="7">
        <f>(4*8)*0.6667</f>
        <v>21.334399999999999</v>
      </c>
      <c r="AA86" s="7">
        <f>(4*8)*0.8333</f>
        <v>26.665600000000001</v>
      </c>
      <c r="AB86" s="7">
        <f>(4*8)*1</f>
        <v>32</v>
      </c>
      <c r="AD86" s="4">
        <f>(4*8)*0.5</f>
        <v>16</v>
      </c>
      <c r="AE86" s="4">
        <f>(4*8)*0.6667</f>
        <v>21.334399999999999</v>
      </c>
      <c r="AF86" s="4">
        <f>(4*8)*0.8333</f>
        <v>26.665600000000001</v>
      </c>
      <c r="AG86" s="4">
        <f>(4*8)*1</f>
        <v>32</v>
      </c>
      <c r="AH86" s="4">
        <f>(4*8)*0.8333*0.6</f>
        <v>15.999359999999999</v>
      </c>
      <c r="AI86" s="4">
        <f>(4*8)*0.8333*0.8</f>
        <v>21.332480000000004</v>
      </c>
      <c r="AJ86" s="4">
        <f>(4*8)*0.8333</f>
        <v>26.665600000000001</v>
      </c>
      <c r="AK86" s="4">
        <f>(4*8)*0.8333*1.2</f>
        <v>31.998719999999999</v>
      </c>
    </row>
    <row r="87" spans="1:37" x14ac:dyDescent="0.25">
      <c r="A87" t="s">
        <v>48</v>
      </c>
      <c r="B87" s="1">
        <v>42608</v>
      </c>
      <c r="C87">
        <v>239</v>
      </c>
      <c r="D87" t="s">
        <v>60</v>
      </c>
      <c r="E87" s="4">
        <f t="shared" si="72"/>
        <v>19.999200000000002</v>
      </c>
      <c r="F87" s="4">
        <f t="shared" si="69"/>
        <v>0.78737007874015763</v>
      </c>
      <c r="G87" s="4">
        <f t="shared" si="72"/>
        <v>19.999200000000002</v>
      </c>
      <c r="H87" s="4">
        <f t="shared" si="71"/>
        <v>0.78737007874015763</v>
      </c>
      <c r="J87" s="1">
        <v>42593</v>
      </c>
      <c r="K87" s="6">
        <v>4.9000000000000004</v>
      </c>
      <c r="L87" s="4"/>
      <c r="M87" s="7">
        <f>(4*6)*0.5</f>
        <v>12</v>
      </c>
      <c r="N87" s="7">
        <f>(4*6)*0.6667</f>
        <v>16.000799999999998</v>
      </c>
      <c r="O87" s="7">
        <f t="shared" si="73"/>
        <v>19.999200000000002</v>
      </c>
      <c r="P87" s="7">
        <f>(4*6)*1</f>
        <v>24</v>
      </c>
      <c r="Q87" s="7">
        <f>(4*6)*0.5</f>
        <v>12</v>
      </c>
      <c r="R87" s="7">
        <f>(4*6)*0.6667</f>
        <v>16.000799999999998</v>
      </c>
      <c r="S87" s="7">
        <f t="shared" si="74"/>
        <v>19.999200000000002</v>
      </c>
      <c r="T87" s="7">
        <f>(4*6)*1</f>
        <v>24</v>
      </c>
      <c r="U87" s="7">
        <f>(4*6)*0.5</f>
        <v>12</v>
      </c>
      <c r="V87" s="7">
        <f>(4*6)*0.6667</f>
        <v>16.000799999999998</v>
      </c>
      <c r="W87" s="7">
        <f t="shared" si="75"/>
        <v>19.999200000000002</v>
      </c>
      <c r="X87" s="7">
        <f>(4*6)*1</f>
        <v>24</v>
      </c>
      <c r="Y87" s="7">
        <f>(4*6)*0.5</f>
        <v>12</v>
      </c>
      <c r="Z87" s="7">
        <f>(4*6)*0.6667</f>
        <v>16.000799999999998</v>
      </c>
      <c r="AA87" s="7">
        <f t="shared" si="76"/>
        <v>19.999200000000002</v>
      </c>
      <c r="AB87" s="7">
        <f>(4*6)*1</f>
        <v>24</v>
      </c>
      <c r="AD87" s="4">
        <f>(4*6)*0.5</f>
        <v>12</v>
      </c>
      <c r="AE87" s="4">
        <f>(4*6)*0.6667</f>
        <v>16.000799999999998</v>
      </c>
      <c r="AF87" s="4">
        <f t="shared" si="77"/>
        <v>19.999200000000002</v>
      </c>
      <c r="AG87" s="4">
        <f>(4*6)*1</f>
        <v>24</v>
      </c>
      <c r="AH87" s="4">
        <f>(4*6)*0.8333*0.6</f>
        <v>11.99952</v>
      </c>
      <c r="AI87" s="4">
        <f>(4*6)*0.8333*0.8</f>
        <v>15.999360000000003</v>
      </c>
      <c r="AJ87" s="4">
        <f t="shared" si="78"/>
        <v>19.999200000000002</v>
      </c>
      <c r="AK87" s="4">
        <f>(4*6)*0.8333*1.2</f>
        <v>23.999040000000001</v>
      </c>
    </row>
    <row r="88" spans="1:37" x14ac:dyDescent="0.25">
      <c r="A88" t="s">
        <v>48</v>
      </c>
      <c r="B88" s="1">
        <v>42613</v>
      </c>
      <c r="C88">
        <v>244</v>
      </c>
      <c r="D88" t="s">
        <v>71</v>
      </c>
      <c r="E88" s="4">
        <f>(8+4*1)*0.8333</f>
        <v>9.9996000000000009</v>
      </c>
      <c r="F88" s="4">
        <f t="shared" si="69"/>
        <v>0.39368503937007882</v>
      </c>
      <c r="G88" s="4">
        <f>(8+4*1)*0.8333</f>
        <v>9.9996000000000009</v>
      </c>
      <c r="H88" s="4">
        <f t="shared" si="71"/>
        <v>0.39368503937007882</v>
      </c>
      <c r="J88" s="1">
        <v>42620</v>
      </c>
      <c r="K88" s="6">
        <v>4.4000000000000004</v>
      </c>
      <c r="L88" s="4"/>
      <c r="M88" s="7">
        <f>(8+4*1)*0.5</f>
        <v>6</v>
      </c>
      <c r="N88" s="7">
        <f>(8+4*1)*0.6667</f>
        <v>8.0003999999999991</v>
      </c>
      <c r="O88" s="7">
        <f>(8+4*1)*0.8333</f>
        <v>9.9996000000000009</v>
      </c>
      <c r="P88" s="7">
        <f>(8+4*1)*1</f>
        <v>12</v>
      </c>
      <c r="Q88" s="7">
        <f>(8+4*1)*0.5</f>
        <v>6</v>
      </c>
      <c r="R88" s="7">
        <f>(8+4*1)*0.6667</f>
        <v>8.0003999999999991</v>
      </c>
      <c r="S88" s="7">
        <f>(8+4*1)*0.8333</f>
        <v>9.9996000000000009</v>
      </c>
      <c r="T88" s="7">
        <f>(8+4*1)*1</f>
        <v>12</v>
      </c>
      <c r="U88" s="7">
        <f>(8+4*1)*0.5</f>
        <v>6</v>
      </c>
      <c r="V88" s="7">
        <f>(8+4*1)*0.6667</f>
        <v>8.0003999999999991</v>
      </c>
      <c r="W88" s="7">
        <f>(8+4*1)*0.8333</f>
        <v>9.9996000000000009</v>
      </c>
      <c r="X88" s="7">
        <f>(8+4*1)*1</f>
        <v>12</v>
      </c>
      <c r="Y88" s="7">
        <f>(8+4*1)*0.5</f>
        <v>6</v>
      </c>
      <c r="Z88" s="7">
        <f>(8+4*1)*0.6667</f>
        <v>8.0003999999999991</v>
      </c>
      <c r="AA88" s="7">
        <f>(8+4*1)*0.8333</f>
        <v>9.9996000000000009</v>
      </c>
      <c r="AB88" s="7">
        <f>(8+4*1)*1</f>
        <v>12</v>
      </c>
      <c r="AD88" s="4">
        <f>(8+4*1)*0.5</f>
        <v>6</v>
      </c>
      <c r="AE88" s="4">
        <f>(8+4*1)*0.6667</f>
        <v>8.0003999999999991</v>
      </c>
      <c r="AF88" s="4">
        <f>(8+4*1)*0.8333</f>
        <v>9.9996000000000009</v>
      </c>
      <c r="AG88" s="4">
        <f>(8+4*1)*1</f>
        <v>12</v>
      </c>
      <c r="AH88" s="4">
        <f>(8+4*1)*0.8333*0.6</f>
        <v>5.9997600000000002</v>
      </c>
      <c r="AI88" s="4">
        <f>(8+4*1)*0.8333*0.8</f>
        <v>7.9996800000000015</v>
      </c>
      <c r="AJ88" s="4">
        <f>(8+4*1)*0.8333</f>
        <v>9.9996000000000009</v>
      </c>
      <c r="AK88" s="4">
        <f>(8+4*1)*0.8333*1.2</f>
        <v>11.99952</v>
      </c>
    </row>
    <row r="89" spans="1:37" x14ac:dyDescent="0.25">
      <c r="A89" t="s">
        <v>48</v>
      </c>
      <c r="B89" s="1">
        <v>42614</v>
      </c>
      <c r="C89">
        <v>245</v>
      </c>
      <c r="D89" t="s">
        <v>59</v>
      </c>
      <c r="E89" s="4">
        <f>(4*8)*0.8333</f>
        <v>26.665600000000001</v>
      </c>
      <c r="F89" s="4">
        <f t="shared" si="69"/>
        <v>1.0498267716535434</v>
      </c>
      <c r="G89" s="4">
        <f>(4*8)*0.8333</f>
        <v>26.665600000000001</v>
      </c>
      <c r="H89" s="4">
        <f t="shared" si="71"/>
        <v>1.0498267716535434</v>
      </c>
      <c r="J89" s="1">
        <v>42645</v>
      </c>
      <c r="K89" s="6">
        <v>6.8</v>
      </c>
      <c r="L89" s="4"/>
      <c r="M89" s="7">
        <f>(4*8)*0.5</f>
        <v>16</v>
      </c>
      <c r="N89" s="7">
        <f>(4*8)*0.6667</f>
        <v>21.334399999999999</v>
      </c>
      <c r="O89" s="7">
        <f>(4*8)*0.8333</f>
        <v>26.665600000000001</v>
      </c>
      <c r="P89" s="7">
        <f>(4*8)*1</f>
        <v>32</v>
      </c>
      <c r="Q89" s="7">
        <f>(4*8)*0.5</f>
        <v>16</v>
      </c>
      <c r="R89" s="7">
        <f>(4*8)*0.6667</f>
        <v>21.334399999999999</v>
      </c>
      <c r="S89" s="7">
        <f>(4*8)*0.8333</f>
        <v>26.665600000000001</v>
      </c>
      <c r="T89" s="7">
        <f>(4*8)*1</f>
        <v>32</v>
      </c>
      <c r="U89" s="7">
        <f>(4*8)*0.5</f>
        <v>16</v>
      </c>
      <c r="V89" s="7">
        <f>(4*8)*0.6667</f>
        <v>21.334399999999999</v>
      </c>
      <c r="W89" s="7">
        <f>(4*8)*0.8333</f>
        <v>26.665600000000001</v>
      </c>
      <c r="X89" s="7">
        <f>(4*8)*1</f>
        <v>32</v>
      </c>
      <c r="Y89" s="7">
        <f>(4*8)*0.5</f>
        <v>16</v>
      </c>
      <c r="Z89" s="7">
        <f>(4*8)*0.6667</f>
        <v>21.334399999999999</v>
      </c>
      <c r="AA89" s="7">
        <f>(4*8)*0.8333</f>
        <v>26.665600000000001</v>
      </c>
      <c r="AB89" s="7">
        <f>(4*8)*1</f>
        <v>32</v>
      </c>
      <c r="AD89" s="4">
        <f>(4*8)*0.5</f>
        <v>16</v>
      </c>
      <c r="AE89" s="4">
        <f>(4*8)*0.6667</f>
        <v>21.334399999999999</v>
      </c>
      <c r="AF89" s="4">
        <f>(4*8)*0.8333</f>
        <v>26.665600000000001</v>
      </c>
      <c r="AG89" s="4">
        <f>(4*8)*1</f>
        <v>32</v>
      </c>
      <c r="AH89" s="4">
        <f>(4*8)*0.8333*0.6</f>
        <v>15.999359999999999</v>
      </c>
      <c r="AI89" s="4">
        <f>(4*8)*0.8333*0.8</f>
        <v>21.332480000000004</v>
      </c>
      <c r="AJ89" s="4">
        <f>(4*8)*0.8333</f>
        <v>26.665600000000001</v>
      </c>
      <c r="AK89" s="4">
        <f>(4*8)*0.8333*1.2</f>
        <v>31.998719999999999</v>
      </c>
    </row>
    <row r="90" spans="1:37" x14ac:dyDescent="0.25">
      <c r="A90" t="s">
        <v>48</v>
      </c>
      <c r="B90" s="1">
        <v>42615</v>
      </c>
      <c r="C90">
        <v>246</v>
      </c>
      <c r="D90" t="s">
        <v>60</v>
      </c>
      <c r="E90" s="4">
        <f t="shared" ref="E90:G90" si="79">(4*6)*0.8333</f>
        <v>19.999200000000002</v>
      </c>
      <c r="F90" s="4">
        <f t="shared" si="69"/>
        <v>0.78737007874015763</v>
      </c>
      <c r="G90" s="4">
        <f t="shared" si="79"/>
        <v>19.999200000000002</v>
      </c>
      <c r="H90" s="4">
        <f t="shared" si="71"/>
        <v>0.78737007874015763</v>
      </c>
      <c r="K90" s="6">
        <f>SUM(K83:K89)</f>
        <v>38.299999999999997</v>
      </c>
      <c r="L90" s="4"/>
      <c r="M90" s="7">
        <f>(4*6)*0.5</f>
        <v>12</v>
      </c>
      <c r="N90" s="7">
        <f>(4*6)*0.6667</f>
        <v>16.000799999999998</v>
      </c>
      <c r="O90" s="7">
        <f t="shared" ref="O90" si="80">(4*6)*0.8333</f>
        <v>19.999200000000002</v>
      </c>
      <c r="P90" s="7">
        <f>(4*6)*1</f>
        <v>24</v>
      </c>
      <c r="Q90" s="7">
        <f>(4*6)*0.5</f>
        <v>12</v>
      </c>
      <c r="R90" s="7">
        <f>(4*6)*0.6667</f>
        <v>16.000799999999998</v>
      </c>
      <c r="S90" s="7">
        <f t="shared" ref="S90" si="81">(4*6)*0.8333</f>
        <v>19.999200000000002</v>
      </c>
      <c r="T90" s="7">
        <f>(4*6)*1</f>
        <v>24</v>
      </c>
      <c r="U90" s="7">
        <f>(4*6)*0.5</f>
        <v>12</v>
      </c>
      <c r="V90" s="7">
        <f>(4*6)*0.6667</f>
        <v>16.000799999999998</v>
      </c>
      <c r="W90" s="7">
        <f t="shared" ref="W90" si="82">(4*6)*0.8333</f>
        <v>19.999200000000002</v>
      </c>
      <c r="X90" s="7">
        <f>(4*6)*1</f>
        <v>24</v>
      </c>
      <c r="Y90" s="7">
        <f>(4*6)*0.5</f>
        <v>12</v>
      </c>
      <c r="Z90" s="7">
        <f>(4*6)*0.6667</f>
        <v>16.000799999999998</v>
      </c>
      <c r="AA90" s="7">
        <f t="shared" ref="AA90" si="83">(4*6)*0.8333</f>
        <v>19.999200000000002</v>
      </c>
      <c r="AB90" s="7">
        <f>(4*6)*1</f>
        <v>24</v>
      </c>
      <c r="AD90" s="4">
        <f>(4*6)*0.5</f>
        <v>12</v>
      </c>
      <c r="AE90" s="4">
        <f>(4*6)*0.6667</f>
        <v>16.000799999999998</v>
      </c>
      <c r="AF90" s="4">
        <f t="shared" ref="AF90" si="84">(4*6)*0.8333</f>
        <v>19.999200000000002</v>
      </c>
      <c r="AG90" s="4">
        <f>(4*6)*1</f>
        <v>24</v>
      </c>
      <c r="AH90" s="4">
        <f>(4*6)*0.8333*0.6</f>
        <v>11.99952</v>
      </c>
      <c r="AI90" s="4">
        <f>(4*6)*0.8333*0.8</f>
        <v>15.999360000000003</v>
      </c>
      <c r="AJ90" s="4">
        <f t="shared" ref="AJ90" si="85">(4*6)*0.8333</f>
        <v>19.999200000000002</v>
      </c>
      <c r="AK90" s="4">
        <f>(4*6)*0.8333*1.2</f>
        <v>23.999040000000001</v>
      </c>
    </row>
    <row r="91" spans="1:37" x14ac:dyDescent="0.25">
      <c r="A91" t="s">
        <v>48</v>
      </c>
      <c r="B91" s="1">
        <v>42621</v>
      </c>
      <c r="C91">
        <v>252</v>
      </c>
      <c r="D91" t="s">
        <v>59</v>
      </c>
      <c r="E91" s="4">
        <f>(4*8)*0.8333</f>
        <v>26.665600000000001</v>
      </c>
      <c r="F91" s="4">
        <f t="shared" si="69"/>
        <v>1.0498267716535434</v>
      </c>
      <c r="G91" s="4">
        <f>(4*8)*0.8333</f>
        <v>26.665600000000001</v>
      </c>
      <c r="H91" s="4">
        <f t="shared" si="71"/>
        <v>1.0498267716535434</v>
      </c>
      <c r="L91" s="4"/>
      <c r="M91" s="7">
        <f>(4*8)*0.5</f>
        <v>16</v>
      </c>
      <c r="N91" s="7">
        <f>(4*8)*0.6667</f>
        <v>21.334399999999999</v>
      </c>
      <c r="O91" s="7">
        <f>(4*8)*0.8333</f>
        <v>26.665600000000001</v>
      </c>
      <c r="P91" s="7">
        <f>(4*8)*1</f>
        <v>32</v>
      </c>
      <c r="Q91" s="7">
        <f>(4*8)*0.5</f>
        <v>16</v>
      </c>
      <c r="R91" s="7">
        <f>(4*8)*0.6667</f>
        <v>21.334399999999999</v>
      </c>
      <c r="S91" s="7">
        <f>(4*8)*0.8333</f>
        <v>26.665600000000001</v>
      </c>
      <c r="T91" s="7">
        <f>(4*8)*1</f>
        <v>32</v>
      </c>
      <c r="U91" s="7">
        <f>(4*8)*0.5</f>
        <v>16</v>
      </c>
      <c r="V91" s="7">
        <f>(4*8)*0.6667</f>
        <v>21.334399999999999</v>
      </c>
      <c r="W91" s="7">
        <f>(4*8)*0.8333</f>
        <v>26.665600000000001</v>
      </c>
      <c r="X91" s="7">
        <f>(4*8)*1</f>
        <v>32</v>
      </c>
      <c r="Y91" s="7">
        <f>(4*8)*0.5</f>
        <v>16</v>
      </c>
      <c r="Z91" s="7">
        <f>(4*8)*0.6667</f>
        <v>21.334399999999999</v>
      </c>
      <c r="AA91" s="7">
        <f>(4*8)*0.8333</f>
        <v>26.665600000000001</v>
      </c>
      <c r="AB91" s="7">
        <f>(4*8)*1</f>
        <v>32</v>
      </c>
      <c r="AD91" s="4">
        <f>(4*8)*0.5</f>
        <v>16</v>
      </c>
      <c r="AE91" s="4">
        <f>(4*8)*0.6667</f>
        <v>21.334399999999999</v>
      </c>
      <c r="AF91" s="4">
        <f>(4*8)*0.8333</f>
        <v>26.665600000000001</v>
      </c>
      <c r="AG91" s="4">
        <f>(4*8)*1</f>
        <v>32</v>
      </c>
      <c r="AH91" s="4">
        <f>(4*8)*0.8333*0.6</f>
        <v>15.999359999999999</v>
      </c>
      <c r="AI91" s="4">
        <f>(4*8)*0.8333*0.8</f>
        <v>21.332480000000004</v>
      </c>
      <c r="AJ91" s="4">
        <f>(4*8)*0.8333</f>
        <v>26.665600000000001</v>
      </c>
      <c r="AK91" s="4">
        <f>(4*8)*0.8333*1.2</f>
        <v>31.998719999999999</v>
      </c>
    </row>
    <row r="92" spans="1:37" x14ac:dyDescent="0.25">
      <c r="A92" t="s">
        <v>48</v>
      </c>
      <c r="B92" s="1">
        <v>42622</v>
      </c>
      <c r="C92">
        <v>253</v>
      </c>
      <c r="D92" t="s">
        <v>59</v>
      </c>
      <c r="E92" s="4">
        <f>(4*8)*0.8333</f>
        <v>26.665600000000001</v>
      </c>
      <c r="F92" s="4">
        <f t="shared" si="69"/>
        <v>1.0498267716535434</v>
      </c>
      <c r="G92" s="4">
        <f>(4*8)*0.8333</f>
        <v>26.665600000000001</v>
      </c>
      <c r="H92" s="4">
        <f t="shared" si="71"/>
        <v>1.0498267716535434</v>
      </c>
      <c r="L92" s="4"/>
      <c r="M92" s="7">
        <f>(4*8)*0.5</f>
        <v>16</v>
      </c>
      <c r="N92" s="7">
        <f>(4*8)*0.6667</f>
        <v>21.334399999999999</v>
      </c>
      <c r="O92" s="7">
        <f>(4*8)*0.8333</f>
        <v>26.665600000000001</v>
      </c>
      <c r="P92" s="7">
        <f>(4*8)*1</f>
        <v>32</v>
      </c>
      <c r="Q92" s="7">
        <f>(4*8)*0.5</f>
        <v>16</v>
      </c>
      <c r="R92" s="7">
        <f>(4*8)*0.6667</f>
        <v>21.334399999999999</v>
      </c>
      <c r="S92" s="7">
        <f>(4*8)*0.8333</f>
        <v>26.665600000000001</v>
      </c>
      <c r="T92" s="7">
        <f>(4*8)*1</f>
        <v>32</v>
      </c>
      <c r="U92" s="7">
        <f>(4*8)*0.5</f>
        <v>16</v>
      </c>
      <c r="V92" s="7">
        <f>(4*8)*0.6667</f>
        <v>21.334399999999999</v>
      </c>
      <c r="W92" s="7">
        <f>(4*8)*0.8333</f>
        <v>26.665600000000001</v>
      </c>
      <c r="X92" s="7">
        <f>(4*8)*1</f>
        <v>32</v>
      </c>
      <c r="Y92" s="7">
        <f>(4*8)*0.5</f>
        <v>16</v>
      </c>
      <c r="Z92" s="7">
        <f>(4*8)*0.6667</f>
        <v>21.334399999999999</v>
      </c>
      <c r="AA92" s="7">
        <f>(4*8)*0.8333</f>
        <v>26.665600000000001</v>
      </c>
      <c r="AB92" s="7">
        <f>(4*8)*1</f>
        <v>32</v>
      </c>
      <c r="AD92" s="4">
        <f>(4*8)*0.5</f>
        <v>16</v>
      </c>
      <c r="AE92" s="4">
        <f>(4*8)*0.6667</f>
        <v>21.334399999999999</v>
      </c>
      <c r="AF92" s="4">
        <f>(4*8)*0.8333</f>
        <v>26.665600000000001</v>
      </c>
      <c r="AG92" s="4">
        <f>(4*8)*1</f>
        <v>32</v>
      </c>
      <c r="AH92" s="4">
        <f>(4*8)*0.8333*0.6</f>
        <v>15.999359999999999</v>
      </c>
      <c r="AI92" s="4">
        <f>(4*8)*0.8333*0.8</f>
        <v>21.332480000000004</v>
      </c>
      <c r="AJ92" s="4">
        <f>(4*8)*0.8333</f>
        <v>26.665600000000001</v>
      </c>
      <c r="AK92" s="4">
        <f>(4*8)*0.8333*1.2</f>
        <v>31.998719999999999</v>
      </c>
    </row>
    <row r="93" spans="1:37" x14ac:dyDescent="0.25">
      <c r="B93" s="1"/>
      <c r="E93" s="4">
        <f>SUM(E48:E92)</f>
        <v>922.89960000000042</v>
      </c>
      <c r="F93" s="4">
        <f t="shared" ref="F93:H93" si="86">SUM(F48:F92)</f>
        <v>36.33462992125984</v>
      </c>
      <c r="G93" s="4">
        <f t="shared" si="86"/>
        <v>771.75920000000031</v>
      </c>
      <c r="H93" s="4">
        <f t="shared" si="86"/>
        <v>30.384220472440948</v>
      </c>
    </row>
    <row r="94" spans="1:37" x14ac:dyDescent="0.25">
      <c r="E94" s="4">
        <f>SUM(E18:E30,E33:E45,E48:E92)</f>
        <v>1354.7996000000001</v>
      </c>
      <c r="F94" s="4">
        <f t="shared" ref="F94:H94" si="87">SUM(F18:F30,F33:F45,F48:F92)</f>
        <v>53.338566929133854</v>
      </c>
      <c r="G94" s="4">
        <f t="shared" si="87"/>
        <v>1258.3591999999999</v>
      </c>
      <c r="H94" s="4">
        <f t="shared" si="87"/>
        <v>49.541700787401595</v>
      </c>
      <c r="L94" t="s">
        <v>48</v>
      </c>
      <c r="M94" s="4">
        <f>SUM(M48:M92)</f>
        <v>585.6</v>
      </c>
      <c r="N94" s="4">
        <f t="shared" ref="N94:AB94" si="88">SUM(N48:N92)</f>
        <v>682.95279999999991</v>
      </c>
      <c r="O94" s="4">
        <f t="shared" si="88"/>
        <v>780.24720000000025</v>
      </c>
      <c r="P94" s="4">
        <f>SUM(P48:P92)</f>
        <v>877.6</v>
      </c>
      <c r="Q94" s="4">
        <f t="shared" si="88"/>
        <v>656.94759999999997</v>
      </c>
      <c r="R94" s="4">
        <f t="shared" si="88"/>
        <v>754.30039999999974</v>
      </c>
      <c r="S94" s="4">
        <f t="shared" si="88"/>
        <v>851.5948000000003</v>
      </c>
      <c r="T94" s="4">
        <f t="shared" si="88"/>
        <v>948.94759999999997</v>
      </c>
      <c r="U94" s="4">
        <f t="shared" si="88"/>
        <v>728.25239999999997</v>
      </c>
      <c r="V94" s="4">
        <f t="shared" si="88"/>
        <v>825.60519999999951</v>
      </c>
      <c r="W94" s="4">
        <f t="shared" si="88"/>
        <v>922.89960000000042</v>
      </c>
      <c r="X94" s="4">
        <f t="shared" si="88"/>
        <v>1020.2524</v>
      </c>
      <c r="Y94" s="4">
        <f t="shared" si="88"/>
        <v>799.59999999999991</v>
      </c>
      <c r="Z94" s="4">
        <f t="shared" si="88"/>
        <v>896.95279999999957</v>
      </c>
      <c r="AA94" s="4">
        <f t="shared" si="88"/>
        <v>994.24720000000036</v>
      </c>
      <c r="AB94" s="4">
        <f t="shared" si="88"/>
        <v>1091.5999999999999</v>
      </c>
      <c r="AC94" s="4"/>
      <c r="AD94" s="4">
        <f t="shared" ref="AD94:AK94" si="89">SUM(AD48:AD92)</f>
        <v>585.6</v>
      </c>
      <c r="AE94" s="4">
        <f t="shared" si="89"/>
        <v>754.30039999999974</v>
      </c>
      <c r="AF94" s="4">
        <f t="shared" si="89"/>
        <v>922.89960000000042</v>
      </c>
      <c r="AG94" s="4">
        <f t="shared" si="89"/>
        <v>1091.5999999999999</v>
      </c>
      <c r="AH94" s="4">
        <f t="shared" si="89"/>
        <v>488.53552000000019</v>
      </c>
      <c r="AI94" s="4">
        <f t="shared" si="89"/>
        <v>630.1473600000005</v>
      </c>
      <c r="AJ94" s="4">
        <f t="shared" si="89"/>
        <v>771.75920000000031</v>
      </c>
      <c r="AK94" s="4">
        <f t="shared" si="89"/>
        <v>913.37104000000033</v>
      </c>
    </row>
    <row r="95" spans="1:37" x14ac:dyDescent="0.25">
      <c r="K95" t="s">
        <v>110</v>
      </c>
      <c r="L95" t="s">
        <v>114</v>
      </c>
      <c r="M95" s="4">
        <f>$E$31</f>
        <v>306.89999999999998</v>
      </c>
      <c r="N95" s="4">
        <f t="shared" ref="N95:AB95" si="90">$E$31</f>
        <v>306.89999999999998</v>
      </c>
      <c r="O95" s="4">
        <f t="shared" si="90"/>
        <v>306.89999999999998</v>
      </c>
      <c r="P95" s="4">
        <f t="shared" si="90"/>
        <v>306.89999999999998</v>
      </c>
      <c r="Q95" s="4">
        <f t="shared" si="90"/>
        <v>306.89999999999998</v>
      </c>
      <c r="R95" s="4">
        <f t="shared" si="90"/>
        <v>306.89999999999998</v>
      </c>
      <c r="S95" s="4">
        <f t="shared" si="90"/>
        <v>306.89999999999998</v>
      </c>
      <c r="T95" s="4">
        <f t="shared" si="90"/>
        <v>306.89999999999998</v>
      </c>
      <c r="U95" s="4">
        <f t="shared" si="90"/>
        <v>306.89999999999998</v>
      </c>
      <c r="V95" s="4">
        <f t="shared" si="90"/>
        <v>306.89999999999998</v>
      </c>
      <c r="W95" s="4">
        <f t="shared" si="90"/>
        <v>306.89999999999998</v>
      </c>
      <c r="X95" s="4">
        <f t="shared" si="90"/>
        <v>306.89999999999998</v>
      </c>
      <c r="Y95" s="4">
        <f t="shared" si="90"/>
        <v>306.89999999999998</v>
      </c>
      <c r="Z95" s="4">
        <f t="shared" si="90"/>
        <v>306.89999999999998</v>
      </c>
      <c r="AA95" s="4">
        <f t="shared" si="90"/>
        <v>306.89999999999998</v>
      </c>
      <c r="AB95" s="4">
        <f t="shared" si="90"/>
        <v>306.89999999999998</v>
      </c>
    </row>
    <row r="96" spans="1:37" x14ac:dyDescent="0.25">
      <c r="E96" s="4">
        <f>SUM(E94+K90)</f>
        <v>1393.0996</v>
      </c>
      <c r="K96" t="s">
        <v>111</v>
      </c>
      <c r="L96" t="s">
        <v>115</v>
      </c>
      <c r="M96" s="4">
        <f>$E$46+SUM(M48:M50)</f>
        <v>172.79999999999998</v>
      </c>
      <c r="N96" s="4">
        <f t="shared" ref="N96:AB96" si="91">$E$46+SUM(N48:N50)</f>
        <v>172.79999999999998</v>
      </c>
      <c r="O96" s="4">
        <f t="shared" si="91"/>
        <v>172.79999999999998</v>
      </c>
      <c r="P96" s="4">
        <f t="shared" si="91"/>
        <v>172.79999999999998</v>
      </c>
      <c r="Q96" s="4">
        <f t="shared" si="91"/>
        <v>172.79999999999998</v>
      </c>
      <c r="R96" s="4">
        <f t="shared" si="91"/>
        <v>172.79999999999998</v>
      </c>
      <c r="S96" s="4">
        <f t="shared" si="91"/>
        <v>172.79999999999998</v>
      </c>
      <c r="T96" s="4">
        <f t="shared" si="91"/>
        <v>172.79999999999998</v>
      </c>
      <c r="U96" s="4">
        <f t="shared" si="91"/>
        <v>172.79999999999998</v>
      </c>
      <c r="V96" s="4">
        <f t="shared" si="91"/>
        <v>172.79999999999998</v>
      </c>
      <c r="W96" s="4">
        <f t="shared" si="91"/>
        <v>172.79999999999998</v>
      </c>
      <c r="X96" s="4">
        <f t="shared" si="91"/>
        <v>172.79999999999998</v>
      </c>
      <c r="Y96" s="4">
        <f t="shared" si="91"/>
        <v>172.79999999999998</v>
      </c>
      <c r="Z96" s="4">
        <f t="shared" si="91"/>
        <v>172.79999999999998</v>
      </c>
      <c r="AA96" s="4">
        <f t="shared" si="91"/>
        <v>172.79999999999998</v>
      </c>
      <c r="AB96" s="4">
        <f t="shared" si="91"/>
        <v>172.79999999999998</v>
      </c>
      <c r="AC96" s="4"/>
      <c r="AD96" s="4"/>
      <c r="AE96" s="4"/>
      <c r="AF96" s="4"/>
      <c r="AG96" s="4"/>
      <c r="AH96" s="4"/>
      <c r="AI96" s="4"/>
      <c r="AJ96" s="4"/>
      <c r="AK96" s="4"/>
    </row>
    <row r="97" spans="5:28" x14ac:dyDescent="0.25">
      <c r="E97" s="4">
        <f>SUM(E18:E30,E33:E45,E48:E62)</f>
        <v>712.25800000000004</v>
      </c>
      <c r="K97" t="s">
        <v>112</v>
      </c>
      <c r="L97" t="s">
        <v>116</v>
      </c>
      <c r="M97" s="4">
        <f>SUM(M51:M69)</f>
        <v>245.8</v>
      </c>
      <c r="N97" s="4">
        <f t="shared" ref="N97:AB97" si="92">SUM(N51:N69)</f>
        <v>245.8</v>
      </c>
      <c r="O97" s="4">
        <f t="shared" si="92"/>
        <v>245.8</v>
      </c>
      <c r="P97" s="4">
        <f t="shared" si="92"/>
        <v>245.8</v>
      </c>
      <c r="Q97" s="4">
        <f t="shared" si="92"/>
        <v>317.14760000000001</v>
      </c>
      <c r="R97" s="4">
        <f t="shared" si="92"/>
        <v>317.14760000000001</v>
      </c>
      <c r="S97" s="4">
        <f t="shared" si="92"/>
        <v>317.14760000000001</v>
      </c>
      <c r="T97" s="4">
        <f t="shared" si="92"/>
        <v>317.14760000000001</v>
      </c>
      <c r="U97" s="4">
        <f t="shared" si="92"/>
        <v>388.45240000000001</v>
      </c>
      <c r="V97" s="4">
        <f t="shared" si="92"/>
        <v>388.45240000000001</v>
      </c>
      <c r="W97" s="4">
        <f t="shared" si="92"/>
        <v>388.45240000000001</v>
      </c>
      <c r="X97" s="4">
        <f t="shared" si="92"/>
        <v>388.45240000000001</v>
      </c>
      <c r="Y97" s="4">
        <f t="shared" si="92"/>
        <v>459.79999999999995</v>
      </c>
      <c r="Z97" s="4">
        <f t="shared" si="92"/>
        <v>459.79999999999995</v>
      </c>
      <c r="AA97" s="4">
        <f t="shared" si="92"/>
        <v>459.79999999999995</v>
      </c>
      <c r="AB97" s="4">
        <f t="shared" si="92"/>
        <v>459.79999999999995</v>
      </c>
    </row>
    <row r="98" spans="5:28" x14ac:dyDescent="0.25">
      <c r="K98" t="s">
        <v>113</v>
      </c>
      <c r="L98" t="s">
        <v>117</v>
      </c>
      <c r="M98" s="4">
        <f>SUM(M70:M92)</f>
        <v>292</v>
      </c>
      <c r="N98" s="4">
        <f t="shared" ref="N98:AB98" si="93">SUM(N70:N92)</f>
        <v>389.3528</v>
      </c>
      <c r="O98" s="4">
        <f t="shared" si="93"/>
        <v>486.64719999999988</v>
      </c>
      <c r="P98" s="4">
        <f t="shared" si="93"/>
        <v>584</v>
      </c>
      <c r="Q98" s="4">
        <f t="shared" si="93"/>
        <v>292</v>
      </c>
      <c r="R98" s="4">
        <f t="shared" si="93"/>
        <v>389.3528</v>
      </c>
      <c r="S98" s="4">
        <f t="shared" si="93"/>
        <v>486.64719999999988</v>
      </c>
      <c r="T98" s="4">
        <f t="shared" si="93"/>
        <v>584</v>
      </c>
      <c r="U98" s="4">
        <f t="shared" si="93"/>
        <v>292</v>
      </c>
      <c r="V98" s="4">
        <f t="shared" si="93"/>
        <v>389.3528</v>
      </c>
      <c r="W98" s="4">
        <f t="shared" si="93"/>
        <v>486.64719999999988</v>
      </c>
      <c r="X98" s="4">
        <f t="shared" si="93"/>
        <v>584</v>
      </c>
      <c r="Y98" s="4">
        <f t="shared" si="93"/>
        <v>292</v>
      </c>
      <c r="Z98" s="4">
        <f t="shared" si="93"/>
        <v>389.3528</v>
      </c>
      <c r="AA98" s="4">
        <f t="shared" si="93"/>
        <v>486.64719999999988</v>
      </c>
      <c r="AB98" s="4">
        <f t="shared" si="93"/>
        <v>584</v>
      </c>
    </row>
    <row r="99" spans="5:28" x14ac:dyDescent="0.25">
      <c r="E99">
        <f>E96/25.4</f>
        <v>54.846440944881891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5:28" x14ac:dyDescent="0.25">
      <c r="L100" t="s">
        <v>101</v>
      </c>
      <c r="M100" s="4">
        <f>SUM(M95:M98)</f>
        <v>1017.5</v>
      </c>
      <c r="N100" s="4">
        <f t="shared" ref="N100:AB100" si="94">SUM(N95:N98)</f>
        <v>1114.8528000000001</v>
      </c>
      <c r="O100" s="4">
        <f t="shared" si="94"/>
        <v>1212.1471999999999</v>
      </c>
      <c r="P100" s="4">
        <f t="shared" si="94"/>
        <v>1309.5</v>
      </c>
      <c r="Q100" s="4">
        <f t="shared" si="94"/>
        <v>1088.8476000000001</v>
      </c>
      <c r="R100" s="4">
        <f t="shared" si="94"/>
        <v>1186.2003999999999</v>
      </c>
      <c r="S100" s="4">
        <f t="shared" si="94"/>
        <v>1283.4947999999999</v>
      </c>
      <c r="T100" s="4">
        <f t="shared" si="94"/>
        <v>1380.8476000000001</v>
      </c>
      <c r="U100" s="4">
        <f t="shared" si="94"/>
        <v>1160.1523999999999</v>
      </c>
      <c r="V100" s="4">
        <f t="shared" si="94"/>
        <v>1257.5052000000001</v>
      </c>
      <c r="W100" s="4">
        <f t="shared" si="94"/>
        <v>1354.7995999999998</v>
      </c>
      <c r="X100" s="4">
        <f t="shared" si="94"/>
        <v>1452.1523999999999</v>
      </c>
      <c r="Y100" s="4">
        <f t="shared" si="94"/>
        <v>1231.5</v>
      </c>
      <c r="Z100" s="4">
        <f t="shared" si="94"/>
        <v>1328.8527999999999</v>
      </c>
      <c r="AA100" s="4">
        <f t="shared" si="94"/>
        <v>1426.1471999999999</v>
      </c>
      <c r="AB100" s="4">
        <f t="shared" si="94"/>
        <v>1523.5</v>
      </c>
    </row>
    <row r="101" spans="5:28" x14ac:dyDescent="0.25">
      <c r="M101" s="4" t="s">
        <v>84</v>
      </c>
      <c r="N101" s="4" t="s">
        <v>85</v>
      </c>
      <c r="O101" t="s">
        <v>86</v>
      </c>
      <c r="P101" t="s">
        <v>87</v>
      </c>
      <c r="Q101" t="s">
        <v>88</v>
      </c>
      <c r="R101" t="s">
        <v>89</v>
      </c>
      <c r="S101" t="s">
        <v>90</v>
      </c>
      <c r="T101" t="s">
        <v>91</v>
      </c>
      <c r="U101" t="s">
        <v>92</v>
      </c>
      <c r="V101" t="s">
        <v>93</v>
      </c>
      <c r="W101" t="s">
        <v>94</v>
      </c>
      <c r="X101" t="s">
        <v>95</v>
      </c>
      <c r="Y101" t="s">
        <v>96</v>
      </c>
      <c r="Z101" t="s">
        <v>97</v>
      </c>
      <c r="AA101" t="s">
        <v>98</v>
      </c>
      <c r="AB101" t="s">
        <v>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39"/>
  <sheetViews>
    <sheetView workbookViewId="0"/>
  </sheetViews>
  <sheetFormatPr defaultRowHeight="15" x14ac:dyDescent="0.25"/>
  <cols>
    <col min="1" max="1" width="10.7109375" bestFit="1" customWidth="1"/>
    <col min="2" max="2" width="24.7109375" bestFit="1" customWidth="1"/>
  </cols>
  <sheetData>
    <row r="3" spans="1:2" x14ac:dyDescent="0.25">
      <c r="A3" s="1">
        <v>42401</v>
      </c>
      <c r="B3" t="s">
        <v>83</v>
      </c>
    </row>
    <row r="4" spans="1:2" x14ac:dyDescent="0.25">
      <c r="A4" s="1">
        <v>42422</v>
      </c>
      <c r="B4" t="s">
        <v>0</v>
      </c>
    </row>
    <row r="5" spans="1:2" x14ac:dyDescent="0.25">
      <c r="A5" s="1">
        <v>42431</v>
      </c>
      <c r="B5" t="s">
        <v>1</v>
      </c>
    </row>
    <row r="6" spans="1:2" x14ac:dyDescent="0.25">
      <c r="A6" s="1">
        <v>42432</v>
      </c>
      <c r="B6" t="s">
        <v>2</v>
      </c>
    </row>
    <row r="7" spans="1:2" x14ac:dyDescent="0.25">
      <c r="A7" s="1">
        <v>42436</v>
      </c>
      <c r="B7" t="s">
        <v>3</v>
      </c>
    </row>
    <row r="8" spans="1:2" x14ac:dyDescent="0.25">
      <c r="A8" s="1">
        <v>42437</v>
      </c>
      <c r="B8" t="s">
        <v>4</v>
      </c>
    </row>
    <row r="9" spans="1:2" x14ac:dyDescent="0.25">
      <c r="A9" s="1">
        <v>42438</v>
      </c>
      <c r="B9" t="s">
        <v>5</v>
      </c>
    </row>
    <row r="10" spans="1:2" x14ac:dyDescent="0.25">
      <c r="A10" s="1">
        <v>42439</v>
      </c>
      <c r="B10" t="s">
        <v>22</v>
      </c>
    </row>
    <row r="11" spans="1:2" x14ac:dyDescent="0.25">
      <c r="A11" s="1">
        <v>42480</v>
      </c>
      <c r="B11" t="s">
        <v>30</v>
      </c>
    </row>
    <row r="12" spans="1:2" x14ac:dyDescent="0.25">
      <c r="A12" s="1">
        <v>42481</v>
      </c>
      <c r="B12" t="s">
        <v>31</v>
      </c>
    </row>
    <row r="13" spans="1:2" x14ac:dyDescent="0.25">
      <c r="A13" s="1">
        <v>42482</v>
      </c>
      <c r="B13" t="s">
        <v>33</v>
      </c>
    </row>
    <row r="14" spans="1:2" x14ac:dyDescent="0.25">
      <c r="A14" s="1">
        <v>42483</v>
      </c>
      <c r="B14" t="s">
        <v>32</v>
      </c>
    </row>
    <row r="15" spans="1:2" x14ac:dyDescent="0.25">
      <c r="A15" s="1">
        <v>42485</v>
      </c>
      <c r="B15" t="s">
        <v>34</v>
      </c>
    </row>
    <row r="16" spans="1:2" x14ac:dyDescent="0.25">
      <c r="A16" s="1">
        <v>42486</v>
      </c>
      <c r="B16" t="s">
        <v>35</v>
      </c>
    </row>
    <row r="17" spans="1:2" x14ac:dyDescent="0.25">
      <c r="A17" s="1">
        <v>42494</v>
      </c>
      <c r="B17" t="s">
        <v>42</v>
      </c>
    </row>
    <row r="18" spans="1:2" x14ac:dyDescent="0.25">
      <c r="A18" s="1">
        <v>42508</v>
      </c>
      <c r="B18" t="s">
        <v>47</v>
      </c>
    </row>
    <row r="19" spans="1:2" x14ac:dyDescent="0.25">
      <c r="A19" s="1">
        <v>42522</v>
      </c>
      <c r="B19" t="s">
        <v>50</v>
      </c>
    </row>
    <row r="20" spans="1:2" x14ac:dyDescent="0.25">
      <c r="A20" s="1">
        <v>42527</v>
      </c>
      <c r="B20" t="s">
        <v>52</v>
      </c>
    </row>
    <row r="21" spans="1:2" x14ac:dyDescent="0.25">
      <c r="A21" s="1">
        <v>42570</v>
      </c>
      <c r="B21" t="s">
        <v>61</v>
      </c>
    </row>
    <row r="22" spans="1:2" x14ac:dyDescent="0.25">
      <c r="A22" s="1">
        <v>42584</v>
      </c>
      <c r="B22" t="s">
        <v>64</v>
      </c>
    </row>
    <row r="23" spans="1:2" x14ac:dyDescent="0.25">
      <c r="A23" s="1">
        <v>42590</v>
      </c>
      <c r="B23" t="s">
        <v>66</v>
      </c>
    </row>
    <row r="24" spans="1:2" x14ac:dyDescent="0.25">
      <c r="A24" s="1">
        <v>42602</v>
      </c>
      <c r="B24" t="s">
        <v>69</v>
      </c>
    </row>
    <row r="25" spans="1:2" x14ac:dyDescent="0.25">
      <c r="A25" s="1">
        <v>42606</v>
      </c>
      <c r="B25" t="s">
        <v>66</v>
      </c>
    </row>
    <row r="26" spans="1:2" x14ac:dyDescent="0.25">
      <c r="A26" s="1">
        <v>42623</v>
      </c>
      <c r="B26" t="s">
        <v>72</v>
      </c>
    </row>
    <row r="27" spans="1:2" x14ac:dyDescent="0.25">
      <c r="A27" s="1">
        <v>42650</v>
      </c>
      <c r="B27" t="s">
        <v>73</v>
      </c>
    </row>
    <row r="28" spans="1:2" x14ac:dyDescent="0.25">
      <c r="A28" s="1">
        <v>42667</v>
      </c>
      <c r="B28" t="s">
        <v>74</v>
      </c>
    </row>
    <row r="29" spans="1:2" x14ac:dyDescent="0.25">
      <c r="A29" s="1">
        <v>42675</v>
      </c>
      <c r="B29" t="s">
        <v>81</v>
      </c>
    </row>
    <row r="30" spans="1:2" x14ac:dyDescent="0.25">
      <c r="A30" s="1">
        <v>42691</v>
      </c>
      <c r="B30" t="s">
        <v>75</v>
      </c>
    </row>
    <row r="31" spans="1:2" x14ac:dyDescent="0.25">
      <c r="A31" s="1">
        <v>42696</v>
      </c>
      <c r="B31" t="s">
        <v>76</v>
      </c>
    </row>
    <row r="32" spans="1:2" x14ac:dyDescent="0.25">
      <c r="A32" s="1">
        <v>42697</v>
      </c>
      <c r="B32" t="s">
        <v>77</v>
      </c>
    </row>
    <row r="33" spans="1:2" x14ac:dyDescent="0.25">
      <c r="A33" s="1">
        <v>42702</v>
      </c>
      <c r="B33" t="s">
        <v>78</v>
      </c>
    </row>
    <row r="34" spans="1:2" x14ac:dyDescent="0.25">
      <c r="A34" s="1">
        <v>42705</v>
      </c>
      <c r="B34" t="s">
        <v>79</v>
      </c>
    </row>
    <row r="35" spans="1:2" x14ac:dyDescent="0.25">
      <c r="A35" s="1">
        <v>42706</v>
      </c>
      <c r="B35" t="s">
        <v>4</v>
      </c>
    </row>
    <row r="36" spans="1:2" x14ac:dyDescent="0.25">
      <c r="A36" s="1">
        <v>42711</v>
      </c>
      <c r="B36" t="s">
        <v>3</v>
      </c>
    </row>
    <row r="37" spans="1:2" x14ac:dyDescent="0.25">
      <c r="A37" s="1">
        <v>42713</v>
      </c>
      <c r="B37" t="s">
        <v>82</v>
      </c>
    </row>
    <row r="38" spans="1:2" x14ac:dyDescent="0.25">
      <c r="B38" t="s">
        <v>4</v>
      </c>
    </row>
    <row r="39" spans="1:2" x14ac:dyDescent="0.25">
      <c r="B39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7D03-EDE4-4E51-8B3D-8BEDF7F5801D}">
  <dimension ref="A1:R68"/>
  <sheetViews>
    <sheetView workbookViewId="0"/>
  </sheetViews>
  <sheetFormatPr defaultRowHeight="15" x14ac:dyDescent="0.25"/>
  <sheetData>
    <row r="1" spans="1:18" x14ac:dyDescent="0.25">
      <c r="A1" t="s">
        <v>118</v>
      </c>
      <c r="B1" t="s">
        <v>9</v>
      </c>
      <c r="C1" s="4" t="s">
        <v>84</v>
      </c>
      <c r="D1" s="4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</row>
    <row r="2" spans="1:18" x14ac:dyDescent="0.25">
      <c r="A2">
        <v>2016</v>
      </c>
      <c r="B2">
        <v>70</v>
      </c>
      <c r="C2" s="4">
        <v>13.4</v>
      </c>
      <c r="D2" s="4">
        <v>13.4</v>
      </c>
      <c r="E2" s="4">
        <v>13.4</v>
      </c>
      <c r="F2" s="4">
        <v>13.4</v>
      </c>
      <c r="G2" s="4">
        <v>13.4</v>
      </c>
      <c r="H2" s="4">
        <v>13.4</v>
      </c>
      <c r="I2" s="4">
        <v>13.4</v>
      </c>
      <c r="J2" s="4">
        <v>13.4</v>
      </c>
      <c r="K2" s="4">
        <v>13.4</v>
      </c>
      <c r="L2" s="4">
        <v>13.4</v>
      </c>
      <c r="M2" s="4">
        <v>13.4</v>
      </c>
      <c r="N2" s="4">
        <v>13.4</v>
      </c>
      <c r="O2" s="4">
        <v>13.4</v>
      </c>
      <c r="P2" s="4">
        <v>13.4</v>
      </c>
      <c r="Q2" s="4">
        <v>13.4</v>
      </c>
      <c r="R2" s="4">
        <v>13.4</v>
      </c>
    </row>
    <row r="3" spans="1:18" x14ac:dyDescent="0.25">
      <c r="A3">
        <v>2016</v>
      </c>
      <c r="B3">
        <v>71</v>
      </c>
      <c r="C3" s="4">
        <v>26.8</v>
      </c>
      <c r="D3" s="4">
        <v>26.8</v>
      </c>
      <c r="E3" s="4">
        <v>26.8</v>
      </c>
      <c r="F3" s="4">
        <v>26.8</v>
      </c>
      <c r="G3" s="4">
        <v>26.8</v>
      </c>
      <c r="H3" s="4">
        <v>26.8</v>
      </c>
      <c r="I3" s="4">
        <v>26.8</v>
      </c>
      <c r="J3" s="4">
        <v>26.8</v>
      </c>
      <c r="K3" s="4">
        <v>26.8</v>
      </c>
      <c r="L3" s="4">
        <v>26.8</v>
      </c>
      <c r="M3" s="4">
        <v>26.8</v>
      </c>
      <c r="N3" s="4">
        <v>26.8</v>
      </c>
      <c r="O3" s="4">
        <v>26.8</v>
      </c>
      <c r="P3" s="4">
        <v>26.8</v>
      </c>
      <c r="Q3" s="4">
        <v>26.8</v>
      </c>
      <c r="R3" s="4">
        <v>26.8</v>
      </c>
    </row>
    <row r="4" spans="1:18" x14ac:dyDescent="0.25">
      <c r="A4">
        <v>2016</v>
      </c>
      <c r="B4">
        <v>74</v>
      </c>
      <c r="C4" s="4">
        <v>20.100000000000001</v>
      </c>
      <c r="D4" s="4">
        <v>20.100000000000001</v>
      </c>
      <c r="E4" s="4">
        <v>20.100000000000001</v>
      </c>
      <c r="F4" s="4">
        <v>20.100000000000001</v>
      </c>
      <c r="G4" s="4">
        <v>20.100000000000001</v>
      </c>
      <c r="H4" s="4">
        <v>20.100000000000001</v>
      </c>
      <c r="I4" s="4">
        <v>20.100000000000001</v>
      </c>
      <c r="J4" s="4">
        <v>20.100000000000001</v>
      </c>
      <c r="K4" s="4">
        <v>20.100000000000001</v>
      </c>
      <c r="L4" s="4">
        <v>20.100000000000001</v>
      </c>
      <c r="M4" s="4">
        <v>20.100000000000001</v>
      </c>
      <c r="N4" s="4">
        <v>20.100000000000001</v>
      </c>
      <c r="O4" s="4">
        <v>20.100000000000001</v>
      </c>
      <c r="P4" s="4">
        <v>20.100000000000001</v>
      </c>
      <c r="Q4" s="4">
        <v>20.100000000000001</v>
      </c>
      <c r="R4" s="4">
        <v>20.100000000000001</v>
      </c>
    </row>
    <row r="5" spans="1:18" x14ac:dyDescent="0.25">
      <c r="A5">
        <v>2016</v>
      </c>
      <c r="B5">
        <v>75</v>
      </c>
      <c r="C5" s="4">
        <v>20.100000000000001</v>
      </c>
      <c r="D5" s="4">
        <v>20.100000000000001</v>
      </c>
      <c r="E5" s="4">
        <v>20.100000000000001</v>
      </c>
      <c r="F5" s="4">
        <v>20.100000000000001</v>
      </c>
      <c r="G5" s="4">
        <v>20.100000000000001</v>
      </c>
      <c r="H5" s="4">
        <v>20.100000000000001</v>
      </c>
      <c r="I5" s="4">
        <v>20.100000000000001</v>
      </c>
      <c r="J5" s="4">
        <v>20.100000000000001</v>
      </c>
      <c r="K5" s="4">
        <v>20.100000000000001</v>
      </c>
      <c r="L5" s="4">
        <v>20.100000000000001</v>
      </c>
      <c r="M5" s="4">
        <v>20.100000000000001</v>
      </c>
      <c r="N5" s="4">
        <v>20.100000000000001</v>
      </c>
      <c r="O5" s="4">
        <v>20.100000000000001</v>
      </c>
      <c r="P5" s="4">
        <v>20.100000000000001</v>
      </c>
      <c r="Q5" s="4">
        <v>20.100000000000001</v>
      </c>
      <c r="R5" s="4">
        <v>20.100000000000001</v>
      </c>
    </row>
    <row r="6" spans="1:18" x14ac:dyDescent="0.25">
      <c r="A6">
        <v>2016</v>
      </c>
      <c r="B6">
        <v>76</v>
      </c>
      <c r="C6" s="4">
        <v>23.5</v>
      </c>
      <c r="D6" s="4">
        <v>23.5</v>
      </c>
      <c r="E6" s="4">
        <v>23.5</v>
      </c>
      <c r="F6" s="4">
        <v>23.5</v>
      </c>
      <c r="G6" s="4">
        <v>23.5</v>
      </c>
      <c r="H6" s="4">
        <v>23.5</v>
      </c>
      <c r="I6" s="4">
        <v>23.5</v>
      </c>
      <c r="J6" s="4">
        <v>23.5</v>
      </c>
      <c r="K6" s="4">
        <v>23.5</v>
      </c>
      <c r="L6" s="4">
        <v>23.5</v>
      </c>
      <c r="M6" s="4">
        <v>23.5</v>
      </c>
      <c r="N6" s="4">
        <v>23.5</v>
      </c>
      <c r="O6" s="4">
        <v>23.5</v>
      </c>
      <c r="P6" s="4">
        <v>23.5</v>
      </c>
      <c r="Q6" s="4">
        <v>23.5</v>
      </c>
      <c r="R6" s="4">
        <v>23.5</v>
      </c>
    </row>
    <row r="7" spans="1:18" x14ac:dyDescent="0.25">
      <c r="A7">
        <v>2016</v>
      </c>
      <c r="B7">
        <v>77</v>
      </c>
      <c r="C7" s="4">
        <v>26.8</v>
      </c>
      <c r="D7" s="4">
        <v>26.8</v>
      </c>
      <c r="E7" s="4">
        <v>26.8</v>
      </c>
      <c r="F7" s="4">
        <v>26.8</v>
      </c>
      <c r="G7" s="4">
        <v>26.8</v>
      </c>
      <c r="H7" s="4">
        <v>26.8</v>
      </c>
      <c r="I7" s="4">
        <v>26.8</v>
      </c>
      <c r="J7" s="4">
        <v>26.8</v>
      </c>
      <c r="K7" s="4">
        <v>26.8</v>
      </c>
      <c r="L7" s="4">
        <v>26.8</v>
      </c>
      <c r="M7" s="4">
        <v>26.8</v>
      </c>
      <c r="N7" s="4">
        <v>26.8</v>
      </c>
      <c r="O7" s="4">
        <v>26.8</v>
      </c>
      <c r="P7" s="4">
        <v>26.8</v>
      </c>
      <c r="Q7" s="4">
        <v>26.8</v>
      </c>
      <c r="R7" s="4">
        <v>26.8</v>
      </c>
    </row>
    <row r="8" spans="1:18" x14ac:dyDescent="0.25">
      <c r="A8">
        <v>2016</v>
      </c>
      <c r="B8">
        <v>78</v>
      </c>
      <c r="C8" s="4">
        <v>20.100000000000001</v>
      </c>
      <c r="D8" s="4">
        <v>20.100000000000001</v>
      </c>
      <c r="E8" s="4">
        <v>20.100000000000001</v>
      </c>
      <c r="F8" s="4">
        <v>20.100000000000001</v>
      </c>
      <c r="G8" s="4">
        <v>20.100000000000001</v>
      </c>
      <c r="H8" s="4">
        <v>20.100000000000001</v>
      </c>
      <c r="I8" s="4">
        <v>20.100000000000001</v>
      </c>
      <c r="J8" s="4">
        <v>20.100000000000001</v>
      </c>
      <c r="K8" s="4">
        <v>20.100000000000001</v>
      </c>
      <c r="L8" s="4">
        <v>20.100000000000001</v>
      </c>
      <c r="M8" s="4">
        <v>20.100000000000001</v>
      </c>
      <c r="N8" s="4">
        <v>20.100000000000001</v>
      </c>
      <c r="O8" s="4">
        <v>20.100000000000001</v>
      </c>
      <c r="P8" s="4">
        <v>20.100000000000001</v>
      </c>
      <c r="Q8" s="4">
        <v>20.100000000000001</v>
      </c>
      <c r="R8" s="4">
        <v>20.100000000000001</v>
      </c>
    </row>
    <row r="9" spans="1:18" x14ac:dyDescent="0.25">
      <c r="A9">
        <v>2016</v>
      </c>
      <c r="B9">
        <v>81</v>
      </c>
      <c r="C9" s="4">
        <v>20.100000000000001</v>
      </c>
      <c r="D9" s="4">
        <v>20.100000000000001</v>
      </c>
      <c r="E9" s="4">
        <v>20.100000000000001</v>
      </c>
      <c r="F9" s="4">
        <v>20.100000000000001</v>
      </c>
      <c r="G9" s="4">
        <v>20.100000000000001</v>
      </c>
      <c r="H9" s="4">
        <v>20.100000000000001</v>
      </c>
      <c r="I9" s="4">
        <v>20.100000000000001</v>
      </c>
      <c r="J9" s="4">
        <v>20.100000000000001</v>
      </c>
      <c r="K9" s="4">
        <v>20.100000000000001</v>
      </c>
      <c r="L9" s="4">
        <v>20.100000000000001</v>
      </c>
      <c r="M9" s="4">
        <v>20.100000000000001</v>
      </c>
      <c r="N9" s="4">
        <v>20.100000000000001</v>
      </c>
      <c r="O9" s="4">
        <v>20.100000000000001</v>
      </c>
      <c r="P9" s="4">
        <v>20.100000000000001</v>
      </c>
      <c r="Q9" s="4">
        <v>20.100000000000001</v>
      </c>
      <c r="R9" s="4">
        <v>20.100000000000001</v>
      </c>
    </row>
    <row r="10" spans="1:18" x14ac:dyDescent="0.25">
      <c r="A10">
        <v>2016</v>
      </c>
      <c r="B10">
        <v>91</v>
      </c>
      <c r="C10" s="4">
        <v>16</v>
      </c>
      <c r="D10" s="4">
        <v>16</v>
      </c>
      <c r="E10" s="4">
        <v>16</v>
      </c>
      <c r="F10" s="4">
        <v>16</v>
      </c>
      <c r="G10" s="4">
        <v>16</v>
      </c>
      <c r="H10" s="4">
        <v>16</v>
      </c>
      <c r="I10" s="4">
        <v>16</v>
      </c>
      <c r="J10" s="4">
        <v>16</v>
      </c>
      <c r="K10" s="4">
        <v>16</v>
      </c>
      <c r="L10" s="4">
        <v>16</v>
      </c>
      <c r="M10" s="4">
        <v>16</v>
      </c>
      <c r="N10" s="4">
        <v>16</v>
      </c>
      <c r="O10" s="4">
        <v>16</v>
      </c>
      <c r="P10" s="4">
        <v>16</v>
      </c>
      <c r="Q10" s="4">
        <v>16</v>
      </c>
      <c r="R10" s="4">
        <v>16</v>
      </c>
    </row>
    <row r="11" spans="1:18" x14ac:dyDescent="0.25">
      <c r="A11">
        <v>2016</v>
      </c>
      <c r="B11">
        <v>92</v>
      </c>
      <c r="C11" s="4">
        <v>24</v>
      </c>
      <c r="D11" s="4">
        <v>24</v>
      </c>
      <c r="E11" s="4">
        <v>24</v>
      </c>
      <c r="F11" s="4">
        <v>24</v>
      </c>
      <c r="G11" s="4">
        <v>24</v>
      </c>
      <c r="H11" s="4">
        <v>24</v>
      </c>
      <c r="I11" s="4">
        <v>24</v>
      </c>
      <c r="J11" s="4">
        <v>24</v>
      </c>
      <c r="K11" s="4">
        <v>24</v>
      </c>
      <c r="L11" s="4">
        <v>24</v>
      </c>
      <c r="M11" s="4">
        <v>24</v>
      </c>
      <c r="N11" s="4">
        <v>24</v>
      </c>
      <c r="O11" s="4">
        <v>24</v>
      </c>
      <c r="P11" s="4">
        <v>24</v>
      </c>
      <c r="Q11" s="4">
        <v>24</v>
      </c>
      <c r="R11" s="4">
        <v>24</v>
      </c>
    </row>
    <row r="12" spans="1:18" x14ac:dyDescent="0.25">
      <c r="A12">
        <v>2016</v>
      </c>
      <c r="B12">
        <v>95</v>
      </c>
      <c r="C12" s="4">
        <v>32</v>
      </c>
      <c r="D12" s="4">
        <v>32</v>
      </c>
      <c r="E12" s="4">
        <v>32</v>
      </c>
      <c r="F12" s="4">
        <v>32</v>
      </c>
      <c r="G12" s="4">
        <v>32</v>
      </c>
      <c r="H12" s="4">
        <v>32</v>
      </c>
      <c r="I12" s="4">
        <v>32</v>
      </c>
      <c r="J12" s="4">
        <v>32</v>
      </c>
      <c r="K12" s="4">
        <v>32</v>
      </c>
      <c r="L12" s="4">
        <v>32</v>
      </c>
      <c r="M12" s="4">
        <v>32</v>
      </c>
      <c r="N12" s="4">
        <v>32</v>
      </c>
      <c r="O12" s="4">
        <v>32</v>
      </c>
      <c r="P12" s="4">
        <v>32</v>
      </c>
      <c r="Q12" s="4">
        <v>32</v>
      </c>
      <c r="R12" s="4">
        <v>32</v>
      </c>
    </row>
    <row r="13" spans="1:18" x14ac:dyDescent="0.25">
      <c r="A13">
        <v>2016</v>
      </c>
      <c r="B13">
        <v>96</v>
      </c>
      <c r="C13" s="4">
        <v>32</v>
      </c>
      <c r="D13" s="4">
        <v>32</v>
      </c>
      <c r="E13" s="4">
        <v>32</v>
      </c>
      <c r="F13" s="4">
        <v>32</v>
      </c>
      <c r="G13" s="4">
        <v>32</v>
      </c>
      <c r="H13" s="4">
        <v>32</v>
      </c>
      <c r="I13" s="4">
        <v>32</v>
      </c>
      <c r="J13" s="4">
        <v>32</v>
      </c>
      <c r="K13" s="4">
        <v>32</v>
      </c>
      <c r="L13" s="4">
        <v>32</v>
      </c>
      <c r="M13" s="4">
        <v>32</v>
      </c>
      <c r="N13" s="4">
        <v>32</v>
      </c>
      <c r="O13" s="4">
        <v>32</v>
      </c>
      <c r="P13" s="4">
        <v>32</v>
      </c>
      <c r="Q13" s="4">
        <v>32</v>
      </c>
      <c r="R13" s="4">
        <v>32</v>
      </c>
    </row>
    <row r="14" spans="1:18" x14ac:dyDescent="0.25">
      <c r="A14">
        <v>2016</v>
      </c>
      <c r="B14">
        <v>97</v>
      </c>
      <c r="C14" s="4">
        <v>32</v>
      </c>
      <c r="D14" s="4">
        <v>32</v>
      </c>
      <c r="E14" s="4">
        <v>32</v>
      </c>
      <c r="F14" s="4">
        <v>32</v>
      </c>
      <c r="G14" s="4">
        <v>32</v>
      </c>
      <c r="H14" s="4">
        <v>32</v>
      </c>
      <c r="I14" s="4">
        <v>32</v>
      </c>
      <c r="J14" s="4">
        <v>32</v>
      </c>
      <c r="K14" s="4">
        <v>32</v>
      </c>
      <c r="L14" s="4">
        <v>32</v>
      </c>
      <c r="M14" s="4">
        <v>32</v>
      </c>
      <c r="N14" s="4">
        <v>32</v>
      </c>
      <c r="O14" s="4">
        <v>32</v>
      </c>
      <c r="P14" s="4">
        <v>32</v>
      </c>
      <c r="Q14" s="4">
        <v>32</v>
      </c>
      <c r="R14" s="4">
        <v>32</v>
      </c>
    </row>
    <row r="15" spans="1:18" x14ac:dyDescent="0.25">
      <c r="A15">
        <v>2016</v>
      </c>
      <c r="B15">
        <v>117</v>
      </c>
      <c r="C15" s="4">
        <v>8</v>
      </c>
      <c r="D15" s="4">
        <v>8</v>
      </c>
      <c r="E15" s="4">
        <v>8</v>
      </c>
      <c r="F15" s="4">
        <v>8</v>
      </c>
      <c r="G15" s="4">
        <v>8</v>
      </c>
      <c r="H15" s="4">
        <v>8</v>
      </c>
      <c r="I15" s="4">
        <v>8</v>
      </c>
      <c r="J15" s="4">
        <v>8</v>
      </c>
      <c r="K15" s="4">
        <v>8</v>
      </c>
      <c r="L15" s="4">
        <v>8</v>
      </c>
      <c r="M15" s="4">
        <v>8</v>
      </c>
      <c r="N15" s="4">
        <v>8</v>
      </c>
      <c r="O15" s="4">
        <v>8</v>
      </c>
      <c r="P15" s="4">
        <v>8</v>
      </c>
      <c r="Q15" s="4">
        <v>8</v>
      </c>
      <c r="R15" s="4">
        <v>8</v>
      </c>
    </row>
    <row r="16" spans="1:18" x14ac:dyDescent="0.25">
      <c r="A16">
        <v>2016</v>
      </c>
      <c r="B16">
        <v>118</v>
      </c>
      <c r="C16" s="4">
        <v>24</v>
      </c>
      <c r="D16" s="4">
        <v>24</v>
      </c>
      <c r="E16" s="4">
        <v>24</v>
      </c>
      <c r="F16" s="4">
        <v>24</v>
      </c>
      <c r="G16" s="4">
        <v>24</v>
      </c>
      <c r="H16" s="4">
        <v>24</v>
      </c>
      <c r="I16" s="4">
        <v>24</v>
      </c>
      <c r="J16" s="4">
        <v>24</v>
      </c>
      <c r="K16" s="4">
        <v>24</v>
      </c>
      <c r="L16" s="4">
        <v>24</v>
      </c>
      <c r="M16" s="4">
        <v>24</v>
      </c>
      <c r="N16" s="4">
        <v>24</v>
      </c>
      <c r="O16" s="4">
        <v>24</v>
      </c>
      <c r="P16" s="4">
        <v>24</v>
      </c>
      <c r="Q16" s="4">
        <v>24</v>
      </c>
      <c r="R16" s="4">
        <v>24</v>
      </c>
    </row>
    <row r="17" spans="1:18" x14ac:dyDescent="0.25">
      <c r="A17">
        <v>2016</v>
      </c>
      <c r="B17">
        <v>119</v>
      </c>
      <c r="C17" s="4">
        <v>27.9</v>
      </c>
      <c r="D17" s="4">
        <v>27.9</v>
      </c>
      <c r="E17" s="4">
        <v>27.9</v>
      </c>
      <c r="F17" s="4">
        <v>27.9</v>
      </c>
      <c r="G17" s="4">
        <v>27.9</v>
      </c>
      <c r="H17" s="4">
        <v>27.9</v>
      </c>
      <c r="I17" s="4">
        <v>27.9</v>
      </c>
      <c r="J17" s="4">
        <v>27.9</v>
      </c>
      <c r="K17" s="4">
        <v>27.9</v>
      </c>
      <c r="L17" s="4">
        <v>27.9</v>
      </c>
      <c r="M17" s="4">
        <v>27.9</v>
      </c>
      <c r="N17" s="4">
        <v>27.9</v>
      </c>
      <c r="O17" s="4">
        <v>27.9</v>
      </c>
      <c r="P17" s="4">
        <v>27.9</v>
      </c>
      <c r="Q17" s="4">
        <v>27.9</v>
      </c>
      <c r="R17" s="4">
        <v>27.9</v>
      </c>
    </row>
    <row r="18" spans="1:18" x14ac:dyDescent="0.25">
      <c r="A18">
        <v>2016</v>
      </c>
      <c r="B18">
        <v>120</v>
      </c>
      <c r="C18" s="4">
        <v>15.9</v>
      </c>
      <c r="D18" s="4">
        <v>15.9</v>
      </c>
      <c r="E18" s="4">
        <v>15.9</v>
      </c>
      <c r="F18" s="4">
        <v>15.9</v>
      </c>
      <c r="G18" s="4">
        <v>15.9</v>
      </c>
      <c r="H18" s="4">
        <v>15.9</v>
      </c>
      <c r="I18" s="4">
        <v>15.9</v>
      </c>
      <c r="J18" s="4">
        <v>15.9</v>
      </c>
      <c r="K18" s="4">
        <v>15.9</v>
      </c>
      <c r="L18" s="4">
        <v>15.9</v>
      </c>
      <c r="M18" s="4">
        <v>15.9</v>
      </c>
      <c r="N18" s="4">
        <v>15.9</v>
      </c>
      <c r="O18" s="4">
        <v>15.9</v>
      </c>
      <c r="P18" s="4">
        <v>15.9</v>
      </c>
      <c r="Q18" s="4">
        <v>15.9</v>
      </c>
      <c r="R18" s="4">
        <v>15.9</v>
      </c>
    </row>
    <row r="19" spans="1:18" x14ac:dyDescent="0.25">
      <c r="A19">
        <v>2016</v>
      </c>
      <c r="B19">
        <v>125</v>
      </c>
      <c r="C19" s="4">
        <v>12.6</v>
      </c>
      <c r="D19" s="4">
        <v>12.6</v>
      </c>
      <c r="E19" s="4">
        <v>12.6</v>
      </c>
      <c r="F19" s="4">
        <v>12.6</v>
      </c>
      <c r="G19" s="4">
        <v>12.6</v>
      </c>
      <c r="H19" s="4">
        <v>12.6</v>
      </c>
      <c r="I19" s="4">
        <v>12.6</v>
      </c>
      <c r="J19" s="4">
        <v>12.6</v>
      </c>
      <c r="K19" s="4">
        <v>12.6</v>
      </c>
      <c r="L19" s="4">
        <v>12.6</v>
      </c>
      <c r="M19" s="4">
        <v>12.6</v>
      </c>
      <c r="N19" s="4">
        <v>12.6</v>
      </c>
      <c r="O19" s="4">
        <v>12.6</v>
      </c>
      <c r="P19" s="4">
        <v>12.6</v>
      </c>
      <c r="Q19" s="4">
        <v>12.6</v>
      </c>
      <c r="R19" s="4">
        <v>12.6</v>
      </c>
    </row>
    <row r="20" spans="1:18" x14ac:dyDescent="0.25">
      <c r="A20">
        <v>2016</v>
      </c>
      <c r="B20">
        <v>127</v>
      </c>
      <c r="C20" s="4">
        <v>12.6</v>
      </c>
      <c r="D20" s="4">
        <v>12.6</v>
      </c>
      <c r="E20" s="4">
        <v>12.6</v>
      </c>
      <c r="F20" s="4">
        <v>12.6</v>
      </c>
      <c r="G20" s="4">
        <v>12.6</v>
      </c>
      <c r="H20" s="4">
        <v>12.6</v>
      </c>
      <c r="I20" s="4">
        <v>12.6</v>
      </c>
      <c r="J20" s="4">
        <v>12.6</v>
      </c>
      <c r="K20" s="4">
        <v>12.6</v>
      </c>
      <c r="L20" s="4">
        <v>12.6</v>
      </c>
      <c r="M20" s="4">
        <v>12.6</v>
      </c>
      <c r="N20" s="4">
        <v>12.6</v>
      </c>
      <c r="O20" s="4">
        <v>12.6</v>
      </c>
      <c r="P20" s="4">
        <v>12.6</v>
      </c>
      <c r="Q20" s="4">
        <v>12.6</v>
      </c>
      <c r="R20" s="4">
        <v>12.6</v>
      </c>
    </row>
    <row r="21" spans="1:18" x14ac:dyDescent="0.25">
      <c r="A21">
        <v>2016</v>
      </c>
      <c r="B21">
        <v>130</v>
      </c>
      <c r="C21" s="4">
        <v>8</v>
      </c>
      <c r="D21" s="4">
        <v>8</v>
      </c>
      <c r="E21" s="4">
        <v>8</v>
      </c>
      <c r="F21" s="4">
        <v>8</v>
      </c>
      <c r="G21" s="4">
        <v>8</v>
      </c>
      <c r="H21" s="4">
        <v>8</v>
      </c>
      <c r="I21" s="4">
        <v>8</v>
      </c>
      <c r="J21" s="4">
        <v>8</v>
      </c>
      <c r="K21" s="4">
        <v>8</v>
      </c>
      <c r="L21" s="4">
        <v>8</v>
      </c>
      <c r="M21" s="4">
        <v>8</v>
      </c>
      <c r="N21" s="4">
        <v>8</v>
      </c>
      <c r="O21" s="4">
        <v>8</v>
      </c>
      <c r="P21" s="4">
        <v>8</v>
      </c>
      <c r="Q21" s="4">
        <v>8</v>
      </c>
      <c r="R21" s="4">
        <v>8</v>
      </c>
    </row>
    <row r="22" spans="1:18" x14ac:dyDescent="0.25">
      <c r="A22">
        <v>2016</v>
      </c>
      <c r="B22">
        <v>132</v>
      </c>
      <c r="C22" s="4">
        <v>8</v>
      </c>
      <c r="D22" s="4">
        <v>8</v>
      </c>
      <c r="E22" s="4">
        <v>8</v>
      </c>
      <c r="F22" s="4">
        <v>8</v>
      </c>
      <c r="G22" s="4">
        <v>8</v>
      </c>
      <c r="H22" s="4">
        <v>8</v>
      </c>
      <c r="I22" s="4">
        <v>8</v>
      </c>
      <c r="J22" s="4">
        <v>8</v>
      </c>
      <c r="K22" s="4">
        <v>8</v>
      </c>
      <c r="L22" s="4">
        <v>8</v>
      </c>
      <c r="M22" s="4">
        <v>8</v>
      </c>
      <c r="N22" s="4">
        <v>8</v>
      </c>
      <c r="O22" s="4">
        <v>8</v>
      </c>
      <c r="P22" s="4">
        <v>8</v>
      </c>
      <c r="Q22" s="4">
        <v>8</v>
      </c>
      <c r="R22" s="4">
        <v>8</v>
      </c>
    </row>
    <row r="23" spans="1:18" x14ac:dyDescent="0.25">
      <c r="A23">
        <v>2016</v>
      </c>
      <c r="B23">
        <v>135</v>
      </c>
      <c r="C23" s="4">
        <v>8</v>
      </c>
      <c r="D23" s="4">
        <v>8</v>
      </c>
      <c r="E23" s="4">
        <v>8</v>
      </c>
      <c r="F23" s="4">
        <v>8</v>
      </c>
      <c r="G23" s="4">
        <v>8</v>
      </c>
      <c r="H23" s="4">
        <v>8</v>
      </c>
      <c r="I23" s="4">
        <v>8</v>
      </c>
      <c r="J23" s="4">
        <v>8</v>
      </c>
      <c r="K23" s="4">
        <v>8</v>
      </c>
      <c r="L23" s="4">
        <v>8</v>
      </c>
      <c r="M23" s="4">
        <v>8</v>
      </c>
      <c r="N23" s="4">
        <v>8</v>
      </c>
      <c r="O23" s="4">
        <v>8</v>
      </c>
      <c r="P23" s="4">
        <v>8</v>
      </c>
      <c r="Q23" s="4">
        <v>8</v>
      </c>
      <c r="R23" s="4">
        <v>8</v>
      </c>
    </row>
    <row r="24" spans="1:18" x14ac:dyDescent="0.25">
      <c r="A24">
        <v>2016</v>
      </c>
      <c r="B24">
        <v>148</v>
      </c>
      <c r="C24" s="4">
        <v>16</v>
      </c>
      <c r="D24" s="4">
        <v>16</v>
      </c>
      <c r="E24" s="4">
        <v>16</v>
      </c>
      <c r="F24" s="4">
        <v>16</v>
      </c>
      <c r="G24" s="4">
        <v>16</v>
      </c>
      <c r="H24" s="4">
        <v>16</v>
      </c>
      <c r="I24" s="4">
        <v>16</v>
      </c>
      <c r="J24" s="4">
        <v>16</v>
      </c>
      <c r="K24" s="4">
        <v>16</v>
      </c>
      <c r="L24" s="4">
        <v>16</v>
      </c>
      <c r="M24" s="4">
        <v>16</v>
      </c>
      <c r="N24" s="4">
        <v>16</v>
      </c>
      <c r="O24" s="4">
        <v>16</v>
      </c>
      <c r="P24" s="4">
        <v>16</v>
      </c>
      <c r="Q24" s="4">
        <v>16</v>
      </c>
      <c r="R24" s="4">
        <v>16</v>
      </c>
    </row>
    <row r="25" spans="1:18" x14ac:dyDescent="0.25">
      <c r="A25">
        <v>2016</v>
      </c>
      <c r="B25">
        <v>154</v>
      </c>
      <c r="C25" s="4">
        <v>15.9</v>
      </c>
      <c r="D25" s="4">
        <v>15.9</v>
      </c>
      <c r="E25" s="4">
        <v>15.9</v>
      </c>
      <c r="F25" s="4">
        <v>15.9</v>
      </c>
      <c r="G25" s="4">
        <v>15.9</v>
      </c>
      <c r="H25" s="4">
        <v>15.9</v>
      </c>
      <c r="I25" s="4">
        <v>15.9</v>
      </c>
      <c r="J25" s="4">
        <v>15.9</v>
      </c>
      <c r="K25" s="4">
        <v>15.9</v>
      </c>
      <c r="L25" s="4">
        <v>15.9</v>
      </c>
      <c r="M25" s="4">
        <v>15.9</v>
      </c>
      <c r="N25" s="4">
        <v>15.9</v>
      </c>
      <c r="O25" s="4">
        <v>15.9</v>
      </c>
      <c r="P25" s="4">
        <v>15.9</v>
      </c>
      <c r="Q25" s="4">
        <v>15.9</v>
      </c>
      <c r="R25" s="4">
        <v>15.9</v>
      </c>
    </row>
    <row r="26" spans="1:18" x14ac:dyDescent="0.25">
      <c r="A26">
        <v>2016</v>
      </c>
      <c r="B26">
        <v>155</v>
      </c>
      <c r="C26" s="4">
        <v>15.9</v>
      </c>
      <c r="D26" s="4">
        <v>15.9</v>
      </c>
      <c r="E26" s="4">
        <v>15.9</v>
      </c>
      <c r="F26" s="4">
        <v>15.9</v>
      </c>
      <c r="G26" s="4">
        <v>15.9</v>
      </c>
      <c r="H26" s="4">
        <v>15.9</v>
      </c>
      <c r="I26" s="4">
        <v>15.9</v>
      </c>
      <c r="J26" s="4">
        <v>15.9</v>
      </c>
      <c r="K26" s="4">
        <v>15.9</v>
      </c>
      <c r="L26" s="4">
        <v>15.9</v>
      </c>
      <c r="M26" s="4">
        <v>15.9</v>
      </c>
      <c r="N26" s="4">
        <v>15.9</v>
      </c>
      <c r="O26" s="4">
        <v>15.9</v>
      </c>
      <c r="P26" s="4">
        <v>15.9</v>
      </c>
      <c r="Q26" s="4">
        <v>15.9</v>
      </c>
      <c r="R26" s="4">
        <v>15.9</v>
      </c>
    </row>
    <row r="27" spans="1:18" x14ac:dyDescent="0.25">
      <c r="A27">
        <v>2016</v>
      </c>
      <c r="B27">
        <v>160</v>
      </c>
      <c r="C27" s="4">
        <v>12</v>
      </c>
      <c r="D27" s="4">
        <v>12</v>
      </c>
      <c r="E27" s="4">
        <v>12</v>
      </c>
      <c r="F27" s="4">
        <v>12</v>
      </c>
      <c r="G27" s="4">
        <v>16.000799999999998</v>
      </c>
      <c r="H27" s="4">
        <v>16.000799999999998</v>
      </c>
      <c r="I27" s="4">
        <v>16.000799999999998</v>
      </c>
      <c r="J27" s="4">
        <v>16.000799999999998</v>
      </c>
      <c r="K27" s="4">
        <v>19.999200000000002</v>
      </c>
      <c r="L27" s="4">
        <v>19.999200000000002</v>
      </c>
      <c r="M27" s="4">
        <v>19.999200000000002</v>
      </c>
      <c r="N27" s="4">
        <v>19.999200000000002</v>
      </c>
      <c r="O27" s="4">
        <v>24</v>
      </c>
      <c r="P27" s="4">
        <v>24</v>
      </c>
      <c r="Q27" s="4">
        <v>24</v>
      </c>
      <c r="R27" s="4">
        <v>24</v>
      </c>
    </row>
    <row r="28" spans="1:18" x14ac:dyDescent="0.25">
      <c r="A28">
        <v>2016</v>
      </c>
      <c r="B28">
        <v>161</v>
      </c>
      <c r="C28" s="4">
        <v>8</v>
      </c>
      <c r="D28" s="4">
        <v>8</v>
      </c>
      <c r="E28" s="4">
        <v>8</v>
      </c>
      <c r="F28" s="4">
        <v>8</v>
      </c>
      <c r="G28" s="4">
        <v>10.667199999999999</v>
      </c>
      <c r="H28" s="4">
        <v>10.667199999999999</v>
      </c>
      <c r="I28" s="4">
        <v>10.667199999999999</v>
      </c>
      <c r="J28" s="4">
        <v>10.667199999999999</v>
      </c>
      <c r="K28" s="4">
        <v>13.332800000000001</v>
      </c>
      <c r="L28" s="4">
        <v>13.332800000000001</v>
      </c>
      <c r="M28" s="4">
        <v>13.332800000000001</v>
      </c>
      <c r="N28" s="4">
        <v>13.332800000000001</v>
      </c>
      <c r="O28" s="4">
        <v>16</v>
      </c>
      <c r="P28" s="4">
        <v>16</v>
      </c>
      <c r="Q28" s="4">
        <v>16</v>
      </c>
      <c r="R28" s="4">
        <v>16</v>
      </c>
    </row>
    <row r="29" spans="1:18" x14ac:dyDescent="0.25">
      <c r="A29">
        <v>2016</v>
      </c>
      <c r="B29">
        <v>162</v>
      </c>
      <c r="C29" s="4">
        <v>8</v>
      </c>
      <c r="D29" s="4">
        <v>8</v>
      </c>
      <c r="E29" s="4">
        <v>8</v>
      </c>
      <c r="F29" s="4">
        <v>8</v>
      </c>
      <c r="G29" s="4">
        <v>10.667199999999999</v>
      </c>
      <c r="H29" s="4">
        <v>10.667199999999999</v>
      </c>
      <c r="I29" s="4">
        <v>10.667199999999999</v>
      </c>
      <c r="J29" s="4">
        <v>10.667199999999999</v>
      </c>
      <c r="K29" s="4">
        <v>13.332800000000001</v>
      </c>
      <c r="L29" s="4">
        <v>13.332800000000001</v>
      </c>
      <c r="M29" s="4">
        <v>13.332800000000001</v>
      </c>
      <c r="N29" s="4">
        <v>13.332800000000001</v>
      </c>
      <c r="O29" s="4">
        <v>16</v>
      </c>
      <c r="P29" s="4">
        <v>16</v>
      </c>
      <c r="Q29" s="4">
        <v>16</v>
      </c>
      <c r="R29" s="4">
        <v>16</v>
      </c>
    </row>
    <row r="30" spans="1:18" x14ac:dyDescent="0.25">
      <c r="A30">
        <v>2016</v>
      </c>
      <c r="B30">
        <v>167</v>
      </c>
      <c r="C30" s="4">
        <v>12</v>
      </c>
      <c r="D30" s="4">
        <v>12</v>
      </c>
      <c r="E30" s="4">
        <v>12</v>
      </c>
      <c r="F30" s="4">
        <v>12</v>
      </c>
      <c r="G30" s="4">
        <v>16.000799999999998</v>
      </c>
      <c r="H30" s="4">
        <v>16.000799999999998</v>
      </c>
      <c r="I30" s="4">
        <v>16.000799999999998</v>
      </c>
      <c r="J30" s="4">
        <v>16.000799999999998</v>
      </c>
      <c r="K30" s="4">
        <v>19.999200000000002</v>
      </c>
      <c r="L30" s="4">
        <v>19.999200000000002</v>
      </c>
      <c r="M30" s="4">
        <v>19.999200000000002</v>
      </c>
      <c r="N30" s="4">
        <v>19.999200000000002</v>
      </c>
      <c r="O30" s="4">
        <v>24</v>
      </c>
      <c r="P30" s="4">
        <v>24</v>
      </c>
      <c r="Q30" s="4">
        <v>24</v>
      </c>
      <c r="R30" s="4">
        <v>24</v>
      </c>
    </row>
    <row r="31" spans="1:18" x14ac:dyDescent="0.25">
      <c r="A31">
        <v>2016</v>
      </c>
      <c r="B31">
        <v>168</v>
      </c>
      <c r="C31" s="4">
        <v>15.9</v>
      </c>
      <c r="D31" s="4">
        <v>15.9</v>
      </c>
      <c r="E31" s="4">
        <v>15.9</v>
      </c>
      <c r="F31" s="4">
        <v>15.9</v>
      </c>
      <c r="G31" s="4">
        <v>15.9</v>
      </c>
      <c r="H31" s="4">
        <v>15.9</v>
      </c>
      <c r="I31" s="4">
        <v>15.9</v>
      </c>
      <c r="J31" s="4">
        <v>15.9</v>
      </c>
      <c r="K31" s="4">
        <v>15.9</v>
      </c>
      <c r="L31" s="4">
        <v>15.9</v>
      </c>
      <c r="M31" s="4">
        <v>15.9</v>
      </c>
      <c r="N31" s="4">
        <v>15.9</v>
      </c>
      <c r="O31" s="4">
        <v>15.9</v>
      </c>
      <c r="P31" s="4">
        <v>15.9</v>
      </c>
      <c r="Q31" s="4">
        <v>15.9</v>
      </c>
      <c r="R31" s="4">
        <v>15.9</v>
      </c>
    </row>
    <row r="32" spans="1:18" x14ac:dyDescent="0.25">
      <c r="A32">
        <v>2016</v>
      </c>
      <c r="B32">
        <v>168</v>
      </c>
      <c r="C32" s="4">
        <v>4</v>
      </c>
      <c r="D32" s="4">
        <v>4</v>
      </c>
      <c r="E32" s="4">
        <v>4</v>
      </c>
      <c r="F32" s="4">
        <v>4</v>
      </c>
      <c r="G32" s="4">
        <v>5.3335999999999997</v>
      </c>
      <c r="H32" s="4">
        <v>5.3335999999999997</v>
      </c>
      <c r="I32" s="4">
        <v>5.3335999999999997</v>
      </c>
      <c r="J32" s="4">
        <v>5.3335999999999997</v>
      </c>
      <c r="K32" s="4">
        <v>6.6664000000000003</v>
      </c>
      <c r="L32" s="4">
        <v>6.6664000000000003</v>
      </c>
      <c r="M32" s="4">
        <v>6.6664000000000003</v>
      </c>
      <c r="N32" s="4">
        <v>6.6664000000000003</v>
      </c>
      <c r="O32" s="4">
        <v>8</v>
      </c>
      <c r="P32" s="4">
        <v>8</v>
      </c>
      <c r="Q32" s="4">
        <v>8</v>
      </c>
      <c r="R32" s="4">
        <v>8</v>
      </c>
    </row>
    <row r="33" spans="1:18" x14ac:dyDescent="0.25">
      <c r="A33">
        <v>2016</v>
      </c>
      <c r="B33">
        <v>169</v>
      </c>
      <c r="C33" s="4">
        <v>10</v>
      </c>
      <c r="D33" s="4">
        <v>10</v>
      </c>
      <c r="E33" s="4">
        <v>10</v>
      </c>
      <c r="F33" s="4">
        <v>10</v>
      </c>
      <c r="G33" s="4">
        <v>13.334</v>
      </c>
      <c r="H33" s="4">
        <v>13.334</v>
      </c>
      <c r="I33" s="4">
        <v>13.334</v>
      </c>
      <c r="J33" s="4">
        <v>13.334</v>
      </c>
      <c r="K33" s="4">
        <v>16.666</v>
      </c>
      <c r="L33" s="4">
        <v>16.666</v>
      </c>
      <c r="M33" s="4">
        <v>16.666</v>
      </c>
      <c r="N33" s="4">
        <v>16.666</v>
      </c>
      <c r="O33" s="4">
        <v>20</v>
      </c>
      <c r="P33" s="4">
        <v>20</v>
      </c>
      <c r="Q33" s="4">
        <v>20</v>
      </c>
      <c r="R33" s="4">
        <v>20</v>
      </c>
    </row>
    <row r="34" spans="1:18" x14ac:dyDescent="0.25">
      <c r="A34">
        <v>2016</v>
      </c>
      <c r="B34">
        <v>174</v>
      </c>
      <c r="C34" s="4">
        <v>16</v>
      </c>
      <c r="D34" s="4">
        <v>16</v>
      </c>
      <c r="E34" s="4">
        <v>16</v>
      </c>
      <c r="F34" s="4">
        <v>16</v>
      </c>
      <c r="G34" s="4">
        <v>21.334399999999999</v>
      </c>
      <c r="H34" s="4">
        <v>21.334399999999999</v>
      </c>
      <c r="I34" s="4">
        <v>21.334399999999999</v>
      </c>
      <c r="J34" s="4">
        <v>21.334399999999999</v>
      </c>
      <c r="K34" s="4">
        <v>26.665600000000001</v>
      </c>
      <c r="L34" s="4">
        <v>26.665600000000001</v>
      </c>
      <c r="M34" s="4">
        <v>26.665600000000001</v>
      </c>
      <c r="N34" s="4">
        <v>26.665600000000001</v>
      </c>
      <c r="O34" s="4">
        <v>32</v>
      </c>
      <c r="P34" s="4">
        <v>32</v>
      </c>
      <c r="Q34" s="4">
        <v>32</v>
      </c>
      <c r="R34" s="4">
        <v>32</v>
      </c>
    </row>
    <row r="35" spans="1:18" x14ac:dyDescent="0.25">
      <c r="A35">
        <v>2016</v>
      </c>
      <c r="B35">
        <v>175</v>
      </c>
      <c r="C35" s="4">
        <v>16</v>
      </c>
      <c r="D35" s="4">
        <v>16</v>
      </c>
      <c r="E35" s="4">
        <v>16</v>
      </c>
      <c r="F35" s="4">
        <v>16</v>
      </c>
      <c r="G35" s="4">
        <v>21.334399999999999</v>
      </c>
      <c r="H35" s="4">
        <v>21.334399999999999</v>
      </c>
      <c r="I35" s="4">
        <v>21.334399999999999</v>
      </c>
      <c r="J35" s="4">
        <v>21.334399999999999</v>
      </c>
      <c r="K35" s="4">
        <v>26.665600000000001</v>
      </c>
      <c r="L35" s="4">
        <v>26.665600000000001</v>
      </c>
      <c r="M35" s="4">
        <v>26.665600000000001</v>
      </c>
      <c r="N35" s="4">
        <v>26.665600000000001</v>
      </c>
      <c r="O35" s="4">
        <v>32</v>
      </c>
      <c r="P35" s="4">
        <v>32</v>
      </c>
      <c r="Q35" s="4">
        <v>32</v>
      </c>
      <c r="R35" s="4">
        <v>32</v>
      </c>
    </row>
    <row r="36" spans="1:18" x14ac:dyDescent="0.25">
      <c r="A36">
        <v>2016</v>
      </c>
      <c r="B36">
        <v>176</v>
      </c>
      <c r="C36" s="4">
        <v>12</v>
      </c>
      <c r="D36" s="4">
        <v>12</v>
      </c>
      <c r="E36" s="4">
        <v>12</v>
      </c>
      <c r="F36" s="4">
        <v>12</v>
      </c>
      <c r="G36" s="4">
        <v>16.000799999999998</v>
      </c>
      <c r="H36" s="4">
        <v>16.000799999999998</v>
      </c>
      <c r="I36" s="4">
        <v>16.000799999999998</v>
      </c>
      <c r="J36" s="4">
        <v>16.000799999999998</v>
      </c>
      <c r="K36" s="4">
        <v>19.999200000000002</v>
      </c>
      <c r="L36" s="4">
        <v>19.999200000000002</v>
      </c>
      <c r="M36" s="4">
        <v>19.999200000000002</v>
      </c>
      <c r="N36" s="4">
        <v>19.999200000000002</v>
      </c>
      <c r="O36" s="4">
        <v>24</v>
      </c>
      <c r="P36" s="4">
        <v>24</v>
      </c>
      <c r="Q36" s="4">
        <v>24</v>
      </c>
      <c r="R36" s="4">
        <v>24</v>
      </c>
    </row>
    <row r="37" spans="1:18" x14ac:dyDescent="0.25">
      <c r="A37">
        <v>2016</v>
      </c>
      <c r="B37">
        <v>181</v>
      </c>
      <c r="C37" s="4">
        <v>16</v>
      </c>
      <c r="D37" s="4">
        <v>16</v>
      </c>
      <c r="E37" s="4">
        <v>16</v>
      </c>
      <c r="F37" s="4">
        <v>16</v>
      </c>
      <c r="G37" s="4">
        <v>21.334399999999999</v>
      </c>
      <c r="H37" s="4">
        <v>21.334399999999999</v>
      </c>
      <c r="I37" s="4">
        <v>21.334399999999999</v>
      </c>
      <c r="J37" s="4">
        <v>21.334399999999999</v>
      </c>
      <c r="K37" s="4">
        <v>26.665600000000001</v>
      </c>
      <c r="L37" s="4">
        <v>26.665600000000001</v>
      </c>
      <c r="M37" s="4">
        <v>26.665600000000001</v>
      </c>
      <c r="N37" s="4">
        <v>26.665600000000001</v>
      </c>
      <c r="O37" s="4">
        <v>32</v>
      </c>
      <c r="P37" s="4">
        <v>32</v>
      </c>
      <c r="Q37" s="4">
        <v>32</v>
      </c>
      <c r="R37" s="4">
        <v>32</v>
      </c>
    </row>
    <row r="38" spans="1:18" x14ac:dyDescent="0.25">
      <c r="A38">
        <v>2016</v>
      </c>
      <c r="B38">
        <v>182</v>
      </c>
      <c r="C38" s="4">
        <v>16</v>
      </c>
      <c r="D38" s="4">
        <v>16</v>
      </c>
      <c r="E38" s="4">
        <v>16</v>
      </c>
      <c r="F38" s="4">
        <v>16</v>
      </c>
      <c r="G38" s="4">
        <v>21.334399999999999</v>
      </c>
      <c r="H38" s="4">
        <v>21.334399999999999</v>
      </c>
      <c r="I38" s="4">
        <v>21.334399999999999</v>
      </c>
      <c r="J38" s="4">
        <v>21.334399999999999</v>
      </c>
      <c r="K38" s="4">
        <v>26.665600000000001</v>
      </c>
      <c r="L38" s="4">
        <v>26.665600000000001</v>
      </c>
      <c r="M38" s="4">
        <v>26.665600000000001</v>
      </c>
      <c r="N38" s="4">
        <v>26.665600000000001</v>
      </c>
      <c r="O38" s="4">
        <v>32</v>
      </c>
      <c r="P38" s="4">
        <v>32</v>
      </c>
      <c r="Q38" s="4">
        <v>32</v>
      </c>
      <c r="R38" s="4">
        <v>32</v>
      </c>
    </row>
    <row r="39" spans="1:18" x14ac:dyDescent="0.25">
      <c r="A39">
        <v>2016</v>
      </c>
      <c r="B39">
        <v>183</v>
      </c>
      <c r="C39" s="4">
        <v>12</v>
      </c>
      <c r="D39" s="4">
        <v>12</v>
      </c>
      <c r="E39" s="4">
        <v>12</v>
      </c>
      <c r="F39" s="4">
        <v>12</v>
      </c>
      <c r="G39" s="4">
        <v>16.000799999999998</v>
      </c>
      <c r="H39" s="4">
        <v>16.000799999999998</v>
      </c>
      <c r="I39" s="4">
        <v>16.000799999999998</v>
      </c>
      <c r="J39" s="4">
        <v>16.000799999999998</v>
      </c>
      <c r="K39" s="4">
        <v>19.999200000000002</v>
      </c>
      <c r="L39" s="4">
        <v>19.999200000000002</v>
      </c>
      <c r="M39" s="4">
        <v>19.999200000000002</v>
      </c>
      <c r="N39" s="4">
        <v>19.999200000000002</v>
      </c>
      <c r="O39" s="4">
        <v>24</v>
      </c>
      <c r="P39" s="4">
        <v>24</v>
      </c>
      <c r="Q39" s="4">
        <v>24</v>
      </c>
      <c r="R39" s="4">
        <v>24</v>
      </c>
    </row>
    <row r="40" spans="1:18" x14ac:dyDescent="0.25">
      <c r="A40">
        <v>2016</v>
      </c>
      <c r="B40">
        <v>188</v>
      </c>
      <c r="C40" s="4">
        <v>16</v>
      </c>
      <c r="D40" s="4">
        <v>16</v>
      </c>
      <c r="E40" s="4">
        <v>16</v>
      </c>
      <c r="F40" s="4">
        <v>16</v>
      </c>
      <c r="G40" s="4">
        <v>21.334399999999999</v>
      </c>
      <c r="H40" s="4">
        <v>21.334399999999999</v>
      </c>
      <c r="I40" s="4">
        <v>21.334399999999999</v>
      </c>
      <c r="J40" s="4">
        <v>21.334399999999999</v>
      </c>
      <c r="K40" s="4">
        <v>26.665600000000001</v>
      </c>
      <c r="L40" s="4">
        <v>26.665600000000001</v>
      </c>
      <c r="M40" s="4">
        <v>26.665600000000001</v>
      </c>
      <c r="N40" s="4">
        <v>26.665600000000001</v>
      </c>
      <c r="O40" s="4">
        <v>32</v>
      </c>
      <c r="P40" s="4">
        <v>32</v>
      </c>
      <c r="Q40" s="4">
        <v>32</v>
      </c>
      <c r="R40" s="4">
        <v>32</v>
      </c>
    </row>
    <row r="41" spans="1:18" x14ac:dyDescent="0.25">
      <c r="A41">
        <v>2016</v>
      </c>
      <c r="B41">
        <v>189</v>
      </c>
      <c r="C41" s="4">
        <v>12</v>
      </c>
      <c r="D41" s="4">
        <v>12</v>
      </c>
      <c r="E41" s="4">
        <v>12</v>
      </c>
      <c r="F41" s="4">
        <v>12</v>
      </c>
      <c r="G41" s="4">
        <v>16.000799999999998</v>
      </c>
      <c r="H41" s="4">
        <v>16.000799999999998</v>
      </c>
      <c r="I41" s="4">
        <v>16.000799999999998</v>
      </c>
      <c r="J41" s="4">
        <v>16.000799999999998</v>
      </c>
      <c r="K41" s="4">
        <v>19.999200000000002</v>
      </c>
      <c r="L41" s="4">
        <v>19.999200000000002</v>
      </c>
      <c r="M41" s="4">
        <v>19.999200000000002</v>
      </c>
      <c r="N41" s="4">
        <v>19.999200000000002</v>
      </c>
      <c r="O41" s="4">
        <v>24</v>
      </c>
      <c r="P41" s="4">
        <v>24</v>
      </c>
      <c r="Q41" s="4">
        <v>24</v>
      </c>
      <c r="R41" s="4">
        <v>24</v>
      </c>
    </row>
    <row r="42" spans="1:18" x14ac:dyDescent="0.25">
      <c r="A42">
        <v>2016</v>
      </c>
      <c r="B42">
        <v>190</v>
      </c>
      <c r="C42" s="4">
        <v>15.9</v>
      </c>
      <c r="D42" s="4">
        <v>15.9</v>
      </c>
      <c r="E42" s="4">
        <v>15.9</v>
      </c>
      <c r="F42" s="4">
        <v>15.9</v>
      </c>
      <c r="G42" s="4">
        <v>15.9</v>
      </c>
      <c r="H42" s="4">
        <v>15.9</v>
      </c>
      <c r="I42" s="4">
        <v>15.9</v>
      </c>
      <c r="J42" s="4">
        <v>15.9</v>
      </c>
      <c r="K42" s="4">
        <v>15.9</v>
      </c>
      <c r="L42" s="4">
        <v>15.9</v>
      </c>
      <c r="M42" s="4">
        <v>15.9</v>
      </c>
      <c r="N42" s="4">
        <v>15.9</v>
      </c>
      <c r="O42" s="4">
        <v>15.9</v>
      </c>
      <c r="P42" s="4">
        <v>15.9</v>
      </c>
      <c r="Q42" s="4">
        <v>15.9</v>
      </c>
      <c r="R42" s="4">
        <v>15.9</v>
      </c>
    </row>
    <row r="43" spans="1:18" x14ac:dyDescent="0.25">
      <c r="A43">
        <v>2016</v>
      </c>
      <c r="B43">
        <v>195</v>
      </c>
      <c r="C43" s="4">
        <v>16</v>
      </c>
      <c r="D43" s="4">
        <v>16</v>
      </c>
      <c r="E43" s="4">
        <v>16</v>
      </c>
      <c r="F43" s="4">
        <v>16</v>
      </c>
      <c r="G43" s="4">
        <v>21.334399999999999</v>
      </c>
      <c r="H43" s="4">
        <v>21.334399999999999</v>
      </c>
      <c r="I43" s="4">
        <v>21.334399999999999</v>
      </c>
      <c r="J43" s="4">
        <v>21.334399999999999</v>
      </c>
      <c r="K43" s="4">
        <v>26.665600000000001</v>
      </c>
      <c r="L43" s="4">
        <v>26.665600000000001</v>
      </c>
      <c r="M43" s="4">
        <v>26.665600000000001</v>
      </c>
      <c r="N43" s="4">
        <v>26.665600000000001</v>
      </c>
      <c r="O43" s="4">
        <v>32</v>
      </c>
      <c r="P43" s="4">
        <v>32</v>
      </c>
      <c r="Q43" s="4">
        <v>32</v>
      </c>
      <c r="R43" s="4">
        <v>32</v>
      </c>
    </row>
    <row r="44" spans="1:18" x14ac:dyDescent="0.25">
      <c r="A44">
        <v>2016</v>
      </c>
      <c r="B44">
        <v>196</v>
      </c>
      <c r="C44" s="4">
        <v>16</v>
      </c>
      <c r="D44" s="4">
        <v>16</v>
      </c>
      <c r="E44" s="4">
        <v>16</v>
      </c>
      <c r="F44" s="4">
        <v>16</v>
      </c>
      <c r="G44" s="4">
        <v>21.334399999999999</v>
      </c>
      <c r="H44" s="4">
        <v>21.334399999999999</v>
      </c>
      <c r="I44" s="4">
        <v>21.334399999999999</v>
      </c>
      <c r="J44" s="4">
        <v>21.334399999999999</v>
      </c>
      <c r="K44" s="4">
        <v>26.665600000000001</v>
      </c>
      <c r="L44" s="4">
        <v>26.665600000000001</v>
      </c>
      <c r="M44" s="4">
        <v>26.665600000000001</v>
      </c>
      <c r="N44" s="4">
        <v>26.665600000000001</v>
      </c>
      <c r="O44" s="4">
        <v>32</v>
      </c>
      <c r="P44" s="4">
        <v>32</v>
      </c>
      <c r="Q44" s="4">
        <v>32</v>
      </c>
      <c r="R44" s="4">
        <v>32</v>
      </c>
    </row>
    <row r="45" spans="1:18" x14ac:dyDescent="0.25">
      <c r="A45">
        <v>2016</v>
      </c>
      <c r="B45">
        <v>197</v>
      </c>
      <c r="C45" s="4">
        <v>12</v>
      </c>
      <c r="D45" s="4">
        <v>12</v>
      </c>
      <c r="E45" s="4">
        <v>12</v>
      </c>
      <c r="F45" s="4">
        <v>12</v>
      </c>
      <c r="G45" s="4">
        <v>16.000799999999998</v>
      </c>
      <c r="H45" s="4">
        <v>16.000799999999998</v>
      </c>
      <c r="I45" s="4">
        <v>16.000799999999998</v>
      </c>
      <c r="J45" s="4">
        <v>16.000799999999998</v>
      </c>
      <c r="K45" s="4">
        <v>19.999200000000002</v>
      </c>
      <c r="L45" s="4">
        <v>19.999200000000002</v>
      </c>
      <c r="M45" s="4">
        <v>19.999200000000002</v>
      </c>
      <c r="N45" s="4">
        <v>19.999200000000002</v>
      </c>
      <c r="O45" s="4">
        <v>24</v>
      </c>
      <c r="P45" s="4">
        <v>24</v>
      </c>
      <c r="Q45" s="4">
        <v>24</v>
      </c>
      <c r="R45" s="4">
        <v>24</v>
      </c>
    </row>
    <row r="46" spans="1:18" x14ac:dyDescent="0.25">
      <c r="A46">
        <v>2016</v>
      </c>
      <c r="B46">
        <v>202</v>
      </c>
      <c r="C46" s="4">
        <v>14</v>
      </c>
      <c r="D46" s="4">
        <v>18.6676</v>
      </c>
      <c r="E46" s="4">
        <v>23.3324</v>
      </c>
      <c r="F46" s="4">
        <v>28</v>
      </c>
      <c r="G46" s="4">
        <v>14</v>
      </c>
      <c r="H46" s="4">
        <v>18.6676</v>
      </c>
      <c r="I46" s="4">
        <v>23.3324</v>
      </c>
      <c r="J46" s="4">
        <v>28</v>
      </c>
      <c r="K46" s="4">
        <v>14</v>
      </c>
      <c r="L46" s="4">
        <v>18.6676</v>
      </c>
      <c r="M46" s="4">
        <v>23.3324</v>
      </c>
      <c r="N46" s="4">
        <v>28</v>
      </c>
      <c r="O46" s="4">
        <v>14</v>
      </c>
      <c r="P46" s="4">
        <v>18.6676</v>
      </c>
      <c r="Q46" s="4">
        <v>23.3324</v>
      </c>
      <c r="R46" s="4">
        <v>28</v>
      </c>
    </row>
    <row r="47" spans="1:18" x14ac:dyDescent="0.25">
      <c r="A47">
        <v>2016</v>
      </c>
      <c r="B47">
        <v>203</v>
      </c>
      <c r="C47" s="4">
        <v>16</v>
      </c>
      <c r="D47" s="4">
        <v>21.334399999999999</v>
      </c>
      <c r="E47" s="4">
        <v>26.665600000000001</v>
      </c>
      <c r="F47" s="4">
        <v>32</v>
      </c>
      <c r="G47" s="4">
        <v>16</v>
      </c>
      <c r="H47" s="4">
        <v>21.334399999999999</v>
      </c>
      <c r="I47" s="4">
        <v>26.665600000000001</v>
      </c>
      <c r="J47" s="4">
        <v>32</v>
      </c>
      <c r="K47" s="4">
        <v>16</v>
      </c>
      <c r="L47" s="4">
        <v>21.334399999999999</v>
      </c>
      <c r="M47" s="4">
        <v>26.665600000000001</v>
      </c>
      <c r="N47" s="4">
        <v>32</v>
      </c>
      <c r="O47" s="4">
        <v>16</v>
      </c>
      <c r="P47" s="4">
        <v>21.334399999999999</v>
      </c>
      <c r="Q47" s="4">
        <v>26.665600000000001</v>
      </c>
      <c r="R47" s="4">
        <v>32</v>
      </c>
    </row>
    <row r="48" spans="1:18" x14ac:dyDescent="0.25">
      <c r="A48">
        <v>2016</v>
      </c>
      <c r="B48">
        <v>204</v>
      </c>
      <c r="C48" s="4">
        <v>12</v>
      </c>
      <c r="D48" s="4">
        <v>16.000799999999998</v>
      </c>
      <c r="E48" s="4">
        <v>19.999200000000002</v>
      </c>
      <c r="F48" s="4">
        <v>24</v>
      </c>
      <c r="G48" s="4">
        <v>12</v>
      </c>
      <c r="H48" s="4">
        <v>16.000799999999998</v>
      </c>
      <c r="I48" s="4">
        <v>19.999200000000002</v>
      </c>
      <c r="J48" s="4">
        <v>24</v>
      </c>
      <c r="K48" s="4">
        <v>12</v>
      </c>
      <c r="L48" s="4">
        <v>16.000799999999998</v>
      </c>
      <c r="M48" s="4">
        <v>19.999200000000002</v>
      </c>
      <c r="N48" s="4">
        <v>24</v>
      </c>
      <c r="O48" s="4">
        <v>12</v>
      </c>
      <c r="P48" s="4">
        <v>16.000799999999998</v>
      </c>
      <c r="Q48" s="4">
        <v>19.999200000000002</v>
      </c>
      <c r="R48" s="4">
        <v>24</v>
      </c>
    </row>
    <row r="49" spans="1:18" x14ac:dyDescent="0.25">
      <c r="A49">
        <v>2016</v>
      </c>
      <c r="B49">
        <v>209</v>
      </c>
      <c r="C49" s="4">
        <v>16</v>
      </c>
      <c r="D49" s="4">
        <v>21.334399999999999</v>
      </c>
      <c r="E49" s="4">
        <v>26.665600000000001</v>
      </c>
      <c r="F49" s="4">
        <v>32</v>
      </c>
      <c r="G49" s="4">
        <v>16</v>
      </c>
      <c r="H49" s="4">
        <v>21.334399999999999</v>
      </c>
      <c r="I49" s="4">
        <v>26.665600000000001</v>
      </c>
      <c r="J49" s="4">
        <v>32</v>
      </c>
      <c r="K49" s="4">
        <v>16</v>
      </c>
      <c r="L49" s="4">
        <v>21.334399999999999</v>
      </c>
      <c r="M49" s="4">
        <v>26.665600000000001</v>
      </c>
      <c r="N49" s="4">
        <v>32</v>
      </c>
      <c r="O49" s="4">
        <v>16</v>
      </c>
      <c r="P49" s="4">
        <v>21.334399999999999</v>
      </c>
      <c r="Q49" s="4">
        <v>26.665600000000001</v>
      </c>
      <c r="R49" s="4">
        <v>32</v>
      </c>
    </row>
    <row r="50" spans="1:18" x14ac:dyDescent="0.25">
      <c r="A50">
        <v>2016</v>
      </c>
      <c r="B50">
        <v>210</v>
      </c>
      <c r="C50" s="4">
        <v>16</v>
      </c>
      <c r="D50" s="4">
        <v>21.334399999999999</v>
      </c>
      <c r="E50" s="4">
        <v>26.665600000000001</v>
      </c>
      <c r="F50" s="4">
        <v>32</v>
      </c>
      <c r="G50" s="4">
        <v>16</v>
      </c>
      <c r="H50" s="4">
        <v>21.334399999999999</v>
      </c>
      <c r="I50" s="4">
        <v>26.665600000000001</v>
      </c>
      <c r="J50" s="4">
        <v>32</v>
      </c>
      <c r="K50" s="4">
        <v>16</v>
      </c>
      <c r="L50" s="4">
        <v>21.334399999999999</v>
      </c>
      <c r="M50" s="4">
        <v>26.665600000000001</v>
      </c>
      <c r="N50" s="4">
        <v>32</v>
      </c>
      <c r="O50" s="4">
        <v>16</v>
      </c>
      <c r="P50" s="4">
        <v>21.334399999999999</v>
      </c>
      <c r="Q50" s="4">
        <v>26.665600000000001</v>
      </c>
      <c r="R50" s="4">
        <v>32</v>
      </c>
    </row>
    <row r="51" spans="1:18" x14ac:dyDescent="0.25">
      <c r="A51">
        <v>2016</v>
      </c>
      <c r="B51">
        <v>211</v>
      </c>
      <c r="C51" s="4">
        <v>12</v>
      </c>
      <c r="D51" s="4">
        <v>16.000799999999998</v>
      </c>
      <c r="E51" s="4">
        <v>19.999200000000002</v>
      </c>
      <c r="F51" s="4">
        <v>24</v>
      </c>
      <c r="G51" s="4">
        <v>12</v>
      </c>
      <c r="H51" s="4">
        <v>16.000799999999998</v>
      </c>
      <c r="I51" s="4">
        <v>19.999200000000002</v>
      </c>
      <c r="J51" s="4">
        <v>24</v>
      </c>
      <c r="K51" s="4">
        <v>12</v>
      </c>
      <c r="L51" s="4">
        <v>16.000799999999998</v>
      </c>
      <c r="M51" s="4">
        <v>19.999200000000002</v>
      </c>
      <c r="N51" s="4">
        <v>24</v>
      </c>
      <c r="O51" s="4">
        <v>12</v>
      </c>
      <c r="P51" s="4">
        <v>16.000799999999998</v>
      </c>
      <c r="Q51" s="4">
        <v>19.999200000000002</v>
      </c>
      <c r="R51" s="4">
        <v>24</v>
      </c>
    </row>
    <row r="52" spans="1:18" x14ac:dyDescent="0.25">
      <c r="A52">
        <v>2016</v>
      </c>
      <c r="B52">
        <v>216</v>
      </c>
      <c r="C52" s="4">
        <v>10</v>
      </c>
      <c r="D52" s="4">
        <v>13.334</v>
      </c>
      <c r="E52" s="4">
        <v>16.666</v>
      </c>
      <c r="F52" s="4">
        <v>20</v>
      </c>
      <c r="G52" s="4">
        <v>10</v>
      </c>
      <c r="H52" s="4">
        <v>13.334</v>
      </c>
      <c r="I52" s="4">
        <v>16.666</v>
      </c>
      <c r="J52" s="4">
        <v>20</v>
      </c>
      <c r="K52" s="4">
        <v>10</v>
      </c>
      <c r="L52" s="4">
        <v>13.334</v>
      </c>
      <c r="M52" s="4">
        <v>16.666</v>
      </c>
      <c r="N52" s="4">
        <v>20</v>
      </c>
      <c r="O52" s="4">
        <v>10</v>
      </c>
      <c r="P52" s="4">
        <v>13.334</v>
      </c>
      <c r="Q52" s="4">
        <v>16.666</v>
      </c>
      <c r="R52" s="4">
        <v>20</v>
      </c>
    </row>
    <row r="53" spans="1:18" x14ac:dyDescent="0.25">
      <c r="A53">
        <v>2016</v>
      </c>
      <c r="B53">
        <v>217</v>
      </c>
      <c r="C53" s="4">
        <v>16</v>
      </c>
      <c r="D53" s="4">
        <v>21.334399999999999</v>
      </c>
      <c r="E53" s="4">
        <v>26.665600000000001</v>
      </c>
      <c r="F53" s="4">
        <v>32</v>
      </c>
      <c r="G53" s="4">
        <v>16</v>
      </c>
      <c r="H53" s="4">
        <v>21.334399999999999</v>
      </c>
      <c r="I53" s="4">
        <v>26.665600000000001</v>
      </c>
      <c r="J53" s="4">
        <v>32</v>
      </c>
      <c r="K53" s="4">
        <v>16</v>
      </c>
      <c r="L53" s="4">
        <v>21.334399999999999</v>
      </c>
      <c r="M53" s="4">
        <v>26.665600000000001</v>
      </c>
      <c r="N53" s="4">
        <v>32</v>
      </c>
      <c r="O53" s="4">
        <v>16</v>
      </c>
      <c r="P53" s="4">
        <v>21.334399999999999</v>
      </c>
      <c r="Q53" s="4">
        <v>26.665600000000001</v>
      </c>
      <c r="R53" s="4">
        <v>32</v>
      </c>
    </row>
    <row r="54" spans="1:18" x14ac:dyDescent="0.25">
      <c r="A54">
        <v>2016</v>
      </c>
      <c r="B54">
        <v>218</v>
      </c>
      <c r="C54" s="4">
        <v>10</v>
      </c>
      <c r="D54" s="4">
        <v>13.334</v>
      </c>
      <c r="E54" s="4">
        <v>16.666</v>
      </c>
      <c r="F54" s="4">
        <v>20</v>
      </c>
      <c r="G54" s="4">
        <v>10</v>
      </c>
      <c r="H54" s="4">
        <v>13.334</v>
      </c>
      <c r="I54" s="4">
        <v>16.666</v>
      </c>
      <c r="J54" s="4">
        <v>20</v>
      </c>
      <c r="K54" s="4">
        <v>10</v>
      </c>
      <c r="L54" s="4">
        <v>13.334</v>
      </c>
      <c r="M54" s="4">
        <v>16.666</v>
      </c>
      <c r="N54" s="4">
        <v>20</v>
      </c>
      <c r="O54" s="4">
        <v>10</v>
      </c>
      <c r="P54" s="4">
        <v>13.334</v>
      </c>
      <c r="Q54" s="4">
        <v>16.666</v>
      </c>
      <c r="R54" s="4">
        <v>20</v>
      </c>
    </row>
    <row r="55" spans="1:18" x14ac:dyDescent="0.25">
      <c r="A55">
        <v>2016</v>
      </c>
      <c r="B55">
        <v>223</v>
      </c>
      <c r="C55" s="4">
        <v>8</v>
      </c>
      <c r="D55" s="4">
        <v>10.667199999999999</v>
      </c>
      <c r="E55" s="4">
        <v>13.332800000000001</v>
      </c>
      <c r="F55" s="4">
        <v>16</v>
      </c>
      <c r="G55" s="4">
        <v>8</v>
      </c>
      <c r="H55" s="4">
        <v>10.667199999999999</v>
      </c>
      <c r="I55" s="4">
        <v>13.332800000000001</v>
      </c>
      <c r="J55" s="4">
        <v>16</v>
      </c>
      <c r="K55" s="4">
        <v>8</v>
      </c>
      <c r="L55" s="4">
        <v>10.667199999999999</v>
      </c>
      <c r="M55" s="4">
        <v>13.332800000000001</v>
      </c>
      <c r="N55" s="4">
        <v>16</v>
      </c>
      <c r="O55" s="4">
        <v>8</v>
      </c>
      <c r="P55" s="4">
        <v>10.667199999999999</v>
      </c>
      <c r="Q55" s="4">
        <v>13.332800000000001</v>
      </c>
      <c r="R55" s="4">
        <v>16</v>
      </c>
    </row>
    <row r="56" spans="1:18" x14ac:dyDescent="0.25">
      <c r="A56">
        <v>2016</v>
      </c>
      <c r="B56">
        <v>224</v>
      </c>
      <c r="C56" s="4">
        <v>12</v>
      </c>
      <c r="D56" s="4">
        <v>16.000799999999998</v>
      </c>
      <c r="E56" s="4">
        <v>19.999200000000002</v>
      </c>
      <c r="F56" s="4">
        <v>24</v>
      </c>
      <c r="G56" s="4">
        <v>12</v>
      </c>
      <c r="H56" s="4">
        <v>16.000799999999998</v>
      </c>
      <c r="I56" s="4">
        <v>19.999200000000002</v>
      </c>
      <c r="J56" s="4">
        <v>24</v>
      </c>
      <c r="K56" s="4">
        <v>12</v>
      </c>
      <c r="L56" s="4">
        <v>16.000799999999998</v>
      </c>
      <c r="M56" s="4">
        <v>19.999200000000002</v>
      </c>
      <c r="N56" s="4">
        <v>24</v>
      </c>
      <c r="O56" s="4">
        <v>12</v>
      </c>
      <c r="P56" s="4">
        <v>16.000799999999998</v>
      </c>
      <c r="Q56" s="4">
        <v>19.999200000000002</v>
      </c>
      <c r="R56" s="4">
        <v>24</v>
      </c>
    </row>
    <row r="57" spans="1:18" x14ac:dyDescent="0.25">
      <c r="A57">
        <v>2016</v>
      </c>
      <c r="B57">
        <v>225</v>
      </c>
      <c r="C57" s="4">
        <v>10</v>
      </c>
      <c r="D57" s="4">
        <v>13.334</v>
      </c>
      <c r="E57" s="4">
        <v>16.666</v>
      </c>
      <c r="F57" s="4">
        <v>20</v>
      </c>
      <c r="G57" s="4">
        <v>10</v>
      </c>
      <c r="H57" s="4">
        <v>13.334</v>
      </c>
      <c r="I57" s="4">
        <v>16.666</v>
      </c>
      <c r="J57" s="4">
        <v>20</v>
      </c>
      <c r="K57" s="4">
        <v>10</v>
      </c>
      <c r="L57" s="4">
        <v>13.334</v>
      </c>
      <c r="M57" s="4">
        <v>16.666</v>
      </c>
      <c r="N57" s="4">
        <v>20</v>
      </c>
      <c r="O57" s="4">
        <v>10</v>
      </c>
      <c r="P57" s="4">
        <v>13.334</v>
      </c>
      <c r="Q57" s="4">
        <v>16.666</v>
      </c>
      <c r="R57" s="4">
        <v>20</v>
      </c>
    </row>
    <row r="58" spans="1:18" x14ac:dyDescent="0.25">
      <c r="A58">
        <v>2016</v>
      </c>
      <c r="B58">
        <v>230</v>
      </c>
      <c r="C58" s="4">
        <v>8</v>
      </c>
      <c r="D58" s="4">
        <v>10.667199999999999</v>
      </c>
      <c r="E58" s="4">
        <v>13.332800000000001</v>
      </c>
      <c r="F58" s="4">
        <v>16</v>
      </c>
      <c r="G58" s="4">
        <v>8</v>
      </c>
      <c r="H58" s="4">
        <v>10.667199999999999</v>
      </c>
      <c r="I58" s="4">
        <v>13.332800000000001</v>
      </c>
      <c r="J58" s="4">
        <v>16</v>
      </c>
      <c r="K58" s="4">
        <v>8</v>
      </c>
      <c r="L58" s="4">
        <v>10.667199999999999</v>
      </c>
      <c r="M58" s="4">
        <v>13.332800000000001</v>
      </c>
      <c r="N58" s="4">
        <v>16</v>
      </c>
      <c r="O58" s="4">
        <v>8</v>
      </c>
      <c r="P58" s="4">
        <v>10.667199999999999</v>
      </c>
      <c r="Q58" s="4">
        <v>13.332800000000001</v>
      </c>
      <c r="R58" s="4">
        <v>16</v>
      </c>
    </row>
    <row r="59" spans="1:18" x14ac:dyDescent="0.25">
      <c r="A59">
        <v>2016</v>
      </c>
      <c r="B59">
        <v>231</v>
      </c>
      <c r="C59" s="4">
        <v>16</v>
      </c>
      <c r="D59" s="4">
        <v>21.334399999999999</v>
      </c>
      <c r="E59" s="4">
        <v>26.665600000000001</v>
      </c>
      <c r="F59" s="4">
        <v>32</v>
      </c>
      <c r="G59" s="4">
        <v>16</v>
      </c>
      <c r="H59" s="4">
        <v>21.334399999999999</v>
      </c>
      <c r="I59" s="4">
        <v>26.665600000000001</v>
      </c>
      <c r="J59" s="4">
        <v>32</v>
      </c>
      <c r="K59" s="4">
        <v>16</v>
      </c>
      <c r="L59" s="4">
        <v>21.334399999999999</v>
      </c>
      <c r="M59" s="4">
        <v>26.665600000000001</v>
      </c>
      <c r="N59" s="4">
        <v>32</v>
      </c>
      <c r="O59" s="4">
        <v>16</v>
      </c>
      <c r="P59" s="4">
        <v>21.334399999999999</v>
      </c>
      <c r="Q59" s="4">
        <v>26.665600000000001</v>
      </c>
      <c r="R59" s="4">
        <v>32</v>
      </c>
    </row>
    <row r="60" spans="1:18" x14ac:dyDescent="0.25">
      <c r="A60">
        <v>2016</v>
      </c>
      <c r="B60">
        <v>232</v>
      </c>
      <c r="C60" s="4">
        <v>12</v>
      </c>
      <c r="D60" s="4">
        <v>16.000799999999998</v>
      </c>
      <c r="E60" s="4">
        <v>19.999200000000002</v>
      </c>
      <c r="F60" s="4">
        <v>24</v>
      </c>
      <c r="G60" s="4">
        <v>12</v>
      </c>
      <c r="H60" s="4">
        <v>16.000799999999998</v>
      </c>
      <c r="I60" s="4">
        <v>19.999200000000002</v>
      </c>
      <c r="J60" s="4">
        <v>24</v>
      </c>
      <c r="K60" s="4">
        <v>12</v>
      </c>
      <c r="L60" s="4">
        <v>16.000799999999998</v>
      </c>
      <c r="M60" s="4">
        <v>19.999200000000002</v>
      </c>
      <c r="N60" s="4">
        <v>24</v>
      </c>
      <c r="O60" s="4">
        <v>12</v>
      </c>
      <c r="P60" s="4">
        <v>16.000799999999998</v>
      </c>
      <c r="Q60" s="4">
        <v>19.999200000000002</v>
      </c>
      <c r="R60" s="4">
        <v>24</v>
      </c>
    </row>
    <row r="61" spans="1:18" x14ac:dyDescent="0.25">
      <c r="A61">
        <v>2016</v>
      </c>
      <c r="B61">
        <v>237</v>
      </c>
      <c r="C61" s="4">
        <v>10</v>
      </c>
      <c r="D61" s="4">
        <v>13.334</v>
      </c>
      <c r="E61" s="4">
        <v>16.666</v>
      </c>
      <c r="F61" s="4">
        <v>20</v>
      </c>
      <c r="G61" s="4">
        <v>10</v>
      </c>
      <c r="H61" s="4">
        <v>13.334</v>
      </c>
      <c r="I61" s="4">
        <v>16.666</v>
      </c>
      <c r="J61" s="4">
        <v>20</v>
      </c>
      <c r="K61" s="4">
        <v>10</v>
      </c>
      <c r="L61" s="4">
        <v>13.334</v>
      </c>
      <c r="M61" s="4">
        <v>16.666</v>
      </c>
      <c r="N61" s="4">
        <v>20</v>
      </c>
      <c r="O61" s="4">
        <v>10</v>
      </c>
      <c r="P61" s="4">
        <v>13.334</v>
      </c>
      <c r="Q61" s="4">
        <v>16.666</v>
      </c>
      <c r="R61" s="4">
        <v>20</v>
      </c>
    </row>
    <row r="62" spans="1:18" x14ac:dyDescent="0.25">
      <c r="A62">
        <v>2016</v>
      </c>
      <c r="B62">
        <v>238</v>
      </c>
      <c r="C62" s="4">
        <v>16</v>
      </c>
      <c r="D62" s="4">
        <v>21.334399999999999</v>
      </c>
      <c r="E62" s="4">
        <v>26.665600000000001</v>
      </c>
      <c r="F62" s="4">
        <v>32</v>
      </c>
      <c r="G62" s="4">
        <v>16</v>
      </c>
      <c r="H62" s="4">
        <v>21.334399999999999</v>
      </c>
      <c r="I62" s="4">
        <v>26.665600000000001</v>
      </c>
      <c r="J62" s="4">
        <v>32</v>
      </c>
      <c r="K62" s="4">
        <v>16</v>
      </c>
      <c r="L62" s="4">
        <v>21.334399999999999</v>
      </c>
      <c r="M62" s="4">
        <v>26.665600000000001</v>
      </c>
      <c r="N62" s="4">
        <v>32</v>
      </c>
      <c r="O62" s="4">
        <v>16</v>
      </c>
      <c r="P62" s="4">
        <v>21.334399999999999</v>
      </c>
      <c r="Q62" s="4">
        <v>26.665600000000001</v>
      </c>
      <c r="R62" s="4">
        <v>32</v>
      </c>
    </row>
    <row r="63" spans="1:18" x14ac:dyDescent="0.25">
      <c r="A63">
        <v>2016</v>
      </c>
      <c r="B63">
        <v>239</v>
      </c>
      <c r="C63" s="4">
        <v>12</v>
      </c>
      <c r="D63" s="4">
        <v>16.000799999999998</v>
      </c>
      <c r="E63" s="4">
        <v>19.999200000000002</v>
      </c>
      <c r="F63" s="4">
        <v>24</v>
      </c>
      <c r="G63" s="4">
        <v>12</v>
      </c>
      <c r="H63" s="4">
        <v>16.000799999999998</v>
      </c>
      <c r="I63" s="4">
        <v>19.999200000000002</v>
      </c>
      <c r="J63" s="4">
        <v>24</v>
      </c>
      <c r="K63" s="4">
        <v>12</v>
      </c>
      <c r="L63" s="4">
        <v>16.000799999999998</v>
      </c>
      <c r="M63" s="4">
        <v>19.999200000000002</v>
      </c>
      <c r="N63" s="4">
        <v>24</v>
      </c>
      <c r="O63" s="4">
        <v>12</v>
      </c>
      <c r="P63" s="4">
        <v>16.000799999999998</v>
      </c>
      <c r="Q63" s="4">
        <v>19.999200000000002</v>
      </c>
      <c r="R63" s="4">
        <v>24</v>
      </c>
    </row>
    <row r="64" spans="1:18" x14ac:dyDescent="0.25">
      <c r="A64">
        <v>2016</v>
      </c>
      <c r="B64">
        <v>244</v>
      </c>
      <c r="C64" s="4">
        <v>6</v>
      </c>
      <c r="D64" s="4">
        <v>8.0003999999999991</v>
      </c>
      <c r="E64" s="4">
        <v>9.9996000000000009</v>
      </c>
      <c r="F64" s="4">
        <v>12</v>
      </c>
      <c r="G64" s="4">
        <v>6</v>
      </c>
      <c r="H64" s="4">
        <v>8.0003999999999991</v>
      </c>
      <c r="I64" s="4">
        <v>9.9996000000000009</v>
      </c>
      <c r="J64" s="4">
        <v>12</v>
      </c>
      <c r="K64" s="4">
        <v>6</v>
      </c>
      <c r="L64" s="4">
        <v>8.0003999999999991</v>
      </c>
      <c r="M64" s="4">
        <v>9.9996000000000009</v>
      </c>
      <c r="N64" s="4">
        <v>12</v>
      </c>
      <c r="O64" s="4">
        <v>6</v>
      </c>
      <c r="P64" s="4">
        <v>8.0003999999999991</v>
      </c>
      <c r="Q64" s="4">
        <v>9.9996000000000009</v>
      </c>
      <c r="R64" s="4">
        <v>12</v>
      </c>
    </row>
    <row r="65" spans="1:18" x14ac:dyDescent="0.25">
      <c r="A65">
        <v>2016</v>
      </c>
      <c r="B65">
        <v>245</v>
      </c>
      <c r="C65" s="4">
        <v>16</v>
      </c>
      <c r="D65" s="4">
        <v>21.334399999999999</v>
      </c>
      <c r="E65" s="4">
        <v>26.665600000000001</v>
      </c>
      <c r="F65" s="4">
        <v>32</v>
      </c>
      <c r="G65" s="4">
        <v>16</v>
      </c>
      <c r="H65" s="4">
        <v>21.334399999999999</v>
      </c>
      <c r="I65" s="4">
        <v>26.665600000000001</v>
      </c>
      <c r="J65" s="4">
        <v>32</v>
      </c>
      <c r="K65" s="4">
        <v>16</v>
      </c>
      <c r="L65" s="4">
        <v>21.334399999999999</v>
      </c>
      <c r="M65" s="4">
        <v>26.665600000000001</v>
      </c>
      <c r="N65" s="4">
        <v>32</v>
      </c>
      <c r="O65" s="4">
        <v>16</v>
      </c>
      <c r="P65" s="4">
        <v>21.334399999999999</v>
      </c>
      <c r="Q65" s="4">
        <v>26.665600000000001</v>
      </c>
      <c r="R65" s="4">
        <v>32</v>
      </c>
    </row>
    <row r="66" spans="1:18" x14ac:dyDescent="0.25">
      <c r="A66">
        <v>2016</v>
      </c>
      <c r="B66">
        <v>246</v>
      </c>
      <c r="C66" s="4">
        <v>12</v>
      </c>
      <c r="D66" s="4">
        <v>16.000799999999998</v>
      </c>
      <c r="E66" s="4">
        <v>19.999200000000002</v>
      </c>
      <c r="F66" s="4">
        <v>24</v>
      </c>
      <c r="G66" s="4">
        <v>12</v>
      </c>
      <c r="H66" s="4">
        <v>16.000799999999998</v>
      </c>
      <c r="I66" s="4">
        <v>19.999200000000002</v>
      </c>
      <c r="J66" s="4">
        <v>24</v>
      </c>
      <c r="K66" s="4">
        <v>12</v>
      </c>
      <c r="L66" s="4">
        <v>16.000799999999998</v>
      </c>
      <c r="M66" s="4">
        <v>19.999200000000002</v>
      </c>
      <c r="N66" s="4">
        <v>24</v>
      </c>
      <c r="O66" s="4">
        <v>12</v>
      </c>
      <c r="P66" s="4">
        <v>16.000799999999998</v>
      </c>
      <c r="Q66" s="4">
        <v>19.999200000000002</v>
      </c>
      <c r="R66" s="4">
        <v>24</v>
      </c>
    </row>
    <row r="67" spans="1:18" x14ac:dyDescent="0.25">
      <c r="A67">
        <v>2016</v>
      </c>
      <c r="B67">
        <v>252</v>
      </c>
      <c r="C67" s="4">
        <v>16</v>
      </c>
      <c r="D67" s="4">
        <v>21.334399999999999</v>
      </c>
      <c r="E67" s="4">
        <v>26.665600000000001</v>
      </c>
      <c r="F67" s="4">
        <v>32</v>
      </c>
      <c r="G67" s="4">
        <v>16</v>
      </c>
      <c r="H67" s="4">
        <v>21.334399999999999</v>
      </c>
      <c r="I67" s="4">
        <v>26.665600000000001</v>
      </c>
      <c r="J67" s="4">
        <v>32</v>
      </c>
      <c r="K67" s="4">
        <v>16</v>
      </c>
      <c r="L67" s="4">
        <v>21.334399999999999</v>
      </c>
      <c r="M67" s="4">
        <v>26.665600000000001</v>
      </c>
      <c r="N67" s="4">
        <v>32</v>
      </c>
      <c r="O67" s="4">
        <v>16</v>
      </c>
      <c r="P67" s="4">
        <v>21.334399999999999</v>
      </c>
      <c r="Q67" s="4">
        <v>26.665600000000001</v>
      </c>
      <c r="R67" s="4">
        <v>32</v>
      </c>
    </row>
    <row r="68" spans="1:18" x14ac:dyDescent="0.25">
      <c r="A68">
        <v>2016</v>
      </c>
      <c r="B68">
        <v>253</v>
      </c>
      <c r="C68" s="4">
        <v>16</v>
      </c>
      <c r="D68" s="4">
        <v>21.334399999999999</v>
      </c>
      <c r="E68" s="4">
        <v>26.665600000000001</v>
      </c>
      <c r="F68" s="4">
        <v>32</v>
      </c>
      <c r="G68" s="4">
        <v>16</v>
      </c>
      <c r="H68" s="4">
        <v>21.334399999999999</v>
      </c>
      <c r="I68" s="4">
        <v>26.665600000000001</v>
      </c>
      <c r="J68" s="4">
        <v>32</v>
      </c>
      <c r="K68" s="4">
        <v>16</v>
      </c>
      <c r="L68" s="4">
        <v>21.334399999999999</v>
      </c>
      <c r="M68" s="4">
        <v>26.665600000000001</v>
      </c>
      <c r="N68" s="4">
        <v>32</v>
      </c>
      <c r="O68" s="4">
        <v>16</v>
      </c>
      <c r="P68" s="4">
        <v>21.334399999999999</v>
      </c>
      <c r="Q68" s="4">
        <v>26.665600000000001</v>
      </c>
      <c r="R68" s="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Irrigation</vt:lpstr>
      <vt:lpstr>Other</vt:lpstr>
      <vt:lpstr>IrrigationDF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Thorp, Kelly</dc:creator>
  <cp:lastModifiedBy>Reviewer</cp:lastModifiedBy>
  <cp:lastPrinted>2016-03-15T22:32:10Z</cp:lastPrinted>
  <dcterms:created xsi:type="dcterms:W3CDTF">2016-01-29T00:15:18Z</dcterms:created>
  <dcterms:modified xsi:type="dcterms:W3CDTF">2024-12-20T13:34:55Z</dcterms:modified>
</cp:coreProperties>
</file>