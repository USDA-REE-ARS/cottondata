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124226"/>
  <mc:AlternateContent xmlns:mc="http://schemas.openxmlformats.org/markup-compatibility/2006">
    <mc:Choice Requires="x15">
      <x15ac:absPath xmlns:x15ac="http://schemas.microsoft.com/office/spreadsheetml/2010/11/ac" url="E:\mnt\Data1\USDA-ALARC\GIS\PDI project\cottondata\Data\2009_F033_CO_RSIS\"/>
    </mc:Choice>
  </mc:AlternateContent>
  <xr:revisionPtr revIDLastSave="0" documentId="13_ncr:1_{63D350A4-A1B1-4D1A-9779-D7C6A465CC9E}" xr6:coauthVersionLast="47" xr6:coauthVersionMax="47" xr10:uidLastSave="{00000000-0000-0000-0000-000000000000}"/>
  <bookViews>
    <workbookView xWindow="-1545" yWindow="-27375" windowWidth="17820" windowHeight="26805" xr2:uid="{2E21E08A-B796-43A3-8605-5775475D07B2}"/>
  </bookViews>
  <sheets>
    <sheet name="Height" sheetId="13" r:id="rId1"/>
    <sheet name="Width" sheetId="14" r:id="rId2"/>
    <sheet name="doy154" sheetId="6" r:id="rId3"/>
    <sheet name="doy163" sheetId="8" r:id="rId4"/>
    <sheet name="doy174" sheetId="9" r:id="rId5"/>
    <sheet name="doy187" sheetId="10" r:id="rId6"/>
    <sheet name="doy194" sheetId="11" r:id="rId7"/>
    <sheet name="doy219" sheetId="12" r:id="rId8"/>
    <sheet name="Blank" sheetId="7" r:id="rId9"/>
  </sheets>
  <definedNames>
    <definedName name="_xlnm.Print_Area" localSheetId="8">Blank!$A$1:$O$41</definedName>
    <definedName name="_xlnm.Print_Area" localSheetId="2">'doy154'!$A$1:$O$41</definedName>
    <definedName name="_xlnm.Print_Area" localSheetId="3">'doy163'!$A$1:$O$41</definedName>
    <definedName name="_xlnm.Print_Area" localSheetId="4">'doy174'!$A$1:$O$41</definedName>
    <definedName name="_xlnm.Print_Area" localSheetId="5">'doy187'!$A$1:$O$41</definedName>
    <definedName name="_xlnm.Print_Area" localSheetId="6">'doy194'!$A$1:$O$41</definedName>
    <definedName name="_xlnm.Print_Area" localSheetId="7">'doy219'!$A$1:$O$41</definedName>
    <definedName name="_xlnm.Print_Titles" localSheetId="8">Blank!$6:$8</definedName>
    <definedName name="_xlnm.Print_Titles" localSheetId="2">'doy154'!$6:$8</definedName>
    <definedName name="_xlnm.Print_Titles" localSheetId="3">'doy163'!$6:$8</definedName>
    <definedName name="_xlnm.Print_Titles" localSheetId="4">'doy174'!$6:$8</definedName>
    <definedName name="_xlnm.Print_Titles" localSheetId="5">'doy187'!$6:$8</definedName>
    <definedName name="_xlnm.Print_Titles" localSheetId="6">'doy194'!$6:$8</definedName>
    <definedName name="_xlnm.Print_Titles" localSheetId="7">'doy219'!$6:$8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1" i="12" l="1"/>
  <c r="H41" i="12"/>
  <c r="G41" i="12"/>
  <c r="F41" i="12"/>
  <c r="E41" i="12"/>
  <c r="D41" i="12"/>
  <c r="I40" i="12"/>
  <c r="H40" i="12"/>
  <c r="G40" i="12"/>
  <c r="F40" i="12"/>
  <c r="E40" i="12"/>
  <c r="D40" i="12"/>
  <c r="I39" i="12"/>
  <c r="H39" i="12"/>
  <c r="G39" i="12"/>
  <c r="F39" i="12"/>
  <c r="E39" i="12"/>
  <c r="D39" i="12"/>
  <c r="I38" i="12"/>
  <c r="H38" i="12"/>
  <c r="G38" i="12"/>
  <c r="F38" i="12"/>
  <c r="E38" i="12"/>
  <c r="D38" i="12"/>
  <c r="I37" i="12"/>
  <c r="H37" i="12"/>
  <c r="G37" i="12"/>
  <c r="F37" i="12"/>
  <c r="E37" i="12"/>
  <c r="D37" i="12"/>
  <c r="I36" i="12"/>
  <c r="H36" i="12"/>
  <c r="G36" i="12"/>
  <c r="F36" i="12"/>
  <c r="E36" i="12"/>
  <c r="D36" i="12"/>
  <c r="I35" i="12"/>
  <c r="H35" i="12"/>
  <c r="G35" i="12"/>
  <c r="F35" i="12"/>
  <c r="E35" i="12"/>
  <c r="D35" i="12"/>
  <c r="I34" i="12"/>
  <c r="H34" i="12"/>
  <c r="G34" i="12"/>
  <c r="F34" i="12"/>
  <c r="E34" i="12"/>
  <c r="D34" i="12"/>
  <c r="I33" i="12"/>
  <c r="H33" i="12"/>
  <c r="G33" i="12"/>
  <c r="F33" i="12"/>
  <c r="E33" i="12"/>
  <c r="D33" i="12"/>
  <c r="I32" i="12"/>
  <c r="H32" i="12"/>
  <c r="G32" i="12"/>
  <c r="F32" i="12"/>
  <c r="E32" i="12"/>
  <c r="D32" i="12"/>
  <c r="I31" i="12"/>
  <c r="H31" i="12"/>
  <c r="G31" i="12"/>
  <c r="F31" i="12"/>
  <c r="E31" i="12"/>
  <c r="D31" i="12"/>
  <c r="I30" i="12"/>
  <c r="H30" i="12"/>
  <c r="G30" i="12"/>
  <c r="F30" i="12"/>
  <c r="E30" i="12"/>
  <c r="D30" i="12"/>
  <c r="I29" i="12"/>
  <c r="H29" i="12"/>
  <c r="G29" i="12"/>
  <c r="F29" i="12"/>
  <c r="E29" i="12"/>
  <c r="D29" i="12"/>
  <c r="I28" i="12"/>
  <c r="H28" i="12"/>
  <c r="G28" i="12"/>
  <c r="F28" i="12"/>
  <c r="E28" i="12"/>
  <c r="D28" i="12"/>
  <c r="I27" i="12"/>
  <c r="H27" i="12"/>
  <c r="G27" i="12"/>
  <c r="F27" i="12"/>
  <c r="E27" i="12"/>
  <c r="D27" i="12"/>
  <c r="I26" i="12"/>
  <c r="H26" i="12"/>
  <c r="G26" i="12"/>
  <c r="F26" i="12"/>
  <c r="E26" i="12"/>
  <c r="D26" i="12"/>
  <c r="I25" i="12"/>
  <c r="H25" i="12"/>
  <c r="G25" i="12"/>
  <c r="F25" i="12"/>
  <c r="E25" i="12"/>
  <c r="D25" i="12"/>
  <c r="I24" i="12"/>
  <c r="H24" i="12"/>
  <c r="G24" i="12"/>
  <c r="F24" i="12"/>
  <c r="E24" i="12"/>
  <c r="D24" i="12"/>
  <c r="I23" i="12"/>
  <c r="H23" i="12"/>
  <c r="G23" i="12"/>
  <c r="F23" i="12"/>
  <c r="E23" i="12"/>
  <c r="D23" i="12"/>
  <c r="I22" i="12"/>
  <c r="H22" i="12"/>
  <c r="G22" i="12"/>
  <c r="F22" i="12"/>
  <c r="E22" i="12"/>
  <c r="D22" i="12"/>
  <c r="I21" i="12"/>
  <c r="H21" i="12"/>
  <c r="G21" i="12"/>
  <c r="F21" i="12"/>
  <c r="E21" i="12"/>
  <c r="D21" i="12"/>
  <c r="I20" i="12"/>
  <c r="H20" i="12"/>
  <c r="G20" i="12"/>
  <c r="F20" i="12"/>
  <c r="E20" i="12"/>
  <c r="D20" i="12"/>
  <c r="I19" i="12"/>
  <c r="H19" i="12"/>
  <c r="G19" i="12"/>
  <c r="F19" i="12"/>
  <c r="E19" i="12"/>
  <c r="D19" i="12"/>
  <c r="I18" i="12"/>
  <c r="H18" i="12"/>
  <c r="G18" i="12"/>
  <c r="F18" i="12"/>
  <c r="E18" i="12"/>
  <c r="D18" i="12"/>
  <c r="I17" i="12"/>
  <c r="H17" i="12"/>
  <c r="G17" i="12"/>
  <c r="F17" i="12"/>
  <c r="E17" i="12"/>
  <c r="D17" i="12"/>
  <c r="I16" i="12"/>
  <c r="H16" i="12"/>
  <c r="G16" i="12"/>
  <c r="F16" i="12"/>
  <c r="E16" i="12"/>
  <c r="D16" i="12"/>
  <c r="I15" i="12"/>
  <c r="H15" i="12"/>
  <c r="G15" i="12"/>
  <c r="F15" i="12"/>
  <c r="E15" i="12"/>
  <c r="D15" i="12"/>
  <c r="I14" i="12"/>
  <c r="H14" i="12"/>
  <c r="G14" i="12"/>
  <c r="F14" i="12"/>
  <c r="E14" i="12"/>
  <c r="D14" i="12"/>
  <c r="I13" i="12"/>
  <c r="H13" i="12"/>
  <c r="G13" i="12"/>
  <c r="F13" i="12"/>
  <c r="E13" i="12"/>
  <c r="D13" i="12"/>
  <c r="I12" i="12"/>
  <c r="H12" i="12"/>
  <c r="G12" i="12"/>
  <c r="F12" i="12"/>
  <c r="E12" i="12"/>
  <c r="D12" i="12"/>
  <c r="I11" i="12"/>
  <c r="H11" i="12"/>
  <c r="G11" i="12"/>
  <c r="F11" i="12"/>
  <c r="E11" i="12"/>
  <c r="D11" i="12"/>
  <c r="I10" i="12"/>
  <c r="H10" i="12"/>
  <c r="G10" i="12"/>
  <c r="F10" i="12"/>
  <c r="E10" i="12"/>
  <c r="D10" i="12"/>
  <c r="I41" i="11"/>
  <c r="H41" i="11"/>
  <c r="G41" i="11"/>
  <c r="F41" i="11"/>
  <c r="E41" i="11"/>
  <c r="D41" i="11"/>
  <c r="I40" i="11"/>
  <c r="H40" i="11"/>
  <c r="G40" i="11"/>
  <c r="F40" i="11"/>
  <c r="E40" i="11"/>
  <c r="D40" i="11"/>
  <c r="I39" i="11"/>
  <c r="H39" i="11"/>
  <c r="G39" i="11"/>
  <c r="F39" i="11"/>
  <c r="E39" i="11"/>
  <c r="D39" i="11"/>
  <c r="I38" i="11"/>
  <c r="H38" i="11"/>
  <c r="G38" i="11"/>
  <c r="F38" i="11"/>
  <c r="E38" i="11"/>
  <c r="D38" i="11"/>
  <c r="I37" i="11"/>
  <c r="H37" i="11"/>
  <c r="G37" i="11"/>
  <c r="F37" i="11"/>
  <c r="E37" i="11"/>
  <c r="D37" i="11"/>
  <c r="I36" i="11"/>
  <c r="H36" i="11"/>
  <c r="G36" i="11"/>
  <c r="F36" i="11"/>
  <c r="E36" i="11"/>
  <c r="D36" i="11"/>
  <c r="I35" i="11"/>
  <c r="H35" i="11"/>
  <c r="G35" i="11"/>
  <c r="F35" i="11"/>
  <c r="E35" i="11"/>
  <c r="D35" i="11"/>
  <c r="I34" i="11"/>
  <c r="H34" i="11"/>
  <c r="G34" i="11"/>
  <c r="F34" i="11"/>
  <c r="E34" i="11"/>
  <c r="D34" i="11"/>
  <c r="I33" i="11"/>
  <c r="H33" i="11"/>
  <c r="G33" i="11"/>
  <c r="F33" i="11"/>
  <c r="E33" i="11"/>
  <c r="D33" i="11"/>
  <c r="I32" i="11"/>
  <c r="H32" i="11"/>
  <c r="G32" i="11"/>
  <c r="F32" i="11"/>
  <c r="E32" i="11"/>
  <c r="D32" i="11"/>
  <c r="I31" i="11"/>
  <c r="H31" i="11"/>
  <c r="G31" i="11"/>
  <c r="F31" i="11"/>
  <c r="E31" i="11"/>
  <c r="D31" i="11"/>
  <c r="I30" i="11"/>
  <c r="H30" i="11"/>
  <c r="G30" i="11"/>
  <c r="F30" i="11"/>
  <c r="E30" i="11"/>
  <c r="D30" i="11"/>
  <c r="I29" i="11"/>
  <c r="H29" i="11"/>
  <c r="G29" i="11"/>
  <c r="F29" i="11"/>
  <c r="E29" i="11"/>
  <c r="D29" i="11"/>
  <c r="I28" i="11"/>
  <c r="H28" i="11"/>
  <c r="G28" i="11"/>
  <c r="F28" i="11"/>
  <c r="E28" i="11"/>
  <c r="D28" i="11"/>
  <c r="I27" i="11"/>
  <c r="H27" i="11"/>
  <c r="G27" i="11"/>
  <c r="F27" i="11"/>
  <c r="E27" i="11"/>
  <c r="D27" i="11"/>
  <c r="I26" i="11"/>
  <c r="H26" i="11"/>
  <c r="G26" i="11"/>
  <c r="F26" i="11"/>
  <c r="E26" i="11"/>
  <c r="D26" i="11"/>
  <c r="I25" i="11"/>
  <c r="H25" i="11"/>
  <c r="G25" i="11"/>
  <c r="F25" i="11"/>
  <c r="E25" i="11"/>
  <c r="D25" i="11"/>
  <c r="I24" i="11"/>
  <c r="H24" i="11"/>
  <c r="G24" i="11"/>
  <c r="F24" i="11"/>
  <c r="E24" i="11"/>
  <c r="D24" i="11"/>
  <c r="I23" i="11"/>
  <c r="H23" i="11"/>
  <c r="G23" i="11"/>
  <c r="F23" i="11"/>
  <c r="E23" i="11"/>
  <c r="D23" i="11"/>
  <c r="I22" i="11"/>
  <c r="H22" i="11"/>
  <c r="G22" i="11"/>
  <c r="F22" i="11"/>
  <c r="E22" i="11"/>
  <c r="D22" i="11"/>
  <c r="I21" i="11"/>
  <c r="H21" i="11"/>
  <c r="G21" i="11"/>
  <c r="F21" i="11"/>
  <c r="E21" i="11"/>
  <c r="D21" i="11"/>
  <c r="I20" i="11"/>
  <c r="H20" i="11"/>
  <c r="G20" i="11"/>
  <c r="F20" i="11"/>
  <c r="E20" i="11"/>
  <c r="D20" i="11"/>
  <c r="I19" i="11"/>
  <c r="H19" i="11"/>
  <c r="G19" i="11"/>
  <c r="F19" i="11"/>
  <c r="E19" i="11"/>
  <c r="D19" i="11"/>
  <c r="I18" i="11"/>
  <c r="H18" i="11"/>
  <c r="G18" i="11"/>
  <c r="F18" i="11"/>
  <c r="E18" i="11"/>
  <c r="D18" i="11"/>
  <c r="I17" i="11"/>
  <c r="H17" i="11"/>
  <c r="G17" i="11"/>
  <c r="F17" i="11"/>
  <c r="E17" i="11"/>
  <c r="D17" i="11"/>
  <c r="I16" i="11"/>
  <c r="H16" i="11"/>
  <c r="G16" i="11"/>
  <c r="F16" i="11"/>
  <c r="E16" i="11"/>
  <c r="D16" i="11"/>
  <c r="I15" i="11"/>
  <c r="H15" i="11"/>
  <c r="G15" i="11"/>
  <c r="F15" i="11"/>
  <c r="E15" i="11"/>
  <c r="D15" i="11"/>
  <c r="I14" i="11"/>
  <c r="H14" i="11"/>
  <c r="G14" i="11"/>
  <c r="F14" i="11"/>
  <c r="E14" i="11"/>
  <c r="D14" i="11"/>
  <c r="I13" i="11"/>
  <c r="H13" i="11"/>
  <c r="G13" i="11"/>
  <c r="F13" i="11"/>
  <c r="E13" i="11"/>
  <c r="D13" i="11"/>
  <c r="I12" i="11"/>
  <c r="H12" i="11"/>
  <c r="G12" i="11"/>
  <c r="F12" i="11"/>
  <c r="E12" i="11"/>
  <c r="D12" i="11"/>
  <c r="I11" i="11"/>
  <c r="H11" i="11"/>
  <c r="G11" i="11"/>
  <c r="F11" i="11"/>
  <c r="E11" i="11"/>
  <c r="D11" i="11"/>
  <c r="I10" i="11"/>
  <c r="H10" i="11"/>
  <c r="G10" i="11"/>
  <c r="F10" i="11"/>
  <c r="E10" i="11"/>
  <c r="D10" i="11"/>
  <c r="I41" i="10"/>
  <c r="H41" i="10"/>
  <c r="G41" i="10"/>
  <c r="F41" i="10"/>
  <c r="E41" i="10"/>
  <c r="D41" i="10"/>
  <c r="I40" i="10"/>
  <c r="H40" i="10"/>
  <c r="G40" i="10"/>
  <c r="F40" i="10"/>
  <c r="E40" i="10"/>
  <c r="D40" i="10"/>
  <c r="I39" i="10"/>
  <c r="H39" i="10"/>
  <c r="G39" i="10"/>
  <c r="F39" i="10"/>
  <c r="E39" i="10"/>
  <c r="D39" i="10"/>
  <c r="I38" i="10"/>
  <c r="H38" i="10"/>
  <c r="G38" i="10"/>
  <c r="F38" i="10"/>
  <c r="E38" i="10"/>
  <c r="D38" i="10"/>
  <c r="I37" i="10"/>
  <c r="H37" i="10"/>
  <c r="G37" i="10"/>
  <c r="F37" i="10"/>
  <c r="E37" i="10"/>
  <c r="D37" i="10"/>
  <c r="I36" i="10"/>
  <c r="H36" i="10"/>
  <c r="G36" i="10"/>
  <c r="F36" i="10"/>
  <c r="E36" i="10"/>
  <c r="D36" i="10"/>
  <c r="I35" i="10"/>
  <c r="H35" i="10"/>
  <c r="G35" i="10"/>
  <c r="F35" i="10"/>
  <c r="E35" i="10"/>
  <c r="D35" i="10"/>
  <c r="I34" i="10"/>
  <c r="H34" i="10"/>
  <c r="G34" i="10"/>
  <c r="F34" i="10"/>
  <c r="E34" i="10"/>
  <c r="D34" i="10"/>
  <c r="I33" i="10"/>
  <c r="H33" i="10"/>
  <c r="G33" i="10"/>
  <c r="F33" i="10"/>
  <c r="E33" i="10"/>
  <c r="D33" i="10"/>
  <c r="I32" i="10"/>
  <c r="H32" i="10"/>
  <c r="G32" i="10"/>
  <c r="F32" i="10"/>
  <c r="E32" i="10"/>
  <c r="D32" i="10"/>
  <c r="I31" i="10"/>
  <c r="H31" i="10"/>
  <c r="G31" i="10"/>
  <c r="F31" i="10"/>
  <c r="E31" i="10"/>
  <c r="D31" i="10"/>
  <c r="I30" i="10"/>
  <c r="H30" i="10"/>
  <c r="G30" i="10"/>
  <c r="F30" i="10"/>
  <c r="E30" i="10"/>
  <c r="D30" i="10"/>
  <c r="I29" i="10"/>
  <c r="H29" i="10"/>
  <c r="G29" i="10"/>
  <c r="F29" i="10"/>
  <c r="E29" i="10"/>
  <c r="D29" i="10"/>
  <c r="I28" i="10"/>
  <c r="H28" i="10"/>
  <c r="G28" i="10"/>
  <c r="F28" i="10"/>
  <c r="E28" i="10"/>
  <c r="D28" i="10"/>
  <c r="I27" i="10"/>
  <c r="H27" i="10"/>
  <c r="G27" i="10"/>
  <c r="F27" i="10"/>
  <c r="E27" i="10"/>
  <c r="D27" i="10"/>
  <c r="I26" i="10"/>
  <c r="H26" i="10"/>
  <c r="G26" i="10"/>
  <c r="F26" i="10"/>
  <c r="E26" i="10"/>
  <c r="D26" i="10"/>
  <c r="I25" i="10"/>
  <c r="H25" i="10"/>
  <c r="G25" i="10"/>
  <c r="F25" i="10"/>
  <c r="E25" i="10"/>
  <c r="D25" i="10"/>
  <c r="I24" i="10"/>
  <c r="H24" i="10"/>
  <c r="G24" i="10"/>
  <c r="F24" i="10"/>
  <c r="E24" i="10"/>
  <c r="D24" i="10"/>
  <c r="I23" i="10"/>
  <c r="H23" i="10"/>
  <c r="G23" i="10"/>
  <c r="F23" i="10"/>
  <c r="E23" i="10"/>
  <c r="D23" i="10"/>
  <c r="I22" i="10"/>
  <c r="H22" i="10"/>
  <c r="G22" i="10"/>
  <c r="F22" i="10"/>
  <c r="E22" i="10"/>
  <c r="D22" i="10"/>
  <c r="I21" i="10"/>
  <c r="H21" i="10"/>
  <c r="G21" i="10"/>
  <c r="F21" i="10"/>
  <c r="E21" i="10"/>
  <c r="D21" i="10"/>
  <c r="I20" i="10"/>
  <c r="H20" i="10"/>
  <c r="G20" i="10"/>
  <c r="F20" i="10"/>
  <c r="E20" i="10"/>
  <c r="D20" i="10"/>
  <c r="I19" i="10"/>
  <c r="H19" i="10"/>
  <c r="G19" i="10"/>
  <c r="F19" i="10"/>
  <c r="E19" i="10"/>
  <c r="D19" i="10"/>
  <c r="I18" i="10"/>
  <c r="H18" i="10"/>
  <c r="G18" i="10"/>
  <c r="F18" i="10"/>
  <c r="E18" i="10"/>
  <c r="D18" i="10"/>
  <c r="I17" i="10"/>
  <c r="H17" i="10"/>
  <c r="G17" i="10"/>
  <c r="F17" i="10"/>
  <c r="E17" i="10"/>
  <c r="D17" i="10"/>
  <c r="I16" i="10"/>
  <c r="H16" i="10"/>
  <c r="G16" i="10"/>
  <c r="F16" i="10"/>
  <c r="E16" i="10"/>
  <c r="D16" i="10"/>
  <c r="I15" i="10"/>
  <c r="H15" i="10"/>
  <c r="G15" i="10"/>
  <c r="F15" i="10"/>
  <c r="E15" i="10"/>
  <c r="D15" i="10"/>
  <c r="I14" i="10"/>
  <c r="H14" i="10"/>
  <c r="G14" i="10"/>
  <c r="F14" i="10"/>
  <c r="E14" i="10"/>
  <c r="D14" i="10"/>
  <c r="I13" i="10"/>
  <c r="H13" i="10"/>
  <c r="G13" i="10"/>
  <c r="F13" i="10"/>
  <c r="E13" i="10"/>
  <c r="D13" i="10"/>
  <c r="I12" i="10"/>
  <c r="H12" i="10"/>
  <c r="G12" i="10"/>
  <c r="F12" i="10"/>
  <c r="E12" i="10"/>
  <c r="D12" i="10"/>
  <c r="I11" i="10"/>
  <c r="H11" i="10"/>
  <c r="G11" i="10"/>
  <c r="F11" i="10"/>
  <c r="E11" i="10"/>
  <c r="D11" i="10"/>
  <c r="I10" i="10"/>
  <c r="H10" i="10"/>
  <c r="G10" i="10"/>
  <c r="F10" i="10"/>
  <c r="E10" i="10"/>
  <c r="D10" i="10"/>
  <c r="I41" i="9"/>
  <c r="H41" i="9"/>
  <c r="G41" i="9"/>
  <c r="F41" i="9"/>
  <c r="E41" i="9"/>
  <c r="D41" i="9"/>
  <c r="I40" i="9"/>
  <c r="H40" i="9"/>
  <c r="G40" i="9"/>
  <c r="F40" i="9"/>
  <c r="E40" i="9"/>
  <c r="D40" i="9"/>
  <c r="I39" i="9"/>
  <c r="H39" i="9"/>
  <c r="G39" i="9"/>
  <c r="F39" i="9"/>
  <c r="E39" i="9"/>
  <c r="D39" i="9"/>
  <c r="I38" i="9"/>
  <c r="H38" i="9"/>
  <c r="G38" i="9"/>
  <c r="F38" i="9"/>
  <c r="E38" i="9"/>
  <c r="D38" i="9"/>
  <c r="I37" i="9"/>
  <c r="H37" i="9"/>
  <c r="G37" i="9"/>
  <c r="F37" i="9"/>
  <c r="E37" i="9"/>
  <c r="D37" i="9"/>
  <c r="I36" i="9"/>
  <c r="H36" i="9"/>
  <c r="G36" i="9"/>
  <c r="F36" i="9"/>
  <c r="E36" i="9"/>
  <c r="D36" i="9"/>
  <c r="I35" i="9"/>
  <c r="H35" i="9"/>
  <c r="G35" i="9"/>
  <c r="F35" i="9"/>
  <c r="E35" i="9"/>
  <c r="D35" i="9"/>
  <c r="I34" i="9"/>
  <c r="H34" i="9"/>
  <c r="G34" i="9"/>
  <c r="F34" i="9"/>
  <c r="E34" i="9"/>
  <c r="D34" i="9"/>
  <c r="I33" i="9"/>
  <c r="H33" i="9"/>
  <c r="G33" i="9"/>
  <c r="F33" i="9"/>
  <c r="E33" i="9"/>
  <c r="D33" i="9"/>
  <c r="I32" i="9"/>
  <c r="H32" i="9"/>
  <c r="G32" i="9"/>
  <c r="F32" i="9"/>
  <c r="E32" i="9"/>
  <c r="D32" i="9"/>
  <c r="I31" i="9"/>
  <c r="H31" i="9"/>
  <c r="G31" i="9"/>
  <c r="F31" i="9"/>
  <c r="E31" i="9"/>
  <c r="D31" i="9"/>
  <c r="I30" i="9"/>
  <c r="H30" i="9"/>
  <c r="G30" i="9"/>
  <c r="F30" i="9"/>
  <c r="E30" i="9"/>
  <c r="D30" i="9"/>
  <c r="I29" i="9"/>
  <c r="H29" i="9"/>
  <c r="G29" i="9"/>
  <c r="F29" i="9"/>
  <c r="E29" i="9"/>
  <c r="D29" i="9"/>
  <c r="I28" i="9"/>
  <c r="H28" i="9"/>
  <c r="G28" i="9"/>
  <c r="F28" i="9"/>
  <c r="E28" i="9"/>
  <c r="D28" i="9"/>
  <c r="I27" i="9"/>
  <c r="H27" i="9"/>
  <c r="G27" i="9"/>
  <c r="F27" i="9"/>
  <c r="E27" i="9"/>
  <c r="D27" i="9"/>
  <c r="I26" i="9"/>
  <c r="H26" i="9"/>
  <c r="G26" i="9"/>
  <c r="F26" i="9"/>
  <c r="E26" i="9"/>
  <c r="D26" i="9"/>
  <c r="I25" i="9"/>
  <c r="H25" i="9"/>
  <c r="G25" i="9"/>
  <c r="F25" i="9"/>
  <c r="E25" i="9"/>
  <c r="D25" i="9"/>
  <c r="I24" i="9"/>
  <c r="H24" i="9"/>
  <c r="G24" i="9"/>
  <c r="F24" i="9"/>
  <c r="E24" i="9"/>
  <c r="D24" i="9"/>
  <c r="I23" i="9"/>
  <c r="H23" i="9"/>
  <c r="G23" i="9"/>
  <c r="F23" i="9"/>
  <c r="E23" i="9"/>
  <c r="D23" i="9"/>
  <c r="I22" i="9"/>
  <c r="H22" i="9"/>
  <c r="G22" i="9"/>
  <c r="F22" i="9"/>
  <c r="E22" i="9"/>
  <c r="D22" i="9"/>
  <c r="I21" i="9"/>
  <c r="H21" i="9"/>
  <c r="G21" i="9"/>
  <c r="F21" i="9"/>
  <c r="E21" i="9"/>
  <c r="D21" i="9"/>
  <c r="I20" i="9"/>
  <c r="H20" i="9"/>
  <c r="G20" i="9"/>
  <c r="F20" i="9"/>
  <c r="E20" i="9"/>
  <c r="D20" i="9"/>
  <c r="I19" i="9"/>
  <c r="H19" i="9"/>
  <c r="G19" i="9"/>
  <c r="F19" i="9"/>
  <c r="E19" i="9"/>
  <c r="D19" i="9"/>
  <c r="I18" i="9"/>
  <c r="H18" i="9"/>
  <c r="G18" i="9"/>
  <c r="F18" i="9"/>
  <c r="E18" i="9"/>
  <c r="D18" i="9"/>
  <c r="I17" i="9"/>
  <c r="H17" i="9"/>
  <c r="G17" i="9"/>
  <c r="F17" i="9"/>
  <c r="E17" i="9"/>
  <c r="D17" i="9"/>
  <c r="I16" i="9"/>
  <c r="H16" i="9"/>
  <c r="G16" i="9"/>
  <c r="F16" i="9"/>
  <c r="E16" i="9"/>
  <c r="D16" i="9"/>
  <c r="I15" i="9"/>
  <c r="H15" i="9"/>
  <c r="G15" i="9"/>
  <c r="F15" i="9"/>
  <c r="E15" i="9"/>
  <c r="D15" i="9"/>
  <c r="I14" i="9"/>
  <c r="H14" i="9"/>
  <c r="G14" i="9"/>
  <c r="F14" i="9"/>
  <c r="E14" i="9"/>
  <c r="D14" i="9"/>
  <c r="I13" i="9"/>
  <c r="H13" i="9"/>
  <c r="G13" i="9"/>
  <c r="F13" i="9"/>
  <c r="E13" i="9"/>
  <c r="D13" i="9"/>
  <c r="I12" i="9"/>
  <c r="H12" i="9"/>
  <c r="G12" i="9"/>
  <c r="F12" i="9"/>
  <c r="E12" i="9"/>
  <c r="D12" i="9"/>
  <c r="I11" i="9"/>
  <c r="H11" i="9"/>
  <c r="G11" i="9"/>
  <c r="F11" i="9"/>
  <c r="E11" i="9"/>
  <c r="D11" i="9"/>
  <c r="I10" i="9"/>
  <c r="H10" i="9"/>
  <c r="G10" i="9"/>
  <c r="F10" i="9"/>
  <c r="E10" i="9"/>
  <c r="D10" i="9"/>
  <c r="I41" i="8"/>
  <c r="H41" i="8"/>
  <c r="G41" i="8"/>
  <c r="F41" i="8"/>
  <c r="E41" i="8"/>
  <c r="D41" i="8"/>
  <c r="I40" i="8"/>
  <c r="H40" i="8"/>
  <c r="G40" i="8"/>
  <c r="F40" i="8"/>
  <c r="E40" i="8"/>
  <c r="D40" i="8"/>
  <c r="I39" i="8"/>
  <c r="H39" i="8"/>
  <c r="G39" i="8"/>
  <c r="F39" i="8"/>
  <c r="E39" i="8"/>
  <c r="D39" i="8"/>
  <c r="I38" i="8"/>
  <c r="H38" i="8"/>
  <c r="G38" i="8"/>
  <c r="F38" i="8"/>
  <c r="E38" i="8"/>
  <c r="D38" i="8"/>
  <c r="I37" i="8"/>
  <c r="H37" i="8"/>
  <c r="G37" i="8"/>
  <c r="F37" i="8"/>
  <c r="E37" i="8"/>
  <c r="D37" i="8"/>
  <c r="I36" i="8"/>
  <c r="H36" i="8"/>
  <c r="G36" i="8"/>
  <c r="F36" i="8"/>
  <c r="E36" i="8"/>
  <c r="D36" i="8"/>
  <c r="I35" i="8"/>
  <c r="H35" i="8"/>
  <c r="G35" i="8"/>
  <c r="F35" i="8"/>
  <c r="E35" i="8"/>
  <c r="D35" i="8"/>
  <c r="I34" i="8"/>
  <c r="H34" i="8"/>
  <c r="G34" i="8"/>
  <c r="F34" i="8"/>
  <c r="E34" i="8"/>
  <c r="D34" i="8"/>
  <c r="I33" i="8"/>
  <c r="H33" i="8"/>
  <c r="G33" i="8"/>
  <c r="F33" i="8"/>
  <c r="E33" i="8"/>
  <c r="D33" i="8"/>
  <c r="I32" i="8"/>
  <c r="H32" i="8"/>
  <c r="G32" i="8"/>
  <c r="F32" i="8"/>
  <c r="E32" i="8"/>
  <c r="D32" i="8"/>
  <c r="I31" i="8"/>
  <c r="H31" i="8"/>
  <c r="G31" i="8"/>
  <c r="F31" i="8"/>
  <c r="E31" i="8"/>
  <c r="D31" i="8"/>
  <c r="I30" i="8"/>
  <c r="H30" i="8"/>
  <c r="G30" i="8"/>
  <c r="F30" i="8"/>
  <c r="E30" i="8"/>
  <c r="D30" i="8"/>
  <c r="I29" i="8"/>
  <c r="H29" i="8"/>
  <c r="G29" i="8"/>
  <c r="F29" i="8"/>
  <c r="E29" i="8"/>
  <c r="D29" i="8"/>
  <c r="I28" i="8"/>
  <c r="H28" i="8"/>
  <c r="G28" i="8"/>
  <c r="F28" i="8"/>
  <c r="E28" i="8"/>
  <c r="D28" i="8"/>
  <c r="I27" i="8"/>
  <c r="H27" i="8"/>
  <c r="G27" i="8"/>
  <c r="F27" i="8"/>
  <c r="E27" i="8"/>
  <c r="D27" i="8"/>
  <c r="I26" i="8"/>
  <c r="H26" i="8"/>
  <c r="G26" i="8"/>
  <c r="F26" i="8"/>
  <c r="E26" i="8"/>
  <c r="D26" i="8"/>
  <c r="I25" i="8"/>
  <c r="H25" i="8"/>
  <c r="G25" i="8"/>
  <c r="F25" i="8"/>
  <c r="E25" i="8"/>
  <c r="D25" i="8"/>
  <c r="I24" i="8"/>
  <c r="H24" i="8"/>
  <c r="G24" i="8"/>
  <c r="F24" i="8"/>
  <c r="E24" i="8"/>
  <c r="D24" i="8"/>
  <c r="I23" i="8"/>
  <c r="H23" i="8"/>
  <c r="G23" i="8"/>
  <c r="F23" i="8"/>
  <c r="E23" i="8"/>
  <c r="D23" i="8"/>
  <c r="I22" i="8"/>
  <c r="H22" i="8"/>
  <c r="G22" i="8"/>
  <c r="F22" i="8"/>
  <c r="E22" i="8"/>
  <c r="D22" i="8"/>
  <c r="I21" i="8"/>
  <c r="H21" i="8"/>
  <c r="G21" i="8"/>
  <c r="F21" i="8"/>
  <c r="E21" i="8"/>
  <c r="D21" i="8"/>
  <c r="I20" i="8"/>
  <c r="H20" i="8"/>
  <c r="G20" i="8"/>
  <c r="F20" i="8"/>
  <c r="E20" i="8"/>
  <c r="D20" i="8"/>
  <c r="I19" i="8"/>
  <c r="H19" i="8"/>
  <c r="G19" i="8"/>
  <c r="F19" i="8"/>
  <c r="E19" i="8"/>
  <c r="D19" i="8"/>
  <c r="I18" i="8"/>
  <c r="H18" i="8"/>
  <c r="G18" i="8"/>
  <c r="F18" i="8"/>
  <c r="E18" i="8"/>
  <c r="D18" i="8"/>
  <c r="I17" i="8"/>
  <c r="H17" i="8"/>
  <c r="G17" i="8"/>
  <c r="F17" i="8"/>
  <c r="E17" i="8"/>
  <c r="D17" i="8"/>
  <c r="I16" i="8"/>
  <c r="H16" i="8"/>
  <c r="G16" i="8"/>
  <c r="F16" i="8"/>
  <c r="E16" i="8"/>
  <c r="D16" i="8"/>
  <c r="I15" i="8"/>
  <c r="H15" i="8"/>
  <c r="G15" i="8"/>
  <c r="F15" i="8"/>
  <c r="E15" i="8"/>
  <c r="D15" i="8"/>
  <c r="I14" i="8"/>
  <c r="H14" i="8"/>
  <c r="G14" i="8"/>
  <c r="F14" i="8"/>
  <c r="E14" i="8"/>
  <c r="D14" i="8"/>
  <c r="I13" i="8"/>
  <c r="H13" i="8"/>
  <c r="G13" i="8"/>
  <c r="F13" i="8"/>
  <c r="E13" i="8"/>
  <c r="D13" i="8"/>
  <c r="I12" i="8"/>
  <c r="H12" i="8"/>
  <c r="G12" i="8"/>
  <c r="F12" i="8"/>
  <c r="E12" i="8"/>
  <c r="D12" i="8"/>
  <c r="I11" i="8"/>
  <c r="H11" i="8"/>
  <c r="G11" i="8"/>
  <c r="F11" i="8"/>
  <c r="E11" i="8"/>
  <c r="D11" i="8"/>
  <c r="I10" i="8"/>
  <c r="H10" i="8"/>
  <c r="G10" i="8"/>
  <c r="F10" i="8"/>
  <c r="E10" i="8"/>
  <c r="D10" i="8"/>
  <c r="I41" i="7"/>
  <c r="H41" i="7"/>
  <c r="G41" i="7"/>
  <c r="F41" i="7"/>
  <c r="E41" i="7"/>
  <c r="D41" i="7"/>
  <c r="I40" i="7"/>
  <c r="H40" i="7"/>
  <c r="G40" i="7"/>
  <c r="F40" i="7"/>
  <c r="E40" i="7"/>
  <c r="D40" i="7"/>
  <c r="I39" i="7"/>
  <c r="H39" i="7"/>
  <c r="G39" i="7"/>
  <c r="F39" i="7"/>
  <c r="E39" i="7"/>
  <c r="D39" i="7"/>
  <c r="I38" i="7"/>
  <c r="H38" i="7"/>
  <c r="G38" i="7"/>
  <c r="F38" i="7"/>
  <c r="E38" i="7"/>
  <c r="D38" i="7"/>
  <c r="I37" i="7"/>
  <c r="H37" i="7"/>
  <c r="G37" i="7"/>
  <c r="F37" i="7"/>
  <c r="E37" i="7"/>
  <c r="D37" i="7"/>
  <c r="I36" i="7"/>
  <c r="H36" i="7"/>
  <c r="G36" i="7"/>
  <c r="F36" i="7"/>
  <c r="E36" i="7"/>
  <c r="D36" i="7"/>
  <c r="I35" i="7"/>
  <c r="H35" i="7"/>
  <c r="G35" i="7"/>
  <c r="F35" i="7"/>
  <c r="E35" i="7"/>
  <c r="D35" i="7"/>
  <c r="I34" i="7"/>
  <c r="H34" i="7"/>
  <c r="G34" i="7"/>
  <c r="F34" i="7"/>
  <c r="E34" i="7"/>
  <c r="D34" i="7"/>
  <c r="I33" i="7"/>
  <c r="H33" i="7"/>
  <c r="G33" i="7"/>
  <c r="F33" i="7"/>
  <c r="E33" i="7"/>
  <c r="D33" i="7"/>
  <c r="I32" i="7"/>
  <c r="H32" i="7"/>
  <c r="G32" i="7"/>
  <c r="F32" i="7"/>
  <c r="E32" i="7"/>
  <c r="D32" i="7"/>
  <c r="I31" i="7"/>
  <c r="H31" i="7"/>
  <c r="G31" i="7"/>
  <c r="F31" i="7"/>
  <c r="E31" i="7"/>
  <c r="D31" i="7"/>
  <c r="I30" i="7"/>
  <c r="H30" i="7"/>
  <c r="G30" i="7"/>
  <c r="F30" i="7"/>
  <c r="E30" i="7"/>
  <c r="D30" i="7"/>
  <c r="I29" i="7"/>
  <c r="H29" i="7"/>
  <c r="G29" i="7"/>
  <c r="F29" i="7"/>
  <c r="E29" i="7"/>
  <c r="D29" i="7"/>
  <c r="I28" i="7"/>
  <c r="H28" i="7"/>
  <c r="G28" i="7"/>
  <c r="F28" i="7"/>
  <c r="E28" i="7"/>
  <c r="D28" i="7"/>
  <c r="I27" i="7"/>
  <c r="H27" i="7"/>
  <c r="G27" i="7"/>
  <c r="F27" i="7"/>
  <c r="E27" i="7"/>
  <c r="D27" i="7"/>
  <c r="I26" i="7"/>
  <c r="H26" i="7"/>
  <c r="G26" i="7"/>
  <c r="F26" i="7"/>
  <c r="E26" i="7"/>
  <c r="D26" i="7"/>
  <c r="I25" i="7"/>
  <c r="H25" i="7"/>
  <c r="G25" i="7"/>
  <c r="F25" i="7"/>
  <c r="E25" i="7"/>
  <c r="D25" i="7"/>
  <c r="I24" i="7"/>
  <c r="H24" i="7"/>
  <c r="G24" i="7"/>
  <c r="F24" i="7"/>
  <c r="E24" i="7"/>
  <c r="D24" i="7"/>
  <c r="I23" i="7"/>
  <c r="H23" i="7"/>
  <c r="G23" i="7"/>
  <c r="F23" i="7"/>
  <c r="E23" i="7"/>
  <c r="D23" i="7"/>
  <c r="I22" i="7"/>
  <c r="H22" i="7"/>
  <c r="G22" i="7"/>
  <c r="F22" i="7"/>
  <c r="E22" i="7"/>
  <c r="D22" i="7"/>
  <c r="I21" i="7"/>
  <c r="H21" i="7"/>
  <c r="G21" i="7"/>
  <c r="F21" i="7"/>
  <c r="E21" i="7"/>
  <c r="D21" i="7"/>
  <c r="I20" i="7"/>
  <c r="H20" i="7"/>
  <c r="G20" i="7"/>
  <c r="F20" i="7"/>
  <c r="E20" i="7"/>
  <c r="D20" i="7"/>
  <c r="I19" i="7"/>
  <c r="H19" i="7"/>
  <c r="G19" i="7"/>
  <c r="F19" i="7"/>
  <c r="E19" i="7"/>
  <c r="D19" i="7"/>
  <c r="I18" i="7"/>
  <c r="H18" i="7"/>
  <c r="G18" i="7"/>
  <c r="F18" i="7"/>
  <c r="E18" i="7"/>
  <c r="D18" i="7"/>
  <c r="I17" i="7"/>
  <c r="H17" i="7"/>
  <c r="G17" i="7"/>
  <c r="F17" i="7"/>
  <c r="E17" i="7"/>
  <c r="D17" i="7"/>
  <c r="I16" i="7"/>
  <c r="H16" i="7"/>
  <c r="G16" i="7"/>
  <c r="F16" i="7"/>
  <c r="E16" i="7"/>
  <c r="D16" i="7"/>
  <c r="I15" i="7"/>
  <c r="H15" i="7"/>
  <c r="G15" i="7"/>
  <c r="F15" i="7"/>
  <c r="E15" i="7"/>
  <c r="D15" i="7"/>
  <c r="I14" i="7"/>
  <c r="H14" i="7"/>
  <c r="G14" i="7"/>
  <c r="F14" i="7"/>
  <c r="E14" i="7"/>
  <c r="D14" i="7"/>
  <c r="I13" i="7"/>
  <c r="H13" i="7"/>
  <c r="G13" i="7"/>
  <c r="F13" i="7"/>
  <c r="E13" i="7"/>
  <c r="D13" i="7"/>
  <c r="I12" i="7"/>
  <c r="H12" i="7"/>
  <c r="G12" i="7"/>
  <c r="F12" i="7"/>
  <c r="E12" i="7"/>
  <c r="D12" i="7"/>
  <c r="I11" i="7"/>
  <c r="H11" i="7"/>
  <c r="G11" i="7"/>
  <c r="F11" i="7"/>
  <c r="E11" i="7"/>
  <c r="D11" i="7"/>
  <c r="I10" i="7"/>
  <c r="H10" i="7"/>
  <c r="G10" i="7"/>
  <c r="F10" i="7"/>
  <c r="E10" i="7"/>
  <c r="D10" i="7"/>
  <c r="I41" i="6"/>
  <c r="H41" i="6"/>
  <c r="G41" i="6"/>
  <c r="F41" i="6"/>
  <c r="E41" i="6"/>
  <c r="D41" i="6"/>
  <c r="I40" i="6"/>
  <c r="H40" i="6"/>
  <c r="G40" i="6"/>
  <c r="F40" i="6"/>
  <c r="E40" i="6"/>
  <c r="D40" i="6"/>
  <c r="I39" i="6"/>
  <c r="H39" i="6"/>
  <c r="G39" i="6"/>
  <c r="F39" i="6"/>
  <c r="E39" i="6"/>
  <c r="D39" i="6"/>
  <c r="I38" i="6"/>
  <c r="H38" i="6"/>
  <c r="G38" i="6"/>
  <c r="F38" i="6"/>
  <c r="E38" i="6"/>
  <c r="D38" i="6"/>
  <c r="I37" i="6"/>
  <c r="H37" i="6"/>
  <c r="G37" i="6"/>
  <c r="F37" i="6"/>
  <c r="E37" i="6"/>
  <c r="D37" i="6"/>
  <c r="I36" i="6"/>
  <c r="H36" i="6"/>
  <c r="G36" i="6"/>
  <c r="F36" i="6"/>
  <c r="E36" i="6"/>
  <c r="D36" i="6"/>
  <c r="I35" i="6"/>
  <c r="H35" i="6"/>
  <c r="G35" i="6"/>
  <c r="F35" i="6"/>
  <c r="E35" i="6"/>
  <c r="D35" i="6"/>
  <c r="I34" i="6"/>
  <c r="H34" i="6"/>
  <c r="G34" i="6"/>
  <c r="F34" i="6"/>
  <c r="E34" i="6"/>
  <c r="D34" i="6"/>
  <c r="I33" i="6"/>
  <c r="H33" i="6"/>
  <c r="G33" i="6"/>
  <c r="F33" i="6"/>
  <c r="E33" i="6"/>
  <c r="D33" i="6"/>
  <c r="I32" i="6"/>
  <c r="H32" i="6"/>
  <c r="G32" i="6"/>
  <c r="F32" i="6"/>
  <c r="E32" i="6"/>
  <c r="D32" i="6"/>
  <c r="I31" i="6"/>
  <c r="H31" i="6"/>
  <c r="G31" i="6"/>
  <c r="F31" i="6"/>
  <c r="E31" i="6"/>
  <c r="D31" i="6"/>
  <c r="I30" i="6"/>
  <c r="H30" i="6"/>
  <c r="G30" i="6"/>
  <c r="F30" i="6"/>
  <c r="E30" i="6"/>
  <c r="D30" i="6"/>
  <c r="I29" i="6"/>
  <c r="H29" i="6"/>
  <c r="G29" i="6"/>
  <c r="F29" i="6"/>
  <c r="E29" i="6"/>
  <c r="D29" i="6"/>
  <c r="I28" i="6"/>
  <c r="H28" i="6"/>
  <c r="G28" i="6"/>
  <c r="F28" i="6"/>
  <c r="E28" i="6"/>
  <c r="D28" i="6"/>
  <c r="I27" i="6"/>
  <c r="H27" i="6"/>
  <c r="G27" i="6"/>
  <c r="F27" i="6"/>
  <c r="E27" i="6"/>
  <c r="D27" i="6"/>
  <c r="I26" i="6"/>
  <c r="H26" i="6"/>
  <c r="G26" i="6"/>
  <c r="F26" i="6"/>
  <c r="E26" i="6"/>
  <c r="D26" i="6"/>
  <c r="I25" i="6"/>
  <c r="H25" i="6"/>
  <c r="G25" i="6"/>
  <c r="F25" i="6"/>
  <c r="E25" i="6"/>
  <c r="D25" i="6"/>
  <c r="I24" i="6"/>
  <c r="H24" i="6"/>
  <c r="G24" i="6"/>
  <c r="F24" i="6"/>
  <c r="E24" i="6"/>
  <c r="D24" i="6"/>
  <c r="I23" i="6"/>
  <c r="H23" i="6"/>
  <c r="G23" i="6"/>
  <c r="F23" i="6"/>
  <c r="E23" i="6"/>
  <c r="D23" i="6"/>
  <c r="I22" i="6"/>
  <c r="H22" i="6"/>
  <c r="G22" i="6"/>
  <c r="F22" i="6"/>
  <c r="E22" i="6"/>
  <c r="D22" i="6"/>
  <c r="I21" i="6"/>
  <c r="H21" i="6"/>
  <c r="G21" i="6"/>
  <c r="F21" i="6"/>
  <c r="E21" i="6"/>
  <c r="D21" i="6"/>
  <c r="I20" i="6"/>
  <c r="H20" i="6"/>
  <c r="G20" i="6"/>
  <c r="F20" i="6"/>
  <c r="E20" i="6"/>
  <c r="D20" i="6"/>
  <c r="I19" i="6"/>
  <c r="H19" i="6"/>
  <c r="G19" i="6"/>
  <c r="F19" i="6"/>
  <c r="E19" i="6"/>
  <c r="D19" i="6"/>
  <c r="I18" i="6"/>
  <c r="H18" i="6"/>
  <c r="G18" i="6"/>
  <c r="F18" i="6"/>
  <c r="E18" i="6"/>
  <c r="D18" i="6"/>
  <c r="I17" i="6"/>
  <c r="H17" i="6"/>
  <c r="G17" i="6"/>
  <c r="F17" i="6"/>
  <c r="E17" i="6"/>
  <c r="D17" i="6"/>
  <c r="I16" i="6"/>
  <c r="H16" i="6"/>
  <c r="G16" i="6"/>
  <c r="F16" i="6"/>
  <c r="E16" i="6"/>
  <c r="D16" i="6"/>
  <c r="I15" i="6"/>
  <c r="H15" i="6"/>
  <c r="G15" i="6"/>
  <c r="F15" i="6"/>
  <c r="E15" i="6"/>
  <c r="D15" i="6"/>
  <c r="I14" i="6"/>
  <c r="H14" i="6"/>
  <c r="G14" i="6"/>
  <c r="F14" i="6"/>
  <c r="E14" i="6"/>
  <c r="D14" i="6"/>
  <c r="I13" i="6"/>
  <c r="H13" i="6"/>
  <c r="G13" i="6"/>
  <c r="F13" i="6"/>
  <c r="E13" i="6"/>
  <c r="D13" i="6"/>
  <c r="I12" i="6"/>
  <c r="H12" i="6"/>
  <c r="G12" i="6"/>
  <c r="F12" i="6"/>
  <c r="E12" i="6"/>
  <c r="D12" i="6"/>
  <c r="I11" i="6"/>
  <c r="H11" i="6"/>
  <c r="G11" i="6"/>
  <c r="F11" i="6"/>
  <c r="E11" i="6"/>
  <c r="D11" i="6"/>
  <c r="I10" i="6"/>
  <c r="H10" i="6"/>
  <c r="G10" i="6"/>
  <c r="F10" i="6"/>
  <c r="E10" i="6"/>
  <c r="D10" i="6"/>
</calcChain>
</file>

<file path=xl/sharedStrings.xml><?xml version="1.0" encoding="utf-8"?>
<sst xmlns="http://schemas.openxmlformats.org/spreadsheetml/2006/main" count="750" uniqueCount="119">
  <si>
    <t>Date:</t>
  </si>
  <si>
    <t>Comments:</t>
  </si>
  <si>
    <t>By:</t>
  </si>
  <si>
    <t>Plot</t>
  </si>
  <si>
    <t>Trt.</t>
  </si>
  <si>
    <t>Irrig.</t>
  </si>
  <si>
    <t>Pop.</t>
  </si>
  <si>
    <t>N</t>
  </si>
  <si>
    <t>Block</t>
  </si>
  <si>
    <t>Exotech Code</t>
  </si>
  <si>
    <t>Acron</t>
  </si>
  <si>
    <t>Time</t>
  </si>
  <si>
    <t>Cover</t>
  </si>
  <si>
    <t>Height</t>
  </si>
  <si>
    <t>Trt</t>
  </si>
  <si>
    <t>Irr</t>
  </si>
  <si>
    <t>Pop</t>
  </si>
  <si>
    <t>Nit</t>
  </si>
  <si>
    <t>ExotechCode</t>
  </si>
  <si>
    <t>Meas</t>
  </si>
  <si>
    <t>3.25</t>
  </si>
  <si>
    <t>7.25</t>
  </si>
  <si>
    <t>8.25</t>
  </si>
  <si>
    <t>DOY:</t>
  </si>
  <si>
    <t>Meas. (in cm)</t>
  </si>
  <si>
    <t>Comments</t>
  </si>
  <si>
    <t>SMM</t>
  </si>
  <si>
    <t>Row</t>
  </si>
  <si>
    <t>Ptly cloudy.  Calm to slight breeze.</t>
  </si>
  <si>
    <t>In row # 6 of each border - 2 rows west of neutron tubes.</t>
  </si>
  <si>
    <t>In row #7 - Neutron tubes in row #5</t>
  </si>
  <si>
    <r>
      <rPr>
        <b/>
        <sz val="14"/>
        <rFont val="Arial Rounded MT Bold"/>
        <family val="2"/>
      </rPr>
      <t>East</t>
    </r>
    <r>
      <rPr>
        <b/>
        <sz val="10"/>
        <rFont val="Arial Rounded MT Bold"/>
        <family val="2"/>
      </rPr>
      <t xml:space="preserve">            S </t>
    </r>
    <r>
      <rPr>
        <b/>
        <sz val="11"/>
        <rFont val="Arial Rounded MT Bold"/>
        <family val="2"/>
      </rPr>
      <t>→</t>
    </r>
    <r>
      <rPr>
        <b/>
        <sz val="10"/>
        <rFont val="Arial Rounded MT Bold"/>
        <family val="2"/>
      </rPr>
      <t xml:space="preserve"> N</t>
    </r>
  </si>
  <si>
    <r>
      <t xml:space="preserve">N </t>
    </r>
    <r>
      <rPr>
        <b/>
        <sz val="11"/>
        <rFont val="Arial Rounded MT Bold"/>
        <family val="2"/>
      </rPr>
      <t>→</t>
    </r>
    <r>
      <rPr>
        <b/>
        <sz val="10"/>
        <rFont val="Arial Rounded MT Bold"/>
        <family val="2"/>
      </rPr>
      <t xml:space="preserve"> S</t>
    </r>
  </si>
  <si>
    <r>
      <t xml:space="preserve">S </t>
    </r>
    <r>
      <rPr>
        <b/>
        <sz val="11"/>
        <rFont val="Arial Rounded MT Bold"/>
        <family val="2"/>
      </rPr>
      <t>→</t>
    </r>
    <r>
      <rPr>
        <b/>
        <sz val="10"/>
        <rFont val="Arial Rounded MT Bold"/>
        <family val="2"/>
      </rPr>
      <t xml:space="preserve"> N</t>
    </r>
  </si>
  <si>
    <r>
      <rPr>
        <b/>
        <sz val="14"/>
        <rFont val="Arial Rounded MT Bold"/>
        <family val="2"/>
      </rPr>
      <t>West</t>
    </r>
    <r>
      <rPr>
        <b/>
        <sz val="10"/>
        <rFont val="Arial Rounded MT Bold"/>
        <family val="2"/>
      </rPr>
      <t xml:space="preserve">            N </t>
    </r>
    <r>
      <rPr>
        <b/>
        <sz val="11"/>
        <rFont val="Arial Rounded MT Bold"/>
        <family val="2"/>
      </rPr>
      <t>→</t>
    </r>
    <r>
      <rPr>
        <b/>
        <sz val="10"/>
        <rFont val="Arial Rounded MT Bold"/>
        <family val="2"/>
      </rPr>
      <t xml:space="preserve"> S</t>
    </r>
  </si>
  <si>
    <t>Irrigation later today.  A couple of breaks during measurements.</t>
  </si>
  <si>
    <t>Clear. Moderate wind from South.  Wind not a problem.</t>
  </si>
  <si>
    <t>Point A</t>
  </si>
  <si>
    <t>Point B</t>
  </si>
  <si>
    <t>Point C</t>
  </si>
  <si>
    <t>FISE2009 -Cotton Plant Cover and Heights</t>
  </si>
  <si>
    <t>Partly cloudy. Calm to slight breeze with ocassional</t>
  </si>
  <si>
    <t>light gusts.</t>
  </si>
  <si>
    <t>Clear.  Light wind from SW.  Hard to get accurate canopy</t>
  </si>
  <si>
    <t>cover on the taller plants.  Muddy &amp; slippery.</t>
  </si>
  <si>
    <t>1100h - need more flagging tape.  Break in measurements.</t>
  </si>
  <si>
    <t>Flagging the measurement location fwith a strip of flagging tape on row 6.</t>
  </si>
  <si>
    <t>Clear.  Little breeze.  Irrigation of NDBs today.</t>
  </si>
  <si>
    <t>Being irrigated</t>
  </si>
  <si>
    <t>Mostly full cover.</t>
  </si>
  <si>
    <t>Wilted.</t>
  </si>
  <si>
    <t>Full cover.</t>
  </si>
  <si>
    <t>Break to take photos of B8 (irrigation to start very soon).</t>
  </si>
  <si>
    <t>S → N</t>
  </si>
  <si>
    <t>Mostly closed canopy</t>
  </si>
  <si>
    <t>closed canopy</t>
  </si>
  <si>
    <r>
      <t xml:space="preserve">N </t>
    </r>
    <r>
      <rPr>
        <b/>
        <sz val="11"/>
        <color indexed="60"/>
        <rFont val="Arial Rounded MT Bold"/>
        <family val="2"/>
      </rPr>
      <t>→</t>
    </r>
    <r>
      <rPr>
        <b/>
        <sz val="10"/>
        <color indexed="60"/>
        <rFont val="Arial Rounded MT Bold"/>
        <family val="2"/>
      </rPr>
      <t xml:space="preserve"> S</t>
    </r>
  </si>
  <si>
    <r>
      <t xml:space="preserve">S </t>
    </r>
    <r>
      <rPr>
        <b/>
        <sz val="11"/>
        <color indexed="60"/>
        <rFont val="Arial Rounded MT Bold"/>
        <family val="2"/>
      </rPr>
      <t>→</t>
    </r>
    <r>
      <rPr>
        <b/>
        <sz val="10"/>
        <color indexed="60"/>
        <rFont val="Arial Rounded MT Bold"/>
        <family val="2"/>
      </rPr>
      <t xml:space="preserve"> N</t>
    </r>
  </si>
  <si>
    <t>Closed</t>
  </si>
  <si>
    <t>Canopies are closed.  Low 100 ° temps.  Low humidity.</t>
  </si>
  <si>
    <t>Wind moderate out of the West.  Nice!</t>
  </si>
  <si>
    <t>Moving flagging up higher on the plants so I can see them for taking photos later.</t>
  </si>
  <si>
    <t>Need more pencil lead.  Back to ALARC.</t>
  </si>
  <si>
    <t>A lot of plants falling over.  Hard to walk through</t>
  </si>
  <si>
    <t>DOY154</t>
  </si>
  <si>
    <t>DOY163</t>
  </si>
  <si>
    <t>DOY174</t>
  </si>
  <si>
    <t>DOY187</t>
  </si>
  <si>
    <t>DOY194</t>
  </si>
  <si>
    <t>DOY219</t>
  </si>
  <si>
    <t>p01-1</t>
  </si>
  <si>
    <t>p01-2</t>
  </si>
  <si>
    <t>p01-3</t>
  </si>
  <si>
    <t>p02-1</t>
  </si>
  <si>
    <t>p02-2</t>
  </si>
  <si>
    <t>p02-3</t>
  </si>
  <si>
    <t>p03-1</t>
  </si>
  <si>
    <t>p03-2</t>
  </si>
  <si>
    <t>p03-3</t>
  </si>
  <si>
    <t>p04-1</t>
  </si>
  <si>
    <t>p04-2</t>
  </si>
  <si>
    <t>p04-3</t>
  </si>
  <si>
    <t>p05-1</t>
  </si>
  <si>
    <t>p05-2</t>
  </si>
  <si>
    <t>p05-3</t>
  </si>
  <si>
    <t>p06-1</t>
  </si>
  <si>
    <t>p06-2</t>
  </si>
  <si>
    <t>p06-3</t>
  </si>
  <si>
    <t>p07-1</t>
  </si>
  <si>
    <t>p07-2</t>
  </si>
  <si>
    <t>p07-3</t>
  </si>
  <si>
    <t>p08-1</t>
  </si>
  <si>
    <t>p08-2</t>
  </si>
  <si>
    <t>p08-3</t>
  </si>
  <si>
    <t>p09-1</t>
  </si>
  <si>
    <t>p09-2</t>
  </si>
  <si>
    <t>p09-3</t>
  </si>
  <si>
    <t>p10-1</t>
  </si>
  <si>
    <t>p10-2</t>
  </si>
  <si>
    <t>p10-3</t>
  </si>
  <si>
    <t>p11-1</t>
  </si>
  <si>
    <t>p11-2</t>
  </si>
  <si>
    <t>p11-3</t>
  </si>
  <si>
    <t>p12-1</t>
  </si>
  <si>
    <t>p12-2</t>
  </si>
  <si>
    <t>p12-3</t>
  </si>
  <si>
    <t>p13-1</t>
  </si>
  <si>
    <t>p13-2</t>
  </si>
  <si>
    <t>p13-3</t>
  </si>
  <si>
    <t>p14-1</t>
  </si>
  <si>
    <t>p14-2</t>
  </si>
  <si>
    <t>p14-3</t>
  </si>
  <si>
    <t>p15-1</t>
  </si>
  <si>
    <t>p15-2</t>
  </si>
  <si>
    <t>p15-3</t>
  </si>
  <si>
    <t>p16-1</t>
  </si>
  <si>
    <t>p16-2</t>
  </si>
  <si>
    <t>p16-3</t>
  </si>
  <si>
    <t>CCID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</si>
</sst>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"/>
    <numFmt numFmtId="165" formatCode="0000"/>
  </numFmts>
  <fonts count="19" x14ac:knownFonts="1">
    <font>
      <sz val="10"/>
      <name val="Arial"/>
    </font>
    <font>
      <b/>
      <sz val="14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b/>
      <sz val="10"/>
      <name val="Arial Rounded MT Bold"/>
      <family val="2"/>
    </font>
    <font>
      <sz val="10"/>
      <name val="Arial Rounded MT Bold"/>
      <family val="2"/>
    </font>
    <font>
      <b/>
      <sz val="14"/>
      <name val="Arial Rounded MT Bold"/>
      <family val="2"/>
    </font>
    <font>
      <b/>
      <sz val="11"/>
      <name val="Arial Rounded MT Bold"/>
      <family val="2"/>
    </font>
    <font>
      <b/>
      <sz val="10"/>
      <color indexed="60"/>
      <name val="Arial Rounded MT Bold"/>
      <family val="2"/>
    </font>
    <font>
      <b/>
      <sz val="11"/>
      <color indexed="60"/>
      <name val="Arial Rounded MT Bold"/>
      <family val="2"/>
    </font>
    <font>
      <b/>
      <sz val="10"/>
      <color theme="0" tint="-0.24994659260841701"/>
      <name val="Arial"/>
      <family val="2"/>
    </font>
    <font>
      <sz val="10"/>
      <color theme="0" tint="-0.24994659260841701"/>
      <name val="Arial"/>
      <family val="2"/>
    </font>
    <font>
      <b/>
      <sz val="10"/>
      <color rgb="FFB80000"/>
      <name val="Arial Rounded MT Bold"/>
      <family val="2"/>
    </font>
    <font>
      <sz val="10"/>
      <color rgb="FFB80000"/>
      <name val="Arial Rounded MT Bold"/>
      <family val="2"/>
    </font>
    <font>
      <sz val="10"/>
      <color rgb="FFB8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6" tint="0.59996337778862885"/>
        <bgColor indexed="64"/>
      </patternFill>
    </fill>
    <fill>
      <patternFill patternType="gray0625">
        <fgColor theme="0" tint="-0.24994659260841701"/>
        <bgColor indexed="65"/>
      </patternFill>
    </fill>
  </fills>
  <borders count="2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8"/>
      </left>
      <right style="thin">
        <color indexed="64"/>
      </right>
      <top style="medium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medium">
        <color indexed="8"/>
      </bottom>
      <diagonal/>
    </border>
    <border>
      <left style="thin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indexed="64"/>
      </right>
      <top/>
      <bottom style="medium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1" fillId="0" borderId="0" xfId="0" applyFont="1"/>
    <xf numFmtId="0" fontId="2" fillId="0" borderId="1" xfId="0" applyFont="1" applyBorder="1"/>
    <xf numFmtId="0" fontId="0" fillId="0" borderId="1" xfId="0" applyBorder="1"/>
    <xf numFmtId="0" fontId="0" fillId="0" borderId="2" xfId="0" applyBorder="1"/>
    <xf numFmtId="0" fontId="0" fillId="0" borderId="0" xfId="0" applyAlignment="1">
      <alignment horizontal="center" vertical="center"/>
    </xf>
    <xf numFmtId="0" fontId="3" fillId="0" borderId="3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4" fillId="0" borderId="0" xfId="0" applyFont="1"/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5" fillId="0" borderId="0" xfId="0" applyFont="1"/>
    <xf numFmtId="0" fontId="0" fillId="0" borderId="0" xfId="0" applyAlignment="1">
      <alignment horizontal="right"/>
    </xf>
    <xf numFmtId="0" fontId="0" fillId="0" borderId="0" xfId="0" quotePrefix="1" applyAlignment="1">
      <alignment horizontal="center"/>
    </xf>
    <xf numFmtId="49" fontId="0" fillId="0" borderId="0" xfId="0" applyNumberFormat="1" applyAlignment="1">
      <alignment horizontal="center"/>
    </xf>
    <xf numFmtId="0" fontId="2" fillId="0" borderId="0" xfId="0" applyFont="1" applyAlignment="1">
      <alignment horizontal="right"/>
    </xf>
    <xf numFmtId="0" fontId="2" fillId="0" borderId="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14" fontId="2" fillId="0" borderId="1" xfId="0" applyNumberFormat="1" applyFont="1" applyBorder="1"/>
    <xf numFmtId="0" fontId="1" fillId="0" borderId="0" xfId="0" applyFont="1" applyAlignment="1">
      <alignment horizontal="center" vertical="center"/>
    </xf>
    <xf numFmtId="49" fontId="3" fillId="0" borderId="6" xfId="0" applyNumberFormat="1" applyFont="1" applyBorder="1" applyAlignment="1">
      <alignment horizontal="center" vertical="center" wrapText="1"/>
    </xf>
    <xf numFmtId="49" fontId="3" fillId="0" borderId="6" xfId="0" applyNumberFormat="1" applyFont="1" applyBorder="1" applyAlignment="1">
      <alignment horizontal="center" vertical="center"/>
    </xf>
    <xf numFmtId="49" fontId="2" fillId="0" borderId="6" xfId="0" applyNumberFormat="1" applyFont="1" applyBorder="1" applyAlignment="1">
      <alignment horizontal="center"/>
    </xf>
    <xf numFmtId="49" fontId="2" fillId="0" borderId="6" xfId="0" applyNumberFormat="1" applyFont="1" applyBorder="1" applyAlignment="1">
      <alignment horizontal="center" vertical="center"/>
    </xf>
    <xf numFmtId="14" fontId="2" fillId="0" borderId="0" xfId="0" applyNumberFormat="1" applyFont="1"/>
    <xf numFmtId="0" fontId="2" fillId="0" borderId="0" xfId="0" applyFont="1"/>
    <xf numFmtId="0" fontId="6" fillId="0" borderId="0" xfId="0" applyFont="1" applyAlignment="1">
      <alignment horizontal="center"/>
    </xf>
    <xf numFmtId="49" fontId="2" fillId="0" borderId="7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4" fillId="0" borderId="1" xfId="0" applyFont="1" applyBorder="1"/>
    <xf numFmtId="0" fontId="5" fillId="0" borderId="13" xfId="0" applyFont="1" applyBorder="1" applyAlignment="1">
      <alignment horizontal="centerContinuous" vertical="center"/>
    </xf>
    <xf numFmtId="0" fontId="4" fillId="0" borderId="14" xfId="0" applyFont="1" applyBorder="1" applyAlignment="1">
      <alignment vertical="top"/>
    </xf>
    <xf numFmtId="0" fontId="4" fillId="0" borderId="15" xfId="0" applyFont="1" applyBorder="1" applyAlignment="1">
      <alignment vertical="top"/>
    </xf>
    <xf numFmtId="0" fontId="4" fillId="0" borderId="16" xfId="0" applyFont="1" applyBorder="1" applyAlignment="1">
      <alignment vertical="top"/>
    </xf>
    <xf numFmtId="0" fontId="4" fillId="0" borderId="17" xfId="0" applyFont="1" applyBorder="1" applyAlignment="1">
      <alignment vertical="top"/>
    </xf>
    <xf numFmtId="0" fontId="2" fillId="0" borderId="10" xfId="0" quotePrefix="1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4" fillId="2" borderId="16" xfId="0" applyFont="1" applyFill="1" applyBorder="1"/>
    <xf numFmtId="0" fontId="4" fillId="2" borderId="17" xfId="0" applyFont="1" applyFill="1" applyBorder="1"/>
    <xf numFmtId="0" fontId="14" fillId="3" borderId="4" xfId="0" applyFont="1" applyFill="1" applyBorder="1" applyAlignment="1">
      <alignment horizontal="center" vertical="center"/>
    </xf>
    <xf numFmtId="0" fontId="15" fillId="3" borderId="10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6" fillId="0" borderId="4" xfId="0" applyFont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20" xfId="0" applyFont="1" applyBorder="1" applyAlignment="1">
      <alignment horizontal="center"/>
    </xf>
    <xf numFmtId="0" fontId="2" fillId="0" borderId="21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2" fillId="0" borderId="9" xfId="0" applyFont="1" applyBorder="1" applyAlignment="1">
      <alignment horizontal="right"/>
    </xf>
    <xf numFmtId="0" fontId="0" fillId="0" borderId="22" xfId="0" applyBorder="1" applyAlignment="1">
      <alignment horizontal="right"/>
    </xf>
    <xf numFmtId="0" fontId="0" fillId="0" borderId="23" xfId="0" applyBorder="1" applyAlignment="1">
      <alignment horizontal="right"/>
    </xf>
    <xf numFmtId="0" fontId="6" fillId="0" borderId="21" xfId="0" quotePrefix="1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8" fillId="0" borderId="21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center" vertical="center" wrapText="1"/>
    </xf>
    <xf numFmtId="165" fontId="4" fillId="0" borderId="21" xfId="0" applyNumberFormat="1" applyFont="1" applyBorder="1" applyAlignment="1">
      <alignment horizontal="center" vertical="center"/>
    </xf>
    <xf numFmtId="165" fontId="4" fillId="0" borderId="13" xfId="0" applyNumberFormat="1" applyFont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165" fontId="4" fillId="0" borderId="24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vertical="top" wrapText="1"/>
    </xf>
    <xf numFmtId="0" fontId="4" fillId="0" borderId="26" xfId="0" applyFont="1" applyBorder="1" applyAlignment="1">
      <alignment vertical="top" wrapText="1"/>
    </xf>
    <xf numFmtId="164" fontId="6" fillId="0" borderId="21" xfId="0" quotePrefix="1" applyNumberFormat="1" applyFont="1" applyBorder="1" applyAlignment="1">
      <alignment horizontal="center" vertical="center"/>
    </xf>
    <xf numFmtId="165" fontId="4" fillId="2" borderId="24" xfId="0" applyNumberFormat="1" applyFont="1" applyFill="1" applyBorder="1" applyAlignment="1">
      <alignment horizontal="center" vertical="center"/>
    </xf>
    <xf numFmtId="165" fontId="4" fillId="2" borderId="13" xfId="0" applyNumberFormat="1" applyFont="1" applyFill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17" fillId="0" borderId="13" xfId="0" applyFont="1" applyBorder="1" applyAlignment="1">
      <alignment horizontal="center" vertical="center"/>
    </xf>
    <xf numFmtId="0" fontId="16" fillId="0" borderId="24" xfId="0" applyFont="1" applyBorder="1" applyAlignment="1">
      <alignment horizontal="center" vertical="center"/>
    </xf>
    <xf numFmtId="0" fontId="18" fillId="0" borderId="13" xfId="0" applyFont="1" applyBorder="1" applyAlignment="1">
      <alignment horizontal="center" vertical="center"/>
    </xf>
    <xf numFmtId="0" fontId="4" fillId="0" borderId="14" xfId="0" applyFont="1" applyBorder="1" applyAlignment="1">
      <alignment vertical="center" wrapText="1"/>
    </xf>
    <xf numFmtId="0" fontId="0" fillId="0" borderId="15" xfId="0" applyBorder="1" applyAlignment="1">
      <alignment vertical="center" wrapText="1"/>
    </xf>
    <xf numFmtId="0" fontId="4" fillId="0" borderId="17" xfId="0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3089" name="Line 1">
          <a:extLst>
            <a:ext uri="{FF2B5EF4-FFF2-40B4-BE49-F238E27FC236}">
              <a16:creationId xmlns:a16="http://schemas.microsoft.com/office/drawing/2014/main" id="{5B2D4DF7-51C6-4656-248B-9B23A0084958}"/>
            </a:ext>
          </a:extLst>
        </xdr:cNvPr>
        <xdr:cNvSpPr>
          <a:spLocks noChangeShapeType="1"/>
        </xdr:cNvSpPr>
      </xdr:nvSpPr>
      <xdr:spPr bwMode="auto">
        <a:xfrm flipV="1">
          <a:off x="0" y="0"/>
          <a:ext cx="0" cy="0"/>
        </a:xfrm>
        <a:prstGeom prst="line">
          <a:avLst/>
        </a:prstGeom>
        <a:noFill/>
        <a:ln w="28575">
          <a:solidFill>
            <a:srgbClr val="000000"/>
          </a:solidFill>
          <a:round/>
          <a:headEnd/>
          <a:tailEnd type="stealth" w="med" len="lg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5135" name="Line 1">
          <a:extLst>
            <a:ext uri="{FF2B5EF4-FFF2-40B4-BE49-F238E27FC236}">
              <a16:creationId xmlns:a16="http://schemas.microsoft.com/office/drawing/2014/main" id="{0A0990A0-7F1D-1AA2-ED7D-F44BC6CA584B}"/>
            </a:ext>
          </a:extLst>
        </xdr:cNvPr>
        <xdr:cNvSpPr>
          <a:spLocks noChangeShapeType="1"/>
        </xdr:cNvSpPr>
      </xdr:nvSpPr>
      <xdr:spPr bwMode="auto">
        <a:xfrm flipV="1">
          <a:off x="0" y="0"/>
          <a:ext cx="0" cy="0"/>
        </a:xfrm>
        <a:prstGeom prst="line">
          <a:avLst/>
        </a:prstGeom>
        <a:noFill/>
        <a:ln w="28575">
          <a:solidFill>
            <a:srgbClr val="000000"/>
          </a:solidFill>
          <a:round/>
          <a:headEnd/>
          <a:tailEnd type="stealth" w="med" len="lg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6155" name="Line 1">
          <a:extLst>
            <a:ext uri="{FF2B5EF4-FFF2-40B4-BE49-F238E27FC236}">
              <a16:creationId xmlns:a16="http://schemas.microsoft.com/office/drawing/2014/main" id="{2BDF8B97-413B-1E56-5103-04DE46543860}"/>
            </a:ext>
          </a:extLst>
        </xdr:cNvPr>
        <xdr:cNvSpPr>
          <a:spLocks noChangeShapeType="1"/>
        </xdr:cNvSpPr>
      </xdr:nvSpPr>
      <xdr:spPr bwMode="auto">
        <a:xfrm flipV="1">
          <a:off x="0" y="0"/>
          <a:ext cx="0" cy="0"/>
        </a:xfrm>
        <a:prstGeom prst="line">
          <a:avLst/>
        </a:prstGeom>
        <a:noFill/>
        <a:ln w="28575">
          <a:solidFill>
            <a:srgbClr val="000000"/>
          </a:solidFill>
          <a:round/>
          <a:headEnd/>
          <a:tailEnd type="stealth" w="med" len="lg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7176" name="Line 1">
          <a:extLst>
            <a:ext uri="{FF2B5EF4-FFF2-40B4-BE49-F238E27FC236}">
              <a16:creationId xmlns:a16="http://schemas.microsoft.com/office/drawing/2014/main" id="{6EC0E6ED-6F81-5491-A966-2C68721C5A03}"/>
            </a:ext>
          </a:extLst>
        </xdr:cNvPr>
        <xdr:cNvSpPr>
          <a:spLocks noChangeShapeType="1"/>
        </xdr:cNvSpPr>
      </xdr:nvSpPr>
      <xdr:spPr bwMode="auto">
        <a:xfrm flipV="1">
          <a:off x="0" y="0"/>
          <a:ext cx="0" cy="0"/>
        </a:xfrm>
        <a:prstGeom prst="line">
          <a:avLst/>
        </a:prstGeom>
        <a:noFill/>
        <a:ln w="28575">
          <a:solidFill>
            <a:srgbClr val="000000"/>
          </a:solidFill>
          <a:round/>
          <a:headEnd/>
          <a:tailEnd type="stealth" w="med" len="lg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8199" name="Line 1">
          <a:extLst>
            <a:ext uri="{FF2B5EF4-FFF2-40B4-BE49-F238E27FC236}">
              <a16:creationId xmlns:a16="http://schemas.microsoft.com/office/drawing/2014/main" id="{164ECCB5-6071-3ADC-ADD2-BFF441927876}"/>
            </a:ext>
          </a:extLst>
        </xdr:cNvPr>
        <xdr:cNvSpPr>
          <a:spLocks noChangeShapeType="1"/>
        </xdr:cNvSpPr>
      </xdr:nvSpPr>
      <xdr:spPr bwMode="auto">
        <a:xfrm flipV="1">
          <a:off x="0" y="0"/>
          <a:ext cx="0" cy="0"/>
        </a:xfrm>
        <a:prstGeom prst="line">
          <a:avLst/>
        </a:prstGeom>
        <a:noFill/>
        <a:ln w="28575">
          <a:solidFill>
            <a:srgbClr val="000000"/>
          </a:solidFill>
          <a:round/>
          <a:headEnd/>
          <a:tailEnd type="stealth" w="med" len="lg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9219" name="Line 1">
          <a:extLst>
            <a:ext uri="{FF2B5EF4-FFF2-40B4-BE49-F238E27FC236}">
              <a16:creationId xmlns:a16="http://schemas.microsoft.com/office/drawing/2014/main" id="{C9762063-9776-3B0C-F3B0-F5F39B0D8CB6}"/>
            </a:ext>
          </a:extLst>
        </xdr:cNvPr>
        <xdr:cNvSpPr>
          <a:spLocks noChangeShapeType="1"/>
        </xdr:cNvSpPr>
      </xdr:nvSpPr>
      <xdr:spPr bwMode="auto">
        <a:xfrm flipV="1">
          <a:off x="0" y="0"/>
          <a:ext cx="0" cy="0"/>
        </a:xfrm>
        <a:prstGeom prst="line">
          <a:avLst/>
        </a:prstGeom>
        <a:noFill/>
        <a:ln w="28575">
          <a:solidFill>
            <a:srgbClr val="000000"/>
          </a:solidFill>
          <a:round/>
          <a:headEnd/>
          <a:tailEnd type="stealth" w="med" len="lg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4113" name="Line 1">
          <a:extLst>
            <a:ext uri="{FF2B5EF4-FFF2-40B4-BE49-F238E27FC236}">
              <a16:creationId xmlns:a16="http://schemas.microsoft.com/office/drawing/2014/main" id="{C65541B2-7A8C-074D-396D-9144FD3B11DE}"/>
            </a:ext>
          </a:extLst>
        </xdr:cNvPr>
        <xdr:cNvSpPr>
          <a:spLocks noChangeShapeType="1"/>
        </xdr:cNvSpPr>
      </xdr:nvSpPr>
      <xdr:spPr bwMode="auto">
        <a:xfrm flipV="1">
          <a:off x="0" y="0"/>
          <a:ext cx="0" cy="0"/>
        </a:xfrm>
        <a:prstGeom prst="line">
          <a:avLst/>
        </a:prstGeom>
        <a:noFill/>
        <a:ln w="28575">
          <a:solidFill>
            <a:srgbClr val="000000"/>
          </a:solidFill>
          <a:round/>
          <a:headEnd/>
          <a:tailEnd type="stealth" w="med" len="lg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2AFF3-894B-4C6A-8ED9-14310DA1CAA6}">
  <dimension ref="A1:G49"/>
  <sheetViews>
    <sheetView tabSelected="1" workbookViewId="0"/>
  </sheetViews>
  <sheetFormatPr defaultRowHeight="12.75" x14ac:dyDescent="0.2"/>
  <sheetData>
    <row r="1" spans="1:7" x14ac:dyDescent="0.2">
      <c r="A1" t="s">
        <v>118</v>
      </c>
      <c r="B1" t="s">
        <v>64</v>
      </c>
      <c r="C1" t="s">
        <v>65</v>
      </c>
      <c r="D1" t="s">
        <v>66</v>
      </c>
      <c r="E1" t="s">
        <v>67</v>
      </c>
      <c r="F1" t="s">
        <v>68</v>
      </c>
      <c r="G1" t="s">
        <v>69</v>
      </c>
    </row>
    <row r="2" spans="1:7" x14ac:dyDescent="0.2">
      <c r="A2" t="s">
        <v>70</v>
      </c>
      <c r="B2">
        <v>35</v>
      </c>
      <c r="C2">
        <v>55</v>
      </c>
      <c r="D2">
        <v>64</v>
      </c>
      <c r="E2">
        <v>87</v>
      </c>
      <c r="F2">
        <v>95</v>
      </c>
      <c r="G2">
        <v>121</v>
      </c>
    </row>
    <row r="3" spans="1:7" x14ac:dyDescent="0.2">
      <c r="A3" t="s">
        <v>71</v>
      </c>
      <c r="B3">
        <v>42</v>
      </c>
      <c r="C3">
        <v>53</v>
      </c>
      <c r="D3">
        <v>63</v>
      </c>
      <c r="E3">
        <v>94</v>
      </c>
      <c r="F3">
        <v>111</v>
      </c>
      <c r="G3">
        <v>141</v>
      </c>
    </row>
    <row r="4" spans="1:7" x14ac:dyDescent="0.2">
      <c r="A4" t="s">
        <v>72</v>
      </c>
      <c r="B4">
        <v>44</v>
      </c>
      <c r="C4">
        <v>57</v>
      </c>
      <c r="D4">
        <v>71</v>
      </c>
      <c r="E4">
        <v>103</v>
      </c>
      <c r="F4">
        <v>117</v>
      </c>
      <c r="G4">
        <v>132</v>
      </c>
    </row>
    <row r="5" spans="1:7" x14ac:dyDescent="0.2">
      <c r="A5" t="s">
        <v>73</v>
      </c>
      <c r="B5">
        <v>43</v>
      </c>
      <c r="C5">
        <v>61</v>
      </c>
      <c r="D5">
        <v>77</v>
      </c>
      <c r="E5">
        <v>102</v>
      </c>
      <c r="G5">
        <v>130</v>
      </c>
    </row>
    <row r="6" spans="1:7" x14ac:dyDescent="0.2">
      <c r="A6" t="s">
        <v>74</v>
      </c>
      <c r="B6">
        <v>44</v>
      </c>
      <c r="C6">
        <v>63</v>
      </c>
      <c r="D6">
        <v>73</v>
      </c>
      <c r="E6">
        <v>102</v>
      </c>
      <c r="G6">
        <v>137</v>
      </c>
    </row>
    <row r="7" spans="1:7" x14ac:dyDescent="0.2">
      <c r="A7" t="s">
        <v>75</v>
      </c>
      <c r="B7">
        <v>45</v>
      </c>
      <c r="C7">
        <v>62</v>
      </c>
      <c r="D7">
        <v>74</v>
      </c>
      <c r="E7">
        <v>101</v>
      </c>
      <c r="G7">
        <v>126</v>
      </c>
    </row>
    <row r="8" spans="1:7" x14ac:dyDescent="0.2">
      <c r="A8" t="s">
        <v>76</v>
      </c>
      <c r="B8">
        <v>41</v>
      </c>
      <c r="C8">
        <v>61</v>
      </c>
      <c r="D8">
        <v>72</v>
      </c>
      <c r="E8">
        <v>89</v>
      </c>
      <c r="F8">
        <v>107</v>
      </c>
      <c r="G8">
        <v>132</v>
      </c>
    </row>
    <row r="9" spans="1:7" x14ac:dyDescent="0.2">
      <c r="A9" t="s">
        <v>77</v>
      </c>
      <c r="B9">
        <v>48</v>
      </c>
      <c r="C9">
        <v>62</v>
      </c>
      <c r="D9">
        <v>67</v>
      </c>
      <c r="E9">
        <v>93</v>
      </c>
      <c r="F9">
        <v>106</v>
      </c>
      <c r="G9">
        <v>144</v>
      </c>
    </row>
    <row r="10" spans="1:7" x14ac:dyDescent="0.2">
      <c r="A10" t="s">
        <v>78</v>
      </c>
      <c r="B10">
        <v>46</v>
      </c>
      <c r="C10">
        <v>64</v>
      </c>
      <c r="D10">
        <v>70</v>
      </c>
      <c r="E10">
        <v>95</v>
      </c>
      <c r="F10">
        <v>110</v>
      </c>
      <c r="G10">
        <v>132</v>
      </c>
    </row>
    <row r="11" spans="1:7" x14ac:dyDescent="0.2">
      <c r="A11" t="s">
        <v>79</v>
      </c>
      <c r="B11">
        <v>36</v>
      </c>
      <c r="C11">
        <v>55</v>
      </c>
      <c r="D11">
        <v>77</v>
      </c>
      <c r="E11">
        <v>115</v>
      </c>
      <c r="F11">
        <v>130</v>
      </c>
      <c r="G11">
        <v>155</v>
      </c>
    </row>
    <row r="12" spans="1:7" x14ac:dyDescent="0.2">
      <c r="A12" t="s">
        <v>80</v>
      </c>
      <c r="B12">
        <v>44</v>
      </c>
      <c r="C12">
        <v>59</v>
      </c>
      <c r="D12">
        <v>73</v>
      </c>
      <c r="E12">
        <v>114</v>
      </c>
      <c r="F12">
        <v>132</v>
      </c>
      <c r="G12">
        <v>151</v>
      </c>
    </row>
    <row r="13" spans="1:7" x14ac:dyDescent="0.2">
      <c r="A13" t="s">
        <v>81</v>
      </c>
      <c r="B13">
        <v>39</v>
      </c>
      <c r="C13">
        <v>54</v>
      </c>
      <c r="D13">
        <v>67</v>
      </c>
      <c r="E13">
        <v>111</v>
      </c>
      <c r="F13">
        <v>128</v>
      </c>
      <c r="G13">
        <v>149</v>
      </c>
    </row>
    <row r="14" spans="1:7" x14ac:dyDescent="0.2">
      <c r="A14" t="s">
        <v>82</v>
      </c>
      <c r="B14">
        <v>44</v>
      </c>
      <c r="C14">
        <v>60</v>
      </c>
      <c r="D14">
        <v>70</v>
      </c>
      <c r="E14">
        <v>104</v>
      </c>
      <c r="F14">
        <v>126</v>
      </c>
      <c r="G14">
        <v>143</v>
      </c>
    </row>
    <row r="15" spans="1:7" x14ac:dyDescent="0.2">
      <c r="A15" t="s">
        <v>83</v>
      </c>
      <c r="B15">
        <v>44</v>
      </c>
      <c r="C15">
        <v>61</v>
      </c>
      <c r="D15">
        <v>70</v>
      </c>
      <c r="E15">
        <v>107</v>
      </c>
      <c r="F15">
        <v>123</v>
      </c>
      <c r="G15">
        <v>155</v>
      </c>
    </row>
    <row r="16" spans="1:7" x14ac:dyDescent="0.2">
      <c r="A16" t="s">
        <v>84</v>
      </c>
      <c r="B16">
        <v>46</v>
      </c>
      <c r="C16">
        <v>58</v>
      </c>
      <c r="D16">
        <v>62</v>
      </c>
      <c r="E16">
        <v>100</v>
      </c>
      <c r="F16">
        <v>118</v>
      </c>
      <c r="G16">
        <v>148</v>
      </c>
    </row>
    <row r="17" spans="1:7" x14ac:dyDescent="0.2">
      <c r="A17" t="s">
        <v>85</v>
      </c>
      <c r="B17">
        <v>43</v>
      </c>
      <c r="C17">
        <v>62</v>
      </c>
      <c r="D17">
        <v>72</v>
      </c>
      <c r="E17">
        <v>94</v>
      </c>
      <c r="F17">
        <v>109</v>
      </c>
      <c r="G17">
        <v>137</v>
      </c>
    </row>
    <row r="18" spans="1:7" x14ac:dyDescent="0.2">
      <c r="A18" t="s">
        <v>86</v>
      </c>
      <c r="B18">
        <v>41</v>
      </c>
      <c r="C18">
        <v>59</v>
      </c>
      <c r="D18">
        <v>69</v>
      </c>
      <c r="E18">
        <v>90</v>
      </c>
      <c r="F18">
        <v>97</v>
      </c>
      <c r="G18">
        <v>138</v>
      </c>
    </row>
    <row r="19" spans="1:7" x14ac:dyDescent="0.2">
      <c r="A19" t="s">
        <v>87</v>
      </c>
      <c r="B19">
        <v>42</v>
      </c>
      <c r="C19">
        <v>56</v>
      </c>
      <c r="D19">
        <v>69</v>
      </c>
      <c r="E19">
        <v>88</v>
      </c>
      <c r="F19">
        <v>91</v>
      </c>
      <c r="G19">
        <v>128</v>
      </c>
    </row>
    <row r="20" spans="1:7" x14ac:dyDescent="0.2">
      <c r="A20" t="s">
        <v>88</v>
      </c>
      <c r="B20">
        <v>40</v>
      </c>
      <c r="C20">
        <v>58</v>
      </c>
      <c r="D20">
        <v>71</v>
      </c>
      <c r="E20">
        <v>106</v>
      </c>
      <c r="F20">
        <v>120</v>
      </c>
      <c r="G20">
        <v>147</v>
      </c>
    </row>
    <row r="21" spans="1:7" x14ac:dyDescent="0.2">
      <c r="A21" t="s">
        <v>89</v>
      </c>
      <c r="B21">
        <v>45</v>
      </c>
      <c r="C21">
        <v>57</v>
      </c>
      <c r="D21">
        <v>73</v>
      </c>
      <c r="E21">
        <v>114</v>
      </c>
      <c r="F21">
        <v>127</v>
      </c>
      <c r="G21">
        <v>158</v>
      </c>
    </row>
    <row r="22" spans="1:7" x14ac:dyDescent="0.2">
      <c r="A22" t="s">
        <v>90</v>
      </c>
      <c r="B22">
        <v>45</v>
      </c>
      <c r="C22">
        <v>64</v>
      </c>
      <c r="D22">
        <v>78</v>
      </c>
      <c r="E22">
        <v>113</v>
      </c>
      <c r="F22">
        <v>136</v>
      </c>
      <c r="G22">
        <v>165</v>
      </c>
    </row>
    <row r="23" spans="1:7" x14ac:dyDescent="0.2">
      <c r="A23" t="s">
        <v>91</v>
      </c>
      <c r="B23">
        <v>38</v>
      </c>
      <c r="C23">
        <v>50</v>
      </c>
      <c r="D23">
        <v>61</v>
      </c>
      <c r="E23">
        <v>97</v>
      </c>
      <c r="F23">
        <v>106</v>
      </c>
      <c r="G23">
        <v>136</v>
      </c>
    </row>
    <row r="24" spans="1:7" x14ac:dyDescent="0.2">
      <c r="A24" t="s">
        <v>92</v>
      </c>
      <c r="B24">
        <v>43</v>
      </c>
      <c r="C24">
        <v>58</v>
      </c>
      <c r="D24">
        <v>72</v>
      </c>
      <c r="E24">
        <v>112</v>
      </c>
      <c r="F24">
        <v>125</v>
      </c>
      <c r="G24">
        <v>151</v>
      </c>
    </row>
    <row r="25" spans="1:7" x14ac:dyDescent="0.2">
      <c r="A25" t="s">
        <v>93</v>
      </c>
      <c r="B25">
        <v>43</v>
      </c>
      <c r="C25">
        <v>57</v>
      </c>
      <c r="D25">
        <v>71</v>
      </c>
      <c r="E25">
        <v>104</v>
      </c>
      <c r="F25">
        <v>118</v>
      </c>
      <c r="G25">
        <v>139</v>
      </c>
    </row>
    <row r="26" spans="1:7" x14ac:dyDescent="0.2">
      <c r="A26" t="s">
        <v>94</v>
      </c>
      <c r="B26">
        <v>34</v>
      </c>
      <c r="C26">
        <v>53</v>
      </c>
      <c r="D26">
        <v>63</v>
      </c>
      <c r="E26">
        <v>95</v>
      </c>
      <c r="F26">
        <v>105</v>
      </c>
      <c r="G26">
        <v>134</v>
      </c>
    </row>
    <row r="27" spans="1:7" x14ac:dyDescent="0.2">
      <c r="A27" t="s">
        <v>95</v>
      </c>
      <c r="B27">
        <v>45</v>
      </c>
      <c r="C27">
        <v>56</v>
      </c>
      <c r="D27">
        <v>66</v>
      </c>
      <c r="E27">
        <v>82</v>
      </c>
      <c r="F27">
        <v>106</v>
      </c>
      <c r="G27">
        <v>135</v>
      </c>
    </row>
    <row r="28" spans="1:7" x14ac:dyDescent="0.2">
      <c r="A28" t="s">
        <v>96</v>
      </c>
      <c r="B28">
        <v>43</v>
      </c>
      <c r="C28">
        <v>58</v>
      </c>
      <c r="D28">
        <v>67</v>
      </c>
      <c r="E28">
        <v>92</v>
      </c>
      <c r="F28">
        <v>103</v>
      </c>
      <c r="G28">
        <v>133</v>
      </c>
    </row>
    <row r="29" spans="1:7" x14ac:dyDescent="0.2">
      <c r="A29" t="s">
        <v>97</v>
      </c>
      <c r="B29">
        <v>39</v>
      </c>
      <c r="C29">
        <v>55</v>
      </c>
      <c r="D29">
        <v>69</v>
      </c>
      <c r="E29">
        <v>103</v>
      </c>
      <c r="F29">
        <v>123</v>
      </c>
      <c r="G29">
        <v>145</v>
      </c>
    </row>
    <row r="30" spans="1:7" x14ac:dyDescent="0.2">
      <c r="A30" t="s">
        <v>98</v>
      </c>
      <c r="B30">
        <v>47</v>
      </c>
      <c r="C30">
        <v>59</v>
      </c>
      <c r="D30">
        <v>72</v>
      </c>
      <c r="E30">
        <v>104</v>
      </c>
      <c r="F30">
        <v>118</v>
      </c>
      <c r="G30">
        <v>142</v>
      </c>
    </row>
    <row r="31" spans="1:7" x14ac:dyDescent="0.2">
      <c r="A31" t="s">
        <v>99</v>
      </c>
      <c r="B31">
        <v>36</v>
      </c>
      <c r="C31">
        <v>55</v>
      </c>
      <c r="D31">
        <v>68</v>
      </c>
      <c r="E31">
        <v>104</v>
      </c>
      <c r="F31">
        <v>119</v>
      </c>
      <c r="G31">
        <v>146</v>
      </c>
    </row>
    <row r="32" spans="1:7" x14ac:dyDescent="0.2">
      <c r="A32" t="s">
        <v>100</v>
      </c>
      <c r="B32">
        <v>42</v>
      </c>
      <c r="C32">
        <v>60</v>
      </c>
      <c r="D32">
        <v>73</v>
      </c>
      <c r="E32">
        <v>106</v>
      </c>
      <c r="F32">
        <v>122</v>
      </c>
      <c r="G32">
        <v>151</v>
      </c>
    </row>
    <row r="33" spans="1:7" x14ac:dyDescent="0.2">
      <c r="A33" t="s">
        <v>101</v>
      </c>
      <c r="B33">
        <v>46</v>
      </c>
      <c r="C33">
        <v>61</v>
      </c>
      <c r="D33">
        <v>74</v>
      </c>
      <c r="E33">
        <v>109</v>
      </c>
      <c r="F33">
        <v>128</v>
      </c>
      <c r="G33">
        <v>154</v>
      </c>
    </row>
    <row r="34" spans="1:7" x14ac:dyDescent="0.2">
      <c r="A34" t="s">
        <v>102</v>
      </c>
      <c r="B34">
        <v>42</v>
      </c>
      <c r="C34">
        <v>57</v>
      </c>
      <c r="D34">
        <v>71</v>
      </c>
      <c r="E34">
        <v>107</v>
      </c>
      <c r="F34">
        <v>121</v>
      </c>
      <c r="G34">
        <v>153</v>
      </c>
    </row>
    <row r="35" spans="1:7" x14ac:dyDescent="0.2">
      <c r="A35" t="s">
        <v>103</v>
      </c>
      <c r="B35">
        <v>46</v>
      </c>
      <c r="C35">
        <v>63</v>
      </c>
      <c r="D35">
        <v>77</v>
      </c>
      <c r="E35">
        <v>118</v>
      </c>
      <c r="F35">
        <v>133</v>
      </c>
      <c r="G35">
        <v>142</v>
      </c>
    </row>
    <row r="36" spans="1:7" x14ac:dyDescent="0.2">
      <c r="A36" t="s">
        <v>104</v>
      </c>
      <c r="B36">
        <v>41</v>
      </c>
      <c r="C36">
        <v>55</v>
      </c>
      <c r="D36">
        <v>77</v>
      </c>
      <c r="E36">
        <v>114</v>
      </c>
      <c r="F36">
        <v>132</v>
      </c>
      <c r="G36">
        <v>155</v>
      </c>
    </row>
    <row r="37" spans="1:7" x14ac:dyDescent="0.2">
      <c r="A37" t="s">
        <v>105</v>
      </c>
      <c r="B37">
        <v>41</v>
      </c>
      <c r="C37">
        <v>58</v>
      </c>
      <c r="D37">
        <v>73</v>
      </c>
      <c r="E37">
        <v>114</v>
      </c>
      <c r="F37">
        <v>127</v>
      </c>
      <c r="G37">
        <v>144</v>
      </c>
    </row>
    <row r="38" spans="1:7" x14ac:dyDescent="0.2">
      <c r="A38" t="s">
        <v>106</v>
      </c>
      <c r="B38">
        <v>43</v>
      </c>
      <c r="C38">
        <v>55</v>
      </c>
      <c r="D38">
        <v>64</v>
      </c>
      <c r="E38">
        <v>95</v>
      </c>
      <c r="F38">
        <v>106</v>
      </c>
      <c r="G38">
        <v>126</v>
      </c>
    </row>
    <row r="39" spans="1:7" x14ac:dyDescent="0.2">
      <c r="A39" t="s">
        <v>107</v>
      </c>
      <c r="B39">
        <v>39</v>
      </c>
      <c r="C39">
        <v>58</v>
      </c>
      <c r="D39">
        <v>66</v>
      </c>
      <c r="E39">
        <v>97</v>
      </c>
      <c r="F39">
        <v>108</v>
      </c>
      <c r="G39">
        <v>126</v>
      </c>
    </row>
    <row r="40" spans="1:7" x14ac:dyDescent="0.2">
      <c r="A40" t="s">
        <v>108</v>
      </c>
      <c r="B40">
        <v>41</v>
      </c>
      <c r="C40">
        <v>56</v>
      </c>
      <c r="D40">
        <v>63</v>
      </c>
      <c r="E40">
        <v>83</v>
      </c>
      <c r="F40">
        <v>94</v>
      </c>
      <c r="G40">
        <v>121</v>
      </c>
    </row>
    <row r="41" spans="1:7" x14ac:dyDescent="0.2">
      <c r="A41" t="s">
        <v>109</v>
      </c>
      <c r="B41">
        <v>41</v>
      </c>
      <c r="C41">
        <v>60</v>
      </c>
      <c r="D41">
        <v>74</v>
      </c>
      <c r="E41">
        <v>114</v>
      </c>
      <c r="F41">
        <v>123</v>
      </c>
      <c r="G41">
        <v>135</v>
      </c>
    </row>
    <row r="42" spans="1:7" x14ac:dyDescent="0.2">
      <c r="A42" t="s">
        <v>110</v>
      </c>
      <c r="B42">
        <v>42</v>
      </c>
      <c r="C42">
        <v>57</v>
      </c>
      <c r="D42">
        <v>74</v>
      </c>
      <c r="E42">
        <v>106</v>
      </c>
      <c r="F42">
        <v>124</v>
      </c>
      <c r="G42">
        <v>143</v>
      </c>
    </row>
    <row r="43" spans="1:7" x14ac:dyDescent="0.2">
      <c r="A43" t="s">
        <v>111</v>
      </c>
      <c r="B43">
        <v>45</v>
      </c>
      <c r="C43">
        <v>57</v>
      </c>
      <c r="D43">
        <v>74</v>
      </c>
      <c r="E43">
        <v>108</v>
      </c>
      <c r="F43">
        <v>125</v>
      </c>
      <c r="G43">
        <v>146</v>
      </c>
    </row>
    <row r="44" spans="1:7" x14ac:dyDescent="0.2">
      <c r="A44" t="s">
        <v>112</v>
      </c>
      <c r="B44">
        <v>43</v>
      </c>
      <c r="C44">
        <v>58</v>
      </c>
      <c r="D44">
        <v>63</v>
      </c>
      <c r="E44">
        <v>97</v>
      </c>
      <c r="F44">
        <v>115</v>
      </c>
      <c r="G44">
        <v>126</v>
      </c>
    </row>
    <row r="45" spans="1:7" x14ac:dyDescent="0.2">
      <c r="A45" t="s">
        <v>113</v>
      </c>
      <c r="B45">
        <v>41</v>
      </c>
      <c r="C45">
        <v>55</v>
      </c>
      <c r="D45">
        <v>61</v>
      </c>
      <c r="E45">
        <v>98</v>
      </c>
      <c r="F45">
        <v>110</v>
      </c>
      <c r="G45">
        <v>131</v>
      </c>
    </row>
    <row r="46" spans="1:7" x14ac:dyDescent="0.2">
      <c r="A46" t="s">
        <v>114</v>
      </c>
      <c r="B46">
        <v>43</v>
      </c>
      <c r="C46">
        <v>58</v>
      </c>
      <c r="D46">
        <v>69</v>
      </c>
      <c r="E46">
        <v>102</v>
      </c>
      <c r="F46">
        <v>122</v>
      </c>
      <c r="G46">
        <v>146</v>
      </c>
    </row>
    <row r="47" spans="1:7" x14ac:dyDescent="0.2">
      <c r="A47" t="s">
        <v>115</v>
      </c>
      <c r="B47">
        <v>45</v>
      </c>
      <c r="C47">
        <v>56</v>
      </c>
      <c r="D47">
        <v>64</v>
      </c>
      <c r="E47">
        <v>95</v>
      </c>
      <c r="F47">
        <v>100</v>
      </c>
      <c r="G47">
        <v>127</v>
      </c>
    </row>
    <row r="48" spans="1:7" x14ac:dyDescent="0.2">
      <c r="A48" t="s">
        <v>116</v>
      </c>
      <c r="B48">
        <v>45</v>
      </c>
      <c r="C48">
        <v>59</v>
      </c>
      <c r="D48">
        <v>74</v>
      </c>
      <c r="E48">
        <v>97</v>
      </c>
      <c r="F48">
        <v>105</v>
      </c>
      <c r="G48">
        <v>124</v>
      </c>
    </row>
    <row r="49" spans="1:7" x14ac:dyDescent="0.2">
      <c r="A49" t="s">
        <v>117</v>
      </c>
      <c r="B49">
        <v>43</v>
      </c>
      <c r="C49">
        <v>54</v>
      </c>
      <c r="D49">
        <v>70</v>
      </c>
      <c r="E49">
        <v>95</v>
      </c>
      <c r="F49">
        <v>108</v>
      </c>
      <c r="G49">
        <v>129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FE6C3-5D28-4747-9911-DD355BAF715B}">
  <dimension ref="A1:G49"/>
  <sheetViews>
    <sheetView workbookViewId="0"/>
  </sheetViews>
  <sheetFormatPr defaultRowHeight="12.75" x14ac:dyDescent="0.2"/>
  <sheetData>
    <row r="1" spans="1:7" x14ac:dyDescent="0.2">
      <c r="A1" t="s">
        <v>118</v>
      </c>
      <c r="B1" t="s">
        <v>64</v>
      </c>
      <c r="C1" t="s">
        <v>65</v>
      </c>
      <c r="D1" t="s">
        <v>66</v>
      </c>
      <c r="E1" t="s">
        <v>67</v>
      </c>
      <c r="F1" t="s">
        <v>68</v>
      </c>
      <c r="G1" t="s">
        <v>69</v>
      </c>
    </row>
    <row r="2" spans="1:7" x14ac:dyDescent="0.2">
      <c r="A2" t="s">
        <v>70</v>
      </c>
      <c r="B2">
        <v>33</v>
      </c>
      <c r="C2">
        <v>45</v>
      </c>
      <c r="D2">
        <v>59</v>
      </c>
      <c r="E2">
        <v>69</v>
      </c>
      <c r="F2">
        <v>75</v>
      </c>
      <c r="G2">
        <v>102</v>
      </c>
    </row>
    <row r="3" spans="1:7" x14ac:dyDescent="0.2">
      <c r="A3" t="s">
        <v>71</v>
      </c>
      <c r="B3">
        <v>35</v>
      </c>
      <c r="C3">
        <v>45</v>
      </c>
      <c r="D3">
        <v>55</v>
      </c>
      <c r="E3">
        <v>90</v>
      </c>
      <c r="F3">
        <v>96</v>
      </c>
      <c r="G3">
        <v>102</v>
      </c>
    </row>
    <row r="4" spans="1:7" x14ac:dyDescent="0.2">
      <c r="A4" t="s">
        <v>72</v>
      </c>
      <c r="B4">
        <v>30</v>
      </c>
      <c r="C4">
        <v>48</v>
      </c>
      <c r="D4">
        <v>56</v>
      </c>
      <c r="E4">
        <v>89</v>
      </c>
      <c r="F4">
        <v>93</v>
      </c>
      <c r="G4">
        <v>102</v>
      </c>
    </row>
    <row r="5" spans="1:7" x14ac:dyDescent="0.2">
      <c r="A5" t="s">
        <v>73</v>
      </c>
      <c r="B5">
        <v>35</v>
      </c>
      <c r="C5">
        <v>52</v>
      </c>
      <c r="D5">
        <v>61</v>
      </c>
      <c r="E5">
        <v>89</v>
      </c>
      <c r="G5">
        <v>102</v>
      </c>
    </row>
    <row r="6" spans="1:7" x14ac:dyDescent="0.2">
      <c r="A6" t="s">
        <v>74</v>
      </c>
      <c r="B6">
        <v>34</v>
      </c>
      <c r="C6">
        <v>51</v>
      </c>
      <c r="D6">
        <v>58</v>
      </c>
      <c r="E6">
        <v>97</v>
      </c>
      <c r="G6">
        <v>102</v>
      </c>
    </row>
    <row r="7" spans="1:7" x14ac:dyDescent="0.2">
      <c r="A7" t="s">
        <v>75</v>
      </c>
      <c r="B7">
        <v>36</v>
      </c>
      <c r="C7">
        <v>49</v>
      </c>
      <c r="D7">
        <v>65</v>
      </c>
      <c r="E7">
        <v>83</v>
      </c>
      <c r="G7">
        <v>102</v>
      </c>
    </row>
    <row r="8" spans="1:7" x14ac:dyDescent="0.2">
      <c r="A8" t="s">
        <v>76</v>
      </c>
      <c r="B8">
        <v>32</v>
      </c>
      <c r="C8">
        <v>53</v>
      </c>
      <c r="D8">
        <v>53</v>
      </c>
      <c r="E8">
        <v>73</v>
      </c>
      <c r="F8">
        <v>89</v>
      </c>
      <c r="G8">
        <v>102</v>
      </c>
    </row>
    <row r="9" spans="1:7" x14ac:dyDescent="0.2">
      <c r="A9" t="s">
        <v>77</v>
      </c>
      <c r="B9">
        <v>36</v>
      </c>
      <c r="C9">
        <v>51</v>
      </c>
      <c r="D9">
        <v>56</v>
      </c>
      <c r="E9">
        <v>77</v>
      </c>
      <c r="F9">
        <v>84</v>
      </c>
      <c r="G9">
        <v>102</v>
      </c>
    </row>
    <row r="10" spans="1:7" x14ac:dyDescent="0.2">
      <c r="A10" t="s">
        <v>78</v>
      </c>
      <c r="B10">
        <v>33</v>
      </c>
      <c r="C10">
        <v>56</v>
      </c>
      <c r="D10">
        <v>57</v>
      </c>
      <c r="E10">
        <v>75</v>
      </c>
      <c r="F10">
        <v>91</v>
      </c>
      <c r="G10">
        <v>102</v>
      </c>
    </row>
    <row r="11" spans="1:7" x14ac:dyDescent="0.2">
      <c r="A11" t="s">
        <v>79</v>
      </c>
      <c r="B11">
        <v>30</v>
      </c>
      <c r="C11">
        <v>48</v>
      </c>
      <c r="D11">
        <v>60</v>
      </c>
      <c r="E11">
        <v>103</v>
      </c>
      <c r="F11">
        <v>110</v>
      </c>
      <c r="G11">
        <v>102</v>
      </c>
    </row>
    <row r="12" spans="1:7" x14ac:dyDescent="0.2">
      <c r="A12" t="s">
        <v>80</v>
      </c>
      <c r="B12">
        <v>31</v>
      </c>
      <c r="C12">
        <v>48</v>
      </c>
      <c r="D12">
        <v>61</v>
      </c>
      <c r="E12">
        <v>99</v>
      </c>
      <c r="F12">
        <v>104</v>
      </c>
      <c r="G12">
        <v>102</v>
      </c>
    </row>
    <row r="13" spans="1:7" x14ac:dyDescent="0.2">
      <c r="A13" t="s">
        <v>81</v>
      </c>
      <c r="B13">
        <v>34</v>
      </c>
      <c r="C13">
        <v>43</v>
      </c>
      <c r="D13">
        <v>55</v>
      </c>
      <c r="E13">
        <v>89</v>
      </c>
      <c r="F13">
        <v>98</v>
      </c>
      <c r="G13">
        <v>102</v>
      </c>
    </row>
    <row r="14" spans="1:7" x14ac:dyDescent="0.2">
      <c r="A14" t="s">
        <v>82</v>
      </c>
      <c r="B14">
        <v>40</v>
      </c>
      <c r="C14">
        <v>50</v>
      </c>
      <c r="D14">
        <v>61</v>
      </c>
      <c r="E14">
        <v>85</v>
      </c>
      <c r="F14">
        <v>96</v>
      </c>
      <c r="G14">
        <v>102</v>
      </c>
    </row>
    <row r="15" spans="1:7" x14ac:dyDescent="0.2">
      <c r="A15" t="s">
        <v>83</v>
      </c>
      <c r="B15">
        <v>31</v>
      </c>
      <c r="C15">
        <v>53</v>
      </c>
      <c r="D15">
        <v>61</v>
      </c>
      <c r="E15">
        <v>96</v>
      </c>
      <c r="F15">
        <v>100</v>
      </c>
      <c r="G15">
        <v>102</v>
      </c>
    </row>
    <row r="16" spans="1:7" x14ac:dyDescent="0.2">
      <c r="A16" t="s">
        <v>84</v>
      </c>
      <c r="B16">
        <v>34</v>
      </c>
      <c r="C16">
        <v>53</v>
      </c>
      <c r="D16">
        <v>56</v>
      </c>
      <c r="E16">
        <v>88</v>
      </c>
      <c r="F16">
        <v>93</v>
      </c>
      <c r="G16">
        <v>102</v>
      </c>
    </row>
    <row r="17" spans="1:7" x14ac:dyDescent="0.2">
      <c r="A17" t="s">
        <v>85</v>
      </c>
      <c r="B17">
        <v>40</v>
      </c>
      <c r="C17">
        <v>55</v>
      </c>
      <c r="D17">
        <v>62</v>
      </c>
      <c r="E17">
        <v>80</v>
      </c>
      <c r="F17">
        <v>89</v>
      </c>
      <c r="G17">
        <v>102</v>
      </c>
    </row>
    <row r="18" spans="1:7" x14ac:dyDescent="0.2">
      <c r="A18" t="s">
        <v>86</v>
      </c>
      <c r="B18">
        <v>34</v>
      </c>
      <c r="C18">
        <v>51</v>
      </c>
      <c r="D18">
        <v>60</v>
      </c>
      <c r="E18">
        <v>67</v>
      </c>
      <c r="F18">
        <v>84</v>
      </c>
      <c r="G18">
        <v>102</v>
      </c>
    </row>
    <row r="19" spans="1:7" x14ac:dyDescent="0.2">
      <c r="A19" t="s">
        <v>87</v>
      </c>
      <c r="B19">
        <v>34</v>
      </c>
      <c r="C19">
        <v>53</v>
      </c>
      <c r="D19">
        <v>63</v>
      </c>
      <c r="E19">
        <v>76</v>
      </c>
      <c r="F19">
        <v>77</v>
      </c>
      <c r="G19">
        <v>102</v>
      </c>
    </row>
    <row r="20" spans="1:7" x14ac:dyDescent="0.2">
      <c r="A20" t="s">
        <v>88</v>
      </c>
      <c r="B20">
        <v>33</v>
      </c>
      <c r="C20">
        <v>58</v>
      </c>
      <c r="D20">
        <v>64</v>
      </c>
      <c r="E20">
        <v>103</v>
      </c>
      <c r="F20">
        <v>101</v>
      </c>
      <c r="G20">
        <v>102</v>
      </c>
    </row>
    <row r="21" spans="1:7" x14ac:dyDescent="0.2">
      <c r="A21" t="s">
        <v>89</v>
      </c>
      <c r="B21">
        <v>38</v>
      </c>
      <c r="C21">
        <v>55</v>
      </c>
      <c r="D21">
        <v>65</v>
      </c>
      <c r="E21">
        <v>106</v>
      </c>
      <c r="F21">
        <v>104</v>
      </c>
      <c r="G21">
        <v>102</v>
      </c>
    </row>
    <row r="22" spans="1:7" x14ac:dyDescent="0.2">
      <c r="A22" t="s">
        <v>90</v>
      </c>
      <c r="B22">
        <v>31</v>
      </c>
      <c r="C22">
        <v>51</v>
      </c>
      <c r="D22">
        <v>65</v>
      </c>
      <c r="E22">
        <v>98</v>
      </c>
      <c r="F22">
        <v>104</v>
      </c>
      <c r="G22">
        <v>102</v>
      </c>
    </row>
    <row r="23" spans="1:7" x14ac:dyDescent="0.2">
      <c r="A23" t="s">
        <v>91</v>
      </c>
      <c r="B23">
        <v>29</v>
      </c>
      <c r="C23">
        <v>39</v>
      </c>
      <c r="D23">
        <v>57</v>
      </c>
      <c r="E23">
        <v>82</v>
      </c>
      <c r="F23">
        <v>84</v>
      </c>
      <c r="G23">
        <v>102</v>
      </c>
    </row>
    <row r="24" spans="1:7" x14ac:dyDescent="0.2">
      <c r="A24" t="s">
        <v>92</v>
      </c>
      <c r="B24">
        <v>31</v>
      </c>
      <c r="C24">
        <v>45</v>
      </c>
      <c r="D24">
        <v>62</v>
      </c>
      <c r="E24">
        <v>91</v>
      </c>
      <c r="F24">
        <v>94</v>
      </c>
      <c r="G24">
        <v>102</v>
      </c>
    </row>
    <row r="25" spans="1:7" x14ac:dyDescent="0.2">
      <c r="A25" t="s">
        <v>93</v>
      </c>
      <c r="B25">
        <v>37</v>
      </c>
      <c r="C25">
        <v>51</v>
      </c>
      <c r="D25">
        <v>57</v>
      </c>
      <c r="E25">
        <v>89</v>
      </c>
      <c r="F25">
        <v>95</v>
      </c>
      <c r="G25">
        <v>102</v>
      </c>
    </row>
    <row r="26" spans="1:7" x14ac:dyDescent="0.2">
      <c r="A26" t="s">
        <v>94</v>
      </c>
      <c r="B26">
        <v>29</v>
      </c>
      <c r="C26">
        <v>51</v>
      </c>
      <c r="D26">
        <v>60</v>
      </c>
      <c r="E26">
        <v>87</v>
      </c>
      <c r="F26">
        <v>86</v>
      </c>
      <c r="G26">
        <v>102</v>
      </c>
    </row>
    <row r="27" spans="1:7" x14ac:dyDescent="0.2">
      <c r="A27" t="s">
        <v>95</v>
      </c>
      <c r="B27">
        <v>38</v>
      </c>
      <c r="C27">
        <v>51</v>
      </c>
      <c r="D27">
        <v>62</v>
      </c>
      <c r="E27">
        <v>75</v>
      </c>
      <c r="F27">
        <v>94</v>
      </c>
      <c r="G27">
        <v>102</v>
      </c>
    </row>
    <row r="28" spans="1:7" x14ac:dyDescent="0.2">
      <c r="A28" t="s">
        <v>96</v>
      </c>
      <c r="B28">
        <v>36</v>
      </c>
      <c r="C28">
        <v>54</v>
      </c>
      <c r="D28">
        <v>63</v>
      </c>
      <c r="E28">
        <v>86</v>
      </c>
      <c r="F28">
        <v>87</v>
      </c>
      <c r="G28">
        <v>102</v>
      </c>
    </row>
    <row r="29" spans="1:7" x14ac:dyDescent="0.2">
      <c r="A29" t="s">
        <v>97</v>
      </c>
      <c r="B29">
        <v>28</v>
      </c>
      <c r="C29">
        <v>45</v>
      </c>
      <c r="D29">
        <v>58</v>
      </c>
      <c r="E29">
        <v>98</v>
      </c>
      <c r="F29">
        <v>101</v>
      </c>
      <c r="G29">
        <v>102</v>
      </c>
    </row>
    <row r="30" spans="1:7" x14ac:dyDescent="0.2">
      <c r="A30" t="s">
        <v>98</v>
      </c>
      <c r="B30">
        <v>43</v>
      </c>
      <c r="C30">
        <v>49</v>
      </c>
      <c r="D30">
        <v>60</v>
      </c>
      <c r="E30">
        <v>92</v>
      </c>
      <c r="F30">
        <v>97</v>
      </c>
      <c r="G30">
        <v>102</v>
      </c>
    </row>
    <row r="31" spans="1:7" x14ac:dyDescent="0.2">
      <c r="A31" t="s">
        <v>99</v>
      </c>
      <c r="B31">
        <v>34</v>
      </c>
      <c r="C31">
        <v>48</v>
      </c>
      <c r="D31">
        <v>59</v>
      </c>
      <c r="E31">
        <v>84</v>
      </c>
      <c r="F31">
        <v>92</v>
      </c>
      <c r="G31">
        <v>102</v>
      </c>
    </row>
    <row r="32" spans="1:7" x14ac:dyDescent="0.2">
      <c r="A32" t="s">
        <v>100</v>
      </c>
      <c r="B32">
        <v>36</v>
      </c>
      <c r="C32">
        <v>52</v>
      </c>
      <c r="D32">
        <v>58</v>
      </c>
      <c r="E32">
        <v>92</v>
      </c>
      <c r="F32">
        <v>101</v>
      </c>
      <c r="G32">
        <v>102</v>
      </c>
    </row>
    <row r="33" spans="1:7" x14ac:dyDescent="0.2">
      <c r="A33" t="s">
        <v>101</v>
      </c>
      <c r="B33">
        <v>41</v>
      </c>
      <c r="C33">
        <v>57</v>
      </c>
      <c r="D33">
        <v>68</v>
      </c>
      <c r="E33">
        <v>98</v>
      </c>
      <c r="F33">
        <v>108</v>
      </c>
      <c r="G33">
        <v>102</v>
      </c>
    </row>
    <row r="34" spans="1:7" x14ac:dyDescent="0.2">
      <c r="A34" t="s">
        <v>102</v>
      </c>
      <c r="B34">
        <v>39</v>
      </c>
      <c r="C34">
        <v>56</v>
      </c>
      <c r="D34">
        <v>63</v>
      </c>
      <c r="E34">
        <v>88</v>
      </c>
      <c r="F34">
        <v>98</v>
      </c>
      <c r="G34">
        <v>102</v>
      </c>
    </row>
    <row r="35" spans="1:7" x14ac:dyDescent="0.2">
      <c r="A35" t="s">
        <v>103</v>
      </c>
      <c r="B35">
        <v>41</v>
      </c>
      <c r="C35">
        <v>56</v>
      </c>
      <c r="D35">
        <v>71</v>
      </c>
      <c r="E35">
        <v>101</v>
      </c>
      <c r="F35">
        <v>104</v>
      </c>
      <c r="G35">
        <v>102</v>
      </c>
    </row>
    <row r="36" spans="1:7" x14ac:dyDescent="0.2">
      <c r="A36" t="s">
        <v>104</v>
      </c>
      <c r="B36">
        <v>30</v>
      </c>
      <c r="C36">
        <v>50</v>
      </c>
      <c r="D36">
        <v>62</v>
      </c>
      <c r="E36">
        <v>101</v>
      </c>
      <c r="F36">
        <v>102</v>
      </c>
      <c r="G36">
        <v>102</v>
      </c>
    </row>
    <row r="37" spans="1:7" x14ac:dyDescent="0.2">
      <c r="A37" t="s">
        <v>105</v>
      </c>
      <c r="B37">
        <v>37</v>
      </c>
      <c r="C37">
        <v>55</v>
      </c>
      <c r="D37">
        <v>66</v>
      </c>
      <c r="E37">
        <v>94</v>
      </c>
      <c r="F37">
        <v>100</v>
      </c>
      <c r="G37">
        <v>102</v>
      </c>
    </row>
    <row r="38" spans="1:7" x14ac:dyDescent="0.2">
      <c r="A38" t="s">
        <v>106</v>
      </c>
      <c r="B38">
        <v>28</v>
      </c>
      <c r="C38">
        <v>46</v>
      </c>
      <c r="D38">
        <v>54</v>
      </c>
      <c r="E38">
        <v>79</v>
      </c>
      <c r="F38">
        <v>88</v>
      </c>
      <c r="G38">
        <v>102</v>
      </c>
    </row>
    <row r="39" spans="1:7" x14ac:dyDescent="0.2">
      <c r="A39" t="s">
        <v>107</v>
      </c>
      <c r="B39">
        <v>32</v>
      </c>
      <c r="C39">
        <v>53</v>
      </c>
      <c r="D39">
        <v>53</v>
      </c>
      <c r="E39">
        <v>71</v>
      </c>
      <c r="F39">
        <v>87</v>
      </c>
      <c r="G39">
        <v>102</v>
      </c>
    </row>
    <row r="40" spans="1:7" x14ac:dyDescent="0.2">
      <c r="A40" t="s">
        <v>108</v>
      </c>
      <c r="B40">
        <v>36</v>
      </c>
      <c r="C40">
        <v>48</v>
      </c>
      <c r="D40">
        <v>58</v>
      </c>
      <c r="E40">
        <v>72</v>
      </c>
      <c r="F40">
        <v>89</v>
      </c>
      <c r="G40">
        <v>102</v>
      </c>
    </row>
    <row r="41" spans="1:7" x14ac:dyDescent="0.2">
      <c r="A41" t="s">
        <v>109</v>
      </c>
      <c r="B41">
        <v>31</v>
      </c>
      <c r="C41">
        <v>53</v>
      </c>
      <c r="D41">
        <v>58</v>
      </c>
      <c r="E41">
        <v>100</v>
      </c>
      <c r="F41">
        <v>107</v>
      </c>
      <c r="G41">
        <v>102</v>
      </c>
    </row>
    <row r="42" spans="1:7" x14ac:dyDescent="0.2">
      <c r="A42" t="s">
        <v>110</v>
      </c>
      <c r="B42">
        <v>31</v>
      </c>
      <c r="C42">
        <v>45</v>
      </c>
      <c r="D42">
        <v>56</v>
      </c>
      <c r="E42">
        <v>91</v>
      </c>
      <c r="F42">
        <v>99</v>
      </c>
      <c r="G42">
        <v>102</v>
      </c>
    </row>
    <row r="43" spans="1:7" x14ac:dyDescent="0.2">
      <c r="A43" t="s">
        <v>111</v>
      </c>
      <c r="B43">
        <v>34</v>
      </c>
      <c r="C43">
        <v>48</v>
      </c>
      <c r="D43">
        <v>61</v>
      </c>
      <c r="E43">
        <v>89</v>
      </c>
      <c r="F43">
        <v>97</v>
      </c>
      <c r="G43">
        <v>102</v>
      </c>
    </row>
    <row r="44" spans="1:7" x14ac:dyDescent="0.2">
      <c r="A44" t="s">
        <v>112</v>
      </c>
      <c r="B44">
        <v>32</v>
      </c>
      <c r="C44">
        <v>44</v>
      </c>
      <c r="D44">
        <v>60</v>
      </c>
      <c r="E44">
        <v>81</v>
      </c>
      <c r="F44">
        <v>94</v>
      </c>
      <c r="G44">
        <v>102</v>
      </c>
    </row>
    <row r="45" spans="1:7" x14ac:dyDescent="0.2">
      <c r="A45" t="s">
        <v>113</v>
      </c>
      <c r="B45">
        <v>34</v>
      </c>
      <c r="C45">
        <v>50</v>
      </c>
      <c r="D45">
        <v>53</v>
      </c>
      <c r="E45">
        <v>89</v>
      </c>
      <c r="F45">
        <v>93</v>
      </c>
      <c r="G45">
        <v>102</v>
      </c>
    </row>
    <row r="46" spans="1:7" x14ac:dyDescent="0.2">
      <c r="A46" t="s">
        <v>114</v>
      </c>
      <c r="B46">
        <v>35</v>
      </c>
      <c r="C46">
        <v>45</v>
      </c>
      <c r="D46">
        <v>54</v>
      </c>
      <c r="E46">
        <v>83</v>
      </c>
      <c r="F46">
        <v>99</v>
      </c>
      <c r="G46">
        <v>102</v>
      </c>
    </row>
    <row r="47" spans="1:7" x14ac:dyDescent="0.2">
      <c r="A47" t="s">
        <v>115</v>
      </c>
      <c r="B47">
        <v>39</v>
      </c>
      <c r="C47">
        <v>48</v>
      </c>
      <c r="D47">
        <v>59</v>
      </c>
      <c r="E47">
        <v>76</v>
      </c>
      <c r="F47">
        <v>88</v>
      </c>
      <c r="G47">
        <v>102</v>
      </c>
    </row>
    <row r="48" spans="1:7" x14ac:dyDescent="0.2">
      <c r="A48" t="s">
        <v>116</v>
      </c>
      <c r="B48">
        <v>38</v>
      </c>
      <c r="C48">
        <v>51</v>
      </c>
      <c r="D48">
        <v>66</v>
      </c>
      <c r="E48">
        <v>92</v>
      </c>
      <c r="F48">
        <v>101</v>
      </c>
      <c r="G48">
        <v>102</v>
      </c>
    </row>
    <row r="49" spans="1:7" x14ac:dyDescent="0.2">
      <c r="A49" t="s">
        <v>117</v>
      </c>
      <c r="B49">
        <v>36</v>
      </c>
      <c r="C49">
        <v>43</v>
      </c>
      <c r="D49">
        <v>54</v>
      </c>
      <c r="E49">
        <v>78</v>
      </c>
      <c r="F49">
        <v>79</v>
      </c>
      <c r="G49">
        <v>102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CE6376-7699-4B0B-B05A-9D86B98C1D31}">
  <sheetPr>
    <pageSetUpPr fitToPage="1"/>
  </sheetPr>
  <dimension ref="A1:BU41"/>
  <sheetViews>
    <sheetView zoomScaleNormal="100" workbookViewId="0"/>
  </sheetViews>
  <sheetFormatPr defaultRowHeight="12.75" x14ac:dyDescent="0.2"/>
  <cols>
    <col min="1" max="1" width="5.42578125" customWidth="1"/>
    <col min="2" max="2" width="6.28515625" customWidth="1"/>
    <col min="3" max="3" width="12.7109375" customWidth="1"/>
    <col min="4" max="8" width="5.28515625" hidden="1" customWidth="1"/>
    <col min="9" max="9" width="7" hidden="1" customWidth="1"/>
    <col min="10" max="10" width="8.42578125" customWidth="1"/>
    <col min="11" max="14" width="12.7109375" customWidth="1"/>
    <col min="15" max="15" width="48.7109375" customWidth="1"/>
    <col min="22" max="22" width="7.5703125" customWidth="1"/>
    <col min="23" max="32" width="7.7109375" customWidth="1"/>
  </cols>
  <sheetData>
    <row r="1" spans="1:73" ht="15" customHeight="1" x14ac:dyDescent="0.25">
      <c r="A1" s="1" t="s">
        <v>40</v>
      </c>
    </row>
    <row r="2" spans="1:73" ht="20.25" customHeight="1" thickBot="1" x14ac:dyDescent="0.3">
      <c r="A2" s="1"/>
      <c r="M2" s="15" t="s">
        <v>0</v>
      </c>
      <c r="N2" s="23">
        <v>39967</v>
      </c>
      <c r="O2" s="29"/>
    </row>
    <row r="3" spans="1:73" ht="20.25" customHeight="1" thickBot="1" x14ac:dyDescent="0.25">
      <c r="A3" t="s">
        <v>1</v>
      </c>
      <c r="C3" s="38" t="s">
        <v>28</v>
      </c>
      <c r="D3" s="3"/>
      <c r="E3" s="3"/>
      <c r="F3" s="3"/>
      <c r="G3" s="3"/>
      <c r="H3" s="3"/>
      <c r="I3" s="3"/>
      <c r="J3" s="3"/>
      <c r="K3" s="3"/>
      <c r="L3" s="3"/>
      <c r="M3" s="15" t="s">
        <v>23</v>
      </c>
      <c r="N3" s="2">
        <v>154</v>
      </c>
      <c r="O3" s="30"/>
    </row>
    <row r="4" spans="1:73" ht="20.25" customHeight="1" thickBot="1" x14ac:dyDescent="0.25">
      <c r="B4" s="38" t="s">
        <v>35</v>
      </c>
      <c r="C4" s="4"/>
      <c r="D4" s="4"/>
      <c r="E4" s="4"/>
      <c r="F4" s="4"/>
      <c r="G4" s="4"/>
      <c r="H4" s="4"/>
      <c r="I4" s="4"/>
      <c r="J4" s="4"/>
      <c r="K4" s="4"/>
      <c r="L4" s="4"/>
      <c r="M4" s="15" t="s">
        <v>2</v>
      </c>
      <c r="N4" s="2" t="s">
        <v>26</v>
      </c>
      <c r="O4" s="30"/>
    </row>
    <row r="5" spans="1:73" ht="18" x14ac:dyDescent="0.2">
      <c r="AE5" s="5"/>
      <c r="AF5" s="55"/>
      <c r="AG5" s="55"/>
      <c r="AH5" s="55"/>
    </row>
    <row r="6" spans="1:73" ht="18" x14ac:dyDescent="0.25">
      <c r="L6" s="56"/>
      <c r="M6" s="57"/>
      <c r="N6" s="58"/>
      <c r="O6" s="31"/>
      <c r="AE6" s="5"/>
      <c r="AF6" s="24"/>
      <c r="AG6" s="24"/>
      <c r="AH6" s="24"/>
    </row>
    <row r="7" spans="1:73" ht="25.5" customHeight="1" x14ac:dyDescent="0.2">
      <c r="B7" s="6" t="s">
        <v>27</v>
      </c>
      <c r="C7" s="7"/>
      <c r="D7" s="7" t="s">
        <v>4</v>
      </c>
      <c r="E7" s="6" t="s">
        <v>5</v>
      </c>
      <c r="F7" s="7" t="s">
        <v>6</v>
      </c>
      <c r="G7" s="6" t="s">
        <v>7</v>
      </c>
      <c r="H7" s="6" t="s">
        <v>8</v>
      </c>
      <c r="I7" s="6" t="s">
        <v>9</v>
      </c>
      <c r="J7" s="6" t="s">
        <v>11</v>
      </c>
      <c r="K7" s="8" t="s">
        <v>24</v>
      </c>
      <c r="L7" s="22" t="s">
        <v>37</v>
      </c>
      <c r="M7" s="22" t="s">
        <v>38</v>
      </c>
      <c r="N7" s="22" t="s">
        <v>39</v>
      </c>
      <c r="O7" s="59" t="s">
        <v>25</v>
      </c>
      <c r="AE7" s="10"/>
      <c r="AF7" s="9"/>
      <c r="AG7" s="9"/>
      <c r="AH7" s="11"/>
    </row>
    <row r="8" spans="1:73" ht="15.95" customHeight="1" thickBot="1" x14ac:dyDescent="0.25">
      <c r="B8" s="61"/>
      <c r="C8" s="62"/>
      <c r="D8" s="62"/>
      <c r="E8" s="62"/>
      <c r="F8" s="62"/>
      <c r="G8" s="62"/>
      <c r="H8" s="62"/>
      <c r="I8" s="62"/>
      <c r="J8" s="62"/>
      <c r="K8" s="63"/>
      <c r="L8" s="39" t="s">
        <v>29</v>
      </c>
      <c r="M8" s="39"/>
      <c r="N8" s="39"/>
      <c r="O8" s="60"/>
      <c r="AF8" s="12"/>
      <c r="AG8" s="12"/>
      <c r="AH8" s="12"/>
    </row>
    <row r="9" spans="1:73" ht="15.95" hidden="1" customHeight="1" x14ac:dyDescent="0.2">
      <c r="B9" s="25" t="s">
        <v>3</v>
      </c>
      <c r="C9" s="26" t="s">
        <v>10</v>
      </c>
      <c r="D9" s="26" t="s">
        <v>14</v>
      </c>
      <c r="E9" s="25" t="s">
        <v>15</v>
      </c>
      <c r="F9" s="26" t="s">
        <v>16</v>
      </c>
      <c r="G9" s="25" t="s">
        <v>17</v>
      </c>
      <c r="H9" s="25" t="s">
        <v>8</v>
      </c>
      <c r="I9" s="25" t="s">
        <v>18</v>
      </c>
      <c r="J9" s="27" t="s">
        <v>11</v>
      </c>
      <c r="K9" s="27" t="s">
        <v>19</v>
      </c>
      <c r="L9" s="28" t="s">
        <v>20</v>
      </c>
      <c r="M9" s="28" t="s">
        <v>21</v>
      </c>
      <c r="N9" s="28" t="s">
        <v>22</v>
      </c>
      <c r="O9" s="32"/>
      <c r="AF9" s="12"/>
      <c r="AG9" s="12"/>
      <c r="AH9" s="12"/>
    </row>
    <row r="10" spans="1:73" ht="24" customHeight="1" x14ac:dyDescent="0.2">
      <c r="B10" s="64">
        <v>1</v>
      </c>
      <c r="C10" s="66" t="s">
        <v>31</v>
      </c>
      <c r="D10" s="19" t="e">
        <f>VLOOKUP($B10,#REF!,3,0)</f>
        <v>#REF!</v>
      </c>
      <c r="E10" s="19" t="e">
        <f>VLOOKUP($B10,#REF!,4,0)</f>
        <v>#REF!</v>
      </c>
      <c r="F10" s="19" t="e">
        <f>VLOOKUP($B10,#REF!,5,0)</f>
        <v>#REF!</v>
      </c>
      <c r="G10" s="19" t="e">
        <f>VLOOKUP($B10,#REF!,6,0)</f>
        <v>#REF!</v>
      </c>
      <c r="H10" s="19" t="e">
        <f>VLOOKUP($B10,#REF!,7,0)</f>
        <v>#REF!</v>
      </c>
      <c r="I10" s="19" t="e">
        <f>VLOOKUP($B10,#REF!,8,0)</f>
        <v>#REF!</v>
      </c>
      <c r="J10" s="68">
        <v>902</v>
      </c>
      <c r="K10" s="22" t="s">
        <v>12</v>
      </c>
      <c r="L10" s="35">
        <v>33</v>
      </c>
      <c r="M10" s="35">
        <v>35</v>
      </c>
      <c r="N10" s="44">
        <v>30</v>
      </c>
      <c r="O10" s="40"/>
      <c r="P10" s="13"/>
      <c r="Q10" s="13"/>
      <c r="R10" s="13"/>
      <c r="S10" s="13"/>
      <c r="T10" s="13"/>
      <c r="AF10" s="12"/>
      <c r="AG10" s="12"/>
      <c r="AH10" s="14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  <c r="AX10" s="15"/>
      <c r="AY10" s="15"/>
      <c r="AZ10" s="15"/>
      <c r="BA10" s="15"/>
      <c r="BB10" s="15"/>
      <c r="BC10" s="15"/>
      <c r="BD10" s="15"/>
      <c r="BE10" s="15"/>
      <c r="BF10" s="15"/>
      <c r="BG10" s="15"/>
      <c r="BH10" s="15"/>
      <c r="BI10" s="15"/>
      <c r="BJ10" s="15"/>
      <c r="BK10" s="15"/>
      <c r="BL10" s="15"/>
      <c r="BM10" s="15"/>
      <c r="BN10" s="15"/>
      <c r="BO10" s="15"/>
      <c r="BP10" s="15"/>
      <c r="BQ10" s="15"/>
      <c r="BR10" s="15"/>
      <c r="BS10" s="15"/>
      <c r="BT10" s="15"/>
      <c r="BU10" s="15"/>
    </row>
    <row r="11" spans="1:73" ht="24" customHeight="1" thickBot="1" x14ac:dyDescent="0.25">
      <c r="B11" s="65"/>
      <c r="C11" s="67"/>
      <c r="D11" s="20" t="e">
        <f>VLOOKUP($B11,#REF!,3,0)</f>
        <v>#REF!</v>
      </c>
      <c r="E11" s="20" t="e">
        <f>VLOOKUP($B11,#REF!,4,0)</f>
        <v>#REF!</v>
      </c>
      <c r="F11" s="20" t="e">
        <f>VLOOKUP($B11,#REF!,5,0)</f>
        <v>#REF!</v>
      </c>
      <c r="G11" s="20" t="e">
        <f>VLOOKUP($B11,#REF!,6,0)</f>
        <v>#REF!</v>
      </c>
      <c r="H11" s="20" t="e">
        <f>VLOOKUP($B11,#REF!,7,0)</f>
        <v>#REF!</v>
      </c>
      <c r="I11" s="20" t="e">
        <f>VLOOKUP($B11,#REF!,8,0)</f>
        <v>#REF!</v>
      </c>
      <c r="J11" s="69"/>
      <c r="K11" s="34" t="s">
        <v>13</v>
      </c>
      <c r="L11" s="36">
        <v>35</v>
      </c>
      <c r="M11" s="36">
        <v>42</v>
      </c>
      <c r="N11" s="36">
        <v>44</v>
      </c>
      <c r="O11" s="41"/>
      <c r="P11" s="13"/>
      <c r="Q11" s="13"/>
      <c r="R11" s="13"/>
      <c r="S11" s="13"/>
      <c r="T11" s="13"/>
      <c r="AF11" s="12"/>
      <c r="AG11" s="12"/>
      <c r="AH11" s="14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  <c r="BC11" s="15"/>
      <c r="BD11" s="15"/>
      <c r="BE11" s="15"/>
      <c r="BF11" s="15"/>
      <c r="BG11" s="15"/>
      <c r="BH11" s="15"/>
      <c r="BI11" s="15"/>
      <c r="BJ11" s="15"/>
      <c r="BK11" s="15"/>
      <c r="BL11" s="15"/>
      <c r="BM11" s="15"/>
      <c r="BN11" s="15"/>
      <c r="BO11" s="15"/>
      <c r="BP11" s="15"/>
      <c r="BQ11" s="15"/>
      <c r="BR11" s="15"/>
      <c r="BS11" s="15"/>
      <c r="BT11" s="15"/>
      <c r="BU11" s="15"/>
    </row>
    <row r="12" spans="1:73" ht="24" customHeight="1" x14ac:dyDescent="0.2">
      <c r="B12" s="64">
        <v>2</v>
      </c>
      <c r="C12" s="70" t="s">
        <v>32</v>
      </c>
      <c r="D12" s="21" t="e">
        <f>VLOOKUP($B12,#REF!,3,0)</f>
        <v>#REF!</v>
      </c>
      <c r="E12" s="21" t="e">
        <f>VLOOKUP($B12,#REF!,4,0)</f>
        <v>#REF!</v>
      </c>
      <c r="F12" s="21" t="e">
        <f>VLOOKUP($B12,#REF!,5,0)</f>
        <v>#REF!</v>
      </c>
      <c r="G12" s="21" t="e">
        <f>VLOOKUP($B12,#REF!,6,0)</f>
        <v>#REF!</v>
      </c>
      <c r="H12" s="21" t="e">
        <f>VLOOKUP($B12,#REF!,7,0)</f>
        <v>#REF!</v>
      </c>
      <c r="I12" s="21" t="e">
        <f>VLOOKUP($B12,#REF!,8,0)</f>
        <v>#REF!</v>
      </c>
      <c r="J12" s="72"/>
      <c r="K12" s="33" t="s">
        <v>12</v>
      </c>
      <c r="L12" s="35">
        <v>36</v>
      </c>
      <c r="M12" s="35">
        <v>34</v>
      </c>
      <c r="N12" s="35">
        <v>35</v>
      </c>
      <c r="O12" s="42"/>
      <c r="P12" s="13"/>
      <c r="Q12" s="16"/>
      <c r="R12" s="13"/>
      <c r="S12" s="17"/>
      <c r="T12" s="13"/>
      <c r="AF12" s="12"/>
      <c r="AG12" s="12"/>
      <c r="AH12" s="12"/>
      <c r="AI12" s="18"/>
      <c r="AJ12" s="1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8"/>
      <c r="BI12" s="18"/>
      <c r="BJ12" s="18"/>
      <c r="BK12" s="18"/>
      <c r="BL12" s="18"/>
      <c r="BM12" s="18"/>
      <c r="BN12" s="18"/>
      <c r="BO12" s="18"/>
      <c r="BP12" s="18"/>
      <c r="BQ12" s="18"/>
      <c r="BR12" s="18"/>
      <c r="BS12" s="18"/>
      <c r="BT12" s="18"/>
      <c r="BU12" s="18"/>
    </row>
    <row r="13" spans="1:73" ht="24" customHeight="1" thickBot="1" x14ac:dyDescent="0.25">
      <c r="B13" s="65"/>
      <c r="C13" s="71"/>
      <c r="D13" s="20" t="e">
        <f>VLOOKUP($B13,#REF!,3,0)</f>
        <v>#REF!</v>
      </c>
      <c r="E13" s="20" t="e">
        <f>VLOOKUP($B13,#REF!,4,0)</f>
        <v>#REF!</v>
      </c>
      <c r="F13" s="20" t="e">
        <f>VLOOKUP($B13,#REF!,5,0)</f>
        <v>#REF!</v>
      </c>
      <c r="G13" s="20" t="e">
        <f>VLOOKUP($B13,#REF!,6,0)</f>
        <v>#REF!</v>
      </c>
      <c r="H13" s="20" t="e">
        <f>VLOOKUP($B13,#REF!,7,0)</f>
        <v>#REF!</v>
      </c>
      <c r="I13" s="20" t="e">
        <f>VLOOKUP($B13,#REF!,8,0)</f>
        <v>#REF!</v>
      </c>
      <c r="J13" s="69"/>
      <c r="K13" s="34" t="s">
        <v>13</v>
      </c>
      <c r="L13" s="37">
        <v>45</v>
      </c>
      <c r="M13" s="36">
        <v>44</v>
      </c>
      <c r="N13" s="36">
        <v>43</v>
      </c>
      <c r="O13" s="43"/>
      <c r="P13" s="13"/>
      <c r="Q13" s="13"/>
      <c r="R13" s="13"/>
      <c r="S13" s="13"/>
      <c r="T13" s="13"/>
      <c r="AF13" s="12"/>
      <c r="AG13" s="12"/>
      <c r="AH13" s="14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5"/>
      <c r="BI13" s="15"/>
      <c r="BJ13" s="15"/>
      <c r="BK13" s="15"/>
      <c r="BL13" s="15"/>
      <c r="BM13" s="15"/>
      <c r="BN13" s="15"/>
      <c r="BO13" s="15"/>
      <c r="BP13" s="15"/>
      <c r="BQ13" s="15"/>
      <c r="BR13" s="15"/>
      <c r="BS13" s="15"/>
      <c r="BT13" s="15"/>
      <c r="BU13" s="15"/>
    </row>
    <row r="14" spans="1:73" ht="24" customHeight="1" x14ac:dyDescent="0.2">
      <c r="B14" s="64">
        <v>3</v>
      </c>
      <c r="C14" s="70" t="s">
        <v>33</v>
      </c>
      <c r="D14" s="19" t="e">
        <f>VLOOKUP($B14,#REF!,3,0)</f>
        <v>#REF!</v>
      </c>
      <c r="E14" s="19" t="e">
        <f>VLOOKUP($B14,#REF!,4,0)</f>
        <v>#REF!</v>
      </c>
      <c r="F14" s="19" t="e">
        <f>VLOOKUP($B14,#REF!,5,0)</f>
        <v>#REF!</v>
      </c>
      <c r="G14" s="19" t="e">
        <f>VLOOKUP($B14,#REF!,6,0)</f>
        <v>#REF!</v>
      </c>
      <c r="H14" s="19" t="e">
        <f>VLOOKUP($B14,#REF!,7,0)</f>
        <v>#REF!</v>
      </c>
      <c r="I14" s="19" t="e">
        <f>VLOOKUP($B14,#REF!,8,0)</f>
        <v>#REF!</v>
      </c>
      <c r="J14" s="72">
        <v>919</v>
      </c>
      <c r="K14" s="22" t="s">
        <v>12</v>
      </c>
      <c r="L14" s="35">
        <v>32</v>
      </c>
      <c r="M14" s="35">
        <v>36</v>
      </c>
      <c r="N14" s="35">
        <v>33</v>
      </c>
      <c r="O14" s="73"/>
      <c r="P14" s="13"/>
      <c r="Q14" s="13"/>
      <c r="R14" s="13"/>
      <c r="S14" s="13"/>
      <c r="T14" s="13"/>
      <c r="AF14" s="12"/>
      <c r="AG14" s="12"/>
      <c r="AH14" s="12"/>
    </row>
    <row r="15" spans="1:73" ht="24" customHeight="1" thickBot="1" x14ac:dyDescent="0.25">
      <c r="B15" s="65"/>
      <c r="C15" s="71"/>
      <c r="D15" s="20" t="e">
        <f>VLOOKUP($B15,#REF!,3,0)</f>
        <v>#REF!</v>
      </c>
      <c r="E15" s="20" t="e">
        <f>VLOOKUP($B15,#REF!,4,0)</f>
        <v>#REF!</v>
      </c>
      <c r="F15" s="20" t="e">
        <f>VLOOKUP($B15,#REF!,5,0)</f>
        <v>#REF!</v>
      </c>
      <c r="G15" s="20" t="e">
        <f>VLOOKUP($B15,#REF!,6,0)</f>
        <v>#REF!</v>
      </c>
      <c r="H15" s="20" t="e">
        <f>VLOOKUP($B15,#REF!,7,0)</f>
        <v>#REF!</v>
      </c>
      <c r="I15" s="20" t="e">
        <f>VLOOKUP($B15,#REF!,8,0)</f>
        <v>#REF!</v>
      </c>
      <c r="J15" s="69"/>
      <c r="K15" s="34" t="s">
        <v>13</v>
      </c>
      <c r="L15" s="36">
        <v>41</v>
      </c>
      <c r="M15" s="36">
        <v>48</v>
      </c>
      <c r="N15" s="36">
        <v>46</v>
      </c>
      <c r="O15" s="74"/>
      <c r="P15" s="13"/>
      <c r="Q15" s="13"/>
      <c r="R15" s="13"/>
      <c r="S15" s="13"/>
      <c r="T15" s="13"/>
      <c r="AF15" s="12"/>
      <c r="AG15" s="12"/>
      <c r="AH15" s="14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5"/>
      <c r="BI15" s="15"/>
      <c r="BJ15" s="15"/>
      <c r="BK15" s="15"/>
      <c r="BL15" s="15"/>
      <c r="BM15" s="15"/>
      <c r="BN15" s="15"/>
      <c r="BO15" s="15"/>
      <c r="BP15" s="15"/>
      <c r="BQ15" s="15"/>
      <c r="BR15" s="15"/>
      <c r="BS15" s="15"/>
      <c r="BT15" s="15"/>
      <c r="BU15" s="15"/>
    </row>
    <row r="16" spans="1:73" ht="24" customHeight="1" x14ac:dyDescent="0.2">
      <c r="B16" s="64">
        <v>4</v>
      </c>
      <c r="C16" s="70" t="s">
        <v>32</v>
      </c>
      <c r="D16" s="19" t="e">
        <f>VLOOKUP($B16,#REF!,3,0)</f>
        <v>#REF!</v>
      </c>
      <c r="E16" s="19" t="e">
        <f>VLOOKUP($B16,#REF!,4,0)</f>
        <v>#REF!</v>
      </c>
      <c r="F16" s="19" t="e">
        <f>VLOOKUP($B16,#REF!,5,0)</f>
        <v>#REF!</v>
      </c>
      <c r="G16" s="19" t="e">
        <f>VLOOKUP($B16,#REF!,6,0)</f>
        <v>#REF!</v>
      </c>
      <c r="H16" s="19" t="e">
        <f>VLOOKUP($B16,#REF!,7,0)</f>
        <v>#REF!</v>
      </c>
      <c r="I16" s="19" t="e">
        <f>VLOOKUP($B16,#REF!,8,0)</f>
        <v>#REF!</v>
      </c>
      <c r="J16" s="72"/>
      <c r="K16" s="22" t="s">
        <v>12</v>
      </c>
      <c r="L16" s="35">
        <v>34</v>
      </c>
      <c r="M16" s="35">
        <v>31</v>
      </c>
      <c r="N16" s="44">
        <v>30</v>
      </c>
      <c r="O16" s="73"/>
      <c r="P16" s="13"/>
      <c r="Q16" s="13"/>
      <c r="R16" s="13"/>
      <c r="S16" s="13"/>
      <c r="T16" s="13"/>
    </row>
    <row r="17" spans="2:73" ht="24" customHeight="1" thickBot="1" x14ac:dyDescent="0.25">
      <c r="B17" s="65"/>
      <c r="C17" s="71"/>
      <c r="D17" s="20" t="e">
        <f>VLOOKUP($B17,#REF!,3,0)</f>
        <v>#REF!</v>
      </c>
      <c r="E17" s="20" t="e">
        <f>VLOOKUP($B17,#REF!,4,0)</f>
        <v>#REF!</v>
      </c>
      <c r="F17" s="20" t="e">
        <f>VLOOKUP($B17,#REF!,5,0)</f>
        <v>#REF!</v>
      </c>
      <c r="G17" s="20" t="e">
        <f>VLOOKUP($B17,#REF!,6,0)</f>
        <v>#REF!</v>
      </c>
      <c r="H17" s="20" t="e">
        <f>VLOOKUP($B17,#REF!,7,0)</f>
        <v>#REF!</v>
      </c>
      <c r="I17" s="20" t="e">
        <f>VLOOKUP($B17,#REF!,8,0)</f>
        <v>#REF!</v>
      </c>
      <c r="J17" s="69"/>
      <c r="K17" s="34" t="s">
        <v>13</v>
      </c>
      <c r="L17" s="36">
        <v>39</v>
      </c>
      <c r="M17" s="36">
        <v>44</v>
      </c>
      <c r="N17" s="36">
        <v>36</v>
      </c>
      <c r="O17" s="74"/>
      <c r="P17" s="13"/>
      <c r="Q17" s="13"/>
      <c r="R17" s="13"/>
      <c r="S17" s="13"/>
      <c r="T17" s="13"/>
      <c r="AF17" s="12"/>
      <c r="AG17" s="12"/>
      <c r="AH17" s="14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5"/>
      <c r="BI17" s="15"/>
      <c r="BJ17" s="15"/>
      <c r="BK17" s="15"/>
      <c r="BL17" s="15"/>
      <c r="BM17" s="15"/>
      <c r="BN17" s="15"/>
      <c r="BO17" s="15"/>
      <c r="BP17" s="15"/>
      <c r="BQ17" s="15"/>
      <c r="BR17" s="15"/>
      <c r="BS17" s="15"/>
      <c r="BT17" s="15"/>
      <c r="BU17" s="15"/>
    </row>
    <row r="18" spans="2:73" ht="24" customHeight="1" x14ac:dyDescent="0.2">
      <c r="B18" s="64">
        <v>5</v>
      </c>
      <c r="C18" s="70" t="s">
        <v>33</v>
      </c>
      <c r="D18" s="19" t="e">
        <f>VLOOKUP($B18,#REF!,3,0)</f>
        <v>#REF!</v>
      </c>
      <c r="E18" s="19" t="e">
        <f>VLOOKUP($B18,#REF!,4,0)</f>
        <v>#REF!</v>
      </c>
      <c r="F18" s="19" t="e">
        <f>VLOOKUP($B18,#REF!,5,0)</f>
        <v>#REF!</v>
      </c>
      <c r="G18" s="19" t="e">
        <f>VLOOKUP($B18,#REF!,6,0)</f>
        <v>#REF!</v>
      </c>
      <c r="H18" s="19" t="e">
        <f>VLOOKUP($B18,#REF!,7,0)</f>
        <v>#REF!</v>
      </c>
      <c r="I18" s="19" t="e">
        <f>VLOOKUP($B18,#REF!,8,0)</f>
        <v>#REF!</v>
      </c>
      <c r="J18" s="72"/>
      <c r="K18" s="22" t="s">
        <v>12</v>
      </c>
      <c r="L18" s="44">
        <v>40</v>
      </c>
      <c r="M18" s="35">
        <v>31</v>
      </c>
      <c r="N18" s="44">
        <v>34</v>
      </c>
      <c r="O18" s="73"/>
      <c r="P18" s="13"/>
      <c r="Q18" s="13"/>
      <c r="R18" s="13"/>
      <c r="S18" s="13"/>
      <c r="T18" s="13"/>
      <c r="AF18" s="12"/>
      <c r="AG18" s="12"/>
      <c r="AH18" s="12"/>
    </row>
    <row r="19" spans="2:73" ht="24" customHeight="1" thickBot="1" x14ac:dyDescent="0.25">
      <c r="B19" s="65"/>
      <c r="C19" s="71"/>
      <c r="D19" s="20" t="e">
        <f>VLOOKUP($B19,#REF!,3,0)</f>
        <v>#REF!</v>
      </c>
      <c r="E19" s="20" t="e">
        <f>VLOOKUP($B19,#REF!,4,0)</f>
        <v>#REF!</v>
      </c>
      <c r="F19" s="20" t="e">
        <f>VLOOKUP($B19,#REF!,5,0)</f>
        <v>#REF!</v>
      </c>
      <c r="G19" s="20" t="e">
        <f>VLOOKUP($B19,#REF!,6,0)</f>
        <v>#REF!</v>
      </c>
      <c r="H19" s="20" t="e">
        <f>VLOOKUP($B19,#REF!,7,0)</f>
        <v>#REF!</v>
      </c>
      <c r="I19" s="20" t="e">
        <f>VLOOKUP($B19,#REF!,8,0)</f>
        <v>#REF!</v>
      </c>
      <c r="J19" s="69"/>
      <c r="K19" s="34" t="s">
        <v>13</v>
      </c>
      <c r="L19" s="36">
        <v>44</v>
      </c>
      <c r="M19" s="36">
        <v>44</v>
      </c>
      <c r="N19" s="36">
        <v>46</v>
      </c>
      <c r="O19" s="74"/>
      <c r="P19" s="13"/>
      <c r="Q19" s="13"/>
      <c r="R19" s="13"/>
      <c r="S19" s="13"/>
      <c r="T19" s="13"/>
      <c r="AF19" s="12"/>
      <c r="AG19" s="12"/>
      <c r="AH19" s="14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</row>
    <row r="20" spans="2:73" ht="24" customHeight="1" x14ac:dyDescent="0.2">
      <c r="B20" s="64">
        <v>6</v>
      </c>
      <c r="C20" s="70" t="s">
        <v>32</v>
      </c>
      <c r="D20" s="19" t="e">
        <f>VLOOKUP($B20,#REF!,3,0)</f>
        <v>#REF!</v>
      </c>
      <c r="E20" s="19" t="e">
        <f>VLOOKUP($B20,#REF!,4,0)</f>
        <v>#REF!</v>
      </c>
      <c r="F20" s="19" t="e">
        <f>VLOOKUP($B20,#REF!,5,0)</f>
        <v>#REF!</v>
      </c>
      <c r="G20" s="19" t="e">
        <f>VLOOKUP($B20,#REF!,6,0)</f>
        <v>#REF!</v>
      </c>
      <c r="H20" s="19" t="e">
        <f>VLOOKUP($B20,#REF!,7,0)</f>
        <v>#REF!</v>
      </c>
      <c r="I20" s="19" t="e">
        <f>VLOOKUP($B20,#REF!,8,0)</f>
        <v>#REF!</v>
      </c>
      <c r="J20" s="72"/>
      <c r="K20" s="22" t="s">
        <v>12</v>
      </c>
      <c r="L20" s="35">
        <v>34</v>
      </c>
      <c r="M20" s="35">
        <v>34</v>
      </c>
      <c r="N20" s="35">
        <v>40</v>
      </c>
      <c r="O20" s="73"/>
      <c r="P20" s="13"/>
      <c r="Q20" s="13"/>
      <c r="R20" s="13"/>
      <c r="S20" s="13"/>
      <c r="T20" s="13"/>
      <c r="AF20" s="12"/>
      <c r="AG20" s="12"/>
      <c r="AH20" s="12"/>
    </row>
    <row r="21" spans="2:73" ht="24" customHeight="1" thickBot="1" x14ac:dyDescent="0.25">
      <c r="B21" s="65"/>
      <c r="C21" s="71"/>
      <c r="D21" s="20" t="e">
        <f>VLOOKUP($B21,#REF!,3,0)</f>
        <v>#REF!</v>
      </c>
      <c r="E21" s="20" t="e">
        <f>VLOOKUP($B21,#REF!,4,0)</f>
        <v>#REF!</v>
      </c>
      <c r="F21" s="20" t="e">
        <f>VLOOKUP($B21,#REF!,5,0)</f>
        <v>#REF!</v>
      </c>
      <c r="G21" s="20" t="e">
        <f>VLOOKUP($B21,#REF!,6,0)</f>
        <v>#REF!</v>
      </c>
      <c r="H21" s="20" t="e">
        <f>VLOOKUP($B21,#REF!,7,0)</f>
        <v>#REF!</v>
      </c>
      <c r="I21" s="20" t="e">
        <f>VLOOKUP($B21,#REF!,8,0)</f>
        <v>#REF!</v>
      </c>
      <c r="J21" s="69"/>
      <c r="K21" s="34" t="s">
        <v>13</v>
      </c>
      <c r="L21" s="36">
        <v>42</v>
      </c>
      <c r="M21" s="36">
        <v>41</v>
      </c>
      <c r="N21" s="36">
        <v>43</v>
      </c>
      <c r="O21" s="74"/>
      <c r="P21" s="13"/>
      <c r="Q21" s="13"/>
      <c r="R21" s="13"/>
      <c r="S21" s="13"/>
      <c r="T21" s="13"/>
      <c r="AF21" s="12"/>
      <c r="AG21" s="12"/>
      <c r="AH21" s="14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  <c r="AX21" s="15"/>
      <c r="AY21" s="15"/>
      <c r="AZ21" s="15"/>
      <c r="BA21" s="15"/>
      <c r="BB21" s="15"/>
      <c r="BC21" s="15"/>
      <c r="BD21" s="15"/>
      <c r="BE21" s="15"/>
      <c r="BF21" s="15"/>
      <c r="BG21" s="15"/>
      <c r="BH21" s="15"/>
      <c r="BI21" s="15"/>
      <c r="BJ21" s="15"/>
      <c r="BK21" s="15"/>
      <c r="BL21" s="15"/>
      <c r="BM21" s="15"/>
      <c r="BN21" s="15"/>
      <c r="BO21" s="15"/>
      <c r="BP21" s="15"/>
      <c r="BQ21" s="15"/>
      <c r="BR21" s="15"/>
      <c r="BS21" s="15"/>
      <c r="BT21" s="15"/>
      <c r="BU21" s="15"/>
    </row>
    <row r="22" spans="2:73" ht="24" customHeight="1" x14ac:dyDescent="0.2">
      <c r="B22" s="64">
        <v>7</v>
      </c>
      <c r="C22" s="70" t="s">
        <v>33</v>
      </c>
      <c r="D22" s="19" t="e">
        <f>VLOOKUP($B22,#REF!,3,0)</f>
        <v>#REF!</v>
      </c>
      <c r="E22" s="19" t="e">
        <f>VLOOKUP($B22,#REF!,4,0)</f>
        <v>#REF!</v>
      </c>
      <c r="F22" s="19" t="e">
        <f>VLOOKUP($B22,#REF!,5,0)</f>
        <v>#REF!</v>
      </c>
      <c r="G22" s="19" t="e">
        <f>VLOOKUP($B22,#REF!,6,0)</f>
        <v>#REF!</v>
      </c>
      <c r="H22" s="19" t="e">
        <f>VLOOKUP($B22,#REF!,7,0)</f>
        <v>#REF!</v>
      </c>
      <c r="I22" s="19" t="e">
        <f>VLOOKUP($B22,#REF!,8,0)</f>
        <v>#REF!</v>
      </c>
      <c r="J22" s="72"/>
      <c r="K22" s="22" t="s">
        <v>12</v>
      </c>
      <c r="L22" s="35">
        <v>33</v>
      </c>
      <c r="M22" s="35">
        <v>38</v>
      </c>
      <c r="N22" s="35">
        <v>31</v>
      </c>
      <c r="O22" s="73"/>
      <c r="P22" s="13"/>
      <c r="Q22" s="13"/>
      <c r="R22" s="13"/>
      <c r="S22" s="13"/>
      <c r="T22" s="13"/>
      <c r="AF22" s="12"/>
      <c r="AG22" s="12"/>
      <c r="AH22" s="12"/>
    </row>
    <row r="23" spans="2:73" ht="24" customHeight="1" thickBot="1" x14ac:dyDescent="0.25">
      <c r="B23" s="65"/>
      <c r="C23" s="71"/>
      <c r="D23" s="20" t="e">
        <f>VLOOKUP($B23,#REF!,3,0)</f>
        <v>#REF!</v>
      </c>
      <c r="E23" s="20" t="e">
        <f>VLOOKUP($B23,#REF!,4,0)</f>
        <v>#REF!</v>
      </c>
      <c r="F23" s="20" t="e">
        <f>VLOOKUP($B23,#REF!,5,0)</f>
        <v>#REF!</v>
      </c>
      <c r="G23" s="20" t="e">
        <f>VLOOKUP($B23,#REF!,6,0)</f>
        <v>#REF!</v>
      </c>
      <c r="H23" s="20" t="e">
        <f>VLOOKUP($B23,#REF!,7,0)</f>
        <v>#REF!</v>
      </c>
      <c r="I23" s="20" t="e">
        <f>VLOOKUP($B23,#REF!,8,0)</f>
        <v>#REF!</v>
      </c>
      <c r="J23" s="69"/>
      <c r="K23" s="34" t="s">
        <v>13</v>
      </c>
      <c r="L23" s="36">
        <v>40</v>
      </c>
      <c r="M23" s="36">
        <v>45</v>
      </c>
      <c r="N23" s="36">
        <v>45</v>
      </c>
      <c r="O23" s="74"/>
      <c r="P23" s="13"/>
      <c r="Q23" s="13"/>
      <c r="R23" s="13"/>
      <c r="S23" s="13"/>
      <c r="T23" s="13"/>
      <c r="AF23" s="12"/>
      <c r="AG23" s="12"/>
      <c r="AH23" s="14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5"/>
      <c r="BB23" s="15"/>
      <c r="BC23" s="15"/>
      <c r="BD23" s="15"/>
      <c r="BE23" s="15"/>
      <c r="BF23" s="15"/>
      <c r="BG23" s="15"/>
      <c r="BH23" s="15"/>
      <c r="BI23" s="15"/>
      <c r="BJ23" s="15"/>
      <c r="BK23" s="15"/>
      <c r="BL23" s="15"/>
      <c r="BM23" s="15"/>
      <c r="BN23" s="15"/>
      <c r="BO23" s="15"/>
      <c r="BP23" s="15"/>
      <c r="BQ23" s="15"/>
      <c r="BR23" s="15"/>
      <c r="BS23" s="15"/>
      <c r="BT23" s="15"/>
      <c r="BU23" s="15"/>
    </row>
    <row r="24" spans="2:73" ht="24" customHeight="1" x14ac:dyDescent="0.2">
      <c r="B24" s="64">
        <v>8</v>
      </c>
      <c r="C24" s="70" t="s">
        <v>32</v>
      </c>
      <c r="D24" s="19" t="e">
        <f>VLOOKUP($B24,#REF!,3,0)</f>
        <v>#REF!</v>
      </c>
      <c r="E24" s="19" t="e">
        <f>VLOOKUP($B24,#REF!,4,0)</f>
        <v>#REF!</v>
      </c>
      <c r="F24" s="19" t="e">
        <f>VLOOKUP($B24,#REF!,5,0)</f>
        <v>#REF!</v>
      </c>
      <c r="G24" s="19" t="e">
        <f>VLOOKUP($B24,#REF!,6,0)</f>
        <v>#REF!</v>
      </c>
      <c r="H24" s="19" t="e">
        <f>VLOOKUP($B24,#REF!,7,0)</f>
        <v>#REF!</v>
      </c>
      <c r="I24" s="19" t="e">
        <f>VLOOKUP($B24,#REF!,8,0)</f>
        <v>#REF!</v>
      </c>
      <c r="J24" s="72"/>
      <c r="K24" s="22" t="s">
        <v>12</v>
      </c>
      <c r="L24" s="35">
        <v>37</v>
      </c>
      <c r="M24" s="35">
        <v>31</v>
      </c>
      <c r="N24" s="35">
        <v>29</v>
      </c>
      <c r="O24" s="73"/>
      <c r="P24" s="13"/>
      <c r="Q24" s="13"/>
      <c r="R24" s="13"/>
      <c r="S24" s="13"/>
      <c r="T24" s="13"/>
      <c r="AF24" s="9"/>
      <c r="AG24" s="9"/>
      <c r="AH24" s="9"/>
    </row>
    <row r="25" spans="2:73" ht="24" customHeight="1" thickBot="1" x14ac:dyDescent="0.25">
      <c r="B25" s="65"/>
      <c r="C25" s="71"/>
      <c r="D25" s="20" t="e">
        <f>VLOOKUP($B25,#REF!,3,0)</f>
        <v>#REF!</v>
      </c>
      <c r="E25" s="20" t="e">
        <f>VLOOKUP($B25,#REF!,4,0)</f>
        <v>#REF!</v>
      </c>
      <c r="F25" s="20" t="e">
        <f>VLOOKUP($B25,#REF!,5,0)</f>
        <v>#REF!</v>
      </c>
      <c r="G25" s="20" t="e">
        <f>VLOOKUP($B25,#REF!,6,0)</f>
        <v>#REF!</v>
      </c>
      <c r="H25" s="20" t="e">
        <f>VLOOKUP($B25,#REF!,7,0)</f>
        <v>#REF!</v>
      </c>
      <c r="I25" s="20" t="e">
        <f>VLOOKUP($B25,#REF!,8,0)</f>
        <v>#REF!</v>
      </c>
      <c r="J25" s="69"/>
      <c r="K25" s="34" t="s">
        <v>13</v>
      </c>
      <c r="L25" s="36">
        <v>43</v>
      </c>
      <c r="M25" s="36">
        <v>43</v>
      </c>
      <c r="N25" s="36">
        <v>38</v>
      </c>
      <c r="O25" s="74"/>
      <c r="P25" s="13"/>
      <c r="Q25" s="13"/>
      <c r="R25" s="13"/>
      <c r="S25" s="13"/>
      <c r="T25" s="13"/>
      <c r="AF25" s="12"/>
      <c r="AG25" s="12"/>
      <c r="AH25" s="14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AX25" s="15"/>
      <c r="AY25" s="15"/>
      <c r="AZ25" s="15"/>
      <c r="BA25" s="15"/>
      <c r="BB25" s="15"/>
      <c r="BC25" s="15"/>
      <c r="BD25" s="15"/>
      <c r="BE25" s="15"/>
      <c r="BF25" s="15"/>
      <c r="BG25" s="15"/>
      <c r="BH25" s="15"/>
      <c r="BI25" s="15"/>
      <c r="BJ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</row>
    <row r="26" spans="2:73" ht="24" customHeight="1" x14ac:dyDescent="0.2">
      <c r="B26" s="64">
        <v>9</v>
      </c>
      <c r="C26" s="70" t="s">
        <v>33</v>
      </c>
      <c r="D26" s="19" t="e">
        <f>VLOOKUP($B26,#REF!,3,0)</f>
        <v>#REF!</v>
      </c>
      <c r="E26" s="19" t="e">
        <f>VLOOKUP($B26,#REF!,4,0)</f>
        <v>#REF!</v>
      </c>
      <c r="F26" s="19" t="e">
        <f>VLOOKUP($B26,#REF!,5,0)</f>
        <v>#REF!</v>
      </c>
      <c r="G26" s="19" t="e">
        <f>VLOOKUP($B26,#REF!,6,0)</f>
        <v>#REF!</v>
      </c>
      <c r="H26" s="19" t="e">
        <f>VLOOKUP($B26,#REF!,7,0)</f>
        <v>#REF!</v>
      </c>
      <c r="I26" s="19" t="e">
        <f>VLOOKUP($B26,#REF!,8,0)</f>
        <v>#REF!</v>
      </c>
      <c r="J26" s="72">
        <v>943</v>
      </c>
      <c r="K26" s="22" t="s">
        <v>12</v>
      </c>
      <c r="L26" s="35">
        <v>29</v>
      </c>
      <c r="M26" s="35">
        <v>38</v>
      </c>
      <c r="N26" s="35">
        <v>36</v>
      </c>
      <c r="O26" s="73"/>
      <c r="P26" s="13"/>
      <c r="Q26" s="13"/>
      <c r="R26" s="13"/>
      <c r="S26" s="13"/>
      <c r="T26" s="13"/>
      <c r="AF26" s="12"/>
      <c r="AG26" s="12"/>
      <c r="AH26" s="12"/>
    </row>
    <row r="27" spans="2:73" ht="24" customHeight="1" thickBot="1" x14ac:dyDescent="0.25">
      <c r="B27" s="65"/>
      <c r="C27" s="71"/>
      <c r="D27" s="20" t="e">
        <f>VLOOKUP($B27,#REF!,3,0)</f>
        <v>#REF!</v>
      </c>
      <c r="E27" s="20" t="e">
        <f>VLOOKUP($B27,#REF!,4,0)</f>
        <v>#REF!</v>
      </c>
      <c r="F27" s="20" t="e">
        <f>VLOOKUP($B27,#REF!,5,0)</f>
        <v>#REF!</v>
      </c>
      <c r="G27" s="20" t="e">
        <f>VLOOKUP($B27,#REF!,6,0)</f>
        <v>#REF!</v>
      </c>
      <c r="H27" s="20" t="e">
        <f>VLOOKUP($B27,#REF!,7,0)</f>
        <v>#REF!</v>
      </c>
      <c r="I27" s="20" t="e">
        <f>VLOOKUP($B27,#REF!,8,0)</f>
        <v>#REF!</v>
      </c>
      <c r="J27" s="69"/>
      <c r="K27" s="34" t="s">
        <v>13</v>
      </c>
      <c r="L27" s="36">
        <v>34</v>
      </c>
      <c r="M27" s="36">
        <v>45</v>
      </c>
      <c r="N27" s="36">
        <v>43</v>
      </c>
      <c r="O27" s="74"/>
      <c r="P27" s="13"/>
      <c r="Q27" s="13"/>
      <c r="R27" s="13"/>
      <c r="S27" s="13"/>
      <c r="T27" s="13"/>
      <c r="AF27" s="12"/>
      <c r="AG27" s="12"/>
      <c r="AH27" s="14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AX27" s="15"/>
      <c r="AY27" s="15"/>
      <c r="AZ27" s="15"/>
      <c r="BA27" s="15"/>
      <c r="BB27" s="15"/>
      <c r="BC27" s="15"/>
      <c r="BD27" s="15"/>
      <c r="BE27" s="15"/>
      <c r="BF27" s="15"/>
      <c r="BG27" s="15"/>
      <c r="BH27" s="15"/>
      <c r="BI27" s="15"/>
      <c r="BJ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</row>
    <row r="28" spans="2:73" ht="24" customHeight="1" x14ac:dyDescent="0.2">
      <c r="B28" s="75">
        <v>10</v>
      </c>
      <c r="C28" s="70" t="s">
        <v>32</v>
      </c>
      <c r="D28" s="19" t="e">
        <f>VLOOKUP($B28,#REF!,3,0)</f>
        <v>#REF!</v>
      </c>
      <c r="E28" s="19" t="e">
        <f>VLOOKUP($B28,#REF!,4,0)</f>
        <v>#REF!</v>
      </c>
      <c r="F28" s="19" t="e">
        <f>VLOOKUP($B28,#REF!,5,0)</f>
        <v>#REF!</v>
      </c>
      <c r="G28" s="19" t="e">
        <f>VLOOKUP($B28,#REF!,6,0)</f>
        <v>#REF!</v>
      </c>
      <c r="H28" s="19" t="e">
        <f>VLOOKUP($B28,#REF!,7,0)</f>
        <v>#REF!</v>
      </c>
      <c r="I28" s="19" t="e">
        <f>VLOOKUP($B28,#REF!,8,0)</f>
        <v>#REF!</v>
      </c>
      <c r="J28" s="72"/>
      <c r="K28" s="22" t="s">
        <v>12</v>
      </c>
      <c r="L28" s="35">
        <v>34</v>
      </c>
      <c r="M28" s="35">
        <v>43</v>
      </c>
      <c r="N28" s="35">
        <v>28</v>
      </c>
      <c r="O28" s="73"/>
      <c r="P28" s="13"/>
      <c r="Q28" s="13"/>
      <c r="R28" s="13"/>
      <c r="S28" s="13"/>
      <c r="T28" s="13"/>
    </row>
    <row r="29" spans="2:73" ht="24" customHeight="1" thickBot="1" x14ac:dyDescent="0.25">
      <c r="B29" s="65"/>
      <c r="C29" s="71"/>
      <c r="D29" s="20" t="e">
        <f>VLOOKUP($B29,#REF!,3,0)</f>
        <v>#REF!</v>
      </c>
      <c r="E29" s="20" t="e">
        <f>VLOOKUP($B29,#REF!,4,0)</f>
        <v>#REF!</v>
      </c>
      <c r="F29" s="20" t="e">
        <f>VLOOKUP($B29,#REF!,5,0)</f>
        <v>#REF!</v>
      </c>
      <c r="G29" s="20" t="e">
        <f>VLOOKUP($B29,#REF!,6,0)</f>
        <v>#REF!</v>
      </c>
      <c r="H29" s="20" t="e">
        <f>VLOOKUP($B29,#REF!,7,0)</f>
        <v>#REF!</v>
      </c>
      <c r="I29" s="20" t="e">
        <f>VLOOKUP($B29,#REF!,8,0)</f>
        <v>#REF!</v>
      </c>
      <c r="J29" s="69"/>
      <c r="K29" s="34" t="s">
        <v>13</v>
      </c>
      <c r="L29" s="36">
        <v>36</v>
      </c>
      <c r="M29" s="36">
        <v>47</v>
      </c>
      <c r="N29" s="36">
        <v>39</v>
      </c>
      <c r="O29" s="74"/>
      <c r="P29" s="13"/>
      <c r="Q29" s="13"/>
      <c r="R29" s="13"/>
      <c r="S29" s="13"/>
      <c r="T29" s="13"/>
      <c r="AF29" s="12"/>
      <c r="AG29" s="12"/>
      <c r="AH29" s="14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AX29" s="15"/>
      <c r="AY29" s="15"/>
      <c r="AZ29" s="15"/>
      <c r="BA29" s="15"/>
      <c r="BB29" s="15"/>
      <c r="BC29" s="15"/>
      <c r="BD29" s="15"/>
      <c r="BE29" s="15"/>
      <c r="BF29" s="15"/>
      <c r="BG29" s="15"/>
      <c r="BH29" s="15"/>
      <c r="BI29" s="15"/>
      <c r="BJ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</row>
    <row r="30" spans="2:73" ht="24" customHeight="1" x14ac:dyDescent="0.2">
      <c r="B30" s="75">
        <v>11</v>
      </c>
      <c r="C30" s="70" t="s">
        <v>33</v>
      </c>
      <c r="D30" s="19" t="e">
        <f>VLOOKUP($B30,#REF!,3,0)</f>
        <v>#REF!</v>
      </c>
      <c r="E30" s="19" t="e">
        <f>VLOOKUP($B30,#REF!,4,0)</f>
        <v>#REF!</v>
      </c>
      <c r="F30" s="19" t="e">
        <f>VLOOKUP($B30,#REF!,5,0)</f>
        <v>#REF!</v>
      </c>
      <c r="G30" s="19" t="e">
        <f>VLOOKUP($B30,#REF!,6,0)</f>
        <v>#REF!</v>
      </c>
      <c r="H30" s="19" t="e">
        <f>VLOOKUP($B30,#REF!,7,0)</f>
        <v>#REF!</v>
      </c>
      <c r="I30" s="19" t="e">
        <f>VLOOKUP($B30,#REF!,8,0)</f>
        <v>#REF!</v>
      </c>
      <c r="J30" s="72">
        <v>958</v>
      </c>
      <c r="K30" s="22" t="s">
        <v>12</v>
      </c>
      <c r="L30" s="44">
        <v>36</v>
      </c>
      <c r="M30" s="35">
        <v>41</v>
      </c>
      <c r="N30" s="35">
        <v>39</v>
      </c>
      <c r="O30" s="73"/>
      <c r="P30" s="13"/>
      <c r="Q30" s="13"/>
      <c r="R30" s="13"/>
      <c r="S30" s="13"/>
      <c r="T30" s="13"/>
    </row>
    <row r="31" spans="2:73" ht="24" customHeight="1" thickBot="1" x14ac:dyDescent="0.25">
      <c r="B31" s="65"/>
      <c r="C31" s="71"/>
      <c r="D31" s="20" t="e">
        <f>VLOOKUP($B31,#REF!,3,0)</f>
        <v>#REF!</v>
      </c>
      <c r="E31" s="20" t="e">
        <f>VLOOKUP($B31,#REF!,4,0)</f>
        <v>#REF!</v>
      </c>
      <c r="F31" s="20" t="e">
        <f>VLOOKUP($B31,#REF!,5,0)</f>
        <v>#REF!</v>
      </c>
      <c r="G31" s="20" t="e">
        <f>VLOOKUP($B31,#REF!,6,0)</f>
        <v>#REF!</v>
      </c>
      <c r="H31" s="20" t="e">
        <f>VLOOKUP($B31,#REF!,7,0)</f>
        <v>#REF!</v>
      </c>
      <c r="I31" s="20" t="e">
        <f>VLOOKUP($B31,#REF!,8,0)</f>
        <v>#REF!</v>
      </c>
      <c r="J31" s="69"/>
      <c r="K31" s="34" t="s">
        <v>13</v>
      </c>
      <c r="L31" s="36">
        <v>42</v>
      </c>
      <c r="M31" s="36">
        <v>46</v>
      </c>
      <c r="N31" s="36">
        <v>42</v>
      </c>
      <c r="O31" s="74"/>
      <c r="P31" s="13"/>
      <c r="Q31" s="13"/>
      <c r="R31" s="13"/>
      <c r="S31" s="13"/>
      <c r="T31" s="13"/>
      <c r="AF31" s="12"/>
      <c r="AG31" s="12"/>
      <c r="AH31" s="14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AX31" s="15"/>
      <c r="AY31" s="15"/>
      <c r="AZ31" s="15"/>
      <c r="BA31" s="15"/>
      <c r="BB31" s="15"/>
      <c r="BC31" s="15"/>
      <c r="BD31" s="15"/>
      <c r="BE31" s="15"/>
      <c r="BF31" s="15"/>
      <c r="BG31" s="15"/>
      <c r="BH31" s="15"/>
      <c r="BI31" s="15"/>
      <c r="BJ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</row>
    <row r="32" spans="2:73" ht="24" customHeight="1" x14ac:dyDescent="0.2">
      <c r="B32" s="75">
        <v>12</v>
      </c>
      <c r="C32" s="70" t="s">
        <v>32</v>
      </c>
      <c r="D32" s="19" t="e">
        <f>VLOOKUP($B32,#REF!,3,0)</f>
        <v>#REF!</v>
      </c>
      <c r="E32" s="19" t="e">
        <f>VLOOKUP($B32,#REF!,4,0)</f>
        <v>#REF!</v>
      </c>
      <c r="F32" s="19" t="e">
        <f>VLOOKUP($B32,#REF!,5,0)</f>
        <v>#REF!</v>
      </c>
      <c r="G32" s="19" t="e">
        <f>VLOOKUP($B32,#REF!,6,0)</f>
        <v>#REF!</v>
      </c>
      <c r="H32" s="19" t="e">
        <f>VLOOKUP($B32,#REF!,7,0)</f>
        <v>#REF!</v>
      </c>
      <c r="I32" s="19" t="e">
        <f>VLOOKUP($B32,#REF!,8,0)</f>
        <v>#REF!</v>
      </c>
      <c r="J32" s="72"/>
      <c r="K32" s="22" t="s">
        <v>12</v>
      </c>
      <c r="L32" s="35">
        <v>37</v>
      </c>
      <c r="M32" s="35">
        <v>30</v>
      </c>
      <c r="N32" s="35">
        <v>41</v>
      </c>
      <c r="O32" s="73"/>
      <c r="P32" s="13"/>
      <c r="Q32" s="13"/>
      <c r="R32" s="13"/>
      <c r="S32" s="13"/>
      <c r="T32" s="13"/>
    </row>
    <row r="33" spans="2:73" ht="24" customHeight="1" thickBot="1" x14ac:dyDescent="0.25">
      <c r="B33" s="65"/>
      <c r="C33" s="71"/>
      <c r="D33" s="20" t="e">
        <f>VLOOKUP($B33,#REF!,3,0)</f>
        <v>#REF!</v>
      </c>
      <c r="E33" s="20" t="e">
        <f>VLOOKUP($B33,#REF!,4,0)</f>
        <v>#REF!</v>
      </c>
      <c r="F33" s="20" t="e">
        <f>VLOOKUP($B33,#REF!,5,0)</f>
        <v>#REF!</v>
      </c>
      <c r="G33" s="20" t="e">
        <f>VLOOKUP($B33,#REF!,6,0)</f>
        <v>#REF!</v>
      </c>
      <c r="H33" s="20" t="e">
        <f>VLOOKUP($B33,#REF!,7,0)</f>
        <v>#REF!</v>
      </c>
      <c r="I33" s="20" t="e">
        <f>VLOOKUP($B33,#REF!,8,0)</f>
        <v>#REF!</v>
      </c>
      <c r="J33" s="69"/>
      <c r="K33" s="34" t="s">
        <v>13</v>
      </c>
      <c r="L33" s="36">
        <v>41</v>
      </c>
      <c r="M33" s="36">
        <v>41</v>
      </c>
      <c r="N33" s="36">
        <v>46</v>
      </c>
      <c r="O33" s="74"/>
      <c r="P33" s="13"/>
      <c r="Q33" s="13"/>
      <c r="R33" s="13"/>
      <c r="S33" s="13"/>
      <c r="T33" s="13"/>
      <c r="AF33" s="12"/>
      <c r="AG33" s="12"/>
      <c r="AH33" s="14"/>
      <c r="AI33" s="15"/>
      <c r="AJ33" s="15"/>
      <c r="AK33" s="15"/>
      <c r="AL33" s="15"/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AX33" s="15"/>
      <c r="AY33" s="15"/>
      <c r="AZ33" s="15"/>
      <c r="BA33" s="15"/>
      <c r="BB33" s="15"/>
      <c r="BC33" s="15"/>
      <c r="BD33" s="15"/>
      <c r="BE33" s="15"/>
      <c r="BF33" s="15"/>
      <c r="BG33" s="15"/>
      <c r="BH33" s="15"/>
      <c r="BI33" s="15"/>
      <c r="BJ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</row>
    <row r="34" spans="2:73" ht="24" customHeight="1" x14ac:dyDescent="0.2">
      <c r="B34" s="75">
        <v>13</v>
      </c>
      <c r="C34" s="70" t="s">
        <v>33</v>
      </c>
      <c r="D34" s="19" t="e">
        <f>VLOOKUP($B34,#REF!,3,0)</f>
        <v>#REF!</v>
      </c>
      <c r="E34" s="19" t="e">
        <f>VLOOKUP($B34,#REF!,4,0)</f>
        <v>#REF!</v>
      </c>
      <c r="F34" s="19" t="e">
        <f>VLOOKUP($B34,#REF!,5,0)</f>
        <v>#REF!</v>
      </c>
      <c r="G34" s="19" t="e">
        <f>VLOOKUP($B34,#REF!,6,0)</f>
        <v>#REF!</v>
      </c>
      <c r="H34" s="19" t="e">
        <f>VLOOKUP($B34,#REF!,7,0)</f>
        <v>#REF!</v>
      </c>
      <c r="I34" s="19" t="e">
        <f>VLOOKUP($B34,#REF!,8,0)</f>
        <v>#REF!</v>
      </c>
      <c r="J34" s="72"/>
      <c r="K34" s="22" t="s">
        <v>12</v>
      </c>
      <c r="L34" s="35">
        <v>28</v>
      </c>
      <c r="M34" s="35">
        <v>32</v>
      </c>
      <c r="N34" s="35">
        <v>36</v>
      </c>
      <c r="O34" s="73"/>
      <c r="P34" s="13"/>
      <c r="Q34" s="13"/>
      <c r="R34" s="13"/>
      <c r="S34" s="13"/>
      <c r="T34" s="13"/>
    </row>
    <row r="35" spans="2:73" ht="24" customHeight="1" thickBot="1" x14ac:dyDescent="0.25">
      <c r="B35" s="65"/>
      <c r="C35" s="71"/>
      <c r="D35" s="20" t="e">
        <f>VLOOKUP($B35,#REF!,3,0)</f>
        <v>#REF!</v>
      </c>
      <c r="E35" s="20" t="e">
        <f>VLOOKUP($B35,#REF!,4,0)</f>
        <v>#REF!</v>
      </c>
      <c r="F35" s="20" t="e">
        <f>VLOOKUP($B35,#REF!,5,0)</f>
        <v>#REF!</v>
      </c>
      <c r="G35" s="20" t="e">
        <f>VLOOKUP($B35,#REF!,6,0)</f>
        <v>#REF!</v>
      </c>
      <c r="H35" s="20" t="e">
        <f>VLOOKUP($B35,#REF!,7,0)</f>
        <v>#REF!</v>
      </c>
      <c r="I35" s="20" t="e">
        <f>VLOOKUP($B35,#REF!,8,0)</f>
        <v>#REF!</v>
      </c>
      <c r="J35" s="69"/>
      <c r="K35" s="34" t="s">
        <v>13</v>
      </c>
      <c r="L35" s="36">
        <v>43</v>
      </c>
      <c r="M35" s="36">
        <v>39</v>
      </c>
      <c r="N35" s="36">
        <v>41</v>
      </c>
      <c r="O35" s="74"/>
      <c r="P35" s="13"/>
      <c r="Q35" s="13"/>
      <c r="R35" s="13"/>
      <c r="S35" s="13"/>
      <c r="T35" s="13"/>
      <c r="AF35" s="12"/>
      <c r="AG35" s="12"/>
      <c r="AH35" s="14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5"/>
      <c r="AX35" s="15"/>
      <c r="AY35" s="15"/>
      <c r="AZ35" s="15"/>
      <c r="BA35" s="15"/>
      <c r="BB35" s="15"/>
      <c r="BC35" s="15"/>
      <c r="BD35" s="15"/>
      <c r="BE35" s="15"/>
      <c r="BF35" s="15"/>
      <c r="BG35" s="15"/>
      <c r="BH35" s="15"/>
      <c r="BI35" s="15"/>
      <c r="BJ35" s="15"/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</row>
    <row r="36" spans="2:73" ht="24" customHeight="1" x14ac:dyDescent="0.2">
      <c r="B36" s="75">
        <v>14</v>
      </c>
      <c r="C36" s="70" t="s">
        <v>32</v>
      </c>
      <c r="D36" s="19" t="e">
        <f>VLOOKUP($B36,#REF!,3,0)</f>
        <v>#REF!</v>
      </c>
      <c r="E36" s="19" t="e">
        <f>VLOOKUP($B36,#REF!,4,0)</f>
        <v>#REF!</v>
      </c>
      <c r="F36" s="19" t="e">
        <f>VLOOKUP($B36,#REF!,5,0)</f>
        <v>#REF!</v>
      </c>
      <c r="G36" s="19" t="e">
        <f>VLOOKUP($B36,#REF!,6,0)</f>
        <v>#REF!</v>
      </c>
      <c r="H36" s="19" t="e">
        <f>VLOOKUP($B36,#REF!,7,0)</f>
        <v>#REF!</v>
      </c>
      <c r="I36" s="19" t="e">
        <f>VLOOKUP($B36,#REF!,8,0)</f>
        <v>#REF!</v>
      </c>
      <c r="J36" s="72"/>
      <c r="K36" s="22" t="s">
        <v>12</v>
      </c>
      <c r="L36" s="35">
        <v>34</v>
      </c>
      <c r="M36" s="35">
        <v>31</v>
      </c>
      <c r="N36" s="35">
        <v>31</v>
      </c>
      <c r="O36" s="73"/>
      <c r="P36" s="13"/>
      <c r="Q36" s="13"/>
      <c r="R36" s="13"/>
      <c r="S36" s="13"/>
      <c r="T36" s="13"/>
    </row>
    <row r="37" spans="2:73" ht="24" customHeight="1" thickBot="1" x14ac:dyDescent="0.25">
      <c r="B37" s="65"/>
      <c r="C37" s="71"/>
      <c r="D37" s="20" t="e">
        <f>VLOOKUP($B37,#REF!,3,0)</f>
        <v>#REF!</v>
      </c>
      <c r="E37" s="20" t="e">
        <f>VLOOKUP($B37,#REF!,4,0)</f>
        <v>#REF!</v>
      </c>
      <c r="F37" s="20" t="e">
        <f>VLOOKUP($B37,#REF!,5,0)</f>
        <v>#REF!</v>
      </c>
      <c r="G37" s="20" t="e">
        <f>VLOOKUP($B37,#REF!,6,0)</f>
        <v>#REF!</v>
      </c>
      <c r="H37" s="20" t="e">
        <f>VLOOKUP($B37,#REF!,7,0)</f>
        <v>#REF!</v>
      </c>
      <c r="I37" s="20" t="e">
        <f>VLOOKUP($B37,#REF!,8,0)</f>
        <v>#REF!</v>
      </c>
      <c r="J37" s="69"/>
      <c r="K37" s="34" t="s">
        <v>13</v>
      </c>
      <c r="L37" s="36">
        <v>45</v>
      </c>
      <c r="M37" s="36">
        <v>42</v>
      </c>
      <c r="N37" s="36">
        <v>41</v>
      </c>
      <c r="O37" s="74"/>
      <c r="P37" s="13"/>
      <c r="Q37" s="13"/>
      <c r="R37" s="13"/>
      <c r="S37" s="13"/>
      <c r="T37" s="13"/>
      <c r="AF37" s="12"/>
      <c r="AG37" s="12"/>
      <c r="AH37" s="14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/>
      <c r="AU37" s="15"/>
      <c r="AV37" s="15"/>
      <c r="AW37" s="15"/>
      <c r="AX37" s="15"/>
      <c r="AY37" s="15"/>
      <c r="AZ37" s="15"/>
      <c r="BA37" s="15"/>
      <c r="BB37" s="15"/>
      <c r="BC37" s="15"/>
      <c r="BD37" s="15"/>
      <c r="BE37" s="15"/>
      <c r="BF37" s="15"/>
      <c r="BG37" s="15"/>
      <c r="BH37" s="15"/>
      <c r="BI37" s="15"/>
      <c r="BJ37" s="15"/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</row>
    <row r="38" spans="2:73" ht="24" customHeight="1" x14ac:dyDescent="0.2">
      <c r="B38" s="75">
        <v>15</v>
      </c>
      <c r="C38" s="70" t="s">
        <v>33</v>
      </c>
      <c r="D38" s="19" t="e">
        <f>VLOOKUP($B38,#REF!,3,0)</f>
        <v>#REF!</v>
      </c>
      <c r="E38" s="19" t="e">
        <f>VLOOKUP($B38,#REF!,4,0)</f>
        <v>#REF!</v>
      </c>
      <c r="F38" s="19" t="e">
        <f>VLOOKUP($B38,#REF!,5,0)</f>
        <v>#REF!</v>
      </c>
      <c r="G38" s="19" t="e">
        <f>VLOOKUP($B38,#REF!,6,0)</f>
        <v>#REF!</v>
      </c>
      <c r="H38" s="19" t="e">
        <f>VLOOKUP($B38,#REF!,7,0)</f>
        <v>#REF!</v>
      </c>
      <c r="I38" s="19" t="e">
        <f>VLOOKUP($B38,#REF!,8,0)</f>
        <v>#REF!</v>
      </c>
      <c r="J38" s="72">
        <v>1025</v>
      </c>
      <c r="K38" s="22" t="s">
        <v>12</v>
      </c>
      <c r="L38" s="44">
        <v>32</v>
      </c>
      <c r="M38" s="35">
        <v>34</v>
      </c>
      <c r="N38" s="35">
        <v>35</v>
      </c>
      <c r="O38" s="73"/>
      <c r="P38" s="13"/>
      <c r="Q38" s="13"/>
      <c r="R38" s="13"/>
      <c r="S38" s="13"/>
      <c r="T38" s="13"/>
    </row>
    <row r="39" spans="2:73" ht="24" customHeight="1" thickBot="1" x14ac:dyDescent="0.25">
      <c r="B39" s="65"/>
      <c r="C39" s="71"/>
      <c r="D39" s="20" t="e">
        <f>VLOOKUP($B39,#REF!,3,0)</f>
        <v>#REF!</v>
      </c>
      <c r="E39" s="20" t="e">
        <f>VLOOKUP($B39,#REF!,4,0)</f>
        <v>#REF!</v>
      </c>
      <c r="F39" s="20" t="e">
        <f>VLOOKUP($B39,#REF!,5,0)</f>
        <v>#REF!</v>
      </c>
      <c r="G39" s="20" t="e">
        <f>VLOOKUP($B39,#REF!,6,0)</f>
        <v>#REF!</v>
      </c>
      <c r="H39" s="20" t="e">
        <f>VLOOKUP($B39,#REF!,7,0)</f>
        <v>#REF!</v>
      </c>
      <c r="I39" s="20" t="e">
        <f>VLOOKUP($B39,#REF!,8,0)</f>
        <v>#REF!</v>
      </c>
      <c r="J39" s="69"/>
      <c r="K39" s="34" t="s">
        <v>13</v>
      </c>
      <c r="L39" s="36">
        <v>43</v>
      </c>
      <c r="M39" s="36">
        <v>41</v>
      </c>
      <c r="N39" s="36">
        <v>43</v>
      </c>
      <c r="O39" s="74"/>
      <c r="P39" s="13"/>
      <c r="Q39" s="13"/>
      <c r="R39" s="13"/>
      <c r="S39" s="13"/>
      <c r="T39" s="13"/>
      <c r="AF39" s="12"/>
      <c r="AG39" s="12"/>
      <c r="AH39" s="14"/>
      <c r="AI39" s="15"/>
      <c r="AJ39" s="15"/>
      <c r="AK39" s="15"/>
      <c r="AL39" s="15"/>
      <c r="AM39" s="15"/>
      <c r="AN39" s="15"/>
      <c r="AO39" s="15"/>
      <c r="AP39" s="15"/>
      <c r="AQ39" s="15"/>
      <c r="AR39" s="15"/>
      <c r="AS39" s="15"/>
      <c r="AT39" s="15"/>
      <c r="AU39" s="15"/>
      <c r="AV39" s="15"/>
      <c r="AW39" s="15"/>
      <c r="AX39" s="15"/>
      <c r="AY39" s="15"/>
      <c r="AZ39" s="15"/>
      <c r="BA39" s="15"/>
      <c r="BB39" s="15"/>
      <c r="BC39" s="15"/>
      <c r="BD39" s="15"/>
      <c r="BE39" s="15"/>
      <c r="BF39" s="15"/>
      <c r="BG39" s="15"/>
      <c r="BH39" s="15"/>
      <c r="BI39" s="15"/>
      <c r="BJ39" s="15"/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</row>
    <row r="40" spans="2:73" ht="24" customHeight="1" x14ac:dyDescent="0.2">
      <c r="B40" s="75">
        <v>16</v>
      </c>
      <c r="C40" s="66" t="s">
        <v>34</v>
      </c>
      <c r="D40" s="19" t="e">
        <f>VLOOKUP($B40,#REF!,3,0)</f>
        <v>#REF!</v>
      </c>
      <c r="E40" s="19" t="e">
        <f>VLOOKUP($B40,#REF!,4,0)</f>
        <v>#REF!</v>
      </c>
      <c r="F40" s="19" t="e">
        <f>VLOOKUP($B40,#REF!,5,0)</f>
        <v>#REF!</v>
      </c>
      <c r="G40" s="19" t="e">
        <f>VLOOKUP($B40,#REF!,6,0)</f>
        <v>#REF!</v>
      </c>
      <c r="H40" s="19" t="e">
        <f>VLOOKUP($B40,#REF!,7,0)</f>
        <v>#REF!</v>
      </c>
      <c r="I40" s="19" t="e">
        <f>VLOOKUP($B40,#REF!,8,0)</f>
        <v>#REF!</v>
      </c>
      <c r="J40" s="72">
        <v>1033</v>
      </c>
      <c r="K40" s="22" t="s">
        <v>12</v>
      </c>
      <c r="L40" s="44">
        <v>36</v>
      </c>
      <c r="M40" s="44">
        <v>38</v>
      </c>
      <c r="N40" s="35">
        <v>39</v>
      </c>
      <c r="O40" s="73" t="s">
        <v>30</v>
      </c>
      <c r="P40" s="13"/>
      <c r="Q40" s="13"/>
      <c r="R40" s="13"/>
      <c r="S40" s="13"/>
      <c r="T40" s="13"/>
    </row>
    <row r="41" spans="2:73" ht="24" customHeight="1" thickBot="1" x14ac:dyDescent="0.25">
      <c r="B41" s="65"/>
      <c r="C41" s="67"/>
      <c r="D41" s="20" t="e">
        <f>VLOOKUP($B41,#REF!,3,0)</f>
        <v>#REF!</v>
      </c>
      <c r="E41" s="20" t="e">
        <f>VLOOKUP($B41,#REF!,4,0)</f>
        <v>#REF!</v>
      </c>
      <c r="F41" s="20" t="e">
        <f>VLOOKUP($B41,#REF!,5,0)</f>
        <v>#REF!</v>
      </c>
      <c r="G41" s="20" t="e">
        <f>VLOOKUP($B41,#REF!,6,0)</f>
        <v>#REF!</v>
      </c>
      <c r="H41" s="20" t="e">
        <f>VLOOKUP($B41,#REF!,7,0)</f>
        <v>#REF!</v>
      </c>
      <c r="I41" s="20" t="e">
        <f>VLOOKUP($B41,#REF!,8,0)</f>
        <v>#REF!</v>
      </c>
      <c r="J41" s="69"/>
      <c r="K41" s="34" t="s">
        <v>13</v>
      </c>
      <c r="L41" s="36">
        <v>43</v>
      </c>
      <c r="M41" s="36">
        <v>45</v>
      </c>
      <c r="N41" s="36">
        <v>45</v>
      </c>
      <c r="O41" s="74"/>
      <c r="P41" s="13"/>
      <c r="Q41" s="13"/>
      <c r="R41" s="13"/>
      <c r="S41" s="13"/>
      <c r="T41" s="13"/>
      <c r="AF41" s="12"/>
      <c r="AG41" s="12"/>
      <c r="AH41" s="14"/>
      <c r="AI41" s="15"/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/>
      <c r="AU41" s="15"/>
      <c r="AV41" s="15"/>
      <c r="AW41" s="15"/>
      <c r="AX41" s="15"/>
      <c r="AY41" s="15"/>
      <c r="AZ41" s="15"/>
      <c r="BA41" s="15"/>
      <c r="BB41" s="15"/>
      <c r="BC41" s="15"/>
      <c r="BD41" s="15"/>
      <c r="BE41" s="15"/>
      <c r="BF41" s="15"/>
      <c r="BG41" s="15"/>
      <c r="BH41" s="15"/>
      <c r="BI41" s="15"/>
      <c r="BJ41" s="15"/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</row>
  </sheetData>
  <mergeCells count="66">
    <mergeCell ref="B40:B41"/>
    <mergeCell ref="C40:C41"/>
    <mergeCell ref="J40:J41"/>
    <mergeCell ref="O40:O41"/>
    <mergeCell ref="B36:B37"/>
    <mergeCell ref="C36:C37"/>
    <mergeCell ref="J36:J37"/>
    <mergeCell ref="O36:O37"/>
    <mergeCell ref="B38:B39"/>
    <mergeCell ref="C38:C39"/>
    <mergeCell ref="B30:B31"/>
    <mergeCell ref="C30:C31"/>
    <mergeCell ref="J30:J31"/>
    <mergeCell ref="O30:O31"/>
    <mergeCell ref="J38:J39"/>
    <mergeCell ref="O38:O39"/>
    <mergeCell ref="B32:B33"/>
    <mergeCell ref="C32:C33"/>
    <mergeCell ref="J32:J33"/>
    <mergeCell ref="O32:O33"/>
    <mergeCell ref="B34:B35"/>
    <mergeCell ref="C34:C35"/>
    <mergeCell ref="J34:J35"/>
    <mergeCell ref="O34:O35"/>
    <mergeCell ref="B26:B27"/>
    <mergeCell ref="C26:C27"/>
    <mergeCell ref="J26:J27"/>
    <mergeCell ref="O26:O27"/>
    <mergeCell ref="B28:B29"/>
    <mergeCell ref="C28:C29"/>
    <mergeCell ref="J28:J29"/>
    <mergeCell ref="O28:O29"/>
    <mergeCell ref="B22:B23"/>
    <mergeCell ref="C22:C23"/>
    <mergeCell ref="J22:J23"/>
    <mergeCell ref="O22:O23"/>
    <mergeCell ref="B24:B25"/>
    <mergeCell ref="C24:C25"/>
    <mergeCell ref="J24:J25"/>
    <mergeCell ref="O24:O25"/>
    <mergeCell ref="B18:B19"/>
    <mergeCell ref="C18:C19"/>
    <mergeCell ref="J18:J19"/>
    <mergeCell ref="O18:O19"/>
    <mergeCell ref="B20:B21"/>
    <mergeCell ref="C20:C21"/>
    <mergeCell ref="J20:J21"/>
    <mergeCell ref="O20:O21"/>
    <mergeCell ref="O14:O15"/>
    <mergeCell ref="B16:B17"/>
    <mergeCell ref="C16:C17"/>
    <mergeCell ref="J16:J17"/>
    <mergeCell ref="O16:O17"/>
    <mergeCell ref="B12:B13"/>
    <mergeCell ref="C12:C13"/>
    <mergeCell ref="J12:J13"/>
    <mergeCell ref="B14:B15"/>
    <mergeCell ref="C14:C15"/>
    <mergeCell ref="J14:J15"/>
    <mergeCell ref="AF5:AH5"/>
    <mergeCell ref="L6:N6"/>
    <mergeCell ref="O7:O8"/>
    <mergeCell ref="B8:K8"/>
    <mergeCell ref="B10:B11"/>
    <mergeCell ref="C10:C11"/>
    <mergeCell ref="J10:J11"/>
  </mergeCells>
  <pageMargins left="0.45" right="0" top="0.49" bottom="0" header="0.64" footer="0"/>
  <pageSetup paperSize="512" scale="74" orientation="portrait" r:id="rId1"/>
  <headerFooter alignWithMargins="0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AFD23-BFB4-42D8-88F8-05D50ECCB2DF}">
  <sheetPr>
    <pageSetUpPr fitToPage="1"/>
  </sheetPr>
  <dimension ref="A1:BU42"/>
  <sheetViews>
    <sheetView zoomScaleNormal="100" workbookViewId="0">
      <selection activeCell="C3" sqref="C3"/>
    </sheetView>
  </sheetViews>
  <sheetFormatPr defaultRowHeight="12.75" x14ac:dyDescent="0.2"/>
  <cols>
    <col min="1" max="1" width="5.42578125" customWidth="1"/>
    <col min="2" max="2" width="6.28515625" customWidth="1"/>
    <col min="3" max="3" width="12.7109375" customWidth="1"/>
    <col min="4" max="8" width="5.28515625" hidden="1" customWidth="1"/>
    <col min="9" max="9" width="7" hidden="1" customWidth="1"/>
    <col min="10" max="10" width="8.42578125" customWidth="1"/>
    <col min="11" max="14" width="12.7109375" customWidth="1"/>
    <col min="15" max="15" width="48.7109375" customWidth="1"/>
    <col min="22" max="22" width="7.5703125" customWidth="1"/>
    <col min="23" max="32" width="7.7109375" customWidth="1"/>
  </cols>
  <sheetData>
    <row r="1" spans="1:73" ht="15" customHeight="1" x14ac:dyDescent="0.25">
      <c r="A1" s="1" t="s">
        <v>40</v>
      </c>
    </row>
    <row r="2" spans="1:73" ht="20.25" customHeight="1" thickBot="1" x14ac:dyDescent="0.3">
      <c r="A2" s="1"/>
      <c r="M2" s="15" t="s">
        <v>0</v>
      </c>
      <c r="N2" s="23">
        <v>39976</v>
      </c>
      <c r="O2" s="29"/>
    </row>
    <row r="3" spans="1:73" ht="20.25" customHeight="1" thickBot="1" x14ac:dyDescent="0.25">
      <c r="A3" t="s">
        <v>1</v>
      </c>
      <c r="C3" s="38" t="s">
        <v>36</v>
      </c>
      <c r="D3" s="3"/>
      <c r="E3" s="3"/>
      <c r="F3" s="3"/>
      <c r="G3" s="3"/>
      <c r="H3" s="3"/>
      <c r="I3" s="3"/>
      <c r="J3" s="3"/>
      <c r="K3" s="3"/>
      <c r="L3" s="3"/>
      <c r="M3" s="15" t="s">
        <v>23</v>
      </c>
      <c r="N3" s="2">
        <v>163</v>
      </c>
      <c r="O3" s="30"/>
    </row>
    <row r="4" spans="1:73" ht="20.25" customHeight="1" thickBot="1" x14ac:dyDescent="0.25">
      <c r="B4" s="3"/>
      <c r="C4" s="38"/>
      <c r="D4" s="4"/>
      <c r="E4" s="4"/>
      <c r="F4" s="4"/>
      <c r="G4" s="4"/>
      <c r="H4" s="4"/>
      <c r="I4" s="4"/>
      <c r="J4" s="4"/>
      <c r="K4" s="4"/>
      <c r="L4" s="4"/>
      <c r="M4" s="15" t="s">
        <v>2</v>
      </c>
      <c r="N4" s="2" t="s">
        <v>26</v>
      </c>
      <c r="O4" s="30"/>
    </row>
    <row r="5" spans="1:73" ht="18" x14ac:dyDescent="0.2">
      <c r="AE5" s="5"/>
      <c r="AF5" s="55"/>
      <c r="AG5" s="55"/>
      <c r="AH5" s="55"/>
    </row>
    <row r="6" spans="1:73" ht="18" x14ac:dyDescent="0.25">
      <c r="L6" s="56"/>
      <c r="M6" s="57"/>
      <c r="N6" s="58"/>
      <c r="O6" s="31"/>
      <c r="AE6" s="5"/>
      <c r="AF6" s="24"/>
      <c r="AG6" s="24"/>
      <c r="AH6" s="24"/>
    </row>
    <row r="7" spans="1:73" ht="25.5" customHeight="1" x14ac:dyDescent="0.2">
      <c r="B7" s="6" t="s">
        <v>27</v>
      </c>
      <c r="C7" s="7"/>
      <c r="D7" s="7" t="s">
        <v>4</v>
      </c>
      <c r="E7" s="6" t="s">
        <v>5</v>
      </c>
      <c r="F7" s="7" t="s">
        <v>6</v>
      </c>
      <c r="G7" s="6" t="s">
        <v>7</v>
      </c>
      <c r="H7" s="6" t="s">
        <v>8</v>
      </c>
      <c r="I7" s="6" t="s">
        <v>9</v>
      </c>
      <c r="J7" s="6" t="s">
        <v>11</v>
      </c>
      <c r="K7" s="8" t="s">
        <v>24</v>
      </c>
      <c r="L7" s="22" t="s">
        <v>37</v>
      </c>
      <c r="M7" s="22" t="s">
        <v>38</v>
      </c>
      <c r="N7" s="22" t="s">
        <v>39</v>
      </c>
      <c r="O7" s="59" t="s">
        <v>25</v>
      </c>
      <c r="AE7" s="10"/>
      <c r="AF7" s="9"/>
      <c r="AG7" s="9"/>
      <c r="AH7" s="11"/>
    </row>
    <row r="8" spans="1:73" ht="15.95" customHeight="1" thickBot="1" x14ac:dyDescent="0.25">
      <c r="B8" s="61"/>
      <c r="C8" s="62"/>
      <c r="D8" s="62"/>
      <c r="E8" s="62"/>
      <c r="F8" s="62"/>
      <c r="G8" s="62"/>
      <c r="H8" s="62"/>
      <c r="I8" s="62"/>
      <c r="J8" s="62"/>
      <c r="K8" s="63"/>
      <c r="L8" s="39" t="s">
        <v>29</v>
      </c>
      <c r="M8" s="39"/>
      <c r="N8" s="39"/>
      <c r="O8" s="60"/>
      <c r="AF8" s="12"/>
      <c r="AG8" s="12"/>
      <c r="AH8" s="12"/>
    </row>
    <row r="9" spans="1:73" ht="15.95" hidden="1" customHeight="1" x14ac:dyDescent="0.2">
      <c r="B9" s="25" t="s">
        <v>3</v>
      </c>
      <c r="C9" s="26" t="s">
        <v>10</v>
      </c>
      <c r="D9" s="26" t="s">
        <v>14</v>
      </c>
      <c r="E9" s="25" t="s">
        <v>15</v>
      </c>
      <c r="F9" s="26" t="s">
        <v>16</v>
      </c>
      <c r="G9" s="25" t="s">
        <v>17</v>
      </c>
      <c r="H9" s="25" t="s">
        <v>8</v>
      </c>
      <c r="I9" s="25" t="s">
        <v>18</v>
      </c>
      <c r="J9" s="27" t="s">
        <v>11</v>
      </c>
      <c r="K9" s="27" t="s">
        <v>19</v>
      </c>
      <c r="L9" s="28" t="s">
        <v>20</v>
      </c>
      <c r="M9" s="28" t="s">
        <v>21</v>
      </c>
      <c r="N9" s="28" t="s">
        <v>22</v>
      </c>
      <c r="O9" s="32"/>
      <c r="AF9" s="12"/>
      <c r="AG9" s="12"/>
      <c r="AH9" s="12"/>
    </row>
    <row r="10" spans="1:73" ht="24" customHeight="1" x14ac:dyDescent="0.2">
      <c r="B10" s="64">
        <v>1</v>
      </c>
      <c r="C10" s="66" t="s">
        <v>31</v>
      </c>
      <c r="D10" s="19" t="e">
        <f>VLOOKUP($B10,#REF!,3,0)</f>
        <v>#REF!</v>
      </c>
      <c r="E10" s="19" t="e">
        <f>VLOOKUP($B10,#REF!,4,0)</f>
        <v>#REF!</v>
      </c>
      <c r="F10" s="19" t="e">
        <f>VLOOKUP($B10,#REF!,5,0)</f>
        <v>#REF!</v>
      </c>
      <c r="G10" s="19" t="e">
        <f>VLOOKUP($B10,#REF!,6,0)</f>
        <v>#REF!</v>
      </c>
      <c r="H10" s="19" t="e">
        <f>VLOOKUP($B10,#REF!,7,0)</f>
        <v>#REF!</v>
      </c>
      <c r="I10" s="19" t="e">
        <f>VLOOKUP($B10,#REF!,8,0)</f>
        <v>#REF!</v>
      </c>
      <c r="J10" s="68">
        <v>1015</v>
      </c>
      <c r="K10" s="22" t="s">
        <v>12</v>
      </c>
      <c r="L10" s="35">
        <v>45</v>
      </c>
      <c r="M10" s="35">
        <v>45</v>
      </c>
      <c r="N10" s="44">
        <v>48</v>
      </c>
      <c r="O10" s="40"/>
      <c r="P10" s="13"/>
      <c r="Q10" s="13"/>
      <c r="R10" s="13"/>
      <c r="S10" s="13"/>
      <c r="T10" s="13"/>
      <c r="AF10" s="12"/>
      <c r="AG10" s="12"/>
      <c r="AH10" s="14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  <c r="AX10" s="15"/>
      <c r="AY10" s="15"/>
      <c r="AZ10" s="15"/>
      <c r="BA10" s="15"/>
      <c r="BB10" s="15"/>
      <c r="BC10" s="15"/>
      <c r="BD10" s="15"/>
      <c r="BE10" s="15"/>
      <c r="BF10" s="15"/>
      <c r="BG10" s="15"/>
      <c r="BH10" s="15"/>
      <c r="BI10" s="15"/>
      <c r="BJ10" s="15"/>
      <c r="BK10" s="15"/>
      <c r="BL10" s="15"/>
      <c r="BM10" s="15"/>
      <c r="BN10" s="15"/>
      <c r="BO10" s="15"/>
      <c r="BP10" s="15"/>
      <c r="BQ10" s="15"/>
      <c r="BR10" s="15"/>
      <c r="BS10" s="15"/>
      <c r="BT10" s="15"/>
      <c r="BU10" s="15"/>
    </row>
    <row r="11" spans="1:73" ht="24" customHeight="1" thickBot="1" x14ac:dyDescent="0.25">
      <c r="B11" s="65"/>
      <c r="C11" s="67"/>
      <c r="D11" s="20" t="e">
        <f>VLOOKUP($B11,#REF!,3,0)</f>
        <v>#REF!</v>
      </c>
      <c r="E11" s="20" t="e">
        <f>VLOOKUP($B11,#REF!,4,0)</f>
        <v>#REF!</v>
      </c>
      <c r="F11" s="20" t="e">
        <f>VLOOKUP($B11,#REF!,5,0)</f>
        <v>#REF!</v>
      </c>
      <c r="G11" s="20" t="e">
        <f>VLOOKUP($B11,#REF!,6,0)</f>
        <v>#REF!</v>
      </c>
      <c r="H11" s="20" t="e">
        <f>VLOOKUP($B11,#REF!,7,0)</f>
        <v>#REF!</v>
      </c>
      <c r="I11" s="20" t="e">
        <f>VLOOKUP($B11,#REF!,8,0)</f>
        <v>#REF!</v>
      </c>
      <c r="J11" s="69"/>
      <c r="K11" s="34" t="s">
        <v>13</v>
      </c>
      <c r="L11" s="36">
        <v>55</v>
      </c>
      <c r="M11" s="36">
        <v>53</v>
      </c>
      <c r="N11" s="36">
        <v>57</v>
      </c>
      <c r="O11" s="41"/>
      <c r="P11" s="13"/>
      <c r="Q11" s="13"/>
      <c r="R11" s="13"/>
      <c r="S11" s="13"/>
      <c r="T11" s="13"/>
      <c r="AF11" s="12"/>
      <c r="AG11" s="12"/>
      <c r="AH11" s="14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  <c r="BC11" s="15"/>
      <c r="BD11" s="15"/>
      <c r="BE11" s="15"/>
      <c r="BF11" s="15"/>
      <c r="BG11" s="15"/>
      <c r="BH11" s="15"/>
      <c r="BI11" s="15"/>
      <c r="BJ11" s="15"/>
      <c r="BK11" s="15"/>
      <c r="BL11" s="15"/>
      <c r="BM11" s="15"/>
      <c r="BN11" s="15"/>
      <c r="BO11" s="15"/>
      <c r="BP11" s="15"/>
      <c r="BQ11" s="15"/>
      <c r="BR11" s="15"/>
      <c r="BS11" s="15"/>
      <c r="BT11" s="15"/>
      <c r="BU11" s="15"/>
    </row>
    <row r="12" spans="1:73" ht="24" customHeight="1" x14ac:dyDescent="0.2">
      <c r="B12" s="64">
        <v>2</v>
      </c>
      <c r="C12" s="70" t="s">
        <v>32</v>
      </c>
      <c r="D12" s="21" t="e">
        <f>VLOOKUP($B12,#REF!,3,0)</f>
        <v>#REF!</v>
      </c>
      <c r="E12" s="21" t="e">
        <f>VLOOKUP($B12,#REF!,4,0)</f>
        <v>#REF!</v>
      </c>
      <c r="F12" s="21" t="e">
        <f>VLOOKUP($B12,#REF!,5,0)</f>
        <v>#REF!</v>
      </c>
      <c r="G12" s="21" t="e">
        <f>VLOOKUP($B12,#REF!,6,0)</f>
        <v>#REF!</v>
      </c>
      <c r="H12" s="21" t="e">
        <f>VLOOKUP($B12,#REF!,7,0)</f>
        <v>#REF!</v>
      </c>
      <c r="I12" s="21" t="e">
        <f>VLOOKUP($B12,#REF!,8,0)</f>
        <v>#REF!</v>
      </c>
      <c r="J12" s="72"/>
      <c r="K12" s="33" t="s">
        <v>12</v>
      </c>
      <c r="L12" s="35">
        <v>49</v>
      </c>
      <c r="M12" s="35">
        <v>51</v>
      </c>
      <c r="N12" s="35">
        <v>52</v>
      </c>
      <c r="O12" s="42"/>
      <c r="P12" s="13"/>
      <c r="Q12" s="16"/>
      <c r="R12" s="13"/>
      <c r="S12" s="17"/>
      <c r="T12" s="13"/>
      <c r="AF12" s="12"/>
      <c r="AG12" s="12"/>
      <c r="AH12" s="12"/>
      <c r="AI12" s="18"/>
      <c r="AJ12" s="1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8"/>
      <c r="BI12" s="18"/>
      <c r="BJ12" s="18"/>
      <c r="BK12" s="18"/>
      <c r="BL12" s="18"/>
      <c r="BM12" s="18"/>
      <c r="BN12" s="18"/>
      <c r="BO12" s="18"/>
      <c r="BP12" s="18"/>
      <c r="BQ12" s="18"/>
      <c r="BR12" s="18"/>
      <c r="BS12" s="18"/>
      <c r="BT12" s="18"/>
      <c r="BU12" s="18"/>
    </row>
    <row r="13" spans="1:73" ht="24" customHeight="1" thickBot="1" x14ac:dyDescent="0.25">
      <c r="B13" s="65"/>
      <c r="C13" s="71"/>
      <c r="D13" s="20" t="e">
        <f>VLOOKUP($B13,#REF!,3,0)</f>
        <v>#REF!</v>
      </c>
      <c r="E13" s="20" t="e">
        <f>VLOOKUP($B13,#REF!,4,0)</f>
        <v>#REF!</v>
      </c>
      <c r="F13" s="20" t="e">
        <f>VLOOKUP($B13,#REF!,5,0)</f>
        <v>#REF!</v>
      </c>
      <c r="G13" s="20" t="e">
        <f>VLOOKUP($B13,#REF!,6,0)</f>
        <v>#REF!</v>
      </c>
      <c r="H13" s="20" t="e">
        <f>VLOOKUP($B13,#REF!,7,0)</f>
        <v>#REF!</v>
      </c>
      <c r="I13" s="20" t="e">
        <f>VLOOKUP($B13,#REF!,8,0)</f>
        <v>#REF!</v>
      </c>
      <c r="J13" s="69"/>
      <c r="K13" s="34" t="s">
        <v>13</v>
      </c>
      <c r="L13" s="37">
        <v>62</v>
      </c>
      <c r="M13" s="36">
        <v>63</v>
      </c>
      <c r="N13" s="36">
        <v>61</v>
      </c>
      <c r="O13" s="43"/>
      <c r="P13" s="13"/>
      <c r="Q13" s="13"/>
      <c r="R13" s="13"/>
      <c r="S13" s="13"/>
      <c r="T13" s="13"/>
      <c r="AF13" s="12"/>
      <c r="AG13" s="12"/>
      <c r="AH13" s="14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5"/>
      <c r="BI13" s="15"/>
      <c r="BJ13" s="15"/>
      <c r="BK13" s="15"/>
      <c r="BL13" s="15"/>
      <c r="BM13" s="15"/>
      <c r="BN13" s="15"/>
      <c r="BO13" s="15"/>
      <c r="BP13" s="15"/>
      <c r="BQ13" s="15"/>
      <c r="BR13" s="15"/>
      <c r="BS13" s="15"/>
      <c r="BT13" s="15"/>
      <c r="BU13" s="15"/>
    </row>
    <row r="14" spans="1:73" ht="24" customHeight="1" x14ac:dyDescent="0.2">
      <c r="B14" s="64">
        <v>3</v>
      </c>
      <c r="C14" s="70" t="s">
        <v>33</v>
      </c>
      <c r="D14" s="19" t="e">
        <f>VLOOKUP($B14,#REF!,3,0)</f>
        <v>#REF!</v>
      </c>
      <c r="E14" s="19" t="e">
        <f>VLOOKUP($B14,#REF!,4,0)</f>
        <v>#REF!</v>
      </c>
      <c r="F14" s="19" t="e">
        <f>VLOOKUP($B14,#REF!,5,0)</f>
        <v>#REF!</v>
      </c>
      <c r="G14" s="19" t="e">
        <f>VLOOKUP($B14,#REF!,6,0)</f>
        <v>#REF!</v>
      </c>
      <c r="H14" s="19" t="e">
        <f>VLOOKUP($B14,#REF!,7,0)</f>
        <v>#REF!</v>
      </c>
      <c r="I14" s="19" t="e">
        <f>VLOOKUP($B14,#REF!,8,0)</f>
        <v>#REF!</v>
      </c>
      <c r="J14" s="72"/>
      <c r="K14" s="22" t="s">
        <v>12</v>
      </c>
      <c r="L14" s="35">
        <v>53</v>
      </c>
      <c r="M14" s="35">
        <v>51</v>
      </c>
      <c r="N14" s="35">
        <v>56</v>
      </c>
      <c r="O14" s="73"/>
      <c r="P14" s="13"/>
      <c r="Q14" s="13"/>
      <c r="R14" s="13"/>
      <c r="S14" s="13"/>
      <c r="T14" s="13"/>
      <c r="AF14" s="12"/>
      <c r="AG14" s="12"/>
      <c r="AH14" s="12"/>
    </row>
    <row r="15" spans="1:73" ht="24" customHeight="1" thickBot="1" x14ac:dyDescent="0.25">
      <c r="B15" s="65"/>
      <c r="C15" s="71"/>
      <c r="D15" s="20" t="e">
        <f>VLOOKUP($B15,#REF!,3,0)</f>
        <v>#REF!</v>
      </c>
      <c r="E15" s="20" t="e">
        <f>VLOOKUP($B15,#REF!,4,0)</f>
        <v>#REF!</v>
      </c>
      <c r="F15" s="20" t="e">
        <f>VLOOKUP($B15,#REF!,5,0)</f>
        <v>#REF!</v>
      </c>
      <c r="G15" s="20" t="e">
        <f>VLOOKUP($B15,#REF!,6,0)</f>
        <v>#REF!</v>
      </c>
      <c r="H15" s="20" t="e">
        <f>VLOOKUP($B15,#REF!,7,0)</f>
        <v>#REF!</v>
      </c>
      <c r="I15" s="20" t="e">
        <f>VLOOKUP($B15,#REF!,8,0)</f>
        <v>#REF!</v>
      </c>
      <c r="J15" s="69"/>
      <c r="K15" s="34" t="s">
        <v>13</v>
      </c>
      <c r="L15" s="36">
        <v>61</v>
      </c>
      <c r="M15" s="36">
        <v>62</v>
      </c>
      <c r="N15" s="36">
        <v>64</v>
      </c>
      <c r="O15" s="74"/>
      <c r="P15" s="13"/>
      <c r="Q15" s="13"/>
      <c r="R15" s="13"/>
      <c r="S15" s="13"/>
      <c r="T15" s="13"/>
      <c r="AF15" s="12"/>
      <c r="AG15" s="12"/>
      <c r="AH15" s="14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5"/>
      <c r="BI15" s="15"/>
      <c r="BJ15" s="15"/>
      <c r="BK15" s="15"/>
      <c r="BL15" s="15"/>
      <c r="BM15" s="15"/>
      <c r="BN15" s="15"/>
      <c r="BO15" s="15"/>
      <c r="BP15" s="15"/>
      <c r="BQ15" s="15"/>
      <c r="BR15" s="15"/>
      <c r="BS15" s="15"/>
      <c r="BT15" s="15"/>
      <c r="BU15" s="15"/>
    </row>
    <row r="16" spans="1:73" ht="24" customHeight="1" x14ac:dyDescent="0.2">
      <c r="B16" s="64">
        <v>4</v>
      </c>
      <c r="C16" s="70" t="s">
        <v>32</v>
      </c>
      <c r="D16" s="19" t="e">
        <f>VLOOKUP($B16,#REF!,3,0)</f>
        <v>#REF!</v>
      </c>
      <c r="E16" s="19" t="e">
        <f>VLOOKUP($B16,#REF!,4,0)</f>
        <v>#REF!</v>
      </c>
      <c r="F16" s="19" t="e">
        <f>VLOOKUP($B16,#REF!,5,0)</f>
        <v>#REF!</v>
      </c>
      <c r="G16" s="19" t="e">
        <f>VLOOKUP($B16,#REF!,6,0)</f>
        <v>#REF!</v>
      </c>
      <c r="H16" s="19" t="e">
        <f>VLOOKUP($B16,#REF!,7,0)</f>
        <v>#REF!</v>
      </c>
      <c r="I16" s="19" t="e">
        <f>VLOOKUP($B16,#REF!,8,0)</f>
        <v>#REF!</v>
      </c>
      <c r="J16" s="72"/>
      <c r="K16" s="22" t="s">
        <v>12</v>
      </c>
      <c r="L16" s="35">
        <v>43</v>
      </c>
      <c r="M16" s="35">
        <v>48</v>
      </c>
      <c r="N16" s="44">
        <v>48</v>
      </c>
      <c r="O16" s="73"/>
      <c r="P16" s="13"/>
      <c r="Q16" s="13"/>
      <c r="R16" s="13"/>
      <c r="S16" s="13"/>
      <c r="T16" s="13"/>
    </row>
    <row r="17" spans="2:73" ht="24" customHeight="1" thickBot="1" x14ac:dyDescent="0.25">
      <c r="B17" s="65"/>
      <c r="C17" s="71"/>
      <c r="D17" s="20" t="e">
        <f>VLOOKUP($B17,#REF!,3,0)</f>
        <v>#REF!</v>
      </c>
      <c r="E17" s="20" t="e">
        <f>VLOOKUP($B17,#REF!,4,0)</f>
        <v>#REF!</v>
      </c>
      <c r="F17" s="20" t="e">
        <f>VLOOKUP($B17,#REF!,5,0)</f>
        <v>#REF!</v>
      </c>
      <c r="G17" s="20" t="e">
        <f>VLOOKUP($B17,#REF!,6,0)</f>
        <v>#REF!</v>
      </c>
      <c r="H17" s="20" t="e">
        <f>VLOOKUP($B17,#REF!,7,0)</f>
        <v>#REF!</v>
      </c>
      <c r="I17" s="20" t="e">
        <f>VLOOKUP($B17,#REF!,8,0)</f>
        <v>#REF!</v>
      </c>
      <c r="J17" s="69"/>
      <c r="K17" s="34" t="s">
        <v>13</v>
      </c>
      <c r="L17" s="36">
        <v>54</v>
      </c>
      <c r="M17" s="36">
        <v>59</v>
      </c>
      <c r="N17" s="36">
        <v>55</v>
      </c>
      <c r="O17" s="74"/>
      <c r="P17" s="13"/>
      <c r="Q17" s="13"/>
      <c r="R17" s="13"/>
      <c r="S17" s="13"/>
      <c r="T17" s="13"/>
      <c r="AF17" s="12"/>
      <c r="AG17" s="12"/>
      <c r="AH17" s="14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5"/>
      <c r="BI17" s="15"/>
      <c r="BJ17" s="15"/>
      <c r="BK17" s="15"/>
      <c r="BL17" s="15"/>
      <c r="BM17" s="15"/>
      <c r="BN17" s="15"/>
      <c r="BO17" s="15"/>
      <c r="BP17" s="15"/>
      <c r="BQ17" s="15"/>
      <c r="BR17" s="15"/>
      <c r="BS17" s="15"/>
      <c r="BT17" s="15"/>
      <c r="BU17" s="15"/>
    </row>
    <row r="18" spans="2:73" ht="24" customHeight="1" x14ac:dyDescent="0.2">
      <c r="B18" s="64">
        <v>5</v>
      </c>
      <c r="C18" s="70" t="s">
        <v>33</v>
      </c>
      <c r="D18" s="19" t="e">
        <f>VLOOKUP($B18,#REF!,3,0)</f>
        <v>#REF!</v>
      </c>
      <c r="E18" s="19" t="e">
        <f>VLOOKUP($B18,#REF!,4,0)</f>
        <v>#REF!</v>
      </c>
      <c r="F18" s="19" t="e">
        <f>VLOOKUP($B18,#REF!,5,0)</f>
        <v>#REF!</v>
      </c>
      <c r="G18" s="19" t="e">
        <f>VLOOKUP($B18,#REF!,6,0)</f>
        <v>#REF!</v>
      </c>
      <c r="H18" s="19" t="e">
        <f>VLOOKUP($B18,#REF!,7,0)</f>
        <v>#REF!</v>
      </c>
      <c r="I18" s="19" t="e">
        <f>VLOOKUP($B18,#REF!,8,0)</f>
        <v>#REF!</v>
      </c>
      <c r="J18" s="72"/>
      <c r="K18" s="22" t="s">
        <v>12</v>
      </c>
      <c r="L18" s="44">
        <v>50</v>
      </c>
      <c r="M18" s="35">
        <v>53</v>
      </c>
      <c r="N18" s="44">
        <v>53</v>
      </c>
      <c r="O18" s="73"/>
      <c r="P18" s="13"/>
      <c r="Q18" s="13"/>
      <c r="R18" s="13"/>
      <c r="S18" s="13"/>
      <c r="T18" s="13"/>
      <c r="AF18" s="12"/>
      <c r="AG18" s="12"/>
      <c r="AH18" s="12"/>
    </row>
    <row r="19" spans="2:73" ht="24" customHeight="1" thickBot="1" x14ac:dyDescent="0.25">
      <c r="B19" s="65"/>
      <c r="C19" s="71"/>
      <c r="D19" s="20" t="e">
        <f>VLOOKUP($B19,#REF!,3,0)</f>
        <v>#REF!</v>
      </c>
      <c r="E19" s="20" t="e">
        <f>VLOOKUP($B19,#REF!,4,0)</f>
        <v>#REF!</v>
      </c>
      <c r="F19" s="20" t="e">
        <f>VLOOKUP($B19,#REF!,5,0)</f>
        <v>#REF!</v>
      </c>
      <c r="G19" s="20" t="e">
        <f>VLOOKUP($B19,#REF!,6,0)</f>
        <v>#REF!</v>
      </c>
      <c r="H19" s="20" t="e">
        <f>VLOOKUP($B19,#REF!,7,0)</f>
        <v>#REF!</v>
      </c>
      <c r="I19" s="20" t="e">
        <f>VLOOKUP($B19,#REF!,8,0)</f>
        <v>#REF!</v>
      </c>
      <c r="J19" s="69"/>
      <c r="K19" s="34" t="s">
        <v>13</v>
      </c>
      <c r="L19" s="36">
        <v>60</v>
      </c>
      <c r="M19" s="36">
        <v>61</v>
      </c>
      <c r="N19" s="36">
        <v>58</v>
      </c>
      <c r="O19" s="74"/>
      <c r="P19" s="13"/>
      <c r="Q19" s="13"/>
      <c r="R19" s="13"/>
      <c r="S19" s="13"/>
      <c r="T19" s="13"/>
      <c r="AF19" s="12"/>
      <c r="AG19" s="12"/>
      <c r="AH19" s="14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</row>
    <row r="20" spans="2:73" ht="24" customHeight="1" x14ac:dyDescent="0.2">
      <c r="B20" s="64">
        <v>6</v>
      </c>
      <c r="C20" s="70" t="s">
        <v>32</v>
      </c>
      <c r="D20" s="19" t="e">
        <f>VLOOKUP($B20,#REF!,3,0)</f>
        <v>#REF!</v>
      </c>
      <c r="E20" s="19" t="e">
        <f>VLOOKUP($B20,#REF!,4,0)</f>
        <v>#REF!</v>
      </c>
      <c r="F20" s="19" t="e">
        <f>VLOOKUP($B20,#REF!,5,0)</f>
        <v>#REF!</v>
      </c>
      <c r="G20" s="19" t="e">
        <f>VLOOKUP($B20,#REF!,6,0)</f>
        <v>#REF!</v>
      </c>
      <c r="H20" s="19" t="e">
        <f>VLOOKUP($B20,#REF!,7,0)</f>
        <v>#REF!</v>
      </c>
      <c r="I20" s="19" t="e">
        <f>VLOOKUP($B20,#REF!,8,0)</f>
        <v>#REF!</v>
      </c>
      <c r="J20" s="72"/>
      <c r="K20" s="22" t="s">
        <v>12</v>
      </c>
      <c r="L20" s="35">
        <v>53</v>
      </c>
      <c r="M20" s="35">
        <v>51</v>
      </c>
      <c r="N20" s="35">
        <v>55</v>
      </c>
      <c r="O20" s="73"/>
      <c r="P20" s="13"/>
      <c r="Q20" s="13"/>
      <c r="R20" s="13"/>
      <c r="S20" s="13"/>
      <c r="T20" s="13"/>
      <c r="AF20" s="12"/>
      <c r="AG20" s="12"/>
      <c r="AH20" s="12"/>
    </row>
    <row r="21" spans="2:73" ht="24" customHeight="1" thickBot="1" x14ac:dyDescent="0.25">
      <c r="B21" s="65"/>
      <c r="C21" s="71"/>
      <c r="D21" s="20" t="e">
        <f>VLOOKUP($B21,#REF!,3,0)</f>
        <v>#REF!</v>
      </c>
      <c r="E21" s="20" t="e">
        <f>VLOOKUP($B21,#REF!,4,0)</f>
        <v>#REF!</v>
      </c>
      <c r="F21" s="20" t="e">
        <f>VLOOKUP($B21,#REF!,5,0)</f>
        <v>#REF!</v>
      </c>
      <c r="G21" s="20" t="e">
        <f>VLOOKUP($B21,#REF!,6,0)</f>
        <v>#REF!</v>
      </c>
      <c r="H21" s="20" t="e">
        <f>VLOOKUP($B21,#REF!,7,0)</f>
        <v>#REF!</v>
      </c>
      <c r="I21" s="20" t="e">
        <f>VLOOKUP($B21,#REF!,8,0)</f>
        <v>#REF!</v>
      </c>
      <c r="J21" s="69"/>
      <c r="K21" s="34" t="s">
        <v>13</v>
      </c>
      <c r="L21" s="36">
        <v>56</v>
      </c>
      <c r="M21" s="36">
        <v>59</v>
      </c>
      <c r="N21" s="36">
        <v>62</v>
      </c>
      <c r="O21" s="74"/>
      <c r="P21" s="13"/>
      <c r="Q21" s="13"/>
      <c r="R21" s="13"/>
      <c r="S21" s="13"/>
      <c r="T21" s="13"/>
      <c r="AF21" s="12"/>
      <c r="AG21" s="12"/>
      <c r="AH21" s="14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  <c r="AX21" s="15"/>
      <c r="AY21" s="15"/>
      <c r="AZ21" s="15"/>
      <c r="BA21" s="15"/>
      <c r="BB21" s="15"/>
      <c r="BC21" s="15"/>
      <c r="BD21" s="15"/>
      <c r="BE21" s="15"/>
      <c r="BF21" s="15"/>
      <c r="BG21" s="15"/>
      <c r="BH21" s="15"/>
      <c r="BI21" s="15"/>
      <c r="BJ21" s="15"/>
      <c r="BK21" s="15"/>
      <c r="BL21" s="15"/>
      <c r="BM21" s="15"/>
      <c r="BN21" s="15"/>
      <c r="BO21" s="15"/>
      <c r="BP21" s="15"/>
      <c r="BQ21" s="15"/>
      <c r="BR21" s="15"/>
      <c r="BS21" s="15"/>
      <c r="BT21" s="15"/>
      <c r="BU21" s="15"/>
    </row>
    <row r="22" spans="2:73" ht="24" customHeight="1" x14ac:dyDescent="0.2">
      <c r="B22" s="64">
        <v>7</v>
      </c>
      <c r="C22" s="70" t="s">
        <v>33</v>
      </c>
      <c r="D22" s="19" t="e">
        <f>VLOOKUP($B22,#REF!,3,0)</f>
        <v>#REF!</v>
      </c>
      <c r="E22" s="19" t="e">
        <f>VLOOKUP($B22,#REF!,4,0)</f>
        <v>#REF!</v>
      </c>
      <c r="F22" s="19" t="e">
        <f>VLOOKUP($B22,#REF!,5,0)</f>
        <v>#REF!</v>
      </c>
      <c r="G22" s="19" t="e">
        <f>VLOOKUP($B22,#REF!,6,0)</f>
        <v>#REF!</v>
      </c>
      <c r="H22" s="19" t="e">
        <f>VLOOKUP($B22,#REF!,7,0)</f>
        <v>#REF!</v>
      </c>
      <c r="I22" s="19" t="e">
        <f>VLOOKUP($B22,#REF!,8,0)</f>
        <v>#REF!</v>
      </c>
      <c r="J22" s="72"/>
      <c r="K22" s="22" t="s">
        <v>12</v>
      </c>
      <c r="L22" s="35">
        <v>58</v>
      </c>
      <c r="M22" s="35">
        <v>55</v>
      </c>
      <c r="N22" s="35">
        <v>51</v>
      </c>
      <c r="O22" s="73"/>
      <c r="P22" s="13"/>
      <c r="Q22" s="13"/>
      <c r="R22" s="13"/>
      <c r="S22" s="13"/>
      <c r="T22" s="13"/>
      <c r="AF22" s="12"/>
      <c r="AG22" s="12"/>
      <c r="AH22" s="12"/>
    </row>
    <row r="23" spans="2:73" ht="24" customHeight="1" thickBot="1" x14ac:dyDescent="0.25">
      <c r="B23" s="65"/>
      <c r="C23" s="71"/>
      <c r="D23" s="20" t="e">
        <f>VLOOKUP($B23,#REF!,3,0)</f>
        <v>#REF!</v>
      </c>
      <c r="E23" s="20" t="e">
        <f>VLOOKUP($B23,#REF!,4,0)</f>
        <v>#REF!</v>
      </c>
      <c r="F23" s="20" t="e">
        <f>VLOOKUP($B23,#REF!,5,0)</f>
        <v>#REF!</v>
      </c>
      <c r="G23" s="20" t="e">
        <f>VLOOKUP($B23,#REF!,6,0)</f>
        <v>#REF!</v>
      </c>
      <c r="H23" s="20" t="e">
        <f>VLOOKUP($B23,#REF!,7,0)</f>
        <v>#REF!</v>
      </c>
      <c r="I23" s="20" t="e">
        <f>VLOOKUP($B23,#REF!,8,0)</f>
        <v>#REF!</v>
      </c>
      <c r="J23" s="69"/>
      <c r="K23" s="34" t="s">
        <v>13</v>
      </c>
      <c r="L23" s="36">
        <v>58</v>
      </c>
      <c r="M23" s="36">
        <v>57</v>
      </c>
      <c r="N23" s="36">
        <v>64</v>
      </c>
      <c r="O23" s="74"/>
      <c r="P23" s="13"/>
      <c r="Q23" s="13"/>
      <c r="R23" s="13"/>
      <c r="S23" s="13"/>
      <c r="T23" s="13"/>
      <c r="AF23" s="12"/>
      <c r="AG23" s="12"/>
      <c r="AH23" s="14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5"/>
      <c r="BB23" s="15"/>
      <c r="BC23" s="15"/>
      <c r="BD23" s="15"/>
      <c r="BE23" s="15"/>
      <c r="BF23" s="15"/>
      <c r="BG23" s="15"/>
      <c r="BH23" s="15"/>
      <c r="BI23" s="15"/>
      <c r="BJ23" s="15"/>
      <c r="BK23" s="15"/>
      <c r="BL23" s="15"/>
      <c r="BM23" s="15"/>
      <c r="BN23" s="15"/>
      <c r="BO23" s="15"/>
      <c r="BP23" s="15"/>
      <c r="BQ23" s="15"/>
      <c r="BR23" s="15"/>
      <c r="BS23" s="15"/>
      <c r="BT23" s="15"/>
      <c r="BU23" s="15"/>
    </row>
    <row r="24" spans="2:73" ht="24" customHeight="1" x14ac:dyDescent="0.2">
      <c r="B24" s="64">
        <v>8</v>
      </c>
      <c r="C24" s="70" t="s">
        <v>32</v>
      </c>
      <c r="D24" s="19" t="e">
        <f>VLOOKUP($B24,#REF!,3,0)</f>
        <v>#REF!</v>
      </c>
      <c r="E24" s="19" t="e">
        <f>VLOOKUP($B24,#REF!,4,0)</f>
        <v>#REF!</v>
      </c>
      <c r="F24" s="19" t="e">
        <f>VLOOKUP($B24,#REF!,5,0)</f>
        <v>#REF!</v>
      </c>
      <c r="G24" s="19" t="e">
        <f>VLOOKUP($B24,#REF!,6,0)</f>
        <v>#REF!</v>
      </c>
      <c r="H24" s="19" t="e">
        <f>VLOOKUP($B24,#REF!,7,0)</f>
        <v>#REF!</v>
      </c>
      <c r="I24" s="19" t="e">
        <f>VLOOKUP($B24,#REF!,8,0)</f>
        <v>#REF!</v>
      </c>
      <c r="J24" s="72"/>
      <c r="K24" s="22" t="s">
        <v>12</v>
      </c>
      <c r="L24" s="35">
        <v>51</v>
      </c>
      <c r="M24" s="35">
        <v>45</v>
      </c>
      <c r="N24" s="35">
        <v>39</v>
      </c>
      <c r="O24" s="73"/>
      <c r="P24" s="13"/>
      <c r="Q24" s="13"/>
      <c r="R24" s="13"/>
      <c r="S24" s="13"/>
      <c r="T24" s="13"/>
      <c r="AF24" s="9"/>
      <c r="AG24" s="9"/>
      <c r="AH24" s="9"/>
    </row>
    <row r="25" spans="2:73" ht="24" customHeight="1" thickBot="1" x14ac:dyDescent="0.25">
      <c r="B25" s="65"/>
      <c r="C25" s="71"/>
      <c r="D25" s="20" t="e">
        <f>VLOOKUP($B25,#REF!,3,0)</f>
        <v>#REF!</v>
      </c>
      <c r="E25" s="20" t="e">
        <f>VLOOKUP($B25,#REF!,4,0)</f>
        <v>#REF!</v>
      </c>
      <c r="F25" s="20" t="e">
        <f>VLOOKUP($B25,#REF!,5,0)</f>
        <v>#REF!</v>
      </c>
      <c r="G25" s="20" t="e">
        <f>VLOOKUP($B25,#REF!,6,0)</f>
        <v>#REF!</v>
      </c>
      <c r="H25" s="20" t="e">
        <f>VLOOKUP($B25,#REF!,7,0)</f>
        <v>#REF!</v>
      </c>
      <c r="I25" s="20" t="e">
        <f>VLOOKUP($B25,#REF!,8,0)</f>
        <v>#REF!</v>
      </c>
      <c r="J25" s="69"/>
      <c r="K25" s="34" t="s">
        <v>13</v>
      </c>
      <c r="L25" s="36">
        <v>57</v>
      </c>
      <c r="M25" s="36">
        <v>58</v>
      </c>
      <c r="N25" s="36">
        <v>50</v>
      </c>
      <c r="O25" s="74"/>
      <c r="P25" s="13"/>
      <c r="Q25" s="13"/>
      <c r="R25" s="13"/>
      <c r="S25" s="13"/>
      <c r="T25" s="13"/>
      <c r="AF25" s="12"/>
      <c r="AG25" s="12"/>
      <c r="AH25" s="14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AX25" s="15"/>
      <c r="AY25" s="15"/>
      <c r="AZ25" s="15"/>
      <c r="BA25" s="15"/>
      <c r="BB25" s="15"/>
      <c r="BC25" s="15"/>
      <c r="BD25" s="15"/>
      <c r="BE25" s="15"/>
      <c r="BF25" s="15"/>
      <c r="BG25" s="15"/>
      <c r="BH25" s="15"/>
      <c r="BI25" s="15"/>
      <c r="BJ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</row>
    <row r="26" spans="2:73" ht="24" customHeight="1" x14ac:dyDescent="0.2">
      <c r="B26" s="64">
        <v>9</v>
      </c>
      <c r="C26" s="70" t="s">
        <v>33</v>
      </c>
      <c r="D26" s="19" t="e">
        <f>VLOOKUP($B26,#REF!,3,0)</f>
        <v>#REF!</v>
      </c>
      <c r="E26" s="19" t="e">
        <f>VLOOKUP($B26,#REF!,4,0)</f>
        <v>#REF!</v>
      </c>
      <c r="F26" s="19" t="e">
        <f>VLOOKUP($B26,#REF!,5,0)</f>
        <v>#REF!</v>
      </c>
      <c r="G26" s="19" t="e">
        <f>VLOOKUP($B26,#REF!,6,0)</f>
        <v>#REF!</v>
      </c>
      <c r="H26" s="19" t="e">
        <f>VLOOKUP($B26,#REF!,7,0)</f>
        <v>#REF!</v>
      </c>
      <c r="I26" s="19" t="e">
        <f>VLOOKUP($B26,#REF!,8,0)</f>
        <v>#REF!</v>
      </c>
      <c r="J26" s="72"/>
      <c r="K26" s="22" t="s">
        <v>12</v>
      </c>
      <c r="L26" s="35">
        <v>51</v>
      </c>
      <c r="M26" s="35">
        <v>51</v>
      </c>
      <c r="N26" s="35">
        <v>54</v>
      </c>
      <c r="O26" s="73"/>
      <c r="P26" s="13"/>
      <c r="Q26" s="13"/>
      <c r="R26" s="13"/>
      <c r="S26" s="13"/>
      <c r="T26" s="13"/>
      <c r="AF26" s="12"/>
      <c r="AG26" s="12"/>
      <c r="AH26" s="12"/>
    </row>
    <row r="27" spans="2:73" ht="24" customHeight="1" thickBot="1" x14ac:dyDescent="0.25">
      <c r="B27" s="65"/>
      <c r="C27" s="71"/>
      <c r="D27" s="20" t="e">
        <f>VLOOKUP($B27,#REF!,3,0)</f>
        <v>#REF!</v>
      </c>
      <c r="E27" s="20" t="e">
        <f>VLOOKUP($B27,#REF!,4,0)</f>
        <v>#REF!</v>
      </c>
      <c r="F27" s="20" t="e">
        <f>VLOOKUP($B27,#REF!,5,0)</f>
        <v>#REF!</v>
      </c>
      <c r="G27" s="20" t="e">
        <f>VLOOKUP($B27,#REF!,6,0)</f>
        <v>#REF!</v>
      </c>
      <c r="H27" s="20" t="e">
        <f>VLOOKUP($B27,#REF!,7,0)</f>
        <v>#REF!</v>
      </c>
      <c r="I27" s="20" t="e">
        <f>VLOOKUP($B27,#REF!,8,0)</f>
        <v>#REF!</v>
      </c>
      <c r="J27" s="69"/>
      <c r="K27" s="34" t="s">
        <v>13</v>
      </c>
      <c r="L27" s="36">
        <v>53</v>
      </c>
      <c r="M27" s="36">
        <v>56</v>
      </c>
      <c r="N27" s="36">
        <v>58</v>
      </c>
      <c r="O27" s="74"/>
      <c r="P27" s="13"/>
      <c r="Q27" s="13"/>
      <c r="R27" s="13"/>
      <c r="S27" s="13"/>
      <c r="T27" s="13"/>
      <c r="AF27" s="12"/>
      <c r="AG27" s="12"/>
      <c r="AH27" s="14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AX27" s="15"/>
      <c r="AY27" s="15"/>
      <c r="AZ27" s="15"/>
      <c r="BA27" s="15"/>
      <c r="BB27" s="15"/>
      <c r="BC27" s="15"/>
      <c r="BD27" s="15"/>
      <c r="BE27" s="15"/>
      <c r="BF27" s="15"/>
      <c r="BG27" s="15"/>
      <c r="BH27" s="15"/>
      <c r="BI27" s="15"/>
      <c r="BJ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</row>
    <row r="28" spans="2:73" ht="24" customHeight="1" x14ac:dyDescent="0.2">
      <c r="B28" s="75">
        <v>10</v>
      </c>
      <c r="C28" s="70" t="s">
        <v>32</v>
      </c>
      <c r="D28" s="19" t="e">
        <f>VLOOKUP($B28,#REF!,3,0)</f>
        <v>#REF!</v>
      </c>
      <c r="E28" s="19" t="e">
        <f>VLOOKUP($B28,#REF!,4,0)</f>
        <v>#REF!</v>
      </c>
      <c r="F28" s="19" t="e">
        <f>VLOOKUP($B28,#REF!,5,0)</f>
        <v>#REF!</v>
      </c>
      <c r="G28" s="19" t="e">
        <f>VLOOKUP($B28,#REF!,6,0)</f>
        <v>#REF!</v>
      </c>
      <c r="H28" s="19" t="e">
        <f>VLOOKUP($B28,#REF!,7,0)</f>
        <v>#REF!</v>
      </c>
      <c r="I28" s="19" t="e">
        <f>VLOOKUP($B28,#REF!,8,0)</f>
        <v>#REF!</v>
      </c>
      <c r="J28" s="72">
        <v>1051</v>
      </c>
      <c r="K28" s="22" t="s">
        <v>12</v>
      </c>
      <c r="L28" s="35">
        <v>48</v>
      </c>
      <c r="M28" s="35">
        <v>49</v>
      </c>
      <c r="N28" s="35">
        <v>45</v>
      </c>
      <c r="O28" s="73"/>
      <c r="P28" s="13"/>
      <c r="Q28" s="13"/>
      <c r="R28" s="13"/>
      <c r="S28" s="13"/>
      <c r="T28" s="13"/>
    </row>
    <row r="29" spans="2:73" ht="24" customHeight="1" thickBot="1" x14ac:dyDescent="0.25">
      <c r="B29" s="65"/>
      <c r="C29" s="71"/>
      <c r="D29" s="20" t="e">
        <f>VLOOKUP($B29,#REF!,3,0)</f>
        <v>#REF!</v>
      </c>
      <c r="E29" s="20" t="e">
        <f>VLOOKUP($B29,#REF!,4,0)</f>
        <v>#REF!</v>
      </c>
      <c r="F29" s="20" t="e">
        <f>VLOOKUP($B29,#REF!,5,0)</f>
        <v>#REF!</v>
      </c>
      <c r="G29" s="20" t="e">
        <f>VLOOKUP($B29,#REF!,6,0)</f>
        <v>#REF!</v>
      </c>
      <c r="H29" s="20" t="e">
        <f>VLOOKUP($B29,#REF!,7,0)</f>
        <v>#REF!</v>
      </c>
      <c r="I29" s="20" t="e">
        <f>VLOOKUP($B29,#REF!,8,0)</f>
        <v>#REF!</v>
      </c>
      <c r="J29" s="69"/>
      <c r="K29" s="34" t="s">
        <v>13</v>
      </c>
      <c r="L29" s="36">
        <v>55</v>
      </c>
      <c r="M29" s="36">
        <v>59</v>
      </c>
      <c r="N29" s="36">
        <v>55</v>
      </c>
      <c r="O29" s="74"/>
      <c r="P29" s="13"/>
      <c r="Q29" s="13"/>
      <c r="R29" s="13"/>
      <c r="S29" s="13"/>
      <c r="T29" s="13"/>
      <c r="AF29" s="12"/>
      <c r="AG29" s="12"/>
      <c r="AH29" s="14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AX29" s="15"/>
      <c r="AY29" s="15"/>
      <c r="AZ29" s="15"/>
      <c r="BA29" s="15"/>
      <c r="BB29" s="15"/>
      <c r="BC29" s="15"/>
      <c r="BD29" s="15"/>
      <c r="BE29" s="15"/>
      <c r="BF29" s="15"/>
      <c r="BG29" s="15"/>
      <c r="BH29" s="15"/>
      <c r="BI29" s="15"/>
      <c r="BJ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</row>
    <row r="30" spans="2:73" ht="24" customHeight="1" x14ac:dyDescent="0.2">
      <c r="B30" s="75">
        <v>11</v>
      </c>
      <c r="C30" s="70" t="s">
        <v>33</v>
      </c>
      <c r="D30" s="19" t="e">
        <f>VLOOKUP($B30,#REF!,3,0)</f>
        <v>#REF!</v>
      </c>
      <c r="E30" s="19" t="e">
        <f>VLOOKUP($B30,#REF!,4,0)</f>
        <v>#REF!</v>
      </c>
      <c r="F30" s="19" t="e">
        <f>VLOOKUP($B30,#REF!,5,0)</f>
        <v>#REF!</v>
      </c>
      <c r="G30" s="19" t="e">
        <f>VLOOKUP($B30,#REF!,6,0)</f>
        <v>#REF!</v>
      </c>
      <c r="H30" s="19" t="e">
        <f>VLOOKUP($B30,#REF!,7,0)</f>
        <v>#REF!</v>
      </c>
      <c r="I30" s="19" t="e">
        <f>VLOOKUP($B30,#REF!,8,0)</f>
        <v>#REF!</v>
      </c>
      <c r="J30" s="72"/>
      <c r="K30" s="22" t="s">
        <v>12</v>
      </c>
      <c r="L30" s="44">
        <v>52</v>
      </c>
      <c r="M30" s="35">
        <v>57</v>
      </c>
      <c r="N30" s="35">
        <v>56</v>
      </c>
      <c r="O30" s="73"/>
      <c r="P30" s="13"/>
      <c r="Q30" s="13"/>
      <c r="R30" s="13"/>
      <c r="S30" s="13"/>
      <c r="T30" s="13"/>
    </row>
    <row r="31" spans="2:73" ht="24" customHeight="1" thickBot="1" x14ac:dyDescent="0.25">
      <c r="B31" s="65"/>
      <c r="C31" s="71"/>
      <c r="D31" s="20" t="e">
        <f>VLOOKUP($B31,#REF!,3,0)</f>
        <v>#REF!</v>
      </c>
      <c r="E31" s="20" t="e">
        <f>VLOOKUP($B31,#REF!,4,0)</f>
        <v>#REF!</v>
      </c>
      <c r="F31" s="20" t="e">
        <f>VLOOKUP($B31,#REF!,5,0)</f>
        <v>#REF!</v>
      </c>
      <c r="G31" s="20" t="e">
        <f>VLOOKUP($B31,#REF!,6,0)</f>
        <v>#REF!</v>
      </c>
      <c r="H31" s="20" t="e">
        <f>VLOOKUP($B31,#REF!,7,0)</f>
        <v>#REF!</v>
      </c>
      <c r="I31" s="20" t="e">
        <f>VLOOKUP($B31,#REF!,8,0)</f>
        <v>#REF!</v>
      </c>
      <c r="J31" s="69"/>
      <c r="K31" s="34" t="s">
        <v>13</v>
      </c>
      <c r="L31" s="36">
        <v>60</v>
      </c>
      <c r="M31" s="36">
        <v>61</v>
      </c>
      <c r="N31" s="36">
        <v>57</v>
      </c>
      <c r="O31" s="74"/>
      <c r="P31" s="13"/>
      <c r="Q31" s="13"/>
      <c r="R31" s="13"/>
      <c r="S31" s="13"/>
      <c r="T31" s="13"/>
      <c r="AF31" s="12"/>
      <c r="AG31" s="12"/>
      <c r="AH31" s="14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AX31" s="15"/>
      <c r="AY31" s="15"/>
      <c r="AZ31" s="15"/>
      <c r="BA31" s="15"/>
      <c r="BB31" s="15"/>
      <c r="BC31" s="15"/>
      <c r="BD31" s="15"/>
      <c r="BE31" s="15"/>
      <c r="BF31" s="15"/>
      <c r="BG31" s="15"/>
      <c r="BH31" s="15"/>
      <c r="BI31" s="15"/>
      <c r="BJ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</row>
    <row r="32" spans="2:73" ht="24" customHeight="1" x14ac:dyDescent="0.2">
      <c r="B32" s="75">
        <v>12</v>
      </c>
      <c r="C32" s="70" t="s">
        <v>32</v>
      </c>
      <c r="D32" s="19" t="e">
        <f>VLOOKUP($B32,#REF!,3,0)</f>
        <v>#REF!</v>
      </c>
      <c r="E32" s="19" t="e">
        <f>VLOOKUP($B32,#REF!,4,0)</f>
        <v>#REF!</v>
      </c>
      <c r="F32" s="19" t="e">
        <f>VLOOKUP($B32,#REF!,5,0)</f>
        <v>#REF!</v>
      </c>
      <c r="G32" s="19" t="e">
        <f>VLOOKUP($B32,#REF!,6,0)</f>
        <v>#REF!</v>
      </c>
      <c r="H32" s="19" t="e">
        <f>VLOOKUP($B32,#REF!,7,0)</f>
        <v>#REF!</v>
      </c>
      <c r="I32" s="19" t="e">
        <f>VLOOKUP($B32,#REF!,8,0)</f>
        <v>#REF!</v>
      </c>
      <c r="J32" s="72"/>
      <c r="K32" s="22" t="s">
        <v>12</v>
      </c>
      <c r="L32" s="35">
        <v>55</v>
      </c>
      <c r="M32" s="35">
        <v>50</v>
      </c>
      <c r="N32" s="35">
        <v>56</v>
      </c>
      <c r="O32" s="73"/>
      <c r="P32" s="13"/>
      <c r="Q32" s="13"/>
      <c r="R32" s="13"/>
      <c r="S32" s="13"/>
      <c r="T32" s="13"/>
    </row>
    <row r="33" spans="2:73" ht="24" customHeight="1" thickBot="1" x14ac:dyDescent="0.25">
      <c r="B33" s="65"/>
      <c r="C33" s="71"/>
      <c r="D33" s="20" t="e">
        <f>VLOOKUP($B33,#REF!,3,0)</f>
        <v>#REF!</v>
      </c>
      <c r="E33" s="20" t="e">
        <f>VLOOKUP($B33,#REF!,4,0)</f>
        <v>#REF!</v>
      </c>
      <c r="F33" s="20" t="e">
        <f>VLOOKUP($B33,#REF!,5,0)</f>
        <v>#REF!</v>
      </c>
      <c r="G33" s="20" t="e">
        <f>VLOOKUP($B33,#REF!,6,0)</f>
        <v>#REF!</v>
      </c>
      <c r="H33" s="20" t="e">
        <f>VLOOKUP($B33,#REF!,7,0)</f>
        <v>#REF!</v>
      </c>
      <c r="I33" s="20" t="e">
        <f>VLOOKUP($B33,#REF!,8,0)</f>
        <v>#REF!</v>
      </c>
      <c r="J33" s="69"/>
      <c r="K33" s="34" t="s">
        <v>13</v>
      </c>
      <c r="L33" s="36">
        <v>58</v>
      </c>
      <c r="M33" s="36">
        <v>55</v>
      </c>
      <c r="N33" s="36">
        <v>63</v>
      </c>
      <c r="O33" s="74"/>
      <c r="P33" s="13"/>
      <c r="Q33" s="13"/>
      <c r="R33" s="13"/>
      <c r="S33" s="13"/>
      <c r="T33" s="13"/>
      <c r="AF33" s="12"/>
      <c r="AG33" s="12"/>
      <c r="AH33" s="14"/>
      <c r="AI33" s="15"/>
      <c r="AJ33" s="15"/>
      <c r="AK33" s="15"/>
      <c r="AL33" s="15"/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AX33" s="15"/>
      <c r="AY33" s="15"/>
      <c r="AZ33" s="15"/>
      <c r="BA33" s="15"/>
      <c r="BB33" s="15"/>
      <c r="BC33" s="15"/>
      <c r="BD33" s="15"/>
      <c r="BE33" s="15"/>
      <c r="BF33" s="15"/>
      <c r="BG33" s="15"/>
      <c r="BH33" s="15"/>
      <c r="BI33" s="15"/>
      <c r="BJ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</row>
    <row r="34" spans="2:73" ht="24" customHeight="1" x14ac:dyDescent="0.2">
      <c r="B34" s="75">
        <v>13</v>
      </c>
      <c r="C34" s="70" t="s">
        <v>33</v>
      </c>
      <c r="D34" s="19" t="e">
        <f>VLOOKUP($B34,#REF!,3,0)</f>
        <v>#REF!</v>
      </c>
      <c r="E34" s="19" t="e">
        <f>VLOOKUP($B34,#REF!,4,0)</f>
        <v>#REF!</v>
      </c>
      <c r="F34" s="19" t="e">
        <f>VLOOKUP($B34,#REF!,5,0)</f>
        <v>#REF!</v>
      </c>
      <c r="G34" s="19" t="e">
        <f>VLOOKUP($B34,#REF!,6,0)</f>
        <v>#REF!</v>
      </c>
      <c r="H34" s="19" t="e">
        <f>VLOOKUP($B34,#REF!,7,0)</f>
        <v>#REF!</v>
      </c>
      <c r="I34" s="19" t="e">
        <f>VLOOKUP($B34,#REF!,8,0)</f>
        <v>#REF!</v>
      </c>
      <c r="J34" s="72"/>
      <c r="K34" s="22" t="s">
        <v>12</v>
      </c>
      <c r="L34" s="35">
        <v>46</v>
      </c>
      <c r="M34" s="35">
        <v>53</v>
      </c>
      <c r="N34" s="35">
        <v>48</v>
      </c>
      <c r="O34" s="73"/>
      <c r="P34" s="13"/>
      <c r="Q34" s="13"/>
      <c r="R34" s="13"/>
      <c r="S34" s="13"/>
      <c r="T34" s="13"/>
    </row>
    <row r="35" spans="2:73" ht="24" customHeight="1" thickBot="1" x14ac:dyDescent="0.25">
      <c r="B35" s="65"/>
      <c r="C35" s="71"/>
      <c r="D35" s="20" t="e">
        <f>VLOOKUP($B35,#REF!,3,0)</f>
        <v>#REF!</v>
      </c>
      <c r="E35" s="20" t="e">
        <f>VLOOKUP($B35,#REF!,4,0)</f>
        <v>#REF!</v>
      </c>
      <c r="F35" s="20" t="e">
        <f>VLOOKUP($B35,#REF!,5,0)</f>
        <v>#REF!</v>
      </c>
      <c r="G35" s="20" t="e">
        <f>VLOOKUP($B35,#REF!,6,0)</f>
        <v>#REF!</v>
      </c>
      <c r="H35" s="20" t="e">
        <f>VLOOKUP($B35,#REF!,7,0)</f>
        <v>#REF!</v>
      </c>
      <c r="I35" s="20" t="e">
        <f>VLOOKUP($B35,#REF!,8,0)</f>
        <v>#REF!</v>
      </c>
      <c r="J35" s="69"/>
      <c r="K35" s="34" t="s">
        <v>13</v>
      </c>
      <c r="L35" s="36">
        <v>55</v>
      </c>
      <c r="M35" s="36">
        <v>58</v>
      </c>
      <c r="N35" s="36">
        <v>56</v>
      </c>
      <c r="O35" s="74"/>
      <c r="P35" s="13"/>
      <c r="Q35" s="13"/>
      <c r="R35" s="13"/>
      <c r="S35" s="13"/>
      <c r="T35" s="13"/>
      <c r="AF35" s="12"/>
      <c r="AG35" s="12"/>
      <c r="AH35" s="14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5"/>
      <c r="AX35" s="15"/>
      <c r="AY35" s="15"/>
      <c r="AZ35" s="15"/>
      <c r="BA35" s="15"/>
      <c r="BB35" s="15"/>
      <c r="BC35" s="15"/>
      <c r="BD35" s="15"/>
      <c r="BE35" s="15"/>
      <c r="BF35" s="15"/>
      <c r="BG35" s="15"/>
      <c r="BH35" s="15"/>
      <c r="BI35" s="15"/>
      <c r="BJ35" s="15"/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</row>
    <row r="36" spans="2:73" ht="24" customHeight="1" x14ac:dyDescent="0.2">
      <c r="B36" s="75">
        <v>14</v>
      </c>
      <c r="C36" s="70" t="s">
        <v>32</v>
      </c>
      <c r="D36" s="19" t="e">
        <f>VLOOKUP($B36,#REF!,3,0)</f>
        <v>#REF!</v>
      </c>
      <c r="E36" s="19" t="e">
        <f>VLOOKUP($B36,#REF!,4,0)</f>
        <v>#REF!</v>
      </c>
      <c r="F36" s="19" t="e">
        <f>VLOOKUP($B36,#REF!,5,0)</f>
        <v>#REF!</v>
      </c>
      <c r="G36" s="19" t="e">
        <f>VLOOKUP($B36,#REF!,6,0)</f>
        <v>#REF!</v>
      </c>
      <c r="H36" s="19" t="e">
        <f>VLOOKUP($B36,#REF!,7,0)</f>
        <v>#REF!</v>
      </c>
      <c r="I36" s="19" t="e">
        <f>VLOOKUP($B36,#REF!,8,0)</f>
        <v>#REF!</v>
      </c>
      <c r="J36" s="72"/>
      <c r="K36" s="22" t="s">
        <v>12</v>
      </c>
      <c r="L36" s="35">
        <v>48</v>
      </c>
      <c r="M36" s="35">
        <v>45</v>
      </c>
      <c r="N36" s="35">
        <v>53</v>
      </c>
      <c r="O36" s="73"/>
      <c r="P36" s="13"/>
      <c r="Q36" s="13"/>
      <c r="R36" s="13"/>
      <c r="S36" s="13"/>
      <c r="T36" s="13"/>
    </row>
    <row r="37" spans="2:73" ht="24" customHeight="1" thickBot="1" x14ac:dyDescent="0.25">
      <c r="B37" s="65"/>
      <c r="C37" s="71"/>
      <c r="D37" s="20" t="e">
        <f>VLOOKUP($B37,#REF!,3,0)</f>
        <v>#REF!</v>
      </c>
      <c r="E37" s="20" t="e">
        <f>VLOOKUP($B37,#REF!,4,0)</f>
        <v>#REF!</v>
      </c>
      <c r="F37" s="20" t="e">
        <f>VLOOKUP($B37,#REF!,5,0)</f>
        <v>#REF!</v>
      </c>
      <c r="G37" s="20" t="e">
        <f>VLOOKUP($B37,#REF!,6,0)</f>
        <v>#REF!</v>
      </c>
      <c r="H37" s="20" t="e">
        <f>VLOOKUP($B37,#REF!,7,0)</f>
        <v>#REF!</v>
      </c>
      <c r="I37" s="20" t="e">
        <f>VLOOKUP($B37,#REF!,8,0)</f>
        <v>#REF!</v>
      </c>
      <c r="J37" s="69"/>
      <c r="K37" s="34" t="s">
        <v>13</v>
      </c>
      <c r="L37" s="36">
        <v>57</v>
      </c>
      <c r="M37" s="36">
        <v>57</v>
      </c>
      <c r="N37" s="36">
        <v>60</v>
      </c>
      <c r="O37" s="74"/>
      <c r="P37" s="13"/>
      <c r="Q37" s="13"/>
      <c r="R37" s="13"/>
      <c r="S37" s="13"/>
      <c r="T37" s="13"/>
      <c r="AF37" s="12"/>
      <c r="AG37" s="12"/>
      <c r="AH37" s="14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/>
      <c r="AU37" s="15"/>
      <c r="AV37" s="15"/>
      <c r="AW37" s="15"/>
      <c r="AX37" s="15"/>
      <c r="AY37" s="15"/>
      <c r="AZ37" s="15"/>
      <c r="BA37" s="15"/>
      <c r="BB37" s="15"/>
      <c r="BC37" s="15"/>
      <c r="BD37" s="15"/>
      <c r="BE37" s="15"/>
      <c r="BF37" s="15"/>
      <c r="BG37" s="15"/>
      <c r="BH37" s="15"/>
      <c r="BI37" s="15"/>
      <c r="BJ37" s="15"/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</row>
    <row r="38" spans="2:73" ht="24" customHeight="1" x14ac:dyDescent="0.2">
      <c r="B38" s="75">
        <v>15</v>
      </c>
      <c r="C38" s="70" t="s">
        <v>33</v>
      </c>
      <c r="D38" s="19" t="e">
        <f>VLOOKUP($B38,#REF!,3,0)</f>
        <v>#REF!</v>
      </c>
      <c r="E38" s="19" t="e">
        <f>VLOOKUP($B38,#REF!,4,0)</f>
        <v>#REF!</v>
      </c>
      <c r="F38" s="19" t="e">
        <f>VLOOKUP($B38,#REF!,5,0)</f>
        <v>#REF!</v>
      </c>
      <c r="G38" s="19" t="e">
        <f>VLOOKUP($B38,#REF!,6,0)</f>
        <v>#REF!</v>
      </c>
      <c r="H38" s="19" t="e">
        <f>VLOOKUP($B38,#REF!,7,0)</f>
        <v>#REF!</v>
      </c>
      <c r="I38" s="19" t="e">
        <f>VLOOKUP($B38,#REF!,8,0)</f>
        <v>#REF!</v>
      </c>
      <c r="J38" s="72"/>
      <c r="K38" s="22" t="s">
        <v>12</v>
      </c>
      <c r="L38" s="44">
        <v>44</v>
      </c>
      <c r="M38" s="35">
        <v>50</v>
      </c>
      <c r="N38" s="35">
        <v>45</v>
      </c>
      <c r="O38" s="73"/>
      <c r="P38" s="13"/>
      <c r="Q38" s="13"/>
      <c r="R38" s="13"/>
      <c r="S38" s="13"/>
      <c r="T38" s="13"/>
    </row>
    <row r="39" spans="2:73" ht="24" customHeight="1" thickBot="1" x14ac:dyDescent="0.25">
      <c r="B39" s="65"/>
      <c r="C39" s="71"/>
      <c r="D39" s="20" t="e">
        <f>VLOOKUP($B39,#REF!,3,0)</f>
        <v>#REF!</v>
      </c>
      <c r="E39" s="20" t="e">
        <f>VLOOKUP($B39,#REF!,4,0)</f>
        <v>#REF!</v>
      </c>
      <c r="F39" s="20" t="e">
        <f>VLOOKUP($B39,#REF!,5,0)</f>
        <v>#REF!</v>
      </c>
      <c r="G39" s="20" t="e">
        <f>VLOOKUP($B39,#REF!,6,0)</f>
        <v>#REF!</v>
      </c>
      <c r="H39" s="20" t="e">
        <f>VLOOKUP($B39,#REF!,7,0)</f>
        <v>#REF!</v>
      </c>
      <c r="I39" s="20" t="e">
        <f>VLOOKUP($B39,#REF!,8,0)</f>
        <v>#REF!</v>
      </c>
      <c r="J39" s="69"/>
      <c r="K39" s="34" t="s">
        <v>13</v>
      </c>
      <c r="L39" s="36">
        <v>58</v>
      </c>
      <c r="M39" s="36">
        <v>55</v>
      </c>
      <c r="N39" s="36">
        <v>58</v>
      </c>
      <c r="O39" s="74"/>
      <c r="P39" s="13"/>
      <c r="Q39" s="13"/>
      <c r="R39" s="13"/>
      <c r="S39" s="13"/>
      <c r="T39" s="13"/>
      <c r="AF39" s="12"/>
      <c r="AG39" s="12"/>
      <c r="AH39" s="14"/>
      <c r="AI39" s="15"/>
      <c r="AJ39" s="15"/>
      <c r="AK39" s="15"/>
      <c r="AL39" s="15"/>
      <c r="AM39" s="15"/>
      <c r="AN39" s="15"/>
      <c r="AO39" s="15"/>
      <c r="AP39" s="15"/>
      <c r="AQ39" s="15"/>
      <c r="AR39" s="15"/>
      <c r="AS39" s="15"/>
      <c r="AT39" s="15"/>
      <c r="AU39" s="15"/>
      <c r="AV39" s="15"/>
      <c r="AW39" s="15"/>
      <c r="AX39" s="15"/>
      <c r="AY39" s="15"/>
      <c r="AZ39" s="15"/>
      <c r="BA39" s="15"/>
      <c r="BB39" s="15"/>
      <c r="BC39" s="15"/>
      <c r="BD39" s="15"/>
      <c r="BE39" s="15"/>
      <c r="BF39" s="15"/>
      <c r="BG39" s="15"/>
      <c r="BH39" s="15"/>
      <c r="BI39" s="15"/>
      <c r="BJ39" s="15"/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</row>
    <row r="40" spans="2:73" ht="24" customHeight="1" x14ac:dyDescent="0.2">
      <c r="B40" s="75">
        <v>16</v>
      </c>
      <c r="C40" s="66" t="s">
        <v>34</v>
      </c>
      <c r="D40" s="19" t="e">
        <f>VLOOKUP($B40,#REF!,3,0)</f>
        <v>#REF!</v>
      </c>
      <c r="E40" s="19" t="e">
        <f>VLOOKUP($B40,#REF!,4,0)</f>
        <v>#REF!</v>
      </c>
      <c r="F40" s="19" t="e">
        <f>VLOOKUP($B40,#REF!,5,0)</f>
        <v>#REF!</v>
      </c>
      <c r="G40" s="19" t="e">
        <f>VLOOKUP($B40,#REF!,6,0)</f>
        <v>#REF!</v>
      </c>
      <c r="H40" s="19" t="e">
        <f>VLOOKUP($B40,#REF!,7,0)</f>
        <v>#REF!</v>
      </c>
      <c r="I40" s="19" t="e">
        <f>VLOOKUP($B40,#REF!,8,0)</f>
        <v>#REF!</v>
      </c>
      <c r="J40" s="72">
        <v>1119</v>
      </c>
      <c r="K40" s="22" t="s">
        <v>12</v>
      </c>
      <c r="L40" s="44">
        <v>43</v>
      </c>
      <c r="M40" s="44">
        <v>51</v>
      </c>
      <c r="N40" s="35">
        <v>48</v>
      </c>
      <c r="O40" s="73"/>
      <c r="P40" s="13"/>
      <c r="Q40" s="13"/>
      <c r="R40" s="13"/>
      <c r="S40" s="13"/>
      <c r="T40" s="13"/>
    </row>
    <row r="41" spans="2:73" ht="24" customHeight="1" thickBot="1" x14ac:dyDescent="0.25">
      <c r="B41" s="65"/>
      <c r="C41" s="67"/>
      <c r="D41" s="20" t="e">
        <f>VLOOKUP($B41,#REF!,3,0)</f>
        <v>#REF!</v>
      </c>
      <c r="E41" s="20" t="e">
        <f>VLOOKUP($B41,#REF!,4,0)</f>
        <v>#REF!</v>
      </c>
      <c r="F41" s="20" t="e">
        <f>VLOOKUP($B41,#REF!,5,0)</f>
        <v>#REF!</v>
      </c>
      <c r="G41" s="20" t="e">
        <f>VLOOKUP($B41,#REF!,6,0)</f>
        <v>#REF!</v>
      </c>
      <c r="H41" s="20" t="e">
        <f>VLOOKUP($B41,#REF!,7,0)</f>
        <v>#REF!</v>
      </c>
      <c r="I41" s="20" t="e">
        <f>VLOOKUP($B41,#REF!,8,0)</f>
        <v>#REF!</v>
      </c>
      <c r="J41" s="69"/>
      <c r="K41" s="34" t="s">
        <v>13</v>
      </c>
      <c r="L41" s="36">
        <v>54</v>
      </c>
      <c r="M41" s="36">
        <v>59</v>
      </c>
      <c r="N41" s="36">
        <v>56</v>
      </c>
      <c r="O41" s="74"/>
      <c r="P41" s="13"/>
      <c r="Q41" s="13"/>
      <c r="R41" s="13"/>
      <c r="S41" s="13"/>
      <c r="T41" s="13"/>
      <c r="AF41" s="12"/>
      <c r="AG41" s="12"/>
      <c r="AH41" s="14"/>
      <c r="AI41" s="15"/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/>
      <c r="AU41" s="15"/>
      <c r="AV41" s="15"/>
      <c r="AW41" s="15"/>
      <c r="AX41" s="15"/>
      <c r="AY41" s="15"/>
      <c r="AZ41" s="15"/>
      <c r="BA41" s="15"/>
      <c r="BB41" s="15"/>
      <c r="BC41" s="15"/>
      <c r="BD41" s="15"/>
      <c r="BE41" s="15"/>
      <c r="BF41" s="15"/>
      <c r="BG41" s="15"/>
      <c r="BH41" s="15"/>
      <c r="BI41" s="15"/>
      <c r="BJ41" s="15"/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</row>
    <row r="42" spans="2:73" x14ac:dyDescent="0.2">
      <c r="M42" s="45"/>
    </row>
  </sheetData>
  <mergeCells count="66">
    <mergeCell ref="AF5:AH5"/>
    <mergeCell ref="L6:N6"/>
    <mergeCell ref="O7:O8"/>
    <mergeCell ref="B8:K8"/>
    <mergeCell ref="B10:B11"/>
    <mergeCell ref="C10:C11"/>
    <mergeCell ref="J10:J11"/>
    <mergeCell ref="B18:B19"/>
    <mergeCell ref="C18:C19"/>
    <mergeCell ref="J18:J19"/>
    <mergeCell ref="O18:O19"/>
    <mergeCell ref="B12:B13"/>
    <mergeCell ref="C12:C13"/>
    <mergeCell ref="J12:J13"/>
    <mergeCell ref="B14:B15"/>
    <mergeCell ref="C14:C15"/>
    <mergeCell ref="J14:J15"/>
    <mergeCell ref="O14:O15"/>
    <mergeCell ref="B16:B17"/>
    <mergeCell ref="C16:C17"/>
    <mergeCell ref="J16:J17"/>
    <mergeCell ref="O16:O17"/>
    <mergeCell ref="B20:B21"/>
    <mergeCell ref="C20:C21"/>
    <mergeCell ref="J20:J21"/>
    <mergeCell ref="O20:O21"/>
    <mergeCell ref="B22:B23"/>
    <mergeCell ref="C22:C23"/>
    <mergeCell ref="J22:J23"/>
    <mergeCell ref="O22:O23"/>
    <mergeCell ref="B24:B25"/>
    <mergeCell ref="C24:C25"/>
    <mergeCell ref="J24:J25"/>
    <mergeCell ref="O24:O25"/>
    <mergeCell ref="B26:B27"/>
    <mergeCell ref="C26:C27"/>
    <mergeCell ref="J26:J27"/>
    <mergeCell ref="O26:O27"/>
    <mergeCell ref="B28:B29"/>
    <mergeCell ref="C28:C29"/>
    <mergeCell ref="J28:J29"/>
    <mergeCell ref="O28:O29"/>
    <mergeCell ref="B30:B31"/>
    <mergeCell ref="C30:C31"/>
    <mergeCell ref="J30:J31"/>
    <mergeCell ref="O30:O31"/>
    <mergeCell ref="B32:B33"/>
    <mergeCell ref="C32:C33"/>
    <mergeCell ref="J32:J33"/>
    <mergeCell ref="O32:O33"/>
    <mergeCell ref="B34:B35"/>
    <mergeCell ref="C34:C35"/>
    <mergeCell ref="J34:J35"/>
    <mergeCell ref="O34:O35"/>
    <mergeCell ref="B40:B41"/>
    <mergeCell ref="C40:C41"/>
    <mergeCell ref="J40:J41"/>
    <mergeCell ref="O40:O41"/>
    <mergeCell ref="B36:B37"/>
    <mergeCell ref="C36:C37"/>
    <mergeCell ref="J36:J37"/>
    <mergeCell ref="O36:O37"/>
    <mergeCell ref="B38:B39"/>
    <mergeCell ref="C38:C39"/>
    <mergeCell ref="J38:J39"/>
    <mergeCell ref="O38:O39"/>
  </mergeCells>
  <pageMargins left="0.45" right="0" top="0.49" bottom="0" header="0.64" footer="0"/>
  <pageSetup paperSize="512" scale="74" orientation="portrait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EA485-FB9D-42AC-8F0A-006B3919879C}">
  <sheetPr>
    <pageSetUpPr fitToPage="1"/>
  </sheetPr>
  <dimension ref="A1:BU41"/>
  <sheetViews>
    <sheetView zoomScaleNormal="100" workbookViewId="0">
      <selection activeCell="A2" sqref="A2"/>
    </sheetView>
  </sheetViews>
  <sheetFormatPr defaultRowHeight="12.75" x14ac:dyDescent="0.2"/>
  <cols>
    <col min="1" max="1" width="5.42578125" customWidth="1"/>
    <col min="2" max="2" width="6.28515625" customWidth="1"/>
    <col min="3" max="3" width="12.7109375" customWidth="1"/>
    <col min="4" max="8" width="5.28515625" hidden="1" customWidth="1"/>
    <col min="9" max="9" width="7" hidden="1" customWidth="1"/>
    <col min="10" max="10" width="8.42578125" customWidth="1"/>
    <col min="11" max="14" width="12.7109375" customWidth="1"/>
    <col min="15" max="15" width="48.7109375" customWidth="1"/>
    <col min="22" max="22" width="7.5703125" customWidth="1"/>
    <col min="23" max="32" width="7.7109375" customWidth="1"/>
  </cols>
  <sheetData>
    <row r="1" spans="1:73" ht="15" customHeight="1" x14ac:dyDescent="0.25">
      <c r="A1" s="1" t="s">
        <v>40</v>
      </c>
    </row>
    <row r="2" spans="1:73" ht="20.25" customHeight="1" thickBot="1" x14ac:dyDescent="0.3">
      <c r="A2" s="1"/>
      <c r="M2" s="15" t="s">
        <v>0</v>
      </c>
      <c r="N2" s="23">
        <v>39987</v>
      </c>
      <c r="O2" s="29"/>
    </row>
    <row r="3" spans="1:73" ht="20.25" customHeight="1" thickBot="1" x14ac:dyDescent="0.25">
      <c r="A3" t="s">
        <v>1</v>
      </c>
      <c r="C3" s="38" t="s">
        <v>41</v>
      </c>
      <c r="D3" s="3"/>
      <c r="E3" s="3"/>
      <c r="F3" s="3"/>
      <c r="G3" s="3"/>
      <c r="H3" s="3"/>
      <c r="I3" s="3"/>
      <c r="J3" s="3"/>
      <c r="K3" s="3"/>
      <c r="L3" s="3"/>
      <c r="M3" s="15" t="s">
        <v>23</v>
      </c>
      <c r="N3" s="2">
        <v>174</v>
      </c>
      <c r="O3" s="30"/>
    </row>
    <row r="4" spans="1:73" ht="20.25" customHeight="1" thickBot="1" x14ac:dyDescent="0.25">
      <c r="B4" s="3"/>
      <c r="C4" s="38" t="s">
        <v>42</v>
      </c>
      <c r="D4" s="4"/>
      <c r="E4" s="4"/>
      <c r="F4" s="4"/>
      <c r="G4" s="4"/>
      <c r="H4" s="4"/>
      <c r="I4" s="4"/>
      <c r="J4" s="4"/>
      <c r="K4" s="4"/>
      <c r="L4" s="4"/>
      <c r="M4" s="15" t="s">
        <v>2</v>
      </c>
      <c r="N4" s="2" t="s">
        <v>26</v>
      </c>
      <c r="O4" s="30"/>
    </row>
    <row r="5" spans="1:73" ht="18" x14ac:dyDescent="0.2">
      <c r="AE5" s="5"/>
      <c r="AF5" s="55"/>
      <c r="AG5" s="55"/>
      <c r="AH5" s="55"/>
    </row>
    <row r="6" spans="1:73" ht="18" x14ac:dyDescent="0.25">
      <c r="L6" s="56"/>
      <c r="M6" s="57"/>
      <c r="N6" s="58"/>
      <c r="O6" s="31"/>
      <c r="AE6" s="5"/>
      <c r="AF6" s="24"/>
      <c r="AG6" s="24"/>
      <c r="AH6" s="24"/>
    </row>
    <row r="7" spans="1:73" ht="25.5" customHeight="1" x14ac:dyDescent="0.2">
      <c r="B7" s="6" t="s">
        <v>27</v>
      </c>
      <c r="C7" s="7"/>
      <c r="D7" s="7" t="s">
        <v>4</v>
      </c>
      <c r="E7" s="6" t="s">
        <v>5</v>
      </c>
      <c r="F7" s="7" t="s">
        <v>6</v>
      </c>
      <c r="G7" s="6" t="s">
        <v>7</v>
      </c>
      <c r="H7" s="6" t="s">
        <v>8</v>
      </c>
      <c r="I7" s="6" t="s">
        <v>9</v>
      </c>
      <c r="J7" s="6" t="s">
        <v>11</v>
      </c>
      <c r="K7" s="8" t="s">
        <v>24</v>
      </c>
      <c r="L7" s="22" t="s">
        <v>37</v>
      </c>
      <c r="M7" s="22" t="s">
        <v>38</v>
      </c>
      <c r="N7" s="22" t="s">
        <v>39</v>
      </c>
      <c r="O7" s="59" t="s">
        <v>25</v>
      </c>
      <c r="AE7" s="10"/>
      <c r="AF7" s="9"/>
      <c r="AG7" s="9"/>
      <c r="AH7" s="11"/>
    </row>
    <row r="8" spans="1:73" ht="15.95" customHeight="1" thickBot="1" x14ac:dyDescent="0.25">
      <c r="B8" s="61"/>
      <c r="C8" s="62"/>
      <c r="D8" s="62"/>
      <c r="E8" s="62"/>
      <c r="F8" s="62"/>
      <c r="G8" s="62"/>
      <c r="H8" s="62"/>
      <c r="I8" s="62"/>
      <c r="J8" s="62"/>
      <c r="K8" s="63"/>
      <c r="L8" s="39" t="s">
        <v>29</v>
      </c>
      <c r="M8" s="39"/>
      <c r="N8" s="39"/>
      <c r="O8" s="60"/>
      <c r="AF8" s="12"/>
      <c r="AG8" s="12"/>
      <c r="AH8" s="12"/>
    </row>
    <row r="9" spans="1:73" ht="15.95" hidden="1" customHeight="1" x14ac:dyDescent="0.2">
      <c r="B9" s="25" t="s">
        <v>3</v>
      </c>
      <c r="C9" s="26" t="s">
        <v>10</v>
      </c>
      <c r="D9" s="26" t="s">
        <v>14</v>
      </c>
      <c r="E9" s="25" t="s">
        <v>15</v>
      </c>
      <c r="F9" s="26" t="s">
        <v>16</v>
      </c>
      <c r="G9" s="25" t="s">
        <v>17</v>
      </c>
      <c r="H9" s="25" t="s">
        <v>8</v>
      </c>
      <c r="I9" s="25" t="s">
        <v>18</v>
      </c>
      <c r="J9" s="27" t="s">
        <v>11</v>
      </c>
      <c r="K9" s="27" t="s">
        <v>19</v>
      </c>
      <c r="L9" s="28" t="s">
        <v>20</v>
      </c>
      <c r="M9" s="28" t="s">
        <v>21</v>
      </c>
      <c r="N9" s="28" t="s">
        <v>22</v>
      </c>
      <c r="O9" s="32"/>
      <c r="AF9" s="12"/>
      <c r="AG9" s="12"/>
      <c r="AH9" s="12"/>
    </row>
    <row r="10" spans="1:73" ht="24" customHeight="1" x14ac:dyDescent="0.2">
      <c r="B10" s="64">
        <v>1</v>
      </c>
      <c r="C10" s="66" t="s">
        <v>31</v>
      </c>
      <c r="D10" s="19" t="e">
        <f>VLOOKUP($B10,#REF!,3,0)</f>
        <v>#REF!</v>
      </c>
      <c r="E10" s="19" t="e">
        <f>VLOOKUP($B10,#REF!,4,0)</f>
        <v>#REF!</v>
      </c>
      <c r="F10" s="19" t="e">
        <f>VLOOKUP($B10,#REF!,5,0)</f>
        <v>#REF!</v>
      </c>
      <c r="G10" s="19" t="e">
        <f>VLOOKUP($B10,#REF!,6,0)</f>
        <v>#REF!</v>
      </c>
      <c r="H10" s="19" t="e">
        <f>VLOOKUP($B10,#REF!,7,0)</f>
        <v>#REF!</v>
      </c>
      <c r="I10" s="19" t="e">
        <f>VLOOKUP($B10,#REF!,8,0)</f>
        <v>#REF!</v>
      </c>
      <c r="J10" s="68">
        <v>1025</v>
      </c>
      <c r="K10" s="22" t="s">
        <v>12</v>
      </c>
      <c r="L10" s="35">
        <v>59</v>
      </c>
      <c r="M10" s="35">
        <v>55</v>
      </c>
      <c r="N10" s="44">
        <v>56</v>
      </c>
      <c r="O10" s="40"/>
      <c r="P10" s="13"/>
      <c r="Q10" s="13"/>
      <c r="R10" s="13"/>
      <c r="S10" s="13"/>
      <c r="T10" s="13"/>
      <c r="AF10" s="12"/>
      <c r="AG10" s="12"/>
      <c r="AH10" s="14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  <c r="AX10" s="15"/>
      <c r="AY10" s="15"/>
      <c r="AZ10" s="15"/>
      <c r="BA10" s="15"/>
      <c r="BB10" s="15"/>
      <c r="BC10" s="15"/>
      <c r="BD10" s="15"/>
      <c r="BE10" s="15"/>
      <c r="BF10" s="15"/>
      <c r="BG10" s="15"/>
      <c r="BH10" s="15"/>
      <c r="BI10" s="15"/>
      <c r="BJ10" s="15"/>
      <c r="BK10" s="15"/>
      <c r="BL10" s="15"/>
      <c r="BM10" s="15"/>
      <c r="BN10" s="15"/>
      <c r="BO10" s="15"/>
      <c r="BP10" s="15"/>
      <c r="BQ10" s="15"/>
      <c r="BR10" s="15"/>
      <c r="BS10" s="15"/>
      <c r="BT10" s="15"/>
      <c r="BU10" s="15"/>
    </row>
    <row r="11" spans="1:73" ht="24" customHeight="1" thickBot="1" x14ac:dyDescent="0.25">
      <c r="B11" s="65"/>
      <c r="C11" s="67"/>
      <c r="D11" s="20" t="e">
        <f>VLOOKUP($B11,#REF!,3,0)</f>
        <v>#REF!</v>
      </c>
      <c r="E11" s="20" t="e">
        <f>VLOOKUP($B11,#REF!,4,0)</f>
        <v>#REF!</v>
      </c>
      <c r="F11" s="20" t="e">
        <f>VLOOKUP($B11,#REF!,5,0)</f>
        <v>#REF!</v>
      </c>
      <c r="G11" s="20" t="e">
        <f>VLOOKUP($B11,#REF!,6,0)</f>
        <v>#REF!</v>
      </c>
      <c r="H11" s="20" t="e">
        <f>VLOOKUP($B11,#REF!,7,0)</f>
        <v>#REF!</v>
      </c>
      <c r="I11" s="20" t="e">
        <f>VLOOKUP($B11,#REF!,8,0)</f>
        <v>#REF!</v>
      </c>
      <c r="J11" s="69"/>
      <c r="K11" s="34" t="s">
        <v>13</v>
      </c>
      <c r="L11" s="36">
        <v>64</v>
      </c>
      <c r="M11" s="36">
        <v>63</v>
      </c>
      <c r="N11" s="36">
        <v>71</v>
      </c>
      <c r="O11" s="41"/>
      <c r="P11" s="13"/>
      <c r="Q11" s="13"/>
      <c r="R11" s="13"/>
      <c r="S11" s="13"/>
      <c r="T11" s="13"/>
      <c r="AF11" s="12"/>
      <c r="AG11" s="12"/>
      <c r="AH11" s="14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  <c r="BC11" s="15"/>
      <c r="BD11" s="15"/>
      <c r="BE11" s="15"/>
      <c r="BF11" s="15"/>
      <c r="BG11" s="15"/>
      <c r="BH11" s="15"/>
      <c r="BI11" s="15"/>
      <c r="BJ11" s="15"/>
      <c r="BK11" s="15"/>
      <c r="BL11" s="15"/>
      <c r="BM11" s="15"/>
      <c r="BN11" s="15"/>
      <c r="BO11" s="15"/>
      <c r="BP11" s="15"/>
      <c r="BQ11" s="15"/>
      <c r="BR11" s="15"/>
      <c r="BS11" s="15"/>
      <c r="BT11" s="15"/>
      <c r="BU11" s="15"/>
    </row>
    <row r="12" spans="1:73" ht="24" customHeight="1" x14ac:dyDescent="0.2">
      <c r="B12" s="64">
        <v>2</v>
      </c>
      <c r="C12" s="70" t="s">
        <v>32</v>
      </c>
      <c r="D12" s="21" t="e">
        <f>VLOOKUP($B12,#REF!,3,0)</f>
        <v>#REF!</v>
      </c>
      <c r="E12" s="21" t="e">
        <f>VLOOKUP($B12,#REF!,4,0)</f>
        <v>#REF!</v>
      </c>
      <c r="F12" s="21" t="e">
        <f>VLOOKUP($B12,#REF!,5,0)</f>
        <v>#REF!</v>
      </c>
      <c r="G12" s="21" t="e">
        <f>VLOOKUP($B12,#REF!,6,0)</f>
        <v>#REF!</v>
      </c>
      <c r="H12" s="21" t="e">
        <f>VLOOKUP($B12,#REF!,7,0)</f>
        <v>#REF!</v>
      </c>
      <c r="I12" s="21" t="e">
        <f>VLOOKUP($B12,#REF!,8,0)</f>
        <v>#REF!</v>
      </c>
      <c r="J12" s="72"/>
      <c r="K12" s="33" t="s">
        <v>12</v>
      </c>
      <c r="L12" s="35">
        <v>65</v>
      </c>
      <c r="M12" s="35">
        <v>58</v>
      </c>
      <c r="N12" s="35">
        <v>61</v>
      </c>
      <c r="O12" s="42"/>
      <c r="P12" s="13"/>
      <c r="Q12" s="16"/>
      <c r="R12" s="13"/>
      <c r="S12" s="17"/>
      <c r="T12" s="13"/>
      <c r="AF12" s="12"/>
      <c r="AG12" s="12"/>
      <c r="AH12" s="12"/>
      <c r="AI12" s="18"/>
      <c r="AJ12" s="1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8"/>
      <c r="BI12" s="18"/>
      <c r="BJ12" s="18"/>
      <c r="BK12" s="18"/>
      <c r="BL12" s="18"/>
      <c r="BM12" s="18"/>
      <c r="BN12" s="18"/>
      <c r="BO12" s="18"/>
      <c r="BP12" s="18"/>
      <c r="BQ12" s="18"/>
      <c r="BR12" s="18"/>
      <c r="BS12" s="18"/>
      <c r="BT12" s="18"/>
      <c r="BU12" s="18"/>
    </row>
    <row r="13" spans="1:73" ht="24" customHeight="1" thickBot="1" x14ac:dyDescent="0.25">
      <c r="B13" s="65"/>
      <c r="C13" s="71"/>
      <c r="D13" s="20" t="e">
        <f>VLOOKUP($B13,#REF!,3,0)</f>
        <v>#REF!</v>
      </c>
      <c r="E13" s="20" t="e">
        <f>VLOOKUP($B13,#REF!,4,0)</f>
        <v>#REF!</v>
      </c>
      <c r="F13" s="20" t="e">
        <f>VLOOKUP($B13,#REF!,5,0)</f>
        <v>#REF!</v>
      </c>
      <c r="G13" s="20" t="e">
        <f>VLOOKUP($B13,#REF!,6,0)</f>
        <v>#REF!</v>
      </c>
      <c r="H13" s="20" t="e">
        <f>VLOOKUP($B13,#REF!,7,0)</f>
        <v>#REF!</v>
      </c>
      <c r="I13" s="20" t="e">
        <f>VLOOKUP($B13,#REF!,8,0)</f>
        <v>#REF!</v>
      </c>
      <c r="J13" s="69"/>
      <c r="K13" s="34" t="s">
        <v>13</v>
      </c>
      <c r="L13" s="37">
        <v>74</v>
      </c>
      <c r="M13" s="36">
        <v>73</v>
      </c>
      <c r="N13" s="36">
        <v>77</v>
      </c>
      <c r="O13" s="43"/>
      <c r="P13" s="13"/>
      <c r="Q13" s="13"/>
      <c r="R13" s="13"/>
      <c r="S13" s="13"/>
      <c r="T13" s="13"/>
      <c r="AF13" s="12"/>
      <c r="AG13" s="12"/>
      <c r="AH13" s="14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5"/>
      <c r="BI13" s="15"/>
      <c r="BJ13" s="15"/>
      <c r="BK13" s="15"/>
      <c r="BL13" s="15"/>
      <c r="BM13" s="15"/>
      <c r="BN13" s="15"/>
      <c r="BO13" s="15"/>
      <c r="BP13" s="15"/>
      <c r="BQ13" s="15"/>
      <c r="BR13" s="15"/>
      <c r="BS13" s="15"/>
      <c r="BT13" s="15"/>
      <c r="BU13" s="15"/>
    </row>
    <row r="14" spans="1:73" ht="24" customHeight="1" x14ac:dyDescent="0.2">
      <c r="B14" s="64">
        <v>3</v>
      </c>
      <c r="C14" s="70" t="s">
        <v>33</v>
      </c>
      <c r="D14" s="19" t="e">
        <f>VLOOKUP($B14,#REF!,3,0)</f>
        <v>#REF!</v>
      </c>
      <c r="E14" s="19" t="e">
        <f>VLOOKUP($B14,#REF!,4,0)</f>
        <v>#REF!</v>
      </c>
      <c r="F14" s="19" t="e">
        <f>VLOOKUP($B14,#REF!,5,0)</f>
        <v>#REF!</v>
      </c>
      <c r="G14" s="19" t="e">
        <f>VLOOKUP($B14,#REF!,6,0)</f>
        <v>#REF!</v>
      </c>
      <c r="H14" s="19" t="e">
        <f>VLOOKUP($B14,#REF!,7,0)</f>
        <v>#REF!</v>
      </c>
      <c r="I14" s="19" t="e">
        <f>VLOOKUP($B14,#REF!,8,0)</f>
        <v>#REF!</v>
      </c>
      <c r="J14" s="72"/>
      <c r="K14" s="22" t="s">
        <v>12</v>
      </c>
      <c r="L14" s="35">
        <v>53</v>
      </c>
      <c r="M14" s="35">
        <v>56</v>
      </c>
      <c r="N14" s="35">
        <v>57</v>
      </c>
      <c r="O14" s="73"/>
      <c r="P14" s="13"/>
      <c r="Q14" s="13"/>
      <c r="R14" s="13"/>
      <c r="S14" s="13"/>
      <c r="T14" s="13"/>
      <c r="AF14" s="12"/>
      <c r="AG14" s="12"/>
      <c r="AH14" s="12"/>
    </row>
    <row r="15" spans="1:73" ht="24" customHeight="1" thickBot="1" x14ac:dyDescent="0.25">
      <c r="B15" s="65"/>
      <c r="C15" s="71"/>
      <c r="D15" s="20" t="e">
        <f>VLOOKUP($B15,#REF!,3,0)</f>
        <v>#REF!</v>
      </c>
      <c r="E15" s="20" t="e">
        <f>VLOOKUP($B15,#REF!,4,0)</f>
        <v>#REF!</v>
      </c>
      <c r="F15" s="20" t="e">
        <f>VLOOKUP($B15,#REF!,5,0)</f>
        <v>#REF!</v>
      </c>
      <c r="G15" s="20" t="e">
        <f>VLOOKUP($B15,#REF!,6,0)</f>
        <v>#REF!</v>
      </c>
      <c r="H15" s="20" t="e">
        <f>VLOOKUP($B15,#REF!,7,0)</f>
        <v>#REF!</v>
      </c>
      <c r="I15" s="20" t="e">
        <f>VLOOKUP($B15,#REF!,8,0)</f>
        <v>#REF!</v>
      </c>
      <c r="J15" s="69"/>
      <c r="K15" s="34" t="s">
        <v>13</v>
      </c>
      <c r="L15" s="36">
        <v>72</v>
      </c>
      <c r="M15" s="36">
        <v>67</v>
      </c>
      <c r="N15" s="36">
        <v>70</v>
      </c>
      <c r="O15" s="74"/>
      <c r="P15" s="13"/>
      <c r="Q15" s="13"/>
      <c r="R15" s="13"/>
      <c r="S15" s="13"/>
      <c r="T15" s="13"/>
      <c r="AF15" s="12"/>
      <c r="AG15" s="12"/>
      <c r="AH15" s="14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5"/>
      <c r="BI15" s="15"/>
      <c r="BJ15" s="15"/>
      <c r="BK15" s="15"/>
      <c r="BL15" s="15"/>
      <c r="BM15" s="15"/>
      <c r="BN15" s="15"/>
      <c r="BO15" s="15"/>
      <c r="BP15" s="15"/>
      <c r="BQ15" s="15"/>
      <c r="BR15" s="15"/>
      <c r="BS15" s="15"/>
      <c r="BT15" s="15"/>
      <c r="BU15" s="15"/>
    </row>
    <row r="16" spans="1:73" ht="24" customHeight="1" x14ac:dyDescent="0.2">
      <c r="B16" s="64">
        <v>4</v>
      </c>
      <c r="C16" s="70" t="s">
        <v>32</v>
      </c>
      <c r="D16" s="19" t="e">
        <f>VLOOKUP($B16,#REF!,3,0)</f>
        <v>#REF!</v>
      </c>
      <c r="E16" s="19" t="e">
        <f>VLOOKUP($B16,#REF!,4,0)</f>
        <v>#REF!</v>
      </c>
      <c r="F16" s="19" t="e">
        <f>VLOOKUP($B16,#REF!,5,0)</f>
        <v>#REF!</v>
      </c>
      <c r="G16" s="19" t="e">
        <f>VLOOKUP($B16,#REF!,6,0)</f>
        <v>#REF!</v>
      </c>
      <c r="H16" s="19" t="e">
        <f>VLOOKUP($B16,#REF!,7,0)</f>
        <v>#REF!</v>
      </c>
      <c r="I16" s="19" t="e">
        <f>VLOOKUP($B16,#REF!,8,0)</f>
        <v>#REF!</v>
      </c>
      <c r="J16" s="72"/>
      <c r="K16" s="22" t="s">
        <v>12</v>
      </c>
      <c r="L16" s="35">
        <v>55</v>
      </c>
      <c r="M16" s="35">
        <v>61</v>
      </c>
      <c r="N16" s="44">
        <v>60</v>
      </c>
      <c r="O16" s="73"/>
      <c r="P16" s="13"/>
      <c r="Q16" s="13"/>
      <c r="R16" s="13"/>
      <c r="S16" s="13"/>
      <c r="T16" s="13"/>
    </row>
    <row r="17" spans="2:73" ht="24" customHeight="1" thickBot="1" x14ac:dyDescent="0.25">
      <c r="B17" s="65"/>
      <c r="C17" s="71"/>
      <c r="D17" s="20" t="e">
        <f>VLOOKUP($B17,#REF!,3,0)</f>
        <v>#REF!</v>
      </c>
      <c r="E17" s="20" t="e">
        <f>VLOOKUP($B17,#REF!,4,0)</f>
        <v>#REF!</v>
      </c>
      <c r="F17" s="20" t="e">
        <f>VLOOKUP($B17,#REF!,5,0)</f>
        <v>#REF!</v>
      </c>
      <c r="G17" s="20" t="e">
        <f>VLOOKUP($B17,#REF!,6,0)</f>
        <v>#REF!</v>
      </c>
      <c r="H17" s="20" t="e">
        <f>VLOOKUP($B17,#REF!,7,0)</f>
        <v>#REF!</v>
      </c>
      <c r="I17" s="20" t="e">
        <f>VLOOKUP($B17,#REF!,8,0)</f>
        <v>#REF!</v>
      </c>
      <c r="J17" s="69"/>
      <c r="K17" s="34" t="s">
        <v>13</v>
      </c>
      <c r="L17" s="36">
        <v>67</v>
      </c>
      <c r="M17" s="36">
        <v>73</v>
      </c>
      <c r="N17" s="36">
        <v>77</v>
      </c>
      <c r="O17" s="74"/>
      <c r="P17" s="13"/>
      <c r="Q17" s="13"/>
      <c r="R17" s="13"/>
      <c r="S17" s="13"/>
      <c r="T17" s="13"/>
      <c r="AF17" s="12"/>
      <c r="AG17" s="12"/>
      <c r="AH17" s="14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5"/>
      <c r="BI17" s="15"/>
      <c r="BJ17" s="15"/>
      <c r="BK17" s="15"/>
      <c r="BL17" s="15"/>
      <c r="BM17" s="15"/>
      <c r="BN17" s="15"/>
      <c r="BO17" s="15"/>
      <c r="BP17" s="15"/>
      <c r="BQ17" s="15"/>
      <c r="BR17" s="15"/>
      <c r="BS17" s="15"/>
      <c r="BT17" s="15"/>
      <c r="BU17" s="15"/>
    </row>
    <row r="18" spans="2:73" ht="24" customHeight="1" x14ac:dyDescent="0.2">
      <c r="B18" s="64">
        <v>5</v>
      </c>
      <c r="C18" s="70" t="s">
        <v>33</v>
      </c>
      <c r="D18" s="19" t="e">
        <f>VLOOKUP($B18,#REF!,3,0)</f>
        <v>#REF!</v>
      </c>
      <c r="E18" s="19" t="e">
        <f>VLOOKUP($B18,#REF!,4,0)</f>
        <v>#REF!</v>
      </c>
      <c r="F18" s="19" t="e">
        <f>VLOOKUP($B18,#REF!,5,0)</f>
        <v>#REF!</v>
      </c>
      <c r="G18" s="19" t="e">
        <f>VLOOKUP($B18,#REF!,6,0)</f>
        <v>#REF!</v>
      </c>
      <c r="H18" s="19" t="e">
        <f>VLOOKUP($B18,#REF!,7,0)</f>
        <v>#REF!</v>
      </c>
      <c r="I18" s="19" t="e">
        <f>VLOOKUP($B18,#REF!,8,0)</f>
        <v>#REF!</v>
      </c>
      <c r="J18" s="72">
        <v>1042</v>
      </c>
      <c r="K18" s="22" t="s">
        <v>12</v>
      </c>
      <c r="L18" s="44">
        <v>61</v>
      </c>
      <c r="M18" s="35">
        <v>61</v>
      </c>
      <c r="N18" s="44">
        <v>56</v>
      </c>
      <c r="O18" s="73"/>
      <c r="P18" s="13"/>
      <c r="Q18" s="13"/>
      <c r="R18" s="13"/>
      <c r="S18" s="13"/>
      <c r="T18" s="13"/>
      <c r="AF18" s="12"/>
      <c r="AG18" s="12"/>
      <c r="AH18" s="12"/>
    </row>
    <row r="19" spans="2:73" ht="24" customHeight="1" thickBot="1" x14ac:dyDescent="0.25">
      <c r="B19" s="65"/>
      <c r="C19" s="71"/>
      <c r="D19" s="20" t="e">
        <f>VLOOKUP($B19,#REF!,3,0)</f>
        <v>#REF!</v>
      </c>
      <c r="E19" s="20" t="e">
        <f>VLOOKUP($B19,#REF!,4,0)</f>
        <v>#REF!</v>
      </c>
      <c r="F19" s="20" t="e">
        <f>VLOOKUP($B19,#REF!,5,0)</f>
        <v>#REF!</v>
      </c>
      <c r="G19" s="20" t="e">
        <f>VLOOKUP($B19,#REF!,6,0)</f>
        <v>#REF!</v>
      </c>
      <c r="H19" s="20" t="e">
        <f>VLOOKUP($B19,#REF!,7,0)</f>
        <v>#REF!</v>
      </c>
      <c r="I19" s="20" t="e">
        <f>VLOOKUP($B19,#REF!,8,0)</f>
        <v>#REF!</v>
      </c>
      <c r="J19" s="69"/>
      <c r="K19" s="34" t="s">
        <v>13</v>
      </c>
      <c r="L19" s="36">
        <v>70</v>
      </c>
      <c r="M19" s="36">
        <v>70</v>
      </c>
      <c r="N19" s="36">
        <v>62</v>
      </c>
      <c r="O19" s="74"/>
      <c r="P19" s="13"/>
      <c r="Q19" s="13"/>
      <c r="R19" s="13"/>
      <c r="S19" s="13"/>
      <c r="T19" s="13"/>
      <c r="AF19" s="12"/>
      <c r="AG19" s="12"/>
      <c r="AH19" s="14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</row>
    <row r="20" spans="2:73" ht="24" customHeight="1" x14ac:dyDescent="0.2">
      <c r="B20" s="64">
        <v>6</v>
      </c>
      <c r="C20" s="70" t="s">
        <v>32</v>
      </c>
      <c r="D20" s="19" t="e">
        <f>VLOOKUP($B20,#REF!,3,0)</f>
        <v>#REF!</v>
      </c>
      <c r="E20" s="19" t="e">
        <f>VLOOKUP($B20,#REF!,4,0)</f>
        <v>#REF!</v>
      </c>
      <c r="F20" s="19" t="e">
        <f>VLOOKUP($B20,#REF!,5,0)</f>
        <v>#REF!</v>
      </c>
      <c r="G20" s="19" t="e">
        <f>VLOOKUP($B20,#REF!,6,0)</f>
        <v>#REF!</v>
      </c>
      <c r="H20" s="19" t="e">
        <f>VLOOKUP($B20,#REF!,7,0)</f>
        <v>#REF!</v>
      </c>
      <c r="I20" s="19" t="e">
        <f>VLOOKUP($B20,#REF!,8,0)</f>
        <v>#REF!</v>
      </c>
      <c r="J20" s="72"/>
      <c r="K20" s="22" t="s">
        <v>12</v>
      </c>
      <c r="L20" s="35">
        <v>63</v>
      </c>
      <c r="M20" s="35">
        <v>60</v>
      </c>
      <c r="N20" s="35">
        <v>62</v>
      </c>
      <c r="O20" s="73"/>
      <c r="P20" s="13"/>
      <c r="Q20" s="13"/>
      <c r="R20" s="13"/>
      <c r="S20" s="13"/>
      <c r="T20" s="13"/>
      <c r="AF20" s="12"/>
      <c r="AG20" s="12"/>
      <c r="AH20" s="12"/>
    </row>
    <row r="21" spans="2:73" ht="24" customHeight="1" thickBot="1" x14ac:dyDescent="0.25">
      <c r="B21" s="65"/>
      <c r="C21" s="71"/>
      <c r="D21" s="20" t="e">
        <f>VLOOKUP($B21,#REF!,3,0)</f>
        <v>#REF!</v>
      </c>
      <c r="E21" s="20" t="e">
        <f>VLOOKUP($B21,#REF!,4,0)</f>
        <v>#REF!</v>
      </c>
      <c r="F21" s="20" t="e">
        <f>VLOOKUP($B21,#REF!,5,0)</f>
        <v>#REF!</v>
      </c>
      <c r="G21" s="20" t="e">
        <f>VLOOKUP($B21,#REF!,6,0)</f>
        <v>#REF!</v>
      </c>
      <c r="H21" s="20" t="e">
        <f>VLOOKUP($B21,#REF!,7,0)</f>
        <v>#REF!</v>
      </c>
      <c r="I21" s="20" t="e">
        <f>VLOOKUP($B21,#REF!,8,0)</f>
        <v>#REF!</v>
      </c>
      <c r="J21" s="69"/>
      <c r="K21" s="34" t="s">
        <v>13</v>
      </c>
      <c r="L21" s="36">
        <v>69</v>
      </c>
      <c r="M21" s="36">
        <v>69</v>
      </c>
      <c r="N21" s="36">
        <v>72</v>
      </c>
      <c r="O21" s="74"/>
      <c r="P21" s="13"/>
      <c r="Q21" s="13"/>
      <c r="R21" s="13"/>
      <c r="S21" s="13"/>
      <c r="T21" s="13"/>
      <c r="AF21" s="12"/>
      <c r="AG21" s="12"/>
      <c r="AH21" s="14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  <c r="AX21" s="15"/>
      <c r="AY21" s="15"/>
      <c r="AZ21" s="15"/>
      <c r="BA21" s="15"/>
      <c r="BB21" s="15"/>
      <c r="BC21" s="15"/>
      <c r="BD21" s="15"/>
      <c r="BE21" s="15"/>
      <c r="BF21" s="15"/>
      <c r="BG21" s="15"/>
      <c r="BH21" s="15"/>
      <c r="BI21" s="15"/>
      <c r="BJ21" s="15"/>
      <c r="BK21" s="15"/>
      <c r="BL21" s="15"/>
      <c r="BM21" s="15"/>
      <c r="BN21" s="15"/>
      <c r="BO21" s="15"/>
      <c r="BP21" s="15"/>
      <c r="BQ21" s="15"/>
      <c r="BR21" s="15"/>
      <c r="BS21" s="15"/>
      <c r="BT21" s="15"/>
      <c r="BU21" s="15"/>
    </row>
    <row r="22" spans="2:73" ht="24" customHeight="1" x14ac:dyDescent="0.2">
      <c r="B22" s="64">
        <v>7</v>
      </c>
      <c r="C22" s="70" t="s">
        <v>33</v>
      </c>
      <c r="D22" s="19" t="e">
        <f>VLOOKUP($B22,#REF!,3,0)</f>
        <v>#REF!</v>
      </c>
      <c r="E22" s="19" t="e">
        <f>VLOOKUP($B22,#REF!,4,0)</f>
        <v>#REF!</v>
      </c>
      <c r="F22" s="19" t="e">
        <f>VLOOKUP($B22,#REF!,5,0)</f>
        <v>#REF!</v>
      </c>
      <c r="G22" s="19" t="e">
        <f>VLOOKUP($B22,#REF!,6,0)</f>
        <v>#REF!</v>
      </c>
      <c r="H22" s="19" t="e">
        <f>VLOOKUP($B22,#REF!,7,0)</f>
        <v>#REF!</v>
      </c>
      <c r="I22" s="19" t="e">
        <f>VLOOKUP($B22,#REF!,8,0)</f>
        <v>#REF!</v>
      </c>
      <c r="J22" s="72"/>
      <c r="K22" s="22" t="s">
        <v>12</v>
      </c>
      <c r="L22" s="35">
        <v>64</v>
      </c>
      <c r="M22" s="35">
        <v>65</v>
      </c>
      <c r="N22" s="35">
        <v>65</v>
      </c>
      <c r="O22" s="73"/>
      <c r="P22" s="13"/>
      <c r="Q22" s="13"/>
      <c r="R22" s="13"/>
      <c r="S22" s="13"/>
      <c r="T22" s="13"/>
      <c r="AF22" s="12"/>
      <c r="AG22" s="12"/>
      <c r="AH22" s="12"/>
    </row>
    <row r="23" spans="2:73" ht="24" customHeight="1" thickBot="1" x14ac:dyDescent="0.25">
      <c r="B23" s="65"/>
      <c r="C23" s="71"/>
      <c r="D23" s="20" t="e">
        <f>VLOOKUP($B23,#REF!,3,0)</f>
        <v>#REF!</v>
      </c>
      <c r="E23" s="20" t="e">
        <f>VLOOKUP($B23,#REF!,4,0)</f>
        <v>#REF!</v>
      </c>
      <c r="F23" s="20" t="e">
        <f>VLOOKUP($B23,#REF!,5,0)</f>
        <v>#REF!</v>
      </c>
      <c r="G23" s="20" t="e">
        <f>VLOOKUP($B23,#REF!,6,0)</f>
        <v>#REF!</v>
      </c>
      <c r="H23" s="20" t="e">
        <f>VLOOKUP($B23,#REF!,7,0)</f>
        <v>#REF!</v>
      </c>
      <c r="I23" s="20" t="e">
        <f>VLOOKUP($B23,#REF!,8,0)</f>
        <v>#REF!</v>
      </c>
      <c r="J23" s="69"/>
      <c r="K23" s="34" t="s">
        <v>13</v>
      </c>
      <c r="L23" s="36">
        <v>71</v>
      </c>
      <c r="M23" s="36">
        <v>73</v>
      </c>
      <c r="N23" s="36">
        <v>78</v>
      </c>
      <c r="O23" s="74"/>
      <c r="P23" s="13"/>
      <c r="Q23" s="13"/>
      <c r="R23" s="13"/>
      <c r="S23" s="13"/>
      <c r="T23" s="13"/>
      <c r="AF23" s="12"/>
      <c r="AG23" s="12"/>
      <c r="AH23" s="14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5"/>
      <c r="BB23" s="15"/>
      <c r="BC23" s="15"/>
      <c r="BD23" s="15"/>
      <c r="BE23" s="15"/>
      <c r="BF23" s="15"/>
      <c r="BG23" s="15"/>
      <c r="BH23" s="15"/>
      <c r="BI23" s="15"/>
      <c r="BJ23" s="15"/>
      <c r="BK23" s="15"/>
      <c r="BL23" s="15"/>
      <c r="BM23" s="15"/>
      <c r="BN23" s="15"/>
      <c r="BO23" s="15"/>
      <c r="BP23" s="15"/>
      <c r="BQ23" s="15"/>
      <c r="BR23" s="15"/>
      <c r="BS23" s="15"/>
      <c r="BT23" s="15"/>
      <c r="BU23" s="15"/>
    </row>
    <row r="24" spans="2:73" ht="24" customHeight="1" x14ac:dyDescent="0.2">
      <c r="B24" s="64">
        <v>8</v>
      </c>
      <c r="C24" s="70" t="s">
        <v>32</v>
      </c>
      <c r="D24" s="19" t="e">
        <f>VLOOKUP($B24,#REF!,3,0)</f>
        <v>#REF!</v>
      </c>
      <c r="E24" s="19" t="e">
        <f>VLOOKUP($B24,#REF!,4,0)</f>
        <v>#REF!</v>
      </c>
      <c r="F24" s="19" t="e">
        <f>VLOOKUP($B24,#REF!,5,0)</f>
        <v>#REF!</v>
      </c>
      <c r="G24" s="19" t="e">
        <f>VLOOKUP($B24,#REF!,6,0)</f>
        <v>#REF!</v>
      </c>
      <c r="H24" s="19" t="e">
        <f>VLOOKUP($B24,#REF!,7,0)</f>
        <v>#REF!</v>
      </c>
      <c r="I24" s="19" t="e">
        <f>VLOOKUP($B24,#REF!,8,0)</f>
        <v>#REF!</v>
      </c>
      <c r="J24" s="72"/>
      <c r="K24" s="22" t="s">
        <v>12</v>
      </c>
      <c r="L24" s="35">
        <v>57</v>
      </c>
      <c r="M24" s="35">
        <v>62</v>
      </c>
      <c r="N24" s="35">
        <v>57</v>
      </c>
      <c r="O24" s="73"/>
      <c r="P24" s="13"/>
      <c r="Q24" s="13"/>
      <c r="R24" s="13"/>
      <c r="S24" s="13"/>
      <c r="T24" s="13"/>
      <c r="AF24" s="9"/>
      <c r="AG24" s="9"/>
      <c r="AH24" s="9"/>
    </row>
    <row r="25" spans="2:73" ht="24" customHeight="1" thickBot="1" x14ac:dyDescent="0.25">
      <c r="B25" s="65"/>
      <c r="C25" s="71"/>
      <c r="D25" s="20" t="e">
        <f>VLOOKUP($B25,#REF!,3,0)</f>
        <v>#REF!</v>
      </c>
      <c r="E25" s="20" t="e">
        <f>VLOOKUP($B25,#REF!,4,0)</f>
        <v>#REF!</v>
      </c>
      <c r="F25" s="20" t="e">
        <f>VLOOKUP($B25,#REF!,5,0)</f>
        <v>#REF!</v>
      </c>
      <c r="G25" s="20" t="e">
        <f>VLOOKUP($B25,#REF!,6,0)</f>
        <v>#REF!</v>
      </c>
      <c r="H25" s="20" t="e">
        <f>VLOOKUP($B25,#REF!,7,0)</f>
        <v>#REF!</v>
      </c>
      <c r="I25" s="20" t="e">
        <f>VLOOKUP($B25,#REF!,8,0)</f>
        <v>#REF!</v>
      </c>
      <c r="J25" s="69"/>
      <c r="K25" s="34" t="s">
        <v>13</v>
      </c>
      <c r="L25" s="36">
        <v>71</v>
      </c>
      <c r="M25" s="36">
        <v>72</v>
      </c>
      <c r="N25" s="36">
        <v>61</v>
      </c>
      <c r="O25" s="74"/>
      <c r="P25" s="13"/>
      <c r="Q25" s="13"/>
      <c r="R25" s="13"/>
      <c r="S25" s="13"/>
      <c r="T25" s="13"/>
      <c r="AF25" s="12"/>
      <c r="AG25" s="12"/>
      <c r="AH25" s="14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AX25" s="15"/>
      <c r="AY25" s="15"/>
      <c r="AZ25" s="15"/>
      <c r="BA25" s="15"/>
      <c r="BB25" s="15"/>
      <c r="BC25" s="15"/>
      <c r="BD25" s="15"/>
      <c r="BE25" s="15"/>
      <c r="BF25" s="15"/>
      <c r="BG25" s="15"/>
      <c r="BH25" s="15"/>
      <c r="BI25" s="15"/>
      <c r="BJ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</row>
    <row r="26" spans="2:73" ht="24" customHeight="1" x14ac:dyDescent="0.2">
      <c r="B26" s="64">
        <v>9</v>
      </c>
      <c r="C26" s="70" t="s">
        <v>33</v>
      </c>
      <c r="D26" s="19" t="e">
        <f>VLOOKUP($B26,#REF!,3,0)</f>
        <v>#REF!</v>
      </c>
      <c r="E26" s="19" t="e">
        <f>VLOOKUP($B26,#REF!,4,0)</f>
        <v>#REF!</v>
      </c>
      <c r="F26" s="19" t="e">
        <f>VLOOKUP($B26,#REF!,5,0)</f>
        <v>#REF!</v>
      </c>
      <c r="G26" s="19" t="e">
        <f>VLOOKUP($B26,#REF!,6,0)</f>
        <v>#REF!</v>
      </c>
      <c r="H26" s="19" t="e">
        <f>VLOOKUP($B26,#REF!,7,0)</f>
        <v>#REF!</v>
      </c>
      <c r="I26" s="19" t="e">
        <f>VLOOKUP($B26,#REF!,8,0)</f>
        <v>#REF!</v>
      </c>
      <c r="J26" s="72">
        <v>1059</v>
      </c>
      <c r="K26" s="22" t="s">
        <v>12</v>
      </c>
      <c r="L26" s="35">
        <v>60</v>
      </c>
      <c r="M26" s="35">
        <v>62</v>
      </c>
      <c r="N26" s="35">
        <v>63</v>
      </c>
      <c r="O26" s="73"/>
      <c r="P26" s="13"/>
      <c r="Q26" s="13"/>
      <c r="R26" s="13"/>
      <c r="S26" s="13"/>
      <c r="T26" s="13"/>
      <c r="AF26" s="12"/>
      <c r="AG26" s="12"/>
      <c r="AH26" s="12"/>
    </row>
    <row r="27" spans="2:73" ht="24" customHeight="1" thickBot="1" x14ac:dyDescent="0.25">
      <c r="B27" s="65"/>
      <c r="C27" s="71"/>
      <c r="D27" s="20" t="e">
        <f>VLOOKUP($B27,#REF!,3,0)</f>
        <v>#REF!</v>
      </c>
      <c r="E27" s="20" t="e">
        <f>VLOOKUP($B27,#REF!,4,0)</f>
        <v>#REF!</v>
      </c>
      <c r="F27" s="20" t="e">
        <f>VLOOKUP($B27,#REF!,5,0)</f>
        <v>#REF!</v>
      </c>
      <c r="G27" s="20" t="e">
        <f>VLOOKUP($B27,#REF!,6,0)</f>
        <v>#REF!</v>
      </c>
      <c r="H27" s="20" t="e">
        <f>VLOOKUP($B27,#REF!,7,0)</f>
        <v>#REF!</v>
      </c>
      <c r="I27" s="20" t="e">
        <f>VLOOKUP($B27,#REF!,8,0)</f>
        <v>#REF!</v>
      </c>
      <c r="J27" s="69"/>
      <c r="K27" s="34" t="s">
        <v>13</v>
      </c>
      <c r="L27" s="36">
        <v>63</v>
      </c>
      <c r="M27" s="36">
        <v>66</v>
      </c>
      <c r="N27" s="36">
        <v>67</v>
      </c>
      <c r="O27" s="74"/>
      <c r="P27" s="13"/>
      <c r="Q27" s="13"/>
      <c r="R27" s="13"/>
      <c r="S27" s="13"/>
      <c r="T27" s="13"/>
      <c r="AF27" s="12"/>
      <c r="AG27" s="12"/>
      <c r="AH27" s="14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AX27" s="15"/>
      <c r="AY27" s="15"/>
      <c r="AZ27" s="15"/>
      <c r="BA27" s="15"/>
      <c r="BB27" s="15"/>
      <c r="BC27" s="15"/>
      <c r="BD27" s="15"/>
      <c r="BE27" s="15"/>
      <c r="BF27" s="15"/>
      <c r="BG27" s="15"/>
      <c r="BH27" s="15"/>
      <c r="BI27" s="15"/>
      <c r="BJ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</row>
    <row r="28" spans="2:73" ht="24" customHeight="1" x14ac:dyDescent="0.2">
      <c r="B28" s="75">
        <v>10</v>
      </c>
      <c r="C28" s="70" t="s">
        <v>32</v>
      </c>
      <c r="D28" s="19" t="e">
        <f>VLOOKUP($B28,#REF!,3,0)</f>
        <v>#REF!</v>
      </c>
      <c r="E28" s="19" t="e">
        <f>VLOOKUP($B28,#REF!,4,0)</f>
        <v>#REF!</v>
      </c>
      <c r="F28" s="19" t="e">
        <f>VLOOKUP($B28,#REF!,5,0)</f>
        <v>#REF!</v>
      </c>
      <c r="G28" s="19" t="e">
        <f>VLOOKUP($B28,#REF!,6,0)</f>
        <v>#REF!</v>
      </c>
      <c r="H28" s="19" t="e">
        <f>VLOOKUP($B28,#REF!,7,0)</f>
        <v>#REF!</v>
      </c>
      <c r="I28" s="19" t="e">
        <f>VLOOKUP($B28,#REF!,8,0)</f>
        <v>#REF!</v>
      </c>
      <c r="J28" s="72"/>
      <c r="K28" s="22" t="s">
        <v>12</v>
      </c>
      <c r="L28" s="35">
        <v>59</v>
      </c>
      <c r="M28" s="35">
        <v>60</v>
      </c>
      <c r="N28" s="35">
        <v>58</v>
      </c>
      <c r="O28" s="73"/>
      <c r="P28" s="13"/>
      <c r="Q28" s="13"/>
      <c r="R28" s="13"/>
      <c r="S28" s="13"/>
      <c r="T28" s="13"/>
    </row>
    <row r="29" spans="2:73" ht="24" customHeight="1" thickBot="1" x14ac:dyDescent="0.25">
      <c r="B29" s="65"/>
      <c r="C29" s="71"/>
      <c r="D29" s="20" t="e">
        <f>VLOOKUP($B29,#REF!,3,0)</f>
        <v>#REF!</v>
      </c>
      <c r="E29" s="20" t="e">
        <f>VLOOKUP($B29,#REF!,4,0)</f>
        <v>#REF!</v>
      </c>
      <c r="F29" s="20" t="e">
        <f>VLOOKUP($B29,#REF!,5,0)</f>
        <v>#REF!</v>
      </c>
      <c r="G29" s="20" t="e">
        <f>VLOOKUP($B29,#REF!,6,0)</f>
        <v>#REF!</v>
      </c>
      <c r="H29" s="20" t="e">
        <f>VLOOKUP($B29,#REF!,7,0)</f>
        <v>#REF!</v>
      </c>
      <c r="I29" s="20" t="e">
        <f>VLOOKUP($B29,#REF!,8,0)</f>
        <v>#REF!</v>
      </c>
      <c r="J29" s="69"/>
      <c r="K29" s="34" t="s">
        <v>13</v>
      </c>
      <c r="L29" s="36">
        <v>68</v>
      </c>
      <c r="M29" s="36">
        <v>72</v>
      </c>
      <c r="N29" s="36">
        <v>69</v>
      </c>
      <c r="O29" s="74"/>
      <c r="P29" s="13"/>
      <c r="Q29" s="13"/>
      <c r="R29" s="13"/>
      <c r="S29" s="13"/>
      <c r="T29" s="13"/>
      <c r="AF29" s="12"/>
      <c r="AG29" s="12"/>
      <c r="AH29" s="14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AX29" s="15"/>
      <c r="AY29" s="15"/>
      <c r="AZ29" s="15"/>
      <c r="BA29" s="15"/>
      <c r="BB29" s="15"/>
      <c r="BC29" s="15"/>
      <c r="BD29" s="15"/>
      <c r="BE29" s="15"/>
      <c r="BF29" s="15"/>
      <c r="BG29" s="15"/>
      <c r="BH29" s="15"/>
      <c r="BI29" s="15"/>
      <c r="BJ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</row>
    <row r="30" spans="2:73" ht="24" customHeight="1" x14ac:dyDescent="0.2">
      <c r="B30" s="75">
        <v>11</v>
      </c>
      <c r="C30" s="70" t="s">
        <v>33</v>
      </c>
      <c r="D30" s="19" t="e">
        <f>VLOOKUP($B30,#REF!,3,0)</f>
        <v>#REF!</v>
      </c>
      <c r="E30" s="19" t="e">
        <f>VLOOKUP($B30,#REF!,4,0)</f>
        <v>#REF!</v>
      </c>
      <c r="F30" s="19" t="e">
        <f>VLOOKUP($B30,#REF!,5,0)</f>
        <v>#REF!</v>
      </c>
      <c r="G30" s="19" t="e">
        <f>VLOOKUP($B30,#REF!,6,0)</f>
        <v>#REF!</v>
      </c>
      <c r="H30" s="19" t="e">
        <f>VLOOKUP($B30,#REF!,7,0)</f>
        <v>#REF!</v>
      </c>
      <c r="I30" s="19" t="e">
        <f>VLOOKUP($B30,#REF!,8,0)</f>
        <v>#REF!</v>
      </c>
      <c r="J30" s="72"/>
      <c r="K30" s="22" t="s">
        <v>12</v>
      </c>
      <c r="L30" s="44">
        <v>58</v>
      </c>
      <c r="M30" s="35">
        <v>68</v>
      </c>
      <c r="N30" s="35">
        <v>63</v>
      </c>
      <c r="O30" s="73"/>
      <c r="P30" s="13"/>
      <c r="Q30" s="13"/>
      <c r="R30" s="13"/>
      <c r="S30" s="13"/>
      <c r="T30" s="13"/>
    </row>
    <row r="31" spans="2:73" ht="24" customHeight="1" thickBot="1" x14ac:dyDescent="0.25">
      <c r="B31" s="65"/>
      <c r="C31" s="71"/>
      <c r="D31" s="20" t="e">
        <f>VLOOKUP($B31,#REF!,3,0)</f>
        <v>#REF!</v>
      </c>
      <c r="E31" s="20" t="e">
        <f>VLOOKUP($B31,#REF!,4,0)</f>
        <v>#REF!</v>
      </c>
      <c r="F31" s="20" t="e">
        <f>VLOOKUP($B31,#REF!,5,0)</f>
        <v>#REF!</v>
      </c>
      <c r="G31" s="20" t="e">
        <f>VLOOKUP($B31,#REF!,6,0)</f>
        <v>#REF!</v>
      </c>
      <c r="H31" s="20" t="e">
        <f>VLOOKUP($B31,#REF!,7,0)</f>
        <v>#REF!</v>
      </c>
      <c r="I31" s="20" t="e">
        <f>VLOOKUP($B31,#REF!,8,0)</f>
        <v>#REF!</v>
      </c>
      <c r="J31" s="69"/>
      <c r="K31" s="34" t="s">
        <v>13</v>
      </c>
      <c r="L31" s="36">
        <v>73</v>
      </c>
      <c r="M31" s="36">
        <v>74</v>
      </c>
      <c r="N31" s="36">
        <v>71</v>
      </c>
      <c r="O31" s="74"/>
      <c r="P31" s="13"/>
      <c r="Q31" s="13"/>
      <c r="R31" s="13"/>
      <c r="S31" s="13"/>
      <c r="T31" s="13"/>
      <c r="AF31" s="12"/>
      <c r="AG31" s="12"/>
      <c r="AH31" s="14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AX31" s="15"/>
      <c r="AY31" s="15"/>
      <c r="AZ31" s="15"/>
      <c r="BA31" s="15"/>
      <c r="BB31" s="15"/>
      <c r="BC31" s="15"/>
      <c r="BD31" s="15"/>
      <c r="BE31" s="15"/>
      <c r="BF31" s="15"/>
      <c r="BG31" s="15"/>
      <c r="BH31" s="15"/>
      <c r="BI31" s="15"/>
      <c r="BJ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</row>
    <row r="32" spans="2:73" ht="24" customHeight="1" x14ac:dyDescent="0.2">
      <c r="B32" s="75">
        <v>12</v>
      </c>
      <c r="C32" s="70" t="s">
        <v>32</v>
      </c>
      <c r="D32" s="19" t="e">
        <f>VLOOKUP($B32,#REF!,3,0)</f>
        <v>#REF!</v>
      </c>
      <c r="E32" s="19" t="e">
        <f>VLOOKUP($B32,#REF!,4,0)</f>
        <v>#REF!</v>
      </c>
      <c r="F32" s="19" t="e">
        <f>VLOOKUP($B32,#REF!,5,0)</f>
        <v>#REF!</v>
      </c>
      <c r="G32" s="19" t="e">
        <f>VLOOKUP($B32,#REF!,6,0)</f>
        <v>#REF!</v>
      </c>
      <c r="H32" s="19" t="e">
        <f>VLOOKUP($B32,#REF!,7,0)</f>
        <v>#REF!</v>
      </c>
      <c r="I32" s="19" t="e">
        <f>VLOOKUP($B32,#REF!,8,0)</f>
        <v>#REF!</v>
      </c>
      <c r="J32" s="72"/>
      <c r="K32" s="22" t="s">
        <v>12</v>
      </c>
      <c r="L32" s="35">
        <v>66</v>
      </c>
      <c r="M32" s="35">
        <v>62</v>
      </c>
      <c r="N32" s="35">
        <v>71</v>
      </c>
      <c r="O32" s="73"/>
      <c r="P32" s="13"/>
      <c r="Q32" s="13"/>
      <c r="R32" s="13"/>
      <c r="S32" s="13"/>
      <c r="T32" s="13"/>
    </row>
    <row r="33" spans="2:73" ht="24" customHeight="1" thickBot="1" x14ac:dyDescent="0.25">
      <c r="B33" s="65"/>
      <c r="C33" s="71"/>
      <c r="D33" s="20" t="e">
        <f>VLOOKUP($B33,#REF!,3,0)</f>
        <v>#REF!</v>
      </c>
      <c r="E33" s="20" t="e">
        <f>VLOOKUP($B33,#REF!,4,0)</f>
        <v>#REF!</v>
      </c>
      <c r="F33" s="20" t="e">
        <f>VLOOKUP($B33,#REF!,5,0)</f>
        <v>#REF!</v>
      </c>
      <c r="G33" s="20" t="e">
        <f>VLOOKUP($B33,#REF!,6,0)</f>
        <v>#REF!</v>
      </c>
      <c r="H33" s="20" t="e">
        <f>VLOOKUP($B33,#REF!,7,0)</f>
        <v>#REF!</v>
      </c>
      <c r="I33" s="20" t="e">
        <f>VLOOKUP($B33,#REF!,8,0)</f>
        <v>#REF!</v>
      </c>
      <c r="J33" s="69"/>
      <c r="K33" s="34" t="s">
        <v>13</v>
      </c>
      <c r="L33" s="36">
        <v>73</v>
      </c>
      <c r="M33" s="36">
        <v>77</v>
      </c>
      <c r="N33" s="36">
        <v>77</v>
      </c>
      <c r="O33" s="74"/>
      <c r="P33" s="13"/>
      <c r="Q33" s="13"/>
      <c r="R33" s="13"/>
      <c r="S33" s="13"/>
      <c r="T33" s="13"/>
      <c r="AF33" s="12"/>
      <c r="AG33" s="12"/>
      <c r="AH33" s="14"/>
      <c r="AI33" s="15"/>
      <c r="AJ33" s="15"/>
      <c r="AK33" s="15"/>
      <c r="AL33" s="15"/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AX33" s="15"/>
      <c r="AY33" s="15"/>
      <c r="AZ33" s="15"/>
      <c r="BA33" s="15"/>
      <c r="BB33" s="15"/>
      <c r="BC33" s="15"/>
      <c r="BD33" s="15"/>
      <c r="BE33" s="15"/>
      <c r="BF33" s="15"/>
      <c r="BG33" s="15"/>
      <c r="BH33" s="15"/>
      <c r="BI33" s="15"/>
      <c r="BJ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</row>
    <row r="34" spans="2:73" ht="24" customHeight="1" x14ac:dyDescent="0.2">
      <c r="B34" s="75">
        <v>13</v>
      </c>
      <c r="C34" s="70" t="s">
        <v>33</v>
      </c>
      <c r="D34" s="19" t="e">
        <f>VLOOKUP($B34,#REF!,3,0)</f>
        <v>#REF!</v>
      </c>
      <c r="E34" s="19" t="e">
        <f>VLOOKUP($B34,#REF!,4,0)</f>
        <v>#REF!</v>
      </c>
      <c r="F34" s="19" t="e">
        <f>VLOOKUP($B34,#REF!,5,0)</f>
        <v>#REF!</v>
      </c>
      <c r="G34" s="19" t="e">
        <f>VLOOKUP($B34,#REF!,6,0)</f>
        <v>#REF!</v>
      </c>
      <c r="H34" s="19" t="e">
        <f>VLOOKUP($B34,#REF!,7,0)</f>
        <v>#REF!</v>
      </c>
      <c r="I34" s="19" t="e">
        <f>VLOOKUP($B34,#REF!,8,0)</f>
        <v>#REF!</v>
      </c>
      <c r="J34" s="72"/>
      <c r="K34" s="22" t="s">
        <v>12</v>
      </c>
      <c r="L34" s="35">
        <v>54</v>
      </c>
      <c r="M34" s="35">
        <v>53</v>
      </c>
      <c r="N34" s="35">
        <v>58</v>
      </c>
      <c r="O34" s="73"/>
      <c r="P34" s="13"/>
      <c r="Q34" s="13"/>
      <c r="R34" s="13"/>
      <c r="S34" s="13"/>
      <c r="T34" s="13"/>
    </row>
    <row r="35" spans="2:73" ht="24" customHeight="1" thickBot="1" x14ac:dyDescent="0.25">
      <c r="B35" s="65"/>
      <c r="C35" s="71"/>
      <c r="D35" s="20" t="e">
        <f>VLOOKUP($B35,#REF!,3,0)</f>
        <v>#REF!</v>
      </c>
      <c r="E35" s="20" t="e">
        <f>VLOOKUP($B35,#REF!,4,0)</f>
        <v>#REF!</v>
      </c>
      <c r="F35" s="20" t="e">
        <f>VLOOKUP($B35,#REF!,5,0)</f>
        <v>#REF!</v>
      </c>
      <c r="G35" s="20" t="e">
        <f>VLOOKUP($B35,#REF!,6,0)</f>
        <v>#REF!</v>
      </c>
      <c r="H35" s="20" t="e">
        <f>VLOOKUP($B35,#REF!,7,0)</f>
        <v>#REF!</v>
      </c>
      <c r="I35" s="20" t="e">
        <f>VLOOKUP($B35,#REF!,8,0)</f>
        <v>#REF!</v>
      </c>
      <c r="J35" s="69"/>
      <c r="K35" s="34" t="s">
        <v>13</v>
      </c>
      <c r="L35" s="36">
        <v>64</v>
      </c>
      <c r="M35" s="36">
        <v>66</v>
      </c>
      <c r="N35" s="36">
        <v>63</v>
      </c>
      <c r="O35" s="74"/>
      <c r="P35" s="13"/>
      <c r="Q35" s="13"/>
      <c r="R35" s="13"/>
      <c r="S35" s="13"/>
      <c r="T35" s="13"/>
      <c r="AF35" s="12"/>
      <c r="AG35" s="12"/>
      <c r="AH35" s="14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5"/>
      <c r="AX35" s="15"/>
      <c r="AY35" s="15"/>
      <c r="AZ35" s="15"/>
      <c r="BA35" s="15"/>
      <c r="BB35" s="15"/>
      <c r="BC35" s="15"/>
      <c r="BD35" s="15"/>
      <c r="BE35" s="15"/>
      <c r="BF35" s="15"/>
      <c r="BG35" s="15"/>
      <c r="BH35" s="15"/>
      <c r="BI35" s="15"/>
      <c r="BJ35" s="15"/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</row>
    <row r="36" spans="2:73" ht="24" customHeight="1" x14ac:dyDescent="0.2">
      <c r="B36" s="75">
        <v>14</v>
      </c>
      <c r="C36" s="70" t="s">
        <v>32</v>
      </c>
      <c r="D36" s="19" t="e">
        <f>VLOOKUP($B36,#REF!,3,0)</f>
        <v>#REF!</v>
      </c>
      <c r="E36" s="19" t="e">
        <f>VLOOKUP($B36,#REF!,4,0)</f>
        <v>#REF!</v>
      </c>
      <c r="F36" s="19" t="e">
        <f>VLOOKUP($B36,#REF!,5,0)</f>
        <v>#REF!</v>
      </c>
      <c r="G36" s="19" t="e">
        <f>VLOOKUP($B36,#REF!,6,0)</f>
        <v>#REF!</v>
      </c>
      <c r="H36" s="19" t="e">
        <f>VLOOKUP($B36,#REF!,7,0)</f>
        <v>#REF!</v>
      </c>
      <c r="I36" s="19" t="e">
        <f>VLOOKUP($B36,#REF!,8,0)</f>
        <v>#REF!</v>
      </c>
      <c r="J36" s="72"/>
      <c r="K36" s="22" t="s">
        <v>12</v>
      </c>
      <c r="L36" s="35">
        <v>61</v>
      </c>
      <c r="M36" s="35">
        <v>56</v>
      </c>
      <c r="N36" s="35">
        <v>58</v>
      </c>
      <c r="O36" s="73"/>
      <c r="P36" s="13"/>
      <c r="Q36" s="13"/>
      <c r="R36" s="13"/>
      <c r="S36" s="13"/>
      <c r="T36" s="13"/>
    </row>
    <row r="37" spans="2:73" ht="24" customHeight="1" thickBot="1" x14ac:dyDescent="0.25">
      <c r="B37" s="65"/>
      <c r="C37" s="71"/>
      <c r="D37" s="20" t="e">
        <f>VLOOKUP($B37,#REF!,3,0)</f>
        <v>#REF!</v>
      </c>
      <c r="E37" s="20" t="e">
        <f>VLOOKUP($B37,#REF!,4,0)</f>
        <v>#REF!</v>
      </c>
      <c r="F37" s="20" t="e">
        <f>VLOOKUP($B37,#REF!,5,0)</f>
        <v>#REF!</v>
      </c>
      <c r="G37" s="20" t="e">
        <f>VLOOKUP($B37,#REF!,6,0)</f>
        <v>#REF!</v>
      </c>
      <c r="H37" s="20" t="e">
        <f>VLOOKUP($B37,#REF!,7,0)</f>
        <v>#REF!</v>
      </c>
      <c r="I37" s="20" t="e">
        <f>VLOOKUP($B37,#REF!,8,0)</f>
        <v>#REF!</v>
      </c>
      <c r="J37" s="69"/>
      <c r="K37" s="34" t="s">
        <v>13</v>
      </c>
      <c r="L37" s="36">
        <v>74</v>
      </c>
      <c r="M37" s="36">
        <v>74</v>
      </c>
      <c r="N37" s="36">
        <v>74</v>
      </c>
      <c r="O37" s="74"/>
      <c r="P37" s="13"/>
      <c r="Q37" s="13"/>
      <c r="R37" s="13"/>
      <c r="S37" s="13"/>
      <c r="T37" s="13"/>
      <c r="AF37" s="12"/>
      <c r="AG37" s="12"/>
      <c r="AH37" s="14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/>
      <c r="AU37" s="15"/>
      <c r="AV37" s="15"/>
      <c r="AW37" s="15"/>
      <c r="AX37" s="15"/>
      <c r="AY37" s="15"/>
      <c r="AZ37" s="15"/>
      <c r="BA37" s="15"/>
      <c r="BB37" s="15"/>
      <c r="BC37" s="15"/>
      <c r="BD37" s="15"/>
      <c r="BE37" s="15"/>
      <c r="BF37" s="15"/>
      <c r="BG37" s="15"/>
      <c r="BH37" s="15"/>
      <c r="BI37" s="15"/>
      <c r="BJ37" s="15"/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</row>
    <row r="38" spans="2:73" ht="24" customHeight="1" x14ac:dyDescent="0.2">
      <c r="B38" s="75">
        <v>15</v>
      </c>
      <c r="C38" s="70" t="s">
        <v>33</v>
      </c>
      <c r="D38" s="19" t="e">
        <f>VLOOKUP($B38,#REF!,3,0)</f>
        <v>#REF!</v>
      </c>
      <c r="E38" s="19" t="e">
        <f>VLOOKUP($B38,#REF!,4,0)</f>
        <v>#REF!</v>
      </c>
      <c r="F38" s="19" t="e">
        <f>VLOOKUP($B38,#REF!,5,0)</f>
        <v>#REF!</v>
      </c>
      <c r="G38" s="19" t="e">
        <f>VLOOKUP($B38,#REF!,6,0)</f>
        <v>#REF!</v>
      </c>
      <c r="H38" s="19" t="e">
        <f>VLOOKUP($B38,#REF!,7,0)</f>
        <v>#REF!</v>
      </c>
      <c r="I38" s="19" t="e">
        <f>VLOOKUP($B38,#REF!,8,0)</f>
        <v>#REF!</v>
      </c>
      <c r="J38" s="72"/>
      <c r="K38" s="22" t="s">
        <v>12</v>
      </c>
      <c r="L38" s="44">
        <v>60</v>
      </c>
      <c r="M38" s="35">
        <v>53</v>
      </c>
      <c r="N38" s="35">
        <v>54</v>
      </c>
      <c r="O38" s="73"/>
      <c r="P38" s="13"/>
      <c r="Q38" s="13"/>
      <c r="R38" s="13"/>
      <c r="S38" s="13"/>
      <c r="T38" s="13"/>
    </row>
    <row r="39" spans="2:73" ht="24" customHeight="1" thickBot="1" x14ac:dyDescent="0.25">
      <c r="B39" s="65"/>
      <c r="C39" s="71"/>
      <c r="D39" s="20" t="e">
        <f>VLOOKUP($B39,#REF!,3,0)</f>
        <v>#REF!</v>
      </c>
      <c r="E39" s="20" t="e">
        <f>VLOOKUP($B39,#REF!,4,0)</f>
        <v>#REF!</v>
      </c>
      <c r="F39" s="20" t="e">
        <f>VLOOKUP($B39,#REF!,5,0)</f>
        <v>#REF!</v>
      </c>
      <c r="G39" s="20" t="e">
        <f>VLOOKUP($B39,#REF!,6,0)</f>
        <v>#REF!</v>
      </c>
      <c r="H39" s="20" t="e">
        <f>VLOOKUP($B39,#REF!,7,0)</f>
        <v>#REF!</v>
      </c>
      <c r="I39" s="20" t="e">
        <f>VLOOKUP($B39,#REF!,8,0)</f>
        <v>#REF!</v>
      </c>
      <c r="J39" s="69"/>
      <c r="K39" s="34" t="s">
        <v>13</v>
      </c>
      <c r="L39" s="36">
        <v>63</v>
      </c>
      <c r="M39" s="36">
        <v>61</v>
      </c>
      <c r="N39" s="36">
        <v>69</v>
      </c>
      <c r="O39" s="74"/>
      <c r="P39" s="13"/>
      <c r="Q39" s="13"/>
      <c r="R39" s="13"/>
      <c r="S39" s="13"/>
      <c r="T39" s="13"/>
      <c r="AF39" s="12"/>
      <c r="AG39" s="12"/>
      <c r="AH39" s="14"/>
      <c r="AI39" s="15"/>
      <c r="AJ39" s="15"/>
      <c r="AK39" s="15"/>
      <c r="AL39" s="15"/>
      <c r="AM39" s="15"/>
      <c r="AN39" s="15"/>
      <c r="AO39" s="15"/>
      <c r="AP39" s="15"/>
      <c r="AQ39" s="15"/>
      <c r="AR39" s="15"/>
      <c r="AS39" s="15"/>
      <c r="AT39" s="15"/>
      <c r="AU39" s="15"/>
      <c r="AV39" s="15"/>
      <c r="AW39" s="15"/>
      <c r="AX39" s="15"/>
      <c r="AY39" s="15"/>
      <c r="AZ39" s="15"/>
      <c r="BA39" s="15"/>
      <c r="BB39" s="15"/>
      <c r="BC39" s="15"/>
      <c r="BD39" s="15"/>
      <c r="BE39" s="15"/>
      <c r="BF39" s="15"/>
      <c r="BG39" s="15"/>
      <c r="BH39" s="15"/>
      <c r="BI39" s="15"/>
      <c r="BJ39" s="15"/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</row>
    <row r="40" spans="2:73" ht="24" customHeight="1" x14ac:dyDescent="0.2">
      <c r="B40" s="75">
        <v>16</v>
      </c>
      <c r="C40" s="66" t="s">
        <v>34</v>
      </c>
      <c r="D40" s="19" t="e">
        <f>VLOOKUP($B40,#REF!,3,0)</f>
        <v>#REF!</v>
      </c>
      <c r="E40" s="19" t="e">
        <f>VLOOKUP($B40,#REF!,4,0)</f>
        <v>#REF!</v>
      </c>
      <c r="F40" s="19" t="e">
        <f>VLOOKUP($B40,#REF!,5,0)</f>
        <v>#REF!</v>
      </c>
      <c r="G40" s="19" t="e">
        <f>VLOOKUP($B40,#REF!,6,0)</f>
        <v>#REF!</v>
      </c>
      <c r="H40" s="19" t="e">
        <f>VLOOKUP($B40,#REF!,7,0)</f>
        <v>#REF!</v>
      </c>
      <c r="I40" s="19" t="e">
        <f>VLOOKUP($B40,#REF!,8,0)</f>
        <v>#REF!</v>
      </c>
      <c r="J40" s="72">
        <v>1134</v>
      </c>
      <c r="K40" s="22" t="s">
        <v>12</v>
      </c>
      <c r="L40" s="44">
        <v>54</v>
      </c>
      <c r="M40" s="44">
        <v>66</v>
      </c>
      <c r="N40" s="35">
        <v>59</v>
      </c>
      <c r="O40" s="73"/>
      <c r="P40" s="13"/>
      <c r="Q40" s="13"/>
      <c r="R40" s="13"/>
      <c r="S40" s="13"/>
      <c r="T40" s="13"/>
    </row>
    <row r="41" spans="2:73" ht="24" customHeight="1" thickBot="1" x14ac:dyDescent="0.25">
      <c r="B41" s="65"/>
      <c r="C41" s="67"/>
      <c r="D41" s="20" t="e">
        <f>VLOOKUP($B41,#REF!,3,0)</f>
        <v>#REF!</v>
      </c>
      <c r="E41" s="20" t="e">
        <f>VLOOKUP($B41,#REF!,4,0)</f>
        <v>#REF!</v>
      </c>
      <c r="F41" s="20" t="e">
        <f>VLOOKUP($B41,#REF!,5,0)</f>
        <v>#REF!</v>
      </c>
      <c r="G41" s="20" t="e">
        <f>VLOOKUP($B41,#REF!,6,0)</f>
        <v>#REF!</v>
      </c>
      <c r="H41" s="20" t="e">
        <f>VLOOKUP($B41,#REF!,7,0)</f>
        <v>#REF!</v>
      </c>
      <c r="I41" s="20" t="e">
        <f>VLOOKUP($B41,#REF!,8,0)</f>
        <v>#REF!</v>
      </c>
      <c r="J41" s="69"/>
      <c r="K41" s="34" t="s">
        <v>13</v>
      </c>
      <c r="L41" s="36">
        <v>70</v>
      </c>
      <c r="M41" s="36">
        <v>74</v>
      </c>
      <c r="N41" s="36">
        <v>64</v>
      </c>
      <c r="O41" s="74"/>
      <c r="P41" s="13"/>
      <c r="Q41" s="13"/>
      <c r="R41" s="13"/>
      <c r="S41" s="13"/>
      <c r="T41" s="13"/>
      <c r="AF41" s="12"/>
      <c r="AG41" s="12"/>
      <c r="AH41" s="14"/>
      <c r="AI41" s="15"/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/>
      <c r="AU41" s="15"/>
      <c r="AV41" s="15"/>
      <c r="AW41" s="15"/>
      <c r="AX41" s="15"/>
      <c r="AY41" s="15"/>
      <c r="AZ41" s="15"/>
      <c r="BA41" s="15"/>
      <c r="BB41" s="15"/>
      <c r="BC41" s="15"/>
      <c r="BD41" s="15"/>
      <c r="BE41" s="15"/>
      <c r="BF41" s="15"/>
      <c r="BG41" s="15"/>
      <c r="BH41" s="15"/>
      <c r="BI41" s="15"/>
      <c r="BJ41" s="15"/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</row>
  </sheetData>
  <mergeCells count="66">
    <mergeCell ref="B40:B41"/>
    <mergeCell ref="C40:C41"/>
    <mergeCell ref="J40:J41"/>
    <mergeCell ref="O40:O41"/>
    <mergeCell ref="B36:B37"/>
    <mergeCell ref="C36:C37"/>
    <mergeCell ref="J36:J37"/>
    <mergeCell ref="O36:O37"/>
    <mergeCell ref="B38:B39"/>
    <mergeCell ref="C38:C39"/>
    <mergeCell ref="B30:B31"/>
    <mergeCell ref="C30:C31"/>
    <mergeCell ref="J30:J31"/>
    <mergeCell ref="O30:O31"/>
    <mergeCell ref="J38:J39"/>
    <mergeCell ref="O38:O39"/>
    <mergeCell ref="B32:B33"/>
    <mergeCell ref="C32:C33"/>
    <mergeCell ref="J32:J33"/>
    <mergeCell ref="O32:O33"/>
    <mergeCell ref="B34:B35"/>
    <mergeCell ref="C34:C35"/>
    <mergeCell ref="J34:J35"/>
    <mergeCell ref="O34:O35"/>
    <mergeCell ref="B26:B27"/>
    <mergeCell ref="C26:C27"/>
    <mergeCell ref="J26:J27"/>
    <mergeCell ref="O26:O27"/>
    <mergeCell ref="B28:B29"/>
    <mergeCell ref="C28:C29"/>
    <mergeCell ref="J28:J29"/>
    <mergeCell ref="O28:O29"/>
    <mergeCell ref="B22:B23"/>
    <mergeCell ref="C22:C23"/>
    <mergeCell ref="J22:J23"/>
    <mergeCell ref="O22:O23"/>
    <mergeCell ref="B24:B25"/>
    <mergeCell ref="C24:C25"/>
    <mergeCell ref="J24:J25"/>
    <mergeCell ref="O24:O25"/>
    <mergeCell ref="B18:B19"/>
    <mergeCell ref="C18:C19"/>
    <mergeCell ref="J18:J19"/>
    <mergeCell ref="O18:O19"/>
    <mergeCell ref="B20:B21"/>
    <mergeCell ref="C20:C21"/>
    <mergeCell ref="J20:J21"/>
    <mergeCell ref="O20:O21"/>
    <mergeCell ref="O14:O15"/>
    <mergeCell ref="B16:B17"/>
    <mergeCell ref="C16:C17"/>
    <mergeCell ref="J16:J17"/>
    <mergeCell ref="O16:O17"/>
    <mergeCell ref="B12:B13"/>
    <mergeCell ref="C12:C13"/>
    <mergeCell ref="J12:J13"/>
    <mergeCell ref="B14:B15"/>
    <mergeCell ref="C14:C15"/>
    <mergeCell ref="J14:J15"/>
    <mergeCell ref="AF5:AH5"/>
    <mergeCell ref="L6:N6"/>
    <mergeCell ref="O7:O8"/>
    <mergeCell ref="B8:K8"/>
    <mergeCell ref="B10:B11"/>
    <mergeCell ref="C10:C11"/>
    <mergeCell ref="J10:J11"/>
  </mergeCells>
  <pageMargins left="0.45" right="0" top="0.49" bottom="0" header="0.64" footer="0"/>
  <pageSetup paperSize="512" scale="74" orientation="portrait" r:id="rId1"/>
  <headerFooter alignWithMargins="0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E3CCB-BB3F-4709-A413-C5156F37A188}">
  <sheetPr>
    <pageSetUpPr fitToPage="1"/>
  </sheetPr>
  <dimension ref="A1:BU41"/>
  <sheetViews>
    <sheetView zoomScale="97" zoomScaleNormal="97" workbookViewId="0">
      <selection activeCell="M51" sqref="M51"/>
    </sheetView>
  </sheetViews>
  <sheetFormatPr defaultRowHeight="12.75" x14ac:dyDescent="0.2"/>
  <cols>
    <col min="1" max="1" width="5.42578125" customWidth="1"/>
    <col min="2" max="2" width="6.28515625" customWidth="1"/>
    <col min="3" max="3" width="12.7109375" customWidth="1"/>
    <col min="4" max="8" width="5.28515625" hidden="1" customWidth="1"/>
    <col min="9" max="9" width="7" hidden="1" customWidth="1"/>
    <col min="10" max="10" width="8.42578125" customWidth="1"/>
    <col min="11" max="14" width="12.7109375" customWidth="1"/>
    <col min="15" max="15" width="48.7109375" customWidth="1"/>
    <col min="22" max="22" width="7.5703125" customWidth="1"/>
    <col min="23" max="32" width="7.7109375" customWidth="1"/>
  </cols>
  <sheetData>
    <row r="1" spans="1:73" ht="15" customHeight="1" x14ac:dyDescent="0.25">
      <c r="A1" s="1" t="s">
        <v>40</v>
      </c>
    </row>
    <row r="2" spans="1:73" ht="20.25" customHeight="1" thickBot="1" x14ac:dyDescent="0.3">
      <c r="A2" s="1"/>
      <c r="M2" s="15" t="s">
        <v>0</v>
      </c>
      <c r="N2" s="23">
        <v>40000</v>
      </c>
      <c r="O2" s="29"/>
    </row>
    <row r="3" spans="1:73" ht="20.25" customHeight="1" thickBot="1" x14ac:dyDescent="0.25">
      <c r="A3" t="s">
        <v>1</v>
      </c>
      <c r="C3" s="38" t="s">
        <v>43</v>
      </c>
      <c r="D3" s="3"/>
      <c r="E3" s="3"/>
      <c r="F3" s="3"/>
      <c r="G3" s="3"/>
      <c r="H3" s="3"/>
      <c r="I3" s="3"/>
      <c r="J3" s="3"/>
      <c r="K3" s="3"/>
      <c r="L3" s="3"/>
      <c r="M3" s="15" t="s">
        <v>23</v>
      </c>
      <c r="N3" s="2">
        <v>187</v>
      </c>
      <c r="O3" s="30"/>
    </row>
    <row r="4" spans="1:73" ht="20.25" customHeight="1" thickBot="1" x14ac:dyDescent="0.25">
      <c r="B4" s="3" t="s">
        <v>44</v>
      </c>
      <c r="C4" s="38"/>
      <c r="D4" s="4"/>
      <c r="E4" s="4"/>
      <c r="F4" s="4"/>
      <c r="G4" s="4"/>
      <c r="H4" s="4"/>
      <c r="I4" s="4"/>
      <c r="J4" s="4"/>
      <c r="K4" s="4"/>
      <c r="L4" s="4"/>
      <c r="M4" s="15" t="s">
        <v>2</v>
      </c>
      <c r="N4" s="2" t="s">
        <v>26</v>
      </c>
      <c r="O4" s="30"/>
    </row>
    <row r="5" spans="1:73" ht="18" x14ac:dyDescent="0.2">
      <c r="B5" t="s">
        <v>46</v>
      </c>
      <c r="AE5" s="5"/>
      <c r="AF5" s="55"/>
      <c r="AG5" s="55"/>
      <c r="AH5" s="55"/>
    </row>
    <row r="6" spans="1:73" ht="18" x14ac:dyDescent="0.25">
      <c r="L6" s="56"/>
      <c r="M6" s="57"/>
      <c r="N6" s="58"/>
      <c r="O6" s="31"/>
      <c r="AE6" s="5"/>
      <c r="AF6" s="24"/>
      <c r="AG6" s="24"/>
      <c r="AH6" s="24"/>
    </row>
    <row r="7" spans="1:73" ht="25.5" customHeight="1" x14ac:dyDescent="0.2">
      <c r="B7" s="6" t="s">
        <v>27</v>
      </c>
      <c r="C7" s="7"/>
      <c r="D7" s="7" t="s">
        <v>4</v>
      </c>
      <c r="E7" s="6" t="s">
        <v>5</v>
      </c>
      <c r="F7" s="7" t="s">
        <v>6</v>
      </c>
      <c r="G7" s="6" t="s">
        <v>7</v>
      </c>
      <c r="H7" s="6" t="s">
        <v>8</v>
      </c>
      <c r="I7" s="6" t="s">
        <v>9</v>
      </c>
      <c r="J7" s="6" t="s">
        <v>11</v>
      </c>
      <c r="K7" s="8" t="s">
        <v>24</v>
      </c>
      <c r="L7" s="22" t="s">
        <v>37</v>
      </c>
      <c r="M7" s="22" t="s">
        <v>38</v>
      </c>
      <c r="N7" s="22" t="s">
        <v>39</v>
      </c>
      <c r="O7" s="59" t="s">
        <v>25</v>
      </c>
      <c r="AE7" s="10"/>
      <c r="AF7" s="9"/>
      <c r="AG7" s="9"/>
      <c r="AH7" s="11"/>
    </row>
    <row r="8" spans="1:73" ht="15.95" customHeight="1" thickBot="1" x14ac:dyDescent="0.25">
      <c r="B8" s="61"/>
      <c r="C8" s="62"/>
      <c r="D8" s="62"/>
      <c r="E8" s="62"/>
      <c r="F8" s="62"/>
      <c r="G8" s="62"/>
      <c r="H8" s="62"/>
      <c r="I8" s="62"/>
      <c r="J8" s="62"/>
      <c r="K8" s="63"/>
      <c r="L8" s="39" t="s">
        <v>29</v>
      </c>
      <c r="M8" s="39"/>
      <c r="N8" s="39"/>
      <c r="O8" s="60"/>
      <c r="AF8" s="12"/>
      <c r="AG8" s="12"/>
      <c r="AH8" s="12"/>
    </row>
    <row r="9" spans="1:73" ht="15.95" hidden="1" customHeight="1" x14ac:dyDescent="0.2">
      <c r="B9" s="25" t="s">
        <v>3</v>
      </c>
      <c r="C9" s="26" t="s">
        <v>10</v>
      </c>
      <c r="D9" s="26" t="s">
        <v>14</v>
      </c>
      <c r="E9" s="25" t="s">
        <v>15</v>
      </c>
      <c r="F9" s="26" t="s">
        <v>16</v>
      </c>
      <c r="G9" s="25" t="s">
        <v>17</v>
      </c>
      <c r="H9" s="25" t="s">
        <v>8</v>
      </c>
      <c r="I9" s="25" t="s">
        <v>18</v>
      </c>
      <c r="J9" s="27" t="s">
        <v>11</v>
      </c>
      <c r="K9" s="27" t="s">
        <v>19</v>
      </c>
      <c r="L9" s="28" t="s">
        <v>20</v>
      </c>
      <c r="M9" s="28" t="s">
        <v>21</v>
      </c>
      <c r="N9" s="28" t="s">
        <v>22</v>
      </c>
      <c r="O9" s="32"/>
      <c r="AF9" s="12"/>
      <c r="AG9" s="12"/>
      <c r="AH9" s="12"/>
    </row>
    <row r="10" spans="1:73" ht="24" customHeight="1" x14ac:dyDescent="0.2">
      <c r="B10" s="64">
        <v>1</v>
      </c>
      <c r="C10" s="66" t="s">
        <v>31</v>
      </c>
      <c r="D10" s="19" t="e">
        <f>VLOOKUP($B10,#REF!,3,0)</f>
        <v>#REF!</v>
      </c>
      <c r="E10" s="19" t="e">
        <f>VLOOKUP($B10,#REF!,4,0)</f>
        <v>#REF!</v>
      </c>
      <c r="F10" s="19" t="e">
        <f>VLOOKUP($B10,#REF!,5,0)</f>
        <v>#REF!</v>
      </c>
      <c r="G10" s="19" t="e">
        <f>VLOOKUP($B10,#REF!,6,0)</f>
        <v>#REF!</v>
      </c>
      <c r="H10" s="19" t="e">
        <f>VLOOKUP($B10,#REF!,7,0)</f>
        <v>#REF!</v>
      </c>
      <c r="I10" s="19" t="e">
        <f>VLOOKUP($B10,#REF!,8,0)</f>
        <v>#REF!</v>
      </c>
      <c r="J10" s="68">
        <v>920</v>
      </c>
      <c r="K10" s="22" t="s">
        <v>12</v>
      </c>
      <c r="L10" s="35">
        <v>69</v>
      </c>
      <c r="M10" s="35">
        <v>90</v>
      </c>
      <c r="N10" s="44">
        <v>89</v>
      </c>
      <c r="O10" s="40"/>
      <c r="P10" s="13"/>
      <c r="Q10" s="13"/>
      <c r="R10" s="13"/>
      <c r="S10" s="13"/>
      <c r="T10" s="13"/>
      <c r="AF10" s="12"/>
      <c r="AG10" s="12"/>
      <c r="AH10" s="14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  <c r="AX10" s="15"/>
      <c r="AY10" s="15"/>
      <c r="AZ10" s="15"/>
      <c r="BA10" s="15"/>
      <c r="BB10" s="15"/>
      <c r="BC10" s="15"/>
      <c r="BD10" s="15"/>
      <c r="BE10" s="15"/>
      <c r="BF10" s="15"/>
      <c r="BG10" s="15"/>
      <c r="BH10" s="15"/>
      <c r="BI10" s="15"/>
      <c r="BJ10" s="15"/>
      <c r="BK10" s="15"/>
      <c r="BL10" s="15"/>
      <c r="BM10" s="15"/>
      <c r="BN10" s="15"/>
      <c r="BO10" s="15"/>
      <c r="BP10" s="15"/>
      <c r="BQ10" s="15"/>
      <c r="BR10" s="15"/>
      <c r="BS10" s="15"/>
      <c r="BT10" s="15"/>
      <c r="BU10" s="15"/>
    </row>
    <row r="11" spans="1:73" ht="24" customHeight="1" thickBot="1" x14ac:dyDescent="0.25">
      <c r="B11" s="65"/>
      <c r="C11" s="67"/>
      <c r="D11" s="20" t="e">
        <f>VLOOKUP($B11,#REF!,3,0)</f>
        <v>#REF!</v>
      </c>
      <c r="E11" s="20" t="e">
        <f>VLOOKUP($B11,#REF!,4,0)</f>
        <v>#REF!</v>
      </c>
      <c r="F11" s="20" t="e">
        <f>VLOOKUP($B11,#REF!,5,0)</f>
        <v>#REF!</v>
      </c>
      <c r="G11" s="20" t="e">
        <f>VLOOKUP($B11,#REF!,6,0)</f>
        <v>#REF!</v>
      </c>
      <c r="H11" s="20" t="e">
        <f>VLOOKUP($B11,#REF!,7,0)</f>
        <v>#REF!</v>
      </c>
      <c r="I11" s="20" t="e">
        <f>VLOOKUP($B11,#REF!,8,0)</f>
        <v>#REF!</v>
      </c>
      <c r="J11" s="69"/>
      <c r="K11" s="34" t="s">
        <v>13</v>
      </c>
      <c r="L11" s="36">
        <v>87</v>
      </c>
      <c r="M11" s="36">
        <v>94</v>
      </c>
      <c r="N11" s="36">
        <v>103</v>
      </c>
      <c r="O11" s="41"/>
      <c r="P11" s="13"/>
      <c r="Q11" s="13"/>
      <c r="R11" s="13"/>
      <c r="S11" s="13"/>
      <c r="T11" s="13"/>
      <c r="AF11" s="12"/>
      <c r="AG11" s="12"/>
      <c r="AH11" s="14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  <c r="BC11" s="15"/>
      <c r="BD11" s="15"/>
      <c r="BE11" s="15"/>
      <c r="BF11" s="15"/>
      <c r="BG11" s="15"/>
      <c r="BH11" s="15"/>
      <c r="BI11" s="15"/>
      <c r="BJ11" s="15"/>
      <c r="BK11" s="15"/>
      <c r="BL11" s="15"/>
      <c r="BM11" s="15"/>
      <c r="BN11" s="15"/>
      <c r="BO11" s="15"/>
      <c r="BP11" s="15"/>
      <c r="BQ11" s="15"/>
      <c r="BR11" s="15"/>
      <c r="BS11" s="15"/>
      <c r="BT11" s="15"/>
      <c r="BU11" s="15"/>
    </row>
    <row r="12" spans="1:73" ht="24" customHeight="1" x14ac:dyDescent="0.2">
      <c r="B12" s="64">
        <v>2</v>
      </c>
      <c r="C12" s="70" t="s">
        <v>32</v>
      </c>
      <c r="D12" s="21" t="e">
        <f>VLOOKUP($B12,#REF!,3,0)</f>
        <v>#REF!</v>
      </c>
      <c r="E12" s="21" t="e">
        <f>VLOOKUP($B12,#REF!,4,0)</f>
        <v>#REF!</v>
      </c>
      <c r="F12" s="21" t="e">
        <f>VLOOKUP($B12,#REF!,5,0)</f>
        <v>#REF!</v>
      </c>
      <c r="G12" s="21" t="e">
        <f>VLOOKUP($B12,#REF!,6,0)</f>
        <v>#REF!</v>
      </c>
      <c r="H12" s="21" t="e">
        <f>VLOOKUP($B12,#REF!,7,0)</f>
        <v>#REF!</v>
      </c>
      <c r="I12" s="21" t="e">
        <f>VLOOKUP($B12,#REF!,8,0)</f>
        <v>#REF!</v>
      </c>
      <c r="J12" s="72"/>
      <c r="K12" s="33" t="s">
        <v>12</v>
      </c>
      <c r="L12" s="35">
        <v>83</v>
      </c>
      <c r="M12" s="35">
        <v>97</v>
      </c>
      <c r="N12" s="35">
        <v>89</v>
      </c>
      <c r="O12" s="42"/>
      <c r="P12" s="13"/>
      <c r="Q12" s="16"/>
      <c r="R12" s="13"/>
      <c r="S12" s="17"/>
      <c r="T12" s="13"/>
      <c r="AF12" s="12"/>
      <c r="AG12" s="12"/>
      <c r="AH12" s="12"/>
      <c r="AI12" s="18"/>
      <c r="AJ12" s="1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8"/>
      <c r="BI12" s="18"/>
      <c r="BJ12" s="18"/>
      <c r="BK12" s="18"/>
      <c r="BL12" s="18"/>
      <c r="BM12" s="18"/>
      <c r="BN12" s="18"/>
      <c r="BO12" s="18"/>
      <c r="BP12" s="18"/>
      <c r="BQ12" s="18"/>
      <c r="BR12" s="18"/>
      <c r="BS12" s="18"/>
      <c r="BT12" s="18"/>
      <c r="BU12" s="18"/>
    </row>
    <row r="13" spans="1:73" ht="24" customHeight="1" thickBot="1" x14ac:dyDescent="0.25">
      <c r="B13" s="65"/>
      <c r="C13" s="71"/>
      <c r="D13" s="20" t="e">
        <f>VLOOKUP($B13,#REF!,3,0)</f>
        <v>#REF!</v>
      </c>
      <c r="E13" s="20" t="e">
        <f>VLOOKUP($B13,#REF!,4,0)</f>
        <v>#REF!</v>
      </c>
      <c r="F13" s="20" t="e">
        <f>VLOOKUP($B13,#REF!,5,0)</f>
        <v>#REF!</v>
      </c>
      <c r="G13" s="20" t="e">
        <f>VLOOKUP($B13,#REF!,6,0)</f>
        <v>#REF!</v>
      </c>
      <c r="H13" s="20" t="e">
        <f>VLOOKUP($B13,#REF!,7,0)</f>
        <v>#REF!</v>
      </c>
      <c r="I13" s="20" t="e">
        <f>VLOOKUP($B13,#REF!,8,0)</f>
        <v>#REF!</v>
      </c>
      <c r="J13" s="69"/>
      <c r="K13" s="34" t="s">
        <v>13</v>
      </c>
      <c r="L13" s="37">
        <v>101</v>
      </c>
      <c r="M13" s="36">
        <v>102</v>
      </c>
      <c r="N13" s="36">
        <v>102</v>
      </c>
      <c r="O13" s="43"/>
      <c r="P13" s="13"/>
      <c r="Q13" s="13"/>
      <c r="R13" s="13"/>
      <c r="S13" s="13"/>
      <c r="T13" s="13"/>
      <c r="AF13" s="12"/>
      <c r="AG13" s="12"/>
      <c r="AH13" s="14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5"/>
      <c r="BI13" s="15"/>
      <c r="BJ13" s="15"/>
      <c r="BK13" s="15"/>
      <c r="BL13" s="15"/>
      <c r="BM13" s="15"/>
      <c r="BN13" s="15"/>
      <c r="BO13" s="15"/>
      <c r="BP13" s="15"/>
      <c r="BQ13" s="15"/>
      <c r="BR13" s="15"/>
      <c r="BS13" s="15"/>
      <c r="BT13" s="15"/>
      <c r="BU13" s="15"/>
    </row>
    <row r="14" spans="1:73" ht="24" customHeight="1" x14ac:dyDescent="0.2">
      <c r="B14" s="64">
        <v>3</v>
      </c>
      <c r="C14" s="70" t="s">
        <v>33</v>
      </c>
      <c r="D14" s="19" t="e">
        <f>VLOOKUP($B14,#REF!,3,0)</f>
        <v>#REF!</v>
      </c>
      <c r="E14" s="19" t="e">
        <f>VLOOKUP($B14,#REF!,4,0)</f>
        <v>#REF!</v>
      </c>
      <c r="F14" s="19" t="e">
        <f>VLOOKUP($B14,#REF!,5,0)</f>
        <v>#REF!</v>
      </c>
      <c r="G14" s="19" t="e">
        <f>VLOOKUP($B14,#REF!,6,0)</f>
        <v>#REF!</v>
      </c>
      <c r="H14" s="19" t="e">
        <f>VLOOKUP($B14,#REF!,7,0)</f>
        <v>#REF!</v>
      </c>
      <c r="I14" s="19" t="e">
        <f>VLOOKUP($B14,#REF!,8,0)</f>
        <v>#REF!</v>
      </c>
      <c r="J14" s="72"/>
      <c r="K14" s="22" t="s">
        <v>12</v>
      </c>
      <c r="L14" s="35">
        <v>73</v>
      </c>
      <c r="M14" s="35">
        <v>77</v>
      </c>
      <c r="N14" s="35">
        <v>75</v>
      </c>
      <c r="O14" s="73"/>
      <c r="P14" s="13"/>
      <c r="Q14" s="13"/>
      <c r="R14" s="13"/>
      <c r="S14" s="13"/>
      <c r="T14" s="13"/>
      <c r="AF14" s="12"/>
      <c r="AG14" s="12"/>
      <c r="AH14" s="12"/>
    </row>
    <row r="15" spans="1:73" ht="24" customHeight="1" thickBot="1" x14ac:dyDescent="0.25">
      <c r="B15" s="65"/>
      <c r="C15" s="71"/>
      <c r="D15" s="20" t="e">
        <f>VLOOKUP($B15,#REF!,3,0)</f>
        <v>#REF!</v>
      </c>
      <c r="E15" s="20" t="e">
        <f>VLOOKUP($B15,#REF!,4,0)</f>
        <v>#REF!</v>
      </c>
      <c r="F15" s="20" t="e">
        <f>VLOOKUP($B15,#REF!,5,0)</f>
        <v>#REF!</v>
      </c>
      <c r="G15" s="20" t="e">
        <f>VLOOKUP($B15,#REF!,6,0)</f>
        <v>#REF!</v>
      </c>
      <c r="H15" s="20" t="e">
        <f>VLOOKUP($B15,#REF!,7,0)</f>
        <v>#REF!</v>
      </c>
      <c r="I15" s="20" t="e">
        <f>VLOOKUP($B15,#REF!,8,0)</f>
        <v>#REF!</v>
      </c>
      <c r="J15" s="69"/>
      <c r="K15" s="34" t="s">
        <v>13</v>
      </c>
      <c r="L15" s="36">
        <v>89</v>
      </c>
      <c r="M15" s="36">
        <v>93</v>
      </c>
      <c r="N15" s="36">
        <v>95</v>
      </c>
      <c r="O15" s="74"/>
      <c r="P15" s="13"/>
      <c r="Q15" s="13"/>
      <c r="R15" s="13"/>
      <c r="S15" s="13"/>
      <c r="T15" s="13"/>
      <c r="AF15" s="12"/>
      <c r="AG15" s="12"/>
      <c r="AH15" s="14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5"/>
      <c r="BI15" s="15"/>
      <c r="BJ15" s="15"/>
      <c r="BK15" s="15"/>
      <c r="BL15" s="15"/>
      <c r="BM15" s="15"/>
      <c r="BN15" s="15"/>
      <c r="BO15" s="15"/>
      <c r="BP15" s="15"/>
      <c r="BQ15" s="15"/>
      <c r="BR15" s="15"/>
      <c r="BS15" s="15"/>
      <c r="BT15" s="15"/>
      <c r="BU15" s="15"/>
    </row>
    <row r="16" spans="1:73" ht="24" customHeight="1" x14ac:dyDescent="0.2">
      <c r="B16" s="64">
        <v>4</v>
      </c>
      <c r="C16" s="70" t="s">
        <v>32</v>
      </c>
      <c r="D16" s="19" t="e">
        <f>VLOOKUP($B16,#REF!,3,0)</f>
        <v>#REF!</v>
      </c>
      <c r="E16" s="19" t="e">
        <f>VLOOKUP($B16,#REF!,4,0)</f>
        <v>#REF!</v>
      </c>
      <c r="F16" s="19" t="e">
        <f>VLOOKUP($B16,#REF!,5,0)</f>
        <v>#REF!</v>
      </c>
      <c r="G16" s="19" t="e">
        <f>VLOOKUP($B16,#REF!,6,0)</f>
        <v>#REF!</v>
      </c>
      <c r="H16" s="19" t="e">
        <f>VLOOKUP($B16,#REF!,7,0)</f>
        <v>#REF!</v>
      </c>
      <c r="I16" s="19" t="e">
        <f>VLOOKUP($B16,#REF!,8,0)</f>
        <v>#REF!</v>
      </c>
      <c r="J16" s="72"/>
      <c r="K16" s="22" t="s">
        <v>12</v>
      </c>
      <c r="L16" s="35">
        <v>89</v>
      </c>
      <c r="M16" s="35">
        <v>99</v>
      </c>
      <c r="N16" s="44">
        <v>103</v>
      </c>
      <c r="O16" s="73"/>
      <c r="P16" s="13"/>
      <c r="Q16" s="13"/>
      <c r="R16" s="13"/>
      <c r="S16" s="13"/>
      <c r="T16" s="13"/>
    </row>
    <row r="17" spans="2:73" ht="24" customHeight="1" thickBot="1" x14ac:dyDescent="0.25">
      <c r="B17" s="65"/>
      <c r="C17" s="71"/>
      <c r="D17" s="20" t="e">
        <f>VLOOKUP($B17,#REF!,3,0)</f>
        <v>#REF!</v>
      </c>
      <c r="E17" s="20" t="e">
        <f>VLOOKUP($B17,#REF!,4,0)</f>
        <v>#REF!</v>
      </c>
      <c r="F17" s="20" t="e">
        <f>VLOOKUP($B17,#REF!,5,0)</f>
        <v>#REF!</v>
      </c>
      <c r="G17" s="20" t="e">
        <f>VLOOKUP($B17,#REF!,6,0)</f>
        <v>#REF!</v>
      </c>
      <c r="H17" s="20" t="e">
        <f>VLOOKUP($B17,#REF!,7,0)</f>
        <v>#REF!</v>
      </c>
      <c r="I17" s="20" t="e">
        <f>VLOOKUP($B17,#REF!,8,0)</f>
        <v>#REF!</v>
      </c>
      <c r="J17" s="69"/>
      <c r="K17" s="34" t="s">
        <v>13</v>
      </c>
      <c r="L17" s="36">
        <v>111</v>
      </c>
      <c r="M17" s="36">
        <v>114</v>
      </c>
      <c r="N17" s="36">
        <v>115</v>
      </c>
      <c r="O17" s="74"/>
      <c r="P17" s="13"/>
      <c r="Q17" s="13"/>
      <c r="R17" s="13"/>
      <c r="S17" s="13"/>
      <c r="T17" s="13"/>
      <c r="AF17" s="12"/>
      <c r="AG17" s="12"/>
      <c r="AH17" s="14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5"/>
      <c r="BI17" s="15"/>
      <c r="BJ17" s="15"/>
      <c r="BK17" s="15"/>
      <c r="BL17" s="15"/>
      <c r="BM17" s="15"/>
      <c r="BN17" s="15"/>
      <c r="BO17" s="15"/>
      <c r="BP17" s="15"/>
      <c r="BQ17" s="15"/>
      <c r="BR17" s="15"/>
      <c r="BS17" s="15"/>
      <c r="BT17" s="15"/>
      <c r="BU17" s="15"/>
    </row>
    <row r="18" spans="2:73" ht="24" customHeight="1" x14ac:dyDescent="0.2">
      <c r="B18" s="64">
        <v>5</v>
      </c>
      <c r="C18" s="70" t="s">
        <v>33</v>
      </c>
      <c r="D18" s="19" t="e">
        <f>VLOOKUP($B18,#REF!,3,0)</f>
        <v>#REF!</v>
      </c>
      <c r="E18" s="19" t="e">
        <f>VLOOKUP($B18,#REF!,4,0)</f>
        <v>#REF!</v>
      </c>
      <c r="F18" s="19" t="e">
        <f>VLOOKUP($B18,#REF!,5,0)</f>
        <v>#REF!</v>
      </c>
      <c r="G18" s="19" t="e">
        <f>VLOOKUP($B18,#REF!,6,0)</f>
        <v>#REF!</v>
      </c>
      <c r="H18" s="19" t="e">
        <f>VLOOKUP($B18,#REF!,7,0)</f>
        <v>#REF!</v>
      </c>
      <c r="I18" s="19" t="e">
        <f>VLOOKUP($B18,#REF!,8,0)</f>
        <v>#REF!</v>
      </c>
      <c r="J18" s="72"/>
      <c r="K18" s="22" t="s">
        <v>12</v>
      </c>
      <c r="L18" s="44">
        <v>85</v>
      </c>
      <c r="M18" s="35">
        <v>96</v>
      </c>
      <c r="N18" s="44">
        <v>88</v>
      </c>
      <c r="O18" s="73"/>
      <c r="P18" s="13"/>
      <c r="Q18" s="13"/>
      <c r="R18" s="13"/>
      <c r="S18" s="13"/>
      <c r="T18" s="13"/>
      <c r="AF18" s="12"/>
      <c r="AG18" s="12"/>
      <c r="AH18" s="12"/>
    </row>
    <row r="19" spans="2:73" ht="24" customHeight="1" thickBot="1" x14ac:dyDescent="0.25">
      <c r="B19" s="65"/>
      <c r="C19" s="71"/>
      <c r="D19" s="20" t="e">
        <f>VLOOKUP($B19,#REF!,3,0)</f>
        <v>#REF!</v>
      </c>
      <c r="E19" s="20" t="e">
        <f>VLOOKUP($B19,#REF!,4,0)</f>
        <v>#REF!</v>
      </c>
      <c r="F19" s="20" t="e">
        <f>VLOOKUP($B19,#REF!,5,0)</f>
        <v>#REF!</v>
      </c>
      <c r="G19" s="20" t="e">
        <f>VLOOKUP($B19,#REF!,6,0)</f>
        <v>#REF!</v>
      </c>
      <c r="H19" s="20" t="e">
        <f>VLOOKUP($B19,#REF!,7,0)</f>
        <v>#REF!</v>
      </c>
      <c r="I19" s="20" t="e">
        <f>VLOOKUP($B19,#REF!,8,0)</f>
        <v>#REF!</v>
      </c>
      <c r="J19" s="69"/>
      <c r="K19" s="34" t="s">
        <v>13</v>
      </c>
      <c r="L19" s="36">
        <v>104</v>
      </c>
      <c r="M19" s="36">
        <v>107</v>
      </c>
      <c r="N19" s="36">
        <v>100</v>
      </c>
      <c r="O19" s="74"/>
      <c r="P19" s="13"/>
      <c r="Q19" s="13"/>
      <c r="R19" s="13"/>
      <c r="S19" s="13"/>
      <c r="T19" s="13"/>
      <c r="AF19" s="12"/>
      <c r="AG19" s="12"/>
      <c r="AH19" s="14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</row>
    <row r="20" spans="2:73" ht="24" customHeight="1" x14ac:dyDescent="0.2">
      <c r="B20" s="64">
        <v>6</v>
      </c>
      <c r="C20" s="70" t="s">
        <v>32</v>
      </c>
      <c r="D20" s="19" t="e">
        <f>VLOOKUP($B20,#REF!,3,0)</f>
        <v>#REF!</v>
      </c>
      <c r="E20" s="19" t="e">
        <f>VLOOKUP($B20,#REF!,4,0)</f>
        <v>#REF!</v>
      </c>
      <c r="F20" s="19" t="e">
        <f>VLOOKUP($B20,#REF!,5,0)</f>
        <v>#REF!</v>
      </c>
      <c r="G20" s="19" t="e">
        <f>VLOOKUP($B20,#REF!,6,0)</f>
        <v>#REF!</v>
      </c>
      <c r="H20" s="19" t="e">
        <f>VLOOKUP($B20,#REF!,7,0)</f>
        <v>#REF!</v>
      </c>
      <c r="I20" s="19" t="e">
        <f>VLOOKUP($B20,#REF!,8,0)</f>
        <v>#REF!</v>
      </c>
      <c r="J20" s="72"/>
      <c r="K20" s="22" t="s">
        <v>12</v>
      </c>
      <c r="L20" s="35">
        <v>76</v>
      </c>
      <c r="M20" s="35">
        <v>67</v>
      </c>
      <c r="N20" s="35">
        <v>80</v>
      </c>
      <c r="O20" s="73"/>
      <c r="P20" s="13"/>
      <c r="Q20" s="13"/>
      <c r="R20" s="13"/>
      <c r="S20" s="13"/>
      <c r="T20" s="13"/>
      <c r="AF20" s="12"/>
      <c r="AG20" s="12"/>
      <c r="AH20" s="12"/>
    </row>
    <row r="21" spans="2:73" ht="24" customHeight="1" thickBot="1" x14ac:dyDescent="0.25">
      <c r="B21" s="65"/>
      <c r="C21" s="71"/>
      <c r="D21" s="20" t="e">
        <f>VLOOKUP($B21,#REF!,3,0)</f>
        <v>#REF!</v>
      </c>
      <c r="E21" s="20" t="e">
        <f>VLOOKUP($B21,#REF!,4,0)</f>
        <v>#REF!</v>
      </c>
      <c r="F21" s="20" t="e">
        <f>VLOOKUP($B21,#REF!,5,0)</f>
        <v>#REF!</v>
      </c>
      <c r="G21" s="20" t="e">
        <f>VLOOKUP($B21,#REF!,6,0)</f>
        <v>#REF!</v>
      </c>
      <c r="H21" s="20" t="e">
        <f>VLOOKUP($B21,#REF!,7,0)</f>
        <v>#REF!</v>
      </c>
      <c r="I21" s="20" t="e">
        <f>VLOOKUP($B21,#REF!,8,0)</f>
        <v>#REF!</v>
      </c>
      <c r="J21" s="69"/>
      <c r="K21" s="34" t="s">
        <v>13</v>
      </c>
      <c r="L21" s="36">
        <v>88</v>
      </c>
      <c r="M21" s="36">
        <v>90</v>
      </c>
      <c r="N21" s="36">
        <v>94</v>
      </c>
      <c r="O21" s="74"/>
      <c r="P21" s="13"/>
      <c r="Q21" s="13"/>
      <c r="R21" s="13"/>
      <c r="S21" s="13"/>
      <c r="T21" s="13"/>
      <c r="AF21" s="12"/>
      <c r="AG21" s="12"/>
      <c r="AH21" s="14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  <c r="AX21" s="15"/>
      <c r="AY21" s="15"/>
      <c r="AZ21" s="15"/>
      <c r="BA21" s="15"/>
      <c r="BB21" s="15"/>
      <c r="BC21" s="15"/>
      <c r="BD21" s="15"/>
      <c r="BE21" s="15"/>
      <c r="BF21" s="15"/>
      <c r="BG21" s="15"/>
      <c r="BH21" s="15"/>
      <c r="BI21" s="15"/>
      <c r="BJ21" s="15"/>
      <c r="BK21" s="15"/>
      <c r="BL21" s="15"/>
      <c r="BM21" s="15"/>
      <c r="BN21" s="15"/>
      <c r="BO21" s="15"/>
      <c r="BP21" s="15"/>
      <c r="BQ21" s="15"/>
      <c r="BR21" s="15"/>
      <c r="BS21" s="15"/>
      <c r="BT21" s="15"/>
      <c r="BU21" s="15"/>
    </row>
    <row r="22" spans="2:73" ht="24" customHeight="1" x14ac:dyDescent="0.2">
      <c r="B22" s="64">
        <v>7</v>
      </c>
      <c r="C22" s="70" t="s">
        <v>33</v>
      </c>
      <c r="D22" s="19" t="e">
        <f>VLOOKUP($B22,#REF!,3,0)</f>
        <v>#REF!</v>
      </c>
      <c r="E22" s="19" t="e">
        <f>VLOOKUP($B22,#REF!,4,0)</f>
        <v>#REF!</v>
      </c>
      <c r="F22" s="19" t="e">
        <f>VLOOKUP($B22,#REF!,5,0)</f>
        <v>#REF!</v>
      </c>
      <c r="G22" s="19" t="e">
        <f>VLOOKUP($B22,#REF!,6,0)</f>
        <v>#REF!</v>
      </c>
      <c r="H22" s="19" t="e">
        <f>VLOOKUP($B22,#REF!,7,0)</f>
        <v>#REF!</v>
      </c>
      <c r="I22" s="19" t="e">
        <f>VLOOKUP($B22,#REF!,8,0)</f>
        <v>#REF!</v>
      </c>
      <c r="J22" s="72">
        <v>1020</v>
      </c>
      <c r="K22" s="22" t="s">
        <v>12</v>
      </c>
      <c r="L22" s="35">
        <v>103</v>
      </c>
      <c r="M22" s="35">
        <v>106</v>
      </c>
      <c r="N22" s="35">
        <v>98</v>
      </c>
      <c r="O22" s="73"/>
      <c r="P22" s="13"/>
      <c r="Q22" s="13"/>
      <c r="R22" s="13"/>
      <c r="S22" s="13"/>
      <c r="T22" s="13"/>
      <c r="AF22" s="12"/>
      <c r="AG22" s="12"/>
      <c r="AH22" s="12"/>
    </row>
    <row r="23" spans="2:73" ht="24" customHeight="1" thickBot="1" x14ac:dyDescent="0.25">
      <c r="B23" s="65"/>
      <c r="C23" s="71"/>
      <c r="D23" s="20" t="e">
        <f>VLOOKUP($B23,#REF!,3,0)</f>
        <v>#REF!</v>
      </c>
      <c r="E23" s="20" t="e">
        <f>VLOOKUP($B23,#REF!,4,0)</f>
        <v>#REF!</v>
      </c>
      <c r="F23" s="20" t="e">
        <f>VLOOKUP($B23,#REF!,5,0)</f>
        <v>#REF!</v>
      </c>
      <c r="G23" s="20" t="e">
        <f>VLOOKUP($B23,#REF!,6,0)</f>
        <v>#REF!</v>
      </c>
      <c r="H23" s="20" t="e">
        <f>VLOOKUP($B23,#REF!,7,0)</f>
        <v>#REF!</v>
      </c>
      <c r="I23" s="20" t="e">
        <f>VLOOKUP($B23,#REF!,8,0)</f>
        <v>#REF!</v>
      </c>
      <c r="J23" s="69"/>
      <c r="K23" s="34" t="s">
        <v>13</v>
      </c>
      <c r="L23" s="36">
        <v>106</v>
      </c>
      <c r="M23" s="36">
        <v>114</v>
      </c>
      <c r="N23" s="36">
        <v>113</v>
      </c>
      <c r="O23" s="74"/>
      <c r="P23" s="13"/>
      <c r="Q23" s="13"/>
      <c r="R23" s="13"/>
      <c r="S23" s="13"/>
      <c r="T23" s="13"/>
      <c r="AF23" s="12"/>
      <c r="AG23" s="12"/>
      <c r="AH23" s="14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5"/>
      <c r="BB23" s="15"/>
      <c r="BC23" s="15"/>
      <c r="BD23" s="15"/>
      <c r="BE23" s="15"/>
      <c r="BF23" s="15"/>
      <c r="BG23" s="15"/>
      <c r="BH23" s="15"/>
      <c r="BI23" s="15"/>
      <c r="BJ23" s="15"/>
      <c r="BK23" s="15"/>
      <c r="BL23" s="15"/>
      <c r="BM23" s="15"/>
      <c r="BN23" s="15"/>
      <c r="BO23" s="15"/>
      <c r="BP23" s="15"/>
      <c r="BQ23" s="15"/>
      <c r="BR23" s="15"/>
      <c r="BS23" s="15"/>
      <c r="BT23" s="15"/>
      <c r="BU23" s="15"/>
    </row>
    <row r="24" spans="2:73" ht="24" customHeight="1" x14ac:dyDescent="0.2">
      <c r="B24" s="64">
        <v>8</v>
      </c>
      <c r="C24" s="70" t="s">
        <v>32</v>
      </c>
      <c r="D24" s="19" t="e">
        <f>VLOOKUP($B24,#REF!,3,0)</f>
        <v>#REF!</v>
      </c>
      <c r="E24" s="19" t="e">
        <f>VLOOKUP($B24,#REF!,4,0)</f>
        <v>#REF!</v>
      </c>
      <c r="F24" s="19" t="e">
        <f>VLOOKUP($B24,#REF!,5,0)</f>
        <v>#REF!</v>
      </c>
      <c r="G24" s="19" t="e">
        <f>VLOOKUP($B24,#REF!,6,0)</f>
        <v>#REF!</v>
      </c>
      <c r="H24" s="19" t="e">
        <f>VLOOKUP($B24,#REF!,7,0)</f>
        <v>#REF!</v>
      </c>
      <c r="I24" s="19" t="e">
        <f>VLOOKUP($B24,#REF!,8,0)</f>
        <v>#REF!</v>
      </c>
      <c r="J24" s="72"/>
      <c r="K24" s="22" t="s">
        <v>12</v>
      </c>
      <c r="L24" s="35">
        <v>89</v>
      </c>
      <c r="M24" s="35">
        <v>91</v>
      </c>
      <c r="N24" s="35">
        <v>82</v>
      </c>
      <c r="O24" s="73"/>
      <c r="P24" s="13"/>
      <c r="Q24" s="13"/>
      <c r="R24" s="13"/>
      <c r="S24" s="13"/>
      <c r="T24" s="13"/>
      <c r="AF24" s="9"/>
      <c r="AG24" s="9"/>
      <c r="AH24" s="9"/>
    </row>
    <row r="25" spans="2:73" ht="24" customHeight="1" thickBot="1" x14ac:dyDescent="0.25">
      <c r="B25" s="65"/>
      <c r="C25" s="71"/>
      <c r="D25" s="20" t="e">
        <f>VLOOKUP($B25,#REF!,3,0)</f>
        <v>#REF!</v>
      </c>
      <c r="E25" s="20" t="e">
        <f>VLOOKUP($B25,#REF!,4,0)</f>
        <v>#REF!</v>
      </c>
      <c r="F25" s="20" t="e">
        <f>VLOOKUP($B25,#REF!,5,0)</f>
        <v>#REF!</v>
      </c>
      <c r="G25" s="20" t="e">
        <f>VLOOKUP($B25,#REF!,6,0)</f>
        <v>#REF!</v>
      </c>
      <c r="H25" s="20" t="e">
        <f>VLOOKUP($B25,#REF!,7,0)</f>
        <v>#REF!</v>
      </c>
      <c r="I25" s="20" t="e">
        <f>VLOOKUP($B25,#REF!,8,0)</f>
        <v>#REF!</v>
      </c>
      <c r="J25" s="69"/>
      <c r="K25" s="34" t="s">
        <v>13</v>
      </c>
      <c r="L25" s="36">
        <v>104</v>
      </c>
      <c r="M25" s="36">
        <v>112</v>
      </c>
      <c r="N25" s="36">
        <v>97</v>
      </c>
      <c r="O25" s="74"/>
      <c r="P25" s="13"/>
      <c r="Q25" s="13"/>
      <c r="R25" s="13"/>
      <c r="S25" s="13"/>
      <c r="T25" s="13"/>
      <c r="AF25" s="12"/>
      <c r="AG25" s="12"/>
      <c r="AH25" s="14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AX25" s="15"/>
      <c r="AY25" s="15"/>
      <c r="AZ25" s="15"/>
      <c r="BA25" s="15"/>
      <c r="BB25" s="15"/>
      <c r="BC25" s="15"/>
      <c r="BD25" s="15"/>
      <c r="BE25" s="15"/>
      <c r="BF25" s="15"/>
      <c r="BG25" s="15"/>
      <c r="BH25" s="15"/>
      <c r="BI25" s="15"/>
      <c r="BJ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</row>
    <row r="26" spans="2:73" ht="24" customHeight="1" x14ac:dyDescent="0.2">
      <c r="B26" s="64">
        <v>9</v>
      </c>
      <c r="C26" s="70" t="s">
        <v>33</v>
      </c>
      <c r="D26" s="19" t="e">
        <f>VLOOKUP($B26,#REF!,3,0)</f>
        <v>#REF!</v>
      </c>
      <c r="E26" s="19" t="e">
        <f>VLOOKUP($B26,#REF!,4,0)</f>
        <v>#REF!</v>
      </c>
      <c r="F26" s="19" t="e">
        <f>VLOOKUP($B26,#REF!,5,0)</f>
        <v>#REF!</v>
      </c>
      <c r="G26" s="19" t="e">
        <f>VLOOKUP($B26,#REF!,6,0)</f>
        <v>#REF!</v>
      </c>
      <c r="H26" s="19" t="e">
        <f>VLOOKUP($B26,#REF!,7,0)</f>
        <v>#REF!</v>
      </c>
      <c r="I26" s="19" t="e">
        <f>VLOOKUP($B26,#REF!,8,0)</f>
        <v>#REF!</v>
      </c>
      <c r="J26" s="72"/>
      <c r="K26" s="22" t="s">
        <v>12</v>
      </c>
      <c r="L26" s="35">
        <v>87</v>
      </c>
      <c r="M26" s="35">
        <v>75</v>
      </c>
      <c r="N26" s="35">
        <v>86</v>
      </c>
      <c r="O26" s="73"/>
      <c r="P26" s="13"/>
      <c r="Q26" s="13"/>
      <c r="R26" s="13"/>
      <c r="S26" s="13"/>
      <c r="T26" s="13"/>
      <c r="AF26" s="12"/>
      <c r="AG26" s="12"/>
      <c r="AH26" s="12"/>
    </row>
    <row r="27" spans="2:73" ht="24" customHeight="1" thickBot="1" x14ac:dyDescent="0.25">
      <c r="B27" s="65"/>
      <c r="C27" s="71"/>
      <c r="D27" s="20" t="e">
        <f>VLOOKUP($B27,#REF!,3,0)</f>
        <v>#REF!</v>
      </c>
      <c r="E27" s="20" t="e">
        <f>VLOOKUP($B27,#REF!,4,0)</f>
        <v>#REF!</v>
      </c>
      <c r="F27" s="20" t="e">
        <f>VLOOKUP($B27,#REF!,5,0)</f>
        <v>#REF!</v>
      </c>
      <c r="G27" s="20" t="e">
        <f>VLOOKUP($B27,#REF!,6,0)</f>
        <v>#REF!</v>
      </c>
      <c r="H27" s="20" t="e">
        <f>VLOOKUP($B27,#REF!,7,0)</f>
        <v>#REF!</v>
      </c>
      <c r="I27" s="20" t="e">
        <f>VLOOKUP($B27,#REF!,8,0)</f>
        <v>#REF!</v>
      </c>
      <c r="J27" s="69"/>
      <c r="K27" s="34" t="s">
        <v>13</v>
      </c>
      <c r="L27" s="36">
        <v>95</v>
      </c>
      <c r="M27" s="36">
        <v>82</v>
      </c>
      <c r="N27" s="36">
        <v>92</v>
      </c>
      <c r="O27" s="74"/>
      <c r="P27" s="13"/>
      <c r="Q27" s="13"/>
      <c r="R27" s="13"/>
      <c r="S27" s="13"/>
      <c r="T27" s="13"/>
      <c r="AF27" s="12"/>
      <c r="AG27" s="12"/>
      <c r="AH27" s="14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AX27" s="15"/>
      <c r="AY27" s="15"/>
      <c r="AZ27" s="15"/>
      <c r="BA27" s="15"/>
      <c r="BB27" s="15"/>
      <c r="BC27" s="15"/>
      <c r="BD27" s="15"/>
      <c r="BE27" s="15"/>
      <c r="BF27" s="15"/>
      <c r="BG27" s="15"/>
      <c r="BH27" s="15"/>
      <c r="BI27" s="15"/>
      <c r="BJ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</row>
    <row r="28" spans="2:73" ht="24" customHeight="1" x14ac:dyDescent="0.2">
      <c r="B28" s="75">
        <v>10</v>
      </c>
      <c r="C28" s="70" t="s">
        <v>32</v>
      </c>
      <c r="D28" s="19" t="e">
        <f>VLOOKUP($B28,#REF!,3,0)</f>
        <v>#REF!</v>
      </c>
      <c r="E28" s="19" t="e">
        <f>VLOOKUP($B28,#REF!,4,0)</f>
        <v>#REF!</v>
      </c>
      <c r="F28" s="19" t="e">
        <f>VLOOKUP($B28,#REF!,5,0)</f>
        <v>#REF!</v>
      </c>
      <c r="G28" s="19" t="e">
        <f>VLOOKUP($B28,#REF!,6,0)</f>
        <v>#REF!</v>
      </c>
      <c r="H28" s="19" t="e">
        <f>VLOOKUP($B28,#REF!,7,0)</f>
        <v>#REF!</v>
      </c>
      <c r="I28" s="19" t="e">
        <f>VLOOKUP($B28,#REF!,8,0)</f>
        <v>#REF!</v>
      </c>
      <c r="J28" s="72"/>
      <c r="K28" s="22" t="s">
        <v>12</v>
      </c>
      <c r="L28" s="35">
        <v>84</v>
      </c>
      <c r="M28" s="35">
        <v>92</v>
      </c>
      <c r="N28" s="35">
        <v>98</v>
      </c>
      <c r="O28" s="73" t="s">
        <v>45</v>
      </c>
      <c r="P28" s="13"/>
      <c r="Q28" s="13"/>
      <c r="R28" s="13"/>
      <c r="S28" s="13"/>
      <c r="T28" s="13"/>
    </row>
    <row r="29" spans="2:73" ht="24" customHeight="1" thickBot="1" x14ac:dyDescent="0.25">
      <c r="B29" s="65"/>
      <c r="C29" s="71"/>
      <c r="D29" s="20" t="e">
        <f>VLOOKUP($B29,#REF!,3,0)</f>
        <v>#REF!</v>
      </c>
      <c r="E29" s="20" t="e">
        <f>VLOOKUP($B29,#REF!,4,0)</f>
        <v>#REF!</v>
      </c>
      <c r="F29" s="20" t="e">
        <f>VLOOKUP($B29,#REF!,5,0)</f>
        <v>#REF!</v>
      </c>
      <c r="G29" s="20" t="e">
        <f>VLOOKUP($B29,#REF!,6,0)</f>
        <v>#REF!</v>
      </c>
      <c r="H29" s="20" t="e">
        <f>VLOOKUP($B29,#REF!,7,0)</f>
        <v>#REF!</v>
      </c>
      <c r="I29" s="20" t="e">
        <f>VLOOKUP($B29,#REF!,8,0)</f>
        <v>#REF!</v>
      </c>
      <c r="J29" s="69"/>
      <c r="K29" s="34" t="s">
        <v>13</v>
      </c>
      <c r="L29" s="36">
        <v>104</v>
      </c>
      <c r="M29" s="36">
        <v>104</v>
      </c>
      <c r="N29" s="36">
        <v>103</v>
      </c>
      <c r="O29" s="74"/>
      <c r="P29" s="13"/>
      <c r="Q29" s="13"/>
      <c r="R29" s="13"/>
      <c r="S29" s="13"/>
      <c r="T29" s="13"/>
      <c r="AF29" s="12"/>
      <c r="AG29" s="12"/>
      <c r="AH29" s="14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AX29" s="15"/>
      <c r="AY29" s="15"/>
      <c r="AZ29" s="15"/>
      <c r="BA29" s="15"/>
      <c r="BB29" s="15"/>
      <c r="BC29" s="15"/>
      <c r="BD29" s="15"/>
      <c r="BE29" s="15"/>
      <c r="BF29" s="15"/>
      <c r="BG29" s="15"/>
      <c r="BH29" s="15"/>
      <c r="BI29" s="15"/>
      <c r="BJ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</row>
    <row r="30" spans="2:73" ht="24" customHeight="1" x14ac:dyDescent="0.2">
      <c r="B30" s="75">
        <v>11</v>
      </c>
      <c r="C30" s="70" t="s">
        <v>33</v>
      </c>
      <c r="D30" s="19" t="e">
        <f>VLOOKUP($B30,#REF!,3,0)</f>
        <v>#REF!</v>
      </c>
      <c r="E30" s="19" t="e">
        <f>VLOOKUP($B30,#REF!,4,0)</f>
        <v>#REF!</v>
      </c>
      <c r="F30" s="19" t="e">
        <f>VLOOKUP($B30,#REF!,5,0)</f>
        <v>#REF!</v>
      </c>
      <c r="G30" s="19" t="e">
        <f>VLOOKUP($B30,#REF!,6,0)</f>
        <v>#REF!</v>
      </c>
      <c r="H30" s="19" t="e">
        <f>VLOOKUP($B30,#REF!,7,0)</f>
        <v>#REF!</v>
      </c>
      <c r="I30" s="19" t="e">
        <f>VLOOKUP($B30,#REF!,8,0)</f>
        <v>#REF!</v>
      </c>
      <c r="J30" s="72">
        <v>1142</v>
      </c>
      <c r="K30" s="22" t="s">
        <v>12</v>
      </c>
      <c r="L30" s="44">
        <v>92</v>
      </c>
      <c r="M30" s="35">
        <v>98</v>
      </c>
      <c r="N30" s="35">
        <v>88</v>
      </c>
      <c r="O30" s="73"/>
      <c r="P30" s="13"/>
      <c r="Q30" s="13"/>
      <c r="R30" s="13"/>
      <c r="S30" s="13"/>
      <c r="T30" s="13"/>
    </row>
    <row r="31" spans="2:73" ht="24" customHeight="1" thickBot="1" x14ac:dyDescent="0.25">
      <c r="B31" s="65"/>
      <c r="C31" s="71"/>
      <c r="D31" s="20" t="e">
        <f>VLOOKUP($B31,#REF!,3,0)</f>
        <v>#REF!</v>
      </c>
      <c r="E31" s="20" t="e">
        <f>VLOOKUP($B31,#REF!,4,0)</f>
        <v>#REF!</v>
      </c>
      <c r="F31" s="20" t="e">
        <f>VLOOKUP($B31,#REF!,5,0)</f>
        <v>#REF!</v>
      </c>
      <c r="G31" s="20" t="e">
        <f>VLOOKUP($B31,#REF!,6,0)</f>
        <v>#REF!</v>
      </c>
      <c r="H31" s="20" t="e">
        <f>VLOOKUP($B31,#REF!,7,0)</f>
        <v>#REF!</v>
      </c>
      <c r="I31" s="20" t="e">
        <f>VLOOKUP($B31,#REF!,8,0)</f>
        <v>#REF!</v>
      </c>
      <c r="J31" s="69"/>
      <c r="K31" s="34" t="s">
        <v>13</v>
      </c>
      <c r="L31" s="36">
        <v>106</v>
      </c>
      <c r="M31" s="36">
        <v>109</v>
      </c>
      <c r="N31" s="36">
        <v>107</v>
      </c>
      <c r="O31" s="74"/>
      <c r="P31" s="13"/>
      <c r="Q31" s="13"/>
      <c r="R31" s="13"/>
      <c r="S31" s="13"/>
      <c r="T31" s="13"/>
      <c r="AF31" s="12"/>
      <c r="AG31" s="12"/>
      <c r="AH31" s="14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AX31" s="15"/>
      <c r="AY31" s="15"/>
      <c r="AZ31" s="15"/>
      <c r="BA31" s="15"/>
      <c r="BB31" s="15"/>
      <c r="BC31" s="15"/>
      <c r="BD31" s="15"/>
      <c r="BE31" s="15"/>
      <c r="BF31" s="15"/>
      <c r="BG31" s="15"/>
      <c r="BH31" s="15"/>
      <c r="BI31" s="15"/>
      <c r="BJ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</row>
    <row r="32" spans="2:73" ht="24" customHeight="1" x14ac:dyDescent="0.2">
      <c r="B32" s="75">
        <v>12</v>
      </c>
      <c r="C32" s="70" t="s">
        <v>32</v>
      </c>
      <c r="D32" s="19" t="e">
        <f>VLOOKUP($B32,#REF!,3,0)</f>
        <v>#REF!</v>
      </c>
      <c r="E32" s="19" t="e">
        <f>VLOOKUP($B32,#REF!,4,0)</f>
        <v>#REF!</v>
      </c>
      <c r="F32" s="19" t="e">
        <f>VLOOKUP($B32,#REF!,5,0)</f>
        <v>#REF!</v>
      </c>
      <c r="G32" s="19" t="e">
        <f>VLOOKUP($B32,#REF!,6,0)</f>
        <v>#REF!</v>
      </c>
      <c r="H32" s="19" t="e">
        <f>VLOOKUP($B32,#REF!,7,0)</f>
        <v>#REF!</v>
      </c>
      <c r="I32" s="19" t="e">
        <f>VLOOKUP($B32,#REF!,8,0)</f>
        <v>#REF!</v>
      </c>
      <c r="J32" s="72"/>
      <c r="K32" s="22" t="s">
        <v>12</v>
      </c>
      <c r="L32" s="35">
        <v>94</v>
      </c>
      <c r="M32" s="35">
        <v>101</v>
      </c>
      <c r="N32" s="35">
        <v>101</v>
      </c>
      <c r="O32" s="73"/>
      <c r="P32" s="13"/>
      <c r="Q32" s="13"/>
      <c r="R32" s="13"/>
      <c r="S32" s="13"/>
      <c r="T32" s="13"/>
    </row>
    <row r="33" spans="2:73" ht="24" customHeight="1" thickBot="1" x14ac:dyDescent="0.25">
      <c r="B33" s="65"/>
      <c r="C33" s="71"/>
      <c r="D33" s="20" t="e">
        <f>VLOOKUP($B33,#REF!,3,0)</f>
        <v>#REF!</v>
      </c>
      <c r="E33" s="20" t="e">
        <f>VLOOKUP($B33,#REF!,4,0)</f>
        <v>#REF!</v>
      </c>
      <c r="F33" s="20" t="e">
        <f>VLOOKUP($B33,#REF!,5,0)</f>
        <v>#REF!</v>
      </c>
      <c r="G33" s="20" t="e">
        <f>VLOOKUP($B33,#REF!,6,0)</f>
        <v>#REF!</v>
      </c>
      <c r="H33" s="20" t="e">
        <f>VLOOKUP($B33,#REF!,7,0)</f>
        <v>#REF!</v>
      </c>
      <c r="I33" s="20" t="e">
        <f>VLOOKUP($B33,#REF!,8,0)</f>
        <v>#REF!</v>
      </c>
      <c r="J33" s="69"/>
      <c r="K33" s="34" t="s">
        <v>13</v>
      </c>
      <c r="L33" s="36">
        <v>114</v>
      </c>
      <c r="M33" s="36">
        <v>114</v>
      </c>
      <c r="N33" s="36">
        <v>118</v>
      </c>
      <c r="O33" s="74"/>
      <c r="P33" s="13"/>
      <c r="Q33" s="13"/>
      <c r="R33" s="13"/>
      <c r="S33" s="13"/>
      <c r="T33" s="13"/>
      <c r="AF33" s="12"/>
      <c r="AG33" s="12"/>
      <c r="AH33" s="14"/>
      <c r="AI33" s="15"/>
      <c r="AJ33" s="15"/>
      <c r="AK33" s="15"/>
      <c r="AL33" s="15"/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AX33" s="15"/>
      <c r="AY33" s="15"/>
      <c r="AZ33" s="15"/>
      <c r="BA33" s="15"/>
      <c r="BB33" s="15"/>
      <c r="BC33" s="15"/>
      <c r="BD33" s="15"/>
      <c r="BE33" s="15"/>
      <c r="BF33" s="15"/>
      <c r="BG33" s="15"/>
      <c r="BH33" s="15"/>
      <c r="BI33" s="15"/>
      <c r="BJ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</row>
    <row r="34" spans="2:73" ht="24" customHeight="1" x14ac:dyDescent="0.2">
      <c r="B34" s="75">
        <v>13</v>
      </c>
      <c r="C34" s="70" t="s">
        <v>33</v>
      </c>
      <c r="D34" s="19" t="e">
        <f>VLOOKUP($B34,#REF!,3,0)</f>
        <v>#REF!</v>
      </c>
      <c r="E34" s="19" t="e">
        <f>VLOOKUP($B34,#REF!,4,0)</f>
        <v>#REF!</v>
      </c>
      <c r="F34" s="19" t="e">
        <f>VLOOKUP($B34,#REF!,5,0)</f>
        <v>#REF!</v>
      </c>
      <c r="G34" s="19" t="e">
        <f>VLOOKUP($B34,#REF!,6,0)</f>
        <v>#REF!</v>
      </c>
      <c r="H34" s="19" t="e">
        <f>VLOOKUP($B34,#REF!,7,0)</f>
        <v>#REF!</v>
      </c>
      <c r="I34" s="19" t="e">
        <f>VLOOKUP($B34,#REF!,8,0)</f>
        <v>#REF!</v>
      </c>
      <c r="J34" s="72"/>
      <c r="K34" s="22" t="s">
        <v>12</v>
      </c>
      <c r="L34" s="35">
        <v>79</v>
      </c>
      <c r="M34" s="35">
        <v>71</v>
      </c>
      <c r="N34" s="35">
        <v>72</v>
      </c>
      <c r="O34" s="73"/>
      <c r="P34" s="13"/>
      <c r="Q34" s="13"/>
      <c r="R34" s="13"/>
      <c r="S34" s="13"/>
      <c r="T34" s="13"/>
    </row>
    <row r="35" spans="2:73" ht="24" customHeight="1" thickBot="1" x14ac:dyDescent="0.25">
      <c r="B35" s="65"/>
      <c r="C35" s="71"/>
      <c r="D35" s="20" t="e">
        <f>VLOOKUP($B35,#REF!,3,0)</f>
        <v>#REF!</v>
      </c>
      <c r="E35" s="20" t="e">
        <f>VLOOKUP($B35,#REF!,4,0)</f>
        <v>#REF!</v>
      </c>
      <c r="F35" s="20" t="e">
        <f>VLOOKUP($B35,#REF!,5,0)</f>
        <v>#REF!</v>
      </c>
      <c r="G35" s="20" t="e">
        <f>VLOOKUP($B35,#REF!,6,0)</f>
        <v>#REF!</v>
      </c>
      <c r="H35" s="20" t="e">
        <f>VLOOKUP($B35,#REF!,7,0)</f>
        <v>#REF!</v>
      </c>
      <c r="I35" s="20" t="e">
        <f>VLOOKUP($B35,#REF!,8,0)</f>
        <v>#REF!</v>
      </c>
      <c r="J35" s="69"/>
      <c r="K35" s="34" t="s">
        <v>13</v>
      </c>
      <c r="L35" s="36">
        <v>95</v>
      </c>
      <c r="M35" s="36">
        <v>97</v>
      </c>
      <c r="N35" s="36">
        <v>83</v>
      </c>
      <c r="O35" s="74"/>
      <c r="P35" s="13"/>
      <c r="Q35" s="13"/>
      <c r="R35" s="13"/>
      <c r="S35" s="13"/>
      <c r="T35" s="13"/>
      <c r="AF35" s="12"/>
      <c r="AG35" s="12"/>
      <c r="AH35" s="14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5"/>
      <c r="AX35" s="15"/>
      <c r="AY35" s="15"/>
      <c r="AZ35" s="15"/>
      <c r="BA35" s="15"/>
      <c r="BB35" s="15"/>
      <c r="BC35" s="15"/>
      <c r="BD35" s="15"/>
      <c r="BE35" s="15"/>
      <c r="BF35" s="15"/>
      <c r="BG35" s="15"/>
      <c r="BH35" s="15"/>
      <c r="BI35" s="15"/>
      <c r="BJ35" s="15"/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</row>
    <row r="36" spans="2:73" ht="24" customHeight="1" x14ac:dyDescent="0.2">
      <c r="B36" s="75">
        <v>14</v>
      </c>
      <c r="C36" s="70" t="s">
        <v>32</v>
      </c>
      <c r="D36" s="19" t="e">
        <f>VLOOKUP($B36,#REF!,3,0)</f>
        <v>#REF!</v>
      </c>
      <c r="E36" s="19" t="e">
        <f>VLOOKUP($B36,#REF!,4,0)</f>
        <v>#REF!</v>
      </c>
      <c r="F36" s="19" t="e">
        <f>VLOOKUP($B36,#REF!,5,0)</f>
        <v>#REF!</v>
      </c>
      <c r="G36" s="19" t="e">
        <f>VLOOKUP($B36,#REF!,6,0)</f>
        <v>#REF!</v>
      </c>
      <c r="H36" s="19" t="e">
        <f>VLOOKUP($B36,#REF!,7,0)</f>
        <v>#REF!</v>
      </c>
      <c r="I36" s="19" t="e">
        <f>VLOOKUP($B36,#REF!,8,0)</f>
        <v>#REF!</v>
      </c>
      <c r="J36" s="72"/>
      <c r="K36" s="22" t="s">
        <v>12</v>
      </c>
      <c r="L36" s="35">
        <v>89</v>
      </c>
      <c r="M36" s="35">
        <v>91</v>
      </c>
      <c r="N36" s="35">
        <v>100</v>
      </c>
      <c r="O36" s="73"/>
      <c r="P36" s="13"/>
      <c r="Q36" s="13"/>
      <c r="R36" s="13"/>
      <c r="S36" s="13"/>
      <c r="T36" s="13"/>
    </row>
    <row r="37" spans="2:73" ht="24" customHeight="1" thickBot="1" x14ac:dyDescent="0.25">
      <c r="B37" s="65"/>
      <c r="C37" s="71"/>
      <c r="D37" s="20" t="e">
        <f>VLOOKUP($B37,#REF!,3,0)</f>
        <v>#REF!</v>
      </c>
      <c r="E37" s="20" t="e">
        <f>VLOOKUP($B37,#REF!,4,0)</f>
        <v>#REF!</v>
      </c>
      <c r="F37" s="20" t="e">
        <f>VLOOKUP($B37,#REF!,5,0)</f>
        <v>#REF!</v>
      </c>
      <c r="G37" s="20" t="e">
        <f>VLOOKUP($B37,#REF!,6,0)</f>
        <v>#REF!</v>
      </c>
      <c r="H37" s="20" t="e">
        <f>VLOOKUP($B37,#REF!,7,0)</f>
        <v>#REF!</v>
      </c>
      <c r="I37" s="20" t="e">
        <f>VLOOKUP($B37,#REF!,8,0)</f>
        <v>#REF!</v>
      </c>
      <c r="J37" s="69"/>
      <c r="K37" s="34" t="s">
        <v>13</v>
      </c>
      <c r="L37" s="36">
        <v>108</v>
      </c>
      <c r="M37" s="36">
        <v>106</v>
      </c>
      <c r="N37" s="36">
        <v>114</v>
      </c>
      <c r="O37" s="74"/>
      <c r="P37" s="13"/>
      <c r="Q37" s="13"/>
      <c r="R37" s="13"/>
      <c r="S37" s="13"/>
      <c r="T37" s="13"/>
      <c r="AF37" s="12"/>
      <c r="AG37" s="12"/>
      <c r="AH37" s="14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/>
      <c r="AU37" s="15"/>
      <c r="AV37" s="15"/>
      <c r="AW37" s="15"/>
      <c r="AX37" s="15"/>
      <c r="AY37" s="15"/>
      <c r="AZ37" s="15"/>
      <c r="BA37" s="15"/>
      <c r="BB37" s="15"/>
      <c r="BC37" s="15"/>
      <c r="BD37" s="15"/>
      <c r="BE37" s="15"/>
      <c r="BF37" s="15"/>
      <c r="BG37" s="15"/>
      <c r="BH37" s="15"/>
      <c r="BI37" s="15"/>
      <c r="BJ37" s="15"/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</row>
    <row r="38" spans="2:73" ht="24" customHeight="1" x14ac:dyDescent="0.2">
      <c r="B38" s="75">
        <v>15</v>
      </c>
      <c r="C38" s="70" t="s">
        <v>33</v>
      </c>
      <c r="D38" s="19" t="e">
        <f>VLOOKUP($B38,#REF!,3,0)</f>
        <v>#REF!</v>
      </c>
      <c r="E38" s="19" t="e">
        <f>VLOOKUP($B38,#REF!,4,0)</f>
        <v>#REF!</v>
      </c>
      <c r="F38" s="19" t="e">
        <f>VLOOKUP($B38,#REF!,5,0)</f>
        <v>#REF!</v>
      </c>
      <c r="G38" s="19" t="e">
        <f>VLOOKUP($B38,#REF!,6,0)</f>
        <v>#REF!</v>
      </c>
      <c r="H38" s="19" t="e">
        <f>VLOOKUP($B38,#REF!,7,0)</f>
        <v>#REF!</v>
      </c>
      <c r="I38" s="19" t="e">
        <f>VLOOKUP($B38,#REF!,8,0)</f>
        <v>#REF!</v>
      </c>
      <c r="J38" s="72"/>
      <c r="K38" s="22" t="s">
        <v>12</v>
      </c>
      <c r="L38" s="44">
        <v>81</v>
      </c>
      <c r="M38" s="35">
        <v>89</v>
      </c>
      <c r="N38" s="35">
        <v>83</v>
      </c>
      <c r="O38" s="73"/>
      <c r="P38" s="13"/>
      <c r="Q38" s="13"/>
      <c r="R38" s="13"/>
      <c r="S38" s="13"/>
      <c r="T38" s="13"/>
    </row>
    <row r="39" spans="2:73" ht="24" customHeight="1" thickBot="1" x14ac:dyDescent="0.25">
      <c r="B39" s="65"/>
      <c r="C39" s="71"/>
      <c r="D39" s="20" t="e">
        <f>VLOOKUP($B39,#REF!,3,0)</f>
        <v>#REF!</v>
      </c>
      <c r="E39" s="20" t="e">
        <f>VLOOKUP($B39,#REF!,4,0)</f>
        <v>#REF!</v>
      </c>
      <c r="F39" s="20" t="e">
        <f>VLOOKUP($B39,#REF!,5,0)</f>
        <v>#REF!</v>
      </c>
      <c r="G39" s="20" t="e">
        <f>VLOOKUP($B39,#REF!,6,0)</f>
        <v>#REF!</v>
      </c>
      <c r="H39" s="20" t="e">
        <f>VLOOKUP($B39,#REF!,7,0)</f>
        <v>#REF!</v>
      </c>
      <c r="I39" s="20" t="e">
        <f>VLOOKUP($B39,#REF!,8,0)</f>
        <v>#REF!</v>
      </c>
      <c r="J39" s="69"/>
      <c r="K39" s="34" t="s">
        <v>13</v>
      </c>
      <c r="L39" s="36">
        <v>97</v>
      </c>
      <c r="M39" s="36">
        <v>98</v>
      </c>
      <c r="N39" s="36">
        <v>102</v>
      </c>
      <c r="O39" s="74"/>
      <c r="P39" s="13"/>
      <c r="Q39" s="13"/>
      <c r="R39" s="13"/>
      <c r="S39" s="13"/>
      <c r="T39" s="13"/>
      <c r="AF39" s="12"/>
      <c r="AG39" s="12"/>
      <c r="AH39" s="14"/>
      <c r="AI39" s="15"/>
      <c r="AJ39" s="15"/>
      <c r="AK39" s="15"/>
      <c r="AL39" s="15"/>
      <c r="AM39" s="15"/>
      <c r="AN39" s="15"/>
      <c r="AO39" s="15"/>
      <c r="AP39" s="15"/>
      <c r="AQ39" s="15"/>
      <c r="AR39" s="15"/>
      <c r="AS39" s="15"/>
      <c r="AT39" s="15"/>
      <c r="AU39" s="15"/>
      <c r="AV39" s="15"/>
      <c r="AW39" s="15"/>
      <c r="AX39" s="15"/>
      <c r="AY39" s="15"/>
      <c r="AZ39" s="15"/>
      <c r="BA39" s="15"/>
      <c r="BB39" s="15"/>
      <c r="BC39" s="15"/>
      <c r="BD39" s="15"/>
      <c r="BE39" s="15"/>
      <c r="BF39" s="15"/>
      <c r="BG39" s="15"/>
      <c r="BH39" s="15"/>
      <c r="BI39" s="15"/>
      <c r="BJ39" s="15"/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</row>
    <row r="40" spans="2:73" ht="24" customHeight="1" x14ac:dyDescent="0.2">
      <c r="B40" s="75">
        <v>16</v>
      </c>
      <c r="C40" s="66" t="s">
        <v>34</v>
      </c>
      <c r="D40" s="19" t="e">
        <f>VLOOKUP($B40,#REF!,3,0)</f>
        <v>#REF!</v>
      </c>
      <c r="E40" s="19" t="e">
        <f>VLOOKUP($B40,#REF!,4,0)</f>
        <v>#REF!</v>
      </c>
      <c r="F40" s="19" t="e">
        <f>VLOOKUP($B40,#REF!,5,0)</f>
        <v>#REF!</v>
      </c>
      <c r="G40" s="19" t="e">
        <f>VLOOKUP($B40,#REF!,6,0)</f>
        <v>#REF!</v>
      </c>
      <c r="H40" s="19" t="e">
        <f>VLOOKUP($B40,#REF!,7,0)</f>
        <v>#REF!</v>
      </c>
      <c r="I40" s="19" t="e">
        <f>VLOOKUP($B40,#REF!,8,0)</f>
        <v>#REF!</v>
      </c>
      <c r="J40" s="72">
        <v>1233</v>
      </c>
      <c r="K40" s="22" t="s">
        <v>12</v>
      </c>
      <c r="L40" s="44">
        <v>78</v>
      </c>
      <c r="M40" s="44">
        <v>92</v>
      </c>
      <c r="N40" s="35">
        <v>76</v>
      </c>
      <c r="O40" s="73"/>
      <c r="P40" s="13"/>
      <c r="Q40" s="13"/>
      <c r="R40" s="13"/>
      <c r="S40" s="13"/>
      <c r="T40" s="13"/>
    </row>
    <row r="41" spans="2:73" ht="24" customHeight="1" thickBot="1" x14ac:dyDescent="0.25">
      <c r="B41" s="65"/>
      <c r="C41" s="67"/>
      <c r="D41" s="20" t="e">
        <f>VLOOKUP($B41,#REF!,3,0)</f>
        <v>#REF!</v>
      </c>
      <c r="E41" s="20" t="e">
        <f>VLOOKUP($B41,#REF!,4,0)</f>
        <v>#REF!</v>
      </c>
      <c r="F41" s="20" t="e">
        <f>VLOOKUP($B41,#REF!,5,0)</f>
        <v>#REF!</v>
      </c>
      <c r="G41" s="20" t="e">
        <f>VLOOKUP($B41,#REF!,6,0)</f>
        <v>#REF!</v>
      </c>
      <c r="H41" s="20" t="e">
        <f>VLOOKUP($B41,#REF!,7,0)</f>
        <v>#REF!</v>
      </c>
      <c r="I41" s="20" t="e">
        <f>VLOOKUP($B41,#REF!,8,0)</f>
        <v>#REF!</v>
      </c>
      <c r="J41" s="69"/>
      <c r="K41" s="34" t="s">
        <v>13</v>
      </c>
      <c r="L41" s="36">
        <v>95</v>
      </c>
      <c r="M41" s="36">
        <v>97</v>
      </c>
      <c r="N41" s="36">
        <v>95</v>
      </c>
      <c r="O41" s="74"/>
      <c r="P41" s="13"/>
      <c r="Q41" s="13"/>
      <c r="R41" s="13"/>
      <c r="S41" s="13"/>
      <c r="T41" s="13"/>
      <c r="AF41" s="12"/>
      <c r="AG41" s="12"/>
      <c r="AH41" s="14"/>
      <c r="AI41" s="15"/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/>
      <c r="AU41" s="15"/>
      <c r="AV41" s="15"/>
      <c r="AW41" s="15"/>
      <c r="AX41" s="15"/>
      <c r="AY41" s="15"/>
      <c r="AZ41" s="15"/>
      <c r="BA41" s="15"/>
      <c r="BB41" s="15"/>
      <c r="BC41" s="15"/>
      <c r="BD41" s="15"/>
      <c r="BE41" s="15"/>
      <c r="BF41" s="15"/>
      <c r="BG41" s="15"/>
      <c r="BH41" s="15"/>
      <c r="BI41" s="15"/>
      <c r="BJ41" s="15"/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</row>
  </sheetData>
  <mergeCells count="66">
    <mergeCell ref="AF5:AH5"/>
    <mergeCell ref="L6:N6"/>
    <mergeCell ref="O7:O8"/>
    <mergeCell ref="B8:K8"/>
    <mergeCell ref="B10:B11"/>
    <mergeCell ref="C10:C11"/>
    <mergeCell ref="J10:J11"/>
    <mergeCell ref="B18:B19"/>
    <mergeCell ref="C18:C19"/>
    <mergeCell ref="J18:J19"/>
    <mergeCell ref="O18:O19"/>
    <mergeCell ref="B12:B13"/>
    <mergeCell ref="C12:C13"/>
    <mergeCell ref="J12:J13"/>
    <mergeCell ref="B14:B15"/>
    <mergeCell ref="C14:C15"/>
    <mergeCell ref="J14:J15"/>
    <mergeCell ref="O14:O15"/>
    <mergeCell ref="B16:B17"/>
    <mergeCell ref="C16:C17"/>
    <mergeCell ref="J16:J17"/>
    <mergeCell ref="O16:O17"/>
    <mergeCell ref="B20:B21"/>
    <mergeCell ref="C20:C21"/>
    <mergeCell ref="J20:J21"/>
    <mergeCell ref="O20:O21"/>
    <mergeCell ref="B22:B23"/>
    <mergeCell ref="C22:C23"/>
    <mergeCell ref="J22:J23"/>
    <mergeCell ref="O22:O23"/>
    <mergeCell ref="B24:B25"/>
    <mergeCell ref="C24:C25"/>
    <mergeCell ref="J24:J25"/>
    <mergeCell ref="O24:O25"/>
    <mergeCell ref="B26:B27"/>
    <mergeCell ref="C26:C27"/>
    <mergeCell ref="J26:J27"/>
    <mergeCell ref="O26:O27"/>
    <mergeCell ref="B28:B29"/>
    <mergeCell ref="C28:C29"/>
    <mergeCell ref="J28:J29"/>
    <mergeCell ref="O28:O29"/>
    <mergeCell ref="B30:B31"/>
    <mergeCell ref="C30:C31"/>
    <mergeCell ref="J30:J31"/>
    <mergeCell ref="O30:O31"/>
    <mergeCell ref="B32:B33"/>
    <mergeCell ref="C32:C33"/>
    <mergeCell ref="J32:J33"/>
    <mergeCell ref="O32:O33"/>
    <mergeCell ref="B34:B35"/>
    <mergeCell ref="C34:C35"/>
    <mergeCell ref="J34:J35"/>
    <mergeCell ref="O34:O35"/>
    <mergeCell ref="B40:B41"/>
    <mergeCell ref="C40:C41"/>
    <mergeCell ref="J40:J41"/>
    <mergeCell ref="O40:O41"/>
    <mergeCell ref="B36:B37"/>
    <mergeCell ref="C36:C37"/>
    <mergeCell ref="J36:J37"/>
    <mergeCell ref="O36:O37"/>
    <mergeCell ref="B38:B39"/>
    <mergeCell ref="C38:C39"/>
    <mergeCell ref="J38:J39"/>
    <mergeCell ref="O38:O39"/>
  </mergeCells>
  <pageMargins left="0.45" right="0" top="0.49" bottom="0" header="0.64" footer="0"/>
  <pageSetup paperSize="512" scale="74" orientation="portrait" r:id="rId1"/>
  <headerFooter alignWithMargins="0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18BC4-E46D-4B16-8C86-9F2A74C7CF2D}">
  <sheetPr>
    <pageSetUpPr fitToPage="1"/>
  </sheetPr>
  <dimension ref="A1:BU41"/>
  <sheetViews>
    <sheetView zoomScale="94" zoomScaleNormal="94" workbookViewId="0">
      <selection activeCell="A2" sqref="A2"/>
    </sheetView>
  </sheetViews>
  <sheetFormatPr defaultRowHeight="12.75" x14ac:dyDescent="0.2"/>
  <cols>
    <col min="1" max="1" width="5.42578125" customWidth="1"/>
    <col min="2" max="2" width="6.28515625" customWidth="1"/>
    <col min="3" max="3" width="12.7109375" customWidth="1"/>
    <col min="4" max="8" width="5.28515625" hidden="1" customWidth="1"/>
    <col min="9" max="9" width="7" hidden="1" customWidth="1"/>
    <col min="10" max="10" width="8.42578125" customWidth="1"/>
    <col min="11" max="14" width="12.7109375" customWidth="1"/>
    <col min="15" max="15" width="48.7109375" customWidth="1"/>
    <col min="22" max="22" width="7.5703125" customWidth="1"/>
    <col min="23" max="32" width="7.7109375" customWidth="1"/>
  </cols>
  <sheetData>
    <row r="1" spans="1:73" ht="15" customHeight="1" x14ac:dyDescent="0.25">
      <c r="A1" s="1" t="s">
        <v>40</v>
      </c>
    </row>
    <row r="2" spans="1:73" ht="20.25" customHeight="1" thickBot="1" x14ac:dyDescent="0.3">
      <c r="A2" s="1"/>
      <c r="M2" s="15" t="s">
        <v>0</v>
      </c>
      <c r="N2" s="23">
        <v>40007</v>
      </c>
      <c r="O2" s="29"/>
    </row>
    <row r="3" spans="1:73" ht="20.25" customHeight="1" thickBot="1" x14ac:dyDescent="0.25">
      <c r="A3" t="s">
        <v>1</v>
      </c>
      <c r="C3" s="38" t="s">
        <v>47</v>
      </c>
      <c r="D3" s="3"/>
      <c r="E3" s="3"/>
      <c r="F3" s="3"/>
      <c r="G3" s="3"/>
      <c r="H3" s="3"/>
      <c r="I3" s="3"/>
      <c r="J3" s="3"/>
      <c r="K3" s="3"/>
      <c r="L3" s="3"/>
      <c r="M3" s="15" t="s">
        <v>23</v>
      </c>
      <c r="N3" s="2">
        <v>194</v>
      </c>
      <c r="O3" s="30"/>
    </row>
    <row r="4" spans="1:73" ht="20.25" customHeight="1" thickBot="1" x14ac:dyDescent="0.25">
      <c r="B4" s="3"/>
      <c r="C4" s="38"/>
      <c r="D4" s="4"/>
      <c r="E4" s="4"/>
      <c r="F4" s="4"/>
      <c r="G4" s="4"/>
      <c r="H4" s="4"/>
      <c r="I4" s="4"/>
      <c r="J4" s="4"/>
      <c r="K4" s="4"/>
      <c r="L4" s="4"/>
      <c r="M4" s="15" t="s">
        <v>2</v>
      </c>
      <c r="N4" s="2" t="s">
        <v>26</v>
      </c>
      <c r="O4" s="30"/>
    </row>
    <row r="5" spans="1:73" ht="18" x14ac:dyDescent="0.2">
      <c r="AE5" s="5"/>
      <c r="AF5" s="55"/>
      <c r="AG5" s="55"/>
      <c r="AH5" s="55"/>
    </row>
    <row r="6" spans="1:73" ht="18" x14ac:dyDescent="0.25">
      <c r="L6" s="56"/>
      <c r="M6" s="57"/>
      <c r="N6" s="58"/>
      <c r="O6" s="31"/>
      <c r="AE6" s="5"/>
      <c r="AF6" s="24"/>
      <c r="AG6" s="24"/>
      <c r="AH6" s="24"/>
    </row>
    <row r="7" spans="1:73" ht="25.5" customHeight="1" x14ac:dyDescent="0.2">
      <c r="B7" s="6" t="s">
        <v>27</v>
      </c>
      <c r="C7" s="7"/>
      <c r="D7" s="7" t="s">
        <v>4</v>
      </c>
      <c r="E7" s="6" t="s">
        <v>5</v>
      </c>
      <c r="F7" s="7" t="s">
        <v>6</v>
      </c>
      <c r="G7" s="6" t="s">
        <v>7</v>
      </c>
      <c r="H7" s="6" t="s">
        <v>8</v>
      </c>
      <c r="I7" s="6" t="s">
        <v>9</v>
      </c>
      <c r="J7" s="6" t="s">
        <v>11</v>
      </c>
      <c r="K7" s="8" t="s">
        <v>24</v>
      </c>
      <c r="L7" s="22" t="s">
        <v>37</v>
      </c>
      <c r="M7" s="22" t="s">
        <v>38</v>
      </c>
      <c r="N7" s="22" t="s">
        <v>39</v>
      </c>
      <c r="O7" s="59" t="s">
        <v>25</v>
      </c>
      <c r="AE7" s="10"/>
      <c r="AF7" s="9"/>
      <c r="AG7" s="9"/>
      <c r="AH7" s="11"/>
    </row>
    <row r="8" spans="1:73" ht="15.95" customHeight="1" thickBot="1" x14ac:dyDescent="0.25">
      <c r="B8" s="61"/>
      <c r="C8" s="62"/>
      <c r="D8" s="62"/>
      <c r="E8" s="62"/>
      <c r="F8" s="62"/>
      <c r="G8" s="62"/>
      <c r="H8" s="62"/>
      <c r="I8" s="62"/>
      <c r="J8" s="62"/>
      <c r="K8" s="63"/>
      <c r="L8" s="39" t="s">
        <v>29</v>
      </c>
      <c r="M8" s="39"/>
      <c r="N8" s="39"/>
      <c r="O8" s="60"/>
      <c r="AF8" s="12"/>
      <c r="AG8" s="12"/>
      <c r="AH8" s="12"/>
    </row>
    <row r="9" spans="1:73" ht="15.95" hidden="1" customHeight="1" x14ac:dyDescent="0.2">
      <c r="B9" s="25" t="s">
        <v>3</v>
      </c>
      <c r="C9" s="26" t="s">
        <v>10</v>
      </c>
      <c r="D9" s="26" t="s">
        <v>14</v>
      </c>
      <c r="E9" s="25" t="s">
        <v>15</v>
      </c>
      <c r="F9" s="26" t="s">
        <v>16</v>
      </c>
      <c r="G9" s="25" t="s">
        <v>17</v>
      </c>
      <c r="H9" s="25" t="s">
        <v>8</v>
      </c>
      <c r="I9" s="25" t="s">
        <v>18</v>
      </c>
      <c r="J9" s="27" t="s">
        <v>11</v>
      </c>
      <c r="K9" s="27" t="s">
        <v>19</v>
      </c>
      <c r="L9" s="28" t="s">
        <v>20</v>
      </c>
      <c r="M9" s="28" t="s">
        <v>21</v>
      </c>
      <c r="N9" s="28" t="s">
        <v>22</v>
      </c>
      <c r="O9" s="32"/>
      <c r="AF9" s="12"/>
      <c r="AG9" s="12"/>
      <c r="AH9" s="12"/>
    </row>
    <row r="10" spans="1:73" ht="24" customHeight="1" x14ac:dyDescent="0.2">
      <c r="B10" s="64">
        <v>1</v>
      </c>
      <c r="C10" s="66" t="s">
        <v>31</v>
      </c>
      <c r="D10" s="19" t="e">
        <f>VLOOKUP($B10,#REF!,3,0)</f>
        <v>#REF!</v>
      </c>
      <c r="E10" s="19" t="e">
        <f>VLOOKUP($B10,#REF!,4,0)</f>
        <v>#REF!</v>
      </c>
      <c r="F10" s="19" t="e">
        <f>VLOOKUP($B10,#REF!,5,0)</f>
        <v>#REF!</v>
      </c>
      <c r="G10" s="19" t="e">
        <f>VLOOKUP($B10,#REF!,6,0)</f>
        <v>#REF!</v>
      </c>
      <c r="H10" s="19" t="e">
        <f>VLOOKUP($B10,#REF!,7,0)</f>
        <v>#REF!</v>
      </c>
      <c r="I10" s="19" t="e">
        <f>VLOOKUP($B10,#REF!,8,0)</f>
        <v>#REF!</v>
      </c>
      <c r="J10" s="68">
        <v>955</v>
      </c>
      <c r="K10" s="22" t="s">
        <v>12</v>
      </c>
      <c r="L10" s="35">
        <v>75</v>
      </c>
      <c r="M10" s="35">
        <v>96</v>
      </c>
      <c r="N10" s="44">
        <v>93</v>
      </c>
      <c r="O10" s="40"/>
      <c r="P10" s="13"/>
      <c r="Q10" s="13"/>
      <c r="R10" s="13"/>
      <c r="S10" s="13"/>
      <c r="T10" s="13"/>
      <c r="AF10" s="12"/>
      <c r="AG10" s="12"/>
      <c r="AH10" s="14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  <c r="AX10" s="15"/>
      <c r="AY10" s="15"/>
      <c r="AZ10" s="15"/>
      <c r="BA10" s="15"/>
      <c r="BB10" s="15"/>
      <c r="BC10" s="15"/>
      <c r="BD10" s="15"/>
      <c r="BE10" s="15"/>
      <c r="BF10" s="15"/>
      <c r="BG10" s="15"/>
      <c r="BH10" s="15"/>
      <c r="BI10" s="15"/>
      <c r="BJ10" s="15"/>
      <c r="BK10" s="15"/>
      <c r="BL10" s="15"/>
      <c r="BM10" s="15"/>
      <c r="BN10" s="15"/>
      <c r="BO10" s="15"/>
      <c r="BP10" s="15"/>
      <c r="BQ10" s="15"/>
      <c r="BR10" s="15"/>
      <c r="BS10" s="15"/>
      <c r="BT10" s="15"/>
      <c r="BU10" s="15"/>
    </row>
    <row r="11" spans="1:73" ht="24" customHeight="1" thickBot="1" x14ac:dyDescent="0.25">
      <c r="B11" s="65"/>
      <c r="C11" s="67"/>
      <c r="D11" s="20" t="e">
        <f>VLOOKUP($B11,#REF!,3,0)</f>
        <v>#REF!</v>
      </c>
      <c r="E11" s="20" t="e">
        <f>VLOOKUP($B11,#REF!,4,0)</f>
        <v>#REF!</v>
      </c>
      <c r="F11" s="20" t="e">
        <f>VLOOKUP($B11,#REF!,5,0)</f>
        <v>#REF!</v>
      </c>
      <c r="G11" s="20" t="e">
        <f>VLOOKUP($B11,#REF!,6,0)</f>
        <v>#REF!</v>
      </c>
      <c r="H11" s="20" t="e">
        <f>VLOOKUP($B11,#REF!,7,0)</f>
        <v>#REF!</v>
      </c>
      <c r="I11" s="20" t="e">
        <f>VLOOKUP($B11,#REF!,8,0)</f>
        <v>#REF!</v>
      </c>
      <c r="J11" s="69"/>
      <c r="K11" s="34" t="s">
        <v>13</v>
      </c>
      <c r="L11" s="36">
        <v>95</v>
      </c>
      <c r="M11" s="36">
        <v>111</v>
      </c>
      <c r="N11" s="36">
        <v>117</v>
      </c>
      <c r="O11" s="41"/>
      <c r="P11" s="13"/>
      <c r="Q11" s="13"/>
      <c r="R11" s="13"/>
      <c r="S11" s="13"/>
      <c r="T11" s="13"/>
      <c r="AF11" s="12"/>
      <c r="AG11" s="12"/>
      <c r="AH11" s="14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  <c r="BC11" s="15"/>
      <c r="BD11" s="15"/>
      <c r="BE11" s="15"/>
      <c r="BF11" s="15"/>
      <c r="BG11" s="15"/>
      <c r="BH11" s="15"/>
      <c r="BI11" s="15"/>
      <c r="BJ11" s="15"/>
      <c r="BK11" s="15"/>
      <c r="BL11" s="15"/>
      <c r="BM11" s="15"/>
      <c r="BN11" s="15"/>
      <c r="BO11" s="15"/>
      <c r="BP11" s="15"/>
      <c r="BQ11" s="15"/>
      <c r="BR11" s="15"/>
      <c r="BS11" s="15"/>
      <c r="BT11" s="15"/>
      <c r="BU11" s="15"/>
    </row>
    <row r="12" spans="1:73" ht="24" customHeight="1" x14ac:dyDescent="0.2">
      <c r="B12" s="64">
        <v>2</v>
      </c>
      <c r="C12" s="70"/>
      <c r="D12" s="21" t="e">
        <f>VLOOKUP($B12,#REF!,3,0)</f>
        <v>#REF!</v>
      </c>
      <c r="E12" s="21" t="e">
        <f>VLOOKUP($B12,#REF!,4,0)</f>
        <v>#REF!</v>
      </c>
      <c r="F12" s="21" t="e">
        <f>VLOOKUP($B12,#REF!,5,0)</f>
        <v>#REF!</v>
      </c>
      <c r="G12" s="21" t="e">
        <f>VLOOKUP($B12,#REF!,6,0)</f>
        <v>#REF!</v>
      </c>
      <c r="H12" s="21" t="e">
        <f>VLOOKUP($B12,#REF!,7,0)</f>
        <v>#REF!</v>
      </c>
      <c r="I12" s="21" t="e">
        <f>VLOOKUP($B12,#REF!,8,0)</f>
        <v>#REF!</v>
      </c>
      <c r="J12" s="76"/>
      <c r="K12" s="46" t="s">
        <v>12</v>
      </c>
      <c r="L12" s="47"/>
      <c r="M12" s="47"/>
      <c r="N12" s="47"/>
      <c r="O12" s="51" t="s">
        <v>48</v>
      </c>
      <c r="P12" s="13"/>
      <c r="Q12" s="16"/>
      <c r="R12" s="13"/>
      <c r="S12" s="17"/>
      <c r="T12" s="13"/>
      <c r="AF12" s="12"/>
      <c r="AG12" s="12"/>
      <c r="AH12" s="12"/>
      <c r="AI12" s="18"/>
      <c r="AJ12" s="1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8"/>
      <c r="BI12" s="18"/>
      <c r="BJ12" s="18"/>
      <c r="BK12" s="18"/>
      <c r="BL12" s="18"/>
      <c r="BM12" s="18"/>
      <c r="BN12" s="18"/>
      <c r="BO12" s="18"/>
      <c r="BP12" s="18"/>
      <c r="BQ12" s="18"/>
      <c r="BR12" s="18"/>
      <c r="BS12" s="18"/>
      <c r="BT12" s="18"/>
      <c r="BU12" s="18"/>
    </row>
    <row r="13" spans="1:73" ht="24" customHeight="1" thickBot="1" x14ac:dyDescent="0.25">
      <c r="B13" s="65"/>
      <c r="C13" s="71"/>
      <c r="D13" s="20" t="e">
        <f>VLOOKUP($B13,#REF!,3,0)</f>
        <v>#REF!</v>
      </c>
      <c r="E13" s="20" t="e">
        <f>VLOOKUP($B13,#REF!,4,0)</f>
        <v>#REF!</v>
      </c>
      <c r="F13" s="20" t="e">
        <f>VLOOKUP($B13,#REF!,5,0)</f>
        <v>#REF!</v>
      </c>
      <c r="G13" s="20" t="e">
        <f>VLOOKUP($B13,#REF!,6,0)</f>
        <v>#REF!</v>
      </c>
      <c r="H13" s="20" t="e">
        <f>VLOOKUP($B13,#REF!,7,0)</f>
        <v>#REF!</v>
      </c>
      <c r="I13" s="20" t="e">
        <f>VLOOKUP($B13,#REF!,8,0)</f>
        <v>#REF!</v>
      </c>
      <c r="J13" s="77"/>
      <c r="K13" s="48" t="s">
        <v>13</v>
      </c>
      <c r="L13" s="49"/>
      <c r="M13" s="50"/>
      <c r="N13" s="50"/>
      <c r="O13" s="52"/>
      <c r="P13" s="13"/>
      <c r="Q13" s="13"/>
      <c r="R13" s="13"/>
      <c r="S13" s="13"/>
      <c r="T13" s="13"/>
      <c r="AF13" s="12"/>
      <c r="AG13" s="12"/>
      <c r="AH13" s="14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5"/>
      <c r="BI13" s="15"/>
      <c r="BJ13" s="15"/>
      <c r="BK13" s="15"/>
      <c r="BL13" s="15"/>
      <c r="BM13" s="15"/>
      <c r="BN13" s="15"/>
      <c r="BO13" s="15"/>
      <c r="BP13" s="15"/>
      <c r="BQ13" s="15"/>
      <c r="BR13" s="15"/>
      <c r="BS13" s="15"/>
      <c r="BT13" s="15"/>
      <c r="BU13" s="15"/>
    </row>
    <row r="14" spans="1:73" ht="24" customHeight="1" x14ac:dyDescent="0.2">
      <c r="B14" s="64">
        <v>3</v>
      </c>
      <c r="C14" s="78" t="s">
        <v>56</v>
      </c>
      <c r="D14" s="19" t="e">
        <f>VLOOKUP($B14,#REF!,3,0)</f>
        <v>#REF!</v>
      </c>
      <c r="E14" s="19" t="e">
        <f>VLOOKUP($B14,#REF!,4,0)</f>
        <v>#REF!</v>
      </c>
      <c r="F14" s="19" t="e">
        <f>VLOOKUP($B14,#REF!,5,0)</f>
        <v>#REF!</v>
      </c>
      <c r="G14" s="19" t="e">
        <f>VLOOKUP($B14,#REF!,6,0)</f>
        <v>#REF!</v>
      </c>
      <c r="H14" s="19" t="e">
        <f>VLOOKUP($B14,#REF!,7,0)</f>
        <v>#REF!</v>
      </c>
      <c r="I14" s="19" t="e">
        <f>VLOOKUP($B14,#REF!,8,0)</f>
        <v>#REF!</v>
      </c>
      <c r="J14" s="72"/>
      <c r="K14" s="22" t="s">
        <v>12</v>
      </c>
      <c r="L14" s="35">
        <v>91</v>
      </c>
      <c r="M14" s="35">
        <v>84</v>
      </c>
      <c r="N14" s="35">
        <v>89</v>
      </c>
      <c r="O14" s="73"/>
      <c r="P14" s="13"/>
      <c r="Q14" s="13"/>
      <c r="R14" s="13"/>
      <c r="S14" s="13"/>
      <c r="T14" s="13"/>
      <c r="AF14" s="12"/>
      <c r="AG14" s="12"/>
      <c r="AH14" s="12"/>
    </row>
    <row r="15" spans="1:73" ht="24" customHeight="1" thickBot="1" x14ac:dyDescent="0.25">
      <c r="B15" s="65"/>
      <c r="C15" s="79"/>
      <c r="D15" s="20" t="e">
        <f>VLOOKUP($B15,#REF!,3,0)</f>
        <v>#REF!</v>
      </c>
      <c r="E15" s="20" t="e">
        <f>VLOOKUP($B15,#REF!,4,0)</f>
        <v>#REF!</v>
      </c>
      <c r="F15" s="20" t="e">
        <f>VLOOKUP($B15,#REF!,5,0)</f>
        <v>#REF!</v>
      </c>
      <c r="G15" s="20" t="e">
        <f>VLOOKUP($B15,#REF!,6,0)</f>
        <v>#REF!</v>
      </c>
      <c r="H15" s="20" t="e">
        <f>VLOOKUP($B15,#REF!,7,0)</f>
        <v>#REF!</v>
      </c>
      <c r="I15" s="20" t="e">
        <f>VLOOKUP($B15,#REF!,8,0)</f>
        <v>#REF!</v>
      </c>
      <c r="J15" s="69"/>
      <c r="K15" s="34" t="s">
        <v>13</v>
      </c>
      <c r="L15" s="36">
        <v>110</v>
      </c>
      <c r="M15" s="36">
        <v>106</v>
      </c>
      <c r="N15" s="36">
        <v>107</v>
      </c>
      <c r="O15" s="74"/>
      <c r="P15" s="13"/>
      <c r="Q15" s="13"/>
      <c r="R15" s="13"/>
      <c r="S15" s="13"/>
      <c r="T15" s="13"/>
      <c r="AF15" s="12"/>
      <c r="AG15" s="12"/>
      <c r="AH15" s="14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5"/>
      <c r="BI15" s="15"/>
      <c r="BJ15" s="15"/>
      <c r="BK15" s="15"/>
      <c r="BL15" s="15"/>
      <c r="BM15" s="15"/>
      <c r="BN15" s="15"/>
      <c r="BO15" s="15"/>
      <c r="BP15" s="15"/>
      <c r="BQ15" s="15"/>
      <c r="BR15" s="15"/>
      <c r="BS15" s="15"/>
      <c r="BT15" s="15"/>
      <c r="BU15" s="15"/>
    </row>
    <row r="16" spans="1:73" ht="24" customHeight="1" x14ac:dyDescent="0.2">
      <c r="B16" s="64">
        <v>4</v>
      </c>
      <c r="C16" s="80" t="s">
        <v>57</v>
      </c>
      <c r="D16" s="19" t="e">
        <f>VLOOKUP($B16,#REF!,3,0)</f>
        <v>#REF!</v>
      </c>
      <c r="E16" s="19" t="e">
        <f>VLOOKUP($B16,#REF!,4,0)</f>
        <v>#REF!</v>
      </c>
      <c r="F16" s="19" t="e">
        <f>VLOOKUP($B16,#REF!,5,0)</f>
        <v>#REF!</v>
      </c>
      <c r="G16" s="19" t="e">
        <f>VLOOKUP($B16,#REF!,6,0)</f>
        <v>#REF!</v>
      </c>
      <c r="H16" s="19" t="e">
        <f>VLOOKUP($B16,#REF!,7,0)</f>
        <v>#REF!</v>
      </c>
      <c r="I16" s="19" t="e">
        <f>VLOOKUP($B16,#REF!,8,0)</f>
        <v>#REF!</v>
      </c>
      <c r="J16" s="72"/>
      <c r="K16" s="22" t="s">
        <v>12</v>
      </c>
      <c r="L16" s="35">
        <v>110</v>
      </c>
      <c r="M16" s="35">
        <v>104</v>
      </c>
      <c r="N16" s="44">
        <v>98</v>
      </c>
      <c r="O16" s="73" t="s">
        <v>49</v>
      </c>
      <c r="P16" s="13"/>
      <c r="Q16" s="13"/>
      <c r="R16" s="13"/>
      <c r="S16" s="13"/>
      <c r="T16" s="13"/>
    </row>
    <row r="17" spans="2:73" ht="24" customHeight="1" thickBot="1" x14ac:dyDescent="0.25">
      <c r="B17" s="65"/>
      <c r="C17" s="81"/>
      <c r="D17" s="20" t="e">
        <f>VLOOKUP($B17,#REF!,3,0)</f>
        <v>#REF!</v>
      </c>
      <c r="E17" s="20" t="e">
        <f>VLOOKUP($B17,#REF!,4,0)</f>
        <v>#REF!</v>
      </c>
      <c r="F17" s="20" t="e">
        <f>VLOOKUP($B17,#REF!,5,0)</f>
        <v>#REF!</v>
      </c>
      <c r="G17" s="20" t="e">
        <f>VLOOKUP($B17,#REF!,6,0)</f>
        <v>#REF!</v>
      </c>
      <c r="H17" s="20" t="e">
        <f>VLOOKUP($B17,#REF!,7,0)</f>
        <v>#REF!</v>
      </c>
      <c r="I17" s="20" t="e">
        <f>VLOOKUP($B17,#REF!,8,0)</f>
        <v>#REF!</v>
      </c>
      <c r="J17" s="69"/>
      <c r="K17" s="34" t="s">
        <v>13</v>
      </c>
      <c r="L17" s="36">
        <v>130</v>
      </c>
      <c r="M17" s="36">
        <v>132</v>
      </c>
      <c r="N17" s="36">
        <v>128</v>
      </c>
      <c r="O17" s="74"/>
      <c r="P17" s="13"/>
      <c r="Q17" s="13"/>
      <c r="R17" s="13"/>
      <c r="S17" s="13"/>
      <c r="T17" s="13"/>
      <c r="AF17" s="12"/>
      <c r="AG17" s="12"/>
      <c r="AH17" s="14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5"/>
      <c r="BI17" s="15"/>
      <c r="BJ17" s="15"/>
      <c r="BK17" s="15"/>
      <c r="BL17" s="15"/>
      <c r="BM17" s="15"/>
      <c r="BN17" s="15"/>
      <c r="BO17" s="15"/>
      <c r="BP17" s="15"/>
      <c r="BQ17" s="15"/>
      <c r="BR17" s="15"/>
      <c r="BS17" s="15"/>
      <c r="BT17" s="15"/>
      <c r="BU17" s="15"/>
    </row>
    <row r="18" spans="2:73" ht="23.1" customHeight="1" x14ac:dyDescent="0.2">
      <c r="B18" s="64">
        <v>5</v>
      </c>
      <c r="C18" s="78" t="s">
        <v>56</v>
      </c>
      <c r="D18" s="19" t="e">
        <f>VLOOKUP($B18,#REF!,3,0)</f>
        <v>#REF!</v>
      </c>
      <c r="E18" s="19" t="e">
        <f>VLOOKUP($B18,#REF!,4,0)</f>
        <v>#REF!</v>
      </c>
      <c r="F18" s="19" t="e">
        <f>VLOOKUP($B18,#REF!,5,0)</f>
        <v>#REF!</v>
      </c>
      <c r="G18" s="19" t="e">
        <f>VLOOKUP($B18,#REF!,6,0)</f>
        <v>#REF!</v>
      </c>
      <c r="H18" s="19" t="e">
        <f>VLOOKUP($B18,#REF!,7,0)</f>
        <v>#REF!</v>
      </c>
      <c r="I18" s="19" t="e">
        <f>VLOOKUP($B18,#REF!,8,0)</f>
        <v>#REF!</v>
      </c>
      <c r="J18" s="72"/>
      <c r="K18" s="22" t="s">
        <v>12</v>
      </c>
      <c r="L18" s="44">
        <v>93</v>
      </c>
      <c r="M18" s="35">
        <v>100</v>
      </c>
      <c r="N18" s="44">
        <v>96</v>
      </c>
      <c r="O18" s="73"/>
      <c r="P18" s="13"/>
      <c r="Q18" s="13"/>
      <c r="R18" s="13"/>
      <c r="S18" s="13"/>
      <c r="T18" s="13"/>
      <c r="AF18" s="12"/>
      <c r="AG18" s="12"/>
      <c r="AH18" s="12"/>
    </row>
    <row r="19" spans="2:73" ht="24" customHeight="1" thickBot="1" x14ac:dyDescent="0.25">
      <c r="B19" s="65"/>
      <c r="C19" s="79"/>
      <c r="D19" s="20" t="e">
        <f>VLOOKUP($B19,#REF!,3,0)</f>
        <v>#REF!</v>
      </c>
      <c r="E19" s="20" t="e">
        <f>VLOOKUP($B19,#REF!,4,0)</f>
        <v>#REF!</v>
      </c>
      <c r="F19" s="20" t="e">
        <f>VLOOKUP($B19,#REF!,5,0)</f>
        <v>#REF!</v>
      </c>
      <c r="G19" s="20" t="e">
        <f>VLOOKUP($B19,#REF!,6,0)</f>
        <v>#REF!</v>
      </c>
      <c r="H19" s="20" t="e">
        <f>VLOOKUP($B19,#REF!,7,0)</f>
        <v>#REF!</v>
      </c>
      <c r="I19" s="20" t="e">
        <f>VLOOKUP($B19,#REF!,8,0)</f>
        <v>#REF!</v>
      </c>
      <c r="J19" s="69"/>
      <c r="K19" s="34" t="s">
        <v>13</v>
      </c>
      <c r="L19" s="36">
        <v>118</v>
      </c>
      <c r="M19" s="36">
        <v>123</v>
      </c>
      <c r="N19" s="36">
        <v>126</v>
      </c>
      <c r="O19" s="74"/>
      <c r="P19" s="13"/>
      <c r="Q19" s="13"/>
      <c r="R19" s="13"/>
      <c r="S19" s="13"/>
      <c r="T19" s="13"/>
      <c r="AF19" s="12"/>
      <c r="AG19" s="12"/>
      <c r="AH19" s="14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</row>
    <row r="20" spans="2:73" ht="24" customHeight="1" x14ac:dyDescent="0.2">
      <c r="B20" s="64">
        <v>6</v>
      </c>
      <c r="C20" s="80" t="s">
        <v>57</v>
      </c>
      <c r="D20" s="19" t="e">
        <f>VLOOKUP($B20,#REF!,3,0)</f>
        <v>#REF!</v>
      </c>
      <c r="E20" s="19" t="e">
        <f>VLOOKUP($B20,#REF!,4,0)</f>
        <v>#REF!</v>
      </c>
      <c r="F20" s="19" t="e">
        <f>VLOOKUP($B20,#REF!,5,0)</f>
        <v>#REF!</v>
      </c>
      <c r="G20" s="19" t="e">
        <f>VLOOKUP($B20,#REF!,6,0)</f>
        <v>#REF!</v>
      </c>
      <c r="H20" s="19" t="e">
        <f>VLOOKUP($B20,#REF!,7,0)</f>
        <v>#REF!</v>
      </c>
      <c r="I20" s="19" t="e">
        <f>VLOOKUP($B20,#REF!,8,0)</f>
        <v>#REF!</v>
      </c>
      <c r="J20" s="72"/>
      <c r="K20" s="22" t="s">
        <v>12</v>
      </c>
      <c r="L20" s="35">
        <v>89</v>
      </c>
      <c r="M20" s="35">
        <v>84</v>
      </c>
      <c r="N20" s="35">
        <v>77</v>
      </c>
      <c r="O20" s="73" t="s">
        <v>50</v>
      </c>
      <c r="P20" s="13"/>
      <c r="Q20" s="13"/>
      <c r="R20" s="13"/>
      <c r="S20" s="13"/>
      <c r="T20" s="13"/>
      <c r="AF20" s="12"/>
      <c r="AG20" s="12"/>
      <c r="AH20" s="12"/>
    </row>
    <row r="21" spans="2:73" ht="24" customHeight="1" thickBot="1" x14ac:dyDescent="0.25">
      <c r="B21" s="65"/>
      <c r="C21" s="81"/>
      <c r="D21" s="20" t="e">
        <f>VLOOKUP($B21,#REF!,3,0)</f>
        <v>#REF!</v>
      </c>
      <c r="E21" s="20" t="e">
        <f>VLOOKUP($B21,#REF!,4,0)</f>
        <v>#REF!</v>
      </c>
      <c r="F21" s="20" t="e">
        <f>VLOOKUP($B21,#REF!,5,0)</f>
        <v>#REF!</v>
      </c>
      <c r="G21" s="20" t="e">
        <f>VLOOKUP($B21,#REF!,6,0)</f>
        <v>#REF!</v>
      </c>
      <c r="H21" s="20" t="e">
        <f>VLOOKUP($B21,#REF!,7,0)</f>
        <v>#REF!</v>
      </c>
      <c r="I21" s="20" t="e">
        <f>VLOOKUP($B21,#REF!,8,0)</f>
        <v>#REF!</v>
      </c>
      <c r="J21" s="69"/>
      <c r="K21" s="34" t="s">
        <v>13</v>
      </c>
      <c r="L21" s="36">
        <v>109</v>
      </c>
      <c r="M21" s="36">
        <v>97</v>
      </c>
      <c r="N21" s="36">
        <v>91</v>
      </c>
      <c r="O21" s="74"/>
      <c r="P21" s="13"/>
      <c r="Q21" s="13"/>
      <c r="R21" s="13"/>
      <c r="S21" s="13"/>
      <c r="T21" s="13"/>
      <c r="AF21" s="12"/>
      <c r="AG21" s="12"/>
      <c r="AH21" s="14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  <c r="AX21" s="15"/>
      <c r="AY21" s="15"/>
      <c r="AZ21" s="15"/>
      <c r="BA21" s="15"/>
      <c r="BB21" s="15"/>
      <c r="BC21" s="15"/>
      <c r="BD21" s="15"/>
      <c r="BE21" s="15"/>
      <c r="BF21" s="15"/>
      <c r="BG21" s="15"/>
      <c r="BH21" s="15"/>
      <c r="BI21" s="15"/>
      <c r="BJ21" s="15"/>
      <c r="BK21" s="15"/>
      <c r="BL21" s="15"/>
      <c r="BM21" s="15"/>
      <c r="BN21" s="15"/>
      <c r="BO21" s="15"/>
      <c r="BP21" s="15"/>
      <c r="BQ21" s="15"/>
      <c r="BR21" s="15"/>
      <c r="BS21" s="15"/>
      <c r="BT21" s="15"/>
      <c r="BU21" s="15"/>
    </row>
    <row r="22" spans="2:73" ht="24" customHeight="1" x14ac:dyDescent="0.2">
      <c r="B22" s="64">
        <v>7</v>
      </c>
      <c r="C22" s="78" t="s">
        <v>56</v>
      </c>
      <c r="D22" s="19" t="e">
        <f>VLOOKUP($B22,#REF!,3,0)</f>
        <v>#REF!</v>
      </c>
      <c r="E22" s="19" t="e">
        <f>VLOOKUP($B22,#REF!,4,0)</f>
        <v>#REF!</v>
      </c>
      <c r="F22" s="19" t="e">
        <f>VLOOKUP($B22,#REF!,5,0)</f>
        <v>#REF!</v>
      </c>
      <c r="G22" s="19" t="e">
        <f>VLOOKUP($B22,#REF!,6,0)</f>
        <v>#REF!</v>
      </c>
      <c r="H22" s="19" t="e">
        <f>VLOOKUP($B22,#REF!,7,0)</f>
        <v>#REF!</v>
      </c>
      <c r="I22" s="19" t="e">
        <f>VLOOKUP($B22,#REF!,8,0)</f>
        <v>#REF!</v>
      </c>
      <c r="J22" s="72"/>
      <c r="K22" s="22" t="s">
        <v>12</v>
      </c>
      <c r="L22" s="35">
        <v>104</v>
      </c>
      <c r="M22" s="35">
        <v>104</v>
      </c>
      <c r="N22" s="35">
        <v>101</v>
      </c>
      <c r="O22" s="73" t="s">
        <v>51</v>
      </c>
      <c r="P22" s="13"/>
      <c r="Q22" s="13"/>
      <c r="R22" s="13"/>
      <c r="S22" s="13"/>
      <c r="T22" s="13"/>
      <c r="AF22" s="12"/>
      <c r="AG22" s="12"/>
      <c r="AH22" s="12"/>
    </row>
    <row r="23" spans="2:73" ht="24" customHeight="1" thickBot="1" x14ac:dyDescent="0.25">
      <c r="B23" s="65"/>
      <c r="C23" s="79"/>
      <c r="D23" s="20" t="e">
        <f>VLOOKUP($B23,#REF!,3,0)</f>
        <v>#REF!</v>
      </c>
      <c r="E23" s="20" t="e">
        <f>VLOOKUP($B23,#REF!,4,0)</f>
        <v>#REF!</v>
      </c>
      <c r="F23" s="20" t="e">
        <f>VLOOKUP($B23,#REF!,5,0)</f>
        <v>#REF!</v>
      </c>
      <c r="G23" s="20" t="e">
        <f>VLOOKUP($B23,#REF!,6,0)</f>
        <v>#REF!</v>
      </c>
      <c r="H23" s="20" t="e">
        <f>VLOOKUP($B23,#REF!,7,0)</f>
        <v>#REF!</v>
      </c>
      <c r="I23" s="20" t="e">
        <f>VLOOKUP($B23,#REF!,8,0)</f>
        <v>#REF!</v>
      </c>
      <c r="J23" s="69"/>
      <c r="K23" s="34" t="s">
        <v>13</v>
      </c>
      <c r="L23" s="36">
        <v>136</v>
      </c>
      <c r="M23" s="36">
        <v>127</v>
      </c>
      <c r="N23" s="36">
        <v>120</v>
      </c>
      <c r="O23" s="74"/>
      <c r="P23" s="13"/>
      <c r="Q23" s="13"/>
      <c r="R23" s="13"/>
      <c r="S23" s="13"/>
      <c r="T23" s="13"/>
      <c r="AF23" s="12"/>
      <c r="AG23" s="12"/>
      <c r="AH23" s="14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5"/>
      <c r="BB23" s="15"/>
      <c r="BC23" s="15"/>
      <c r="BD23" s="15"/>
      <c r="BE23" s="15"/>
      <c r="BF23" s="15"/>
      <c r="BG23" s="15"/>
      <c r="BH23" s="15"/>
      <c r="BI23" s="15"/>
      <c r="BJ23" s="15"/>
      <c r="BK23" s="15"/>
      <c r="BL23" s="15"/>
      <c r="BM23" s="15"/>
      <c r="BN23" s="15"/>
      <c r="BO23" s="15"/>
      <c r="BP23" s="15"/>
      <c r="BQ23" s="15"/>
      <c r="BR23" s="15"/>
      <c r="BS23" s="15"/>
      <c r="BT23" s="15"/>
      <c r="BU23" s="15"/>
    </row>
    <row r="24" spans="2:73" ht="24" customHeight="1" x14ac:dyDescent="0.2">
      <c r="B24" s="64">
        <v>8</v>
      </c>
      <c r="C24" s="80" t="s">
        <v>57</v>
      </c>
      <c r="D24" s="19" t="e">
        <f>VLOOKUP($B24,#REF!,3,0)</f>
        <v>#REF!</v>
      </c>
      <c r="E24" s="19" t="e">
        <f>VLOOKUP($B24,#REF!,4,0)</f>
        <v>#REF!</v>
      </c>
      <c r="F24" s="19" t="e">
        <f>VLOOKUP($B24,#REF!,5,0)</f>
        <v>#REF!</v>
      </c>
      <c r="G24" s="19" t="e">
        <f>VLOOKUP($B24,#REF!,6,0)</f>
        <v>#REF!</v>
      </c>
      <c r="H24" s="19" t="e">
        <f>VLOOKUP($B24,#REF!,7,0)</f>
        <v>#REF!</v>
      </c>
      <c r="I24" s="19" t="e">
        <f>VLOOKUP($B24,#REF!,8,0)</f>
        <v>#REF!</v>
      </c>
      <c r="J24" s="72">
        <v>1025</v>
      </c>
      <c r="K24" s="22" t="s">
        <v>12</v>
      </c>
      <c r="L24" s="35">
        <v>84</v>
      </c>
      <c r="M24" s="35">
        <v>94</v>
      </c>
      <c r="N24" s="35">
        <v>95</v>
      </c>
      <c r="O24" s="73" t="s">
        <v>52</v>
      </c>
      <c r="P24" s="13"/>
      <c r="Q24" s="13"/>
      <c r="R24" s="13"/>
      <c r="S24" s="13"/>
      <c r="T24" s="13"/>
      <c r="AF24" s="9"/>
      <c r="AG24" s="9"/>
      <c r="AH24" s="9"/>
    </row>
    <row r="25" spans="2:73" ht="24" customHeight="1" thickBot="1" x14ac:dyDescent="0.25">
      <c r="B25" s="65"/>
      <c r="C25" s="81"/>
      <c r="D25" s="20" t="e">
        <f>VLOOKUP($B25,#REF!,3,0)</f>
        <v>#REF!</v>
      </c>
      <c r="E25" s="20" t="e">
        <f>VLOOKUP($B25,#REF!,4,0)</f>
        <v>#REF!</v>
      </c>
      <c r="F25" s="20" t="e">
        <f>VLOOKUP($B25,#REF!,5,0)</f>
        <v>#REF!</v>
      </c>
      <c r="G25" s="20" t="e">
        <f>VLOOKUP($B25,#REF!,6,0)</f>
        <v>#REF!</v>
      </c>
      <c r="H25" s="20" t="e">
        <f>VLOOKUP($B25,#REF!,7,0)</f>
        <v>#REF!</v>
      </c>
      <c r="I25" s="20" t="e">
        <f>VLOOKUP($B25,#REF!,8,0)</f>
        <v>#REF!</v>
      </c>
      <c r="J25" s="69"/>
      <c r="K25" s="34" t="s">
        <v>13</v>
      </c>
      <c r="L25" s="36">
        <v>106</v>
      </c>
      <c r="M25" s="36">
        <v>125</v>
      </c>
      <c r="N25" s="36">
        <v>118</v>
      </c>
      <c r="O25" s="74"/>
      <c r="P25" s="13"/>
      <c r="Q25" s="13"/>
      <c r="R25" s="13"/>
      <c r="S25" s="13"/>
      <c r="T25" s="13"/>
      <c r="AF25" s="12"/>
      <c r="AG25" s="12"/>
      <c r="AH25" s="14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AX25" s="15"/>
      <c r="AY25" s="15"/>
      <c r="AZ25" s="15"/>
      <c r="BA25" s="15"/>
      <c r="BB25" s="15"/>
      <c r="BC25" s="15"/>
      <c r="BD25" s="15"/>
      <c r="BE25" s="15"/>
      <c r="BF25" s="15"/>
      <c r="BG25" s="15"/>
      <c r="BH25" s="15"/>
      <c r="BI25" s="15"/>
      <c r="BJ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</row>
    <row r="26" spans="2:73" ht="24" customHeight="1" x14ac:dyDescent="0.2">
      <c r="B26" s="64">
        <v>9</v>
      </c>
      <c r="C26" s="70" t="s">
        <v>33</v>
      </c>
      <c r="D26" s="19" t="e">
        <f>VLOOKUP($B26,#REF!,3,0)</f>
        <v>#REF!</v>
      </c>
      <c r="E26" s="19" t="e">
        <f>VLOOKUP($B26,#REF!,4,0)</f>
        <v>#REF!</v>
      </c>
      <c r="F26" s="19" t="e">
        <f>VLOOKUP($B26,#REF!,5,0)</f>
        <v>#REF!</v>
      </c>
      <c r="G26" s="19" t="e">
        <f>VLOOKUP($B26,#REF!,6,0)</f>
        <v>#REF!</v>
      </c>
      <c r="H26" s="19" t="e">
        <f>VLOOKUP($B26,#REF!,7,0)</f>
        <v>#REF!</v>
      </c>
      <c r="I26" s="19" t="e">
        <f>VLOOKUP($B26,#REF!,8,0)</f>
        <v>#REF!</v>
      </c>
      <c r="J26" s="72">
        <v>1046</v>
      </c>
      <c r="K26" s="22" t="s">
        <v>12</v>
      </c>
      <c r="L26" s="35">
        <v>86</v>
      </c>
      <c r="M26" s="35">
        <v>94</v>
      </c>
      <c r="N26" s="35">
        <v>87</v>
      </c>
      <c r="O26" s="73" t="s">
        <v>53</v>
      </c>
      <c r="P26" s="13"/>
      <c r="Q26" s="13"/>
      <c r="R26" s="13"/>
      <c r="S26" s="13"/>
      <c r="T26" s="13"/>
      <c r="AF26" s="12"/>
      <c r="AG26" s="12"/>
      <c r="AH26" s="12"/>
    </row>
    <row r="27" spans="2:73" ht="24" customHeight="1" thickBot="1" x14ac:dyDescent="0.25">
      <c r="B27" s="65"/>
      <c r="C27" s="71"/>
      <c r="D27" s="20" t="e">
        <f>VLOOKUP($B27,#REF!,3,0)</f>
        <v>#REF!</v>
      </c>
      <c r="E27" s="20" t="e">
        <f>VLOOKUP($B27,#REF!,4,0)</f>
        <v>#REF!</v>
      </c>
      <c r="F27" s="20" t="e">
        <f>VLOOKUP($B27,#REF!,5,0)</f>
        <v>#REF!</v>
      </c>
      <c r="G27" s="20" t="e">
        <f>VLOOKUP($B27,#REF!,6,0)</f>
        <v>#REF!</v>
      </c>
      <c r="H27" s="20" t="e">
        <f>VLOOKUP($B27,#REF!,7,0)</f>
        <v>#REF!</v>
      </c>
      <c r="I27" s="20" t="e">
        <f>VLOOKUP($B27,#REF!,8,0)</f>
        <v>#REF!</v>
      </c>
      <c r="J27" s="69"/>
      <c r="K27" s="34" t="s">
        <v>13</v>
      </c>
      <c r="L27" s="36">
        <v>105</v>
      </c>
      <c r="M27" s="36">
        <v>106</v>
      </c>
      <c r="N27" s="36">
        <v>103</v>
      </c>
      <c r="O27" s="74"/>
      <c r="P27" s="13"/>
      <c r="Q27" s="13"/>
      <c r="R27" s="13"/>
      <c r="S27" s="13"/>
      <c r="T27" s="13"/>
      <c r="AF27" s="12"/>
      <c r="AG27" s="12"/>
      <c r="AH27" s="14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AX27" s="15"/>
      <c r="AY27" s="15"/>
      <c r="AZ27" s="15"/>
      <c r="BA27" s="15"/>
      <c r="BB27" s="15"/>
      <c r="BC27" s="15"/>
      <c r="BD27" s="15"/>
      <c r="BE27" s="15"/>
      <c r="BF27" s="15"/>
      <c r="BG27" s="15"/>
      <c r="BH27" s="15"/>
      <c r="BI27" s="15"/>
      <c r="BJ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</row>
    <row r="28" spans="2:73" ht="24" customHeight="1" x14ac:dyDescent="0.2">
      <c r="B28" s="75">
        <v>10</v>
      </c>
      <c r="C28" s="70" t="s">
        <v>32</v>
      </c>
      <c r="D28" s="19" t="e">
        <f>VLOOKUP($B28,#REF!,3,0)</f>
        <v>#REF!</v>
      </c>
      <c r="E28" s="19" t="e">
        <f>VLOOKUP($B28,#REF!,4,0)</f>
        <v>#REF!</v>
      </c>
      <c r="F28" s="19" t="e">
        <f>VLOOKUP($B28,#REF!,5,0)</f>
        <v>#REF!</v>
      </c>
      <c r="G28" s="19" t="e">
        <f>VLOOKUP($B28,#REF!,6,0)</f>
        <v>#REF!</v>
      </c>
      <c r="H28" s="19" t="e">
        <f>VLOOKUP($B28,#REF!,7,0)</f>
        <v>#REF!</v>
      </c>
      <c r="I28" s="19" t="e">
        <f>VLOOKUP($B28,#REF!,8,0)</f>
        <v>#REF!</v>
      </c>
      <c r="J28" s="72"/>
      <c r="K28" s="22" t="s">
        <v>12</v>
      </c>
      <c r="L28" s="35">
        <v>92</v>
      </c>
      <c r="M28" s="35">
        <v>97</v>
      </c>
      <c r="N28" s="35">
        <v>101</v>
      </c>
      <c r="O28" s="73" t="s">
        <v>54</v>
      </c>
      <c r="P28" s="13"/>
      <c r="Q28" s="13"/>
      <c r="R28" s="13"/>
      <c r="S28" s="13"/>
      <c r="T28" s="13"/>
    </row>
    <row r="29" spans="2:73" ht="24" customHeight="1" thickBot="1" x14ac:dyDescent="0.25">
      <c r="B29" s="65"/>
      <c r="C29" s="71"/>
      <c r="D29" s="20" t="e">
        <f>VLOOKUP($B29,#REF!,3,0)</f>
        <v>#REF!</v>
      </c>
      <c r="E29" s="20" t="e">
        <f>VLOOKUP($B29,#REF!,4,0)</f>
        <v>#REF!</v>
      </c>
      <c r="F29" s="20" t="e">
        <f>VLOOKUP($B29,#REF!,5,0)</f>
        <v>#REF!</v>
      </c>
      <c r="G29" s="20" t="e">
        <f>VLOOKUP($B29,#REF!,6,0)</f>
        <v>#REF!</v>
      </c>
      <c r="H29" s="20" t="e">
        <f>VLOOKUP($B29,#REF!,7,0)</f>
        <v>#REF!</v>
      </c>
      <c r="I29" s="20" t="e">
        <f>VLOOKUP($B29,#REF!,8,0)</f>
        <v>#REF!</v>
      </c>
      <c r="J29" s="69"/>
      <c r="K29" s="34" t="s">
        <v>13</v>
      </c>
      <c r="L29" s="36">
        <v>119</v>
      </c>
      <c r="M29" s="36">
        <v>118</v>
      </c>
      <c r="N29" s="36">
        <v>123</v>
      </c>
      <c r="O29" s="74"/>
      <c r="P29" s="13"/>
      <c r="Q29" s="13"/>
      <c r="R29" s="13"/>
      <c r="S29" s="13"/>
      <c r="T29" s="13"/>
      <c r="AF29" s="12"/>
      <c r="AG29" s="12"/>
      <c r="AH29" s="14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AX29" s="15"/>
      <c r="AY29" s="15"/>
      <c r="AZ29" s="15"/>
      <c r="BA29" s="15"/>
      <c r="BB29" s="15"/>
      <c r="BC29" s="15"/>
      <c r="BD29" s="15"/>
      <c r="BE29" s="15"/>
      <c r="BF29" s="15"/>
      <c r="BG29" s="15"/>
      <c r="BH29" s="15"/>
      <c r="BI29" s="15"/>
      <c r="BJ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</row>
    <row r="30" spans="2:73" ht="24" customHeight="1" x14ac:dyDescent="0.2">
      <c r="B30" s="75">
        <v>11</v>
      </c>
      <c r="C30" s="70" t="s">
        <v>33</v>
      </c>
      <c r="D30" s="19" t="e">
        <f>VLOOKUP($B30,#REF!,3,0)</f>
        <v>#REF!</v>
      </c>
      <c r="E30" s="19" t="e">
        <f>VLOOKUP($B30,#REF!,4,0)</f>
        <v>#REF!</v>
      </c>
      <c r="F30" s="19" t="e">
        <f>VLOOKUP($B30,#REF!,5,0)</f>
        <v>#REF!</v>
      </c>
      <c r="G30" s="19" t="e">
        <f>VLOOKUP($B30,#REF!,6,0)</f>
        <v>#REF!</v>
      </c>
      <c r="H30" s="19" t="e">
        <f>VLOOKUP($B30,#REF!,7,0)</f>
        <v>#REF!</v>
      </c>
      <c r="I30" s="19" t="e">
        <f>VLOOKUP($B30,#REF!,8,0)</f>
        <v>#REF!</v>
      </c>
      <c r="J30" s="72"/>
      <c r="K30" s="22" t="s">
        <v>12</v>
      </c>
      <c r="L30" s="44">
        <v>101</v>
      </c>
      <c r="M30" s="35">
        <v>108</v>
      </c>
      <c r="N30" s="35">
        <v>98</v>
      </c>
      <c r="O30" s="73" t="s">
        <v>55</v>
      </c>
      <c r="P30" s="13"/>
      <c r="Q30" s="13"/>
      <c r="R30" s="13"/>
      <c r="S30" s="13"/>
      <c r="T30" s="13"/>
    </row>
    <row r="31" spans="2:73" ht="24" customHeight="1" thickBot="1" x14ac:dyDescent="0.25">
      <c r="B31" s="65"/>
      <c r="C31" s="71"/>
      <c r="D31" s="20" t="e">
        <f>VLOOKUP($B31,#REF!,3,0)</f>
        <v>#REF!</v>
      </c>
      <c r="E31" s="20" t="e">
        <f>VLOOKUP($B31,#REF!,4,0)</f>
        <v>#REF!</v>
      </c>
      <c r="F31" s="20" t="e">
        <f>VLOOKUP($B31,#REF!,5,0)</f>
        <v>#REF!</v>
      </c>
      <c r="G31" s="20" t="e">
        <f>VLOOKUP($B31,#REF!,6,0)</f>
        <v>#REF!</v>
      </c>
      <c r="H31" s="20" t="e">
        <f>VLOOKUP($B31,#REF!,7,0)</f>
        <v>#REF!</v>
      </c>
      <c r="I31" s="20" t="e">
        <f>VLOOKUP($B31,#REF!,8,0)</f>
        <v>#REF!</v>
      </c>
      <c r="J31" s="69"/>
      <c r="K31" s="34" t="s">
        <v>13</v>
      </c>
      <c r="L31" s="36">
        <v>122</v>
      </c>
      <c r="M31" s="36">
        <v>128</v>
      </c>
      <c r="N31" s="36">
        <v>121</v>
      </c>
      <c r="O31" s="74"/>
      <c r="P31" s="13"/>
      <c r="Q31" s="13"/>
      <c r="R31" s="13"/>
      <c r="S31" s="13"/>
      <c r="T31" s="13"/>
      <c r="AF31" s="12"/>
      <c r="AG31" s="12"/>
      <c r="AH31" s="14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AX31" s="15"/>
      <c r="AY31" s="15"/>
      <c r="AZ31" s="15"/>
      <c r="BA31" s="15"/>
      <c r="BB31" s="15"/>
      <c r="BC31" s="15"/>
      <c r="BD31" s="15"/>
      <c r="BE31" s="15"/>
      <c r="BF31" s="15"/>
      <c r="BG31" s="15"/>
      <c r="BH31" s="15"/>
      <c r="BI31" s="15"/>
      <c r="BJ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</row>
    <row r="32" spans="2:73" ht="24" customHeight="1" x14ac:dyDescent="0.2">
      <c r="B32" s="75">
        <v>12</v>
      </c>
      <c r="C32" s="70" t="s">
        <v>32</v>
      </c>
      <c r="D32" s="19" t="e">
        <f>VLOOKUP($B32,#REF!,3,0)</f>
        <v>#REF!</v>
      </c>
      <c r="E32" s="19" t="e">
        <f>VLOOKUP($B32,#REF!,4,0)</f>
        <v>#REF!</v>
      </c>
      <c r="F32" s="19" t="e">
        <f>VLOOKUP($B32,#REF!,5,0)</f>
        <v>#REF!</v>
      </c>
      <c r="G32" s="19" t="e">
        <f>VLOOKUP($B32,#REF!,6,0)</f>
        <v>#REF!</v>
      </c>
      <c r="H32" s="19" t="e">
        <f>VLOOKUP($B32,#REF!,7,0)</f>
        <v>#REF!</v>
      </c>
      <c r="I32" s="19" t="e">
        <f>VLOOKUP($B32,#REF!,8,0)</f>
        <v>#REF!</v>
      </c>
      <c r="J32" s="72"/>
      <c r="K32" s="22" t="s">
        <v>12</v>
      </c>
      <c r="L32" s="35">
        <v>100</v>
      </c>
      <c r="M32" s="35">
        <v>102</v>
      </c>
      <c r="N32" s="35">
        <v>104</v>
      </c>
      <c r="O32" s="73" t="s">
        <v>55</v>
      </c>
      <c r="P32" s="13"/>
      <c r="Q32" s="13"/>
      <c r="R32" s="13"/>
      <c r="S32" s="13"/>
      <c r="T32" s="13"/>
    </row>
    <row r="33" spans="2:73" ht="24" customHeight="1" thickBot="1" x14ac:dyDescent="0.25">
      <c r="B33" s="65"/>
      <c r="C33" s="71"/>
      <c r="D33" s="20" t="e">
        <f>VLOOKUP($B33,#REF!,3,0)</f>
        <v>#REF!</v>
      </c>
      <c r="E33" s="20" t="e">
        <f>VLOOKUP($B33,#REF!,4,0)</f>
        <v>#REF!</v>
      </c>
      <c r="F33" s="20" t="e">
        <f>VLOOKUP($B33,#REF!,5,0)</f>
        <v>#REF!</v>
      </c>
      <c r="G33" s="20" t="e">
        <f>VLOOKUP($B33,#REF!,6,0)</f>
        <v>#REF!</v>
      </c>
      <c r="H33" s="20" t="e">
        <f>VLOOKUP($B33,#REF!,7,0)</f>
        <v>#REF!</v>
      </c>
      <c r="I33" s="20" t="e">
        <f>VLOOKUP($B33,#REF!,8,0)</f>
        <v>#REF!</v>
      </c>
      <c r="J33" s="69"/>
      <c r="K33" s="34" t="s">
        <v>13</v>
      </c>
      <c r="L33" s="36">
        <v>127</v>
      </c>
      <c r="M33" s="36">
        <v>132</v>
      </c>
      <c r="N33" s="36">
        <v>133</v>
      </c>
      <c r="O33" s="74"/>
      <c r="P33" s="13"/>
      <c r="Q33" s="13"/>
      <c r="R33" s="13"/>
      <c r="S33" s="13"/>
      <c r="T33" s="13"/>
      <c r="AF33" s="12"/>
      <c r="AG33" s="12"/>
      <c r="AH33" s="14"/>
      <c r="AI33" s="15"/>
      <c r="AJ33" s="15"/>
      <c r="AK33" s="15"/>
      <c r="AL33" s="15"/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AX33" s="15"/>
      <c r="AY33" s="15"/>
      <c r="AZ33" s="15"/>
      <c r="BA33" s="15"/>
      <c r="BB33" s="15"/>
      <c r="BC33" s="15"/>
      <c r="BD33" s="15"/>
      <c r="BE33" s="15"/>
      <c r="BF33" s="15"/>
      <c r="BG33" s="15"/>
      <c r="BH33" s="15"/>
      <c r="BI33" s="15"/>
      <c r="BJ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</row>
    <row r="34" spans="2:73" ht="24" customHeight="1" x14ac:dyDescent="0.2">
      <c r="B34" s="75">
        <v>13</v>
      </c>
      <c r="C34" s="70" t="s">
        <v>33</v>
      </c>
      <c r="D34" s="19" t="e">
        <f>VLOOKUP($B34,#REF!,3,0)</f>
        <v>#REF!</v>
      </c>
      <c r="E34" s="19" t="e">
        <f>VLOOKUP($B34,#REF!,4,0)</f>
        <v>#REF!</v>
      </c>
      <c r="F34" s="19" t="e">
        <f>VLOOKUP($B34,#REF!,5,0)</f>
        <v>#REF!</v>
      </c>
      <c r="G34" s="19" t="e">
        <f>VLOOKUP($B34,#REF!,6,0)</f>
        <v>#REF!</v>
      </c>
      <c r="H34" s="19" t="e">
        <f>VLOOKUP($B34,#REF!,7,0)</f>
        <v>#REF!</v>
      </c>
      <c r="I34" s="19" t="e">
        <f>VLOOKUP($B34,#REF!,8,0)</f>
        <v>#REF!</v>
      </c>
      <c r="J34" s="72">
        <v>1103</v>
      </c>
      <c r="K34" s="22" t="s">
        <v>12</v>
      </c>
      <c r="L34" s="35">
        <v>88</v>
      </c>
      <c r="M34" s="35">
        <v>87</v>
      </c>
      <c r="N34" s="35">
        <v>89</v>
      </c>
      <c r="O34" s="73"/>
      <c r="P34" s="13"/>
      <c r="Q34" s="13"/>
      <c r="R34" s="13"/>
      <c r="S34" s="13"/>
      <c r="T34" s="13"/>
    </row>
    <row r="35" spans="2:73" ht="24" customHeight="1" thickBot="1" x14ac:dyDescent="0.25">
      <c r="B35" s="65"/>
      <c r="C35" s="71"/>
      <c r="D35" s="20" t="e">
        <f>VLOOKUP($B35,#REF!,3,0)</f>
        <v>#REF!</v>
      </c>
      <c r="E35" s="20" t="e">
        <f>VLOOKUP($B35,#REF!,4,0)</f>
        <v>#REF!</v>
      </c>
      <c r="F35" s="20" t="e">
        <f>VLOOKUP($B35,#REF!,5,0)</f>
        <v>#REF!</v>
      </c>
      <c r="G35" s="20" t="e">
        <f>VLOOKUP($B35,#REF!,6,0)</f>
        <v>#REF!</v>
      </c>
      <c r="H35" s="20" t="e">
        <f>VLOOKUP($B35,#REF!,7,0)</f>
        <v>#REF!</v>
      </c>
      <c r="I35" s="20" t="e">
        <f>VLOOKUP($B35,#REF!,8,0)</f>
        <v>#REF!</v>
      </c>
      <c r="J35" s="69"/>
      <c r="K35" s="34" t="s">
        <v>13</v>
      </c>
      <c r="L35" s="36">
        <v>106</v>
      </c>
      <c r="M35" s="36">
        <v>108</v>
      </c>
      <c r="N35" s="36">
        <v>94</v>
      </c>
      <c r="O35" s="74"/>
      <c r="P35" s="13"/>
      <c r="Q35" s="13"/>
      <c r="R35" s="13"/>
      <c r="S35" s="13"/>
      <c r="T35" s="13"/>
      <c r="AF35" s="12"/>
      <c r="AG35" s="12"/>
      <c r="AH35" s="14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5"/>
      <c r="AX35" s="15"/>
      <c r="AY35" s="15"/>
      <c r="AZ35" s="15"/>
      <c r="BA35" s="15"/>
      <c r="BB35" s="15"/>
      <c r="BC35" s="15"/>
      <c r="BD35" s="15"/>
      <c r="BE35" s="15"/>
      <c r="BF35" s="15"/>
      <c r="BG35" s="15"/>
      <c r="BH35" s="15"/>
      <c r="BI35" s="15"/>
      <c r="BJ35" s="15"/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</row>
    <row r="36" spans="2:73" ht="24" customHeight="1" x14ac:dyDescent="0.2">
      <c r="B36" s="75">
        <v>14</v>
      </c>
      <c r="C36" s="70" t="s">
        <v>32</v>
      </c>
      <c r="D36" s="19" t="e">
        <f>VLOOKUP($B36,#REF!,3,0)</f>
        <v>#REF!</v>
      </c>
      <c r="E36" s="19" t="e">
        <f>VLOOKUP($B36,#REF!,4,0)</f>
        <v>#REF!</v>
      </c>
      <c r="F36" s="19" t="e">
        <f>VLOOKUP($B36,#REF!,5,0)</f>
        <v>#REF!</v>
      </c>
      <c r="G36" s="19" t="e">
        <f>VLOOKUP($B36,#REF!,6,0)</f>
        <v>#REF!</v>
      </c>
      <c r="H36" s="19" t="e">
        <f>VLOOKUP($B36,#REF!,7,0)</f>
        <v>#REF!</v>
      </c>
      <c r="I36" s="19" t="e">
        <f>VLOOKUP($B36,#REF!,8,0)</f>
        <v>#REF!</v>
      </c>
      <c r="J36" s="72"/>
      <c r="K36" s="22" t="s">
        <v>12</v>
      </c>
      <c r="L36" s="35">
        <v>97</v>
      </c>
      <c r="M36" s="35">
        <v>99</v>
      </c>
      <c r="N36" s="35">
        <v>107</v>
      </c>
      <c r="O36" s="73" t="s">
        <v>55</v>
      </c>
      <c r="P36" s="13"/>
      <c r="Q36" s="13"/>
      <c r="R36" s="13"/>
      <c r="S36" s="13"/>
      <c r="T36" s="13"/>
    </row>
    <row r="37" spans="2:73" ht="24" customHeight="1" thickBot="1" x14ac:dyDescent="0.25">
      <c r="B37" s="65"/>
      <c r="C37" s="71"/>
      <c r="D37" s="20" t="e">
        <f>VLOOKUP($B37,#REF!,3,0)</f>
        <v>#REF!</v>
      </c>
      <c r="E37" s="20" t="e">
        <f>VLOOKUP($B37,#REF!,4,0)</f>
        <v>#REF!</v>
      </c>
      <c r="F37" s="20" t="e">
        <f>VLOOKUP($B37,#REF!,5,0)</f>
        <v>#REF!</v>
      </c>
      <c r="G37" s="20" t="e">
        <f>VLOOKUP($B37,#REF!,6,0)</f>
        <v>#REF!</v>
      </c>
      <c r="H37" s="20" t="e">
        <f>VLOOKUP($B37,#REF!,7,0)</f>
        <v>#REF!</v>
      </c>
      <c r="I37" s="20" t="e">
        <f>VLOOKUP($B37,#REF!,8,0)</f>
        <v>#REF!</v>
      </c>
      <c r="J37" s="69"/>
      <c r="K37" s="34" t="s">
        <v>13</v>
      </c>
      <c r="L37" s="36">
        <v>125</v>
      </c>
      <c r="M37" s="36">
        <v>124</v>
      </c>
      <c r="N37" s="36">
        <v>123</v>
      </c>
      <c r="O37" s="74"/>
      <c r="P37" s="13"/>
      <c r="Q37" s="13"/>
      <c r="R37" s="13"/>
      <c r="S37" s="13"/>
      <c r="T37" s="13"/>
      <c r="AF37" s="12"/>
      <c r="AG37" s="12"/>
      <c r="AH37" s="14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/>
      <c r="AU37" s="15"/>
      <c r="AV37" s="15"/>
      <c r="AW37" s="15"/>
      <c r="AX37" s="15"/>
      <c r="AY37" s="15"/>
      <c r="AZ37" s="15"/>
      <c r="BA37" s="15"/>
      <c r="BB37" s="15"/>
      <c r="BC37" s="15"/>
      <c r="BD37" s="15"/>
      <c r="BE37" s="15"/>
      <c r="BF37" s="15"/>
      <c r="BG37" s="15"/>
      <c r="BH37" s="15"/>
      <c r="BI37" s="15"/>
      <c r="BJ37" s="15"/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</row>
    <row r="38" spans="2:73" ht="24" customHeight="1" x14ac:dyDescent="0.2">
      <c r="B38" s="75">
        <v>15</v>
      </c>
      <c r="C38" s="70" t="s">
        <v>33</v>
      </c>
      <c r="D38" s="19" t="e">
        <f>VLOOKUP($B38,#REF!,3,0)</f>
        <v>#REF!</v>
      </c>
      <c r="E38" s="19" t="e">
        <f>VLOOKUP($B38,#REF!,4,0)</f>
        <v>#REF!</v>
      </c>
      <c r="F38" s="19" t="e">
        <f>VLOOKUP($B38,#REF!,5,0)</f>
        <v>#REF!</v>
      </c>
      <c r="G38" s="19" t="e">
        <f>VLOOKUP($B38,#REF!,6,0)</f>
        <v>#REF!</v>
      </c>
      <c r="H38" s="19" t="e">
        <f>VLOOKUP($B38,#REF!,7,0)</f>
        <v>#REF!</v>
      </c>
      <c r="I38" s="19" t="e">
        <f>VLOOKUP($B38,#REF!,8,0)</f>
        <v>#REF!</v>
      </c>
      <c r="J38" s="72"/>
      <c r="K38" s="22" t="s">
        <v>12</v>
      </c>
      <c r="L38" s="44">
        <v>94</v>
      </c>
      <c r="M38" s="35">
        <v>93</v>
      </c>
      <c r="N38" s="35">
        <v>99</v>
      </c>
      <c r="O38" s="73"/>
      <c r="P38" s="13"/>
      <c r="Q38" s="13"/>
      <c r="R38" s="13"/>
      <c r="S38" s="13"/>
      <c r="T38" s="13"/>
    </row>
    <row r="39" spans="2:73" ht="24" customHeight="1" thickBot="1" x14ac:dyDescent="0.25">
      <c r="B39" s="65"/>
      <c r="C39" s="71"/>
      <c r="D39" s="20" t="e">
        <f>VLOOKUP($B39,#REF!,3,0)</f>
        <v>#REF!</v>
      </c>
      <c r="E39" s="20" t="e">
        <f>VLOOKUP($B39,#REF!,4,0)</f>
        <v>#REF!</v>
      </c>
      <c r="F39" s="20" t="e">
        <f>VLOOKUP($B39,#REF!,5,0)</f>
        <v>#REF!</v>
      </c>
      <c r="G39" s="20" t="e">
        <f>VLOOKUP($B39,#REF!,6,0)</f>
        <v>#REF!</v>
      </c>
      <c r="H39" s="20" t="e">
        <f>VLOOKUP($B39,#REF!,7,0)</f>
        <v>#REF!</v>
      </c>
      <c r="I39" s="20" t="e">
        <f>VLOOKUP($B39,#REF!,8,0)</f>
        <v>#REF!</v>
      </c>
      <c r="J39" s="69"/>
      <c r="K39" s="34" t="s">
        <v>13</v>
      </c>
      <c r="L39" s="36">
        <v>115</v>
      </c>
      <c r="M39" s="36">
        <v>110</v>
      </c>
      <c r="N39" s="36">
        <v>122</v>
      </c>
      <c r="O39" s="74"/>
      <c r="P39" s="13"/>
      <c r="Q39" s="13"/>
      <c r="R39" s="13"/>
      <c r="S39" s="13"/>
      <c r="T39" s="13"/>
      <c r="AF39" s="12"/>
      <c r="AG39" s="12"/>
      <c r="AH39" s="14"/>
      <c r="AI39" s="15"/>
      <c r="AJ39" s="15"/>
      <c r="AK39" s="15"/>
      <c r="AL39" s="15"/>
      <c r="AM39" s="15"/>
      <c r="AN39" s="15"/>
      <c r="AO39" s="15"/>
      <c r="AP39" s="15"/>
      <c r="AQ39" s="15"/>
      <c r="AR39" s="15"/>
      <c r="AS39" s="15"/>
      <c r="AT39" s="15"/>
      <c r="AU39" s="15"/>
      <c r="AV39" s="15"/>
      <c r="AW39" s="15"/>
      <c r="AX39" s="15"/>
      <c r="AY39" s="15"/>
      <c r="AZ39" s="15"/>
      <c r="BA39" s="15"/>
      <c r="BB39" s="15"/>
      <c r="BC39" s="15"/>
      <c r="BD39" s="15"/>
      <c r="BE39" s="15"/>
      <c r="BF39" s="15"/>
      <c r="BG39" s="15"/>
      <c r="BH39" s="15"/>
      <c r="BI39" s="15"/>
      <c r="BJ39" s="15"/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</row>
    <row r="40" spans="2:73" ht="24" customHeight="1" x14ac:dyDescent="0.2">
      <c r="B40" s="75">
        <v>16</v>
      </c>
      <c r="C40" s="66" t="s">
        <v>34</v>
      </c>
      <c r="D40" s="19" t="e">
        <f>VLOOKUP($B40,#REF!,3,0)</f>
        <v>#REF!</v>
      </c>
      <c r="E40" s="19" t="e">
        <f>VLOOKUP($B40,#REF!,4,0)</f>
        <v>#REF!</v>
      </c>
      <c r="F40" s="19" t="e">
        <f>VLOOKUP($B40,#REF!,5,0)</f>
        <v>#REF!</v>
      </c>
      <c r="G40" s="19" t="e">
        <f>VLOOKUP($B40,#REF!,6,0)</f>
        <v>#REF!</v>
      </c>
      <c r="H40" s="19" t="e">
        <f>VLOOKUP($B40,#REF!,7,0)</f>
        <v>#REF!</v>
      </c>
      <c r="I40" s="19" t="e">
        <f>VLOOKUP($B40,#REF!,8,0)</f>
        <v>#REF!</v>
      </c>
      <c r="J40" s="72">
        <v>1119</v>
      </c>
      <c r="K40" s="22" t="s">
        <v>12</v>
      </c>
      <c r="L40" s="44">
        <v>79</v>
      </c>
      <c r="M40" s="44">
        <v>101</v>
      </c>
      <c r="N40" s="35">
        <v>88</v>
      </c>
      <c r="O40" s="73"/>
      <c r="P40" s="13"/>
      <c r="Q40" s="13"/>
      <c r="R40" s="13"/>
      <c r="S40" s="13"/>
      <c r="T40" s="13"/>
    </row>
    <row r="41" spans="2:73" ht="24" customHeight="1" thickBot="1" x14ac:dyDescent="0.25">
      <c r="B41" s="65"/>
      <c r="C41" s="67"/>
      <c r="D41" s="20" t="e">
        <f>VLOOKUP($B41,#REF!,3,0)</f>
        <v>#REF!</v>
      </c>
      <c r="E41" s="20" t="e">
        <f>VLOOKUP($B41,#REF!,4,0)</f>
        <v>#REF!</v>
      </c>
      <c r="F41" s="20" t="e">
        <f>VLOOKUP($B41,#REF!,5,0)</f>
        <v>#REF!</v>
      </c>
      <c r="G41" s="20" t="e">
        <f>VLOOKUP($B41,#REF!,6,0)</f>
        <v>#REF!</v>
      </c>
      <c r="H41" s="20" t="e">
        <f>VLOOKUP($B41,#REF!,7,0)</f>
        <v>#REF!</v>
      </c>
      <c r="I41" s="20" t="e">
        <f>VLOOKUP($B41,#REF!,8,0)</f>
        <v>#REF!</v>
      </c>
      <c r="J41" s="69"/>
      <c r="K41" s="34" t="s">
        <v>13</v>
      </c>
      <c r="L41" s="36">
        <v>108</v>
      </c>
      <c r="M41" s="36">
        <v>105</v>
      </c>
      <c r="N41" s="36">
        <v>100</v>
      </c>
      <c r="O41" s="74"/>
      <c r="P41" s="13"/>
      <c r="Q41" s="13"/>
      <c r="R41" s="13"/>
      <c r="S41" s="13"/>
      <c r="T41" s="13"/>
      <c r="AF41" s="12"/>
      <c r="AG41" s="12"/>
      <c r="AH41" s="14"/>
      <c r="AI41" s="15"/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/>
      <c r="AU41" s="15"/>
      <c r="AV41" s="15"/>
      <c r="AW41" s="15"/>
      <c r="AX41" s="15"/>
      <c r="AY41" s="15"/>
      <c r="AZ41" s="15"/>
      <c r="BA41" s="15"/>
      <c r="BB41" s="15"/>
      <c r="BC41" s="15"/>
      <c r="BD41" s="15"/>
      <c r="BE41" s="15"/>
      <c r="BF41" s="15"/>
      <c r="BG41" s="15"/>
      <c r="BH41" s="15"/>
      <c r="BI41" s="15"/>
      <c r="BJ41" s="15"/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</row>
  </sheetData>
  <mergeCells count="66">
    <mergeCell ref="B40:B41"/>
    <mergeCell ref="C40:C41"/>
    <mergeCell ref="J40:J41"/>
    <mergeCell ref="O40:O41"/>
    <mergeCell ref="B36:B37"/>
    <mergeCell ref="C36:C37"/>
    <mergeCell ref="J36:J37"/>
    <mergeCell ref="O36:O37"/>
    <mergeCell ref="B38:B39"/>
    <mergeCell ref="C38:C39"/>
    <mergeCell ref="B30:B31"/>
    <mergeCell ref="C30:C31"/>
    <mergeCell ref="J30:J31"/>
    <mergeCell ref="O30:O31"/>
    <mergeCell ref="J38:J39"/>
    <mergeCell ref="O38:O39"/>
    <mergeCell ref="B32:B33"/>
    <mergeCell ref="C32:C33"/>
    <mergeCell ref="J32:J33"/>
    <mergeCell ref="O32:O33"/>
    <mergeCell ref="B34:B35"/>
    <mergeCell ref="C34:C35"/>
    <mergeCell ref="J34:J35"/>
    <mergeCell ref="O34:O35"/>
    <mergeCell ref="B26:B27"/>
    <mergeCell ref="C26:C27"/>
    <mergeCell ref="J26:J27"/>
    <mergeCell ref="O26:O27"/>
    <mergeCell ref="B28:B29"/>
    <mergeCell ref="C28:C29"/>
    <mergeCell ref="J28:J29"/>
    <mergeCell ref="O28:O29"/>
    <mergeCell ref="B22:B23"/>
    <mergeCell ref="C22:C23"/>
    <mergeCell ref="J22:J23"/>
    <mergeCell ref="O22:O23"/>
    <mergeCell ref="B24:B25"/>
    <mergeCell ref="C24:C25"/>
    <mergeCell ref="J24:J25"/>
    <mergeCell ref="O24:O25"/>
    <mergeCell ref="B18:B19"/>
    <mergeCell ref="C18:C19"/>
    <mergeCell ref="J18:J19"/>
    <mergeCell ref="O18:O19"/>
    <mergeCell ref="B20:B21"/>
    <mergeCell ref="C20:C21"/>
    <mergeCell ref="J20:J21"/>
    <mergeCell ref="O20:O21"/>
    <mergeCell ref="O14:O15"/>
    <mergeCell ref="B16:B17"/>
    <mergeCell ref="C16:C17"/>
    <mergeCell ref="J16:J17"/>
    <mergeCell ref="O16:O17"/>
    <mergeCell ref="B12:B13"/>
    <mergeCell ref="C12:C13"/>
    <mergeCell ref="J12:J13"/>
    <mergeCell ref="B14:B15"/>
    <mergeCell ref="C14:C15"/>
    <mergeCell ref="J14:J15"/>
    <mergeCell ref="AF5:AH5"/>
    <mergeCell ref="L6:N6"/>
    <mergeCell ref="O7:O8"/>
    <mergeCell ref="B8:K8"/>
    <mergeCell ref="B10:B11"/>
    <mergeCell ref="C10:C11"/>
    <mergeCell ref="J10:J11"/>
  </mergeCells>
  <pageMargins left="0.45" right="0" top="0.49" bottom="0" header="0.64" footer="0"/>
  <pageSetup paperSize="512" scale="74" orientation="portrait" r:id="rId1"/>
  <headerFooter alignWithMargins="0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E50EB-ED0D-4364-B34D-79547A173E9A}">
  <sheetPr>
    <pageSetUpPr fitToPage="1"/>
  </sheetPr>
  <dimension ref="A1:BU41"/>
  <sheetViews>
    <sheetView zoomScale="84" zoomScaleNormal="84" workbookViewId="0">
      <selection activeCell="A2" sqref="A2"/>
    </sheetView>
  </sheetViews>
  <sheetFormatPr defaultRowHeight="12.75" x14ac:dyDescent="0.2"/>
  <cols>
    <col min="1" max="1" width="5.42578125" customWidth="1"/>
    <col min="2" max="2" width="6.28515625" customWidth="1"/>
    <col min="3" max="3" width="12.7109375" customWidth="1"/>
    <col min="4" max="8" width="5.28515625" hidden="1" customWidth="1"/>
    <col min="9" max="9" width="7" hidden="1" customWidth="1"/>
    <col min="10" max="10" width="8.42578125" customWidth="1"/>
    <col min="11" max="14" width="12.7109375" customWidth="1"/>
    <col min="15" max="15" width="48.7109375" customWidth="1"/>
    <col min="22" max="22" width="7.5703125" customWidth="1"/>
    <col min="23" max="32" width="7.7109375" customWidth="1"/>
  </cols>
  <sheetData>
    <row r="1" spans="1:73" ht="15" customHeight="1" x14ac:dyDescent="0.25">
      <c r="A1" s="1" t="s">
        <v>40</v>
      </c>
    </row>
    <row r="2" spans="1:73" ht="20.25" customHeight="1" thickBot="1" x14ac:dyDescent="0.3">
      <c r="A2" s="1"/>
      <c r="M2" s="15" t="s">
        <v>0</v>
      </c>
      <c r="N2" s="23">
        <v>40032</v>
      </c>
      <c r="O2" s="29"/>
    </row>
    <row r="3" spans="1:73" ht="20.25" customHeight="1" thickBot="1" x14ac:dyDescent="0.25">
      <c r="A3" t="s">
        <v>1</v>
      </c>
      <c r="C3" s="38" t="s">
        <v>59</v>
      </c>
      <c r="D3" s="3"/>
      <c r="E3" s="3"/>
      <c r="F3" s="3"/>
      <c r="G3" s="3"/>
      <c r="H3" s="3"/>
      <c r="I3" s="3"/>
      <c r="J3" s="3"/>
      <c r="K3" s="3"/>
      <c r="L3" s="3"/>
      <c r="M3" s="15" t="s">
        <v>23</v>
      </c>
      <c r="N3" s="2">
        <v>219</v>
      </c>
      <c r="O3" s="30"/>
    </row>
    <row r="4" spans="1:73" ht="20.25" customHeight="1" thickBot="1" x14ac:dyDescent="0.25">
      <c r="B4" s="3" t="s">
        <v>60</v>
      </c>
      <c r="C4" s="38"/>
      <c r="D4" s="4"/>
      <c r="E4" s="4"/>
      <c r="F4" s="4"/>
      <c r="G4" s="4"/>
      <c r="H4" s="4"/>
      <c r="I4" s="4"/>
      <c r="J4" s="4"/>
      <c r="K4" s="4"/>
      <c r="L4" s="4"/>
      <c r="M4" s="15" t="s">
        <v>2</v>
      </c>
      <c r="N4" s="2" t="s">
        <v>26</v>
      </c>
      <c r="O4" s="30"/>
    </row>
    <row r="5" spans="1:73" ht="18" x14ac:dyDescent="0.2">
      <c r="AE5" s="5"/>
      <c r="AF5" s="55"/>
      <c r="AG5" s="55"/>
      <c r="AH5" s="55"/>
    </row>
    <row r="6" spans="1:73" ht="18" x14ac:dyDescent="0.25">
      <c r="L6" s="56"/>
      <c r="M6" s="57"/>
      <c r="N6" s="58"/>
      <c r="O6" s="31"/>
      <c r="AE6" s="5"/>
      <c r="AF6" s="24"/>
      <c r="AG6" s="24"/>
      <c r="AH6" s="24"/>
    </row>
    <row r="7" spans="1:73" ht="25.5" customHeight="1" x14ac:dyDescent="0.2">
      <c r="B7" s="6" t="s">
        <v>27</v>
      </c>
      <c r="C7" s="7"/>
      <c r="D7" s="7" t="s">
        <v>4</v>
      </c>
      <c r="E7" s="6" t="s">
        <v>5</v>
      </c>
      <c r="F7" s="7" t="s">
        <v>6</v>
      </c>
      <c r="G7" s="6" t="s">
        <v>7</v>
      </c>
      <c r="H7" s="6" t="s">
        <v>8</v>
      </c>
      <c r="I7" s="6" t="s">
        <v>9</v>
      </c>
      <c r="J7" s="6" t="s">
        <v>11</v>
      </c>
      <c r="K7" s="8" t="s">
        <v>24</v>
      </c>
      <c r="L7" s="22" t="s">
        <v>37</v>
      </c>
      <c r="M7" s="22" t="s">
        <v>38</v>
      </c>
      <c r="N7" s="22" t="s">
        <v>39</v>
      </c>
      <c r="O7" s="59" t="s">
        <v>25</v>
      </c>
      <c r="AE7" s="10"/>
      <c r="AF7" s="9"/>
      <c r="AG7" s="9"/>
      <c r="AH7" s="11"/>
    </row>
    <row r="8" spans="1:73" ht="15.95" customHeight="1" thickBot="1" x14ac:dyDescent="0.25">
      <c r="B8" s="61"/>
      <c r="C8" s="62"/>
      <c r="D8" s="62"/>
      <c r="E8" s="62"/>
      <c r="F8" s="62"/>
      <c r="G8" s="62"/>
      <c r="H8" s="62"/>
      <c r="I8" s="62"/>
      <c r="J8" s="62"/>
      <c r="K8" s="63"/>
      <c r="L8" s="39" t="s">
        <v>29</v>
      </c>
      <c r="M8" s="39"/>
      <c r="N8" s="39"/>
      <c r="O8" s="60"/>
      <c r="AF8" s="12"/>
      <c r="AG8" s="12"/>
      <c r="AH8" s="12"/>
    </row>
    <row r="9" spans="1:73" ht="15.95" hidden="1" customHeight="1" x14ac:dyDescent="0.2">
      <c r="B9" s="25" t="s">
        <v>3</v>
      </c>
      <c r="C9" s="26" t="s">
        <v>10</v>
      </c>
      <c r="D9" s="26" t="s">
        <v>14</v>
      </c>
      <c r="E9" s="25" t="s">
        <v>15</v>
      </c>
      <c r="F9" s="26" t="s">
        <v>16</v>
      </c>
      <c r="G9" s="25" t="s">
        <v>17</v>
      </c>
      <c r="H9" s="25" t="s">
        <v>8</v>
      </c>
      <c r="I9" s="25" t="s">
        <v>18</v>
      </c>
      <c r="J9" s="27" t="s">
        <v>11</v>
      </c>
      <c r="K9" s="27" t="s">
        <v>19</v>
      </c>
      <c r="L9" s="28" t="s">
        <v>20</v>
      </c>
      <c r="M9" s="28" t="s">
        <v>21</v>
      </c>
      <c r="N9" s="28" t="s">
        <v>22</v>
      </c>
      <c r="O9" s="32"/>
      <c r="AF9" s="12"/>
      <c r="AG9" s="12"/>
      <c r="AH9" s="12"/>
    </row>
    <row r="10" spans="1:73" ht="24" customHeight="1" x14ac:dyDescent="0.2">
      <c r="B10" s="64">
        <v>1</v>
      </c>
      <c r="C10" s="66" t="s">
        <v>31</v>
      </c>
      <c r="D10" s="19" t="e">
        <f>VLOOKUP($B10,#REF!,3,0)</f>
        <v>#REF!</v>
      </c>
      <c r="E10" s="19" t="e">
        <f>VLOOKUP($B10,#REF!,4,0)</f>
        <v>#REF!</v>
      </c>
      <c r="F10" s="19" t="e">
        <f>VLOOKUP($B10,#REF!,5,0)</f>
        <v>#REF!</v>
      </c>
      <c r="G10" s="19" t="e">
        <f>VLOOKUP($B10,#REF!,6,0)</f>
        <v>#REF!</v>
      </c>
      <c r="H10" s="19" t="e">
        <f>VLOOKUP($B10,#REF!,7,0)</f>
        <v>#REF!</v>
      </c>
      <c r="I10" s="19" t="e">
        <f>VLOOKUP($B10,#REF!,8,0)</f>
        <v>#REF!</v>
      </c>
      <c r="J10" s="68">
        <v>843</v>
      </c>
      <c r="K10" s="53" t="s">
        <v>12</v>
      </c>
      <c r="L10" s="54" t="s">
        <v>58</v>
      </c>
      <c r="M10" s="54" t="s">
        <v>58</v>
      </c>
      <c r="N10" s="54" t="s">
        <v>58</v>
      </c>
      <c r="O10" s="82" t="s">
        <v>61</v>
      </c>
      <c r="P10" s="13"/>
      <c r="Q10" s="13"/>
      <c r="R10" s="13"/>
      <c r="S10" s="13"/>
      <c r="T10" s="13"/>
      <c r="AF10" s="12"/>
      <c r="AG10" s="12"/>
      <c r="AH10" s="14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  <c r="AX10" s="15"/>
      <c r="AY10" s="15"/>
      <c r="AZ10" s="15"/>
      <c r="BA10" s="15"/>
      <c r="BB10" s="15"/>
      <c r="BC10" s="15"/>
      <c r="BD10" s="15"/>
      <c r="BE10" s="15"/>
      <c r="BF10" s="15"/>
      <c r="BG10" s="15"/>
      <c r="BH10" s="15"/>
      <c r="BI10" s="15"/>
      <c r="BJ10" s="15"/>
      <c r="BK10" s="15"/>
      <c r="BL10" s="15"/>
      <c r="BM10" s="15"/>
      <c r="BN10" s="15"/>
      <c r="BO10" s="15"/>
      <c r="BP10" s="15"/>
      <c r="BQ10" s="15"/>
      <c r="BR10" s="15"/>
      <c r="BS10" s="15"/>
      <c r="BT10" s="15"/>
      <c r="BU10" s="15"/>
    </row>
    <row r="11" spans="1:73" ht="24" customHeight="1" thickBot="1" x14ac:dyDescent="0.25">
      <c r="B11" s="65"/>
      <c r="C11" s="67"/>
      <c r="D11" s="20" t="e">
        <f>VLOOKUP($B11,#REF!,3,0)</f>
        <v>#REF!</v>
      </c>
      <c r="E11" s="20" t="e">
        <f>VLOOKUP($B11,#REF!,4,0)</f>
        <v>#REF!</v>
      </c>
      <c r="F11" s="20" t="e">
        <f>VLOOKUP($B11,#REF!,5,0)</f>
        <v>#REF!</v>
      </c>
      <c r="G11" s="20" t="e">
        <f>VLOOKUP($B11,#REF!,6,0)</f>
        <v>#REF!</v>
      </c>
      <c r="H11" s="20" t="e">
        <f>VLOOKUP($B11,#REF!,7,0)</f>
        <v>#REF!</v>
      </c>
      <c r="I11" s="20" t="e">
        <f>VLOOKUP($B11,#REF!,8,0)</f>
        <v>#REF!</v>
      </c>
      <c r="J11" s="69"/>
      <c r="K11" s="34" t="s">
        <v>13</v>
      </c>
      <c r="L11" s="36">
        <v>121</v>
      </c>
      <c r="M11" s="36">
        <v>141</v>
      </c>
      <c r="N11" s="36">
        <v>132</v>
      </c>
      <c r="O11" s="83"/>
      <c r="P11" s="13"/>
      <c r="Q11" s="13"/>
      <c r="R11" s="13"/>
      <c r="S11" s="13"/>
      <c r="T11" s="13"/>
      <c r="AF11" s="12"/>
      <c r="AG11" s="12"/>
      <c r="AH11" s="14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  <c r="BC11" s="15"/>
      <c r="BD11" s="15"/>
      <c r="BE11" s="15"/>
      <c r="BF11" s="15"/>
      <c r="BG11" s="15"/>
      <c r="BH11" s="15"/>
      <c r="BI11" s="15"/>
      <c r="BJ11" s="15"/>
      <c r="BK11" s="15"/>
      <c r="BL11" s="15"/>
      <c r="BM11" s="15"/>
      <c r="BN11" s="15"/>
      <c r="BO11" s="15"/>
      <c r="BP11" s="15"/>
      <c r="BQ11" s="15"/>
      <c r="BR11" s="15"/>
      <c r="BS11" s="15"/>
      <c r="BT11" s="15"/>
      <c r="BU11" s="15"/>
    </row>
    <row r="12" spans="1:73" ht="24" customHeight="1" x14ac:dyDescent="0.2">
      <c r="B12" s="64">
        <v>2</v>
      </c>
      <c r="C12" s="70" t="s">
        <v>32</v>
      </c>
      <c r="D12" s="21" t="e">
        <f>VLOOKUP($B12,#REF!,3,0)</f>
        <v>#REF!</v>
      </c>
      <c r="E12" s="21" t="e">
        <f>VLOOKUP($B12,#REF!,4,0)</f>
        <v>#REF!</v>
      </c>
      <c r="F12" s="21" t="e">
        <f>VLOOKUP($B12,#REF!,5,0)</f>
        <v>#REF!</v>
      </c>
      <c r="G12" s="21" t="e">
        <f>VLOOKUP($B12,#REF!,6,0)</f>
        <v>#REF!</v>
      </c>
      <c r="H12" s="21" t="e">
        <f>VLOOKUP($B12,#REF!,7,0)</f>
        <v>#REF!</v>
      </c>
      <c r="I12" s="21" t="e">
        <f>VLOOKUP($B12,#REF!,8,0)</f>
        <v>#REF!</v>
      </c>
      <c r="J12" s="72"/>
      <c r="K12" s="53" t="s">
        <v>12</v>
      </c>
      <c r="L12" s="54" t="s">
        <v>58</v>
      </c>
      <c r="M12" s="54" t="s">
        <v>58</v>
      </c>
      <c r="N12" s="54" t="s">
        <v>58</v>
      </c>
      <c r="O12" s="42"/>
      <c r="P12" s="13"/>
      <c r="Q12" s="16"/>
      <c r="R12" s="13"/>
      <c r="S12" s="17"/>
      <c r="T12" s="13"/>
      <c r="AF12" s="12"/>
      <c r="AG12" s="12"/>
      <c r="AH12" s="12"/>
      <c r="AI12" s="18"/>
      <c r="AJ12" s="1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8"/>
      <c r="BI12" s="18"/>
      <c r="BJ12" s="18"/>
      <c r="BK12" s="18"/>
      <c r="BL12" s="18"/>
      <c r="BM12" s="18"/>
      <c r="BN12" s="18"/>
      <c r="BO12" s="18"/>
      <c r="BP12" s="18"/>
      <c r="BQ12" s="18"/>
      <c r="BR12" s="18"/>
      <c r="BS12" s="18"/>
      <c r="BT12" s="18"/>
      <c r="BU12" s="18"/>
    </row>
    <row r="13" spans="1:73" ht="24" customHeight="1" thickBot="1" x14ac:dyDescent="0.25">
      <c r="B13" s="65"/>
      <c r="C13" s="71"/>
      <c r="D13" s="20" t="e">
        <f>VLOOKUP($B13,#REF!,3,0)</f>
        <v>#REF!</v>
      </c>
      <c r="E13" s="20" t="e">
        <f>VLOOKUP($B13,#REF!,4,0)</f>
        <v>#REF!</v>
      </c>
      <c r="F13" s="20" t="e">
        <f>VLOOKUP($B13,#REF!,5,0)</f>
        <v>#REF!</v>
      </c>
      <c r="G13" s="20" t="e">
        <f>VLOOKUP($B13,#REF!,6,0)</f>
        <v>#REF!</v>
      </c>
      <c r="H13" s="20" t="e">
        <f>VLOOKUP($B13,#REF!,7,0)</f>
        <v>#REF!</v>
      </c>
      <c r="I13" s="20" t="e">
        <f>VLOOKUP($B13,#REF!,8,0)</f>
        <v>#REF!</v>
      </c>
      <c r="J13" s="69"/>
      <c r="K13" s="34" t="s">
        <v>13</v>
      </c>
      <c r="L13" s="37">
        <v>126</v>
      </c>
      <c r="M13" s="36">
        <v>137</v>
      </c>
      <c r="N13" s="36">
        <v>130</v>
      </c>
      <c r="O13" s="43"/>
      <c r="P13" s="13"/>
      <c r="Q13" s="13"/>
      <c r="R13" s="13"/>
      <c r="S13" s="13"/>
      <c r="T13" s="13"/>
      <c r="AF13" s="12"/>
      <c r="AG13" s="12"/>
      <c r="AH13" s="14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5"/>
      <c r="BI13" s="15"/>
      <c r="BJ13" s="15"/>
      <c r="BK13" s="15"/>
      <c r="BL13" s="15"/>
      <c r="BM13" s="15"/>
      <c r="BN13" s="15"/>
      <c r="BO13" s="15"/>
      <c r="BP13" s="15"/>
      <c r="BQ13" s="15"/>
      <c r="BR13" s="15"/>
      <c r="BS13" s="15"/>
      <c r="BT13" s="15"/>
      <c r="BU13" s="15"/>
    </row>
    <row r="14" spans="1:73" ht="24" customHeight="1" x14ac:dyDescent="0.2">
      <c r="B14" s="64">
        <v>3</v>
      </c>
      <c r="C14" s="70" t="s">
        <v>33</v>
      </c>
      <c r="D14" s="19" t="e">
        <f>VLOOKUP($B14,#REF!,3,0)</f>
        <v>#REF!</v>
      </c>
      <c r="E14" s="19" t="e">
        <f>VLOOKUP($B14,#REF!,4,0)</f>
        <v>#REF!</v>
      </c>
      <c r="F14" s="19" t="e">
        <f>VLOOKUP($B14,#REF!,5,0)</f>
        <v>#REF!</v>
      </c>
      <c r="G14" s="19" t="e">
        <f>VLOOKUP($B14,#REF!,6,0)</f>
        <v>#REF!</v>
      </c>
      <c r="H14" s="19" t="e">
        <f>VLOOKUP($B14,#REF!,7,0)</f>
        <v>#REF!</v>
      </c>
      <c r="I14" s="19" t="e">
        <f>VLOOKUP($B14,#REF!,8,0)</f>
        <v>#REF!</v>
      </c>
      <c r="J14" s="72"/>
      <c r="K14" s="53" t="s">
        <v>12</v>
      </c>
      <c r="L14" s="54" t="s">
        <v>58</v>
      </c>
      <c r="M14" s="54" t="s">
        <v>58</v>
      </c>
      <c r="N14" s="54" t="s">
        <v>58</v>
      </c>
      <c r="O14" s="73"/>
      <c r="P14" s="13"/>
      <c r="Q14" s="13"/>
      <c r="R14" s="13"/>
      <c r="S14" s="13"/>
      <c r="T14" s="13"/>
      <c r="AF14" s="12"/>
      <c r="AG14" s="12"/>
      <c r="AH14" s="12"/>
    </row>
    <row r="15" spans="1:73" ht="24" customHeight="1" thickBot="1" x14ac:dyDescent="0.25">
      <c r="B15" s="65"/>
      <c r="C15" s="71"/>
      <c r="D15" s="20" t="e">
        <f>VLOOKUP($B15,#REF!,3,0)</f>
        <v>#REF!</v>
      </c>
      <c r="E15" s="20" t="e">
        <f>VLOOKUP($B15,#REF!,4,0)</f>
        <v>#REF!</v>
      </c>
      <c r="F15" s="20" t="e">
        <f>VLOOKUP($B15,#REF!,5,0)</f>
        <v>#REF!</v>
      </c>
      <c r="G15" s="20" t="e">
        <f>VLOOKUP($B15,#REF!,6,0)</f>
        <v>#REF!</v>
      </c>
      <c r="H15" s="20" t="e">
        <f>VLOOKUP($B15,#REF!,7,0)</f>
        <v>#REF!</v>
      </c>
      <c r="I15" s="20" t="e">
        <f>VLOOKUP($B15,#REF!,8,0)</f>
        <v>#REF!</v>
      </c>
      <c r="J15" s="69"/>
      <c r="K15" s="34" t="s">
        <v>13</v>
      </c>
      <c r="L15" s="36">
        <v>132</v>
      </c>
      <c r="M15" s="36">
        <v>144</v>
      </c>
      <c r="N15" s="36">
        <v>132</v>
      </c>
      <c r="O15" s="74"/>
      <c r="P15" s="13"/>
      <c r="Q15" s="13"/>
      <c r="R15" s="13"/>
      <c r="S15" s="13"/>
      <c r="T15" s="13"/>
      <c r="AF15" s="12"/>
      <c r="AG15" s="12"/>
      <c r="AH15" s="14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5"/>
      <c r="BI15" s="15"/>
      <c r="BJ15" s="15"/>
      <c r="BK15" s="15"/>
      <c r="BL15" s="15"/>
      <c r="BM15" s="15"/>
      <c r="BN15" s="15"/>
      <c r="BO15" s="15"/>
      <c r="BP15" s="15"/>
      <c r="BQ15" s="15"/>
      <c r="BR15" s="15"/>
      <c r="BS15" s="15"/>
      <c r="BT15" s="15"/>
      <c r="BU15" s="15"/>
    </row>
    <row r="16" spans="1:73" ht="24" customHeight="1" x14ac:dyDescent="0.2">
      <c r="B16" s="64">
        <v>4</v>
      </c>
      <c r="C16" s="70" t="s">
        <v>32</v>
      </c>
      <c r="D16" s="19" t="e">
        <f>VLOOKUP($B16,#REF!,3,0)</f>
        <v>#REF!</v>
      </c>
      <c r="E16" s="19" t="e">
        <f>VLOOKUP($B16,#REF!,4,0)</f>
        <v>#REF!</v>
      </c>
      <c r="F16" s="19" t="e">
        <f>VLOOKUP($B16,#REF!,5,0)</f>
        <v>#REF!</v>
      </c>
      <c r="G16" s="19" t="e">
        <f>VLOOKUP($B16,#REF!,6,0)</f>
        <v>#REF!</v>
      </c>
      <c r="H16" s="19" t="e">
        <f>VLOOKUP($B16,#REF!,7,0)</f>
        <v>#REF!</v>
      </c>
      <c r="I16" s="19" t="e">
        <f>VLOOKUP($B16,#REF!,8,0)</f>
        <v>#REF!</v>
      </c>
      <c r="J16" s="72"/>
      <c r="K16" s="53" t="s">
        <v>12</v>
      </c>
      <c r="L16" s="54" t="s">
        <v>58</v>
      </c>
      <c r="M16" s="54" t="s">
        <v>58</v>
      </c>
      <c r="N16" s="54" t="s">
        <v>58</v>
      </c>
      <c r="O16" s="73"/>
      <c r="P16" s="13"/>
      <c r="Q16" s="13"/>
      <c r="R16" s="13"/>
      <c r="S16" s="13"/>
      <c r="T16" s="13"/>
    </row>
    <row r="17" spans="2:73" ht="24" customHeight="1" thickBot="1" x14ac:dyDescent="0.25">
      <c r="B17" s="65"/>
      <c r="C17" s="71"/>
      <c r="D17" s="20" t="e">
        <f>VLOOKUP($B17,#REF!,3,0)</f>
        <v>#REF!</v>
      </c>
      <c r="E17" s="20" t="e">
        <f>VLOOKUP($B17,#REF!,4,0)</f>
        <v>#REF!</v>
      </c>
      <c r="F17" s="20" t="e">
        <f>VLOOKUP($B17,#REF!,5,0)</f>
        <v>#REF!</v>
      </c>
      <c r="G17" s="20" t="e">
        <f>VLOOKUP($B17,#REF!,6,0)</f>
        <v>#REF!</v>
      </c>
      <c r="H17" s="20" t="e">
        <f>VLOOKUP($B17,#REF!,7,0)</f>
        <v>#REF!</v>
      </c>
      <c r="I17" s="20" t="e">
        <f>VLOOKUP($B17,#REF!,8,0)</f>
        <v>#REF!</v>
      </c>
      <c r="J17" s="69"/>
      <c r="K17" s="34" t="s">
        <v>13</v>
      </c>
      <c r="L17" s="36">
        <v>149</v>
      </c>
      <c r="M17" s="36">
        <v>151</v>
      </c>
      <c r="N17" s="36">
        <v>155</v>
      </c>
      <c r="O17" s="74"/>
      <c r="P17" s="13"/>
      <c r="Q17" s="13"/>
      <c r="R17" s="13"/>
      <c r="S17" s="13"/>
      <c r="T17" s="13"/>
      <c r="AF17" s="12"/>
      <c r="AG17" s="12"/>
      <c r="AH17" s="14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5"/>
      <c r="BI17" s="15"/>
      <c r="BJ17" s="15"/>
      <c r="BK17" s="15"/>
      <c r="BL17" s="15"/>
      <c r="BM17" s="15"/>
      <c r="BN17" s="15"/>
      <c r="BO17" s="15"/>
      <c r="BP17" s="15"/>
      <c r="BQ17" s="15"/>
      <c r="BR17" s="15"/>
      <c r="BS17" s="15"/>
      <c r="BT17" s="15"/>
      <c r="BU17" s="15"/>
    </row>
    <row r="18" spans="2:73" ht="24" customHeight="1" x14ac:dyDescent="0.2">
      <c r="B18" s="64">
        <v>5</v>
      </c>
      <c r="C18" s="70" t="s">
        <v>33</v>
      </c>
      <c r="D18" s="19" t="e">
        <f>VLOOKUP($B18,#REF!,3,0)</f>
        <v>#REF!</v>
      </c>
      <c r="E18" s="19" t="e">
        <f>VLOOKUP($B18,#REF!,4,0)</f>
        <v>#REF!</v>
      </c>
      <c r="F18" s="19" t="e">
        <f>VLOOKUP($B18,#REF!,5,0)</f>
        <v>#REF!</v>
      </c>
      <c r="G18" s="19" t="e">
        <f>VLOOKUP($B18,#REF!,6,0)</f>
        <v>#REF!</v>
      </c>
      <c r="H18" s="19" t="e">
        <f>VLOOKUP($B18,#REF!,7,0)</f>
        <v>#REF!</v>
      </c>
      <c r="I18" s="19" t="e">
        <f>VLOOKUP($B18,#REF!,8,0)</f>
        <v>#REF!</v>
      </c>
      <c r="J18" s="72">
        <v>932</v>
      </c>
      <c r="K18" s="53" t="s">
        <v>12</v>
      </c>
      <c r="L18" s="54" t="s">
        <v>58</v>
      </c>
      <c r="M18" s="54" t="s">
        <v>58</v>
      </c>
      <c r="N18" s="54" t="s">
        <v>58</v>
      </c>
      <c r="O18" s="73"/>
      <c r="P18" s="13"/>
      <c r="Q18" s="13"/>
      <c r="R18" s="13"/>
      <c r="S18" s="13"/>
      <c r="T18" s="13"/>
      <c r="AF18" s="12"/>
      <c r="AG18" s="12"/>
      <c r="AH18" s="12"/>
    </row>
    <row r="19" spans="2:73" ht="24" customHeight="1" thickBot="1" x14ac:dyDescent="0.25">
      <c r="B19" s="65"/>
      <c r="C19" s="71"/>
      <c r="D19" s="20" t="e">
        <f>VLOOKUP($B19,#REF!,3,0)</f>
        <v>#REF!</v>
      </c>
      <c r="E19" s="20" t="e">
        <f>VLOOKUP($B19,#REF!,4,0)</f>
        <v>#REF!</v>
      </c>
      <c r="F19" s="20" t="e">
        <f>VLOOKUP($B19,#REF!,5,0)</f>
        <v>#REF!</v>
      </c>
      <c r="G19" s="20" t="e">
        <f>VLOOKUP($B19,#REF!,6,0)</f>
        <v>#REF!</v>
      </c>
      <c r="H19" s="20" t="e">
        <f>VLOOKUP($B19,#REF!,7,0)</f>
        <v>#REF!</v>
      </c>
      <c r="I19" s="20" t="e">
        <f>VLOOKUP($B19,#REF!,8,0)</f>
        <v>#REF!</v>
      </c>
      <c r="J19" s="69"/>
      <c r="K19" s="34" t="s">
        <v>13</v>
      </c>
      <c r="L19" s="36">
        <v>143</v>
      </c>
      <c r="M19" s="36">
        <v>155</v>
      </c>
      <c r="N19" s="36">
        <v>148</v>
      </c>
      <c r="O19" s="74"/>
      <c r="P19" s="13"/>
      <c r="Q19" s="13"/>
      <c r="R19" s="13"/>
      <c r="S19" s="13"/>
      <c r="T19" s="13"/>
      <c r="AF19" s="12"/>
      <c r="AG19" s="12"/>
      <c r="AH19" s="14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</row>
    <row r="20" spans="2:73" ht="24" customHeight="1" x14ac:dyDescent="0.2">
      <c r="B20" s="64">
        <v>6</v>
      </c>
      <c r="C20" s="70" t="s">
        <v>32</v>
      </c>
      <c r="D20" s="19" t="e">
        <f>VLOOKUP($B20,#REF!,3,0)</f>
        <v>#REF!</v>
      </c>
      <c r="E20" s="19" t="e">
        <f>VLOOKUP($B20,#REF!,4,0)</f>
        <v>#REF!</v>
      </c>
      <c r="F20" s="19" t="e">
        <f>VLOOKUP($B20,#REF!,5,0)</f>
        <v>#REF!</v>
      </c>
      <c r="G20" s="19" t="e">
        <f>VLOOKUP($B20,#REF!,6,0)</f>
        <v>#REF!</v>
      </c>
      <c r="H20" s="19" t="e">
        <f>VLOOKUP($B20,#REF!,7,0)</f>
        <v>#REF!</v>
      </c>
      <c r="I20" s="19" t="e">
        <f>VLOOKUP($B20,#REF!,8,0)</f>
        <v>#REF!</v>
      </c>
      <c r="J20" s="72"/>
      <c r="K20" s="53" t="s">
        <v>12</v>
      </c>
      <c r="L20" s="54" t="s">
        <v>58</v>
      </c>
      <c r="M20" s="54" t="s">
        <v>58</v>
      </c>
      <c r="N20" s="54" t="s">
        <v>58</v>
      </c>
      <c r="O20" s="73" t="s">
        <v>62</v>
      </c>
      <c r="P20" s="13"/>
      <c r="Q20" s="13"/>
      <c r="R20" s="13"/>
      <c r="S20" s="13"/>
      <c r="T20" s="13"/>
      <c r="AF20" s="12"/>
      <c r="AG20" s="12"/>
      <c r="AH20" s="12"/>
    </row>
    <row r="21" spans="2:73" ht="24" customHeight="1" thickBot="1" x14ac:dyDescent="0.25">
      <c r="B21" s="65"/>
      <c r="C21" s="71"/>
      <c r="D21" s="20" t="e">
        <f>VLOOKUP($B21,#REF!,3,0)</f>
        <v>#REF!</v>
      </c>
      <c r="E21" s="20" t="e">
        <f>VLOOKUP($B21,#REF!,4,0)</f>
        <v>#REF!</v>
      </c>
      <c r="F21" s="20" t="e">
        <f>VLOOKUP($B21,#REF!,5,0)</f>
        <v>#REF!</v>
      </c>
      <c r="G21" s="20" t="e">
        <f>VLOOKUP($B21,#REF!,6,0)</f>
        <v>#REF!</v>
      </c>
      <c r="H21" s="20" t="e">
        <f>VLOOKUP($B21,#REF!,7,0)</f>
        <v>#REF!</v>
      </c>
      <c r="I21" s="20" t="e">
        <f>VLOOKUP($B21,#REF!,8,0)</f>
        <v>#REF!</v>
      </c>
      <c r="J21" s="69"/>
      <c r="K21" s="34" t="s">
        <v>13</v>
      </c>
      <c r="L21" s="36">
        <v>128</v>
      </c>
      <c r="M21" s="36">
        <v>138</v>
      </c>
      <c r="N21" s="36">
        <v>137</v>
      </c>
      <c r="O21" s="74"/>
      <c r="P21" s="13"/>
      <c r="Q21" s="13"/>
      <c r="R21" s="13"/>
      <c r="S21" s="13"/>
      <c r="T21" s="13"/>
      <c r="AF21" s="12"/>
      <c r="AG21" s="12"/>
      <c r="AH21" s="14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  <c r="AX21" s="15"/>
      <c r="AY21" s="15"/>
      <c r="AZ21" s="15"/>
      <c r="BA21" s="15"/>
      <c r="BB21" s="15"/>
      <c r="BC21" s="15"/>
      <c r="BD21" s="15"/>
      <c r="BE21" s="15"/>
      <c r="BF21" s="15"/>
      <c r="BG21" s="15"/>
      <c r="BH21" s="15"/>
      <c r="BI21" s="15"/>
      <c r="BJ21" s="15"/>
      <c r="BK21" s="15"/>
      <c r="BL21" s="15"/>
      <c r="BM21" s="15"/>
      <c r="BN21" s="15"/>
      <c r="BO21" s="15"/>
      <c r="BP21" s="15"/>
      <c r="BQ21" s="15"/>
      <c r="BR21" s="15"/>
      <c r="BS21" s="15"/>
      <c r="BT21" s="15"/>
      <c r="BU21" s="15"/>
    </row>
    <row r="22" spans="2:73" ht="24" customHeight="1" x14ac:dyDescent="0.2">
      <c r="B22" s="64">
        <v>7</v>
      </c>
      <c r="C22" s="70" t="s">
        <v>33</v>
      </c>
      <c r="D22" s="19" t="e">
        <f>VLOOKUP($B22,#REF!,3,0)</f>
        <v>#REF!</v>
      </c>
      <c r="E22" s="19" t="e">
        <f>VLOOKUP($B22,#REF!,4,0)</f>
        <v>#REF!</v>
      </c>
      <c r="F22" s="19" t="e">
        <f>VLOOKUP($B22,#REF!,5,0)</f>
        <v>#REF!</v>
      </c>
      <c r="G22" s="19" t="e">
        <f>VLOOKUP($B22,#REF!,6,0)</f>
        <v>#REF!</v>
      </c>
      <c r="H22" s="19" t="e">
        <f>VLOOKUP($B22,#REF!,7,0)</f>
        <v>#REF!</v>
      </c>
      <c r="I22" s="19" t="e">
        <f>VLOOKUP($B22,#REF!,8,0)</f>
        <v>#REF!</v>
      </c>
      <c r="J22" s="72">
        <v>1020</v>
      </c>
      <c r="K22" s="53" t="s">
        <v>12</v>
      </c>
      <c r="L22" s="54" t="s">
        <v>58</v>
      </c>
      <c r="M22" s="54" t="s">
        <v>58</v>
      </c>
      <c r="N22" s="54" t="s">
        <v>58</v>
      </c>
      <c r="O22" s="73"/>
      <c r="P22" s="13"/>
      <c r="Q22" s="13"/>
      <c r="R22" s="13"/>
      <c r="S22" s="13"/>
      <c r="T22" s="13"/>
      <c r="AF22" s="12"/>
      <c r="AG22" s="12"/>
      <c r="AH22" s="12"/>
    </row>
    <row r="23" spans="2:73" ht="24" customHeight="1" thickBot="1" x14ac:dyDescent="0.25">
      <c r="B23" s="65"/>
      <c r="C23" s="71"/>
      <c r="D23" s="20" t="e">
        <f>VLOOKUP($B23,#REF!,3,0)</f>
        <v>#REF!</v>
      </c>
      <c r="E23" s="20" t="e">
        <f>VLOOKUP($B23,#REF!,4,0)</f>
        <v>#REF!</v>
      </c>
      <c r="F23" s="20" t="e">
        <f>VLOOKUP($B23,#REF!,5,0)</f>
        <v>#REF!</v>
      </c>
      <c r="G23" s="20" t="e">
        <f>VLOOKUP($B23,#REF!,6,0)</f>
        <v>#REF!</v>
      </c>
      <c r="H23" s="20" t="e">
        <f>VLOOKUP($B23,#REF!,7,0)</f>
        <v>#REF!</v>
      </c>
      <c r="I23" s="20" t="e">
        <f>VLOOKUP($B23,#REF!,8,0)</f>
        <v>#REF!</v>
      </c>
      <c r="J23" s="69"/>
      <c r="K23" s="34" t="s">
        <v>13</v>
      </c>
      <c r="L23" s="36">
        <v>147</v>
      </c>
      <c r="M23" s="36">
        <v>158</v>
      </c>
      <c r="N23" s="36">
        <v>165</v>
      </c>
      <c r="O23" s="74"/>
      <c r="P23" s="13"/>
      <c r="Q23" s="13"/>
      <c r="R23" s="13"/>
      <c r="S23" s="13"/>
      <c r="T23" s="13"/>
      <c r="AF23" s="12"/>
      <c r="AG23" s="12"/>
      <c r="AH23" s="14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5"/>
      <c r="BB23" s="15"/>
      <c r="BC23" s="15"/>
      <c r="BD23" s="15"/>
      <c r="BE23" s="15"/>
      <c r="BF23" s="15"/>
      <c r="BG23" s="15"/>
      <c r="BH23" s="15"/>
      <c r="BI23" s="15"/>
      <c r="BJ23" s="15"/>
      <c r="BK23" s="15"/>
      <c r="BL23" s="15"/>
      <c r="BM23" s="15"/>
      <c r="BN23" s="15"/>
      <c r="BO23" s="15"/>
      <c r="BP23" s="15"/>
      <c r="BQ23" s="15"/>
      <c r="BR23" s="15"/>
      <c r="BS23" s="15"/>
      <c r="BT23" s="15"/>
      <c r="BU23" s="15"/>
    </row>
    <row r="24" spans="2:73" ht="24" customHeight="1" x14ac:dyDescent="0.2">
      <c r="B24" s="64">
        <v>8</v>
      </c>
      <c r="C24" s="70" t="s">
        <v>32</v>
      </c>
      <c r="D24" s="19" t="e">
        <f>VLOOKUP($B24,#REF!,3,0)</f>
        <v>#REF!</v>
      </c>
      <c r="E24" s="19" t="e">
        <f>VLOOKUP($B24,#REF!,4,0)</f>
        <v>#REF!</v>
      </c>
      <c r="F24" s="19" t="e">
        <f>VLOOKUP($B24,#REF!,5,0)</f>
        <v>#REF!</v>
      </c>
      <c r="G24" s="19" t="e">
        <f>VLOOKUP($B24,#REF!,6,0)</f>
        <v>#REF!</v>
      </c>
      <c r="H24" s="19" t="e">
        <f>VLOOKUP($B24,#REF!,7,0)</f>
        <v>#REF!</v>
      </c>
      <c r="I24" s="19" t="e">
        <f>VLOOKUP($B24,#REF!,8,0)</f>
        <v>#REF!</v>
      </c>
      <c r="J24" s="72"/>
      <c r="K24" s="53" t="s">
        <v>12</v>
      </c>
      <c r="L24" s="54" t="s">
        <v>58</v>
      </c>
      <c r="M24" s="54" t="s">
        <v>58</v>
      </c>
      <c r="N24" s="54" t="s">
        <v>58</v>
      </c>
      <c r="O24" s="73"/>
      <c r="P24" s="13"/>
      <c r="Q24" s="13"/>
      <c r="R24" s="13"/>
      <c r="S24" s="13"/>
      <c r="T24" s="13"/>
      <c r="AF24" s="9"/>
      <c r="AG24" s="9"/>
      <c r="AH24" s="9"/>
    </row>
    <row r="25" spans="2:73" ht="24" customHeight="1" thickBot="1" x14ac:dyDescent="0.25">
      <c r="B25" s="65"/>
      <c r="C25" s="71"/>
      <c r="D25" s="20" t="e">
        <f>VLOOKUP($B25,#REF!,3,0)</f>
        <v>#REF!</v>
      </c>
      <c r="E25" s="20" t="e">
        <f>VLOOKUP($B25,#REF!,4,0)</f>
        <v>#REF!</v>
      </c>
      <c r="F25" s="20" t="e">
        <f>VLOOKUP($B25,#REF!,5,0)</f>
        <v>#REF!</v>
      </c>
      <c r="G25" s="20" t="e">
        <f>VLOOKUP($B25,#REF!,6,0)</f>
        <v>#REF!</v>
      </c>
      <c r="H25" s="20" t="e">
        <f>VLOOKUP($B25,#REF!,7,0)</f>
        <v>#REF!</v>
      </c>
      <c r="I25" s="20" t="e">
        <f>VLOOKUP($B25,#REF!,8,0)</f>
        <v>#REF!</v>
      </c>
      <c r="J25" s="69"/>
      <c r="K25" s="34" t="s">
        <v>13</v>
      </c>
      <c r="L25" s="36">
        <v>139</v>
      </c>
      <c r="M25" s="36">
        <v>151</v>
      </c>
      <c r="N25" s="36">
        <v>136</v>
      </c>
      <c r="O25" s="74"/>
      <c r="P25" s="13"/>
      <c r="Q25" s="13"/>
      <c r="R25" s="13"/>
      <c r="S25" s="13"/>
      <c r="T25" s="13"/>
      <c r="AF25" s="12"/>
      <c r="AG25" s="12"/>
      <c r="AH25" s="14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AX25" s="15"/>
      <c r="AY25" s="15"/>
      <c r="AZ25" s="15"/>
      <c r="BA25" s="15"/>
      <c r="BB25" s="15"/>
      <c r="BC25" s="15"/>
      <c r="BD25" s="15"/>
      <c r="BE25" s="15"/>
      <c r="BF25" s="15"/>
      <c r="BG25" s="15"/>
      <c r="BH25" s="15"/>
      <c r="BI25" s="15"/>
      <c r="BJ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</row>
    <row r="26" spans="2:73" ht="24" customHeight="1" x14ac:dyDescent="0.2">
      <c r="B26" s="64">
        <v>9</v>
      </c>
      <c r="C26" s="70" t="s">
        <v>33</v>
      </c>
      <c r="D26" s="19" t="e">
        <f>VLOOKUP($B26,#REF!,3,0)</f>
        <v>#REF!</v>
      </c>
      <c r="E26" s="19" t="e">
        <f>VLOOKUP($B26,#REF!,4,0)</f>
        <v>#REF!</v>
      </c>
      <c r="F26" s="19" t="e">
        <f>VLOOKUP($B26,#REF!,5,0)</f>
        <v>#REF!</v>
      </c>
      <c r="G26" s="19" t="e">
        <f>VLOOKUP($B26,#REF!,6,0)</f>
        <v>#REF!</v>
      </c>
      <c r="H26" s="19" t="e">
        <f>VLOOKUP($B26,#REF!,7,0)</f>
        <v>#REF!</v>
      </c>
      <c r="I26" s="19" t="e">
        <f>VLOOKUP($B26,#REF!,8,0)</f>
        <v>#REF!</v>
      </c>
      <c r="J26" s="72"/>
      <c r="K26" s="53" t="s">
        <v>12</v>
      </c>
      <c r="L26" s="54" t="s">
        <v>58</v>
      </c>
      <c r="M26" s="54" t="s">
        <v>58</v>
      </c>
      <c r="N26" s="54" t="s">
        <v>58</v>
      </c>
      <c r="O26" s="73"/>
      <c r="P26" s="13"/>
      <c r="Q26" s="13"/>
      <c r="R26" s="13"/>
      <c r="S26" s="13"/>
      <c r="T26" s="13"/>
      <c r="AF26" s="12"/>
      <c r="AG26" s="12"/>
      <c r="AH26" s="12"/>
    </row>
    <row r="27" spans="2:73" ht="24" customHeight="1" thickBot="1" x14ac:dyDescent="0.25">
      <c r="B27" s="65"/>
      <c r="C27" s="71"/>
      <c r="D27" s="20" t="e">
        <f>VLOOKUP($B27,#REF!,3,0)</f>
        <v>#REF!</v>
      </c>
      <c r="E27" s="20" t="e">
        <f>VLOOKUP($B27,#REF!,4,0)</f>
        <v>#REF!</v>
      </c>
      <c r="F27" s="20" t="e">
        <f>VLOOKUP($B27,#REF!,5,0)</f>
        <v>#REF!</v>
      </c>
      <c r="G27" s="20" t="e">
        <f>VLOOKUP($B27,#REF!,6,0)</f>
        <v>#REF!</v>
      </c>
      <c r="H27" s="20" t="e">
        <f>VLOOKUP($B27,#REF!,7,0)</f>
        <v>#REF!</v>
      </c>
      <c r="I27" s="20" t="e">
        <f>VLOOKUP($B27,#REF!,8,0)</f>
        <v>#REF!</v>
      </c>
      <c r="J27" s="69"/>
      <c r="K27" s="34" t="s">
        <v>13</v>
      </c>
      <c r="L27" s="36">
        <v>134</v>
      </c>
      <c r="M27" s="36">
        <v>135</v>
      </c>
      <c r="N27" s="36">
        <v>133</v>
      </c>
      <c r="O27" s="74"/>
      <c r="P27" s="13"/>
      <c r="Q27" s="13"/>
      <c r="R27" s="13"/>
      <c r="S27" s="13"/>
      <c r="T27" s="13"/>
      <c r="AF27" s="12"/>
      <c r="AG27" s="12"/>
      <c r="AH27" s="14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AX27" s="15"/>
      <c r="AY27" s="15"/>
      <c r="AZ27" s="15"/>
      <c r="BA27" s="15"/>
      <c r="BB27" s="15"/>
      <c r="BC27" s="15"/>
      <c r="BD27" s="15"/>
      <c r="BE27" s="15"/>
      <c r="BF27" s="15"/>
      <c r="BG27" s="15"/>
      <c r="BH27" s="15"/>
      <c r="BI27" s="15"/>
      <c r="BJ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</row>
    <row r="28" spans="2:73" ht="24" customHeight="1" x14ac:dyDescent="0.2">
      <c r="B28" s="75">
        <v>10</v>
      </c>
      <c r="C28" s="70" t="s">
        <v>32</v>
      </c>
      <c r="D28" s="19" t="e">
        <f>VLOOKUP($B28,#REF!,3,0)</f>
        <v>#REF!</v>
      </c>
      <c r="E28" s="19" t="e">
        <f>VLOOKUP($B28,#REF!,4,0)</f>
        <v>#REF!</v>
      </c>
      <c r="F28" s="19" t="e">
        <f>VLOOKUP($B28,#REF!,5,0)</f>
        <v>#REF!</v>
      </c>
      <c r="G28" s="19" t="e">
        <f>VLOOKUP($B28,#REF!,6,0)</f>
        <v>#REF!</v>
      </c>
      <c r="H28" s="19" t="e">
        <f>VLOOKUP($B28,#REF!,7,0)</f>
        <v>#REF!</v>
      </c>
      <c r="I28" s="19" t="e">
        <f>VLOOKUP($B28,#REF!,8,0)</f>
        <v>#REF!</v>
      </c>
      <c r="J28" s="72"/>
      <c r="K28" s="53" t="s">
        <v>12</v>
      </c>
      <c r="L28" s="54" t="s">
        <v>58</v>
      </c>
      <c r="M28" s="54" t="s">
        <v>58</v>
      </c>
      <c r="N28" s="54" t="s">
        <v>58</v>
      </c>
      <c r="O28" s="73"/>
      <c r="P28" s="13"/>
      <c r="Q28" s="13"/>
      <c r="R28" s="13"/>
      <c r="S28" s="13"/>
      <c r="T28" s="13"/>
    </row>
    <row r="29" spans="2:73" ht="24" customHeight="1" thickBot="1" x14ac:dyDescent="0.25">
      <c r="B29" s="65"/>
      <c r="C29" s="71"/>
      <c r="D29" s="20" t="e">
        <f>VLOOKUP($B29,#REF!,3,0)</f>
        <v>#REF!</v>
      </c>
      <c r="E29" s="20" t="e">
        <f>VLOOKUP($B29,#REF!,4,0)</f>
        <v>#REF!</v>
      </c>
      <c r="F29" s="20" t="e">
        <f>VLOOKUP($B29,#REF!,5,0)</f>
        <v>#REF!</v>
      </c>
      <c r="G29" s="20" t="e">
        <f>VLOOKUP($B29,#REF!,6,0)</f>
        <v>#REF!</v>
      </c>
      <c r="H29" s="20" t="e">
        <f>VLOOKUP($B29,#REF!,7,0)</f>
        <v>#REF!</v>
      </c>
      <c r="I29" s="20" t="e">
        <f>VLOOKUP($B29,#REF!,8,0)</f>
        <v>#REF!</v>
      </c>
      <c r="J29" s="69"/>
      <c r="K29" s="34" t="s">
        <v>13</v>
      </c>
      <c r="L29" s="36">
        <v>146</v>
      </c>
      <c r="M29" s="36">
        <v>142</v>
      </c>
      <c r="N29" s="36">
        <v>145</v>
      </c>
      <c r="O29" s="74"/>
      <c r="P29" s="13"/>
      <c r="Q29" s="13"/>
      <c r="R29" s="13"/>
      <c r="S29" s="13"/>
      <c r="T29" s="13"/>
      <c r="AF29" s="12"/>
      <c r="AG29" s="12"/>
      <c r="AH29" s="14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AX29" s="15"/>
      <c r="AY29" s="15"/>
      <c r="AZ29" s="15"/>
      <c r="BA29" s="15"/>
      <c r="BB29" s="15"/>
      <c r="BC29" s="15"/>
      <c r="BD29" s="15"/>
      <c r="BE29" s="15"/>
      <c r="BF29" s="15"/>
      <c r="BG29" s="15"/>
      <c r="BH29" s="15"/>
      <c r="BI29" s="15"/>
      <c r="BJ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</row>
    <row r="30" spans="2:73" ht="24" customHeight="1" x14ac:dyDescent="0.2">
      <c r="B30" s="75">
        <v>11</v>
      </c>
      <c r="C30" s="70" t="s">
        <v>33</v>
      </c>
      <c r="D30" s="19" t="e">
        <f>VLOOKUP($B30,#REF!,3,0)</f>
        <v>#REF!</v>
      </c>
      <c r="E30" s="19" t="e">
        <f>VLOOKUP($B30,#REF!,4,0)</f>
        <v>#REF!</v>
      </c>
      <c r="F30" s="19" t="e">
        <f>VLOOKUP($B30,#REF!,5,0)</f>
        <v>#REF!</v>
      </c>
      <c r="G30" s="19" t="e">
        <f>VLOOKUP($B30,#REF!,6,0)</f>
        <v>#REF!</v>
      </c>
      <c r="H30" s="19" t="e">
        <f>VLOOKUP($B30,#REF!,7,0)</f>
        <v>#REF!</v>
      </c>
      <c r="I30" s="19" t="e">
        <f>VLOOKUP($B30,#REF!,8,0)</f>
        <v>#REF!</v>
      </c>
      <c r="J30" s="72"/>
      <c r="K30" s="53" t="s">
        <v>12</v>
      </c>
      <c r="L30" s="54" t="s">
        <v>58</v>
      </c>
      <c r="M30" s="54" t="s">
        <v>58</v>
      </c>
      <c r="N30" s="54" t="s">
        <v>58</v>
      </c>
      <c r="O30" s="73"/>
      <c r="P30" s="13"/>
      <c r="Q30" s="13"/>
      <c r="R30" s="13"/>
      <c r="S30" s="13"/>
      <c r="T30" s="13"/>
    </row>
    <row r="31" spans="2:73" ht="24" customHeight="1" thickBot="1" x14ac:dyDescent="0.25">
      <c r="B31" s="65"/>
      <c r="C31" s="71"/>
      <c r="D31" s="20" t="e">
        <f>VLOOKUP($B31,#REF!,3,0)</f>
        <v>#REF!</v>
      </c>
      <c r="E31" s="20" t="e">
        <f>VLOOKUP($B31,#REF!,4,0)</f>
        <v>#REF!</v>
      </c>
      <c r="F31" s="20" t="e">
        <f>VLOOKUP($B31,#REF!,5,0)</f>
        <v>#REF!</v>
      </c>
      <c r="G31" s="20" t="e">
        <f>VLOOKUP($B31,#REF!,6,0)</f>
        <v>#REF!</v>
      </c>
      <c r="H31" s="20" t="e">
        <f>VLOOKUP($B31,#REF!,7,0)</f>
        <v>#REF!</v>
      </c>
      <c r="I31" s="20" t="e">
        <f>VLOOKUP($B31,#REF!,8,0)</f>
        <v>#REF!</v>
      </c>
      <c r="J31" s="69"/>
      <c r="K31" s="34" t="s">
        <v>13</v>
      </c>
      <c r="L31" s="36">
        <v>151</v>
      </c>
      <c r="M31" s="36">
        <v>154</v>
      </c>
      <c r="N31" s="36">
        <v>153</v>
      </c>
      <c r="O31" s="74"/>
      <c r="P31" s="13"/>
      <c r="Q31" s="13"/>
      <c r="R31" s="13"/>
      <c r="S31" s="13"/>
      <c r="T31" s="13"/>
      <c r="AF31" s="12"/>
      <c r="AG31" s="12"/>
      <c r="AH31" s="14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AX31" s="15"/>
      <c r="AY31" s="15"/>
      <c r="AZ31" s="15"/>
      <c r="BA31" s="15"/>
      <c r="BB31" s="15"/>
      <c r="BC31" s="15"/>
      <c r="BD31" s="15"/>
      <c r="BE31" s="15"/>
      <c r="BF31" s="15"/>
      <c r="BG31" s="15"/>
      <c r="BH31" s="15"/>
      <c r="BI31" s="15"/>
      <c r="BJ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</row>
    <row r="32" spans="2:73" ht="24" customHeight="1" x14ac:dyDescent="0.2">
      <c r="B32" s="75">
        <v>12</v>
      </c>
      <c r="C32" s="70" t="s">
        <v>32</v>
      </c>
      <c r="D32" s="19" t="e">
        <f>VLOOKUP($B32,#REF!,3,0)</f>
        <v>#REF!</v>
      </c>
      <c r="E32" s="19" t="e">
        <f>VLOOKUP($B32,#REF!,4,0)</f>
        <v>#REF!</v>
      </c>
      <c r="F32" s="19" t="e">
        <f>VLOOKUP($B32,#REF!,5,0)</f>
        <v>#REF!</v>
      </c>
      <c r="G32" s="19" t="e">
        <f>VLOOKUP($B32,#REF!,6,0)</f>
        <v>#REF!</v>
      </c>
      <c r="H32" s="19" t="e">
        <f>VLOOKUP($B32,#REF!,7,0)</f>
        <v>#REF!</v>
      </c>
      <c r="I32" s="19" t="e">
        <f>VLOOKUP($B32,#REF!,8,0)</f>
        <v>#REF!</v>
      </c>
      <c r="J32" s="72">
        <v>1114</v>
      </c>
      <c r="K32" s="53" t="s">
        <v>12</v>
      </c>
      <c r="L32" s="54" t="s">
        <v>58</v>
      </c>
      <c r="M32" s="54" t="s">
        <v>58</v>
      </c>
      <c r="N32" s="54" t="s">
        <v>58</v>
      </c>
      <c r="O32" s="73"/>
      <c r="P32" s="13"/>
      <c r="Q32" s="13"/>
      <c r="R32" s="13"/>
      <c r="S32" s="13"/>
      <c r="T32" s="13"/>
    </row>
    <row r="33" spans="2:73" ht="24" customHeight="1" thickBot="1" x14ac:dyDescent="0.25">
      <c r="B33" s="65"/>
      <c r="C33" s="71"/>
      <c r="D33" s="20" t="e">
        <f>VLOOKUP($B33,#REF!,3,0)</f>
        <v>#REF!</v>
      </c>
      <c r="E33" s="20" t="e">
        <f>VLOOKUP($B33,#REF!,4,0)</f>
        <v>#REF!</v>
      </c>
      <c r="F33" s="20" t="e">
        <f>VLOOKUP($B33,#REF!,5,0)</f>
        <v>#REF!</v>
      </c>
      <c r="G33" s="20" t="e">
        <f>VLOOKUP($B33,#REF!,6,0)</f>
        <v>#REF!</v>
      </c>
      <c r="H33" s="20" t="e">
        <f>VLOOKUP($B33,#REF!,7,0)</f>
        <v>#REF!</v>
      </c>
      <c r="I33" s="20" t="e">
        <f>VLOOKUP($B33,#REF!,8,0)</f>
        <v>#REF!</v>
      </c>
      <c r="J33" s="69"/>
      <c r="K33" s="34" t="s">
        <v>13</v>
      </c>
      <c r="L33" s="36">
        <v>144</v>
      </c>
      <c r="M33" s="36">
        <v>155</v>
      </c>
      <c r="N33" s="36">
        <v>142</v>
      </c>
      <c r="O33" s="74"/>
      <c r="P33" s="13"/>
      <c r="Q33" s="13"/>
      <c r="R33" s="13"/>
      <c r="S33" s="13"/>
      <c r="T33" s="13"/>
      <c r="AF33" s="12"/>
      <c r="AG33" s="12"/>
      <c r="AH33" s="14"/>
      <c r="AI33" s="15"/>
      <c r="AJ33" s="15"/>
      <c r="AK33" s="15"/>
      <c r="AL33" s="15"/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AX33" s="15"/>
      <c r="AY33" s="15"/>
      <c r="AZ33" s="15"/>
      <c r="BA33" s="15"/>
      <c r="BB33" s="15"/>
      <c r="BC33" s="15"/>
      <c r="BD33" s="15"/>
      <c r="BE33" s="15"/>
      <c r="BF33" s="15"/>
      <c r="BG33" s="15"/>
      <c r="BH33" s="15"/>
      <c r="BI33" s="15"/>
      <c r="BJ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</row>
    <row r="34" spans="2:73" ht="24" customHeight="1" x14ac:dyDescent="0.2">
      <c r="B34" s="75">
        <v>13</v>
      </c>
      <c r="C34" s="70" t="s">
        <v>33</v>
      </c>
      <c r="D34" s="19" t="e">
        <f>VLOOKUP($B34,#REF!,3,0)</f>
        <v>#REF!</v>
      </c>
      <c r="E34" s="19" t="e">
        <f>VLOOKUP($B34,#REF!,4,0)</f>
        <v>#REF!</v>
      </c>
      <c r="F34" s="19" t="e">
        <f>VLOOKUP($B34,#REF!,5,0)</f>
        <v>#REF!</v>
      </c>
      <c r="G34" s="19" t="e">
        <f>VLOOKUP($B34,#REF!,6,0)</f>
        <v>#REF!</v>
      </c>
      <c r="H34" s="19" t="e">
        <f>VLOOKUP($B34,#REF!,7,0)</f>
        <v>#REF!</v>
      </c>
      <c r="I34" s="19" t="e">
        <f>VLOOKUP($B34,#REF!,8,0)</f>
        <v>#REF!</v>
      </c>
      <c r="J34" s="72"/>
      <c r="K34" s="53" t="s">
        <v>12</v>
      </c>
      <c r="L34" s="54" t="s">
        <v>58</v>
      </c>
      <c r="M34" s="54" t="s">
        <v>58</v>
      </c>
      <c r="N34" s="54" t="s">
        <v>58</v>
      </c>
      <c r="O34" s="73"/>
      <c r="P34" s="13"/>
      <c r="Q34" s="13"/>
      <c r="R34" s="13"/>
      <c r="S34" s="13"/>
      <c r="T34" s="13"/>
    </row>
    <row r="35" spans="2:73" ht="24" customHeight="1" thickBot="1" x14ac:dyDescent="0.25">
      <c r="B35" s="65"/>
      <c r="C35" s="71"/>
      <c r="D35" s="20" t="e">
        <f>VLOOKUP($B35,#REF!,3,0)</f>
        <v>#REF!</v>
      </c>
      <c r="E35" s="20" t="e">
        <f>VLOOKUP($B35,#REF!,4,0)</f>
        <v>#REF!</v>
      </c>
      <c r="F35" s="20" t="e">
        <f>VLOOKUP($B35,#REF!,5,0)</f>
        <v>#REF!</v>
      </c>
      <c r="G35" s="20" t="e">
        <f>VLOOKUP($B35,#REF!,6,0)</f>
        <v>#REF!</v>
      </c>
      <c r="H35" s="20" t="e">
        <f>VLOOKUP($B35,#REF!,7,0)</f>
        <v>#REF!</v>
      </c>
      <c r="I35" s="20" t="e">
        <f>VLOOKUP($B35,#REF!,8,0)</f>
        <v>#REF!</v>
      </c>
      <c r="J35" s="69"/>
      <c r="K35" s="34" t="s">
        <v>13</v>
      </c>
      <c r="L35" s="36">
        <v>126</v>
      </c>
      <c r="M35" s="36">
        <v>126</v>
      </c>
      <c r="N35" s="36">
        <v>121</v>
      </c>
      <c r="O35" s="74"/>
      <c r="P35" s="13"/>
      <c r="Q35" s="13"/>
      <c r="R35" s="13"/>
      <c r="S35" s="13"/>
      <c r="T35" s="13"/>
      <c r="AF35" s="12"/>
      <c r="AG35" s="12"/>
      <c r="AH35" s="14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5"/>
      <c r="AX35" s="15"/>
      <c r="AY35" s="15"/>
      <c r="AZ35" s="15"/>
      <c r="BA35" s="15"/>
      <c r="BB35" s="15"/>
      <c r="BC35" s="15"/>
      <c r="BD35" s="15"/>
      <c r="BE35" s="15"/>
      <c r="BF35" s="15"/>
      <c r="BG35" s="15"/>
      <c r="BH35" s="15"/>
      <c r="BI35" s="15"/>
      <c r="BJ35" s="15"/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</row>
    <row r="36" spans="2:73" ht="24" customHeight="1" x14ac:dyDescent="0.2">
      <c r="B36" s="75">
        <v>14</v>
      </c>
      <c r="C36" s="70" t="s">
        <v>32</v>
      </c>
      <c r="D36" s="19" t="e">
        <f>VLOOKUP($B36,#REF!,3,0)</f>
        <v>#REF!</v>
      </c>
      <c r="E36" s="19" t="e">
        <f>VLOOKUP($B36,#REF!,4,0)</f>
        <v>#REF!</v>
      </c>
      <c r="F36" s="19" t="e">
        <f>VLOOKUP($B36,#REF!,5,0)</f>
        <v>#REF!</v>
      </c>
      <c r="G36" s="19" t="e">
        <f>VLOOKUP($B36,#REF!,6,0)</f>
        <v>#REF!</v>
      </c>
      <c r="H36" s="19" t="e">
        <f>VLOOKUP($B36,#REF!,7,0)</f>
        <v>#REF!</v>
      </c>
      <c r="I36" s="19" t="e">
        <f>VLOOKUP($B36,#REF!,8,0)</f>
        <v>#REF!</v>
      </c>
      <c r="J36" s="72"/>
      <c r="K36" s="53" t="s">
        <v>12</v>
      </c>
      <c r="L36" s="54" t="s">
        <v>58</v>
      </c>
      <c r="M36" s="54" t="s">
        <v>58</v>
      </c>
      <c r="N36" s="54" t="s">
        <v>58</v>
      </c>
      <c r="O36" s="82" t="s">
        <v>63</v>
      </c>
      <c r="P36" s="13"/>
      <c r="Q36" s="13"/>
      <c r="R36" s="13"/>
      <c r="S36" s="13"/>
      <c r="T36" s="13"/>
    </row>
    <row r="37" spans="2:73" ht="24" customHeight="1" thickBot="1" x14ac:dyDescent="0.25">
      <c r="B37" s="65"/>
      <c r="C37" s="71"/>
      <c r="D37" s="20" t="e">
        <f>VLOOKUP($B37,#REF!,3,0)</f>
        <v>#REF!</v>
      </c>
      <c r="E37" s="20" t="e">
        <f>VLOOKUP($B37,#REF!,4,0)</f>
        <v>#REF!</v>
      </c>
      <c r="F37" s="20" t="e">
        <f>VLOOKUP($B37,#REF!,5,0)</f>
        <v>#REF!</v>
      </c>
      <c r="G37" s="20" t="e">
        <f>VLOOKUP($B37,#REF!,6,0)</f>
        <v>#REF!</v>
      </c>
      <c r="H37" s="20" t="e">
        <f>VLOOKUP($B37,#REF!,7,0)</f>
        <v>#REF!</v>
      </c>
      <c r="I37" s="20" t="e">
        <f>VLOOKUP($B37,#REF!,8,0)</f>
        <v>#REF!</v>
      </c>
      <c r="J37" s="69"/>
      <c r="K37" s="34" t="s">
        <v>13</v>
      </c>
      <c r="L37" s="36">
        <v>146</v>
      </c>
      <c r="M37" s="36">
        <v>143</v>
      </c>
      <c r="N37" s="36">
        <v>135</v>
      </c>
      <c r="O37" s="84"/>
      <c r="P37" s="13"/>
      <c r="Q37" s="13"/>
      <c r="R37" s="13"/>
      <c r="S37" s="13"/>
      <c r="T37" s="13"/>
      <c r="AF37" s="12"/>
      <c r="AG37" s="12"/>
      <c r="AH37" s="14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/>
      <c r="AU37" s="15"/>
      <c r="AV37" s="15"/>
      <c r="AW37" s="15"/>
      <c r="AX37" s="15"/>
      <c r="AY37" s="15"/>
      <c r="AZ37" s="15"/>
      <c r="BA37" s="15"/>
      <c r="BB37" s="15"/>
      <c r="BC37" s="15"/>
      <c r="BD37" s="15"/>
      <c r="BE37" s="15"/>
      <c r="BF37" s="15"/>
      <c r="BG37" s="15"/>
      <c r="BH37" s="15"/>
      <c r="BI37" s="15"/>
      <c r="BJ37" s="15"/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</row>
    <row r="38" spans="2:73" ht="24" customHeight="1" x14ac:dyDescent="0.2">
      <c r="B38" s="75">
        <v>15</v>
      </c>
      <c r="C38" s="70" t="s">
        <v>33</v>
      </c>
      <c r="D38" s="19" t="e">
        <f>VLOOKUP($B38,#REF!,3,0)</f>
        <v>#REF!</v>
      </c>
      <c r="E38" s="19" t="e">
        <f>VLOOKUP($B38,#REF!,4,0)</f>
        <v>#REF!</v>
      </c>
      <c r="F38" s="19" t="e">
        <f>VLOOKUP($B38,#REF!,5,0)</f>
        <v>#REF!</v>
      </c>
      <c r="G38" s="19" t="e">
        <f>VLOOKUP($B38,#REF!,6,0)</f>
        <v>#REF!</v>
      </c>
      <c r="H38" s="19" t="e">
        <f>VLOOKUP($B38,#REF!,7,0)</f>
        <v>#REF!</v>
      </c>
      <c r="I38" s="19" t="e">
        <f>VLOOKUP($B38,#REF!,8,0)</f>
        <v>#REF!</v>
      </c>
      <c r="J38" s="72"/>
      <c r="K38" s="53" t="s">
        <v>12</v>
      </c>
      <c r="L38" s="54" t="s">
        <v>58</v>
      </c>
      <c r="M38" s="54" t="s">
        <v>58</v>
      </c>
      <c r="N38" s="54" t="s">
        <v>58</v>
      </c>
      <c r="O38" s="73"/>
      <c r="P38" s="13"/>
      <c r="Q38" s="13"/>
      <c r="R38" s="13"/>
      <c r="S38" s="13"/>
      <c r="T38" s="13"/>
    </row>
    <row r="39" spans="2:73" ht="24" customHeight="1" thickBot="1" x14ac:dyDescent="0.25">
      <c r="B39" s="65"/>
      <c r="C39" s="71"/>
      <c r="D39" s="20" t="e">
        <f>VLOOKUP($B39,#REF!,3,0)</f>
        <v>#REF!</v>
      </c>
      <c r="E39" s="20" t="e">
        <f>VLOOKUP($B39,#REF!,4,0)</f>
        <v>#REF!</v>
      </c>
      <c r="F39" s="20" t="e">
        <f>VLOOKUP($B39,#REF!,5,0)</f>
        <v>#REF!</v>
      </c>
      <c r="G39" s="20" t="e">
        <f>VLOOKUP($B39,#REF!,6,0)</f>
        <v>#REF!</v>
      </c>
      <c r="H39" s="20" t="e">
        <f>VLOOKUP($B39,#REF!,7,0)</f>
        <v>#REF!</v>
      </c>
      <c r="I39" s="20" t="e">
        <f>VLOOKUP($B39,#REF!,8,0)</f>
        <v>#REF!</v>
      </c>
      <c r="J39" s="69"/>
      <c r="K39" s="34" t="s">
        <v>13</v>
      </c>
      <c r="L39" s="36">
        <v>126</v>
      </c>
      <c r="M39" s="36">
        <v>131</v>
      </c>
      <c r="N39" s="36">
        <v>146</v>
      </c>
      <c r="O39" s="74"/>
      <c r="P39" s="13"/>
      <c r="Q39" s="13"/>
      <c r="R39" s="13"/>
      <c r="S39" s="13"/>
      <c r="T39" s="13"/>
      <c r="AF39" s="12"/>
      <c r="AG39" s="12"/>
      <c r="AH39" s="14"/>
      <c r="AI39" s="15"/>
      <c r="AJ39" s="15"/>
      <c r="AK39" s="15"/>
      <c r="AL39" s="15"/>
      <c r="AM39" s="15"/>
      <c r="AN39" s="15"/>
      <c r="AO39" s="15"/>
      <c r="AP39" s="15"/>
      <c r="AQ39" s="15"/>
      <c r="AR39" s="15"/>
      <c r="AS39" s="15"/>
      <c r="AT39" s="15"/>
      <c r="AU39" s="15"/>
      <c r="AV39" s="15"/>
      <c r="AW39" s="15"/>
      <c r="AX39" s="15"/>
      <c r="AY39" s="15"/>
      <c r="AZ39" s="15"/>
      <c r="BA39" s="15"/>
      <c r="BB39" s="15"/>
      <c r="BC39" s="15"/>
      <c r="BD39" s="15"/>
      <c r="BE39" s="15"/>
      <c r="BF39" s="15"/>
      <c r="BG39" s="15"/>
      <c r="BH39" s="15"/>
      <c r="BI39" s="15"/>
      <c r="BJ39" s="15"/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</row>
    <row r="40" spans="2:73" ht="24" customHeight="1" x14ac:dyDescent="0.2">
      <c r="B40" s="75">
        <v>16</v>
      </c>
      <c r="C40" s="66" t="s">
        <v>34</v>
      </c>
      <c r="D40" s="19" t="e">
        <f>VLOOKUP($B40,#REF!,3,0)</f>
        <v>#REF!</v>
      </c>
      <c r="E40" s="19" t="e">
        <f>VLOOKUP($B40,#REF!,4,0)</f>
        <v>#REF!</v>
      </c>
      <c r="F40" s="19" t="e">
        <f>VLOOKUP($B40,#REF!,5,0)</f>
        <v>#REF!</v>
      </c>
      <c r="G40" s="19" t="e">
        <f>VLOOKUP($B40,#REF!,6,0)</f>
        <v>#REF!</v>
      </c>
      <c r="H40" s="19" t="e">
        <f>VLOOKUP($B40,#REF!,7,0)</f>
        <v>#REF!</v>
      </c>
      <c r="I40" s="19" t="e">
        <f>VLOOKUP($B40,#REF!,8,0)</f>
        <v>#REF!</v>
      </c>
      <c r="J40" s="72">
        <v>1205</v>
      </c>
      <c r="K40" s="53" t="s">
        <v>12</v>
      </c>
      <c r="L40" s="54" t="s">
        <v>58</v>
      </c>
      <c r="M40" s="54" t="s">
        <v>58</v>
      </c>
      <c r="N40" s="54" t="s">
        <v>58</v>
      </c>
      <c r="O40" s="73"/>
      <c r="P40" s="13"/>
      <c r="Q40" s="13"/>
      <c r="R40" s="13"/>
      <c r="S40" s="13"/>
      <c r="T40" s="13"/>
    </row>
    <row r="41" spans="2:73" ht="24" customHeight="1" thickBot="1" x14ac:dyDescent="0.25">
      <c r="B41" s="65"/>
      <c r="C41" s="67"/>
      <c r="D41" s="20" t="e">
        <f>VLOOKUP($B41,#REF!,3,0)</f>
        <v>#REF!</v>
      </c>
      <c r="E41" s="20" t="e">
        <f>VLOOKUP($B41,#REF!,4,0)</f>
        <v>#REF!</v>
      </c>
      <c r="F41" s="20" t="e">
        <f>VLOOKUP($B41,#REF!,5,0)</f>
        <v>#REF!</v>
      </c>
      <c r="G41" s="20" t="e">
        <f>VLOOKUP($B41,#REF!,6,0)</f>
        <v>#REF!</v>
      </c>
      <c r="H41" s="20" t="e">
        <f>VLOOKUP($B41,#REF!,7,0)</f>
        <v>#REF!</v>
      </c>
      <c r="I41" s="20" t="e">
        <f>VLOOKUP($B41,#REF!,8,0)</f>
        <v>#REF!</v>
      </c>
      <c r="J41" s="69"/>
      <c r="K41" s="34" t="s">
        <v>13</v>
      </c>
      <c r="L41" s="36">
        <v>129</v>
      </c>
      <c r="M41" s="36">
        <v>124</v>
      </c>
      <c r="N41" s="36">
        <v>127</v>
      </c>
      <c r="O41" s="74"/>
      <c r="P41" s="13"/>
      <c r="Q41" s="13"/>
      <c r="R41" s="13"/>
      <c r="S41" s="13"/>
      <c r="T41" s="13"/>
      <c r="AF41" s="12"/>
      <c r="AG41" s="12"/>
      <c r="AH41" s="14"/>
      <c r="AI41" s="15"/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/>
      <c r="AU41" s="15"/>
      <c r="AV41" s="15"/>
      <c r="AW41" s="15"/>
      <c r="AX41" s="15"/>
      <c r="AY41" s="15"/>
      <c r="AZ41" s="15"/>
      <c r="BA41" s="15"/>
      <c r="BB41" s="15"/>
      <c r="BC41" s="15"/>
      <c r="BD41" s="15"/>
      <c r="BE41" s="15"/>
      <c r="BF41" s="15"/>
      <c r="BG41" s="15"/>
      <c r="BH41" s="15"/>
      <c r="BI41" s="15"/>
      <c r="BJ41" s="15"/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</row>
  </sheetData>
  <mergeCells count="67">
    <mergeCell ref="AF5:AH5"/>
    <mergeCell ref="L6:N6"/>
    <mergeCell ref="O7:O8"/>
    <mergeCell ref="B8:K8"/>
    <mergeCell ref="B10:B11"/>
    <mergeCell ref="C10:C11"/>
    <mergeCell ref="J10:J11"/>
    <mergeCell ref="B18:B19"/>
    <mergeCell ref="C18:C19"/>
    <mergeCell ref="J18:J19"/>
    <mergeCell ref="O18:O19"/>
    <mergeCell ref="B12:B13"/>
    <mergeCell ref="C12:C13"/>
    <mergeCell ref="J12:J13"/>
    <mergeCell ref="B14:B15"/>
    <mergeCell ref="C14:C15"/>
    <mergeCell ref="J14:J15"/>
    <mergeCell ref="O14:O15"/>
    <mergeCell ref="B16:B17"/>
    <mergeCell ref="C16:C17"/>
    <mergeCell ref="J16:J17"/>
    <mergeCell ref="O16:O17"/>
    <mergeCell ref="B20:B21"/>
    <mergeCell ref="C20:C21"/>
    <mergeCell ref="J20:J21"/>
    <mergeCell ref="O20:O21"/>
    <mergeCell ref="B22:B23"/>
    <mergeCell ref="C22:C23"/>
    <mergeCell ref="J22:J23"/>
    <mergeCell ref="O22:O23"/>
    <mergeCell ref="B24:B25"/>
    <mergeCell ref="C24:C25"/>
    <mergeCell ref="J24:J25"/>
    <mergeCell ref="O24:O25"/>
    <mergeCell ref="B26:B27"/>
    <mergeCell ref="C26:C27"/>
    <mergeCell ref="J26:J27"/>
    <mergeCell ref="O26:O27"/>
    <mergeCell ref="B28:B29"/>
    <mergeCell ref="C28:C29"/>
    <mergeCell ref="J28:J29"/>
    <mergeCell ref="O28:O29"/>
    <mergeCell ref="B30:B31"/>
    <mergeCell ref="C30:C31"/>
    <mergeCell ref="J30:J31"/>
    <mergeCell ref="O30:O31"/>
    <mergeCell ref="O32:O33"/>
    <mergeCell ref="B34:B35"/>
    <mergeCell ref="C34:C35"/>
    <mergeCell ref="J34:J35"/>
    <mergeCell ref="O34:O35"/>
    <mergeCell ref="B40:B41"/>
    <mergeCell ref="C40:C41"/>
    <mergeCell ref="J40:J41"/>
    <mergeCell ref="O40:O41"/>
    <mergeCell ref="O10:O11"/>
    <mergeCell ref="B36:B37"/>
    <mergeCell ref="C36:C37"/>
    <mergeCell ref="J36:J37"/>
    <mergeCell ref="O36:O37"/>
    <mergeCell ref="B38:B39"/>
    <mergeCell ref="C38:C39"/>
    <mergeCell ref="J38:J39"/>
    <mergeCell ref="O38:O39"/>
    <mergeCell ref="B32:B33"/>
    <mergeCell ref="C32:C33"/>
    <mergeCell ref="J32:J33"/>
  </mergeCells>
  <pageMargins left="0.45" right="0" top="0.49" bottom="0" header="0.64" footer="0"/>
  <pageSetup paperSize="512" scale="74" orientation="portrait" r:id="rId1"/>
  <headerFooter alignWithMargins="0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4245C-A74D-44FC-A009-2E53D080AB67}">
  <sheetPr>
    <pageSetUpPr fitToPage="1"/>
  </sheetPr>
  <dimension ref="A1:BU41"/>
  <sheetViews>
    <sheetView zoomScaleNormal="100" workbookViewId="0">
      <selection activeCell="A2" sqref="A2"/>
    </sheetView>
  </sheetViews>
  <sheetFormatPr defaultRowHeight="12.75" x14ac:dyDescent="0.2"/>
  <cols>
    <col min="1" max="1" width="5.42578125" customWidth="1"/>
    <col min="2" max="2" width="6.28515625" customWidth="1"/>
    <col min="3" max="3" width="12.7109375" customWidth="1"/>
    <col min="4" max="8" width="5.28515625" hidden="1" customWidth="1"/>
    <col min="9" max="9" width="7" hidden="1" customWidth="1"/>
    <col min="10" max="10" width="8.42578125" customWidth="1"/>
    <col min="11" max="14" width="12.7109375" customWidth="1"/>
    <col min="15" max="15" width="48.7109375" customWidth="1"/>
    <col min="22" max="22" width="7.5703125" customWidth="1"/>
    <col min="23" max="32" width="7.7109375" customWidth="1"/>
  </cols>
  <sheetData>
    <row r="1" spans="1:73" ht="15" customHeight="1" x14ac:dyDescent="0.25">
      <c r="A1" s="1" t="s">
        <v>40</v>
      </c>
    </row>
    <row r="2" spans="1:73" ht="20.25" customHeight="1" thickBot="1" x14ac:dyDescent="0.3">
      <c r="A2" s="1"/>
      <c r="M2" s="15" t="s">
        <v>0</v>
      </c>
      <c r="N2" s="23"/>
      <c r="O2" s="29"/>
    </row>
    <row r="3" spans="1:73" ht="20.25" customHeight="1" thickBot="1" x14ac:dyDescent="0.25">
      <c r="A3" t="s">
        <v>1</v>
      </c>
      <c r="C3" s="38"/>
      <c r="D3" s="3"/>
      <c r="E3" s="3"/>
      <c r="F3" s="3"/>
      <c r="G3" s="3"/>
      <c r="H3" s="3"/>
      <c r="I3" s="3"/>
      <c r="J3" s="3"/>
      <c r="K3" s="3"/>
      <c r="L3" s="3"/>
      <c r="M3" s="15" t="s">
        <v>23</v>
      </c>
      <c r="N3" s="2"/>
      <c r="O3" s="30"/>
    </row>
    <row r="4" spans="1:73" ht="20.25" customHeight="1" thickBot="1" x14ac:dyDescent="0.25">
      <c r="B4" s="3"/>
      <c r="C4" s="38"/>
      <c r="D4" s="4"/>
      <c r="E4" s="4"/>
      <c r="F4" s="4"/>
      <c r="G4" s="4"/>
      <c r="H4" s="4"/>
      <c r="I4" s="4"/>
      <c r="J4" s="4"/>
      <c r="K4" s="4"/>
      <c r="L4" s="4"/>
      <c r="M4" s="15" t="s">
        <v>2</v>
      </c>
      <c r="N4" s="2" t="s">
        <v>26</v>
      </c>
      <c r="O4" s="30"/>
    </row>
    <row r="5" spans="1:73" ht="18" x14ac:dyDescent="0.2">
      <c r="AE5" s="5"/>
      <c r="AF5" s="55"/>
      <c r="AG5" s="55"/>
      <c r="AH5" s="55"/>
    </row>
    <row r="6" spans="1:73" ht="18" x14ac:dyDescent="0.25">
      <c r="L6" s="56"/>
      <c r="M6" s="57"/>
      <c r="N6" s="58"/>
      <c r="O6" s="31"/>
      <c r="AE6" s="5"/>
      <c r="AF6" s="24"/>
      <c r="AG6" s="24"/>
      <c r="AH6" s="24"/>
    </row>
    <row r="7" spans="1:73" ht="25.5" customHeight="1" x14ac:dyDescent="0.2">
      <c r="B7" s="6" t="s">
        <v>27</v>
      </c>
      <c r="C7" s="7"/>
      <c r="D7" s="7" t="s">
        <v>4</v>
      </c>
      <c r="E7" s="6" t="s">
        <v>5</v>
      </c>
      <c r="F7" s="7" t="s">
        <v>6</v>
      </c>
      <c r="G7" s="6" t="s">
        <v>7</v>
      </c>
      <c r="H7" s="6" t="s">
        <v>8</v>
      </c>
      <c r="I7" s="6" t="s">
        <v>9</v>
      </c>
      <c r="J7" s="6" t="s">
        <v>11</v>
      </c>
      <c r="K7" s="8" t="s">
        <v>24</v>
      </c>
      <c r="L7" s="22" t="s">
        <v>37</v>
      </c>
      <c r="M7" s="22" t="s">
        <v>38</v>
      </c>
      <c r="N7" s="22" t="s">
        <v>39</v>
      </c>
      <c r="O7" s="59" t="s">
        <v>25</v>
      </c>
      <c r="AE7" s="10"/>
      <c r="AF7" s="9"/>
      <c r="AG7" s="9"/>
      <c r="AH7" s="11"/>
    </row>
    <row r="8" spans="1:73" ht="15.95" customHeight="1" thickBot="1" x14ac:dyDescent="0.25">
      <c r="B8" s="61"/>
      <c r="C8" s="62"/>
      <c r="D8" s="62"/>
      <c r="E8" s="62"/>
      <c r="F8" s="62"/>
      <c r="G8" s="62"/>
      <c r="H8" s="62"/>
      <c r="I8" s="62"/>
      <c r="J8" s="62"/>
      <c r="K8" s="63"/>
      <c r="L8" s="39" t="s">
        <v>29</v>
      </c>
      <c r="M8" s="39"/>
      <c r="N8" s="39"/>
      <c r="O8" s="60"/>
      <c r="AF8" s="12"/>
      <c r="AG8" s="12"/>
      <c r="AH8" s="12"/>
    </row>
    <row r="9" spans="1:73" ht="15.95" hidden="1" customHeight="1" x14ac:dyDescent="0.2">
      <c r="B9" s="25" t="s">
        <v>3</v>
      </c>
      <c r="C9" s="26" t="s">
        <v>10</v>
      </c>
      <c r="D9" s="26" t="s">
        <v>14</v>
      </c>
      <c r="E9" s="25" t="s">
        <v>15</v>
      </c>
      <c r="F9" s="26" t="s">
        <v>16</v>
      </c>
      <c r="G9" s="25" t="s">
        <v>17</v>
      </c>
      <c r="H9" s="25" t="s">
        <v>8</v>
      </c>
      <c r="I9" s="25" t="s">
        <v>18</v>
      </c>
      <c r="J9" s="27" t="s">
        <v>11</v>
      </c>
      <c r="K9" s="27" t="s">
        <v>19</v>
      </c>
      <c r="L9" s="28" t="s">
        <v>20</v>
      </c>
      <c r="M9" s="28" t="s">
        <v>21</v>
      </c>
      <c r="N9" s="28" t="s">
        <v>22</v>
      </c>
      <c r="O9" s="32"/>
      <c r="AF9" s="12"/>
      <c r="AG9" s="12"/>
      <c r="AH9" s="12"/>
    </row>
    <row r="10" spans="1:73" ht="24" customHeight="1" x14ac:dyDescent="0.2">
      <c r="B10" s="64">
        <v>1</v>
      </c>
      <c r="C10" s="66" t="s">
        <v>31</v>
      </c>
      <c r="D10" s="19" t="e">
        <f>VLOOKUP($B10,#REF!,3,0)</f>
        <v>#REF!</v>
      </c>
      <c r="E10" s="19" t="e">
        <f>VLOOKUP($B10,#REF!,4,0)</f>
        <v>#REF!</v>
      </c>
      <c r="F10" s="19" t="e">
        <f>VLOOKUP($B10,#REF!,5,0)</f>
        <v>#REF!</v>
      </c>
      <c r="G10" s="19" t="e">
        <f>VLOOKUP($B10,#REF!,6,0)</f>
        <v>#REF!</v>
      </c>
      <c r="H10" s="19" t="e">
        <f>VLOOKUP($B10,#REF!,7,0)</f>
        <v>#REF!</v>
      </c>
      <c r="I10" s="19" t="e">
        <f>VLOOKUP($B10,#REF!,8,0)</f>
        <v>#REF!</v>
      </c>
      <c r="J10" s="68"/>
      <c r="K10" s="22" t="s">
        <v>12</v>
      </c>
      <c r="L10" s="35"/>
      <c r="M10" s="35"/>
      <c r="N10" s="44"/>
      <c r="O10" s="40"/>
      <c r="P10" s="13"/>
      <c r="Q10" s="13"/>
      <c r="R10" s="13"/>
      <c r="S10" s="13"/>
      <c r="T10" s="13"/>
      <c r="AF10" s="12"/>
      <c r="AG10" s="12"/>
      <c r="AH10" s="14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  <c r="AX10" s="15"/>
      <c r="AY10" s="15"/>
      <c r="AZ10" s="15"/>
      <c r="BA10" s="15"/>
      <c r="BB10" s="15"/>
      <c r="BC10" s="15"/>
      <c r="BD10" s="15"/>
      <c r="BE10" s="15"/>
      <c r="BF10" s="15"/>
      <c r="BG10" s="15"/>
      <c r="BH10" s="15"/>
      <c r="BI10" s="15"/>
      <c r="BJ10" s="15"/>
      <c r="BK10" s="15"/>
      <c r="BL10" s="15"/>
      <c r="BM10" s="15"/>
      <c r="BN10" s="15"/>
      <c r="BO10" s="15"/>
      <c r="BP10" s="15"/>
      <c r="BQ10" s="15"/>
      <c r="BR10" s="15"/>
      <c r="BS10" s="15"/>
      <c r="BT10" s="15"/>
      <c r="BU10" s="15"/>
    </row>
    <row r="11" spans="1:73" ht="24" customHeight="1" thickBot="1" x14ac:dyDescent="0.25">
      <c r="B11" s="65"/>
      <c r="C11" s="67"/>
      <c r="D11" s="20" t="e">
        <f>VLOOKUP($B11,#REF!,3,0)</f>
        <v>#REF!</v>
      </c>
      <c r="E11" s="20" t="e">
        <f>VLOOKUP($B11,#REF!,4,0)</f>
        <v>#REF!</v>
      </c>
      <c r="F11" s="20" t="e">
        <f>VLOOKUP($B11,#REF!,5,0)</f>
        <v>#REF!</v>
      </c>
      <c r="G11" s="20" t="e">
        <f>VLOOKUP($B11,#REF!,6,0)</f>
        <v>#REF!</v>
      </c>
      <c r="H11" s="20" t="e">
        <f>VLOOKUP($B11,#REF!,7,0)</f>
        <v>#REF!</v>
      </c>
      <c r="I11" s="20" t="e">
        <f>VLOOKUP($B11,#REF!,8,0)</f>
        <v>#REF!</v>
      </c>
      <c r="J11" s="69"/>
      <c r="K11" s="34" t="s">
        <v>13</v>
      </c>
      <c r="L11" s="36"/>
      <c r="M11" s="36"/>
      <c r="N11" s="36"/>
      <c r="O11" s="41"/>
      <c r="P11" s="13"/>
      <c r="Q11" s="13"/>
      <c r="R11" s="13"/>
      <c r="S11" s="13"/>
      <c r="T11" s="13"/>
      <c r="AF11" s="12"/>
      <c r="AG11" s="12"/>
      <c r="AH11" s="14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  <c r="BC11" s="15"/>
      <c r="BD11" s="15"/>
      <c r="BE11" s="15"/>
      <c r="BF11" s="15"/>
      <c r="BG11" s="15"/>
      <c r="BH11" s="15"/>
      <c r="BI11" s="15"/>
      <c r="BJ11" s="15"/>
      <c r="BK11" s="15"/>
      <c r="BL11" s="15"/>
      <c r="BM11" s="15"/>
      <c r="BN11" s="15"/>
      <c r="BO11" s="15"/>
      <c r="BP11" s="15"/>
      <c r="BQ11" s="15"/>
      <c r="BR11" s="15"/>
      <c r="BS11" s="15"/>
      <c r="BT11" s="15"/>
      <c r="BU11" s="15"/>
    </row>
    <row r="12" spans="1:73" ht="24" customHeight="1" x14ac:dyDescent="0.2">
      <c r="B12" s="64">
        <v>2</v>
      </c>
      <c r="C12" s="70" t="s">
        <v>32</v>
      </c>
      <c r="D12" s="21" t="e">
        <f>VLOOKUP($B12,#REF!,3,0)</f>
        <v>#REF!</v>
      </c>
      <c r="E12" s="21" t="e">
        <f>VLOOKUP($B12,#REF!,4,0)</f>
        <v>#REF!</v>
      </c>
      <c r="F12" s="21" t="e">
        <f>VLOOKUP($B12,#REF!,5,0)</f>
        <v>#REF!</v>
      </c>
      <c r="G12" s="21" t="e">
        <f>VLOOKUP($B12,#REF!,6,0)</f>
        <v>#REF!</v>
      </c>
      <c r="H12" s="21" t="e">
        <f>VLOOKUP($B12,#REF!,7,0)</f>
        <v>#REF!</v>
      </c>
      <c r="I12" s="21" t="e">
        <f>VLOOKUP($B12,#REF!,8,0)</f>
        <v>#REF!</v>
      </c>
      <c r="J12" s="72"/>
      <c r="K12" s="33" t="s">
        <v>12</v>
      </c>
      <c r="L12" s="35"/>
      <c r="M12" s="35"/>
      <c r="N12" s="35"/>
      <c r="O12" s="42"/>
      <c r="P12" s="13"/>
      <c r="Q12" s="16"/>
      <c r="R12" s="13"/>
      <c r="S12" s="17"/>
      <c r="T12" s="13"/>
      <c r="AF12" s="12"/>
      <c r="AG12" s="12"/>
      <c r="AH12" s="12"/>
      <c r="AI12" s="18"/>
      <c r="AJ12" s="1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8"/>
      <c r="BI12" s="18"/>
      <c r="BJ12" s="18"/>
      <c r="BK12" s="18"/>
      <c r="BL12" s="18"/>
      <c r="BM12" s="18"/>
      <c r="BN12" s="18"/>
      <c r="BO12" s="18"/>
      <c r="BP12" s="18"/>
      <c r="BQ12" s="18"/>
      <c r="BR12" s="18"/>
      <c r="BS12" s="18"/>
      <c r="BT12" s="18"/>
      <c r="BU12" s="18"/>
    </row>
    <row r="13" spans="1:73" ht="24" customHeight="1" thickBot="1" x14ac:dyDescent="0.25">
      <c r="B13" s="65"/>
      <c r="C13" s="71"/>
      <c r="D13" s="20" t="e">
        <f>VLOOKUP($B13,#REF!,3,0)</f>
        <v>#REF!</v>
      </c>
      <c r="E13" s="20" t="e">
        <f>VLOOKUP($B13,#REF!,4,0)</f>
        <v>#REF!</v>
      </c>
      <c r="F13" s="20" t="e">
        <f>VLOOKUP($B13,#REF!,5,0)</f>
        <v>#REF!</v>
      </c>
      <c r="G13" s="20" t="e">
        <f>VLOOKUP($B13,#REF!,6,0)</f>
        <v>#REF!</v>
      </c>
      <c r="H13" s="20" t="e">
        <f>VLOOKUP($B13,#REF!,7,0)</f>
        <v>#REF!</v>
      </c>
      <c r="I13" s="20" t="e">
        <f>VLOOKUP($B13,#REF!,8,0)</f>
        <v>#REF!</v>
      </c>
      <c r="J13" s="69"/>
      <c r="K13" s="34" t="s">
        <v>13</v>
      </c>
      <c r="L13" s="37"/>
      <c r="M13" s="36"/>
      <c r="N13" s="36"/>
      <c r="O13" s="43"/>
      <c r="P13" s="13"/>
      <c r="Q13" s="13"/>
      <c r="R13" s="13"/>
      <c r="S13" s="13"/>
      <c r="T13" s="13"/>
      <c r="AF13" s="12"/>
      <c r="AG13" s="12"/>
      <c r="AH13" s="14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5"/>
      <c r="BI13" s="15"/>
      <c r="BJ13" s="15"/>
      <c r="BK13" s="15"/>
      <c r="BL13" s="15"/>
      <c r="BM13" s="15"/>
      <c r="BN13" s="15"/>
      <c r="BO13" s="15"/>
      <c r="BP13" s="15"/>
      <c r="BQ13" s="15"/>
      <c r="BR13" s="15"/>
      <c r="BS13" s="15"/>
      <c r="BT13" s="15"/>
      <c r="BU13" s="15"/>
    </row>
    <row r="14" spans="1:73" ht="24" customHeight="1" x14ac:dyDescent="0.2">
      <c r="B14" s="64">
        <v>3</v>
      </c>
      <c r="C14" s="70" t="s">
        <v>33</v>
      </c>
      <c r="D14" s="19" t="e">
        <f>VLOOKUP($B14,#REF!,3,0)</f>
        <v>#REF!</v>
      </c>
      <c r="E14" s="19" t="e">
        <f>VLOOKUP($B14,#REF!,4,0)</f>
        <v>#REF!</v>
      </c>
      <c r="F14" s="19" t="e">
        <f>VLOOKUP($B14,#REF!,5,0)</f>
        <v>#REF!</v>
      </c>
      <c r="G14" s="19" t="e">
        <f>VLOOKUP($B14,#REF!,6,0)</f>
        <v>#REF!</v>
      </c>
      <c r="H14" s="19" t="e">
        <f>VLOOKUP($B14,#REF!,7,0)</f>
        <v>#REF!</v>
      </c>
      <c r="I14" s="19" t="e">
        <f>VLOOKUP($B14,#REF!,8,0)</f>
        <v>#REF!</v>
      </c>
      <c r="J14" s="72"/>
      <c r="K14" s="22" t="s">
        <v>12</v>
      </c>
      <c r="L14" s="35"/>
      <c r="M14" s="35"/>
      <c r="N14" s="35"/>
      <c r="O14" s="73"/>
      <c r="P14" s="13"/>
      <c r="Q14" s="13"/>
      <c r="R14" s="13"/>
      <c r="S14" s="13"/>
      <c r="T14" s="13"/>
      <c r="AF14" s="12"/>
      <c r="AG14" s="12"/>
      <c r="AH14" s="12"/>
    </row>
    <row r="15" spans="1:73" ht="24" customHeight="1" thickBot="1" x14ac:dyDescent="0.25">
      <c r="B15" s="65"/>
      <c r="C15" s="71"/>
      <c r="D15" s="20" t="e">
        <f>VLOOKUP($B15,#REF!,3,0)</f>
        <v>#REF!</v>
      </c>
      <c r="E15" s="20" t="e">
        <f>VLOOKUP($B15,#REF!,4,0)</f>
        <v>#REF!</v>
      </c>
      <c r="F15" s="20" t="e">
        <f>VLOOKUP($B15,#REF!,5,0)</f>
        <v>#REF!</v>
      </c>
      <c r="G15" s="20" t="e">
        <f>VLOOKUP($B15,#REF!,6,0)</f>
        <v>#REF!</v>
      </c>
      <c r="H15" s="20" t="e">
        <f>VLOOKUP($B15,#REF!,7,0)</f>
        <v>#REF!</v>
      </c>
      <c r="I15" s="20" t="e">
        <f>VLOOKUP($B15,#REF!,8,0)</f>
        <v>#REF!</v>
      </c>
      <c r="J15" s="69"/>
      <c r="K15" s="34" t="s">
        <v>13</v>
      </c>
      <c r="L15" s="36"/>
      <c r="M15" s="36"/>
      <c r="N15" s="36"/>
      <c r="O15" s="74"/>
      <c r="P15" s="13"/>
      <c r="Q15" s="13"/>
      <c r="R15" s="13"/>
      <c r="S15" s="13"/>
      <c r="T15" s="13"/>
      <c r="AF15" s="12"/>
      <c r="AG15" s="12"/>
      <c r="AH15" s="14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5"/>
      <c r="BI15" s="15"/>
      <c r="BJ15" s="15"/>
      <c r="BK15" s="15"/>
      <c r="BL15" s="15"/>
      <c r="BM15" s="15"/>
      <c r="BN15" s="15"/>
      <c r="BO15" s="15"/>
      <c r="BP15" s="15"/>
      <c r="BQ15" s="15"/>
      <c r="BR15" s="15"/>
      <c r="BS15" s="15"/>
      <c r="BT15" s="15"/>
      <c r="BU15" s="15"/>
    </row>
    <row r="16" spans="1:73" ht="24" customHeight="1" x14ac:dyDescent="0.2">
      <c r="B16" s="64">
        <v>4</v>
      </c>
      <c r="C16" s="70" t="s">
        <v>32</v>
      </c>
      <c r="D16" s="19" t="e">
        <f>VLOOKUP($B16,#REF!,3,0)</f>
        <v>#REF!</v>
      </c>
      <c r="E16" s="19" t="e">
        <f>VLOOKUP($B16,#REF!,4,0)</f>
        <v>#REF!</v>
      </c>
      <c r="F16" s="19" t="e">
        <f>VLOOKUP($B16,#REF!,5,0)</f>
        <v>#REF!</v>
      </c>
      <c r="G16" s="19" t="e">
        <f>VLOOKUP($B16,#REF!,6,0)</f>
        <v>#REF!</v>
      </c>
      <c r="H16" s="19" t="e">
        <f>VLOOKUP($B16,#REF!,7,0)</f>
        <v>#REF!</v>
      </c>
      <c r="I16" s="19" t="e">
        <f>VLOOKUP($B16,#REF!,8,0)</f>
        <v>#REF!</v>
      </c>
      <c r="J16" s="72"/>
      <c r="K16" s="22" t="s">
        <v>12</v>
      </c>
      <c r="L16" s="35"/>
      <c r="M16" s="35"/>
      <c r="N16" s="44"/>
      <c r="O16" s="73"/>
      <c r="P16" s="13"/>
      <c r="Q16" s="13"/>
      <c r="R16" s="13"/>
      <c r="S16" s="13"/>
      <c r="T16" s="13"/>
    </row>
    <row r="17" spans="2:73" ht="24" customHeight="1" thickBot="1" x14ac:dyDescent="0.25">
      <c r="B17" s="65"/>
      <c r="C17" s="71"/>
      <c r="D17" s="20" t="e">
        <f>VLOOKUP($B17,#REF!,3,0)</f>
        <v>#REF!</v>
      </c>
      <c r="E17" s="20" t="e">
        <f>VLOOKUP($B17,#REF!,4,0)</f>
        <v>#REF!</v>
      </c>
      <c r="F17" s="20" t="e">
        <f>VLOOKUP($B17,#REF!,5,0)</f>
        <v>#REF!</v>
      </c>
      <c r="G17" s="20" t="e">
        <f>VLOOKUP($B17,#REF!,6,0)</f>
        <v>#REF!</v>
      </c>
      <c r="H17" s="20" t="e">
        <f>VLOOKUP($B17,#REF!,7,0)</f>
        <v>#REF!</v>
      </c>
      <c r="I17" s="20" t="e">
        <f>VLOOKUP($B17,#REF!,8,0)</f>
        <v>#REF!</v>
      </c>
      <c r="J17" s="69"/>
      <c r="K17" s="34" t="s">
        <v>13</v>
      </c>
      <c r="L17" s="36"/>
      <c r="M17" s="36"/>
      <c r="N17" s="36"/>
      <c r="O17" s="74"/>
      <c r="P17" s="13"/>
      <c r="Q17" s="13"/>
      <c r="R17" s="13"/>
      <c r="S17" s="13"/>
      <c r="T17" s="13"/>
      <c r="AF17" s="12"/>
      <c r="AG17" s="12"/>
      <c r="AH17" s="14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5"/>
      <c r="BI17" s="15"/>
      <c r="BJ17" s="15"/>
      <c r="BK17" s="15"/>
      <c r="BL17" s="15"/>
      <c r="BM17" s="15"/>
      <c r="BN17" s="15"/>
      <c r="BO17" s="15"/>
      <c r="BP17" s="15"/>
      <c r="BQ17" s="15"/>
      <c r="BR17" s="15"/>
      <c r="BS17" s="15"/>
      <c r="BT17" s="15"/>
      <c r="BU17" s="15"/>
    </row>
    <row r="18" spans="2:73" ht="24" customHeight="1" x14ac:dyDescent="0.2">
      <c r="B18" s="64">
        <v>5</v>
      </c>
      <c r="C18" s="70" t="s">
        <v>33</v>
      </c>
      <c r="D18" s="19" t="e">
        <f>VLOOKUP($B18,#REF!,3,0)</f>
        <v>#REF!</v>
      </c>
      <c r="E18" s="19" t="e">
        <f>VLOOKUP($B18,#REF!,4,0)</f>
        <v>#REF!</v>
      </c>
      <c r="F18" s="19" t="e">
        <f>VLOOKUP($B18,#REF!,5,0)</f>
        <v>#REF!</v>
      </c>
      <c r="G18" s="19" t="e">
        <f>VLOOKUP($B18,#REF!,6,0)</f>
        <v>#REF!</v>
      </c>
      <c r="H18" s="19" t="e">
        <f>VLOOKUP($B18,#REF!,7,0)</f>
        <v>#REF!</v>
      </c>
      <c r="I18" s="19" t="e">
        <f>VLOOKUP($B18,#REF!,8,0)</f>
        <v>#REF!</v>
      </c>
      <c r="J18" s="72"/>
      <c r="K18" s="22" t="s">
        <v>12</v>
      </c>
      <c r="L18" s="44"/>
      <c r="M18" s="35"/>
      <c r="N18" s="44"/>
      <c r="O18" s="73"/>
      <c r="P18" s="13"/>
      <c r="Q18" s="13"/>
      <c r="R18" s="13"/>
      <c r="S18" s="13"/>
      <c r="T18" s="13"/>
      <c r="AF18" s="12"/>
      <c r="AG18" s="12"/>
      <c r="AH18" s="12"/>
    </row>
    <row r="19" spans="2:73" ht="24" customHeight="1" thickBot="1" x14ac:dyDescent="0.25">
      <c r="B19" s="65"/>
      <c r="C19" s="71"/>
      <c r="D19" s="20" t="e">
        <f>VLOOKUP($B19,#REF!,3,0)</f>
        <v>#REF!</v>
      </c>
      <c r="E19" s="20" t="e">
        <f>VLOOKUP($B19,#REF!,4,0)</f>
        <v>#REF!</v>
      </c>
      <c r="F19" s="20" t="e">
        <f>VLOOKUP($B19,#REF!,5,0)</f>
        <v>#REF!</v>
      </c>
      <c r="G19" s="20" t="e">
        <f>VLOOKUP($B19,#REF!,6,0)</f>
        <v>#REF!</v>
      </c>
      <c r="H19" s="20" t="e">
        <f>VLOOKUP($B19,#REF!,7,0)</f>
        <v>#REF!</v>
      </c>
      <c r="I19" s="20" t="e">
        <f>VLOOKUP($B19,#REF!,8,0)</f>
        <v>#REF!</v>
      </c>
      <c r="J19" s="69"/>
      <c r="K19" s="34" t="s">
        <v>13</v>
      </c>
      <c r="L19" s="36"/>
      <c r="M19" s="36"/>
      <c r="N19" s="36"/>
      <c r="O19" s="74"/>
      <c r="P19" s="13"/>
      <c r="Q19" s="13"/>
      <c r="R19" s="13"/>
      <c r="S19" s="13"/>
      <c r="T19" s="13"/>
      <c r="AF19" s="12"/>
      <c r="AG19" s="12"/>
      <c r="AH19" s="14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</row>
    <row r="20" spans="2:73" ht="24" customHeight="1" x14ac:dyDescent="0.2">
      <c r="B20" s="64">
        <v>6</v>
      </c>
      <c r="C20" s="70" t="s">
        <v>32</v>
      </c>
      <c r="D20" s="19" t="e">
        <f>VLOOKUP($B20,#REF!,3,0)</f>
        <v>#REF!</v>
      </c>
      <c r="E20" s="19" t="e">
        <f>VLOOKUP($B20,#REF!,4,0)</f>
        <v>#REF!</v>
      </c>
      <c r="F20" s="19" t="e">
        <f>VLOOKUP($B20,#REF!,5,0)</f>
        <v>#REF!</v>
      </c>
      <c r="G20" s="19" t="e">
        <f>VLOOKUP($B20,#REF!,6,0)</f>
        <v>#REF!</v>
      </c>
      <c r="H20" s="19" t="e">
        <f>VLOOKUP($B20,#REF!,7,0)</f>
        <v>#REF!</v>
      </c>
      <c r="I20" s="19" t="e">
        <f>VLOOKUP($B20,#REF!,8,0)</f>
        <v>#REF!</v>
      </c>
      <c r="J20" s="72"/>
      <c r="K20" s="22" t="s">
        <v>12</v>
      </c>
      <c r="L20" s="35"/>
      <c r="M20" s="35"/>
      <c r="N20" s="35"/>
      <c r="O20" s="73"/>
      <c r="P20" s="13"/>
      <c r="Q20" s="13"/>
      <c r="R20" s="13"/>
      <c r="S20" s="13"/>
      <c r="T20" s="13"/>
      <c r="AF20" s="12"/>
      <c r="AG20" s="12"/>
      <c r="AH20" s="12"/>
    </row>
    <row r="21" spans="2:73" ht="24" customHeight="1" thickBot="1" x14ac:dyDescent="0.25">
      <c r="B21" s="65"/>
      <c r="C21" s="71"/>
      <c r="D21" s="20" t="e">
        <f>VLOOKUP($B21,#REF!,3,0)</f>
        <v>#REF!</v>
      </c>
      <c r="E21" s="20" t="e">
        <f>VLOOKUP($B21,#REF!,4,0)</f>
        <v>#REF!</v>
      </c>
      <c r="F21" s="20" t="e">
        <f>VLOOKUP($B21,#REF!,5,0)</f>
        <v>#REF!</v>
      </c>
      <c r="G21" s="20" t="e">
        <f>VLOOKUP($B21,#REF!,6,0)</f>
        <v>#REF!</v>
      </c>
      <c r="H21" s="20" t="e">
        <f>VLOOKUP($B21,#REF!,7,0)</f>
        <v>#REF!</v>
      </c>
      <c r="I21" s="20" t="e">
        <f>VLOOKUP($B21,#REF!,8,0)</f>
        <v>#REF!</v>
      </c>
      <c r="J21" s="69"/>
      <c r="K21" s="34" t="s">
        <v>13</v>
      </c>
      <c r="L21" s="36"/>
      <c r="M21" s="36"/>
      <c r="N21" s="36"/>
      <c r="O21" s="74"/>
      <c r="P21" s="13"/>
      <c r="Q21" s="13"/>
      <c r="R21" s="13"/>
      <c r="S21" s="13"/>
      <c r="T21" s="13"/>
      <c r="AF21" s="12"/>
      <c r="AG21" s="12"/>
      <c r="AH21" s="14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  <c r="AX21" s="15"/>
      <c r="AY21" s="15"/>
      <c r="AZ21" s="15"/>
      <c r="BA21" s="15"/>
      <c r="BB21" s="15"/>
      <c r="BC21" s="15"/>
      <c r="BD21" s="15"/>
      <c r="BE21" s="15"/>
      <c r="BF21" s="15"/>
      <c r="BG21" s="15"/>
      <c r="BH21" s="15"/>
      <c r="BI21" s="15"/>
      <c r="BJ21" s="15"/>
      <c r="BK21" s="15"/>
      <c r="BL21" s="15"/>
      <c r="BM21" s="15"/>
      <c r="BN21" s="15"/>
      <c r="BO21" s="15"/>
      <c r="BP21" s="15"/>
      <c r="BQ21" s="15"/>
      <c r="BR21" s="15"/>
      <c r="BS21" s="15"/>
      <c r="BT21" s="15"/>
      <c r="BU21" s="15"/>
    </row>
    <row r="22" spans="2:73" ht="24" customHeight="1" x14ac:dyDescent="0.2">
      <c r="B22" s="64">
        <v>7</v>
      </c>
      <c r="C22" s="70" t="s">
        <v>33</v>
      </c>
      <c r="D22" s="19" t="e">
        <f>VLOOKUP($B22,#REF!,3,0)</f>
        <v>#REF!</v>
      </c>
      <c r="E22" s="19" t="e">
        <f>VLOOKUP($B22,#REF!,4,0)</f>
        <v>#REF!</v>
      </c>
      <c r="F22" s="19" t="e">
        <f>VLOOKUP($B22,#REF!,5,0)</f>
        <v>#REF!</v>
      </c>
      <c r="G22" s="19" t="e">
        <f>VLOOKUP($B22,#REF!,6,0)</f>
        <v>#REF!</v>
      </c>
      <c r="H22" s="19" t="e">
        <f>VLOOKUP($B22,#REF!,7,0)</f>
        <v>#REF!</v>
      </c>
      <c r="I22" s="19" t="e">
        <f>VLOOKUP($B22,#REF!,8,0)</f>
        <v>#REF!</v>
      </c>
      <c r="J22" s="72"/>
      <c r="K22" s="22" t="s">
        <v>12</v>
      </c>
      <c r="L22" s="35"/>
      <c r="M22" s="35"/>
      <c r="N22" s="35"/>
      <c r="O22" s="73"/>
      <c r="P22" s="13"/>
      <c r="Q22" s="13"/>
      <c r="R22" s="13"/>
      <c r="S22" s="13"/>
      <c r="T22" s="13"/>
      <c r="AF22" s="12"/>
      <c r="AG22" s="12"/>
      <c r="AH22" s="12"/>
    </row>
    <row r="23" spans="2:73" ht="24" customHeight="1" thickBot="1" x14ac:dyDescent="0.25">
      <c r="B23" s="65"/>
      <c r="C23" s="71"/>
      <c r="D23" s="20" t="e">
        <f>VLOOKUP($B23,#REF!,3,0)</f>
        <v>#REF!</v>
      </c>
      <c r="E23" s="20" t="e">
        <f>VLOOKUP($B23,#REF!,4,0)</f>
        <v>#REF!</v>
      </c>
      <c r="F23" s="20" t="e">
        <f>VLOOKUP($B23,#REF!,5,0)</f>
        <v>#REF!</v>
      </c>
      <c r="G23" s="20" t="e">
        <f>VLOOKUP($B23,#REF!,6,0)</f>
        <v>#REF!</v>
      </c>
      <c r="H23" s="20" t="e">
        <f>VLOOKUP($B23,#REF!,7,0)</f>
        <v>#REF!</v>
      </c>
      <c r="I23" s="20" t="e">
        <f>VLOOKUP($B23,#REF!,8,0)</f>
        <v>#REF!</v>
      </c>
      <c r="J23" s="69"/>
      <c r="K23" s="34" t="s">
        <v>13</v>
      </c>
      <c r="L23" s="36"/>
      <c r="M23" s="36"/>
      <c r="N23" s="36"/>
      <c r="O23" s="74"/>
      <c r="P23" s="13"/>
      <c r="Q23" s="13"/>
      <c r="R23" s="13"/>
      <c r="S23" s="13"/>
      <c r="T23" s="13"/>
      <c r="AF23" s="12"/>
      <c r="AG23" s="12"/>
      <c r="AH23" s="14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5"/>
      <c r="BB23" s="15"/>
      <c r="BC23" s="15"/>
      <c r="BD23" s="15"/>
      <c r="BE23" s="15"/>
      <c r="BF23" s="15"/>
      <c r="BG23" s="15"/>
      <c r="BH23" s="15"/>
      <c r="BI23" s="15"/>
      <c r="BJ23" s="15"/>
      <c r="BK23" s="15"/>
      <c r="BL23" s="15"/>
      <c r="BM23" s="15"/>
      <c r="BN23" s="15"/>
      <c r="BO23" s="15"/>
      <c r="BP23" s="15"/>
      <c r="BQ23" s="15"/>
      <c r="BR23" s="15"/>
      <c r="BS23" s="15"/>
      <c r="BT23" s="15"/>
      <c r="BU23" s="15"/>
    </row>
    <row r="24" spans="2:73" ht="24" customHeight="1" x14ac:dyDescent="0.2">
      <c r="B24" s="64">
        <v>8</v>
      </c>
      <c r="C24" s="70" t="s">
        <v>32</v>
      </c>
      <c r="D24" s="19" t="e">
        <f>VLOOKUP($B24,#REF!,3,0)</f>
        <v>#REF!</v>
      </c>
      <c r="E24" s="19" t="e">
        <f>VLOOKUP($B24,#REF!,4,0)</f>
        <v>#REF!</v>
      </c>
      <c r="F24" s="19" t="e">
        <f>VLOOKUP($B24,#REF!,5,0)</f>
        <v>#REF!</v>
      </c>
      <c r="G24" s="19" t="e">
        <f>VLOOKUP($B24,#REF!,6,0)</f>
        <v>#REF!</v>
      </c>
      <c r="H24" s="19" t="e">
        <f>VLOOKUP($B24,#REF!,7,0)</f>
        <v>#REF!</v>
      </c>
      <c r="I24" s="19" t="e">
        <f>VLOOKUP($B24,#REF!,8,0)</f>
        <v>#REF!</v>
      </c>
      <c r="J24" s="72"/>
      <c r="K24" s="22" t="s">
        <v>12</v>
      </c>
      <c r="L24" s="35"/>
      <c r="M24" s="35"/>
      <c r="N24" s="35"/>
      <c r="O24" s="73"/>
      <c r="P24" s="13"/>
      <c r="Q24" s="13"/>
      <c r="R24" s="13"/>
      <c r="S24" s="13"/>
      <c r="T24" s="13"/>
      <c r="AF24" s="9"/>
      <c r="AG24" s="9"/>
      <c r="AH24" s="9"/>
    </row>
    <row r="25" spans="2:73" ht="24" customHeight="1" thickBot="1" x14ac:dyDescent="0.25">
      <c r="B25" s="65"/>
      <c r="C25" s="71"/>
      <c r="D25" s="20" t="e">
        <f>VLOOKUP($B25,#REF!,3,0)</f>
        <v>#REF!</v>
      </c>
      <c r="E25" s="20" t="e">
        <f>VLOOKUP($B25,#REF!,4,0)</f>
        <v>#REF!</v>
      </c>
      <c r="F25" s="20" t="e">
        <f>VLOOKUP($B25,#REF!,5,0)</f>
        <v>#REF!</v>
      </c>
      <c r="G25" s="20" t="e">
        <f>VLOOKUP($B25,#REF!,6,0)</f>
        <v>#REF!</v>
      </c>
      <c r="H25" s="20" t="e">
        <f>VLOOKUP($B25,#REF!,7,0)</f>
        <v>#REF!</v>
      </c>
      <c r="I25" s="20" t="e">
        <f>VLOOKUP($B25,#REF!,8,0)</f>
        <v>#REF!</v>
      </c>
      <c r="J25" s="69"/>
      <c r="K25" s="34" t="s">
        <v>13</v>
      </c>
      <c r="L25" s="36"/>
      <c r="M25" s="36"/>
      <c r="N25" s="36"/>
      <c r="O25" s="74"/>
      <c r="P25" s="13"/>
      <c r="Q25" s="13"/>
      <c r="R25" s="13"/>
      <c r="S25" s="13"/>
      <c r="T25" s="13"/>
      <c r="AF25" s="12"/>
      <c r="AG25" s="12"/>
      <c r="AH25" s="14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AX25" s="15"/>
      <c r="AY25" s="15"/>
      <c r="AZ25" s="15"/>
      <c r="BA25" s="15"/>
      <c r="BB25" s="15"/>
      <c r="BC25" s="15"/>
      <c r="BD25" s="15"/>
      <c r="BE25" s="15"/>
      <c r="BF25" s="15"/>
      <c r="BG25" s="15"/>
      <c r="BH25" s="15"/>
      <c r="BI25" s="15"/>
      <c r="BJ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</row>
    <row r="26" spans="2:73" ht="24" customHeight="1" x14ac:dyDescent="0.2">
      <c r="B26" s="64">
        <v>9</v>
      </c>
      <c r="C26" s="70" t="s">
        <v>33</v>
      </c>
      <c r="D26" s="19" t="e">
        <f>VLOOKUP($B26,#REF!,3,0)</f>
        <v>#REF!</v>
      </c>
      <c r="E26" s="19" t="e">
        <f>VLOOKUP($B26,#REF!,4,0)</f>
        <v>#REF!</v>
      </c>
      <c r="F26" s="19" t="e">
        <f>VLOOKUP($B26,#REF!,5,0)</f>
        <v>#REF!</v>
      </c>
      <c r="G26" s="19" t="e">
        <f>VLOOKUP($B26,#REF!,6,0)</f>
        <v>#REF!</v>
      </c>
      <c r="H26" s="19" t="e">
        <f>VLOOKUP($B26,#REF!,7,0)</f>
        <v>#REF!</v>
      </c>
      <c r="I26" s="19" t="e">
        <f>VLOOKUP($B26,#REF!,8,0)</f>
        <v>#REF!</v>
      </c>
      <c r="J26" s="72"/>
      <c r="K26" s="22" t="s">
        <v>12</v>
      </c>
      <c r="L26" s="35"/>
      <c r="M26" s="35"/>
      <c r="N26" s="35"/>
      <c r="O26" s="73"/>
      <c r="P26" s="13"/>
      <c r="Q26" s="13"/>
      <c r="R26" s="13"/>
      <c r="S26" s="13"/>
      <c r="T26" s="13"/>
      <c r="AF26" s="12"/>
      <c r="AG26" s="12"/>
      <c r="AH26" s="12"/>
    </row>
    <row r="27" spans="2:73" ht="24" customHeight="1" thickBot="1" x14ac:dyDescent="0.25">
      <c r="B27" s="65"/>
      <c r="C27" s="71"/>
      <c r="D27" s="20" t="e">
        <f>VLOOKUP($B27,#REF!,3,0)</f>
        <v>#REF!</v>
      </c>
      <c r="E27" s="20" t="e">
        <f>VLOOKUP($B27,#REF!,4,0)</f>
        <v>#REF!</v>
      </c>
      <c r="F27" s="20" t="e">
        <f>VLOOKUP($B27,#REF!,5,0)</f>
        <v>#REF!</v>
      </c>
      <c r="G27" s="20" t="e">
        <f>VLOOKUP($B27,#REF!,6,0)</f>
        <v>#REF!</v>
      </c>
      <c r="H27" s="20" t="e">
        <f>VLOOKUP($B27,#REF!,7,0)</f>
        <v>#REF!</v>
      </c>
      <c r="I27" s="20" t="e">
        <f>VLOOKUP($B27,#REF!,8,0)</f>
        <v>#REF!</v>
      </c>
      <c r="J27" s="69"/>
      <c r="K27" s="34" t="s">
        <v>13</v>
      </c>
      <c r="L27" s="36"/>
      <c r="M27" s="36"/>
      <c r="N27" s="36"/>
      <c r="O27" s="74"/>
      <c r="P27" s="13"/>
      <c r="Q27" s="13"/>
      <c r="R27" s="13"/>
      <c r="S27" s="13"/>
      <c r="T27" s="13"/>
      <c r="AF27" s="12"/>
      <c r="AG27" s="12"/>
      <c r="AH27" s="14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AX27" s="15"/>
      <c r="AY27" s="15"/>
      <c r="AZ27" s="15"/>
      <c r="BA27" s="15"/>
      <c r="BB27" s="15"/>
      <c r="BC27" s="15"/>
      <c r="BD27" s="15"/>
      <c r="BE27" s="15"/>
      <c r="BF27" s="15"/>
      <c r="BG27" s="15"/>
      <c r="BH27" s="15"/>
      <c r="BI27" s="15"/>
      <c r="BJ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</row>
    <row r="28" spans="2:73" ht="24" customHeight="1" x14ac:dyDescent="0.2">
      <c r="B28" s="75">
        <v>10</v>
      </c>
      <c r="C28" s="70" t="s">
        <v>32</v>
      </c>
      <c r="D28" s="19" t="e">
        <f>VLOOKUP($B28,#REF!,3,0)</f>
        <v>#REF!</v>
      </c>
      <c r="E28" s="19" t="e">
        <f>VLOOKUP($B28,#REF!,4,0)</f>
        <v>#REF!</v>
      </c>
      <c r="F28" s="19" t="e">
        <f>VLOOKUP($B28,#REF!,5,0)</f>
        <v>#REF!</v>
      </c>
      <c r="G28" s="19" t="e">
        <f>VLOOKUP($B28,#REF!,6,0)</f>
        <v>#REF!</v>
      </c>
      <c r="H28" s="19" t="e">
        <f>VLOOKUP($B28,#REF!,7,0)</f>
        <v>#REF!</v>
      </c>
      <c r="I28" s="19" t="e">
        <f>VLOOKUP($B28,#REF!,8,0)</f>
        <v>#REF!</v>
      </c>
      <c r="J28" s="72"/>
      <c r="K28" s="22" t="s">
        <v>12</v>
      </c>
      <c r="L28" s="35"/>
      <c r="M28" s="35"/>
      <c r="N28" s="35"/>
      <c r="O28" s="73"/>
      <c r="P28" s="13"/>
      <c r="Q28" s="13"/>
      <c r="R28" s="13"/>
      <c r="S28" s="13"/>
      <c r="T28" s="13"/>
    </row>
    <row r="29" spans="2:73" ht="24" customHeight="1" thickBot="1" x14ac:dyDescent="0.25">
      <c r="B29" s="65"/>
      <c r="C29" s="71"/>
      <c r="D29" s="20" t="e">
        <f>VLOOKUP($B29,#REF!,3,0)</f>
        <v>#REF!</v>
      </c>
      <c r="E29" s="20" t="e">
        <f>VLOOKUP($B29,#REF!,4,0)</f>
        <v>#REF!</v>
      </c>
      <c r="F29" s="20" t="e">
        <f>VLOOKUP($B29,#REF!,5,0)</f>
        <v>#REF!</v>
      </c>
      <c r="G29" s="20" t="e">
        <f>VLOOKUP($B29,#REF!,6,0)</f>
        <v>#REF!</v>
      </c>
      <c r="H29" s="20" t="e">
        <f>VLOOKUP($B29,#REF!,7,0)</f>
        <v>#REF!</v>
      </c>
      <c r="I29" s="20" t="e">
        <f>VLOOKUP($B29,#REF!,8,0)</f>
        <v>#REF!</v>
      </c>
      <c r="J29" s="69"/>
      <c r="K29" s="34" t="s">
        <v>13</v>
      </c>
      <c r="L29" s="36"/>
      <c r="M29" s="36"/>
      <c r="N29" s="36"/>
      <c r="O29" s="74"/>
      <c r="P29" s="13"/>
      <c r="Q29" s="13"/>
      <c r="R29" s="13"/>
      <c r="S29" s="13"/>
      <c r="T29" s="13"/>
      <c r="AF29" s="12"/>
      <c r="AG29" s="12"/>
      <c r="AH29" s="14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AX29" s="15"/>
      <c r="AY29" s="15"/>
      <c r="AZ29" s="15"/>
      <c r="BA29" s="15"/>
      <c r="BB29" s="15"/>
      <c r="BC29" s="15"/>
      <c r="BD29" s="15"/>
      <c r="BE29" s="15"/>
      <c r="BF29" s="15"/>
      <c r="BG29" s="15"/>
      <c r="BH29" s="15"/>
      <c r="BI29" s="15"/>
      <c r="BJ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</row>
    <row r="30" spans="2:73" ht="24" customHeight="1" x14ac:dyDescent="0.2">
      <c r="B30" s="75">
        <v>11</v>
      </c>
      <c r="C30" s="70" t="s">
        <v>33</v>
      </c>
      <c r="D30" s="19" t="e">
        <f>VLOOKUP($B30,#REF!,3,0)</f>
        <v>#REF!</v>
      </c>
      <c r="E30" s="19" t="e">
        <f>VLOOKUP($B30,#REF!,4,0)</f>
        <v>#REF!</v>
      </c>
      <c r="F30" s="19" t="e">
        <f>VLOOKUP($B30,#REF!,5,0)</f>
        <v>#REF!</v>
      </c>
      <c r="G30" s="19" t="e">
        <f>VLOOKUP($B30,#REF!,6,0)</f>
        <v>#REF!</v>
      </c>
      <c r="H30" s="19" t="e">
        <f>VLOOKUP($B30,#REF!,7,0)</f>
        <v>#REF!</v>
      </c>
      <c r="I30" s="19" t="e">
        <f>VLOOKUP($B30,#REF!,8,0)</f>
        <v>#REF!</v>
      </c>
      <c r="J30" s="72"/>
      <c r="K30" s="22" t="s">
        <v>12</v>
      </c>
      <c r="L30" s="44"/>
      <c r="M30" s="35"/>
      <c r="N30" s="35"/>
      <c r="O30" s="73"/>
      <c r="P30" s="13"/>
      <c r="Q30" s="13"/>
      <c r="R30" s="13"/>
      <c r="S30" s="13"/>
      <c r="T30" s="13"/>
    </row>
    <row r="31" spans="2:73" ht="24" customHeight="1" thickBot="1" x14ac:dyDescent="0.25">
      <c r="B31" s="65"/>
      <c r="C31" s="71"/>
      <c r="D31" s="20" t="e">
        <f>VLOOKUP($B31,#REF!,3,0)</f>
        <v>#REF!</v>
      </c>
      <c r="E31" s="20" t="e">
        <f>VLOOKUP($B31,#REF!,4,0)</f>
        <v>#REF!</v>
      </c>
      <c r="F31" s="20" t="e">
        <f>VLOOKUP($B31,#REF!,5,0)</f>
        <v>#REF!</v>
      </c>
      <c r="G31" s="20" t="e">
        <f>VLOOKUP($B31,#REF!,6,0)</f>
        <v>#REF!</v>
      </c>
      <c r="H31" s="20" t="e">
        <f>VLOOKUP($B31,#REF!,7,0)</f>
        <v>#REF!</v>
      </c>
      <c r="I31" s="20" t="e">
        <f>VLOOKUP($B31,#REF!,8,0)</f>
        <v>#REF!</v>
      </c>
      <c r="J31" s="69"/>
      <c r="K31" s="34" t="s">
        <v>13</v>
      </c>
      <c r="L31" s="36"/>
      <c r="M31" s="36"/>
      <c r="N31" s="36"/>
      <c r="O31" s="74"/>
      <c r="P31" s="13"/>
      <c r="Q31" s="13"/>
      <c r="R31" s="13"/>
      <c r="S31" s="13"/>
      <c r="T31" s="13"/>
      <c r="AF31" s="12"/>
      <c r="AG31" s="12"/>
      <c r="AH31" s="14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AX31" s="15"/>
      <c r="AY31" s="15"/>
      <c r="AZ31" s="15"/>
      <c r="BA31" s="15"/>
      <c r="BB31" s="15"/>
      <c r="BC31" s="15"/>
      <c r="BD31" s="15"/>
      <c r="BE31" s="15"/>
      <c r="BF31" s="15"/>
      <c r="BG31" s="15"/>
      <c r="BH31" s="15"/>
      <c r="BI31" s="15"/>
      <c r="BJ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</row>
    <row r="32" spans="2:73" ht="24" customHeight="1" x14ac:dyDescent="0.2">
      <c r="B32" s="75">
        <v>12</v>
      </c>
      <c r="C32" s="70" t="s">
        <v>32</v>
      </c>
      <c r="D32" s="19" t="e">
        <f>VLOOKUP($B32,#REF!,3,0)</f>
        <v>#REF!</v>
      </c>
      <c r="E32" s="19" t="e">
        <f>VLOOKUP($B32,#REF!,4,0)</f>
        <v>#REF!</v>
      </c>
      <c r="F32" s="19" t="e">
        <f>VLOOKUP($B32,#REF!,5,0)</f>
        <v>#REF!</v>
      </c>
      <c r="G32" s="19" t="e">
        <f>VLOOKUP($B32,#REF!,6,0)</f>
        <v>#REF!</v>
      </c>
      <c r="H32" s="19" t="e">
        <f>VLOOKUP($B32,#REF!,7,0)</f>
        <v>#REF!</v>
      </c>
      <c r="I32" s="19" t="e">
        <f>VLOOKUP($B32,#REF!,8,0)</f>
        <v>#REF!</v>
      </c>
      <c r="J32" s="72"/>
      <c r="K32" s="22" t="s">
        <v>12</v>
      </c>
      <c r="L32" s="35"/>
      <c r="M32" s="35"/>
      <c r="N32" s="35"/>
      <c r="O32" s="73"/>
      <c r="P32" s="13"/>
      <c r="Q32" s="13"/>
      <c r="R32" s="13"/>
      <c r="S32" s="13"/>
      <c r="T32" s="13"/>
    </row>
    <row r="33" spans="2:73" ht="24" customHeight="1" thickBot="1" x14ac:dyDescent="0.25">
      <c r="B33" s="65"/>
      <c r="C33" s="71"/>
      <c r="D33" s="20" t="e">
        <f>VLOOKUP($B33,#REF!,3,0)</f>
        <v>#REF!</v>
      </c>
      <c r="E33" s="20" t="e">
        <f>VLOOKUP($B33,#REF!,4,0)</f>
        <v>#REF!</v>
      </c>
      <c r="F33" s="20" t="e">
        <f>VLOOKUP($B33,#REF!,5,0)</f>
        <v>#REF!</v>
      </c>
      <c r="G33" s="20" t="e">
        <f>VLOOKUP($B33,#REF!,6,0)</f>
        <v>#REF!</v>
      </c>
      <c r="H33" s="20" t="e">
        <f>VLOOKUP($B33,#REF!,7,0)</f>
        <v>#REF!</v>
      </c>
      <c r="I33" s="20" t="e">
        <f>VLOOKUP($B33,#REF!,8,0)</f>
        <v>#REF!</v>
      </c>
      <c r="J33" s="69"/>
      <c r="K33" s="34" t="s">
        <v>13</v>
      </c>
      <c r="L33" s="36"/>
      <c r="M33" s="36"/>
      <c r="N33" s="36"/>
      <c r="O33" s="74"/>
      <c r="P33" s="13"/>
      <c r="Q33" s="13"/>
      <c r="R33" s="13"/>
      <c r="S33" s="13"/>
      <c r="T33" s="13"/>
      <c r="AF33" s="12"/>
      <c r="AG33" s="12"/>
      <c r="AH33" s="14"/>
      <c r="AI33" s="15"/>
      <c r="AJ33" s="15"/>
      <c r="AK33" s="15"/>
      <c r="AL33" s="15"/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AX33" s="15"/>
      <c r="AY33" s="15"/>
      <c r="AZ33" s="15"/>
      <c r="BA33" s="15"/>
      <c r="BB33" s="15"/>
      <c r="BC33" s="15"/>
      <c r="BD33" s="15"/>
      <c r="BE33" s="15"/>
      <c r="BF33" s="15"/>
      <c r="BG33" s="15"/>
      <c r="BH33" s="15"/>
      <c r="BI33" s="15"/>
      <c r="BJ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</row>
    <row r="34" spans="2:73" ht="24" customHeight="1" x14ac:dyDescent="0.2">
      <c r="B34" s="75">
        <v>13</v>
      </c>
      <c r="C34" s="70" t="s">
        <v>33</v>
      </c>
      <c r="D34" s="19" t="e">
        <f>VLOOKUP($B34,#REF!,3,0)</f>
        <v>#REF!</v>
      </c>
      <c r="E34" s="19" t="e">
        <f>VLOOKUP($B34,#REF!,4,0)</f>
        <v>#REF!</v>
      </c>
      <c r="F34" s="19" t="e">
        <f>VLOOKUP($B34,#REF!,5,0)</f>
        <v>#REF!</v>
      </c>
      <c r="G34" s="19" t="e">
        <f>VLOOKUP($B34,#REF!,6,0)</f>
        <v>#REF!</v>
      </c>
      <c r="H34" s="19" t="e">
        <f>VLOOKUP($B34,#REF!,7,0)</f>
        <v>#REF!</v>
      </c>
      <c r="I34" s="19" t="e">
        <f>VLOOKUP($B34,#REF!,8,0)</f>
        <v>#REF!</v>
      </c>
      <c r="J34" s="72"/>
      <c r="K34" s="22" t="s">
        <v>12</v>
      </c>
      <c r="L34" s="35"/>
      <c r="M34" s="35"/>
      <c r="N34" s="35"/>
      <c r="O34" s="73"/>
      <c r="P34" s="13"/>
      <c r="Q34" s="13"/>
      <c r="R34" s="13"/>
      <c r="S34" s="13"/>
      <c r="T34" s="13"/>
    </row>
    <row r="35" spans="2:73" ht="24" customHeight="1" thickBot="1" x14ac:dyDescent="0.25">
      <c r="B35" s="65"/>
      <c r="C35" s="71"/>
      <c r="D35" s="20" t="e">
        <f>VLOOKUP($B35,#REF!,3,0)</f>
        <v>#REF!</v>
      </c>
      <c r="E35" s="20" t="e">
        <f>VLOOKUP($B35,#REF!,4,0)</f>
        <v>#REF!</v>
      </c>
      <c r="F35" s="20" t="e">
        <f>VLOOKUP($B35,#REF!,5,0)</f>
        <v>#REF!</v>
      </c>
      <c r="G35" s="20" t="e">
        <f>VLOOKUP($B35,#REF!,6,0)</f>
        <v>#REF!</v>
      </c>
      <c r="H35" s="20" t="e">
        <f>VLOOKUP($B35,#REF!,7,0)</f>
        <v>#REF!</v>
      </c>
      <c r="I35" s="20" t="e">
        <f>VLOOKUP($B35,#REF!,8,0)</f>
        <v>#REF!</v>
      </c>
      <c r="J35" s="69"/>
      <c r="K35" s="34" t="s">
        <v>13</v>
      </c>
      <c r="L35" s="36"/>
      <c r="M35" s="36"/>
      <c r="N35" s="36"/>
      <c r="O35" s="74"/>
      <c r="P35" s="13"/>
      <c r="Q35" s="13"/>
      <c r="R35" s="13"/>
      <c r="S35" s="13"/>
      <c r="T35" s="13"/>
      <c r="AF35" s="12"/>
      <c r="AG35" s="12"/>
      <c r="AH35" s="14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5"/>
      <c r="AX35" s="15"/>
      <c r="AY35" s="15"/>
      <c r="AZ35" s="15"/>
      <c r="BA35" s="15"/>
      <c r="BB35" s="15"/>
      <c r="BC35" s="15"/>
      <c r="BD35" s="15"/>
      <c r="BE35" s="15"/>
      <c r="BF35" s="15"/>
      <c r="BG35" s="15"/>
      <c r="BH35" s="15"/>
      <c r="BI35" s="15"/>
      <c r="BJ35" s="15"/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</row>
    <row r="36" spans="2:73" ht="24" customHeight="1" x14ac:dyDescent="0.2">
      <c r="B36" s="75">
        <v>14</v>
      </c>
      <c r="C36" s="70" t="s">
        <v>32</v>
      </c>
      <c r="D36" s="19" t="e">
        <f>VLOOKUP($B36,#REF!,3,0)</f>
        <v>#REF!</v>
      </c>
      <c r="E36" s="19" t="e">
        <f>VLOOKUP($B36,#REF!,4,0)</f>
        <v>#REF!</v>
      </c>
      <c r="F36" s="19" t="e">
        <f>VLOOKUP($B36,#REF!,5,0)</f>
        <v>#REF!</v>
      </c>
      <c r="G36" s="19" t="e">
        <f>VLOOKUP($B36,#REF!,6,0)</f>
        <v>#REF!</v>
      </c>
      <c r="H36" s="19" t="e">
        <f>VLOOKUP($B36,#REF!,7,0)</f>
        <v>#REF!</v>
      </c>
      <c r="I36" s="19" t="e">
        <f>VLOOKUP($B36,#REF!,8,0)</f>
        <v>#REF!</v>
      </c>
      <c r="J36" s="72"/>
      <c r="K36" s="22" t="s">
        <v>12</v>
      </c>
      <c r="L36" s="35"/>
      <c r="M36" s="35"/>
      <c r="N36" s="35"/>
      <c r="O36" s="73"/>
      <c r="P36" s="13"/>
      <c r="Q36" s="13"/>
      <c r="R36" s="13"/>
      <c r="S36" s="13"/>
      <c r="T36" s="13"/>
    </row>
    <row r="37" spans="2:73" ht="24" customHeight="1" thickBot="1" x14ac:dyDescent="0.25">
      <c r="B37" s="65"/>
      <c r="C37" s="71"/>
      <c r="D37" s="20" t="e">
        <f>VLOOKUP($B37,#REF!,3,0)</f>
        <v>#REF!</v>
      </c>
      <c r="E37" s="20" t="e">
        <f>VLOOKUP($B37,#REF!,4,0)</f>
        <v>#REF!</v>
      </c>
      <c r="F37" s="20" t="e">
        <f>VLOOKUP($B37,#REF!,5,0)</f>
        <v>#REF!</v>
      </c>
      <c r="G37" s="20" t="e">
        <f>VLOOKUP($B37,#REF!,6,0)</f>
        <v>#REF!</v>
      </c>
      <c r="H37" s="20" t="e">
        <f>VLOOKUP($B37,#REF!,7,0)</f>
        <v>#REF!</v>
      </c>
      <c r="I37" s="20" t="e">
        <f>VLOOKUP($B37,#REF!,8,0)</f>
        <v>#REF!</v>
      </c>
      <c r="J37" s="69"/>
      <c r="K37" s="34" t="s">
        <v>13</v>
      </c>
      <c r="L37" s="36"/>
      <c r="M37" s="36"/>
      <c r="N37" s="36"/>
      <c r="O37" s="74"/>
      <c r="P37" s="13"/>
      <c r="Q37" s="13"/>
      <c r="R37" s="13"/>
      <c r="S37" s="13"/>
      <c r="T37" s="13"/>
      <c r="AF37" s="12"/>
      <c r="AG37" s="12"/>
      <c r="AH37" s="14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/>
      <c r="AU37" s="15"/>
      <c r="AV37" s="15"/>
      <c r="AW37" s="15"/>
      <c r="AX37" s="15"/>
      <c r="AY37" s="15"/>
      <c r="AZ37" s="15"/>
      <c r="BA37" s="15"/>
      <c r="BB37" s="15"/>
      <c r="BC37" s="15"/>
      <c r="BD37" s="15"/>
      <c r="BE37" s="15"/>
      <c r="BF37" s="15"/>
      <c r="BG37" s="15"/>
      <c r="BH37" s="15"/>
      <c r="BI37" s="15"/>
      <c r="BJ37" s="15"/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</row>
    <row r="38" spans="2:73" ht="24" customHeight="1" x14ac:dyDescent="0.2">
      <c r="B38" s="75">
        <v>15</v>
      </c>
      <c r="C38" s="70" t="s">
        <v>33</v>
      </c>
      <c r="D38" s="19" t="e">
        <f>VLOOKUP($B38,#REF!,3,0)</f>
        <v>#REF!</v>
      </c>
      <c r="E38" s="19" t="e">
        <f>VLOOKUP($B38,#REF!,4,0)</f>
        <v>#REF!</v>
      </c>
      <c r="F38" s="19" t="e">
        <f>VLOOKUP($B38,#REF!,5,0)</f>
        <v>#REF!</v>
      </c>
      <c r="G38" s="19" t="e">
        <f>VLOOKUP($B38,#REF!,6,0)</f>
        <v>#REF!</v>
      </c>
      <c r="H38" s="19" t="e">
        <f>VLOOKUP($B38,#REF!,7,0)</f>
        <v>#REF!</v>
      </c>
      <c r="I38" s="19" t="e">
        <f>VLOOKUP($B38,#REF!,8,0)</f>
        <v>#REF!</v>
      </c>
      <c r="J38" s="72"/>
      <c r="K38" s="22" t="s">
        <v>12</v>
      </c>
      <c r="L38" s="44"/>
      <c r="M38" s="35"/>
      <c r="N38" s="35"/>
      <c r="O38" s="73"/>
      <c r="P38" s="13"/>
      <c r="Q38" s="13"/>
      <c r="R38" s="13"/>
      <c r="S38" s="13"/>
      <c r="T38" s="13"/>
    </row>
    <row r="39" spans="2:73" ht="24" customHeight="1" thickBot="1" x14ac:dyDescent="0.25">
      <c r="B39" s="65"/>
      <c r="C39" s="71"/>
      <c r="D39" s="20" t="e">
        <f>VLOOKUP($B39,#REF!,3,0)</f>
        <v>#REF!</v>
      </c>
      <c r="E39" s="20" t="e">
        <f>VLOOKUP($B39,#REF!,4,0)</f>
        <v>#REF!</v>
      </c>
      <c r="F39" s="20" t="e">
        <f>VLOOKUP($B39,#REF!,5,0)</f>
        <v>#REF!</v>
      </c>
      <c r="G39" s="20" t="e">
        <f>VLOOKUP($B39,#REF!,6,0)</f>
        <v>#REF!</v>
      </c>
      <c r="H39" s="20" t="e">
        <f>VLOOKUP($B39,#REF!,7,0)</f>
        <v>#REF!</v>
      </c>
      <c r="I39" s="20" t="e">
        <f>VLOOKUP($B39,#REF!,8,0)</f>
        <v>#REF!</v>
      </c>
      <c r="J39" s="69"/>
      <c r="K39" s="34" t="s">
        <v>13</v>
      </c>
      <c r="L39" s="36"/>
      <c r="M39" s="36"/>
      <c r="N39" s="36"/>
      <c r="O39" s="74"/>
      <c r="P39" s="13"/>
      <c r="Q39" s="13"/>
      <c r="R39" s="13"/>
      <c r="S39" s="13"/>
      <c r="T39" s="13"/>
      <c r="AF39" s="12"/>
      <c r="AG39" s="12"/>
      <c r="AH39" s="14"/>
      <c r="AI39" s="15"/>
      <c r="AJ39" s="15"/>
      <c r="AK39" s="15"/>
      <c r="AL39" s="15"/>
      <c r="AM39" s="15"/>
      <c r="AN39" s="15"/>
      <c r="AO39" s="15"/>
      <c r="AP39" s="15"/>
      <c r="AQ39" s="15"/>
      <c r="AR39" s="15"/>
      <c r="AS39" s="15"/>
      <c r="AT39" s="15"/>
      <c r="AU39" s="15"/>
      <c r="AV39" s="15"/>
      <c r="AW39" s="15"/>
      <c r="AX39" s="15"/>
      <c r="AY39" s="15"/>
      <c r="AZ39" s="15"/>
      <c r="BA39" s="15"/>
      <c r="BB39" s="15"/>
      <c r="BC39" s="15"/>
      <c r="BD39" s="15"/>
      <c r="BE39" s="15"/>
      <c r="BF39" s="15"/>
      <c r="BG39" s="15"/>
      <c r="BH39" s="15"/>
      <c r="BI39" s="15"/>
      <c r="BJ39" s="15"/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</row>
    <row r="40" spans="2:73" ht="24" customHeight="1" x14ac:dyDescent="0.2">
      <c r="B40" s="75">
        <v>16</v>
      </c>
      <c r="C40" s="66" t="s">
        <v>34</v>
      </c>
      <c r="D40" s="19" t="e">
        <f>VLOOKUP($B40,#REF!,3,0)</f>
        <v>#REF!</v>
      </c>
      <c r="E40" s="19" t="e">
        <f>VLOOKUP($B40,#REF!,4,0)</f>
        <v>#REF!</v>
      </c>
      <c r="F40" s="19" t="e">
        <f>VLOOKUP($B40,#REF!,5,0)</f>
        <v>#REF!</v>
      </c>
      <c r="G40" s="19" t="e">
        <f>VLOOKUP($B40,#REF!,6,0)</f>
        <v>#REF!</v>
      </c>
      <c r="H40" s="19" t="e">
        <f>VLOOKUP($B40,#REF!,7,0)</f>
        <v>#REF!</v>
      </c>
      <c r="I40" s="19" t="e">
        <f>VLOOKUP($B40,#REF!,8,0)</f>
        <v>#REF!</v>
      </c>
      <c r="J40" s="72"/>
      <c r="K40" s="22" t="s">
        <v>12</v>
      </c>
      <c r="L40" s="44"/>
      <c r="M40" s="44"/>
      <c r="N40" s="35"/>
      <c r="O40" s="73"/>
      <c r="P40" s="13"/>
      <c r="Q40" s="13"/>
      <c r="R40" s="13"/>
      <c r="S40" s="13"/>
      <c r="T40" s="13"/>
    </row>
    <row r="41" spans="2:73" ht="24" customHeight="1" thickBot="1" x14ac:dyDescent="0.25">
      <c r="B41" s="65"/>
      <c r="C41" s="67"/>
      <c r="D41" s="20" t="e">
        <f>VLOOKUP($B41,#REF!,3,0)</f>
        <v>#REF!</v>
      </c>
      <c r="E41" s="20" t="e">
        <f>VLOOKUP($B41,#REF!,4,0)</f>
        <v>#REF!</v>
      </c>
      <c r="F41" s="20" t="e">
        <f>VLOOKUP($B41,#REF!,5,0)</f>
        <v>#REF!</v>
      </c>
      <c r="G41" s="20" t="e">
        <f>VLOOKUP($B41,#REF!,6,0)</f>
        <v>#REF!</v>
      </c>
      <c r="H41" s="20" t="e">
        <f>VLOOKUP($B41,#REF!,7,0)</f>
        <v>#REF!</v>
      </c>
      <c r="I41" s="20" t="e">
        <f>VLOOKUP($B41,#REF!,8,0)</f>
        <v>#REF!</v>
      </c>
      <c r="J41" s="69"/>
      <c r="K41" s="34" t="s">
        <v>13</v>
      </c>
      <c r="L41" s="36"/>
      <c r="M41" s="36"/>
      <c r="N41" s="36"/>
      <c r="O41" s="74"/>
      <c r="P41" s="13"/>
      <c r="Q41" s="13"/>
      <c r="R41" s="13"/>
      <c r="S41" s="13"/>
      <c r="T41" s="13"/>
      <c r="AF41" s="12"/>
      <c r="AG41" s="12"/>
      <c r="AH41" s="14"/>
      <c r="AI41" s="15"/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/>
      <c r="AU41" s="15"/>
      <c r="AV41" s="15"/>
      <c r="AW41" s="15"/>
      <c r="AX41" s="15"/>
      <c r="AY41" s="15"/>
      <c r="AZ41" s="15"/>
      <c r="BA41" s="15"/>
      <c r="BB41" s="15"/>
      <c r="BC41" s="15"/>
      <c r="BD41" s="15"/>
      <c r="BE41" s="15"/>
      <c r="BF41" s="15"/>
      <c r="BG41" s="15"/>
      <c r="BH41" s="15"/>
      <c r="BI41" s="15"/>
      <c r="BJ41" s="15"/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</row>
  </sheetData>
  <mergeCells count="66">
    <mergeCell ref="B40:B41"/>
    <mergeCell ref="C40:C41"/>
    <mergeCell ref="J40:J41"/>
    <mergeCell ref="O40:O41"/>
    <mergeCell ref="B36:B37"/>
    <mergeCell ref="C36:C37"/>
    <mergeCell ref="J36:J37"/>
    <mergeCell ref="O36:O37"/>
    <mergeCell ref="B38:B39"/>
    <mergeCell ref="C38:C39"/>
    <mergeCell ref="B30:B31"/>
    <mergeCell ref="C30:C31"/>
    <mergeCell ref="J30:J31"/>
    <mergeCell ref="O30:O31"/>
    <mergeCell ref="J38:J39"/>
    <mergeCell ref="O38:O39"/>
    <mergeCell ref="B32:B33"/>
    <mergeCell ref="C32:C33"/>
    <mergeCell ref="J32:J33"/>
    <mergeCell ref="O32:O33"/>
    <mergeCell ref="B34:B35"/>
    <mergeCell ref="C34:C35"/>
    <mergeCell ref="J34:J35"/>
    <mergeCell ref="O34:O35"/>
    <mergeCell ref="B26:B27"/>
    <mergeCell ref="C26:C27"/>
    <mergeCell ref="J26:J27"/>
    <mergeCell ref="O26:O27"/>
    <mergeCell ref="B28:B29"/>
    <mergeCell ref="C28:C29"/>
    <mergeCell ref="J28:J29"/>
    <mergeCell ref="O28:O29"/>
    <mergeCell ref="B22:B23"/>
    <mergeCell ref="C22:C23"/>
    <mergeCell ref="J22:J23"/>
    <mergeCell ref="O22:O23"/>
    <mergeCell ref="B24:B25"/>
    <mergeCell ref="C24:C25"/>
    <mergeCell ref="J24:J25"/>
    <mergeCell ref="O24:O25"/>
    <mergeCell ref="B18:B19"/>
    <mergeCell ref="C18:C19"/>
    <mergeCell ref="J18:J19"/>
    <mergeCell ref="O18:O19"/>
    <mergeCell ref="B20:B21"/>
    <mergeCell ref="C20:C21"/>
    <mergeCell ref="J20:J21"/>
    <mergeCell ref="O20:O21"/>
    <mergeCell ref="O14:O15"/>
    <mergeCell ref="B16:B17"/>
    <mergeCell ref="C16:C17"/>
    <mergeCell ref="J16:J17"/>
    <mergeCell ref="O16:O17"/>
    <mergeCell ref="B12:B13"/>
    <mergeCell ref="C12:C13"/>
    <mergeCell ref="J12:J13"/>
    <mergeCell ref="B14:B15"/>
    <mergeCell ref="C14:C15"/>
    <mergeCell ref="J14:J15"/>
    <mergeCell ref="AF5:AH5"/>
    <mergeCell ref="L6:N6"/>
    <mergeCell ref="O7:O8"/>
    <mergeCell ref="B8:K8"/>
    <mergeCell ref="B10:B11"/>
    <mergeCell ref="C10:C11"/>
    <mergeCell ref="J10:J11"/>
  </mergeCells>
  <pageMargins left="0.45" right="0" top="0.49" bottom="0" header="0.64" footer="0"/>
  <pageSetup paperSize="512" scale="74" orientation="portrait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14</vt:i4>
      </vt:variant>
    </vt:vector>
  </HeadingPairs>
  <TitlesOfParts>
    <vt:vector size="23" baseType="lpstr">
      <vt:lpstr>Height</vt:lpstr>
      <vt:lpstr>Width</vt:lpstr>
      <vt:lpstr>doy154</vt:lpstr>
      <vt:lpstr>doy163</vt:lpstr>
      <vt:lpstr>doy174</vt:lpstr>
      <vt:lpstr>doy187</vt:lpstr>
      <vt:lpstr>doy194</vt:lpstr>
      <vt:lpstr>doy219</vt:lpstr>
      <vt:lpstr>Blank</vt:lpstr>
      <vt:lpstr>Blank!Print_Area</vt:lpstr>
      <vt:lpstr>'doy154'!Print_Area</vt:lpstr>
      <vt:lpstr>'doy163'!Print_Area</vt:lpstr>
      <vt:lpstr>'doy174'!Print_Area</vt:lpstr>
      <vt:lpstr>'doy187'!Print_Area</vt:lpstr>
      <vt:lpstr>'doy194'!Print_Area</vt:lpstr>
      <vt:lpstr>'doy219'!Print_Area</vt:lpstr>
      <vt:lpstr>Blank!Print_Titles</vt:lpstr>
      <vt:lpstr>'doy154'!Print_Titles</vt:lpstr>
      <vt:lpstr>'doy163'!Print_Titles</vt:lpstr>
      <vt:lpstr>'doy174'!Print_Titles</vt:lpstr>
      <vt:lpstr>'doy187'!Print_Titles</vt:lpstr>
      <vt:lpstr>'doy194'!Print_Titles</vt:lpstr>
      <vt:lpstr>'doy219'!Print_Titles</vt:lpstr>
    </vt:vector>
  </TitlesOfParts>
  <Company>Home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PJP</dc:creator>
  <cp:lastModifiedBy>Reviewer</cp:lastModifiedBy>
  <cp:lastPrinted>2009-06-02T20:26:52Z</cp:lastPrinted>
  <dcterms:created xsi:type="dcterms:W3CDTF">2003-06-15T15:35:55Z</dcterms:created>
  <dcterms:modified xsi:type="dcterms:W3CDTF">2024-09-24T13:23:07Z</dcterms:modified>
</cp:coreProperties>
</file>