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9_F033_CO_RSIS\"/>
    </mc:Choice>
  </mc:AlternateContent>
  <xr:revisionPtr revIDLastSave="0" documentId="13_ncr:1_{12EA6038-889D-4348-AD3A-0BDE94BFF8FA}" xr6:coauthVersionLast="47" xr6:coauthVersionMax="47" xr10:uidLastSave="{00000000-0000-0000-0000-000000000000}"/>
  <bookViews>
    <workbookView xWindow="-1815" yWindow="-27630" windowWidth="16335" windowHeight="23370" firstSheet="1" activeTab="4" xr2:uid="{2E21E08A-B796-43A3-8605-5775475D07B2}"/>
  </bookViews>
  <sheets>
    <sheet name="Height" sheetId="13" r:id="rId1"/>
    <sheet name="Width" sheetId="14" r:id="rId2"/>
    <sheet name="LAImeter" sheetId="18" r:id="rId3"/>
    <sheet name="Density" sheetId="17" r:id="rId4"/>
    <sheet name="Develop" sheetId="15" r:id="rId5"/>
    <sheet name="PlotDevelop" sheetId="21" r:id="rId6"/>
    <sheet name="doy154" sheetId="6" r:id="rId7"/>
    <sheet name="doy163" sheetId="8" r:id="rId8"/>
    <sheet name="doy174" sheetId="9" r:id="rId9"/>
    <sheet name="doy187" sheetId="10" r:id="rId10"/>
    <sheet name="doy194" sheetId="11" r:id="rId11"/>
    <sheet name="doy219" sheetId="12" r:id="rId12"/>
    <sheet name="Blank" sheetId="7" r:id="rId13"/>
    <sheet name="Counts" sheetId="16" r:id="rId14"/>
    <sheet name="NAWF-7 Aug" sheetId="19" r:id="rId15"/>
    <sheet name="NAWF 14 &amp; 18 Aug" sheetId="20" r:id="rId16"/>
  </sheets>
  <definedNames>
    <definedName name="_xlnm.Print_Area" localSheetId="12">Blank!$A$1:$O$41</definedName>
    <definedName name="_xlnm.Print_Area" localSheetId="13">Counts!$A$1:$O$25</definedName>
    <definedName name="_xlnm.Print_Area" localSheetId="6">'doy154'!$A$1:$O$41</definedName>
    <definedName name="_xlnm.Print_Area" localSheetId="7">'doy163'!$A$1:$O$41</definedName>
    <definedName name="_xlnm.Print_Area" localSheetId="8">'doy174'!$A$1:$O$41</definedName>
    <definedName name="_xlnm.Print_Area" localSheetId="9">'doy187'!$A$1:$O$41</definedName>
    <definedName name="_xlnm.Print_Area" localSheetId="10">'doy194'!$A$1:$O$41</definedName>
    <definedName name="_xlnm.Print_Area" localSheetId="11">'doy219'!$A$1:$O$41</definedName>
    <definedName name="_xlnm.Print_Area" localSheetId="15">'NAWF 14 &amp; 18 Aug'!$A$1:$N$41</definedName>
    <definedName name="_xlnm.Print_Area" localSheetId="14">'NAWF-7 Aug'!$A$1:$N$41</definedName>
    <definedName name="_xlnm.Print_Titles" localSheetId="12">Blank!$6:$8</definedName>
    <definedName name="_xlnm.Print_Titles" localSheetId="13">Counts!$6:$8</definedName>
    <definedName name="_xlnm.Print_Titles" localSheetId="6">'doy154'!$6:$8</definedName>
    <definedName name="_xlnm.Print_Titles" localSheetId="7">'doy163'!$6:$8</definedName>
    <definedName name="_xlnm.Print_Titles" localSheetId="8">'doy174'!$6:$8</definedName>
    <definedName name="_xlnm.Print_Titles" localSheetId="9">'doy187'!$6:$8</definedName>
    <definedName name="_xlnm.Print_Titles" localSheetId="10">'doy194'!$6:$8</definedName>
    <definedName name="_xlnm.Print_Titles" localSheetId="11">'doy219'!$6:$8</definedName>
    <definedName name="_xlnm.Print_Titles" localSheetId="15">'NAWF 14 &amp; 18 Aug'!$6:$8</definedName>
    <definedName name="_xlnm.Print_Titles" localSheetId="14">'NAWF-7 Aug'!$6:$8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0" l="1"/>
  <c r="E10" i="20"/>
  <c r="F10" i="20"/>
  <c r="G10" i="20"/>
  <c r="H10" i="20"/>
  <c r="I10" i="20"/>
  <c r="P10" i="20"/>
  <c r="S10" i="20"/>
  <c r="D11" i="20"/>
  <c r="E11" i="20"/>
  <c r="F11" i="20"/>
  <c r="G11" i="20"/>
  <c r="H11" i="20"/>
  <c r="I11" i="20"/>
  <c r="D12" i="20"/>
  <c r="E12" i="20"/>
  <c r="F12" i="20"/>
  <c r="G12" i="20"/>
  <c r="H12" i="20"/>
  <c r="I12" i="20"/>
  <c r="P12" i="20"/>
  <c r="S12" i="20"/>
  <c r="D13" i="20"/>
  <c r="E13" i="20"/>
  <c r="F13" i="20"/>
  <c r="G13" i="20"/>
  <c r="H13" i="20"/>
  <c r="I13" i="20"/>
  <c r="D14" i="20"/>
  <c r="E14" i="20"/>
  <c r="F14" i="20"/>
  <c r="G14" i="20"/>
  <c r="H14" i="20"/>
  <c r="I14" i="20"/>
  <c r="P14" i="20"/>
  <c r="S14" i="20"/>
  <c r="D15" i="20"/>
  <c r="E15" i="20"/>
  <c r="F15" i="20"/>
  <c r="G15" i="20"/>
  <c r="H15" i="20"/>
  <c r="I15" i="20"/>
  <c r="D16" i="20"/>
  <c r="E16" i="20"/>
  <c r="F16" i="20"/>
  <c r="G16" i="20"/>
  <c r="H16" i="20"/>
  <c r="I16" i="20"/>
  <c r="P16" i="20"/>
  <c r="S16" i="20"/>
  <c r="D17" i="20"/>
  <c r="E17" i="20"/>
  <c r="F17" i="20"/>
  <c r="G17" i="20"/>
  <c r="H17" i="20"/>
  <c r="I17" i="20"/>
  <c r="D18" i="20"/>
  <c r="E18" i="20"/>
  <c r="F18" i="20"/>
  <c r="G18" i="20"/>
  <c r="H18" i="20"/>
  <c r="I18" i="20"/>
  <c r="P18" i="20"/>
  <c r="D19" i="20"/>
  <c r="E19" i="20"/>
  <c r="F19" i="20"/>
  <c r="G19" i="20"/>
  <c r="H19" i="20"/>
  <c r="I19" i="20"/>
  <c r="D20" i="20"/>
  <c r="E20" i="20"/>
  <c r="F20" i="20"/>
  <c r="G20" i="20"/>
  <c r="H20" i="20"/>
  <c r="I20" i="20"/>
  <c r="P20" i="20"/>
  <c r="D21" i="20"/>
  <c r="E21" i="20"/>
  <c r="F21" i="20"/>
  <c r="G21" i="20"/>
  <c r="H21" i="20"/>
  <c r="I21" i="20"/>
  <c r="D22" i="20"/>
  <c r="E22" i="20"/>
  <c r="F22" i="20"/>
  <c r="G22" i="20"/>
  <c r="H22" i="20"/>
  <c r="I22" i="20"/>
  <c r="P22" i="20"/>
  <c r="D23" i="20"/>
  <c r="E23" i="20"/>
  <c r="F23" i="20"/>
  <c r="G23" i="20"/>
  <c r="H23" i="20"/>
  <c r="I23" i="20"/>
  <c r="D24" i="20"/>
  <c r="E24" i="20"/>
  <c r="F24" i="20"/>
  <c r="G24" i="20"/>
  <c r="H24" i="20"/>
  <c r="I24" i="20"/>
  <c r="P24" i="20"/>
  <c r="D25" i="20"/>
  <c r="E25" i="20"/>
  <c r="F25" i="20"/>
  <c r="G25" i="20"/>
  <c r="H25" i="20"/>
  <c r="I25" i="20"/>
  <c r="D26" i="20"/>
  <c r="E26" i="20"/>
  <c r="F26" i="20"/>
  <c r="G26" i="20"/>
  <c r="H26" i="20"/>
  <c r="I26" i="20"/>
  <c r="P26" i="20"/>
  <c r="D27" i="20"/>
  <c r="E27" i="20"/>
  <c r="F27" i="20"/>
  <c r="G27" i="20"/>
  <c r="H27" i="20"/>
  <c r="I27" i="20"/>
  <c r="D28" i="20"/>
  <c r="E28" i="20"/>
  <c r="F28" i="20"/>
  <c r="G28" i="20"/>
  <c r="H28" i="20"/>
  <c r="I28" i="20"/>
  <c r="P28" i="20"/>
  <c r="D29" i="20"/>
  <c r="E29" i="20"/>
  <c r="F29" i="20"/>
  <c r="G29" i="20"/>
  <c r="H29" i="20"/>
  <c r="I29" i="20"/>
  <c r="D30" i="20"/>
  <c r="E30" i="20"/>
  <c r="F30" i="20"/>
  <c r="G30" i="20"/>
  <c r="H30" i="20"/>
  <c r="I30" i="20"/>
  <c r="P30" i="20"/>
  <c r="D31" i="20"/>
  <c r="E31" i="20"/>
  <c r="F31" i="20"/>
  <c r="G31" i="20"/>
  <c r="H31" i="20"/>
  <c r="I31" i="20"/>
  <c r="D32" i="20"/>
  <c r="E32" i="20"/>
  <c r="F32" i="20"/>
  <c r="G32" i="20"/>
  <c r="H32" i="20"/>
  <c r="I32" i="20"/>
  <c r="P32" i="20"/>
  <c r="D33" i="20"/>
  <c r="E33" i="20"/>
  <c r="F33" i="20"/>
  <c r="G33" i="20"/>
  <c r="H33" i="20"/>
  <c r="I33" i="20"/>
  <c r="D34" i="20"/>
  <c r="E34" i="20"/>
  <c r="F34" i="20"/>
  <c r="G34" i="20"/>
  <c r="H34" i="20"/>
  <c r="I34" i="20"/>
  <c r="P34" i="20"/>
  <c r="D35" i="20"/>
  <c r="E35" i="20"/>
  <c r="F35" i="20"/>
  <c r="G35" i="20"/>
  <c r="H35" i="20"/>
  <c r="I35" i="20"/>
  <c r="D36" i="20"/>
  <c r="E36" i="20"/>
  <c r="F36" i="20"/>
  <c r="G36" i="20"/>
  <c r="H36" i="20"/>
  <c r="I36" i="20"/>
  <c r="P36" i="20"/>
  <c r="D37" i="20"/>
  <c r="E37" i="20"/>
  <c r="F37" i="20"/>
  <c r="G37" i="20"/>
  <c r="H37" i="20"/>
  <c r="I37" i="20"/>
  <c r="D38" i="20"/>
  <c r="E38" i="20"/>
  <c r="F38" i="20"/>
  <c r="G38" i="20"/>
  <c r="H38" i="20"/>
  <c r="I38" i="20"/>
  <c r="P38" i="20"/>
  <c r="D39" i="20"/>
  <c r="E39" i="20"/>
  <c r="F39" i="20"/>
  <c r="G39" i="20"/>
  <c r="H39" i="20"/>
  <c r="I39" i="20"/>
  <c r="D40" i="20"/>
  <c r="E40" i="20"/>
  <c r="F40" i="20"/>
  <c r="G40" i="20"/>
  <c r="H40" i="20"/>
  <c r="I40" i="20"/>
  <c r="P40" i="20"/>
  <c r="D41" i="20"/>
  <c r="E41" i="20"/>
  <c r="F41" i="20"/>
  <c r="G41" i="20"/>
  <c r="H41" i="20"/>
  <c r="I41" i="20"/>
  <c r="D10" i="19"/>
  <c r="E10" i="19"/>
  <c r="F10" i="19"/>
  <c r="G10" i="19"/>
  <c r="H10" i="19"/>
  <c r="I10" i="19"/>
  <c r="P10" i="19"/>
  <c r="S10" i="19"/>
  <c r="D11" i="19"/>
  <c r="E11" i="19"/>
  <c r="F11" i="19"/>
  <c r="G11" i="19"/>
  <c r="H11" i="19"/>
  <c r="I11" i="19"/>
  <c r="D12" i="19"/>
  <c r="E12" i="19"/>
  <c r="F12" i="19"/>
  <c r="G12" i="19"/>
  <c r="H12" i="19"/>
  <c r="I12" i="19"/>
  <c r="P12" i="19"/>
  <c r="S12" i="19"/>
  <c r="D13" i="19"/>
  <c r="E13" i="19"/>
  <c r="F13" i="19"/>
  <c r="G13" i="19"/>
  <c r="H13" i="19"/>
  <c r="I13" i="19"/>
  <c r="D14" i="19"/>
  <c r="E14" i="19"/>
  <c r="F14" i="19"/>
  <c r="G14" i="19"/>
  <c r="H14" i="19"/>
  <c r="I14" i="19"/>
  <c r="P14" i="19"/>
  <c r="S14" i="19"/>
  <c r="D15" i="19"/>
  <c r="E15" i="19"/>
  <c r="F15" i="19"/>
  <c r="G15" i="19"/>
  <c r="H15" i="19"/>
  <c r="I15" i="19"/>
  <c r="D16" i="19"/>
  <c r="E16" i="19"/>
  <c r="F16" i="19"/>
  <c r="G16" i="19"/>
  <c r="H16" i="19"/>
  <c r="I16" i="19"/>
  <c r="P16" i="19"/>
  <c r="S16" i="19"/>
  <c r="D17" i="19"/>
  <c r="E17" i="19"/>
  <c r="F17" i="19"/>
  <c r="G17" i="19"/>
  <c r="H17" i="19"/>
  <c r="I17" i="19"/>
  <c r="D18" i="19"/>
  <c r="E18" i="19"/>
  <c r="F18" i="19"/>
  <c r="G18" i="19"/>
  <c r="H18" i="19"/>
  <c r="I18" i="19"/>
  <c r="P18" i="19"/>
  <c r="D19" i="19"/>
  <c r="E19" i="19"/>
  <c r="F19" i="19"/>
  <c r="G19" i="19"/>
  <c r="H19" i="19"/>
  <c r="I19" i="19"/>
  <c r="D20" i="19"/>
  <c r="E20" i="19"/>
  <c r="F20" i="19"/>
  <c r="G20" i="19"/>
  <c r="H20" i="19"/>
  <c r="I20" i="19"/>
  <c r="P20" i="19"/>
  <c r="D21" i="19"/>
  <c r="E21" i="19"/>
  <c r="F21" i="19"/>
  <c r="G21" i="19"/>
  <c r="H21" i="19"/>
  <c r="I21" i="19"/>
  <c r="D22" i="19"/>
  <c r="E22" i="19"/>
  <c r="F22" i="19"/>
  <c r="G22" i="19"/>
  <c r="H22" i="19"/>
  <c r="I22" i="19"/>
  <c r="P22" i="19"/>
  <c r="D23" i="19"/>
  <c r="E23" i="19"/>
  <c r="F23" i="19"/>
  <c r="G23" i="19"/>
  <c r="H23" i="19"/>
  <c r="I23" i="19"/>
  <c r="D24" i="19"/>
  <c r="E24" i="19"/>
  <c r="F24" i="19"/>
  <c r="G24" i="19"/>
  <c r="H24" i="19"/>
  <c r="I24" i="19"/>
  <c r="P24" i="19"/>
  <c r="D25" i="19"/>
  <c r="E25" i="19"/>
  <c r="F25" i="19"/>
  <c r="G25" i="19"/>
  <c r="H25" i="19"/>
  <c r="I25" i="19"/>
  <c r="D26" i="19"/>
  <c r="E26" i="19"/>
  <c r="F26" i="19"/>
  <c r="G26" i="19"/>
  <c r="H26" i="19"/>
  <c r="I26" i="19"/>
  <c r="P26" i="19"/>
  <c r="D27" i="19"/>
  <c r="E27" i="19"/>
  <c r="F27" i="19"/>
  <c r="G27" i="19"/>
  <c r="H27" i="19"/>
  <c r="I27" i="19"/>
  <c r="D28" i="19"/>
  <c r="E28" i="19"/>
  <c r="F28" i="19"/>
  <c r="G28" i="19"/>
  <c r="H28" i="19"/>
  <c r="I28" i="19"/>
  <c r="P28" i="19"/>
  <c r="D29" i="19"/>
  <c r="E29" i="19"/>
  <c r="F29" i="19"/>
  <c r="G29" i="19"/>
  <c r="H29" i="19"/>
  <c r="I29" i="19"/>
  <c r="D30" i="19"/>
  <c r="E30" i="19"/>
  <c r="F30" i="19"/>
  <c r="G30" i="19"/>
  <c r="H30" i="19"/>
  <c r="I30" i="19"/>
  <c r="P30" i="19"/>
  <c r="D31" i="19"/>
  <c r="E31" i="19"/>
  <c r="F31" i="19"/>
  <c r="G31" i="19"/>
  <c r="H31" i="19"/>
  <c r="I31" i="19"/>
  <c r="D32" i="19"/>
  <c r="E32" i="19"/>
  <c r="F32" i="19"/>
  <c r="G32" i="19"/>
  <c r="H32" i="19"/>
  <c r="I32" i="19"/>
  <c r="P32" i="19"/>
  <c r="D33" i="19"/>
  <c r="E33" i="19"/>
  <c r="F33" i="19"/>
  <c r="G33" i="19"/>
  <c r="H33" i="19"/>
  <c r="I33" i="19"/>
  <c r="D34" i="19"/>
  <c r="E34" i="19"/>
  <c r="F34" i="19"/>
  <c r="G34" i="19"/>
  <c r="H34" i="19"/>
  <c r="I34" i="19"/>
  <c r="P34" i="19"/>
  <c r="D35" i="19"/>
  <c r="E35" i="19"/>
  <c r="F35" i="19"/>
  <c r="G35" i="19"/>
  <c r="H35" i="19"/>
  <c r="I35" i="19"/>
  <c r="D36" i="19"/>
  <c r="E36" i="19"/>
  <c r="F36" i="19"/>
  <c r="G36" i="19"/>
  <c r="H36" i="19"/>
  <c r="I36" i="19"/>
  <c r="P36" i="19"/>
  <c r="D37" i="19"/>
  <c r="E37" i="19"/>
  <c r="F37" i="19"/>
  <c r="G37" i="19"/>
  <c r="H37" i="19"/>
  <c r="I37" i="19"/>
  <c r="D38" i="19"/>
  <c r="E38" i="19"/>
  <c r="F38" i="19"/>
  <c r="G38" i="19"/>
  <c r="H38" i="19"/>
  <c r="I38" i="19"/>
  <c r="P38" i="19"/>
  <c r="D39" i="19"/>
  <c r="E39" i="19"/>
  <c r="F39" i="19"/>
  <c r="G39" i="19"/>
  <c r="H39" i="19"/>
  <c r="I39" i="19"/>
  <c r="D40" i="19"/>
  <c r="E40" i="19"/>
  <c r="F40" i="19"/>
  <c r="G40" i="19"/>
  <c r="H40" i="19"/>
  <c r="I40" i="19"/>
  <c r="P40" i="19"/>
  <c r="D41" i="19"/>
  <c r="E41" i="19"/>
  <c r="F41" i="19"/>
  <c r="G41" i="19"/>
  <c r="H41" i="19"/>
  <c r="I41" i="19"/>
  <c r="M36" i="16"/>
  <c r="L32" i="16"/>
  <c r="M34" i="16" s="1"/>
  <c r="L39" i="16"/>
  <c r="M39" i="16"/>
  <c r="N39" i="16"/>
  <c r="L40" i="16"/>
  <c r="M40" i="16"/>
  <c r="N40" i="16"/>
  <c r="L42" i="16"/>
  <c r="M42" i="16"/>
  <c r="N42" i="16"/>
  <c r="L43" i="16"/>
  <c r="M43" i="16"/>
  <c r="N43" i="16"/>
  <c r="L44" i="16"/>
  <c r="M44" i="16"/>
  <c r="N44" i="16"/>
  <c r="L45" i="16"/>
  <c r="M45" i="16"/>
  <c r="N45" i="16"/>
  <c r="L46" i="16"/>
  <c r="M46" i="16"/>
  <c r="N46" i="16"/>
  <c r="L47" i="16"/>
  <c r="M47" i="16"/>
  <c r="N47" i="16"/>
  <c r="L48" i="16"/>
  <c r="M48" i="16"/>
  <c r="N48" i="16"/>
  <c r="L49" i="16"/>
  <c r="M49" i="16"/>
  <c r="N49" i="16"/>
  <c r="L50" i="16"/>
  <c r="M50" i="16"/>
  <c r="N50" i="16"/>
  <c r="L51" i="16"/>
  <c r="M51" i="16"/>
  <c r="N51" i="16"/>
  <c r="L52" i="16"/>
  <c r="M52" i="16"/>
  <c r="N52" i="16"/>
  <c r="L53" i="16"/>
  <c r="M53" i="16"/>
  <c r="N53" i="16"/>
  <c r="M38" i="16"/>
  <c r="N38" i="16"/>
  <c r="L38" i="16"/>
  <c r="D10" i="16"/>
  <c r="E10" i="16"/>
  <c r="F10" i="16"/>
  <c r="G10" i="16"/>
  <c r="H10" i="16"/>
  <c r="I10" i="16"/>
  <c r="D11" i="16"/>
  <c r="E11" i="16"/>
  <c r="F11" i="16"/>
  <c r="G11" i="16"/>
  <c r="H11" i="16"/>
  <c r="I11" i="16"/>
  <c r="D12" i="16"/>
  <c r="E12" i="16"/>
  <c r="F12" i="16"/>
  <c r="G12" i="16"/>
  <c r="H12" i="16"/>
  <c r="I12" i="16"/>
  <c r="D13" i="16"/>
  <c r="E13" i="16"/>
  <c r="F13" i="16"/>
  <c r="G13" i="16"/>
  <c r="H13" i="16"/>
  <c r="I13" i="16"/>
  <c r="D14" i="16"/>
  <c r="E14" i="16"/>
  <c r="F14" i="16"/>
  <c r="G14" i="16"/>
  <c r="H14" i="16"/>
  <c r="I14" i="16"/>
  <c r="D15" i="16"/>
  <c r="E15" i="16"/>
  <c r="F15" i="16"/>
  <c r="G15" i="16"/>
  <c r="H15" i="16"/>
  <c r="I15" i="16"/>
  <c r="D16" i="16"/>
  <c r="E16" i="16"/>
  <c r="F16" i="16"/>
  <c r="G16" i="16"/>
  <c r="H16" i="16"/>
  <c r="I16" i="16"/>
  <c r="D17" i="16"/>
  <c r="E17" i="16"/>
  <c r="F17" i="16"/>
  <c r="G17" i="16"/>
  <c r="H17" i="16"/>
  <c r="I17" i="16"/>
  <c r="D18" i="16"/>
  <c r="E18" i="16"/>
  <c r="F18" i="16"/>
  <c r="G18" i="16"/>
  <c r="H18" i="16"/>
  <c r="I18" i="16"/>
  <c r="D19" i="16"/>
  <c r="E19" i="16"/>
  <c r="F19" i="16"/>
  <c r="G19" i="16"/>
  <c r="H19" i="16"/>
  <c r="I19" i="16"/>
  <c r="D20" i="16"/>
  <c r="E20" i="16"/>
  <c r="F20" i="16"/>
  <c r="G20" i="16"/>
  <c r="H20" i="16"/>
  <c r="I20" i="16"/>
  <c r="D21" i="16"/>
  <c r="E21" i="16"/>
  <c r="F21" i="16"/>
  <c r="G21" i="16"/>
  <c r="H21" i="16"/>
  <c r="I21" i="16"/>
  <c r="D22" i="16"/>
  <c r="E22" i="16"/>
  <c r="F22" i="16"/>
  <c r="G22" i="16"/>
  <c r="H22" i="16"/>
  <c r="I22" i="16"/>
  <c r="D23" i="16"/>
  <c r="E23" i="16"/>
  <c r="F23" i="16"/>
  <c r="G23" i="16"/>
  <c r="H23" i="16"/>
  <c r="I23" i="16"/>
  <c r="D24" i="16"/>
  <c r="E24" i="16"/>
  <c r="F24" i="16"/>
  <c r="G24" i="16"/>
  <c r="H24" i="16"/>
  <c r="I24" i="16"/>
  <c r="D25" i="16"/>
  <c r="E25" i="16"/>
  <c r="F25" i="16"/>
  <c r="G25" i="16"/>
  <c r="H25" i="16"/>
  <c r="I25" i="16"/>
  <c r="L28" i="16"/>
  <c r="L30" i="16" s="1"/>
  <c r="M28" i="16"/>
  <c r="N28" i="16"/>
  <c r="I41" i="12" l="1"/>
  <c r="H41" i="12"/>
  <c r="G41" i="12"/>
  <c r="F41" i="12"/>
  <c r="E41" i="12"/>
  <c r="D41" i="12"/>
  <c r="I40" i="12"/>
  <c r="H40" i="12"/>
  <c r="G40" i="12"/>
  <c r="F40" i="12"/>
  <c r="E40" i="12"/>
  <c r="D40" i="12"/>
  <c r="I39" i="12"/>
  <c r="H39" i="12"/>
  <c r="G39" i="12"/>
  <c r="F39" i="12"/>
  <c r="E39" i="12"/>
  <c r="D39" i="12"/>
  <c r="I38" i="12"/>
  <c r="H38" i="12"/>
  <c r="G38" i="12"/>
  <c r="F38" i="12"/>
  <c r="E38" i="12"/>
  <c r="D38" i="12"/>
  <c r="I37" i="12"/>
  <c r="H37" i="12"/>
  <c r="G37" i="12"/>
  <c r="F37" i="12"/>
  <c r="E37" i="12"/>
  <c r="D37" i="12"/>
  <c r="I36" i="12"/>
  <c r="H36" i="12"/>
  <c r="G36" i="12"/>
  <c r="F36" i="12"/>
  <c r="E36" i="12"/>
  <c r="D36" i="12"/>
  <c r="I35" i="12"/>
  <c r="H35" i="12"/>
  <c r="G35" i="12"/>
  <c r="F35" i="12"/>
  <c r="E35" i="12"/>
  <c r="D35" i="12"/>
  <c r="I34" i="12"/>
  <c r="H34" i="12"/>
  <c r="G34" i="12"/>
  <c r="F34" i="12"/>
  <c r="E34" i="12"/>
  <c r="D34" i="12"/>
  <c r="I33" i="12"/>
  <c r="H33" i="12"/>
  <c r="G33" i="12"/>
  <c r="F33" i="12"/>
  <c r="E33" i="12"/>
  <c r="D33" i="12"/>
  <c r="I32" i="12"/>
  <c r="H32" i="12"/>
  <c r="G32" i="12"/>
  <c r="F32" i="12"/>
  <c r="E32" i="12"/>
  <c r="D32" i="12"/>
  <c r="I31" i="12"/>
  <c r="H31" i="12"/>
  <c r="G31" i="12"/>
  <c r="F31" i="12"/>
  <c r="E31" i="12"/>
  <c r="D31" i="12"/>
  <c r="I30" i="12"/>
  <c r="H30" i="12"/>
  <c r="G30" i="12"/>
  <c r="F30" i="12"/>
  <c r="E30" i="12"/>
  <c r="D30" i="12"/>
  <c r="I29" i="12"/>
  <c r="H29" i="12"/>
  <c r="G29" i="12"/>
  <c r="F29" i="12"/>
  <c r="E29" i="12"/>
  <c r="D29" i="12"/>
  <c r="I28" i="12"/>
  <c r="H28" i="12"/>
  <c r="G28" i="12"/>
  <c r="F28" i="12"/>
  <c r="E28" i="12"/>
  <c r="D28" i="12"/>
  <c r="I27" i="12"/>
  <c r="H27" i="12"/>
  <c r="G27" i="12"/>
  <c r="F27" i="12"/>
  <c r="E27" i="12"/>
  <c r="D27" i="12"/>
  <c r="I26" i="12"/>
  <c r="H26" i="12"/>
  <c r="G26" i="12"/>
  <c r="F26" i="12"/>
  <c r="E26" i="12"/>
  <c r="D26" i="12"/>
  <c r="I25" i="12"/>
  <c r="H25" i="12"/>
  <c r="G25" i="12"/>
  <c r="F25" i="12"/>
  <c r="E25" i="12"/>
  <c r="D25" i="12"/>
  <c r="I24" i="12"/>
  <c r="H24" i="12"/>
  <c r="G24" i="12"/>
  <c r="F24" i="12"/>
  <c r="E24" i="12"/>
  <c r="D24" i="12"/>
  <c r="I23" i="12"/>
  <c r="H23" i="12"/>
  <c r="G23" i="12"/>
  <c r="F23" i="12"/>
  <c r="E23" i="12"/>
  <c r="D23" i="12"/>
  <c r="I22" i="12"/>
  <c r="H22" i="12"/>
  <c r="G22" i="12"/>
  <c r="F22" i="12"/>
  <c r="E22" i="12"/>
  <c r="D22" i="12"/>
  <c r="I21" i="12"/>
  <c r="H21" i="12"/>
  <c r="G21" i="12"/>
  <c r="F21" i="12"/>
  <c r="E21" i="12"/>
  <c r="D21" i="12"/>
  <c r="I20" i="12"/>
  <c r="H20" i="12"/>
  <c r="G20" i="12"/>
  <c r="F20" i="12"/>
  <c r="E20" i="12"/>
  <c r="D20" i="12"/>
  <c r="I19" i="12"/>
  <c r="H19" i="12"/>
  <c r="G19" i="12"/>
  <c r="F19" i="12"/>
  <c r="E19" i="12"/>
  <c r="D19" i="12"/>
  <c r="I18" i="12"/>
  <c r="H18" i="12"/>
  <c r="G18" i="12"/>
  <c r="F18" i="12"/>
  <c r="E18" i="12"/>
  <c r="D18" i="12"/>
  <c r="I17" i="12"/>
  <c r="H17" i="12"/>
  <c r="G17" i="12"/>
  <c r="F17" i="12"/>
  <c r="E17" i="12"/>
  <c r="D17" i="12"/>
  <c r="I16" i="12"/>
  <c r="H16" i="12"/>
  <c r="G16" i="12"/>
  <c r="F16" i="12"/>
  <c r="E16" i="12"/>
  <c r="D16" i="12"/>
  <c r="I15" i="12"/>
  <c r="H15" i="12"/>
  <c r="G15" i="12"/>
  <c r="F15" i="12"/>
  <c r="E15" i="12"/>
  <c r="D15" i="12"/>
  <c r="I14" i="12"/>
  <c r="H14" i="12"/>
  <c r="G14" i="12"/>
  <c r="F14" i="12"/>
  <c r="E14" i="12"/>
  <c r="D14" i="12"/>
  <c r="I13" i="12"/>
  <c r="H13" i="12"/>
  <c r="G13" i="12"/>
  <c r="F13" i="12"/>
  <c r="E13" i="12"/>
  <c r="D13" i="12"/>
  <c r="I12" i="12"/>
  <c r="H12" i="12"/>
  <c r="G12" i="12"/>
  <c r="F12" i="12"/>
  <c r="E12" i="12"/>
  <c r="D12" i="12"/>
  <c r="I11" i="12"/>
  <c r="H11" i="12"/>
  <c r="G11" i="12"/>
  <c r="F11" i="12"/>
  <c r="E11" i="12"/>
  <c r="D11" i="12"/>
  <c r="I10" i="12"/>
  <c r="H10" i="12"/>
  <c r="G10" i="12"/>
  <c r="F10" i="12"/>
  <c r="E10" i="12"/>
  <c r="D10" i="12"/>
  <c r="I41" i="11"/>
  <c r="H41" i="11"/>
  <c r="G41" i="11"/>
  <c r="F41" i="11"/>
  <c r="E41" i="11"/>
  <c r="D41" i="11"/>
  <c r="I40" i="11"/>
  <c r="H40" i="11"/>
  <c r="G40" i="11"/>
  <c r="F40" i="11"/>
  <c r="E40" i="11"/>
  <c r="D40" i="11"/>
  <c r="I39" i="11"/>
  <c r="H39" i="11"/>
  <c r="G39" i="11"/>
  <c r="F39" i="11"/>
  <c r="E39" i="11"/>
  <c r="D39" i="11"/>
  <c r="I38" i="11"/>
  <c r="H38" i="11"/>
  <c r="G38" i="11"/>
  <c r="F38" i="11"/>
  <c r="E38" i="11"/>
  <c r="D38" i="11"/>
  <c r="I37" i="11"/>
  <c r="H37" i="11"/>
  <c r="G37" i="11"/>
  <c r="F37" i="11"/>
  <c r="E37" i="11"/>
  <c r="D37" i="11"/>
  <c r="I36" i="11"/>
  <c r="H36" i="11"/>
  <c r="G36" i="11"/>
  <c r="F36" i="11"/>
  <c r="E36" i="11"/>
  <c r="D36" i="11"/>
  <c r="I35" i="11"/>
  <c r="H35" i="11"/>
  <c r="G35" i="11"/>
  <c r="F35" i="11"/>
  <c r="E35" i="11"/>
  <c r="D35" i="11"/>
  <c r="I34" i="11"/>
  <c r="H34" i="11"/>
  <c r="G34" i="11"/>
  <c r="F34" i="11"/>
  <c r="E34" i="11"/>
  <c r="D34" i="11"/>
  <c r="I33" i="11"/>
  <c r="H33" i="11"/>
  <c r="G33" i="11"/>
  <c r="F33" i="11"/>
  <c r="E33" i="11"/>
  <c r="D33" i="11"/>
  <c r="I32" i="11"/>
  <c r="H32" i="11"/>
  <c r="G32" i="11"/>
  <c r="F32" i="11"/>
  <c r="E32" i="11"/>
  <c r="D32" i="11"/>
  <c r="I31" i="11"/>
  <c r="H31" i="11"/>
  <c r="G31" i="11"/>
  <c r="F31" i="11"/>
  <c r="E31" i="11"/>
  <c r="D31" i="11"/>
  <c r="I30" i="11"/>
  <c r="H30" i="11"/>
  <c r="G30" i="11"/>
  <c r="F30" i="11"/>
  <c r="E30" i="11"/>
  <c r="D30" i="11"/>
  <c r="I29" i="11"/>
  <c r="H29" i="11"/>
  <c r="G29" i="11"/>
  <c r="F29" i="11"/>
  <c r="E29" i="11"/>
  <c r="D29" i="11"/>
  <c r="I28" i="11"/>
  <c r="H28" i="11"/>
  <c r="G28" i="11"/>
  <c r="F28" i="11"/>
  <c r="E28" i="11"/>
  <c r="D28" i="11"/>
  <c r="I27" i="11"/>
  <c r="H27" i="11"/>
  <c r="G27" i="11"/>
  <c r="F27" i="11"/>
  <c r="E27" i="11"/>
  <c r="D27" i="11"/>
  <c r="I26" i="11"/>
  <c r="H26" i="11"/>
  <c r="G26" i="11"/>
  <c r="F26" i="11"/>
  <c r="E26" i="11"/>
  <c r="D26" i="11"/>
  <c r="I25" i="11"/>
  <c r="H25" i="11"/>
  <c r="G25" i="11"/>
  <c r="F25" i="11"/>
  <c r="E25" i="11"/>
  <c r="D25" i="11"/>
  <c r="I24" i="11"/>
  <c r="H24" i="11"/>
  <c r="G24" i="11"/>
  <c r="F24" i="11"/>
  <c r="E24" i="11"/>
  <c r="D24" i="11"/>
  <c r="I23" i="11"/>
  <c r="H23" i="11"/>
  <c r="G23" i="11"/>
  <c r="F23" i="11"/>
  <c r="E23" i="11"/>
  <c r="D23" i="11"/>
  <c r="I22" i="11"/>
  <c r="H22" i="11"/>
  <c r="G22" i="11"/>
  <c r="F22" i="11"/>
  <c r="E22" i="11"/>
  <c r="D22" i="11"/>
  <c r="I21" i="11"/>
  <c r="H21" i="11"/>
  <c r="G21" i="11"/>
  <c r="F21" i="11"/>
  <c r="E21" i="11"/>
  <c r="D21" i="11"/>
  <c r="I20" i="11"/>
  <c r="H20" i="11"/>
  <c r="G20" i="11"/>
  <c r="F20" i="11"/>
  <c r="E20" i="11"/>
  <c r="D20" i="11"/>
  <c r="I19" i="11"/>
  <c r="H19" i="11"/>
  <c r="G19" i="11"/>
  <c r="F19" i="11"/>
  <c r="E19" i="11"/>
  <c r="D19" i="11"/>
  <c r="I18" i="11"/>
  <c r="H18" i="11"/>
  <c r="G18" i="11"/>
  <c r="F18" i="11"/>
  <c r="E18" i="11"/>
  <c r="D18" i="11"/>
  <c r="I17" i="11"/>
  <c r="H17" i="11"/>
  <c r="G17" i="11"/>
  <c r="F17" i="11"/>
  <c r="E17" i="11"/>
  <c r="D17" i="11"/>
  <c r="I16" i="11"/>
  <c r="H16" i="11"/>
  <c r="G16" i="11"/>
  <c r="F16" i="11"/>
  <c r="E16" i="11"/>
  <c r="D16" i="11"/>
  <c r="I15" i="11"/>
  <c r="H15" i="11"/>
  <c r="G15" i="11"/>
  <c r="F15" i="11"/>
  <c r="E15" i="11"/>
  <c r="D15" i="11"/>
  <c r="I14" i="11"/>
  <c r="H14" i="11"/>
  <c r="G14" i="11"/>
  <c r="F14" i="11"/>
  <c r="E14" i="11"/>
  <c r="D14" i="11"/>
  <c r="I13" i="11"/>
  <c r="H13" i="11"/>
  <c r="G13" i="11"/>
  <c r="F13" i="11"/>
  <c r="E13" i="11"/>
  <c r="D13" i="11"/>
  <c r="I12" i="11"/>
  <c r="H12" i="11"/>
  <c r="G12" i="11"/>
  <c r="F12" i="11"/>
  <c r="E12" i="11"/>
  <c r="D12" i="11"/>
  <c r="I11" i="11"/>
  <c r="H11" i="11"/>
  <c r="G11" i="11"/>
  <c r="F11" i="11"/>
  <c r="E11" i="11"/>
  <c r="D11" i="11"/>
  <c r="I10" i="11"/>
  <c r="H10" i="11"/>
  <c r="G10" i="11"/>
  <c r="F10" i="11"/>
  <c r="E10" i="11"/>
  <c r="D10" i="11"/>
  <c r="I41" i="10"/>
  <c r="H41" i="10"/>
  <c r="G41" i="10"/>
  <c r="F41" i="10"/>
  <c r="E41" i="10"/>
  <c r="D41" i="10"/>
  <c r="I40" i="10"/>
  <c r="H40" i="10"/>
  <c r="G40" i="10"/>
  <c r="F40" i="10"/>
  <c r="E40" i="10"/>
  <c r="D40" i="10"/>
  <c r="I39" i="10"/>
  <c r="H39" i="10"/>
  <c r="G39" i="10"/>
  <c r="F39" i="10"/>
  <c r="E39" i="10"/>
  <c r="D39" i="10"/>
  <c r="I38" i="10"/>
  <c r="H38" i="10"/>
  <c r="G38" i="10"/>
  <c r="F38" i="10"/>
  <c r="E38" i="10"/>
  <c r="D38" i="10"/>
  <c r="I37" i="10"/>
  <c r="H37" i="10"/>
  <c r="G37" i="10"/>
  <c r="F37" i="10"/>
  <c r="E37" i="10"/>
  <c r="D37" i="10"/>
  <c r="I36" i="10"/>
  <c r="H36" i="10"/>
  <c r="G36" i="10"/>
  <c r="F36" i="10"/>
  <c r="E36" i="10"/>
  <c r="D36" i="10"/>
  <c r="I35" i="10"/>
  <c r="H35" i="10"/>
  <c r="G35" i="10"/>
  <c r="F35" i="10"/>
  <c r="E35" i="10"/>
  <c r="D35" i="10"/>
  <c r="I34" i="10"/>
  <c r="H34" i="10"/>
  <c r="G34" i="10"/>
  <c r="F34" i="10"/>
  <c r="E34" i="10"/>
  <c r="D34" i="10"/>
  <c r="I33" i="10"/>
  <c r="H33" i="10"/>
  <c r="G33" i="10"/>
  <c r="F33" i="10"/>
  <c r="E33" i="10"/>
  <c r="D33" i="10"/>
  <c r="I32" i="10"/>
  <c r="H32" i="10"/>
  <c r="G32" i="10"/>
  <c r="F32" i="10"/>
  <c r="E32" i="10"/>
  <c r="D32" i="10"/>
  <c r="I31" i="10"/>
  <c r="H31" i="10"/>
  <c r="G31" i="10"/>
  <c r="F31" i="10"/>
  <c r="E31" i="10"/>
  <c r="D31" i="10"/>
  <c r="I30" i="10"/>
  <c r="H30" i="10"/>
  <c r="G30" i="10"/>
  <c r="F30" i="10"/>
  <c r="E30" i="10"/>
  <c r="D30" i="10"/>
  <c r="I29" i="10"/>
  <c r="H29" i="10"/>
  <c r="G29" i="10"/>
  <c r="F29" i="10"/>
  <c r="E29" i="10"/>
  <c r="D29" i="10"/>
  <c r="I28" i="10"/>
  <c r="H28" i="10"/>
  <c r="G28" i="10"/>
  <c r="F28" i="10"/>
  <c r="E28" i="10"/>
  <c r="D28" i="10"/>
  <c r="I27" i="10"/>
  <c r="H27" i="10"/>
  <c r="G27" i="10"/>
  <c r="F27" i="10"/>
  <c r="E27" i="10"/>
  <c r="D27" i="10"/>
  <c r="I26" i="10"/>
  <c r="H26" i="10"/>
  <c r="G26" i="10"/>
  <c r="F26" i="10"/>
  <c r="E26" i="10"/>
  <c r="D26" i="10"/>
  <c r="I25" i="10"/>
  <c r="H25" i="10"/>
  <c r="G25" i="10"/>
  <c r="F25" i="10"/>
  <c r="E25" i="10"/>
  <c r="D25" i="10"/>
  <c r="I24" i="10"/>
  <c r="H24" i="10"/>
  <c r="G24" i="10"/>
  <c r="F24" i="10"/>
  <c r="E24" i="10"/>
  <c r="D24" i="10"/>
  <c r="I23" i="10"/>
  <c r="H23" i="10"/>
  <c r="G23" i="10"/>
  <c r="F23" i="10"/>
  <c r="E23" i="10"/>
  <c r="D23" i="10"/>
  <c r="I22" i="10"/>
  <c r="H22" i="10"/>
  <c r="G22" i="10"/>
  <c r="F22" i="10"/>
  <c r="E22" i="10"/>
  <c r="D22" i="10"/>
  <c r="I21" i="10"/>
  <c r="H21" i="10"/>
  <c r="G21" i="10"/>
  <c r="F21" i="10"/>
  <c r="E21" i="10"/>
  <c r="D21" i="10"/>
  <c r="I20" i="10"/>
  <c r="H20" i="10"/>
  <c r="G20" i="10"/>
  <c r="F20" i="10"/>
  <c r="E20" i="10"/>
  <c r="D20" i="10"/>
  <c r="I19" i="10"/>
  <c r="H19" i="10"/>
  <c r="G19" i="10"/>
  <c r="F19" i="10"/>
  <c r="E19" i="10"/>
  <c r="D19" i="10"/>
  <c r="I18" i="10"/>
  <c r="H18" i="10"/>
  <c r="G18" i="10"/>
  <c r="F18" i="10"/>
  <c r="E18" i="10"/>
  <c r="D18" i="10"/>
  <c r="I17" i="10"/>
  <c r="H17" i="10"/>
  <c r="G17" i="10"/>
  <c r="F17" i="10"/>
  <c r="E17" i="10"/>
  <c r="D17" i="10"/>
  <c r="I16" i="10"/>
  <c r="H16" i="10"/>
  <c r="G16" i="10"/>
  <c r="F16" i="10"/>
  <c r="E16" i="10"/>
  <c r="D16" i="10"/>
  <c r="I15" i="10"/>
  <c r="H15" i="10"/>
  <c r="G15" i="10"/>
  <c r="F15" i="10"/>
  <c r="E15" i="10"/>
  <c r="D15" i="10"/>
  <c r="I14" i="10"/>
  <c r="H14" i="10"/>
  <c r="G14" i="10"/>
  <c r="F14" i="10"/>
  <c r="E14" i="10"/>
  <c r="D14" i="10"/>
  <c r="I13" i="10"/>
  <c r="H13" i="10"/>
  <c r="G13" i="10"/>
  <c r="F13" i="10"/>
  <c r="E13" i="10"/>
  <c r="D13" i="10"/>
  <c r="I12" i="10"/>
  <c r="H12" i="10"/>
  <c r="G12" i="10"/>
  <c r="F12" i="10"/>
  <c r="E12" i="10"/>
  <c r="D12" i="10"/>
  <c r="I11" i="10"/>
  <c r="H11" i="10"/>
  <c r="G11" i="10"/>
  <c r="F11" i="10"/>
  <c r="E11" i="10"/>
  <c r="D11" i="10"/>
  <c r="I10" i="10"/>
  <c r="H10" i="10"/>
  <c r="G10" i="10"/>
  <c r="F10" i="10"/>
  <c r="E10" i="10"/>
  <c r="D10" i="10"/>
  <c r="I41" i="9"/>
  <c r="H41" i="9"/>
  <c r="G41" i="9"/>
  <c r="F41" i="9"/>
  <c r="E41" i="9"/>
  <c r="D41" i="9"/>
  <c r="I40" i="9"/>
  <c r="H40" i="9"/>
  <c r="G40" i="9"/>
  <c r="F40" i="9"/>
  <c r="E40" i="9"/>
  <c r="D40" i="9"/>
  <c r="I39" i="9"/>
  <c r="H39" i="9"/>
  <c r="G39" i="9"/>
  <c r="F39" i="9"/>
  <c r="E39" i="9"/>
  <c r="D39" i="9"/>
  <c r="I38" i="9"/>
  <c r="H38" i="9"/>
  <c r="G38" i="9"/>
  <c r="F38" i="9"/>
  <c r="E38" i="9"/>
  <c r="D38" i="9"/>
  <c r="I37" i="9"/>
  <c r="H37" i="9"/>
  <c r="G37" i="9"/>
  <c r="F37" i="9"/>
  <c r="E37" i="9"/>
  <c r="D37" i="9"/>
  <c r="I36" i="9"/>
  <c r="H36" i="9"/>
  <c r="G36" i="9"/>
  <c r="F36" i="9"/>
  <c r="E36" i="9"/>
  <c r="D36" i="9"/>
  <c r="I35" i="9"/>
  <c r="H35" i="9"/>
  <c r="G35" i="9"/>
  <c r="F35" i="9"/>
  <c r="E35" i="9"/>
  <c r="D35" i="9"/>
  <c r="I34" i="9"/>
  <c r="H34" i="9"/>
  <c r="G34" i="9"/>
  <c r="F34" i="9"/>
  <c r="E34" i="9"/>
  <c r="D34" i="9"/>
  <c r="I33" i="9"/>
  <c r="H33" i="9"/>
  <c r="G33" i="9"/>
  <c r="F33" i="9"/>
  <c r="E33" i="9"/>
  <c r="D33" i="9"/>
  <c r="I32" i="9"/>
  <c r="H32" i="9"/>
  <c r="G32" i="9"/>
  <c r="F32" i="9"/>
  <c r="E32" i="9"/>
  <c r="D32" i="9"/>
  <c r="I31" i="9"/>
  <c r="H31" i="9"/>
  <c r="G31" i="9"/>
  <c r="F31" i="9"/>
  <c r="E31" i="9"/>
  <c r="D31" i="9"/>
  <c r="I30" i="9"/>
  <c r="H30" i="9"/>
  <c r="G30" i="9"/>
  <c r="F30" i="9"/>
  <c r="E30" i="9"/>
  <c r="D30" i="9"/>
  <c r="I29" i="9"/>
  <c r="H29" i="9"/>
  <c r="G29" i="9"/>
  <c r="F29" i="9"/>
  <c r="E29" i="9"/>
  <c r="D29" i="9"/>
  <c r="I28" i="9"/>
  <c r="H28" i="9"/>
  <c r="G28" i="9"/>
  <c r="F28" i="9"/>
  <c r="E28" i="9"/>
  <c r="D28" i="9"/>
  <c r="I27" i="9"/>
  <c r="H27" i="9"/>
  <c r="G27" i="9"/>
  <c r="F27" i="9"/>
  <c r="E27" i="9"/>
  <c r="D27" i="9"/>
  <c r="I26" i="9"/>
  <c r="H26" i="9"/>
  <c r="G26" i="9"/>
  <c r="F26" i="9"/>
  <c r="E26" i="9"/>
  <c r="D26" i="9"/>
  <c r="I25" i="9"/>
  <c r="H25" i="9"/>
  <c r="G25" i="9"/>
  <c r="F25" i="9"/>
  <c r="E25" i="9"/>
  <c r="D25" i="9"/>
  <c r="I24" i="9"/>
  <c r="H24" i="9"/>
  <c r="G24" i="9"/>
  <c r="F24" i="9"/>
  <c r="E24" i="9"/>
  <c r="D24" i="9"/>
  <c r="I23" i="9"/>
  <c r="H23" i="9"/>
  <c r="G23" i="9"/>
  <c r="F23" i="9"/>
  <c r="E23" i="9"/>
  <c r="D23" i="9"/>
  <c r="I22" i="9"/>
  <c r="H22" i="9"/>
  <c r="G22" i="9"/>
  <c r="F22" i="9"/>
  <c r="E22" i="9"/>
  <c r="D22" i="9"/>
  <c r="I21" i="9"/>
  <c r="H21" i="9"/>
  <c r="G21" i="9"/>
  <c r="F21" i="9"/>
  <c r="E21" i="9"/>
  <c r="D21" i="9"/>
  <c r="I20" i="9"/>
  <c r="H20" i="9"/>
  <c r="G20" i="9"/>
  <c r="F20" i="9"/>
  <c r="E20" i="9"/>
  <c r="D20" i="9"/>
  <c r="I19" i="9"/>
  <c r="H19" i="9"/>
  <c r="G19" i="9"/>
  <c r="F19" i="9"/>
  <c r="E19" i="9"/>
  <c r="D19" i="9"/>
  <c r="I18" i="9"/>
  <c r="H18" i="9"/>
  <c r="G18" i="9"/>
  <c r="F18" i="9"/>
  <c r="E18" i="9"/>
  <c r="D18" i="9"/>
  <c r="I17" i="9"/>
  <c r="H17" i="9"/>
  <c r="G17" i="9"/>
  <c r="F17" i="9"/>
  <c r="E17" i="9"/>
  <c r="D17" i="9"/>
  <c r="I16" i="9"/>
  <c r="H16" i="9"/>
  <c r="G16" i="9"/>
  <c r="F16" i="9"/>
  <c r="E16" i="9"/>
  <c r="D16" i="9"/>
  <c r="I15" i="9"/>
  <c r="H15" i="9"/>
  <c r="G15" i="9"/>
  <c r="F15" i="9"/>
  <c r="E15" i="9"/>
  <c r="D15" i="9"/>
  <c r="I14" i="9"/>
  <c r="H14" i="9"/>
  <c r="G14" i="9"/>
  <c r="F14" i="9"/>
  <c r="E14" i="9"/>
  <c r="D14" i="9"/>
  <c r="I13" i="9"/>
  <c r="H13" i="9"/>
  <c r="G13" i="9"/>
  <c r="F13" i="9"/>
  <c r="E13" i="9"/>
  <c r="D13" i="9"/>
  <c r="I12" i="9"/>
  <c r="H12" i="9"/>
  <c r="G12" i="9"/>
  <c r="F12" i="9"/>
  <c r="E12" i="9"/>
  <c r="D12" i="9"/>
  <c r="I11" i="9"/>
  <c r="H11" i="9"/>
  <c r="G11" i="9"/>
  <c r="F11" i="9"/>
  <c r="E11" i="9"/>
  <c r="D11" i="9"/>
  <c r="I10" i="9"/>
  <c r="H10" i="9"/>
  <c r="G10" i="9"/>
  <c r="F10" i="9"/>
  <c r="E10" i="9"/>
  <c r="D10" i="9"/>
  <c r="I41" i="8"/>
  <c r="H41" i="8"/>
  <c r="G41" i="8"/>
  <c r="F41" i="8"/>
  <c r="E41" i="8"/>
  <c r="D41" i="8"/>
  <c r="I40" i="8"/>
  <c r="H40" i="8"/>
  <c r="G40" i="8"/>
  <c r="F40" i="8"/>
  <c r="E40" i="8"/>
  <c r="D40" i="8"/>
  <c r="I39" i="8"/>
  <c r="H39" i="8"/>
  <c r="G39" i="8"/>
  <c r="F39" i="8"/>
  <c r="E39" i="8"/>
  <c r="D39" i="8"/>
  <c r="I38" i="8"/>
  <c r="H38" i="8"/>
  <c r="G38" i="8"/>
  <c r="F38" i="8"/>
  <c r="E38" i="8"/>
  <c r="D38" i="8"/>
  <c r="I37" i="8"/>
  <c r="H37" i="8"/>
  <c r="G37" i="8"/>
  <c r="F37" i="8"/>
  <c r="E37" i="8"/>
  <c r="D37" i="8"/>
  <c r="I36" i="8"/>
  <c r="H36" i="8"/>
  <c r="G36" i="8"/>
  <c r="F36" i="8"/>
  <c r="E36" i="8"/>
  <c r="D36" i="8"/>
  <c r="I35" i="8"/>
  <c r="H35" i="8"/>
  <c r="G35" i="8"/>
  <c r="F35" i="8"/>
  <c r="E35" i="8"/>
  <c r="D35" i="8"/>
  <c r="I34" i="8"/>
  <c r="H34" i="8"/>
  <c r="G34" i="8"/>
  <c r="F34" i="8"/>
  <c r="E34" i="8"/>
  <c r="D34" i="8"/>
  <c r="I33" i="8"/>
  <c r="H33" i="8"/>
  <c r="G33" i="8"/>
  <c r="F33" i="8"/>
  <c r="E33" i="8"/>
  <c r="D33" i="8"/>
  <c r="I32" i="8"/>
  <c r="H32" i="8"/>
  <c r="G32" i="8"/>
  <c r="F32" i="8"/>
  <c r="E32" i="8"/>
  <c r="D32" i="8"/>
  <c r="I31" i="8"/>
  <c r="H31" i="8"/>
  <c r="G31" i="8"/>
  <c r="F31" i="8"/>
  <c r="E31" i="8"/>
  <c r="D31" i="8"/>
  <c r="I30" i="8"/>
  <c r="H30" i="8"/>
  <c r="G30" i="8"/>
  <c r="F30" i="8"/>
  <c r="E30" i="8"/>
  <c r="D30" i="8"/>
  <c r="I29" i="8"/>
  <c r="H29" i="8"/>
  <c r="G29" i="8"/>
  <c r="F29" i="8"/>
  <c r="E29" i="8"/>
  <c r="D29" i="8"/>
  <c r="I28" i="8"/>
  <c r="H28" i="8"/>
  <c r="G28" i="8"/>
  <c r="F28" i="8"/>
  <c r="E28" i="8"/>
  <c r="D28" i="8"/>
  <c r="I27" i="8"/>
  <c r="H27" i="8"/>
  <c r="G27" i="8"/>
  <c r="F27" i="8"/>
  <c r="E27" i="8"/>
  <c r="D27" i="8"/>
  <c r="I26" i="8"/>
  <c r="H26" i="8"/>
  <c r="G26" i="8"/>
  <c r="F26" i="8"/>
  <c r="E26" i="8"/>
  <c r="D26" i="8"/>
  <c r="I25" i="8"/>
  <c r="H25" i="8"/>
  <c r="G25" i="8"/>
  <c r="F25" i="8"/>
  <c r="E25" i="8"/>
  <c r="D25" i="8"/>
  <c r="I24" i="8"/>
  <c r="H24" i="8"/>
  <c r="G24" i="8"/>
  <c r="F24" i="8"/>
  <c r="E24" i="8"/>
  <c r="D24" i="8"/>
  <c r="I23" i="8"/>
  <c r="H23" i="8"/>
  <c r="G23" i="8"/>
  <c r="F23" i="8"/>
  <c r="E23" i="8"/>
  <c r="D23" i="8"/>
  <c r="I22" i="8"/>
  <c r="H22" i="8"/>
  <c r="G22" i="8"/>
  <c r="F22" i="8"/>
  <c r="E22" i="8"/>
  <c r="D22" i="8"/>
  <c r="I21" i="8"/>
  <c r="H21" i="8"/>
  <c r="G21" i="8"/>
  <c r="F21" i="8"/>
  <c r="E21" i="8"/>
  <c r="D21" i="8"/>
  <c r="I20" i="8"/>
  <c r="H20" i="8"/>
  <c r="G20" i="8"/>
  <c r="F20" i="8"/>
  <c r="E20" i="8"/>
  <c r="D20" i="8"/>
  <c r="I19" i="8"/>
  <c r="H19" i="8"/>
  <c r="G19" i="8"/>
  <c r="F19" i="8"/>
  <c r="E19" i="8"/>
  <c r="D19" i="8"/>
  <c r="I18" i="8"/>
  <c r="H18" i="8"/>
  <c r="G18" i="8"/>
  <c r="F18" i="8"/>
  <c r="E18" i="8"/>
  <c r="D18" i="8"/>
  <c r="I17" i="8"/>
  <c r="H17" i="8"/>
  <c r="G17" i="8"/>
  <c r="F17" i="8"/>
  <c r="E17" i="8"/>
  <c r="D17" i="8"/>
  <c r="I16" i="8"/>
  <c r="H16" i="8"/>
  <c r="G16" i="8"/>
  <c r="F16" i="8"/>
  <c r="E16" i="8"/>
  <c r="D16" i="8"/>
  <c r="I15" i="8"/>
  <c r="H15" i="8"/>
  <c r="G15" i="8"/>
  <c r="F15" i="8"/>
  <c r="E15" i="8"/>
  <c r="D15" i="8"/>
  <c r="I14" i="8"/>
  <c r="H14" i="8"/>
  <c r="G14" i="8"/>
  <c r="F14" i="8"/>
  <c r="E14" i="8"/>
  <c r="D14" i="8"/>
  <c r="I13" i="8"/>
  <c r="H13" i="8"/>
  <c r="G13" i="8"/>
  <c r="F13" i="8"/>
  <c r="E13" i="8"/>
  <c r="D13" i="8"/>
  <c r="I12" i="8"/>
  <c r="H12" i="8"/>
  <c r="G12" i="8"/>
  <c r="F12" i="8"/>
  <c r="E12" i="8"/>
  <c r="D12" i="8"/>
  <c r="I11" i="8"/>
  <c r="H11" i="8"/>
  <c r="G11" i="8"/>
  <c r="F11" i="8"/>
  <c r="E11" i="8"/>
  <c r="D11" i="8"/>
  <c r="I10" i="8"/>
  <c r="H10" i="8"/>
  <c r="G10" i="8"/>
  <c r="F10" i="8"/>
  <c r="E10" i="8"/>
  <c r="D10" i="8"/>
  <c r="I41" i="7"/>
  <c r="H41" i="7"/>
  <c r="G41" i="7"/>
  <c r="F41" i="7"/>
  <c r="E41" i="7"/>
  <c r="D41" i="7"/>
  <c r="I40" i="7"/>
  <c r="H40" i="7"/>
  <c r="G40" i="7"/>
  <c r="F40" i="7"/>
  <c r="E40" i="7"/>
  <c r="D40" i="7"/>
  <c r="I39" i="7"/>
  <c r="H39" i="7"/>
  <c r="G39" i="7"/>
  <c r="F39" i="7"/>
  <c r="E39" i="7"/>
  <c r="D39" i="7"/>
  <c r="I38" i="7"/>
  <c r="H38" i="7"/>
  <c r="G38" i="7"/>
  <c r="F38" i="7"/>
  <c r="E38" i="7"/>
  <c r="D38" i="7"/>
  <c r="I37" i="7"/>
  <c r="H37" i="7"/>
  <c r="G37" i="7"/>
  <c r="F37" i="7"/>
  <c r="E37" i="7"/>
  <c r="D37" i="7"/>
  <c r="I36" i="7"/>
  <c r="H36" i="7"/>
  <c r="G36" i="7"/>
  <c r="F36" i="7"/>
  <c r="E36" i="7"/>
  <c r="D36" i="7"/>
  <c r="I35" i="7"/>
  <c r="H35" i="7"/>
  <c r="G35" i="7"/>
  <c r="F35" i="7"/>
  <c r="E35" i="7"/>
  <c r="D35" i="7"/>
  <c r="I34" i="7"/>
  <c r="H34" i="7"/>
  <c r="G34" i="7"/>
  <c r="F34" i="7"/>
  <c r="E34" i="7"/>
  <c r="D34" i="7"/>
  <c r="I33" i="7"/>
  <c r="H33" i="7"/>
  <c r="G33" i="7"/>
  <c r="F33" i="7"/>
  <c r="E33" i="7"/>
  <c r="D33" i="7"/>
  <c r="I32" i="7"/>
  <c r="H32" i="7"/>
  <c r="G32" i="7"/>
  <c r="F32" i="7"/>
  <c r="E32" i="7"/>
  <c r="D32" i="7"/>
  <c r="I31" i="7"/>
  <c r="H31" i="7"/>
  <c r="G31" i="7"/>
  <c r="F31" i="7"/>
  <c r="E31" i="7"/>
  <c r="D31" i="7"/>
  <c r="I30" i="7"/>
  <c r="H30" i="7"/>
  <c r="G30" i="7"/>
  <c r="F30" i="7"/>
  <c r="E30" i="7"/>
  <c r="D30" i="7"/>
  <c r="I29" i="7"/>
  <c r="H29" i="7"/>
  <c r="G29" i="7"/>
  <c r="F29" i="7"/>
  <c r="E29" i="7"/>
  <c r="D29" i="7"/>
  <c r="I28" i="7"/>
  <c r="H28" i="7"/>
  <c r="G28" i="7"/>
  <c r="F28" i="7"/>
  <c r="E28" i="7"/>
  <c r="D28" i="7"/>
  <c r="I27" i="7"/>
  <c r="H27" i="7"/>
  <c r="G27" i="7"/>
  <c r="F27" i="7"/>
  <c r="E27" i="7"/>
  <c r="D27" i="7"/>
  <c r="I26" i="7"/>
  <c r="H26" i="7"/>
  <c r="G26" i="7"/>
  <c r="F26" i="7"/>
  <c r="E26" i="7"/>
  <c r="D26" i="7"/>
  <c r="I25" i="7"/>
  <c r="H25" i="7"/>
  <c r="G25" i="7"/>
  <c r="F25" i="7"/>
  <c r="E25" i="7"/>
  <c r="D25" i="7"/>
  <c r="I24" i="7"/>
  <c r="H24" i="7"/>
  <c r="G24" i="7"/>
  <c r="F24" i="7"/>
  <c r="E24" i="7"/>
  <c r="D24" i="7"/>
  <c r="I23" i="7"/>
  <c r="H23" i="7"/>
  <c r="G23" i="7"/>
  <c r="F23" i="7"/>
  <c r="E23" i="7"/>
  <c r="D23" i="7"/>
  <c r="I22" i="7"/>
  <c r="H22" i="7"/>
  <c r="G22" i="7"/>
  <c r="F22" i="7"/>
  <c r="E22" i="7"/>
  <c r="D22" i="7"/>
  <c r="I21" i="7"/>
  <c r="H21" i="7"/>
  <c r="G21" i="7"/>
  <c r="F21" i="7"/>
  <c r="E21" i="7"/>
  <c r="D21" i="7"/>
  <c r="I20" i="7"/>
  <c r="H20" i="7"/>
  <c r="G20" i="7"/>
  <c r="F20" i="7"/>
  <c r="E20" i="7"/>
  <c r="D20" i="7"/>
  <c r="I19" i="7"/>
  <c r="H19" i="7"/>
  <c r="G19" i="7"/>
  <c r="F19" i="7"/>
  <c r="E19" i="7"/>
  <c r="D19" i="7"/>
  <c r="I18" i="7"/>
  <c r="H18" i="7"/>
  <c r="G18" i="7"/>
  <c r="F18" i="7"/>
  <c r="E18" i="7"/>
  <c r="D18" i="7"/>
  <c r="I17" i="7"/>
  <c r="H17" i="7"/>
  <c r="G17" i="7"/>
  <c r="F17" i="7"/>
  <c r="E17" i="7"/>
  <c r="D17" i="7"/>
  <c r="I16" i="7"/>
  <c r="H16" i="7"/>
  <c r="G16" i="7"/>
  <c r="F16" i="7"/>
  <c r="E16" i="7"/>
  <c r="D16" i="7"/>
  <c r="I15" i="7"/>
  <c r="H15" i="7"/>
  <c r="G15" i="7"/>
  <c r="F15" i="7"/>
  <c r="E15" i="7"/>
  <c r="D15" i="7"/>
  <c r="I14" i="7"/>
  <c r="H14" i="7"/>
  <c r="G14" i="7"/>
  <c r="F14" i="7"/>
  <c r="E14" i="7"/>
  <c r="D14" i="7"/>
  <c r="I13" i="7"/>
  <c r="H13" i="7"/>
  <c r="G13" i="7"/>
  <c r="F13" i="7"/>
  <c r="E13" i="7"/>
  <c r="D13" i="7"/>
  <c r="I12" i="7"/>
  <c r="H12" i="7"/>
  <c r="G12" i="7"/>
  <c r="F12" i="7"/>
  <c r="E12" i="7"/>
  <c r="D12" i="7"/>
  <c r="I11" i="7"/>
  <c r="H11" i="7"/>
  <c r="G11" i="7"/>
  <c r="F11" i="7"/>
  <c r="E11" i="7"/>
  <c r="D11" i="7"/>
  <c r="I10" i="7"/>
  <c r="H10" i="7"/>
  <c r="G10" i="7"/>
  <c r="F10" i="7"/>
  <c r="E10" i="7"/>
  <c r="D10" i="7"/>
  <c r="I41" i="6"/>
  <c r="H41" i="6"/>
  <c r="G41" i="6"/>
  <c r="F41" i="6"/>
  <c r="E41" i="6"/>
  <c r="D41" i="6"/>
  <c r="I40" i="6"/>
  <c r="H40" i="6"/>
  <c r="G40" i="6"/>
  <c r="F40" i="6"/>
  <c r="E40" i="6"/>
  <c r="D40" i="6"/>
  <c r="I39" i="6"/>
  <c r="H39" i="6"/>
  <c r="G39" i="6"/>
  <c r="F39" i="6"/>
  <c r="E39" i="6"/>
  <c r="D39" i="6"/>
  <c r="I38" i="6"/>
  <c r="H38" i="6"/>
  <c r="G38" i="6"/>
  <c r="F38" i="6"/>
  <c r="E38" i="6"/>
  <c r="D38" i="6"/>
  <c r="I37" i="6"/>
  <c r="H37" i="6"/>
  <c r="G37" i="6"/>
  <c r="F37" i="6"/>
  <c r="E37" i="6"/>
  <c r="D37" i="6"/>
  <c r="I36" i="6"/>
  <c r="H36" i="6"/>
  <c r="G36" i="6"/>
  <c r="F36" i="6"/>
  <c r="E36" i="6"/>
  <c r="D36" i="6"/>
  <c r="I35" i="6"/>
  <c r="H35" i="6"/>
  <c r="G35" i="6"/>
  <c r="F35" i="6"/>
  <c r="E35" i="6"/>
  <c r="D35" i="6"/>
  <c r="I34" i="6"/>
  <c r="H34" i="6"/>
  <c r="G34" i="6"/>
  <c r="F34" i="6"/>
  <c r="E34" i="6"/>
  <c r="D34" i="6"/>
  <c r="I33" i="6"/>
  <c r="H33" i="6"/>
  <c r="G33" i="6"/>
  <c r="F33" i="6"/>
  <c r="E33" i="6"/>
  <c r="D33" i="6"/>
  <c r="I32" i="6"/>
  <c r="H32" i="6"/>
  <c r="G32" i="6"/>
  <c r="F32" i="6"/>
  <c r="E32" i="6"/>
  <c r="D32" i="6"/>
  <c r="I31" i="6"/>
  <c r="H31" i="6"/>
  <c r="G31" i="6"/>
  <c r="F31" i="6"/>
  <c r="E31" i="6"/>
  <c r="D31" i="6"/>
  <c r="I30" i="6"/>
  <c r="H30" i="6"/>
  <c r="G30" i="6"/>
  <c r="F30" i="6"/>
  <c r="E30" i="6"/>
  <c r="D30" i="6"/>
  <c r="I29" i="6"/>
  <c r="H29" i="6"/>
  <c r="G29" i="6"/>
  <c r="F29" i="6"/>
  <c r="E29" i="6"/>
  <c r="D29" i="6"/>
  <c r="I28" i="6"/>
  <c r="H28" i="6"/>
  <c r="G28" i="6"/>
  <c r="F28" i="6"/>
  <c r="E28" i="6"/>
  <c r="D28" i="6"/>
  <c r="I27" i="6"/>
  <c r="H27" i="6"/>
  <c r="G27" i="6"/>
  <c r="F27" i="6"/>
  <c r="E27" i="6"/>
  <c r="D27" i="6"/>
  <c r="I26" i="6"/>
  <c r="H26" i="6"/>
  <c r="G26" i="6"/>
  <c r="F26" i="6"/>
  <c r="E26" i="6"/>
  <c r="D26" i="6"/>
  <c r="I25" i="6"/>
  <c r="H25" i="6"/>
  <c r="G25" i="6"/>
  <c r="F25" i="6"/>
  <c r="E25" i="6"/>
  <c r="D25" i="6"/>
  <c r="I24" i="6"/>
  <c r="H24" i="6"/>
  <c r="G24" i="6"/>
  <c r="F24" i="6"/>
  <c r="E24" i="6"/>
  <c r="D24" i="6"/>
  <c r="I23" i="6"/>
  <c r="H23" i="6"/>
  <c r="G23" i="6"/>
  <c r="F23" i="6"/>
  <c r="E23" i="6"/>
  <c r="D23" i="6"/>
  <c r="I22" i="6"/>
  <c r="H22" i="6"/>
  <c r="G22" i="6"/>
  <c r="F22" i="6"/>
  <c r="E22" i="6"/>
  <c r="D22" i="6"/>
  <c r="I21" i="6"/>
  <c r="H21" i="6"/>
  <c r="G21" i="6"/>
  <c r="F21" i="6"/>
  <c r="E21" i="6"/>
  <c r="D21" i="6"/>
  <c r="I20" i="6"/>
  <c r="H20" i="6"/>
  <c r="G20" i="6"/>
  <c r="F20" i="6"/>
  <c r="E20" i="6"/>
  <c r="D20" i="6"/>
  <c r="I19" i="6"/>
  <c r="H19" i="6"/>
  <c r="G19" i="6"/>
  <c r="F19" i="6"/>
  <c r="E19" i="6"/>
  <c r="D19" i="6"/>
  <c r="I18" i="6"/>
  <c r="H18" i="6"/>
  <c r="G18" i="6"/>
  <c r="F18" i="6"/>
  <c r="E18" i="6"/>
  <c r="D18" i="6"/>
  <c r="I17" i="6"/>
  <c r="H17" i="6"/>
  <c r="G17" i="6"/>
  <c r="F17" i="6"/>
  <c r="E17" i="6"/>
  <c r="D17" i="6"/>
  <c r="I16" i="6"/>
  <c r="H16" i="6"/>
  <c r="G16" i="6"/>
  <c r="F16" i="6"/>
  <c r="E16" i="6"/>
  <c r="D16" i="6"/>
  <c r="I15" i="6"/>
  <c r="H15" i="6"/>
  <c r="G15" i="6"/>
  <c r="F15" i="6"/>
  <c r="E15" i="6"/>
  <c r="D15" i="6"/>
  <c r="I14" i="6"/>
  <c r="H14" i="6"/>
  <c r="G14" i="6"/>
  <c r="F14" i="6"/>
  <c r="E14" i="6"/>
  <c r="D14" i="6"/>
  <c r="I13" i="6"/>
  <c r="H13" i="6"/>
  <c r="G13" i="6"/>
  <c r="F13" i="6"/>
  <c r="E13" i="6"/>
  <c r="D13" i="6"/>
  <c r="I12" i="6"/>
  <c r="H12" i="6"/>
  <c r="G12" i="6"/>
  <c r="F12" i="6"/>
  <c r="E12" i="6"/>
  <c r="D12" i="6"/>
  <c r="I11" i="6"/>
  <c r="H11" i="6"/>
  <c r="G11" i="6"/>
  <c r="F11" i="6"/>
  <c r="E11" i="6"/>
  <c r="D11" i="6"/>
  <c r="I10" i="6"/>
  <c r="H10" i="6"/>
  <c r="G10" i="6"/>
  <c r="F10" i="6"/>
  <c r="E10" i="6"/>
  <c r="D10" i="6"/>
</calcChain>
</file>

<file path=xl/sharedStrings.xml><?xml version="1.0" encoding="utf-8"?>
<sst xmlns="http://schemas.openxmlformats.org/spreadsheetml/2006/main" count="1153" uniqueCount="168">
  <si>
    <t>Date:</t>
  </si>
  <si>
    <t>Comments:</t>
  </si>
  <si>
    <t>By:</t>
  </si>
  <si>
    <t>Plot</t>
  </si>
  <si>
    <t>Trt.</t>
  </si>
  <si>
    <t>Irrig.</t>
  </si>
  <si>
    <t>Pop.</t>
  </si>
  <si>
    <t>N</t>
  </si>
  <si>
    <t>Block</t>
  </si>
  <si>
    <t>Exotech Code</t>
  </si>
  <si>
    <t>Acron</t>
  </si>
  <si>
    <t>Time</t>
  </si>
  <si>
    <t>Cover</t>
  </si>
  <si>
    <t>Height</t>
  </si>
  <si>
    <t>Trt</t>
  </si>
  <si>
    <t>Irr</t>
  </si>
  <si>
    <t>Pop</t>
  </si>
  <si>
    <t>Nit</t>
  </si>
  <si>
    <t>ExotechCode</t>
  </si>
  <si>
    <t>Meas</t>
  </si>
  <si>
    <t>3.25</t>
  </si>
  <si>
    <t>7.25</t>
  </si>
  <si>
    <t>8.25</t>
  </si>
  <si>
    <t>DOY:</t>
  </si>
  <si>
    <t>Meas. (in cm)</t>
  </si>
  <si>
    <t>Comments</t>
  </si>
  <si>
    <t>SMM</t>
  </si>
  <si>
    <t>Row</t>
  </si>
  <si>
    <t>Ptly cloudy.  Calm to slight breeze.</t>
  </si>
  <si>
    <t>In row # 6 of each border - 2 rows west of neutron tubes.</t>
  </si>
  <si>
    <t>In row #7 - Neutron tubes in row #5</t>
  </si>
  <si>
    <r>
      <rPr>
        <b/>
        <sz val="14"/>
        <rFont val="Arial Rounded MT Bold"/>
        <family val="2"/>
      </rPr>
      <t>East</t>
    </r>
    <r>
      <rPr>
        <b/>
        <sz val="10"/>
        <rFont val="Arial Rounded MT Bold"/>
        <family val="2"/>
      </rPr>
      <t xml:space="preserve">            S </t>
    </r>
    <r>
      <rPr>
        <b/>
        <sz val="11"/>
        <rFont val="Arial Rounded MT Bold"/>
        <family val="2"/>
      </rPr>
      <t>→</t>
    </r>
    <r>
      <rPr>
        <b/>
        <sz val="10"/>
        <rFont val="Arial Rounded MT Bold"/>
        <family val="2"/>
      </rPr>
      <t xml:space="preserve"> N</t>
    </r>
  </si>
  <si>
    <r>
      <t xml:space="preserve">N </t>
    </r>
    <r>
      <rPr>
        <b/>
        <sz val="11"/>
        <rFont val="Arial Rounded MT Bold"/>
        <family val="2"/>
      </rPr>
      <t>→</t>
    </r>
    <r>
      <rPr>
        <b/>
        <sz val="10"/>
        <rFont val="Arial Rounded MT Bold"/>
        <family val="2"/>
      </rPr>
      <t xml:space="preserve"> S</t>
    </r>
  </si>
  <si>
    <r>
      <t xml:space="preserve">S </t>
    </r>
    <r>
      <rPr>
        <b/>
        <sz val="11"/>
        <rFont val="Arial Rounded MT Bold"/>
        <family val="2"/>
      </rPr>
      <t>→</t>
    </r>
    <r>
      <rPr>
        <b/>
        <sz val="10"/>
        <rFont val="Arial Rounded MT Bold"/>
        <family val="2"/>
      </rPr>
      <t xml:space="preserve"> N</t>
    </r>
  </si>
  <si>
    <r>
      <rPr>
        <b/>
        <sz val="14"/>
        <rFont val="Arial Rounded MT Bold"/>
        <family val="2"/>
      </rPr>
      <t>West</t>
    </r>
    <r>
      <rPr>
        <b/>
        <sz val="10"/>
        <rFont val="Arial Rounded MT Bold"/>
        <family val="2"/>
      </rPr>
      <t xml:space="preserve">            N </t>
    </r>
    <r>
      <rPr>
        <b/>
        <sz val="11"/>
        <rFont val="Arial Rounded MT Bold"/>
        <family val="2"/>
      </rPr>
      <t>→</t>
    </r>
    <r>
      <rPr>
        <b/>
        <sz val="10"/>
        <rFont val="Arial Rounded MT Bold"/>
        <family val="2"/>
      </rPr>
      <t xml:space="preserve"> S</t>
    </r>
  </si>
  <si>
    <t>Irrigation later today.  A couple of breaks during measurements.</t>
  </si>
  <si>
    <t>Clear. Moderate wind from South.  Wind not a problem.</t>
  </si>
  <si>
    <t>Point A</t>
  </si>
  <si>
    <t>Point B</t>
  </si>
  <si>
    <t>Point C</t>
  </si>
  <si>
    <t>FISE2009 -Cotton Plant Cover and Heights</t>
  </si>
  <si>
    <t>Partly cloudy. Calm to slight breeze with ocassional</t>
  </si>
  <si>
    <t>light gusts.</t>
  </si>
  <si>
    <t>Clear.  Light wind from SW.  Hard to get accurate canopy</t>
  </si>
  <si>
    <t>cover on the taller plants.  Muddy &amp; slippery.</t>
  </si>
  <si>
    <t>1100h - need more flagging tape.  Break in measurements.</t>
  </si>
  <si>
    <t>Flagging the measurement location fwith a strip of flagging tape on row 6.</t>
  </si>
  <si>
    <t>Clear.  Little breeze.  Irrigation of NDBs today.</t>
  </si>
  <si>
    <t>Being irrigated</t>
  </si>
  <si>
    <t>Mostly full cover.</t>
  </si>
  <si>
    <t>Wilted.</t>
  </si>
  <si>
    <t>Full cover.</t>
  </si>
  <si>
    <t>Break to take photos of B8 (irrigation to start very soon).</t>
  </si>
  <si>
    <t>S → N</t>
  </si>
  <si>
    <t>Mostly closed canopy</t>
  </si>
  <si>
    <t>closed canopy</t>
  </si>
  <si>
    <r>
      <t xml:space="preserve">N </t>
    </r>
    <r>
      <rPr>
        <b/>
        <sz val="11"/>
        <color indexed="60"/>
        <rFont val="Arial Rounded MT Bold"/>
        <family val="2"/>
      </rPr>
      <t>→</t>
    </r>
    <r>
      <rPr>
        <b/>
        <sz val="10"/>
        <color indexed="60"/>
        <rFont val="Arial Rounded MT Bold"/>
        <family val="2"/>
      </rPr>
      <t xml:space="preserve"> S</t>
    </r>
  </si>
  <si>
    <r>
      <t xml:space="preserve">S </t>
    </r>
    <r>
      <rPr>
        <b/>
        <sz val="11"/>
        <color indexed="60"/>
        <rFont val="Arial Rounded MT Bold"/>
        <family val="2"/>
      </rPr>
      <t>→</t>
    </r>
    <r>
      <rPr>
        <b/>
        <sz val="10"/>
        <color indexed="60"/>
        <rFont val="Arial Rounded MT Bold"/>
        <family val="2"/>
      </rPr>
      <t xml:space="preserve"> N</t>
    </r>
  </si>
  <si>
    <t>Closed</t>
  </si>
  <si>
    <t>Canopies are closed.  Low 100 ° temps.  Low humidity.</t>
  </si>
  <si>
    <t>Wind moderate out of the West.  Nice!</t>
  </si>
  <si>
    <t>Moving flagging up higher on the plants so I can see them for taking photos later.</t>
  </si>
  <si>
    <t>Need more pencil lead.  Back to ALARC.</t>
  </si>
  <si>
    <t>A lot of plants falling over.  Hard to walk through</t>
  </si>
  <si>
    <t>DOY154</t>
  </si>
  <si>
    <t>DOY163</t>
  </si>
  <si>
    <t>DOY174</t>
  </si>
  <si>
    <t>DOY187</t>
  </si>
  <si>
    <t>DOY194</t>
  </si>
  <si>
    <t>DOY219</t>
  </si>
  <si>
    <t>p01-1</t>
  </si>
  <si>
    <t>p01-2</t>
  </si>
  <si>
    <t>p01-3</t>
  </si>
  <si>
    <t>p02-1</t>
  </si>
  <si>
    <t>p02-2</t>
  </si>
  <si>
    <t>p02-3</t>
  </si>
  <si>
    <t>p03-1</t>
  </si>
  <si>
    <t>p03-2</t>
  </si>
  <si>
    <t>p03-3</t>
  </si>
  <si>
    <t>p04-1</t>
  </si>
  <si>
    <t>p04-2</t>
  </si>
  <si>
    <t>p04-3</t>
  </si>
  <si>
    <t>p05-1</t>
  </si>
  <si>
    <t>p05-2</t>
  </si>
  <si>
    <t>p05-3</t>
  </si>
  <si>
    <t>p06-1</t>
  </si>
  <si>
    <t>p06-2</t>
  </si>
  <si>
    <t>p06-3</t>
  </si>
  <si>
    <t>p07-1</t>
  </si>
  <si>
    <t>p07-2</t>
  </si>
  <si>
    <t>p07-3</t>
  </si>
  <si>
    <t>p08-1</t>
  </si>
  <si>
    <t>p08-2</t>
  </si>
  <si>
    <t>p08-3</t>
  </si>
  <si>
    <t>p09-1</t>
  </si>
  <si>
    <t>p09-2</t>
  </si>
  <si>
    <t>p09-3</t>
  </si>
  <si>
    <t>p10-1</t>
  </si>
  <si>
    <t>p10-2</t>
  </si>
  <si>
    <t>p10-3</t>
  </si>
  <si>
    <t>p11-1</t>
  </si>
  <si>
    <t>p11-2</t>
  </si>
  <si>
    <t>p11-3</t>
  </si>
  <si>
    <t>p12-1</t>
  </si>
  <si>
    <t>p12-2</t>
  </si>
  <si>
    <t>p12-3</t>
  </si>
  <si>
    <t>p13-1</t>
  </si>
  <si>
    <t>p13-2</t>
  </si>
  <si>
    <t>p13-3</t>
  </si>
  <si>
    <t>p14-1</t>
  </si>
  <si>
    <t>p14-2</t>
  </si>
  <si>
    <t>p14-3</t>
  </si>
  <si>
    <t>p15-1</t>
  </si>
  <si>
    <t>p15-2</t>
  </si>
  <si>
    <t>p15-3</t>
  </si>
  <si>
    <t>p16-1</t>
  </si>
  <si>
    <t>p16-2</t>
  </si>
  <si>
    <t>p16-3</t>
  </si>
  <si>
    <t>CCID</t>
  </si>
  <si>
    <t>ADAT</t>
  </si>
  <si>
    <t>ADOY</t>
  </si>
  <si>
    <t># plants/m</t>
  </si>
  <si>
    <r>
      <t xml:space="preserve">West                S </t>
    </r>
    <r>
      <rPr>
        <b/>
        <sz val="11"/>
        <rFont val="Arial Rounded MT Bold"/>
        <family val="2"/>
      </rPr>
      <t>→</t>
    </r>
    <r>
      <rPr>
        <b/>
        <sz val="10"/>
        <rFont val="Arial Rounded MT Bold"/>
        <family val="2"/>
      </rPr>
      <t xml:space="preserve"> N</t>
    </r>
  </si>
  <si>
    <t>Border being irrigated.  Skipped and continued down border 5 (N → S)</t>
  </si>
  <si>
    <r>
      <t xml:space="preserve">East                 S </t>
    </r>
    <r>
      <rPr>
        <b/>
        <sz val="11"/>
        <rFont val="Arial Rounded MT Bold"/>
        <family val="2"/>
      </rPr>
      <t>→</t>
    </r>
    <r>
      <rPr>
        <b/>
        <sz val="10"/>
        <rFont val="Arial Rounded MT Bold"/>
        <family val="2"/>
      </rPr>
      <t xml:space="preserve"> N</t>
    </r>
  </si>
  <si>
    <t>be within the weekly plot photo FOV).</t>
  </si>
  <si>
    <t>stick starting 1/2 meter South of neutron tube (density count should</t>
  </si>
  <si>
    <t>Counts taken in row #6.  Counted all plants along a 1 meter</t>
  </si>
  <si>
    <t>FISE2009 -Cotton Plant Density Counts</t>
  </si>
  <si>
    <t>DOY170</t>
  </si>
  <si>
    <t>PLPD</t>
  </si>
  <si>
    <t>East                 S → N</t>
  </si>
  <si>
    <t>N → S</t>
  </si>
  <si>
    <t>West                S → N</t>
  </si>
  <si>
    <t>NAWF219</t>
  </si>
  <si>
    <t>NAWF</t>
  </si>
  <si>
    <t>NAWF226</t>
  </si>
  <si>
    <t>NAWF230</t>
  </si>
  <si>
    <t>NDB</t>
  </si>
  <si>
    <t>MAC</t>
  </si>
  <si>
    <t>NDA</t>
  </si>
  <si>
    <t>FAO</t>
  </si>
  <si>
    <t>Ave</t>
  </si>
  <si>
    <t>leaf less than 1 inch across not counted.</t>
  </si>
  <si>
    <t xml:space="preserve">counting notes above that branch.  Node with a mainstem </t>
  </si>
  <si>
    <t xml:space="preserve">Finding a plant with a white flower in position #1, </t>
  </si>
  <si>
    <t>FISE2009 -Nodes Above White Flower</t>
  </si>
  <si>
    <t>226 &amp; 230</t>
  </si>
  <si>
    <t>FAO's done 14 Aug, all others 18 Aug</t>
  </si>
  <si>
    <t>EDATE</t>
  </si>
  <si>
    <t>PLYRE</t>
  </si>
  <si>
    <t>PLDOE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</si>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</sst>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000"/>
    <numFmt numFmtId="166" formatCode="0.0"/>
    <numFmt numFmtId="167" formatCode="mm/dd/yyyy"/>
  </numFmts>
  <fonts count="22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 Rounded MT Bold"/>
      <family val="2"/>
    </font>
    <font>
      <sz val="10"/>
      <name val="Arial Rounded MT Bold"/>
      <family val="2"/>
    </font>
    <font>
      <b/>
      <sz val="14"/>
      <name val="Arial Rounded MT Bold"/>
      <family val="2"/>
    </font>
    <font>
      <b/>
      <sz val="11"/>
      <name val="Arial Rounded MT Bold"/>
      <family val="2"/>
    </font>
    <font>
      <b/>
      <sz val="10"/>
      <color indexed="60"/>
      <name val="Arial Rounded MT Bold"/>
      <family val="2"/>
    </font>
    <font>
      <b/>
      <sz val="11"/>
      <color indexed="60"/>
      <name val="Arial Rounded MT Bold"/>
      <family val="2"/>
    </font>
    <font>
      <b/>
      <sz val="10"/>
      <color theme="0" tint="-0.24994659260841701"/>
      <name val="Arial"/>
      <family val="2"/>
    </font>
    <font>
      <sz val="10"/>
      <color theme="0" tint="-0.24994659260841701"/>
      <name val="Arial"/>
      <family val="2"/>
    </font>
    <font>
      <b/>
      <sz val="10"/>
      <color rgb="FFB80000"/>
      <name val="Arial Rounded MT Bold"/>
      <family val="2"/>
    </font>
    <font>
      <sz val="10"/>
      <color rgb="FFB80000"/>
      <name val="Arial Rounded MT Bold"/>
      <family val="2"/>
    </font>
    <font>
      <sz val="10"/>
      <color rgb="FFB8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2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gray0625">
        <fgColor theme="0" tint="-0.24994659260841701"/>
        <bgColor indexed="65"/>
      </patternFill>
    </fill>
    <fill>
      <patternFill patternType="solid">
        <fgColor rgb="FFBDC597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medium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1">
    <xf numFmtId="0" fontId="0" fillId="0" borderId="0" xfId="0"/>
    <xf numFmtId="0" fontId="1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1" xfId="0" applyNumberFormat="1" applyFont="1" applyBorder="1"/>
    <xf numFmtId="0" fontId="1" fillId="0" borderId="0" xfId="0" applyFont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 vertical="center"/>
    </xf>
    <xf numFmtId="14" fontId="2" fillId="0" borderId="0" xfId="0" applyNumberFormat="1" applyFont="1"/>
    <xf numFmtId="0" fontId="2" fillId="0" borderId="0" xfId="0" applyFont="1"/>
    <xf numFmtId="0" fontId="6" fillId="0" borderId="0" xfId="0" applyFont="1" applyAlignment="1">
      <alignment horizontal="center"/>
    </xf>
    <xf numFmtId="49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1" xfId="0" applyFont="1" applyBorder="1"/>
    <xf numFmtId="0" fontId="5" fillId="0" borderId="13" xfId="0" applyFont="1" applyBorder="1" applyAlignment="1">
      <alignment horizontal="centerContinuous" vertical="center"/>
    </xf>
    <xf numFmtId="0" fontId="4" fillId="0" borderId="14" xfId="0" applyFont="1" applyBorder="1" applyAlignment="1">
      <alignment vertical="top"/>
    </xf>
    <xf numFmtId="0" fontId="4" fillId="0" borderId="15" xfId="0" applyFont="1" applyBorder="1" applyAlignment="1">
      <alignment vertical="top"/>
    </xf>
    <xf numFmtId="0" fontId="4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0" fontId="2" fillId="0" borderId="10" xfId="0" quotePrefix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4" fillId="2" borderId="17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4" fillId="0" borderId="0" xfId="1"/>
    <xf numFmtId="0" fontId="4" fillId="0" borderId="0" xfId="1" applyAlignment="1">
      <alignment horizontal="center"/>
    </xf>
    <xf numFmtId="0" fontId="4" fillId="0" borderId="3" xfId="1" applyBorder="1" applyAlignment="1">
      <alignment vertical="top" wrapText="1"/>
    </xf>
    <xf numFmtId="0" fontId="2" fillId="0" borderId="3" xfId="1" applyFont="1" applyBorder="1" applyAlignment="1">
      <alignment horizontal="center" vertical="center"/>
    </xf>
    <xf numFmtId="0" fontId="2" fillId="0" borderId="3" xfId="1" quotePrefix="1" applyFont="1" applyBorder="1" applyAlignment="1">
      <alignment horizontal="center" vertical="center"/>
    </xf>
    <xf numFmtId="165" fontId="4" fillId="0" borderId="3" xfId="1" applyNumberFormat="1" applyBorder="1" applyAlignment="1">
      <alignment horizontal="center" vertical="center"/>
    </xf>
    <xf numFmtId="0" fontId="8" fillId="0" borderId="3" xfId="1" applyFont="1" applyBorder="1" applyAlignment="1">
      <alignment horizontal="center" vertical="center" wrapText="1"/>
    </xf>
    <xf numFmtId="164" fontId="6" fillId="0" borderId="3" xfId="1" quotePrefix="1" applyNumberFormat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6" fillId="0" borderId="3" xfId="1" quotePrefix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4" borderId="3" xfId="1" quotePrefix="1" applyFont="1" applyFill="1" applyBorder="1" applyAlignment="1">
      <alignment horizontal="center" vertical="center"/>
    </xf>
    <xf numFmtId="0" fontId="2" fillId="4" borderId="3" xfId="1" applyFont="1" applyFill="1" applyBorder="1" applyAlignment="1">
      <alignment horizontal="center" vertical="center"/>
    </xf>
    <xf numFmtId="0" fontId="2" fillId="0" borderId="0" xfId="1" applyFont="1" applyAlignment="1">
      <alignment horizontal="right"/>
    </xf>
    <xf numFmtId="49" fontId="4" fillId="0" borderId="0" xfId="1" applyNumberFormat="1" applyAlignment="1">
      <alignment horizontal="center"/>
    </xf>
    <xf numFmtId="0" fontId="4" fillId="0" borderId="0" xfId="1" quotePrefix="1" applyAlignment="1">
      <alignment horizontal="center"/>
    </xf>
    <xf numFmtId="0" fontId="4" fillId="0" borderId="3" xfId="1" applyBorder="1" applyAlignment="1">
      <alignment vertical="top"/>
    </xf>
    <xf numFmtId="0" fontId="4" fillId="0" borderId="0" xfId="1" applyAlignment="1">
      <alignment horizontal="right"/>
    </xf>
    <xf numFmtId="0" fontId="5" fillId="0" borderId="0" xfId="1" applyFont="1"/>
    <xf numFmtId="49" fontId="2" fillId="0" borderId="7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/>
    </xf>
    <xf numFmtId="49" fontId="3" fillId="0" borderId="7" xfId="1" applyNumberFormat="1" applyFont="1" applyBorder="1" applyAlignment="1">
      <alignment horizontal="center" vertical="center" wrapText="1"/>
    </xf>
    <xf numFmtId="49" fontId="3" fillId="0" borderId="7" xfId="1" applyNumberFormat="1" applyFont="1" applyBorder="1" applyAlignment="1">
      <alignment horizontal="center" vertical="center"/>
    </xf>
    <xf numFmtId="0" fontId="5" fillId="0" borderId="13" xfId="1" applyFont="1" applyBorder="1" applyAlignment="1">
      <alignment horizontal="centerContinuous" vertical="center"/>
    </xf>
    <xf numFmtId="0" fontId="2" fillId="0" borderId="0" xfId="1" applyFont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6" fillId="0" borderId="0" xfId="1" applyFont="1" applyAlignment="1">
      <alignment horizontal="center"/>
    </xf>
    <xf numFmtId="0" fontId="2" fillId="0" borderId="0" xfId="1" applyFont="1"/>
    <xf numFmtId="0" fontId="2" fillId="0" borderId="1" xfId="1" applyFont="1" applyBorder="1"/>
    <xf numFmtId="0" fontId="4" fillId="0" borderId="2" xfId="1" applyBorder="1"/>
    <xf numFmtId="0" fontId="4" fillId="0" borderId="1" xfId="1" applyBorder="1"/>
    <xf numFmtId="14" fontId="2" fillId="0" borderId="0" xfId="1" applyNumberFormat="1" applyFont="1"/>
    <xf numFmtId="14" fontId="2" fillId="0" borderId="1" xfId="1" applyNumberFormat="1" applyFont="1" applyBorder="1"/>
    <xf numFmtId="0" fontId="1" fillId="0" borderId="0" xfId="1" applyFont="1"/>
    <xf numFmtId="166" fontId="4" fillId="0" borderId="0" xfId="1" applyNumberFormat="1"/>
    <xf numFmtId="167" fontId="0" fillId="0" borderId="0" xfId="0" applyNumberFormat="1"/>
    <xf numFmtId="0" fontId="2" fillId="0" borderId="5" xfId="1" applyFont="1" applyBorder="1" applyAlignment="1">
      <alignment horizontal="center" vertical="center"/>
    </xf>
    <xf numFmtId="2" fontId="7" fillId="0" borderId="30" xfId="1" applyNumberFormat="1" applyFont="1" applyBorder="1" applyAlignment="1">
      <alignment horizontal="center" vertical="center"/>
    </xf>
    <xf numFmtId="0" fontId="21" fillId="0" borderId="31" xfId="1" applyFont="1" applyBorder="1" applyAlignment="1">
      <alignment horizontal="center" vertical="center"/>
    </xf>
    <xf numFmtId="2" fontId="7" fillId="0" borderId="32" xfId="1" applyNumberFormat="1" applyFont="1" applyBorder="1" applyAlignment="1">
      <alignment horizontal="center" vertical="center"/>
    </xf>
    <xf numFmtId="0" fontId="21" fillId="0" borderId="33" xfId="1" applyFont="1" applyBorder="1" applyAlignment="1">
      <alignment horizontal="center" vertical="center"/>
    </xf>
    <xf numFmtId="2" fontId="7" fillId="0" borderId="34" xfId="1" applyNumberFormat="1" applyFont="1" applyBorder="1" applyAlignment="1">
      <alignment horizontal="center" vertical="center"/>
    </xf>
    <xf numFmtId="0" fontId="21" fillId="0" borderId="35" xfId="1" applyFont="1" applyBorder="1" applyAlignment="1">
      <alignment horizontal="center" vertical="center"/>
    </xf>
    <xf numFmtId="49" fontId="21" fillId="0" borderId="35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4" fillId="0" borderId="35" xfId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/>
    </xf>
    <xf numFmtId="49" fontId="3" fillId="0" borderId="6" xfId="1" applyNumberFormat="1" applyFont="1" applyBorder="1" applyAlignment="1">
      <alignment horizontal="center" vertical="center" wrapText="1"/>
    </xf>
    <xf numFmtId="49" fontId="3" fillId="0" borderId="6" xfId="1" applyNumberFormat="1" applyFont="1" applyBorder="1" applyAlignment="1">
      <alignment horizontal="center" vertical="center"/>
    </xf>
    <xf numFmtId="0" fontId="6" fillId="0" borderId="36" xfId="1" applyFont="1" applyBorder="1" applyAlignment="1">
      <alignment horizontal="center"/>
    </xf>
    <xf numFmtId="0" fontId="4" fillId="0" borderId="37" xfId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9" xfId="0" applyFont="1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 applyAlignment="1">
      <alignment horizontal="right"/>
    </xf>
    <xf numFmtId="0" fontId="6" fillId="0" borderId="21" xfId="0" quotePrefix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65" fontId="4" fillId="0" borderId="21" xfId="0" applyNumberFormat="1" applyFont="1" applyBorder="1" applyAlignment="1">
      <alignment horizontal="center" vertical="center"/>
    </xf>
    <xf numFmtId="165" fontId="4" fillId="0" borderId="13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5" fontId="4" fillId="0" borderId="24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164" fontId="6" fillId="0" borderId="21" xfId="0" quotePrefix="1" applyNumberFormat="1" applyFont="1" applyBorder="1" applyAlignment="1">
      <alignment horizontal="center" vertical="center"/>
    </xf>
    <xf numFmtId="165" fontId="4" fillId="2" borderId="24" xfId="0" applyNumberFormat="1" applyFont="1" applyFill="1" applyBorder="1" applyAlignment="1">
      <alignment horizontal="center" vertical="center"/>
    </xf>
    <xf numFmtId="165" fontId="4" fillId="2" borderId="13" xfId="0" applyNumberFormat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1" fillId="0" borderId="0" xfId="1" applyFont="1" applyAlignment="1">
      <alignment horizontal="center" vertical="center"/>
    </xf>
    <xf numFmtId="0" fontId="6" fillId="0" borderId="4" xfId="1" applyFont="1" applyBorder="1" applyAlignment="1">
      <alignment horizontal="center"/>
    </xf>
    <xf numFmtId="0" fontId="6" fillId="0" borderId="19" xfId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2" fillId="0" borderId="21" xfId="1" applyFont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2" fillId="0" borderId="9" xfId="1" applyFont="1" applyBorder="1" applyAlignment="1">
      <alignment horizontal="right"/>
    </xf>
    <xf numFmtId="0" fontId="4" fillId="0" borderId="22" xfId="1" applyBorder="1" applyAlignment="1">
      <alignment horizontal="right"/>
    </xf>
    <xf numFmtId="0" fontId="4" fillId="0" borderId="23" xfId="1" applyBorder="1" applyAlignment="1">
      <alignment horizontal="right"/>
    </xf>
    <xf numFmtId="2" fontId="7" fillId="0" borderId="0" xfId="1" applyNumberFormat="1" applyFont="1" applyAlignment="1">
      <alignment horizontal="center" vertical="center"/>
    </xf>
    <xf numFmtId="0" fontId="2" fillId="0" borderId="29" xfId="1" applyFont="1" applyBorder="1" applyAlignment="1">
      <alignment horizontal="center" vertical="center"/>
    </xf>
    <xf numFmtId="0" fontId="4" fillId="0" borderId="27" xfId="1" applyBorder="1" applyAlignment="1">
      <alignment horizontal="center" vertical="center"/>
    </xf>
    <xf numFmtId="0" fontId="20" fillId="0" borderId="28" xfId="1" applyFont="1" applyBorder="1" applyAlignment="1">
      <alignment horizontal="center" vertical="center"/>
    </xf>
    <xf numFmtId="0" fontId="19" fillId="0" borderId="12" xfId="1" applyFont="1" applyBorder="1" applyAlignment="1">
      <alignment horizontal="center" vertical="center"/>
    </xf>
    <xf numFmtId="0" fontId="20" fillId="0" borderId="28" xfId="1" quotePrefix="1" applyFont="1" applyBorder="1" applyAlignment="1">
      <alignment horizontal="center" vertical="center"/>
    </xf>
    <xf numFmtId="0" fontId="6" fillId="0" borderId="21" xfId="1" quotePrefix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165" fontId="11" fillId="0" borderId="21" xfId="1" applyNumberFormat="1" applyFont="1" applyBorder="1" applyAlignment="1">
      <alignment horizontal="center" vertical="center"/>
    </xf>
    <xf numFmtId="165" fontId="11" fillId="0" borderId="13" xfId="1" applyNumberFormat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165" fontId="11" fillId="0" borderId="24" xfId="1" applyNumberFormat="1" applyFont="1" applyBorder="1" applyAlignment="1">
      <alignment horizontal="center" vertical="center"/>
    </xf>
    <xf numFmtId="164" fontId="6" fillId="0" borderId="21" xfId="1" quotePrefix="1" applyNumberFormat="1" applyFont="1" applyBorder="1" applyAlignment="1">
      <alignment horizontal="center" vertical="center"/>
    </xf>
    <xf numFmtId="166" fontId="0" fillId="0" borderId="0" xfId="0" applyNumberFormat="1"/>
  </cellXfs>
  <cellStyles count="2">
    <cellStyle name="Normal" xfId="0" builtinId="0"/>
    <cellStyle name="Normal 2" xfId="1" xr:uid="{74151C97-6E82-4721-98A9-A740A8963B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089" name="Line 1">
          <a:extLst>
            <a:ext uri="{FF2B5EF4-FFF2-40B4-BE49-F238E27FC236}">
              <a16:creationId xmlns:a16="http://schemas.microsoft.com/office/drawing/2014/main" id="{5B2D4DF7-51C6-4656-248B-9B23A0084958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135" name="Line 1">
          <a:extLst>
            <a:ext uri="{FF2B5EF4-FFF2-40B4-BE49-F238E27FC236}">
              <a16:creationId xmlns:a16="http://schemas.microsoft.com/office/drawing/2014/main" id="{0A0990A0-7F1D-1AA2-ED7D-F44BC6CA584B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155" name="Line 1">
          <a:extLst>
            <a:ext uri="{FF2B5EF4-FFF2-40B4-BE49-F238E27FC236}">
              <a16:creationId xmlns:a16="http://schemas.microsoft.com/office/drawing/2014/main" id="{2BDF8B97-413B-1E56-5103-04DE46543860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176" name="Line 1">
          <a:extLst>
            <a:ext uri="{FF2B5EF4-FFF2-40B4-BE49-F238E27FC236}">
              <a16:creationId xmlns:a16="http://schemas.microsoft.com/office/drawing/2014/main" id="{6EC0E6ED-6F81-5491-A966-2C68721C5A03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8199" name="Line 1">
          <a:extLst>
            <a:ext uri="{FF2B5EF4-FFF2-40B4-BE49-F238E27FC236}">
              <a16:creationId xmlns:a16="http://schemas.microsoft.com/office/drawing/2014/main" id="{164ECCB5-6071-3ADC-ADD2-BFF441927876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9219" name="Line 1">
          <a:extLst>
            <a:ext uri="{FF2B5EF4-FFF2-40B4-BE49-F238E27FC236}">
              <a16:creationId xmlns:a16="http://schemas.microsoft.com/office/drawing/2014/main" id="{C9762063-9776-3B0C-F3B0-F5F39B0D8CB6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113" name="Line 1">
          <a:extLst>
            <a:ext uri="{FF2B5EF4-FFF2-40B4-BE49-F238E27FC236}">
              <a16:creationId xmlns:a16="http://schemas.microsoft.com/office/drawing/2014/main" id="{C65541B2-7A8C-074D-396D-9144FD3B11DE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3073A40-B873-4A47-973B-6D6F7F93A0A1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D0A35E7-D41F-4F6C-A9D4-84BAAB3A281A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91F39B1-F6C7-4F95-8EEB-37408E2ADF2F}"/>
            </a:ext>
          </a:extLst>
        </xdr:cNvPr>
        <xdr:cNvSpPr>
          <a:spLocks noChangeShapeType="1"/>
        </xdr:cNvSpPr>
      </xdr:nvSpPr>
      <xdr:spPr bwMode="auto">
        <a:xfrm flipV="1">
          <a:off x="0" y="0"/>
          <a:ext cx="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 type="stealth" w="med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AFF3-894B-4C6A-8ED9-14310DA1CAA6}">
  <dimension ref="A1:G49"/>
  <sheetViews>
    <sheetView workbookViewId="0"/>
  </sheetViews>
  <sheetFormatPr defaultRowHeight="12.75" x14ac:dyDescent="0.2"/>
  <sheetData>
    <row r="1" spans="1:7" x14ac:dyDescent="0.2">
      <c r="A1" t="s">
        <v>118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 x14ac:dyDescent="0.2">
      <c r="A2" t="s">
        <v>70</v>
      </c>
      <c r="B2">
        <v>35</v>
      </c>
      <c r="C2">
        <v>55</v>
      </c>
      <c r="D2">
        <v>64</v>
      </c>
      <c r="E2">
        <v>87</v>
      </c>
      <c r="F2">
        <v>95</v>
      </c>
      <c r="G2">
        <v>121</v>
      </c>
    </row>
    <row r="3" spans="1:7" x14ac:dyDescent="0.2">
      <c r="A3" t="s">
        <v>71</v>
      </c>
      <c r="B3">
        <v>42</v>
      </c>
      <c r="C3">
        <v>53</v>
      </c>
      <c r="D3">
        <v>63</v>
      </c>
      <c r="E3">
        <v>94</v>
      </c>
      <c r="F3">
        <v>111</v>
      </c>
      <c r="G3">
        <v>141</v>
      </c>
    </row>
    <row r="4" spans="1:7" x14ac:dyDescent="0.2">
      <c r="A4" t="s">
        <v>72</v>
      </c>
      <c r="B4">
        <v>44</v>
      </c>
      <c r="C4">
        <v>57</v>
      </c>
      <c r="D4">
        <v>71</v>
      </c>
      <c r="E4">
        <v>103</v>
      </c>
      <c r="F4">
        <v>117</v>
      </c>
      <c r="G4">
        <v>132</v>
      </c>
    </row>
    <row r="5" spans="1:7" x14ac:dyDescent="0.2">
      <c r="A5" t="s">
        <v>73</v>
      </c>
      <c r="B5">
        <v>43</v>
      </c>
      <c r="C5">
        <v>61</v>
      </c>
      <c r="D5">
        <v>77</v>
      </c>
      <c r="E5">
        <v>102</v>
      </c>
      <c r="G5">
        <v>130</v>
      </c>
    </row>
    <row r="6" spans="1:7" x14ac:dyDescent="0.2">
      <c r="A6" t="s">
        <v>74</v>
      </c>
      <c r="B6">
        <v>44</v>
      </c>
      <c r="C6">
        <v>63</v>
      </c>
      <c r="D6">
        <v>73</v>
      </c>
      <c r="E6">
        <v>102</v>
      </c>
      <c r="G6">
        <v>137</v>
      </c>
    </row>
    <row r="7" spans="1:7" x14ac:dyDescent="0.2">
      <c r="A7" t="s">
        <v>75</v>
      </c>
      <c r="B7">
        <v>45</v>
      </c>
      <c r="C7">
        <v>62</v>
      </c>
      <c r="D7">
        <v>74</v>
      </c>
      <c r="E7">
        <v>101</v>
      </c>
      <c r="G7">
        <v>126</v>
      </c>
    </row>
    <row r="8" spans="1:7" x14ac:dyDescent="0.2">
      <c r="A8" t="s">
        <v>76</v>
      </c>
      <c r="B8">
        <v>41</v>
      </c>
      <c r="C8">
        <v>61</v>
      </c>
      <c r="D8">
        <v>72</v>
      </c>
      <c r="E8">
        <v>89</v>
      </c>
      <c r="F8">
        <v>107</v>
      </c>
      <c r="G8">
        <v>132</v>
      </c>
    </row>
    <row r="9" spans="1:7" x14ac:dyDescent="0.2">
      <c r="A9" t="s">
        <v>77</v>
      </c>
      <c r="B9">
        <v>48</v>
      </c>
      <c r="C9">
        <v>62</v>
      </c>
      <c r="D9">
        <v>67</v>
      </c>
      <c r="E9">
        <v>93</v>
      </c>
      <c r="F9">
        <v>106</v>
      </c>
      <c r="G9">
        <v>144</v>
      </c>
    </row>
    <row r="10" spans="1:7" x14ac:dyDescent="0.2">
      <c r="A10" t="s">
        <v>78</v>
      </c>
      <c r="B10">
        <v>46</v>
      </c>
      <c r="C10">
        <v>64</v>
      </c>
      <c r="D10">
        <v>70</v>
      </c>
      <c r="E10">
        <v>95</v>
      </c>
      <c r="F10">
        <v>110</v>
      </c>
      <c r="G10">
        <v>132</v>
      </c>
    </row>
    <row r="11" spans="1:7" x14ac:dyDescent="0.2">
      <c r="A11" t="s">
        <v>79</v>
      </c>
      <c r="B11">
        <v>36</v>
      </c>
      <c r="C11">
        <v>55</v>
      </c>
      <c r="D11">
        <v>77</v>
      </c>
      <c r="E11">
        <v>115</v>
      </c>
      <c r="F11">
        <v>130</v>
      </c>
      <c r="G11">
        <v>155</v>
      </c>
    </row>
    <row r="12" spans="1:7" x14ac:dyDescent="0.2">
      <c r="A12" t="s">
        <v>80</v>
      </c>
      <c r="B12">
        <v>44</v>
      </c>
      <c r="C12">
        <v>59</v>
      </c>
      <c r="D12">
        <v>73</v>
      </c>
      <c r="E12">
        <v>114</v>
      </c>
      <c r="F12">
        <v>132</v>
      </c>
      <c r="G12">
        <v>151</v>
      </c>
    </row>
    <row r="13" spans="1:7" x14ac:dyDescent="0.2">
      <c r="A13" t="s">
        <v>81</v>
      </c>
      <c r="B13">
        <v>39</v>
      </c>
      <c r="C13">
        <v>54</v>
      </c>
      <c r="D13">
        <v>67</v>
      </c>
      <c r="E13">
        <v>111</v>
      </c>
      <c r="F13">
        <v>128</v>
      </c>
      <c r="G13">
        <v>149</v>
      </c>
    </row>
    <row r="14" spans="1:7" x14ac:dyDescent="0.2">
      <c r="A14" t="s">
        <v>82</v>
      </c>
      <c r="B14">
        <v>44</v>
      </c>
      <c r="C14">
        <v>60</v>
      </c>
      <c r="D14">
        <v>70</v>
      </c>
      <c r="E14">
        <v>104</v>
      </c>
      <c r="F14">
        <v>126</v>
      </c>
      <c r="G14">
        <v>143</v>
      </c>
    </row>
    <row r="15" spans="1:7" x14ac:dyDescent="0.2">
      <c r="A15" t="s">
        <v>83</v>
      </c>
      <c r="B15">
        <v>44</v>
      </c>
      <c r="C15">
        <v>61</v>
      </c>
      <c r="D15">
        <v>70</v>
      </c>
      <c r="E15">
        <v>107</v>
      </c>
      <c r="F15">
        <v>123</v>
      </c>
      <c r="G15">
        <v>155</v>
      </c>
    </row>
    <row r="16" spans="1:7" x14ac:dyDescent="0.2">
      <c r="A16" t="s">
        <v>84</v>
      </c>
      <c r="B16">
        <v>46</v>
      </c>
      <c r="C16">
        <v>58</v>
      </c>
      <c r="D16">
        <v>62</v>
      </c>
      <c r="E16">
        <v>100</v>
      </c>
      <c r="F16">
        <v>118</v>
      </c>
      <c r="G16">
        <v>148</v>
      </c>
    </row>
    <row r="17" spans="1:7" x14ac:dyDescent="0.2">
      <c r="A17" t="s">
        <v>85</v>
      </c>
      <c r="B17">
        <v>43</v>
      </c>
      <c r="C17">
        <v>62</v>
      </c>
      <c r="D17">
        <v>72</v>
      </c>
      <c r="E17">
        <v>94</v>
      </c>
      <c r="F17">
        <v>109</v>
      </c>
      <c r="G17">
        <v>137</v>
      </c>
    </row>
    <row r="18" spans="1:7" x14ac:dyDescent="0.2">
      <c r="A18" t="s">
        <v>86</v>
      </c>
      <c r="B18">
        <v>41</v>
      </c>
      <c r="C18">
        <v>59</v>
      </c>
      <c r="D18">
        <v>69</v>
      </c>
      <c r="E18">
        <v>90</v>
      </c>
      <c r="F18">
        <v>97</v>
      </c>
      <c r="G18">
        <v>138</v>
      </c>
    </row>
    <row r="19" spans="1:7" x14ac:dyDescent="0.2">
      <c r="A19" t="s">
        <v>87</v>
      </c>
      <c r="B19">
        <v>42</v>
      </c>
      <c r="C19">
        <v>56</v>
      </c>
      <c r="D19">
        <v>69</v>
      </c>
      <c r="E19">
        <v>88</v>
      </c>
      <c r="F19">
        <v>91</v>
      </c>
      <c r="G19">
        <v>128</v>
      </c>
    </row>
    <row r="20" spans="1:7" x14ac:dyDescent="0.2">
      <c r="A20" t="s">
        <v>88</v>
      </c>
      <c r="B20">
        <v>40</v>
      </c>
      <c r="C20">
        <v>58</v>
      </c>
      <c r="D20">
        <v>71</v>
      </c>
      <c r="E20">
        <v>106</v>
      </c>
      <c r="F20">
        <v>120</v>
      </c>
      <c r="G20">
        <v>147</v>
      </c>
    </row>
    <row r="21" spans="1:7" x14ac:dyDescent="0.2">
      <c r="A21" t="s">
        <v>89</v>
      </c>
      <c r="B21">
        <v>45</v>
      </c>
      <c r="C21">
        <v>57</v>
      </c>
      <c r="D21">
        <v>73</v>
      </c>
      <c r="E21">
        <v>114</v>
      </c>
      <c r="F21">
        <v>127</v>
      </c>
      <c r="G21">
        <v>158</v>
      </c>
    </row>
    <row r="22" spans="1:7" x14ac:dyDescent="0.2">
      <c r="A22" t="s">
        <v>90</v>
      </c>
      <c r="B22">
        <v>45</v>
      </c>
      <c r="C22">
        <v>64</v>
      </c>
      <c r="D22">
        <v>78</v>
      </c>
      <c r="E22">
        <v>113</v>
      </c>
      <c r="F22">
        <v>136</v>
      </c>
      <c r="G22">
        <v>165</v>
      </c>
    </row>
    <row r="23" spans="1:7" x14ac:dyDescent="0.2">
      <c r="A23" t="s">
        <v>91</v>
      </c>
      <c r="B23">
        <v>38</v>
      </c>
      <c r="C23">
        <v>50</v>
      </c>
      <c r="D23">
        <v>61</v>
      </c>
      <c r="E23">
        <v>97</v>
      </c>
      <c r="F23">
        <v>106</v>
      </c>
      <c r="G23">
        <v>136</v>
      </c>
    </row>
    <row r="24" spans="1:7" x14ac:dyDescent="0.2">
      <c r="A24" t="s">
        <v>92</v>
      </c>
      <c r="B24">
        <v>43</v>
      </c>
      <c r="C24">
        <v>58</v>
      </c>
      <c r="D24">
        <v>72</v>
      </c>
      <c r="E24">
        <v>112</v>
      </c>
      <c r="F24">
        <v>125</v>
      </c>
      <c r="G24">
        <v>151</v>
      </c>
    </row>
    <row r="25" spans="1:7" x14ac:dyDescent="0.2">
      <c r="A25" t="s">
        <v>93</v>
      </c>
      <c r="B25">
        <v>43</v>
      </c>
      <c r="C25">
        <v>57</v>
      </c>
      <c r="D25">
        <v>71</v>
      </c>
      <c r="E25">
        <v>104</v>
      </c>
      <c r="F25">
        <v>118</v>
      </c>
      <c r="G25">
        <v>139</v>
      </c>
    </row>
    <row r="26" spans="1:7" x14ac:dyDescent="0.2">
      <c r="A26" t="s">
        <v>94</v>
      </c>
      <c r="B26">
        <v>34</v>
      </c>
      <c r="C26">
        <v>53</v>
      </c>
      <c r="D26">
        <v>63</v>
      </c>
      <c r="E26">
        <v>95</v>
      </c>
      <c r="F26">
        <v>105</v>
      </c>
      <c r="G26">
        <v>134</v>
      </c>
    </row>
    <row r="27" spans="1:7" x14ac:dyDescent="0.2">
      <c r="A27" t="s">
        <v>95</v>
      </c>
      <c r="B27">
        <v>45</v>
      </c>
      <c r="C27">
        <v>56</v>
      </c>
      <c r="D27">
        <v>66</v>
      </c>
      <c r="E27">
        <v>82</v>
      </c>
      <c r="F27">
        <v>106</v>
      </c>
      <c r="G27">
        <v>135</v>
      </c>
    </row>
    <row r="28" spans="1:7" x14ac:dyDescent="0.2">
      <c r="A28" t="s">
        <v>96</v>
      </c>
      <c r="B28">
        <v>43</v>
      </c>
      <c r="C28">
        <v>58</v>
      </c>
      <c r="D28">
        <v>67</v>
      </c>
      <c r="E28">
        <v>92</v>
      </c>
      <c r="F28">
        <v>103</v>
      </c>
      <c r="G28">
        <v>133</v>
      </c>
    </row>
    <row r="29" spans="1:7" x14ac:dyDescent="0.2">
      <c r="A29" t="s">
        <v>97</v>
      </c>
      <c r="B29">
        <v>39</v>
      </c>
      <c r="C29">
        <v>55</v>
      </c>
      <c r="D29">
        <v>69</v>
      </c>
      <c r="E29">
        <v>103</v>
      </c>
      <c r="F29">
        <v>123</v>
      </c>
      <c r="G29">
        <v>145</v>
      </c>
    </row>
    <row r="30" spans="1:7" x14ac:dyDescent="0.2">
      <c r="A30" t="s">
        <v>98</v>
      </c>
      <c r="B30">
        <v>47</v>
      </c>
      <c r="C30">
        <v>59</v>
      </c>
      <c r="D30">
        <v>72</v>
      </c>
      <c r="E30">
        <v>104</v>
      </c>
      <c r="F30">
        <v>118</v>
      </c>
      <c r="G30">
        <v>142</v>
      </c>
    </row>
    <row r="31" spans="1:7" x14ac:dyDescent="0.2">
      <c r="A31" t="s">
        <v>99</v>
      </c>
      <c r="B31">
        <v>36</v>
      </c>
      <c r="C31">
        <v>55</v>
      </c>
      <c r="D31">
        <v>68</v>
      </c>
      <c r="E31">
        <v>104</v>
      </c>
      <c r="F31">
        <v>119</v>
      </c>
      <c r="G31">
        <v>146</v>
      </c>
    </row>
    <row r="32" spans="1:7" x14ac:dyDescent="0.2">
      <c r="A32" t="s">
        <v>100</v>
      </c>
      <c r="B32">
        <v>42</v>
      </c>
      <c r="C32">
        <v>60</v>
      </c>
      <c r="D32">
        <v>73</v>
      </c>
      <c r="E32">
        <v>106</v>
      </c>
      <c r="F32">
        <v>122</v>
      </c>
      <c r="G32">
        <v>151</v>
      </c>
    </row>
    <row r="33" spans="1:7" x14ac:dyDescent="0.2">
      <c r="A33" t="s">
        <v>101</v>
      </c>
      <c r="B33">
        <v>46</v>
      </c>
      <c r="C33">
        <v>61</v>
      </c>
      <c r="D33">
        <v>74</v>
      </c>
      <c r="E33">
        <v>109</v>
      </c>
      <c r="F33">
        <v>128</v>
      </c>
      <c r="G33">
        <v>154</v>
      </c>
    </row>
    <row r="34" spans="1:7" x14ac:dyDescent="0.2">
      <c r="A34" t="s">
        <v>102</v>
      </c>
      <c r="B34">
        <v>42</v>
      </c>
      <c r="C34">
        <v>57</v>
      </c>
      <c r="D34">
        <v>71</v>
      </c>
      <c r="E34">
        <v>107</v>
      </c>
      <c r="F34">
        <v>121</v>
      </c>
      <c r="G34">
        <v>153</v>
      </c>
    </row>
    <row r="35" spans="1:7" x14ac:dyDescent="0.2">
      <c r="A35" t="s">
        <v>103</v>
      </c>
      <c r="B35">
        <v>46</v>
      </c>
      <c r="C35">
        <v>63</v>
      </c>
      <c r="D35">
        <v>77</v>
      </c>
      <c r="E35">
        <v>118</v>
      </c>
      <c r="F35">
        <v>133</v>
      </c>
      <c r="G35">
        <v>142</v>
      </c>
    </row>
    <row r="36" spans="1:7" x14ac:dyDescent="0.2">
      <c r="A36" t="s">
        <v>104</v>
      </c>
      <c r="B36">
        <v>41</v>
      </c>
      <c r="C36">
        <v>55</v>
      </c>
      <c r="D36">
        <v>77</v>
      </c>
      <c r="E36">
        <v>114</v>
      </c>
      <c r="F36">
        <v>132</v>
      </c>
      <c r="G36">
        <v>155</v>
      </c>
    </row>
    <row r="37" spans="1:7" x14ac:dyDescent="0.2">
      <c r="A37" t="s">
        <v>105</v>
      </c>
      <c r="B37">
        <v>41</v>
      </c>
      <c r="C37">
        <v>58</v>
      </c>
      <c r="D37">
        <v>73</v>
      </c>
      <c r="E37">
        <v>114</v>
      </c>
      <c r="F37">
        <v>127</v>
      </c>
      <c r="G37">
        <v>144</v>
      </c>
    </row>
    <row r="38" spans="1:7" x14ac:dyDescent="0.2">
      <c r="A38" t="s">
        <v>106</v>
      </c>
      <c r="B38">
        <v>43</v>
      </c>
      <c r="C38">
        <v>55</v>
      </c>
      <c r="D38">
        <v>64</v>
      </c>
      <c r="E38">
        <v>95</v>
      </c>
      <c r="F38">
        <v>106</v>
      </c>
      <c r="G38">
        <v>126</v>
      </c>
    </row>
    <row r="39" spans="1:7" x14ac:dyDescent="0.2">
      <c r="A39" t="s">
        <v>107</v>
      </c>
      <c r="B39">
        <v>39</v>
      </c>
      <c r="C39">
        <v>58</v>
      </c>
      <c r="D39">
        <v>66</v>
      </c>
      <c r="E39">
        <v>97</v>
      </c>
      <c r="F39">
        <v>108</v>
      </c>
      <c r="G39">
        <v>126</v>
      </c>
    </row>
    <row r="40" spans="1:7" x14ac:dyDescent="0.2">
      <c r="A40" t="s">
        <v>108</v>
      </c>
      <c r="B40">
        <v>41</v>
      </c>
      <c r="C40">
        <v>56</v>
      </c>
      <c r="D40">
        <v>63</v>
      </c>
      <c r="E40">
        <v>83</v>
      </c>
      <c r="F40">
        <v>94</v>
      </c>
      <c r="G40">
        <v>121</v>
      </c>
    </row>
    <row r="41" spans="1:7" x14ac:dyDescent="0.2">
      <c r="A41" t="s">
        <v>109</v>
      </c>
      <c r="B41">
        <v>41</v>
      </c>
      <c r="C41">
        <v>60</v>
      </c>
      <c r="D41">
        <v>74</v>
      </c>
      <c r="E41">
        <v>114</v>
      </c>
      <c r="F41">
        <v>123</v>
      </c>
      <c r="G41">
        <v>135</v>
      </c>
    </row>
    <row r="42" spans="1:7" x14ac:dyDescent="0.2">
      <c r="A42" t="s">
        <v>110</v>
      </c>
      <c r="B42">
        <v>42</v>
      </c>
      <c r="C42">
        <v>57</v>
      </c>
      <c r="D42">
        <v>74</v>
      </c>
      <c r="E42">
        <v>106</v>
      </c>
      <c r="F42">
        <v>124</v>
      </c>
      <c r="G42">
        <v>143</v>
      </c>
    </row>
    <row r="43" spans="1:7" x14ac:dyDescent="0.2">
      <c r="A43" t="s">
        <v>111</v>
      </c>
      <c r="B43">
        <v>45</v>
      </c>
      <c r="C43">
        <v>57</v>
      </c>
      <c r="D43">
        <v>74</v>
      </c>
      <c r="E43">
        <v>108</v>
      </c>
      <c r="F43">
        <v>125</v>
      </c>
      <c r="G43">
        <v>146</v>
      </c>
    </row>
    <row r="44" spans="1:7" x14ac:dyDescent="0.2">
      <c r="A44" t="s">
        <v>112</v>
      </c>
      <c r="B44">
        <v>43</v>
      </c>
      <c r="C44">
        <v>58</v>
      </c>
      <c r="D44">
        <v>63</v>
      </c>
      <c r="E44">
        <v>97</v>
      </c>
      <c r="F44">
        <v>115</v>
      </c>
      <c r="G44">
        <v>126</v>
      </c>
    </row>
    <row r="45" spans="1:7" x14ac:dyDescent="0.2">
      <c r="A45" t="s">
        <v>113</v>
      </c>
      <c r="B45">
        <v>41</v>
      </c>
      <c r="C45">
        <v>55</v>
      </c>
      <c r="D45">
        <v>61</v>
      </c>
      <c r="E45">
        <v>98</v>
      </c>
      <c r="F45">
        <v>110</v>
      </c>
      <c r="G45">
        <v>131</v>
      </c>
    </row>
    <row r="46" spans="1:7" x14ac:dyDescent="0.2">
      <c r="A46" t="s">
        <v>114</v>
      </c>
      <c r="B46">
        <v>43</v>
      </c>
      <c r="C46">
        <v>58</v>
      </c>
      <c r="D46">
        <v>69</v>
      </c>
      <c r="E46">
        <v>102</v>
      </c>
      <c r="F46">
        <v>122</v>
      </c>
      <c r="G46">
        <v>146</v>
      </c>
    </row>
    <row r="47" spans="1:7" x14ac:dyDescent="0.2">
      <c r="A47" t="s">
        <v>115</v>
      </c>
      <c r="B47">
        <v>45</v>
      </c>
      <c r="C47">
        <v>56</v>
      </c>
      <c r="D47">
        <v>64</v>
      </c>
      <c r="E47">
        <v>95</v>
      </c>
      <c r="F47">
        <v>100</v>
      </c>
      <c r="G47">
        <v>127</v>
      </c>
    </row>
    <row r="48" spans="1:7" x14ac:dyDescent="0.2">
      <c r="A48" t="s">
        <v>116</v>
      </c>
      <c r="B48">
        <v>45</v>
      </c>
      <c r="C48">
        <v>59</v>
      </c>
      <c r="D48">
        <v>74</v>
      </c>
      <c r="E48">
        <v>97</v>
      </c>
      <c r="F48">
        <v>105</v>
      </c>
      <c r="G48">
        <v>124</v>
      </c>
    </row>
    <row r="49" spans="1:7" x14ac:dyDescent="0.2">
      <c r="A49" t="s">
        <v>117</v>
      </c>
      <c r="B49">
        <v>43</v>
      </c>
      <c r="C49">
        <v>54</v>
      </c>
      <c r="D49">
        <v>70</v>
      </c>
      <c r="E49">
        <v>95</v>
      </c>
      <c r="F49">
        <v>108</v>
      </c>
      <c r="G49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E6C3-5D28-4747-9911-DD355BAF715B}">
  <dimension ref="A1:G49"/>
  <sheetViews>
    <sheetView workbookViewId="0"/>
  </sheetViews>
  <sheetFormatPr defaultRowHeight="12.75" x14ac:dyDescent="0.2"/>
  <sheetData>
    <row r="1" spans="1:7" x14ac:dyDescent="0.2">
      <c r="A1" t="s">
        <v>118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 x14ac:dyDescent="0.2">
      <c r="A2" t="s">
        <v>70</v>
      </c>
      <c r="B2">
        <v>33</v>
      </c>
      <c r="C2">
        <v>45</v>
      </c>
      <c r="D2">
        <v>59</v>
      </c>
      <c r="E2">
        <v>69</v>
      </c>
      <c r="F2">
        <v>75</v>
      </c>
      <c r="G2">
        <v>102</v>
      </c>
    </row>
    <row r="3" spans="1:7" x14ac:dyDescent="0.2">
      <c r="A3" t="s">
        <v>71</v>
      </c>
      <c r="B3">
        <v>35</v>
      </c>
      <c r="C3">
        <v>45</v>
      </c>
      <c r="D3">
        <v>55</v>
      </c>
      <c r="E3">
        <v>90</v>
      </c>
      <c r="F3">
        <v>96</v>
      </c>
      <c r="G3">
        <v>102</v>
      </c>
    </row>
    <row r="4" spans="1:7" x14ac:dyDescent="0.2">
      <c r="A4" t="s">
        <v>72</v>
      </c>
      <c r="B4">
        <v>30</v>
      </c>
      <c r="C4">
        <v>48</v>
      </c>
      <c r="D4">
        <v>56</v>
      </c>
      <c r="E4">
        <v>89</v>
      </c>
      <c r="F4">
        <v>93</v>
      </c>
      <c r="G4">
        <v>102</v>
      </c>
    </row>
    <row r="5" spans="1:7" x14ac:dyDescent="0.2">
      <c r="A5" t="s">
        <v>73</v>
      </c>
      <c r="B5">
        <v>35</v>
      </c>
      <c r="C5">
        <v>52</v>
      </c>
      <c r="D5">
        <v>61</v>
      </c>
      <c r="E5">
        <v>89</v>
      </c>
      <c r="G5">
        <v>102</v>
      </c>
    </row>
    <row r="6" spans="1:7" x14ac:dyDescent="0.2">
      <c r="A6" t="s">
        <v>74</v>
      </c>
      <c r="B6">
        <v>34</v>
      </c>
      <c r="C6">
        <v>51</v>
      </c>
      <c r="D6">
        <v>58</v>
      </c>
      <c r="E6">
        <v>97</v>
      </c>
      <c r="G6">
        <v>102</v>
      </c>
    </row>
    <row r="7" spans="1:7" x14ac:dyDescent="0.2">
      <c r="A7" t="s">
        <v>75</v>
      </c>
      <c r="B7">
        <v>36</v>
      </c>
      <c r="C7">
        <v>49</v>
      </c>
      <c r="D7">
        <v>65</v>
      </c>
      <c r="E7">
        <v>83</v>
      </c>
      <c r="G7">
        <v>102</v>
      </c>
    </row>
    <row r="8" spans="1:7" x14ac:dyDescent="0.2">
      <c r="A8" t="s">
        <v>76</v>
      </c>
      <c r="B8">
        <v>32</v>
      </c>
      <c r="C8">
        <v>53</v>
      </c>
      <c r="D8">
        <v>53</v>
      </c>
      <c r="E8">
        <v>73</v>
      </c>
      <c r="F8">
        <v>89</v>
      </c>
      <c r="G8">
        <v>102</v>
      </c>
    </row>
    <row r="9" spans="1:7" x14ac:dyDescent="0.2">
      <c r="A9" t="s">
        <v>77</v>
      </c>
      <c r="B9">
        <v>36</v>
      </c>
      <c r="C9">
        <v>51</v>
      </c>
      <c r="D9">
        <v>56</v>
      </c>
      <c r="E9">
        <v>77</v>
      </c>
      <c r="F9">
        <v>84</v>
      </c>
      <c r="G9">
        <v>102</v>
      </c>
    </row>
    <row r="10" spans="1:7" x14ac:dyDescent="0.2">
      <c r="A10" t="s">
        <v>78</v>
      </c>
      <c r="B10">
        <v>33</v>
      </c>
      <c r="C10">
        <v>56</v>
      </c>
      <c r="D10">
        <v>57</v>
      </c>
      <c r="E10">
        <v>75</v>
      </c>
      <c r="F10">
        <v>91</v>
      </c>
      <c r="G10">
        <v>102</v>
      </c>
    </row>
    <row r="11" spans="1:7" x14ac:dyDescent="0.2">
      <c r="A11" t="s">
        <v>79</v>
      </c>
      <c r="B11">
        <v>30</v>
      </c>
      <c r="C11">
        <v>48</v>
      </c>
      <c r="D11">
        <v>60</v>
      </c>
      <c r="E11">
        <v>103</v>
      </c>
      <c r="F11">
        <v>110</v>
      </c>
      <c r="G11">
        <v>102</v>
      </c>
    </row>
    <row r="12" spans="1:7" x14ac:dyDescent="0.2">
      <c r="A12" t="s">
        <v>80</v>
      </c>
      <c r="B12">
        <v>31</v>
      </c>
      <c r="C12">
        <v>48</v>
      </c>
      <c r="D12">
        <v>61</v>
      </c>
      <c r="E12">
        <v>99</v>
      </c>
      <c r="F12">
        <v>104</v>
      </c>
      <c r="G12">
        <v>102</v>
      </c>
    </row>
    <row r="13" spans="1:7" x14ac:dyDescent="0.2">
      <c r="A13" t="s">
        <v>81</v>
      </c>
      <c r="B13">
        <v>34</v>
      </c>
      <c r="C13">
        <v>43</v>
      </c>
      <c r="D13">
        <v>55</v>
      </c>
      <c r="E13">
        <v>89</v>
      </c>
      <c r="F13">
        <v>98</v>
      </c>
      <c r="G13">
        <v>102</v>
      </c>
    </row>
    <row r="14" spans="1:7" x14ac:dyDescent="0.2">
      <c r="A14" t="s">
        <v>82</v>
      </c>
      <c r="B14">
        <v>40</v>
      </c>
      <c r="C14">
        <v>50</v>
      </c>
      <c r="D14">
        <v>61</v>
      </c>
      <c r="E14">
        <v>85</v>
      </c>
      <c r="F14">
        <v>96</v>
      </c>
      <c r="G14">
        <v>102</v>
      </c>
    </row>
    <row r="15" spans="1:7" x14ac:dyDescent="0.2">
      <c r="A15" t="s">
        <v>83</v>
      </c>
      <c r="B15">
        <v>31</v>
      </c>
      <c r="C15">
        <v>53</v>
      </c>
      <c r="D15">
        <v>61</v>
      </c>
      <c r="E15">
        <v>96</v>
      </c>
      <c r="F15">
        <v>100</v>
      </c>
      <c r="G15">
        <v>102</v>
      </c>
    </row>
    <row r="16" spans="1:7" x14ac:dyDescent="0.2">
      <c r="A16" t="s">
        <v>84</v>
      </c>
      <c r="B16">
        <v>34</v>
      </c>
      <c r="C16">
        <v>53</v>
      </c>
      <c r="D16">
        <v>56</v>
      </c>
      <c r="E16">
        <v>88</v>
      </c>
      <c r="F16">
        <v>93</v>
      </c>
      <c r="G16">
        <v>102</v>
      </c>
    </row>
    <row r="17" spans="1:7" x14ac:dyDescent="0.2">
      <c r="A17" t="s">
        <v>85</v>
      </c>
      <c r="B17">
        <v>40</v>
      </c>
      <c r="C17">
        <v>55</v>
      </c>
      <c r="D17">
        <v>62</v>
      </c>
      <c r="E17">
        <v>80</v>
      </c>
      <c r="F17">
        <v>89</v>
      </c>
      <c r="G17">
        <v>102</v>
      </c>
    </row>
    <row r="18" spans="1:7" x14ac:dyDescent="0.2">
      <c r="A18" t="s">
        <v>86</v>
      </c>
      <c r="B18">
        <v>34</v>
      </c>
      <c r="C18">
        <v>51</v>
      </c>
      <c r="D18">
        <v>60</v>
      </c>
      <c r="E18">
        <v>67</v>
      </c>
      <c r="F18">
        <v>84</v>
      </c>
      <c r="G18">
        <v>102</v>
      </c>
    </row>
    <row r="19" spans="1:7" x14ac:dyDescent="0.2">
      <c r="A19" t="s">
        <v>87</v>
      </c>
      <c r="B19">
        <v>34</v>
      </c>
      <c r="C19">
        <v>53</v>
      </c>
      <c r="D19">
        <v>63</v>
      </c>
      <c r="E19">
        <v>76</v>
      </c>
      <c r="F19">
        <v>77</v>
      </c>
      <c r="G19">
        <v>102</v>
      </c>
    </row>
    <row r="20" spans="1:7" x14ac:dyDescent="0.2">
      <c r="A20" t="s">
        <v>88</v>
      </c>
      <c r="B20">
        <v>33</v>
      </c>
      <c r="C20">
        <v>58</v>
      </c>
      <c r="D20">
        <v>64</v>
      </c>
      <c r="E20">
        <v>103</v>
      </c>
      <c r="F20">
        <v>101</v>
      </c>
      <c r="G20">
        <v>102</v>
      </c>
    </row>
    <row r="21" spans="1:7" x14ac:dyDescent="0.2">
      <c r="A21" t="s">
        <v>89</v>
      </c>
      <c r="B21">
        <v>38</v>
      </c>
      <c r="C21">
        <v>55</v>
      </c>
      <c r="D21">
        <v>65</v>
      </c>
      <c r="E21">
        <v>106</v>
      </c>
      <c r="F21">
        <v>104</v>
      </c>
      <c r="G21">
        <v>102</v>
      </c>
    </row>
    <row r="22" spans="1:7" x14ac:dyDescent="0.2">
      <c r="A22" t="s">
        <v>90</v>
      </c>
      <c r="B22">
        <v>31</v>
      </c>
      <c r="C22">
        <v>51</v>
      </c>
      <c r="D22">
        <v>65</v>
      </c>
      <c r="E22">
        <v>98</v>
      </c>
      <c r="F22">
        <v>104</v>
      </c>
      <c r="G22">
        <v>102</v>
      </c>
    </row>
    <row r="23" spans="1:7" x14ac:dyDescent="0.2">
      <c r="A23" t="s">
        <v>91</v>
      </c>
      <c r="B23">
        <v>29</v>
      </c>
      <c r="C23">
        <v>39</v>
      </c>
      <c r="D23">
        <v>57</v>
      </c>
      <c r="E23">
        <v>82</v>
      </c>
      <c r="F23">
        <v>84</v>
      </c>
      <c r="G23">
        <v>102</v>
      </c>
    </row>
    <row r="24" spans="1:7" x14ac:dyDescent="0.2">
      <c r="A24" t="s">
        <v>92</v>
      </c>
      <c r="B24">
        <v>31</v>
      </c>
      <c r="C24">
        <v>45</v>
      </c>
      <c r="D24">
        <v>62</v>
      </c>
      <c r="E24">
        <v>91</v>
      </c>
      <c r="F24">
        <v>94</v>
      </c>
      <c r="G24">
        <v>102</v>
      </c>
    </row>
    <row r="25" spans="1:7" x14ac:dyDescent="0.2">
      <c r="A25" t="s">
        <v>93</v>
      </c>
      <c r="B25">
        <v>37</v>
      </c>
      <c r="C25">
        <v>51</v>
      </c>
      <c r="D25">
        <v>57</v>
      </c>
      <c r="E25">
        <v>89</v>
      </c>
      <c r="F25">
        <v>95</v>
      </c>
      <c r="G25">
        <v>102</v>
      </c>
    </row>
    <row r="26" spans="1:7" x14ac:dyDescent="0.2">
      <c r="A26" t="s">
        <v>94</v>
      </c>
      <c r="B26">
        <v>29</v>
      </c>
      <c r="C26">
        <v>51</v>
      </c>
      <c r="D26">
        <v>60</v>
      </c>
      <c r="E26">
        <v>87</v>
      </c>
      <c r="F26">
        <v>86</v>
      </c>
      <c r="G26">
        <v>102</v>
      </c>
    </row>
    <row r="27" spans="1:7" x14ac:dyDescent="0.2">
      <c r="A27" t="s">
        <v>95</v>
      </c>
      <c r="B27">
        <v>38</v>
      </c>
      <c r="C27">
        <v>51</v>
      </c>
      <c r="D27">
        <v>62</v>
      </c>
      <c r="E27">
        <v>75</v>
      </c>
      <c r="F27">
        <v>94</v>
      </c>
      <c r="G27">
        <v>102</v>
      </c>
    </row>
    <row r="28" spans="1:7" x14ac:dyDescent="0.2">
      <c r="A28" t="s">
        <v>96</v>
      </c>
      <c r="B28">
        <v>36</v>
      </c>
      <c r="C28">
        <v>54</v>
      </c>
      <c r="D28">
        <v>63</v>
      </c>
      <c r="E28">
        <v>86</v>
      </c>
      <c r="F28">
        <v>87</v>
      </c>
      <c r="G28">
        <v>102</v>
      </c>
    </row>
    <row r="29" spans="1:7" x14ac:dyDescent="0.2">
      <c r="A29" t="s">
        <v>97</v>
      </c>
      <c r="B29">
        <v>28</v>
      </c>
      <c r="C29">
        <v>45</v>
      </c>
      <c r="D29">
        <v>58</v>
      </c>
      <c r="E29">
        <v>98</v>
      </c>
      <c r="F29">
        <v>101</v>
      </c>
      <c r="G29">
        <v>102</v>
      </c>
    </row>
    <row r="30" spans="1:7" x14ac:dyDescent="0.2">
      <c r="A30" t="s">
        <v>98</v>
      </c>
      <c r="B30">
        <v>43</v>
      </c>
      <c r="C30">
        <v>49</v>
      </c>
      <c r="D30">
        <v>60</v>
      </c>
      <c r="E30">
        <v>92</v>
      </c>
      <c r="F30">
        <v>97</v>
      </c>
      <c r="G30">
        <v>102</v>
      </c>
    </row>
    <row r="31" spans="1:7" x14ac:dyDescent="0.2">
      <c r="A31" t="s">
        <v>99</v>
      </c>
      <c r="B31">
        <v>34</v>
      </c>
      <c r="C31">
        <v>48</v>
      </c>
      <c r="D31">
        <v>59</v>
      </c>
      <c r="E31">
        <v>84</v>
      </c>
      <c r="F31">
        <v>92</v>
      </c>
      <c r="G31">
        <v>102</v>
      </c>
    </row>
    <row r="32" spans="1:7" x14ac:dyDescent="0.2">
      <c r="A32" t="s">
        <v>100</v>
      </c>
      <c r="B32">
        <v>36</v>
      </c>
      <c r="C32">
        <v>52</v>
      </c>
      <c r="D32">
        <v>58</v>
      </c>
      <c r="E32">
        <v>92</v>
      </c>
      <c r="F32">
        <v>101</v>
      </c>
      <c r="G32">
        <v>102</v>
      </c>
    </row>
    <row r="33" spans="1:7" x14ac:dyDescent="0.2">
      <c r="A33" t="s">
        <v>101</v>
      </c>
      <c r="B33">
        <v>41</v>
      </c>
      <c r="C33">
        <v>57</v>
      </c>
      <c r="D33">
        <v>68</v>
      </c>
      <c r="E33">
        <v>98</v>
      </c>
      <c r="F33">
        <v>108</v>
      </c>
      <c r="G33">
        <v>102</v>
      </c>
    </row>
    <row r="34" spans="1:7" x14ac:dyDescent="0.2">
      <c r="A34" t="s">
        <v>102</v>
      </c>
      <c r="B34">
        <v>39</v>
      </c>
      <c r="C34">
        <v>56</v>
      </c>
      <c r="D34">
        <v>63</v>
      </c>
      <c r="E34">
        <v>88</v>
      </c>
      <c r="F34">
        <v>98</v>
      </c>
      <c r="G34">
        <v>102</v>
      </c>
    </row>
    <row r="35" spans="1:7" x14ac:dyDescent="0.2">
      <c r="A35" t="s">
        <v>103</v>
      </c>
      <c r="B35">
        <v>41</v>
      </c>
      <c r="C35">
        <v>56</v>
      </c>
      <c r="D35">
        <v>71</v>
      </c>
      <c r="E35">
        <v>101</v>
      </c>
      <c r="F35">
        <v>104</v>
      </c>
      <c r="G35">
        <v>102</v>
      </c>
    </row>
    <row r="36" spans="1:7" x14ac:dyDescent="0.2">
      <c r="A36" t="s">
        <v>104</v>
      </c>
      <c r="B36">
        <v>30</v>
      </c>
      <c r="C36">
        <v>50</v>
      </c>
      <c r="D36">
        <v>62</v>
      </c>
      <c r="E36">
        <v>101</v>
      </c>
      <c r="F36">
        <v>102</v>
      </c>
      <c r="G36">
        <v>102</v>
      </c>
    </row>
    <row r="37" spans="1:7" x14ac:dyDescent="0.2">
      <c r="A37" t="s">
        <v>105</v>
      </c>
      <c r="B37">
        <v>37</v>
      </c>
      <c r="C37">
        <v>55</v>
      </c>
      <c r="D37">
        <v>66</v>
      </c>
      <c r="E37">
        <v>94</v>
      </c>
      <c r="F37">
        <v>100</v>
      </c>
      <c r="G37">
        <v>102</v>
      </c>
    </row>
    <row r="38" spans="1:7" x14ac:dyDescent="0.2">
      <c r="A38" t="s">
        <v>106</v>
      </c>
      <c r="B38">
        <v>28</v>
      </c>
      <c r="C38">
        <v>46</v>
      </c>
      <c r="D38">
        <v>54</v>
      </c>
      <c r="E38">
        <v>79</v>
      </c>
      <c r="F38">
        <v>88</v>
      </c>
      <c r="G38">
        <v>102</v>
      </c>
    </row>
    <row r="39" spans="1:7" x14ac:dyDescent="0.2">
      <c r="A39" t="s">
        <v>107</v>
      </c>
      <c r="B39">
        <v>32</v>
      </c>
      <c r="C39">
        <v>53</v>
      </c>
      <c r="D39">
        <v>53</v>
      </c>
      <c r="E39">
        <v>71</v>
      </c>
      <c r="F39">
        <v>87</v>
      </c>
      <c r="G39">
        <v>102</v>
      </c>
    </row>
    <row r="40" spans="1:7" x14ac:dyDescent="0.2">
      <c r="A40" t="s">
        <v>108</v>
      </c>
      <c r="B40">
        <v>36</v>
      </c>
      <c r="C40">
        <v>48</v>
      </c>
      <c r="D40">
        <v>58</v>
      </c>
      <c r="E40">
        <v>72</v>
      </c>
      <c r="F40">
        <v>89</v>
      </c>
      <c r="G40">
        <v>102</v>
      </c>
    </row>
    <row r="41" spans="1:7" x14ac:dyDescent="0.2">
      <c r="A41" t="s">
        <v>109</v>
      </c>
      <c r="B41">
        <v>31</v>
      </c>
      <c r="C41">
        <v>53</v>
      </c>
      <c r="D41">
        <v>58</v>
      </c>
      <c r="E41">
        <v>100</v>
      </c>
      <c r="F41">
        <v>107</v>
      </c>
      <c r="G41">
        <v>102</v>
      </c>
    </row>
    <row r="42" spans="1:7" x14ac:dyDescent="0.2">
      <c r="A42" t="s">
        <v>110</v>
      </c>
      <c r="B42">
        <v>31</v>
      </c>
      <c r="C42">
        <v>45</v>
      </c>
      <c r="D42">
        <v>56</v>
      </c>
      <c r="E42">
        <v>91</v>
      </c>
      <c r="F42">
        <v>99</v>
      </c>
      <c r="G42">
        <v>102</v>
      </c>
    </row>
    <row r="43" spans="1:7" x14ac:dyDescent="0.2">
      <c r="A43" t="s">
        <v>111</v>
      </c>
      <c r="B43">
        <v>34</v>
      </c>
      <c r="C43">
        <v>48</v>
      </c>
      <c r="D43">
        <v>61</v>
      </c>
      <c r="E43">
        <v>89</v>
      </c>
      <c r="F43">
        <v>97</v>
      </c>
      <c r="G43">
        <v>102</v>
      </c>
    </row>
    <row r="44" spans="1:7" x14ac:dyDescent="0.2">
      <c r="A44" t="s">
        <v>112</v>
      </c>
      <c r="B44">
        <v>32</v>
      </c>
      <c r="C44">
        <v>44</v>
      </c>
      <c r="D44">
        <v>60</v>
      </c>
      <c r="E44">
        <v>81</v>
      </c>
      <c r="F44">
        <v>94</v>
      </c>
      <c r="G44">
        <v>102</v>
      </c>
    </row>
    <row r="45" spans="1:7" x14ac:dyDescent="0.2">
      <c r="A45" t="s">
        <v>113</v>
      </c>
      <c r="B45">
        <v>34</v>
      </c>
      <c r="C45">
        <v>50</v>
      </c>
      <c r="D45">
        <v>53</v>
      </c>
      <c r="E45">
        <v>89</v>
      </c>
      <c r="F45">
        <v>93</v>
      </c>
      <c r="G45">
        <v>102</v>
      </c>
    </row>
    <row r="46" spans="1:7" x14ac:dyDescent="0.2">
      <c r="A46" t="s">
        <v>114</v>
      </c>
      <c r="B46">
        <v>35</v>
      </c>
      <c r="C46">
        <v>45</v>
      </c>
      <c r="D46">
        <v>54</v>
      </c>
      <c r="E46">
        <v>83</v>
      </c>
      <c r="F46">
        <v>99</v>
      </c>
      <c r="G46">
        <v>102</v>
      </c>
    </row>
    <row r="47" spans="1:7" x14ac:dyDescent="0.2">
      <c r="A47" t="s">
        <v>115</v>
      </c>
      <c r="B47">
        <v>39</v>
      </c>
      <c r="C47">
        <v>48</v>
      </c>
      <c r="D47">
        <v>59</v>
      </c>
      <c r="E47">
        <v>76</v>
      </c>
      <c r="F47">
        <v>88</v>
      </c>
      <c r="G47">
        <v>102</v>
      </c>
    </row>
    <row r="48" spans="1:7" x14ac:dyDescent="0.2">
      <c r="A48" t="s">
        <v>116</v>
      </c>
      <c r="B48">
        <v>38</v>
      </c>
      <c r="C48">
        <v>51</v>
      </c>
      <c r="D48">
        <v>66</v>
      </c>
      <c r="E48">
        <v>92</v>
      </c>
      <c r="F48">
        <v>101</v>
      </c>
      <c r="G48">
        <v>102</v>
      </c>
    </row>
    <row r="49" spans="1:7" x14ac:dyDescent="0.2">
      <c r="A49" t="s">
        <v>117</v>
      </c>
      <c r="B49">
        <v>36</v>
      </c>
      <c r="C49">
        <v>43</v>
      </c>
      <c r="D49">
        <v>54</v>
      </c>
      <c r="E49">
        <v>78</v>
      </c>
      <c r="F49">
        <v>79</v>
      </c>
      <c r="G49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6688-7A59-4EC9-B92F-BF71EE17E1FF}">
  <dimension ref="A1:B13"/>
  <sheetViews>
    <sheetView workbookViewId="0">
      <selection activeCell="E51" sqref="E51"/>
    </sheetView>
  </sheetViews>
  <sheetFormatPr defaultRowHeight="12.75" x14ac:dyDescent="0.2"/>
  <sheetData>
    <row r="1" spans="1:2" x14ac:dyDescent="0.2">
      <c r="A1" s="11" t="s">
        <v>118</v>
      </c>
      <c r="B1" s="11" t="s">
        <v>129</v>
      </c>
    </row>
    <row r="2" spans="1:2" x14ac:dyDescent="0.2">
      <c r="A2" s="11" t="s">
        <v>79</v>
      </c>
      <c r="B2" s="55">
        <v>2.0499999999999998</v>
      </c>
    </row>
    <row r="3" spans="1:2" x14ac:dyDescent="0.2">
      <c r="A3" s="11" t="s">
        <v>80</v>
      </c>
      <c r="B3" s="55">
        <v>2.2799999999999998</v>
      </c>
    </row>
    <row r="4" spans="1:2" x14ac:dyDescent="0.2">
      <c r="A4" s="11" t="s">
        <v>81</v>
      </c>
      <c r="B4" s="55">
        <v>1.7</v>
      </c>
    </row>
    <row r="5" spans="1:2" x14ac:dyDescent="0.2">
      <c r="A5" s="11" t="s">
        <v>88</v>
      </c>
      <c r="B5" s="55">
        <v>1.87</v>
      </c>
    </row>
    <row r="6" spans="1:2" x14ac:dyDescent="0.2">
      <c r="A6" s="11" t="s">
        <v>89</v>
      </c>
      <c r="B6" s="55">
        <v>1.85</v>
      </c>
    </row>
    <row r="7" spans="1:2" x14ac:dyDescent="0.2">
      <c r="A7" s="11" t="s">
        <v>90</v>
      </c>
      <c r="B7" s="55">
        <v>2.14</v>
      </c>
    </row>
    <row r="8" spans="1:2" x14ac:dyDescent="0.2">
      <c r="A8" s="11" t="s">
        <v>103</v>
      </c>
      <c r="B8" s="55">
        <v>2.33</v>
      </c>
    </row>
    <row r="9" spans="1:2" x14ac:dyDescent="0.2">
      <c r="A9" s="11" t="s">
        <v>104</v>
      </c>
      <c r="B9" s="55">
        <v>1.82</v>
      </c>
    </row>
    <row r="10" spans="1:2" x14ac:dyDescent="0.2">
      <c r="A10" s="11" t="s">
        <v>105</v>
      </c>
      <c r="B10" s="55">
        <v>1.87</v>
      </c>
    </row>
    <row r="11" spans="1:2" x14ac:dyDescent="0.2">
      <c r="A11" s="11" t="s">
        <v>109</v>
      </c>
      <c r="B11" s="55">
        <v>1.98</v>
      </c>
    </row>
    <row r="12" spans="1:2" x14ac:dyDescent="0.2">
      <c r="A12" s="11" t="s">
        <v>110</v>
      </c>
      <c r="B12" s="55">
        <v>1.85</v>
      </c>
    </row>
    <row r="13" spans="1:2" x14ac:dyDescent="0.2">
      <c r="A13" s="11" t="s">
        <v>111</v>
      </c>
      <c r="B13" s="55">
        <v>1.88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07FB-467E-4E9B-ABDF-88FACD64AB22}">
  <dimension ref="A1:B49"/>
  <sheetViews>
    <sheetView workbookViewId="0">
      <selection sqref="A1:A1048576"/>
    </sheetView>
  </sheetViews>
  <sheetFormatPr defaultRowHeight="12.75" x14ac:dyDescent="0.2"/>
  <sheetData>
    <row r="1" spans="1:2" x14ac:dyDescent="0.2">
      <c r="A1" s="11" t="s">
        <v>118</v>
      </c>
      <c r="B1" s="11" t="s">
        <v>130</v>
      </c>
    </row>
    <row r="2" spans="1:2" x14ac:dyDescent="0.2">
      <c r="A2" s="11" t="s">
        <v>70</v>
      </c>
      <c r="B2">
        <v>18.7</v>
      </c>
    </row>
    <row r="3" spans="1:2" x14ac:dyDescent="0.2">
      <c r="A3" s="11" t="s">
        <v>71</v>
      </c>
      <c r="B3">
        <v>25.6</v>
      </c>
    </row>
    <row r="4" spans="1:2" x14ac:dyDescent="0.2">
      <c r="A4" s="11" t="s">
        <v>72</v>
      </c>
      <c r="B4">
        <v>16.7</v>
      </c>
    </row>
    <row r="5" spans="1:2" x14ac:dyDescent="0.2">
      <c r="A5" s="11" t="s">
        <v>73</v>
      </c>
      <c r="B5">
        <v>14.8</v>
      </c>
    </row>
    <row r="6" spans="1:2" x14ac:dyDescent="0.2">
      <c r="A6" s="11" t="s">
        <v>74</v>
      </c>
      <c r="B6">
        <v>22.6</v>
      </c>
    </row>
    <row r="7" spans="1:2" x14ac:dyDescent="0.2">
      <c r="A7" s="11" t="s">
        <v>75</v>
      </c>
      <c r="B7">
        <v>20.7</v>
      </c>
    </row>
    <row r="8" spans="1:2" x14ac:dyDescent="0.2">
      <c r="A8" s="11" t="s">
        <v>76</v>
      </c>
      <c r="B8">
        <v>23.6</v>
      </c>
    </row>
    <row r="9" spans="1:2" x14ac:dyDescent="0.2">
      <c r="A9" s="11" t="s">
        <v>77</v>
      </c>
      <c r="B9">
        <v>25.6</v>
      </c>
    </row>
    <row r="10" spans="1:2" x14ac:dyDescent="0.2">
      <c r="A10" s="11" t="s">
        <v>78</v>
      </c>
      <c r="B10">
        <v>21.7</v>
      </c>
    </row>
    <row r="11" spans="1:2" x14ac:dyDescent="0.2">
      <c r="A11" s="11" t="s">
        <v>79</v>
      </c>
    </row>
    <row r="12" spans="1:2" x14ac:dyDescent="0.2">
      <c r="A12" s="11" t="s">
        <v>80</v>
      </c>
    </row>
    <row r="13" spans="1:2" x14ac:dyDescent="0.2">
      <c r="A13" s="11" t="s">
        <v>81</v>
      </c>
    </row>
    <row r="14" spans="1:2" x14ac:dyDescent="0.2">
      <c r="A14" s="11" t="s">
        <v>82</v>
      </c>
      <c r="B14">
        <v>18.7</v>
      </c>
    </row>
    <row r="15" spans="1:2" x14ac:dyDescent="0.2">
      <c r="A15" s="11" t="s">
        <v>83</v>
      </c>
      <c r="B15">
        <v>25.6</v>
      </c>
    </row>
    <row r="16" spans="1:2" x14ac:dyDescent="0.2">
      <c r="A16" s="11" t="s">
        <v>84</v>
      </c>
      <c r="B16">
        <v>27.6</v>
      </c>
    </row>
    <row r="17" spans="1:2" x14ac:dyDescent="0.2">
      <c r="A17" s="11" t="s">
        <v>85</v>
      </c>
      <c r="B17">
        <v>20.7</v>
      </c>
    </row>
    <row r="18" spans="1:2" x14ac:dyDescent="0.2">
      <c r="A18" s="11" t="s">
        <v>86</v>
      </c>
      <c r="B18">
        <v>17.7</v>
      </c>
    </row>
    <row r="19" spans="1:2" x14ac:dyDescent="0.2">
      <c r="A19" s="11" t="s">
        <v>87</v>
      </c>
      <c r="B19">
        <v>20.7</v>
      </c>
    </row>
    <row r="20" spans="1:2" x14ac:dyDescent="0.2">
      <c r="A20" s="11" t="s">
        <v>88</v>
      </c>
      <c r="B20">
        <v>27.6</v>
      </c>
    </row>
    <row r="21" spans="1:2" x14ac:dyDescent="0.2">
      <c r="A21" s="11" t="s">
        <v>89</v>
      </c>
      <c r="B21">
        <v>22.6</v>
      </c>
    </row>
    <row r="22" spans="1:2" x14ac:dyDescent="0.2">
      <c r="A22" s="11" t="s">
        <v>90</v>
      </c>
      <c r="B22">
        <v>19.7</v>
      </c>
    </row>
    <row r="23" spans="1:2" x14ac:dyDescent="0.2">
      <c r="A23" s="11" t="s">
        <v>91</v>
      </c>
      <c r="B23">
        <v>16.7</v>
      </c>
    </row>
    <row r="24" spans="1:2" x14ac:dyDescent="0.2">
      <c r="A24" s="11" t="s">
        <v>92</v>
      </c>
      <c r="B24">
        <v>20.7</v>
      </c>
    </row>
    <row r="25" spans="1:2" x14ac:dyDescent="0.2">
      <c r="A25" s="11" t="s">
        <v>93</v>
      </c>
      <c r="B25">
        <v>23.6</v>
      </c>
    </row>
    <row r="26" spans="1:2" x14ac:dyDescent="0.2">
      <c r="A26" s="11" t="s">
        <v>94</v>
      </c>
      <c r="B26">
        <v>26.6</v>
      </c>
    </row>
    <row r="27" spans="1:2" x14ac:dyDescent="0.2">
      <c r="A27" s="11" t="s">
        <v>95</v>
      </c>
      <c r="B27">
        <v>16.7</v>
      </c>
    </row>
    <row r="28" spans="1:2" x14ac:dyDescent="0.2">
      <c r="A28" s="11" t="s">
        <v>96</v>
      </c>
      <c r="B28">
        <v>28.5</v>
      </c>
    </row>
    <row r="29" spans="1:2" x14ac:dyDescent="0.2">
      <c r="A29" s="11" t="s">
        <v>97</v>
      </c>
      <c r="B29">
        <v>21.7</v>
      </c>
    </row>
    <row r="30" spans="1:2" x14ac:dyDescent="0.2">
      <c r="A30" s="11" t="s">
        <v>98</v>
      </c>
      <c r="B30">
        <v>19.7</v>
      </c>
    </row>
    <row r="31" spans="1:2" x14ac:dyDescent="0.2">
      <c r="A31" s="11" t="s">
        <v>99</v>
      </c>
      <c r="B31">
        <v>24.6</v>
      </c>
    </row>
    <row r="32" spans="1:2" x14ac:dyDescent="0.2">
      <c r="A32" s="11" t="s">
        <v>100</v>
      </c>
      <c r="B32">
        <v>28.5</v>
      </c>
    </row>
    <row r="33" spans="1:2" x14ac:dyDescent="0.2">
      <c r="A33" s="11" t="s">
        <v>101</v>
      </c>
      <c r="B33">
        <v>21.7</v>
      </c>
    </row>
    <row r="34" spans="1:2" x14ac:dyDescent="0.2">
      <c r="A34" s="11" t="s">
        <v>102</v>
      </c>
      <c r="B34">
        <v>23.6</v>
      </c>
    </row>
    <row r="35" spans="1:2" x14ac:dyDescent="0.2">
      <c r="A35" s="11" t="s">
        <v>103</v>
      </c>
      <c r="B35">
        <v>26.6</v>
      </c>
    </row>
    <row r="36" spans="1:2" x14ac:dyDescent="0.2">
      <c r="A36" s="11" t="s">
        <v>104</v>
      </c>
      <c r="B36">
        <v>25.6</v>
      </c>
    </row>
    <row r="37" spans="1:2" x14ac:dyDescent="0.2">
      <c r="A37" s="11" t="s">
        <v>105</v>
      </c>
      <c r="B37">
        <v>24.6</v>
      </c>
    </row>
    <row r="38" spans="1:2" x14ac:dyDescent="0.2">
      <c r="A38" s="11" t="s">
        <v>106</v>
      </c>
      <c r="B38">
        <v>25.6</v>
      </c>
    </row>
    <row r="39" spans="1:2" x14ac:dyDescent="0.2">
      <c r="A39" s="11" t="s">
        <v>107</v>
      </c>
      <c r="B39">
        <v>31.5</v>
      </c>
    </row>
    <row r="40" spans="1:2" x14ac:dyDescent="0.2">
      <c r="A40" s="11" t="s">
        <v>108</v>
      </c>
      <c r="B40">
        <v>16.7</v>
      </c>
    </row>
    <row r="41" spans="1:2" x14ac:dyDescent="0.2">
      <c r="A41" s="11" t="s">
        <v>109</v>
      </c>
      <c r="B41">
        <v>15.7</v>
      </c>
    </row>
    <row r="42" spans="1:2" x14ac:dyDescent="0.2">
      <c r="A42" s="11" t="s">
        <v>110</v>
      </c>
      <c r="B42">
        <v>10.8</v>
      </c>
    </row>
    <row r="43" spans="1:2" x14ac:dyDescent="0.2">
      <c r="A43" s="11" t="s">
        <v>111</v>
      </c>
      <c r="B43">
        <v>17.7</v>
      </c>
    </row>
    <row r="44" spans="1:2" x14ac:dyDescent="0.2">
      <c r="A44" s="11" t="s">
        <v>112</v>
      </c>
      <c r="B44">
        <v>23.6</v>
      </c>
    </row>
    <row r="45" spans="1:2" x14ac:dyDescent="0.2">
      <c r="A45" s="11" t="s">
        <v>113</v>
      </c>
      <c r="B45">
        <v>17.7</v>
      </c>
    </row>
    <row r="46" spans="1:2" x14ac:dyDescent="0.2">
      <c r="A46" s="11" t="s">
        <v>114</v>
      </c>
      <c r="B46">
        <v>17.7</v>
      </c>
    </row>
    <row r="47" spans="1:2" x14ac:dyDescent="0.2">
      <c r="A47" s="11" t="s">
        <v>115</v>
      </c>
      <c r="B47">
        <v>16.7</v>
      </c>
    </row>
    <row r="48" spans="1:2" x14ac:dyDescent="0.2">
      <c r="A48" s="11" t="s">
        <v>116</v>
      </c>
      <c r="B48">
        <v>18.7</v>
      </c>
    </row>
    <row r="49" spans="1:2" x14ac:dyDescent="0.2">
      <c r="A49" s="11" t="s">
        <v>117</v>
      </c>
      <c r="B49">
        <v>20.7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65FE3-5352-4B96-B8C3-10F4118E511F}">
  <dimension ref="A1:D49"/>
  <sheetViews>
    <sheetView tabSelected="1" workbookViewId="0"/>
  </sheetViews>
  <sheetFormatPr defaultRowHeight="12.75" x14ac:dyDescent="0.2"/>
  <cols>
    <col min="2" max="4" width="9.5703125" bestFit="1" customWidth="1"/>
  </cols>
  <sheetData>
    <row r="1" spans="1:4" x14ac:dyDescent="0.2">
      <c r="A1" s="11" t="s">
        <v>118</v>
      </c>
      <c r="B1" s="11" t="s">
        <v>134</v>
      </c>
      <c r="C1" s="11" t="s">
        <v>136</v>
      </c>
      <c r="D1" s="11" t="s">
        <v>137</v>
      </c>
    </row>
    <row r="2" spans="1:4" x14ac:dyDescent="0.2">
      <c r="A2" s="11" t="s">
        <v>70</v>
      </c>
      <c r="B2">
        <v>4</v>
      </c>
      <c r="D2">
        <v>3</v>
      </c>
    </row>
    <row r="3" spans="1:4" x14ac:dyDescent="0.2">
      <c r="A3" s="11" t="s">
        <v>71</v>
      </c>
      <c r="B3">
        <v>4</v>
      </c>
      <c r="D3">
        <v>3</v>
      </c>
    </row>
    <row r="4" spans="1:4" x14ac:dyDescent="0.2">
      <c r="A4" s="11" t="s">
        <v>72</v>
      </c>
      <c r="B4">
        <v>5</v>
      </c>
      <c r="D4">
        <v>3</v>
      </c>
    </row>
    <row r="5" spans="1:4" x14ac:dyDescent="0.2">
      <c r="A5" s="11" t="s">
        <v>73</v>
      </c>
      <c r="B5">
        <v>4</v>
      </c>
      <c r="D5">
        <v>3</v>
      </c>
    </row>
    <row r="6" spans="1:4" x14ac:dyDescent="0.2">
      <c r="A6" s="11" t="s">
        <v>74</v>
      </c>
      <c r="B6">
        <v>4</v>
      </c>
      <c r="D6">
        <v>5</v>
      </c>
    </row>
    <row r="7" spans="1:4" x14ac:dyDescent="0.2">
      <c r="A7" s="11" t="s">
        <v>75</v>
      </c>
      <c r="B7">
        <v>3</v>
      </c>
      <c r="D7">
        <v>3</v>
      </c>
    </row>
    <row r="8" spans="1:4" x14ac:dyDescent="0.2">
      <c r="A8" s="11" t="s">
        <v>76</v>
      </c>
      <c r="B8">
        <v>4</v>
      </c>
      <c r="C8">
        <v>5</v>
      </c>
    </row>
    <row r="9" spans="1:4" x14ac:dyDescent="0.2">
      <c r="A9" s="11" t="s">
        <v>77</v>
      </c>
      <c r="B9">
        <v>5</v>
      </c>
      <c r="C9">
        <v>5</v>
      </c>
    </row>
    <row r="10" spans="1:4" x14ac:dyDescent="0.2">
      <c r="A10" s="11" t="s">
        <v>78</v>
      </c>
      <c r="B10">
        <v>5</v>
      </c>
      <c r="C10">
        <v>4</v>
      </c>
    </row>
    <row r="11" spans="1:4" x14ac:dyDescent="0.2">
      <c r="A11" s="11" t="s">
        <v>79</v>
      </c>
      <c r="B11">
        <v>4</v>
      </c>
      <c r="D11">
        <v>3</v>
      </c>
    </row>
    <row r="12" spans="1:4" x14ac:dyDescent="0.2">
      <c r="A12" s="11" t="s">
        <v>80</v>
      </c>
      <c r="B12">
        <v>4</v>
      </c>
      <c r="D12">
        <v>3</v>
      </c>
    </row>
    <row r="13" spans="1:4" x14ac:dyDescent="0.2">
      <c r="A13" s="11" t="s">
        <v>81</v>
      </c>
      <c r="B13">
        <v>4</v>
      </c>
      <c r="D13">
        <v>4</v>
      </c>
    </row>
    <row r="14" spans="1:4" x14ac:dyDescent="0.2">
      <c r="A14" s="11" t="s">
        <v>82</v>
      </c>
      <c r="B14">
        <v>3</v>
      </c>
      <c r="D14">
        <v>4</v>
      </c>
    </row>
    <row r="15" spans="1:4" x14ac:dyDescent="0.2">
      <c r="A15" s="11" t="s">
        <v>83</v>
      </c>
      <c r="B15">
        <v>5</v>
      </c>
      <c r="D15">
        <v>5</v>
      </c>
    </row>
    <row r="16" spans="1:4" x14ac:dyDescent="0.2">
      <c r="A16" s="11" t="s">
        <v>84</v>
      </c>
      <c r="B16">
        <v>5</v>
      </c>
      <c r="D16">
        <v>4</v>
      </c>
    </row>
    <row r="17" spans="1:4" x14ac:dyDescent="0.2">
      <c r="A17" s="11" t="s">
        <v>85</v>
      </c>
      <c r="B17">
        <v>5</v>
      </c>
      <c r="C17">
        <v>5</v>
      </c>
    </row>
    <row r="18" spans="1:4" x14ac:dyDescent="0.2">
      <c r="A18" s="11" t="s">
        <v>86</v>
      </c>
      <c r="B18">
        <v>5</v>
      </c>
      <c r="C18">
        <v>5</v>
      </c>
    </row>
    <row r="19" spans="1:4" x14ac:dyDescent="0.2">
      <c r="A19" s="11" t="s">
        <v>87</v>
      </c>
      <c r="B19">
        <v>5</v>
      </c>
      <c r="C19">
        <v>5</v>
      </c>
    </row>
    <row r="20" spans="1:4" x14ac:dyDescent="0.2">
      <c r="A20" s="11" t="s">
        <v>88</v>
      </c>
      <c r="B20">
        <v>4</v>
      </c>
      <c r="D20">
        <v>3</v>
      </c>
    </row>
    <row r="21" spans="1:4" x14ac:dyDescent="0.2">
      <c r="A21" s="11" t="s">
        <v>89</v>
      </c>
      <c r="B21">
        <v>4</v>
      </c>
      <c r="D21">
        <v>3</v>
      </c>
    </row>
    <row r="22" spans="1:4" x14ac:dyDescent="0.2">
      <c r="A22" s="11" t="s">
        <v>90</v>
      </c>
      <c r="B22">
        <v>5</v>
      </c>
      <c r="D22">
        <v>3</v>
      </c>
    </row>
    <row r="23" spans="1:4" x14ac:dyDescent="0.2">
      <c r="A23" s="11" t="s">
        <v>91</v>
      </c>
      <c r="B23">
        <v>3</v>
      </c>
      <c r="D23">
        <v>3</v>
      </c>
    </row>
    <row r="24" spans="1:4" x14ac:dyDescent="0.2">
      <c r="A24" s="11" t="s">
        <v>92</v>
      </c>
      <c r="B24">
        <v>4</v>
      </c>
      <c r="D24">
        <v>4</v>
      </c>
    </row>
    <row r="25" spans="1:4" x14ac:dyDescent="0.2">
      <c r="A25" s="11" t="s">
        <v>93</v>
      </c>
      <c r="B25">
        <v>3</v>
      </c>
      <c r="D25">
        <v>3</v>
      </c>
    </row>
    <row r="26" spans="1:4" x14ac:dyDescent="0.2">
      <c r="A26" s="11" t="s">
        <v>94</v>
      </c>
      <c r="B26">
        <v>5</v>
      </c>
      <c r="C26">
        <v>5</v>
      </c>
    </row>
    <row r="27" spans="1:4" x14ac:dyDescent="0.2">
      <c r="A27" s="11" t="s">
        <v>95</v>
      </c>
      <c r="B27">
        <v>4</v>
      </c>
      <c r="C27">
        <v>5</v>
      </c>
    </row>
    <row r="28" spans="1:4" x14ac:dyDescent="0.2">
      <c r="A28" s="11" t="s">
        <v>96</v>
      </c>
      <c r="B28">
        <v>4</v>
      </c>
      <c r="C28">
        <v>5</v>
      </c>
    </row>
    <row r="29" spans="1:4" x14ac:dyDescent="0.2">
      <c r="A29" s="11" t="s">
        <v>97</v>
      </c>
      <c r="B29">
        <v>4</v>
      </c>
      <c r="D29">
        <v>5</v>
      </c>
    </row>
    <row r="30" spans="1:4" x14ac:dyDescent="0.2">
      <c r="A30" s="11" t="s">
        <v>98</v>
      </c>
      <c r="B30">
        <v>3</v>
      </c>
      <c r="D30">
        <v>4</v>
      </c>
    </row>
    <row r="31" spans="1:4" x14ac:dyDescent="0.2">
      <c r="A31" s="11" t="s">
        <v>99</v>
      </c>
      <c r="B31">
        <v>4</v>
      </c>
      <c r="D31">
        <v>4</v>
      </c>
    </row>
    <row r="32" spans="1:4" x14ac:dyDescent="0.2">
      <c r="A32" s="11" t="s">
        <v>100</v>
      </c>
      <c r="B32">
        <v>5</v>
      </c>
      <c r="D32">
        <v>4</v>
      </c>
    </row>
    <row r="33" spans="1:4" x14ac:dyDescent="0.2">
      <c r="A33" s="11" t="s">
        <v>101</v>
      </c>
      <c r="B33">
        <v>4</v>
      </c>
      <c r="D33">
        <v>3</v>
      </c>
    </row>
    <row r="34" spans="1:4" x14ac:dyDescent="0.2">
      <c r="A34" s="11" t="s">
        <v>102</v>
      </c>
      <c r="B34">
        <v>5</v>
      </c>
      <c r="D34">
        <v>3</v>
      </c>
    </row>
    <row r="35" spans="1:4" x14ac:dyDescent="0.2">
      <c r="A35" s="11" t="s">
        <v>103</v>
      </c>
      <c r="B35">
        <v>3</v>
      </c>
      <c r="D35">
        <v>4</v>
      </c>
    </row>
    <row r="36" spans="1:4" x14ac:dyDescent="0.2">
      <c r="A36" s="11" t="s">
        <v>104</v>
      </c>
      <c r="B36">
        <v>4</v>
      </c>
      <c r="D36">
        <v>3</v>
      </c>
    </row>
    <row r="37" spans="1:4" x14ac:dyDescent="0.2">
      <c r="A37" s="11" t="s">
        <v>105</v>
      </c>
      <c r="B37">
        <v>3</v>
      </c>
      <c r="D37">
        <v>3</v>
      </c>
    </row>
    <row r="38" spans="1:4" x14ac:dyDescent="0.2">
      <c r="A38" s="11" t="s">
        <v>106</v>
      </c>
      <c r="B38">
        <v>3</v>
      </c>
      <c r="C38">
        <v>2</v>
      </c>
    </row>
    <row r="39" spans="1:4" x14ac:dyDescent="0.2">
      <c r="A39" s="11" t="s">
        <v>107</v>
      </c>
      <c r="B39">
        <v>4</v>
      </c>
      <c r="C39">
        <v>4</v>
      </c>
    </row>
    <row r="40" spans="1:4" x14ac:dyDescent="0.2">
      <c r="A40" s="11" t="s">
        <v>108</v>
      </c>
      <c r="B40">
        <v>4</v>
      </c>
      <c r="C40">
        <v>4</v>
      </c>
    </row>
    <row r="41" spans="1:4" x14ac:dyDescent="0.2">
      <c r="A41" s="11" t="s">
        <v>109</v>
      </c>
      <c r="B41">
        <v>3</v>
      </c>
      <c r="D41">
        <v>2</v>
      </c>
    </row>
    <row r="42" spans="1:4" x14ac:dyDescent="0.2">
      <c r="A42" s="11" t="s">
        <v>110</v>
      </c>
      <c r="B42">
        <v>3</v>
      </c>
      <c r="D42">
        <v>3</v>
      </c>
    </row>
    <row r="43" spans="1:4" x14ac:dyDescent="0.2">
      <c r="A43" s="11" t="s">
        <v>111</v>
      </c>
      <c r="B43">
        <v>4</v>
      </c>
      <c r="D43">
        <v>3</v>
      </c>
    </row>
    <row r="44" spans="1:4" x14ac:dyDescent="0.2">
      <c r="A44" s="11" t="s">
        <v>112</v>
      </c>
      <c r="B44">
        <v>3</v>
      </c>
      <c r="D44">
        <v>3</v>
      </c>
    </row>
    <row r="45" spans="1:4" x14ac:dyDescent="0.2">
      <c r="A45" s="11" t="s">
        <v>113</v>
      </c>
      <c r="B45">
        <v>3</v>
      </c>
      <c r="D45">
        <v>4</v>
      </c>
    </row>
    <row r="46" spans="1:4" x14ac:dyDescent="0.2">
      <c r="A46" s="11" t="s">
        <v>114</v>
      </c>
      <c r="B46">
        <v>5</v>
      </c>
      <c r="D46">
        <v>3</v>
      </c>
    </row>
    <row r="47" spans="1:4" x14ac:dyDescent="0.2">
      <c r="A47" s="11" t="s">
        <v>115</v>
      </c>
      <c r="B47">
        <v>3</v>
      </c>
      <c r="D47">
        <v>2</v>
      </c>
    </row>
    <row r="48" spans="1:4" x14ac:dyDescent="0.2">
      <c r="A48" s="11" t="s">
        <v>116</v>
      </c>
      <c r="B48">
        <v>3</v>
      </c>
      <c r="D48">
        <v>2</v>
      </c>
    </row>
    <row r="49" spans="1:4" x14ac:dyDescent="0.2">
      <c r="A49" s="11" t="s">
        <v>117</v>
      </c>
      <c r="B49">
        <v>3</v>
      </c>
      <c r="D49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F3D9-E54E-403F-9052-56E9E69E2777}">
  <dimension ref="A1:I17"/>
  <sheetViews>
    <sheetView workbookViewId="0"/>
  </sheetViews>
  <sheetFormatPr defaultRowHeight="12.75" x14ac:dyDescent="0.2"/>
  <cols>
    <col min="2" max="2" width="10.140625" bestFit="1" customWidth="1"/>
    <col min="5" max="5" width="10.140625" bestFit="1" customWidth="1"/>
  </cols>
  <sheetData>
    <row r="1" spans="1:9" x14ac:dyDescent="0.2">
      <c r="A1" s="11" t="s">
        <v>3</v>
      </c>
      <c r="B1" s="11" t="s">
        <v>149</v>
      </c>
      <c r="C1" s="11" t="s">
        <v>150</v>
      </c>
      <c r="D1" s="11" t="s">
        <v>151</v>
      </c>
      <c r="E1" s="11" t="s">
        <v>119</v>
      </c>
      <c r="F1" s="11" t="s">
        <v>120</v>
      </c>
      <c r="G1" s="11" t="s">
        <v>134</v>
      </c>
      <c r="H1" s="11" t="s">
        <v>136</v>
      </c>
      <c r="I1" s="11" t="s">
        <v>137</v>
      </c>
    </row>
    <row r="2" spans="1:9" x14ac:dyDescent="0.2">
      <c r="A2" s="11" t="s">
        <v>152</v>
      </c>
      <c r="B2" s="96">
        <v>39931</v>
      </c>
      <c r="C2">
        <v>2009</v>
      </c>
      <c r="D2">
        <v>118</v>
      </c>
      <c r="E2" s="96">
        <v>39994</v>
      </c>
      <c r="F2">
        <v>181</v>
      </c>
      <c r="G2" s="170">
        <v>4.333333333333333</v>
      </c>
      <c r="H2" s="170"/>
      <c r="I2" s="170">
        <v>3</v>
      </c>
    </row>
    <row r="3" spans="1:9" x14ac:dyDescent="0.2">
      <c r="A3" s="11" t="s">
        <v>153</v>
      </c>
      <c r="B3" s="96">
        <v>39931</v>
      </c>
      <c r="C3">
        <v>2009</v>
      </c>
      <c r="D3">
        <v>118</v>
      </c>
      <c r="E3" s="96">
        <v>39994</v>
      </c>
      <c r="F3">
        <v>181</v>
      </c>
      <c r="G3" s="170">
        <v>3.6666666666666665</v>
      </c>
      <c r="H3" s="170"/>
      <c r="I3" s="170">
        <v>3.6666666666666665</v>
      </c>
    </row>
    <row r="4" spans="1:9" x14ac:dyDescent="0.2">
      <c r="A4" s="11" t="s">
        <v>154</v>
      </c>
      <c r="B4" s="96">
        <v>39931</v>
      </c>
      <c r="C4">
        <v>2009</v>
      </c>
      <c r="D4">
        <v>118</v>
      </c>
      <c r="E4" s="96">
        <v>39994</v>
      </c>
      <c r="F4">
        <v>181</v>
      </c>
      <c r="G4" s="170">
        <v>4.666666666666667</v>
      </c>
      <c r="H4" s="170">
        <v>4.666666666666667</v>
      </c>
      <c r="I4" s="170"/>
    </row>
    <row r="5" spans="1:9" x14ac:dyDescent="0.2">
      <c r="A5" s="11" t="s">
        <v>155</v>
      </c>
      <c r="B5" s="96">
        <v>39931</v>
      </c>
      <c r="C5">
        <v>2009</v>
      </c>
      <c r="D5">
        <v>118</v>
      </c>
      <c r="E5" s="96">
        <v>39994</v>
      </c>
      <c r="F5">
        <v>181</v>
      </c>
      <c r="G5" s="170">
        <v>4</v>
      </c>
      <c r="H5" s="170"/>
      <c r="I5" s="170">
        <v>3.3333333333333335</v>
      </c>
    </row>
    <row r="6" spans="1:9" x14ac:dyDescent="0.2">
      <c r="A6" s="11" t="s">
        <v>156</v>
      </c>
      <c r="B6" s="96">
        <v>39931</v>
      </c>
      <c r="C6">
        <v>2009</v>
      </c>
      <c r="D6">
        <v>118</v>
      </c>
      <c r="E6" s="96">
        <v>39994</v>
      </c>
      <c r="F6">
        <v>181</v>
      </c>
      <c r="G6" s="170">
        <v>4.333333333333333</v>
      </c>
      <c r="H6" s="170"/>
      <c r="I6" s="170">
        <v>4.333333333333333</v>
      </c>
    </row>
    <row r="7" spans="1:9" x14ac:dyDescent="0.2">
      <c r="A7" s="11" t="s">
        <v>157</v>
      </c>
      <c r="B7" s="96">
        <v>39931</v>
      </c>
      <c r="C7">
        <v>2009</v>
      </c>
      <c r="D7">
        <v>118</v>
      </c>
      <c r="E7" s="96">
        <v>39994</v>
      </c>
      <c r="F7">
        <v>181</v>
      </c>
      <c r="G7" s="170">
        <v>5</v>
      </c>
      <c r="H7" s="170">
        <v>5</v>
      </c>
      <c r="I7" s="170"/>
    </row>
    <row r="8" spans="1:9" x14ac:dyDescent="0.2">
      <c r="A8" s="11" t="s">
        <v>158</v>
      </c>
      <c r="B8" s="96">
        <v>39931</v>
      </c>
      <c r="C8">
        <v>2009</v>
      </c>
      <c r="D8">
        <v>118</v>
      </c>
      <c r="E8" s="96">
        <v>39994</v>
      </c>
      <c r="F8">
        <v>181</v>
      </c>
      <c r="G8" s="170">
        <v>4.333333333333333</v>
      </c>
      <c r="H8" s="170"/>
      <c r="I8" s="170">
        <v>3</v>
      </c>
    </row>
    <row r="9" spans="1:9" x14ac:dyDescent="0.2">
      <c r="A9" s="11" t="s">
        <v>159</v>
      </c>
      <c r="B9" s="96">
        <v>39931</v>
      </c>
      <c r="C9">
        <v>2009</v>
      </c>
      <c r="D9">
        <v>118</v>
      </c>
      <c r="E9" s="96">
        <v>39994</v>
      </c>
      <c r="F9">
        <v>181</v>
      </c>
      <c r="G9" s="170">
        <v>3.3333333333333335</v>
      </c>
      <c r="H9" s="170"/>
      <c r="I9" s="170">
        <v>3.3333333333333335</v>
      </c>
    </row>
    <row r="10" spans="1:9" x14ac:dyDescent="0.2">
      <c r="A10" s="11" t="s">
        <v>160</v>
      </c>
      <c r="B10" s="96">
        <v>39931</v>
      </c>
      <c r="C10">
        <v>2009</v>
      </c>
      <c r="D10">
        <v>118</v>
      </c>
      <c r="E10" s="96">
        <v>39994</v>
      </c>
      <c r="F10">
        <v>181</v>
      </c>
      <c r="G10" s="170">
        <v>4.333333333333333</v>
      </c>
      <c r="H10" s="170">
        <v>5</v>
      </c>
      <c r="I10" s="170"/>
    </row>
    <row r="11" spans="1:9" x14ac:dyDescent="0.2">
      <c r="A11" s="11" t="s">
        <v>161</v>
      </c>
      <c r="B11" s="96">
        <v>39931</v>
      </c>
      <c r="C11">
        <v>2009</v>
      </c>
      <c r="D11">
        <v>118</v>
      </c>
      <c r="E11" s="96">
        <v>39994</v>
      </c>
      <c r="F11">
        <v>181</v>
      </c>
      <c r="G11" s="170">
        <v>3.6666666666666665</v>
      </c>
      <c r="H11" s="170"/>
      <c r="I11" s="170">
        <v>4.333333333333333</v>
      </c>
    </row>
    <row r="12" spans="1:9" x14ac:dyDescent="0.2">
      <c r="A12" s="11" t="s">
        <v>162</v>
      </c>
      <c r="B12" s="96">
        <v>39931</v>
      </c>
      <c r="C12">
        <v>2009</v>
      </c>
      <c r="D12">
        <v>118</v>
      </c>
      <c r="E12" s="96">
        <v>39994</v>
      </c>
      <c r="F12">
        <v>181</v>
      </c>
      <c r="G12" s="170">
        <v>4.666666666666667</v>
      </c>
      <c r="H12" s="170"/>
      <c r="I12" s="170">
        <v>3.3333333333333335</v>
      </c>
    </row>
    <row r="13" spans="1:9" x14ac:dyDescent="0.2">
      <c r="A13" s="11" t="s">
        <v>163</v>
      </c>
      <c r="B13" s="96">
        <v>39931</v>
      </c>
      <c r="C13">
        <v>2009</v>
      </c>
      <c r="D13">
        <v>118</v>
      </c>
      <c r="E13" s="96">
        <v>39994</v>
      </c>
      <c r="F13">
        <v>181</v>
      </c>
      <c r="G13" s="170">
        <v>3.3333333333333335</v>
      </c>
      <c r="H13" s="170"/>
      <c r="I13" s="170">
        <v>3.3333333333333335</v>
      </c>
    </row>
    <row r="14" spans="1:9" x14ac:dyDescent="0.2">
      <c r="A14" s="11" t="s">
        <v>164</v>
      </c>
      <c r="B14" s="96">
        <v>39931</v>
      </c>
      <c r="C14">
        <v>2009</v>
      </c>
      <c r="D14">
        <v>118</v>
      </c>
      <c r="E14" s="96">
        <v>39994</v>
      </c>
      <c r="F14">
        <v>181</v>
      </c>
      <c r="G14" s="170">
        <v>3.6666666666666665</v>
      </c>
      <c r="H14" s="170">
        <v>3.3333333333333335</v>
      </c>
      <c r="I14" s="170"/>
    </row>
    <row r="15" spans="1:9" x14ac:dyDescent="0.2">
      <c r="A15" s="11" t="s">
        <v>165</v>
      </c>
      <c r="B15" s="96">
        <v>39931</v>
      </c>
      <c r="C15">
        <v>2009</v>
      </c>
      <c r="D15">
        <v>118</v>
      </c>
      <c r="E15" s="96">
        <v>39994</v>
      </c>
      <c r="F15">
        <v>181</v>
      </c>
      <c r="G15" s="170">
        <v>3.3333333333333335</v>
      </c>
      <c r="H15" s="170"/>
      <c r="I15" s="170">
        <v>2.6666666666666665</v>
      </c>
    </row>
    <row r="16" spans="1:9" x14ac:dyDescent="0.2">
      <c r="A16" s="11" t="s">
        <v>166</v>
      </c>
      <c r="B16" s="96">
        <v>39931</v>
      </c>
      <c r="C16">
        <v>2009</v>
      </c>
      <c r="D16">
        <v>118</v>
      </c>
      <c r="E16" s="96">
        <v>39994</v>
      </c>
      <c r="F16">
        <v>181</v>
      </c>
      <c r="G16" s="170">
        <v>3.6666666666666665</v>
      </c>
      <c r="H16" s="170"/>
      <c r="I16" s="170">
        <v>3.3333333333333335</v>
      </c>
    </row>
    <row r="17" spans="1:9" x14ac:dyDescent="0.2">
      <c r="A17" s="11" t="s">
        <v>167</v>
      </c>
      <c r="B17" s="96">
        <v>39931</v>
      </c>
      <c r="C17">
        <v>2009</v>
      </c>
      <c r="D17">
        <v>118</v>
      </c>
      <c r="E17" s="96">
        <v>39994</v>
      </c>
      <c r="F17">
        <v>181</v>
      </c>
      <c r="G17" s="170">
        <v>3</v>
      </c>
      <c r="H17" s="170"/>
      <c r="I17" s="170">
        <v>2.3333333333333335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6376-7699-4B0B-B05A-9D86B98C1D31}">
  <sheetPr>
    <pageSetUpPr fitToPage="1"/>
  </sheetPr>
  <dimension ref="A1:BU41"/>
  <sheetViews>
    <sheetView zoomScaleNormal="100" workbookViewId="0"/>
  </sheetViews>
  <sheetFormatPr defaultRowHeight="12.75" x14ac:dyDescent="0.2"/>
  <cols>
    <col min="1" max="1" width="5.42578125" customWidth="1"/>
    <col min="2" max="2" width="6.28515625" customWidth="1"/>
    <col min="3" max="3" width="12.7109375" customWidth="1"/>
    <col min="4" max="8" width="5.28515625" hidden="1" customWidth="1"/>
    <col min="9" max="9" width="7" hidden="1" customWidth="1"/>
    <col min="10" max="10" width="8.42578125" customWidth="1"/>
    <col min="11" max="14" width="12.7109375" customWidth="1"/>
    <col min="15" max="15" width="48.7109375" customWidth="1"/>
    <col min="22" max="22" width="7.5703125" customWidth="1"/>
    <col min="23" max="32" width="7.7109375" customWidth="1"/>
  </cols>
  <sheetData>
    <row r="1" spans="1:73" ht="15" customHeight="1" x14ac:dyDescent="0.25">
      <c r="A1" s="1" t="s">
        <v>40</v>
      </c>
    </row>
    <row r="2" spans="1:73" ht="20.25" customHeight="1" thickBot="1" x14ac:dyDescent="0.3">
      <c r="A2" s="1"/>
      <c r="M2" s="15" t="s">
        <v>0</v>
      </c>
      <c r="N2" s="23">
        <v>39967</v>
      </c>
      <c r="O2" s="29"/>
    </row>
    <row r="3" spans="1:73" ht="20.25" customHeight="1" thickBot="1" x14ac:dyDescent="0.25">
      <c r="A3" t="s">
        <v>1</v>
      </c>
      <c r="C3" s="38" t="s">
        <v>28</v>
      </c>
      <c r="D3" s="3"/>
      <c r="E3" s="3"/>
      <c r="F3" s="3"/>
      <c r="G3" s="3"/>
      <c r="H3" s="3"/>
      <c r="I3" s="3"/>
      <c r="J3" s="3"/>
      <c r="K3" s="3"/>
      <c r="L3" s="3"/>
      <c r="M3" s="15" t="s">
        <v>23</v>
      </c>
      <c r="N3" s="2">
        <v>154</v>
      </c>
      <c r="O3" s="30"/>
    </row>
    <row r="4" spans="1:73" ht="20.25" customHeight="1" thickBot="1" x14ac:dyDescent="0.25">
      <c r="B4" s="38" t="s">
        <v>35</v>
      </c>
      <c r="C4" s="4"/>
      <c r="D4" s="4"/>
      <c r="E4" s="4"/>
      <c r="F4" s="4"/>
      <c r="G4" s="4"/>
      <c r="H4" s="4"/>
      <c r="I4" s="4"/>
      <c r="J4" s="4"/>
      <c r="K4" s="4"/>
      <c r="L4" s="4"/>
      <c r="M4" s="15" t="s">
        <v>2</v>
      </c>
      <c r="N4" s="2" t="s">
        <v>26</v>
      </c>
      <c r="O4" s="30"/>
    </row>
    <row r="5" spans="1:73" ht="18" x14ac:dyDescent="0.2">
      <c r="AE5" s="5"/>
      <c r="AF5" s="115"/>
      <c r="AG5" s="115"/>
      <c r="AH5" s="115"/>
    </row>
    <row r="6" spans="1:73" ht="18" x14ac:dyDescent="0.25">
      <c r="L6" s="116"/>
      <c r="M6" s="117"/>
      <c r="N6" s="118"/>
      <c r="O6" s="31"/>
      <c r="AE6" s="5"/>
      <c r="AF6" s="24"/>
      <c r="AG6" s="24"/>
      <c r="AH6" s="24"/>
    </row>
    <row r="7" spans="1:73" ht="25.5" customHeight="1" x14ac:dyDescent="0.2">
      <c r="B7" s="6" t="s">
        <v>27</v>
      </c>
      <c r="C7" s="7"/>
      <c r="D7" s="7" t="s">
        <v>4</v>
      </c>
      <c r="E7" s="6" t="s">
        <v>5</v>
      </c>
      <c r="F7" s="7" t="s">
        <v>6</v>
      </c>
      <c r="G7" s="6" t="s">
        <v>7</v>
      </c>
      <c r="H7" s="6" t="s">
        <v>8</v>
      </c>
      <c r="I7" s="6" t="s">
        <v>9</v>
      </c>
      <c r="J7" s="6" t="s">
        <v>11</v>
      </c>
      <c r="K7" s="8" t="s">
        <v>24</v>
      </c>
      <c r="L7" s="22" t="s">
        <v>37</v>
      </c>
      <c r="M7" s="22" t="s">
        <v>38</v>
      </c>
      <c r="N7" s="22" t="s">
        <v>39</v>
      </c>
      <c r="O7" s="119" t="s">
        <v>25</v>
      </c>
      <c r="AE7" s="10"/>
      <c r="AF7" s="9"/>
      <c r="AG7" s="9"/>
      <c r="AH7" s="11"/>
    </row>
    <row r="8" spans="1:73" ht="15.95" customHeight="1" thickBot="1" x14ac:dyDescent="0.25">
      <c r="B8" s="121"/>
      <c r="C8" s="122"/>
      <c r="D8" s="122"/>
      <c r="E8" s="122"/>
      <c r="F8" s="122"/>
      <c r="G8" s="122"/>
      <c r="H8" s="122"/>
      <c r="I8" s="122"/>
      <c r="J8" s="122"/>
      <c r="K8" s="123"/>
      <c r="L8" s="39" t="s">
        <v>29</v>
      </c>
      <c r="M8" s="39"/>
      <c r="N8" s="39"/>
      <c r="O8" s="120"/>
      <c r="AF8" s="12"/>
      <c r="AG8" s="12"/>
      <c r="AH8" s="12"/>
    </row>
    <row r="9" spans="1:73" ht="15.95" hidden="1" customHeight="1" x14ac:dyDescent="0.2">
      <c r="B9" s="25" t="s">
        <v>3</v>
      </c>
      <c r="C9" s="26" t="s">
        <v>10</v>
      </c>
      <c r="D9" s="26" t="s">
        <v>14</v>
      </c>
      <c r="E9" s="25" t="s">
        <v>15</v>
      </c>
      <c r="F9" s="26" t="s">
        <v>16</v>
      </c>
      <c r="G9" s="25" t="s">
        <v>17</v>
      </c>
      <c r="H9" s="25" t="s">
        <v>8</v>
      </c>
      <c r="I9" s="25" t="s">
        <v>18</v>
      </c>
      <c r="J9" s="27" t="s">
        <v>11</v>
      </c>
      <c r="K9" s="27" t="s">
        <v>19</v>
      </c>
      <c r="L9" s="28" t="s">
        <v>20</v>
      </c>
      <c r="M9" s="28" t="s">
        <v>21</v>
      </c>
      <c r="N9" s="28" t="s">
        <v>22</v>
      </c>
      <c r="O9" s="32"/>
      <c r="AF9" s="12"/>
      <c r="AG9" s="12"/>
      <c r="AH9" s="12"/>
    </row>
    <row r="10" spans="1:73" ht="24" customHeight="1" x14ac:dyDescent="0.2">
      <c r="B10" s="124">
        <v>1</v>
      </c>
      <c r="C10" s="126" t="s">
        <v>31</v>
      </c>
      <c r="D10" s="19" t="e">
        <f>VLOOKUP($B10,#REF!,3,0)</f>
        <v>#REF!</v>
      </c>
      <c r="E10" s="19" t="e">
        <f>VLOOKUP($B10,#REF!,4,0)</f>
        <v>#REF!</v>
      </c>
      <c r="F10" s="19" t="e">
        <f>VLOOKUP($B10,#REF!,5,0)</f>
        <v>#REF!</v>
      </c>
      <c r="G10" s="19" t="e">
        <f>VLOOKUP($B10,#REF!,6,0)</f>
        <v>#REF!</v>
      </c>
      <c r="H10" s="19" t="e">
        <f>VLOOKUP($B10,#REF!,7,0)</f>
        <v>#REF!</v>
      </c>
      <c r="I10" s="19" t="e">
        <f>VLOOKUP($B10,#REF!,8,0)</f>
        <v>#REF!</v>
      </c>
      <c r="J10" s="128">
        <v>902</v>
      </c>
      <c r="K10" s="22" t="s">
        <v>12</v>
      </c>
      <c r="L10" s="35">
        <v>33</v>
      </c>
      <c r="M10" s="35">
        <v>35</v>
      </c>
      <c r="N10" s="44">
        <v>30</v>
      </c>
      <c r="O10" s="40"/>
      <c r="P10" s="13"/>
      <c r="Q10" s="13"/>
      <c r="R10" s="13"/>
      <c r="S10" s="13"/>
      <c r="T10" s="13"/>
      <c r="AF10" s="12"/>
      <c r="AG10" s="12"/>
      <c r="AH10" s="14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</row>
    <row r="11" spans="1:73" ht="24" customHeight="1" thickBot="1" x14ac:dyDescent="0.25">
      <c r="B11" s="125"/>
      <c r="C11" s="127"/>
      <c r="D11" s="20" t="e">
        <f>VLOOKUP($B11,#REF!,3,0)</f>
        <v>#REF!</v>
      </c>
      <c r="E11" s="20" t="e">
        <f>VLOOKUP($B11,#REF!,4,0)</f>
        <v>#REF!</v>
      </c>
      <c r="F11" s="20" t="e">
        <f>VLOOKUP($B11,#REF!,5,0)</f>
        <v>#REF!</v>
      </c>
      <c r="G11" s="20" t="e">
        <f>VLOOKUP($B11,#REF!,6,0)</f>
        <v>#REF!</v>
      </c>
      <c r="H11" s="20" t="e">
        <f>VLOOKUP($B11,#REF!,7,0)</f>
        <v>#REF!</v>
      </c>
      <c r="I11" s="20" t="e">
        <f>VLOOKUP($B11,#REF!,8,0)</f>
        <v>#REF!</v>
      </c>
      <c r="J11" s="129"/>
      <c r="K11" s="34" t="s">
        <v>13</v>
      </c>
      <c r="L11" s="36">
        <v>35</v>
      </c>
      <c r="M11" s="36">
        <v>42</v>
      </c>
      <c r="N11" s="36">
        <v>44</v>
      </c>
      <c r="O11" s="41"/>
      <c r="P11" s="13"/>
      <c r="Q11" s="13"/>
      <c r="R11" s="13"/>
      <c r="S11" s="13"/>
      <c r="T11" s="13"/>
      <c r="AF11" s="12"/>
      <c r="AG11" s="12"/>
      <c r="AH11" s="14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</row>
    <row r="12" spans="1:73" ht="24" customHeight="1" x14ac:dyDescent="0.2">
      <c r="B12" s="124">
        <v>2</v>
      </c>
      <c r="C12" s="130" t="s">
        <v>32</v>
      </c>
      <c r="D12" s="21" t="e">
        <f>VLOOKUP($B12,#REF!,3,0)</f>
        <v>#REF!</v>
      </c>
      <c r="E12" s="21" t="e">
        <f>VLOOKUP($B12,#REF!,4,0)</f>
        <v>#REF!</v>
      </c>
      <c r="F12" s="21" t="e">
        <f>VLOOKUP($B12,#REF!,5,0)</f>
        <v>#REF!</v>
      </c>
      <c r="G12" s="21" t="e">
        <f>VLOOKUP($B12,#REF!,6,0)</f>
        <v>#REF!</v>
      </c>
      <c r="H12" s="21" t="e">
        <f>VLOOKUP($B12,#REF!,7,0)</f>
        <v>#REF!</v>
      </c>
      <c r="I12" s="21" t="e">
        <f>VLOOKUP($B12,#REF!,8,0)</f>
        <v>#REF!</v>
      </c>
      <c r="J12" s="132"/>
      <c r="K12" s="33" t="s">
        <v>12</v>
      </c>
      <c r="L12" s="35">
        <v>36</v>
      </c>
      <c r="M12" s="35">
        <v>34</v>
      </c>
      <c r="N12" s="35">
        <v>35</v>
      </c>
      <c r="O12" s="42"/>
      <c r="P12" s="13"/>
      <c r="Q12" s="16"/>
      <c r="R12" s="13"/>
      <c r="S12" s="17"/>
      <c r="T12" s="13"/>
      <c r="AF12" s="12"/>
      <c r="AG12" s="12"/>
      <c r="AH12" s="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</row>
    <row r="13" spans="1:73" ht="24" customHeight="1" thickBot="1" x14ac:dyDescent="0.25">
      <c r="B13" s="125"/>
      <c r="C13" s="131"/>
      <c r="D13" s="20" t="e">
        <f>VLOOKUP($B13,#REF!,3,0)</f>
        <v>#REF!</v>
      </c>
      <c r="E13" s="20" t="e">
        <f>VLOOKUP($B13,#REF!,4,0)</f>
        <v>#REF!</v>
      </c>
      <c r="F13" s="20" t="e">
        <f>VLOOKUP($B13,#REF!,5,0)</f>
        <v>#REF!</v>
      </c>
      <c r="G13" s="20" t="e">
        <f>VLOOKUP($B13,#REF!,6,0)</f>
        <v>#REF!</v>
      </c>
      <c r="H13" s="20" t="e">
        <f>VLOOKUP($B13,#REF!,7,0)</f>
        <v>#REF!</v>
      </c>
      <c r="I13" s="20" t="e">
        <f>VLOOKUP($B13,#REF!,8,0)</f>
        <v>#REF!</v>
      </c>
      <c r="J13" s="129"/>
      <c r="K13" s="34" t="s">
        <v>13</v>
      </c>
      <c r="L13" s="37">
        <v>45</v>
      </c>
      <c r="M13" s="36">
        <v>44</v>
      </c>
      <c r="N13" s="36">
        <v>43</v>
      </c>
      <c r="O13" s="43"/>
      <c r="P13" s="13"/>
      <c r="Q13" s="13"/>
      <c r="R13" s="13"/>
      <c r="S13" s="13"/>
      <c r="T13" s="13"/>
      <c r="AF13" s="12"/>
      <c r="AG13" s="12"/>
      <c r="AH13" s="14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</row>
    <row r="14" spans="1:73" ht="24" customHeight="1" x14ac:dyDescent="0.2">
      <c r="B14" s="124">
        <v>3</v>
      </c>
      <c r="C14" s="130" t="s">
        <v>33</v>
      </c>
      <c r="D14" s="19" t="e">
        <f>VLOOKUP($B14,#REF!,3,0)</f>
        <v>#REF!</v>
      </c>
      <c r="E14" s="19" t="e">
        <f>VLOOKUP($B14,#REF!,4,0)</f>
        <v>#REF!</v>
      </c>
      <c r="F14" s="19" t="e">
        <f>VLOOKUP($B14,#REF!,5,0)</f>
        <v>#REF!</v>
      </c>
      <c r="G14" s="19" t="e">
        <f>VLOOKUP($B14,#REF!,6,0)</f>
        <v>#REF!</v>
      </c>
      <c r="H14" s="19" t="e">
        <f>VLOOKUP($B14,#REF!,7,0)</f>
        <v>#REF!</v>
      </c>
      <c r="I14" s="19" t="e">
        <f>VLOOKUP($B14,#REF!,8,0)</f>
        <v>#REF!</v>
      </c>
      <c r="J14" s="132">
        <v>919</v>
      </c>
      <c r="K14" s="22" t="s">
        <v>12</v>
      </c>
      <c r="L14" s="35">
        <v>32</v>
      </c>
      <c r="M14" s="35">
        <v>36</v>
      </c>
      <c r="N14" s="35">
        <v>33</v>
      </c>
      <c r="O14" s="133"/>
      <c r="P14" s="13"/>
      <c r="Q14" s="13"/>
      <c r="R14" s="13"/>
      <c r="S14" s="13"/>
      <c r="T14" s="13"/>
      <c r="AF14" s="12"/>
      <c r="AG14" s="12"/>
      <c r="AH14" s="12"/>
    </row>
    <row r="15" spans="1:73" ht="24" customHeight="1" thickBot="1" x14ac:dyDescent="0.25">
      <c r="B15" s="125"/>
      <c r="C15" s="131"/>
      <c r="D15" s="20" t="e">
        <f>VLOOKUP($B15,#REF!,3,0)</f>
        <v>#REF!</v>
      </c>
      <c r="E15" s="20" t="e">
        <f>VLOOKUP($B15,#REF!,4,0)</f>
        <v>#REF!</v>
      </c>
      <c r="F15" s="20" t="e">
        <f>VLOOKUP($B15,#REF!,5,0)</f>
        <v>#REF!</v>
      </c>
      <c r="G15" s="20" t="e">
        <f>VLOOKUP($B15,#REF!,6,0)</f>
        <v>#REF!</v>
      </c>
      <c r="H15" s="20" t="e">
        <f>VLOOKUP($B15,#REF!,7,0)</f>
        <v>#REF!</v>
      </c>
      <c r="I15" s="20" t="e">
        <f>VLOOKUP($B15,#REF!,8,0)</f>
        <v>#REF!</v>
      </c>
      <c r="J15" s="129"/>
      <c r="K15" s="34" t="s">
        <v>13</v>
      </c>
      <c r="L15" s="36">
        <v>41</v>
      </c>
      <c r="M15" s="36">
        <v>48</v>
      </c>
      <c r="N15" s="36">
        <v>46</v>
      </c>
      <c r="O15" s="134"/>
      <c r="P15" s="13"/>
      <c r="Q15" s="13"/>
      <c r="R15" s="13"/>
      <c r="S15" s="13"/>
      <c r="T15" s="13"/>
      <c r="AF15" s="12"/>
      <c r="AG15" s="12"/>
      <c r="AH15" s="14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</row>
    <row r="16" spans="1:73" ht="24" customHeight="1" x14ac:dyDescent="0.2">
      <c r="B16" s="124">
        <v>4</v>
      </c>
      <c r="C16" s="130" t="s">
        <v>32</v>
      </c>
      <c r="D16" s="19" t="e">
        <f>VLOOKUP($B16,#REF!,3,0)</f>
        <v>#REF!</v>
      </c>
      <c r="E16" s="19" t="e">
        <f>VLOOKUP($B16,#REF!,4,0)</f>
        <v>#REF!</v>
      </c>
      <c r="F16" s="19" t="e">
        <f>VLOOKUP($B16,#REF!,5,0)</f>
        <v>#REF!</v>
      </c>
      <c r="G16" s="19" t="e">
        <f>VLOOKUP($B16,#REF!,6,0)</f>
        <v>#REF!</v>
      </c>
      <c r="H16" s="19" t="e">
        <f>VLOOKUP($B16,#REF!,7,0)</f>
        <v>#REF!</v>
      </c>
      <c r="I16" s="19" t="e">
        <f>VLOOKUP($B16,#REF!,8,0)</f>
        <v>#REF!</v>
      </c>
      <c r="J16" s="132"/>
      <c r="K16" s="22" t="s">
        <v>12</v>
      </c>
      <c r="L16" s="35">
        <v>34</v>
      </c>
      <c r="M16" s="35">
        <v>31</v>
      </c>
      <c r="N16" s="44">
        <v>30</v>
      </c>
      <c r="O16" s="133"/>
      <c r="P16" s="13"/>
      <c r="Q16" s="13"/>
      <c r="R16" s="13"/>
      <c r="S16" s="13"/>
      <c r="T16" s="13"/>
    </row>
    <row r="17" spans="2:73" ht="24" customHeight="1" thickBot="1" x14ac:dyDescent="0.25">
      <c r="B17" s="125"/>
      <c r="C17" s="131"/>
      <c r="D17" s="20" t="e">
        <f>VLOOKUP($B17,#REF!,3,0)</f>
        <v>#REF!</v>
      </c>
      <c r="E17" s="20" t="e">
        <f>VLOOKUP($B17,#REF!,4,0)</f>
        <v>#REF!</v>
      </c>
      <c r="F17" s="20" t="e">
        <f>VLOOKUP($B17,#REF!,5,0)</f>
        <v>#REF!</v>
      </c>
      <c r="G17" s="20" t="e">
        <f>VLOOKUP($B17,#REF!,6,0)</f>
        <v>#REF!</v>
      </c>
      <c r="H17" s="20" t="e">
        <f>VLOOKUP($B17,#REF!,7,0)</f>
        <v>#REF!</v>
      </c>
      <c r="I17" s="20" t="e">
        <f>VLOOKUP($B17,#REF!,8,0)</f>
        <v>#REF!</v>
      </c>
      <c r="J17" s="129"/>
      <c r="K17" s="34" t="s">
        <v>13</v>
      </c>
      <c r="L17" s="36">
        <v>39</v>
      </c>
      <c r="M17" s="36">
        <v>44</v>
      </c>
      <c r="N17" s="36">
        <v>36</v>
      </c>
      <c r="O17" s="134"/>
      <c r="P17" s="13"/>
      <c r="Q17" s="13"/>
      <c r="R17" s="13"/>
      <c r="S17" s="13"/>
      <c r="T17" s="13"/>
      <c r="AF17" s="12"/>
      <c r="AG17" s="12"/>
      <c r="AH17" s="14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</row>
    <row r="18" spans="2:73" ht="24" customHeight="1" x14ac:dyDescent="0.2">
      <c r="B18" s="124">
        <v>5</v>
      </c>
      <c r="C18" s="130" t="s">
        <v>33</v>
      </c>
      <c r="D18" s="19" t="e">
        <f>VLOOKUP($B18,#REF!,3,0)</f>
        <v>#REF!</v>
      </c>
      <c r="E18" s="19" t="e">
        <f>VLOOKUP($B18,#REF!,4,0)</f>
        <v>#REF!</v>
      </c>
      <c r="F18" s="19" t="e">
        <f>VLOOKUP($B18,#REF!,5,0)</f>
        <v>#REF!</v>
      </c>
      <c r="G18" s="19" t="e">
        <f>VLOOKUP($B18,#REF!,6,0)</f>
        <v>#REF!</v>
      </c>
      <c r="H18" s="19" t="e">
        <f>VLOOKUP($B18,#REF!,7,0)</f>
        <v>#REF!</v>
      </c>
      <c r="I18" s="19" t="e">
        <f>VLOOKUP($B18,#REF!,8,0)</f>
        <v>#REF!</v>
      </c>
      <c r="J18" s="132"/>
      <c r="K18" s="22" t="s">
        <v>12</v>
      </c>
      <c r="L18" s="44">
        <v>40</v>
      </c>
      <c r="M18" s="35">
        <v>31</v>
      </c>
      <c r="N18" s="44">
        <v>34</v>
      </c>
      <c r="O18" s="133"/>
      <c r="P18" s="13"/>
      <c r="Q18" s="13"/>
      <c r="R18" s="13"/>
      <c r="S18" s="13"/>
      <c r="T18" s="13"/>
      <c r="AF18" s="12"/>
      <c r="AG18" s="12"/>
      <c r="AH18" s="12"/>
    </row>
    <row r="19" spans="2:73" ht="24" customHeight="1" thickBot="1" x14ac:dyDescent="0.25">
      <c r="B19" s="125"/>
      <c r="C19" s="131"/>
      <c r="D19" s="20" t="e">
        <f>VLOOKUP($B19,#REF!,3,0)</f>
        <v>#REF!</v>
      </c>
      <c r="E19" s="20" t="e">
        <f>VLOOKUP($B19,#REF!,4,0)</f>
        <v>#REF!</v>
      </c>
      <c r="F19" s="20" t="e">
        <f>VLOOKUP($B19,#REF!,5,0)</f>
        <v>#REF!</v>
      </c>
      <c r="G19" s="20" t="e">
        <f>VLOOKUP($B19,#REF!,6,0)</f>
        <v>#REF!</v>
      </c>
      <c r="H19" s="20" t="e">
        <f>VLOOKUP($B19,#REF!,7,0)</f>
        <v>#REF!</v>
      </c>
      <c r="I19" s="20" t="e">
        <f>VLOOKUP($B19,#REF!,8,0)</f>
        <v>#REF!</v>
      </c>
      <c r="J19" s="129"/>
      <c r="K19" s="34" t="s">
        <v>13</v>
      </c>
      <c r="L19" s="36">
        <v>44</v>
      </c>
      <c r="M19" s="36">
        <v>44</v>
      </c>
      <c r="N19" s="36">
        <v>46</v>
      </c>
      <c r="O19" s="134"/>
      <c r="P19" s="13"/>
      <c r="Q19" s="13"/>
      <c r="R19" s="13"/>
      <c r="S19" s="13"/>
      <c r="T19" s="13"/>
      <c r="AF19" s="12"/>
      <c r="AG19" s="12"/>
      <c r="AH19" s="14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</row>
    <row r="20" spans="2:73" ht="24" customHeight="1" x14ac:dyDescent="0.2">
      <c r="B20" s="124">
        <v>6</v>
      </c>
      <c r="C20" s="130" t="s">
        <v>32</v>
      </c>
      <c r="D20" s="19" t="e">
        <f>VLOOKUP($B20,#REF!,3,0)</f>
        <v>#REF!</v>
      </c>
      <c r="E20" s="19" t="e">
        <f>VLOOKUP($B20,#REF!,4,0)</f>
        <v>#REF!</v>
      </c>
      <c r="F20" s="19" t="e">
        <f>VLOOKUP($B20,#REF!,5,0)</f>
        <v>#REF!</v>
      </c>
      <c r="G20" s="19" t="e">
        <f>VLOOKUP($B20,#REF!,6,0)</f>
        <v>#REF!</v>
      </c>
      <c r="H20" s="19" t="e">
        <f>VLOOKUP($B20,#REF!,7,0)</f>
        <v>#REF!</v>
      </c>
      <c r="I20" s="19" t="e">
        <f>VLOOKUP($B20,#REF!,8,0)</f>
        <v>#REF!</v>
      </c>
      <c r="J20" s="132"/>
      <c r="K20" s="22" t="s">
        <v>12</v>
      </c>
      <c r="L20" s="35">
        <v>34</v>
      </c>
      <c r="M20" s="35">
        <v>34</v>
      </c>
      <c r="N20" s="35">
        <v>40</v>
      </c>
      <c r="O20" s="133"/>
      <c r="P20" s="13"/>
      <c r="Q20" s="13"/>
      <c r="R20" s="13"/>
      <c r="S20" s="13"/>
      <c r="T20" s="13"/>
      <c r="AF20" s="12"/>
      <c r="AG20" s="12"/>
      <c r="AH20" s="12"/>
    </row>
    <row r="21" spans="2:73" ht="24" customHeight="1" thickBot="1" x14ac:dyDescent="0.25">
      <c r="B21" s="125"/>
      <c r="C21" s="131"/>
      <c r="D21" s="20" t="e">
        <f>VLOOKUP($B21,#REF!,3,0)</f>
        <v>#REF!</v>
      </c>
      <c r="E21" s="20" t="e">
        <f>VLOOKUP($B21,#REF!,4,0)</f>
        <v>#REF!</v>
      </c>
      <c r="F21" s="20" t="e">
        <f>VLOOKUP($B21,#REF!,5,0)</f>
        <v>#REF!</v>
      </c>
      <c r="G21" s="20" t="e">
        <f>VLOOKUP($B21,#REF!,6,0)</f>
        <v>#REF!</v>
      </c>
      <c r="H21" s="20" t="e">
        <f>VLOOKUP($B21,#REF!,7,0)</f>
        <v>#REF!</v>
      </c>
      <c r="I21" s="20" t="e">
        <f>VLOOKUP($B21,#REF!,8,0)</f>
        <v>#REF!</v>
      </c>
      <c r="J21" s="129"/>
      <c r="K21" s="34" t="s">
        <v>13</v>
      </c>
      <c r="L21" s="36">
        <v>42</v>
      </c>
      <c r="M21" s="36">
        <v>41</v>
      </c>
      <c r="N21" s="36">
        <v>43</v>
      </c>
      <c r="O21" s="134"/>
      <c r="P21" s="13"/>
      <c r="Q21" s="13"/>
      <c r="R21" s="13"/>
      <c r="S21" s="13"/>
      <c r="T21" s="13"/>
      <c r="AF21" s="12"/>
      <c r="AG21" s="12"/>
      <c r="AH21" s="14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spans="2:73" ht="24" customHeight="1" x14ac:dyDescent="0.2">
      <c r="B22" s="124">
        <v>7</v>
      </c>
      <c r="C22" s="130" t="s">
        <v>33</v>
      </c>
      <c r="D22" s="19" t="e">
        <f>VLOOKUP($B22,#REF!,3,0)</f>
        <v>#REF!</v>
      </c>
      <c r="E22" s="19" t="e">
        <f>VLOOKUP($B22,#REF!,4,0)</f>
        <v>#REF!</v>
      </c>
      <c r="F22" s="19" t="e">
        <f>VLOOKUP($B22,#REF!,5,0)</f>
        <v>#REF!</v>
      </c>
      <c r="G22" s="19" t="e">
        <f>VLOOKUP($B22,#REF!,6,0)</f>
        <v>#REF!</v>
      </c>
      <c r="H22" s="19" t="e">
        <f>VLOOKUP($B22,#REF!,7,0)</f>
        <v>#REF!</v>
      </c>
      <c r="I22" s="19" t="e">
        <f>VLOOKUP($B22,#REF!,8,0)</f>
        <v>#REF!</v>
      </c>
      <c r="J22" s="132"/>
      <c r="K22" s="22" t="s">
        <v>12</v>
      </c>
      <c r="L22" s="35">
        <v>33</v>
      </c>
      <c r="M22" s="35">
        <v>38</v>
      </c>
      <c r="N22" s="35">
        <v>31</v>
      </c>
      <c r="O22" s="133"/>
      <c r="P22" s="13"/>
      <c r="Q22" s="13"/>
      <c r="R22" s="13"/>
      <c r="S22" s="13"/>
      <c r="T22" s="13"/>
      <c r="AF22" s="12"/>
      <c r="AG22" s="12"/>
      <c r="AH22" s="12"/>
    </row>
    <row r="23" spans="2:73" ht="24" customHeight="1" thickBot="1" x14ac:dyDescent="0.25">
      <c r="B23" s="125"/>
      <c r="C23" s="131"/>
      <c r="D23" s="20" t="e">
        <f>VLOOKUP($B23,#REF!,3,0)</f>
        <v>#REF!</v>
      </c>
      <c r="E23" s="20" t="e">
        <f>VLOOKUP($B23,#REF!,4,0)</f>
        <v>#REF!</v>
      </c>
      <c r="F23" s="20" t="e">
        <f>VLOOKUP($B23,#REF!,5,0)</f>
        <v>#REF!</v>
      </c>
      <c r="G23" s="20" t="e">
        <f>VLOOKUP($B23,#REF!,6,0)</f>
        <v>#REF!</v>
      </c>
      <c r="H23" s="20" t="e">
        <f>VLOOKUP($B23,#REF!,7,0)</f>
        <v>#REF!</v>
      </c>
      <c r="I23" s="20" t="e">
        <f>VLOOKUP($B23,#REF!,8,0)</f>
        <v>#REF!</v>
      </c>
      <c r="J23" s="129"/>
      <c r="K23" s="34" t="s">
        <v>13</v>
      </c>
      <c r="L23" s="36">
        <v>40</v>
      </c>
      <c r="M23" s="36">
        <v>45</v>
      </c>
      <c r="N23" s="36">
        <v>45</v>
      </c>
      <c r="O23" s="134"/>
      <c r="P23" s="13"/>
      <c r="Q23" s="13"/>
      <c r="R23" s="13"/>
      <c r="S23" s="13"/>
      <c r="T23" s="13"/>
      <c r="AF23" s="12"/>
      <c r="AG23" s="12"/>
      <c r="AH23" s="14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</row>
    <row r="24" spans="2:73" ht="24" customHeight="1" x14ac:dyDescent="0.2">
      <c r="B24" s="124">
        <v>8</v>
      </c>
      <c r="C24" s="130" t="s">
        <v>32</v>
      </c>
      <c r="D24" s="19" t="e">
        <f>VLOOKUP($B24,#REF!,3,0)</f>
        <v>#REF!</v>
      </c>
      <c r="E24" s="19" t="e">
        <f>VLOOKUP($B24,#REF!,4,0)</f>
        <v>#REF!</v>
      </c>
      <c r="F24" s="19" t="e">
        <f>VLOOKUP($B24,#REF!,5,0)</f>
        <v>#REF!</v>
      </c>
      <c r="G24" s="19" t="e">
        <f>VLOOKUP($B24,#REF!,6,0)</f>
        <v>#REF!</v>
      </c>
      <c r="H24" s="19" t="e">
        <f>VLOOKUP($B24,#REF!,7,0)</f>
        <v>#REF!</v>
      </c>
      <c r="I24" s="19" t="e">
        <f>VLOOKUP($B24,#REF!,8,0)</f>
        <v>#REF!</v>
      </c>
      <c r="J24" s="132"/>
      <c r="K24" s="22" t="s">
        <v>12</v>
      </c>
      <c r="L24" s="35">
        <v>37</v>
      </c>
      <c r="M24" s="35">
        <v>31</v>
      </c>
      <c r="N24" s="35">
        <v>29</v>
      </c>
      <c r="O24" s="133"/>
      <c r="P24" s="13"/>
      <c r="Q24" s="13"/>
      <c r="R24" s="13"/>
      <c r="S24" s="13"/>
      <c r="T24" s="13"/>
      <c r="AF24" s="9"/>
      <c r="AG24" s="9"/>
      <c r="AH24" s="9"/>
    </row>
    <row r="25" spans="2:73" ht="24" customHeight="1" thickBot="1" x14ac:dyDescent="0.25">
      <c r="B25" s="125"/>
      <c r="C25" s="131"/>
      <c r="D25" s="20" t="e">
        <f>VLOOKUP($B25,#REF!,3,0)</f>
        <v>#REF!</v>
      </c>
      <c r="E25" s="20" t="e">
        <f>VLOOKUP($B25,#REF!,4,0)</f>
        <v>#REF!</v>
      </c>
      <c r="F25" s="20" t="e">
        <f>VLOOKUP($B25,#REF!,5,0)</f>
        <v>#REF!</v>
      </c>
      <c r="G25" s="20" t="e">
        <f>VLOOKUP($B25,#REF!,6,0)</f>
        <v>#REF!</v>
      </c>
      <c r="H25" s="20" t="e">
        <f>VLOOKUP($B25,#REF!,7,0)</f>
        <v>#REF!</v>
      </c>
      <c r="I25" s="20" t="e">
        <f>VLOOKUP($B25,#REF!,8,0)</f>
        <v>#REF!</v>
      </c>
      <c r="J25" s="129"/>
      <c r="K25" s="34" t="s">
        <v>13</v>
      </c>
      <c r="L25" s="36">
        <v>43</v>
      </c>
      <c r="M25" s="36">
        <v>43</v>
      </c>
      <c r="N25" s="36">
        <v>38</v>
      </c>
      <c r="O25" s="134"/>
      <c r="P25" s="13"/>
      <c r="Q25" s="13"/>
      <c r="R25" s="13"/>
      <c r="S25" s="13"/>
      <c r="T25" s="13"/>
      <c r="AF25" s="12"/>
      <c r="AG25" s="12"/>
      <c r="AH25" s="14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</row>
    <row r="26" spans="2:73" ht="24" customHeight="1" x14ac:dyDescent="0.2">
      <c r="B26" s="124">
        <v>9</v>
      </c>
      <c r="C26" s="130" t="s">
        <v>33</v>
      </c>
      <c r="D26" s="19" t="e">
        <f>VLOOKUP($B26,#REF!,3,0)</f>
        <v>#REF!</v>
      </c>
      <c r="E26" s="19" t="e">
        <f>VLOOKUP($B26,#REF!,4,0)</f>
        <v>#REF!</v>
      </c>
      <c r="F26" s="19" t="e">
        <f>VLOOKUP($B26,#REF!,5,0)</f>
        <v>#REF!</v>
      </c>
      <c r="G26" s="19" t="e">
        <f>VLOOKUP($B26,#REF!,6,0)</f>
        <v>#REF!</v>
      </c>
      <c r="H26" s="19" t="e">
        <f>VLOOKUP($B26,#REF!,7,0)</f>
        <v>#REF!</v>
      </c>
      <c r="I26" s="19" t="e">
        <f>VLOOKUP($B26,#REF!,8,0)</f>
        <v>#REF!</v>
      </c>
      <c r="J26" s="132">
        <v>943</v>
      </c>
      <c r="K26" s="22" t="s">
        <v>12</v>
      </c>
      <c r="L26" s="35">
        <v>29</v>
      </c>
      <c r="M26" s="35">
        <v>38</v>
      </c>
      <c r="N26" s="35">
        <v>36</v>
      </c>
      <c r="O26" s="133"/>
      <c r="P26" s="13"/>
      <c r="Q26" s="13"/>
      <c r="R26" s="13"/>
      <c r="S26" s="13"/>
      <c r="T26" s="13"/>
      <c r="AF26" s="12"/>
      <c r="AG26" s="12"/>
      <c r="AH26" s="12"/>
    </row>
    <row r="27" spans="2:73" ht="24" customHeight="1" thickBot="1" x14ac:dyDescent="0.25">
      <c r="B27" s="125"/>
      <c r="C27" s="131"/>
      <c r="D27" s="20" t="e">
        <f>VLOOKUP($B27,#REF!,3,0)</f>
        <v>#REF!</v>
      </c>
      <c r="E27" s="20" t="e">
        <f>VLOOKUP($B27,#REF!,4,0)</f>
        <v>#REF!</v>
      </c>
      <c r="F27" s="20" t="e">
        <f>VLOOKUP($B27,#REF!,5,0)</f>
        <v>#REF!</v>
      </c>
      <c r="G27" s="20" t="e">
        <f>VLOOKUP($B27,#REF!,6,0)</f>
        <v>#REF!</v>
      </c>
      <c r="H27" s="20" t="e">
        <f>VLOOKUP($B27,#REF!,7,0)</f>
        <v>#REF!</v>
      </c>
      <c r="I27" s="20" t="e">
        <f>VLOOKUP($B27,#REF!,8,0)</f>
        <v>#REF!</v>
      </c>
      <c r="J27" s="129"/>
      <c r="K27" s="34" t="s">
        <v>13</v>
      </c>
      <c r="L27" s="36">
        <v>34</v>
      </c>
      <c r="M27" s="36">
        <v>45</v>
      </c>
      <c r="N27" s="36">
        <v>43</v>
      </c>
      <c r="O27" s="134"/>
      <c r="P27" s="13"/>
      <c r="Q27" s="13"/>
      <c r="R27" s="13"/>
      <c r="S27" s="13"/>
      <c r="T27" s="13"/>
      <c r="AF27" s="12"/>
      <c r="AG27" s="12"/>
      <c r="AH27" s="14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</row>
    <row r="28" spans="2:73" ht="24" customHeight="1" x14ac:dyDescent="0.2">
      <c r="B28" s="135">
        <v>10</v>
      </c>
      <c r="C28" s="130" t="s">
        <v>32</v>
      </c>
      <c r="D28" s="19" t="e">
        <f>VLOOKUP($B28,#REF!,3,0)</f>
        <v>#REF!</v>
      </c>
      <c r="E28" s="19" t="e">
        <f>VLOOKUP($B28,#REF!,4,0)</f>
        <v>#REF!</v>
      </c>
      <c r="F28" s="19" t="e">
        <f>VLOOKUP($B28,#REF!,5,0)</f>
        <v>#REF!</v>
      </c>
      <c r="G28" s="19" t="e">
        <f>VLOOKUP($B28,#REF!,6,0)</f>
        <v>#REF!</v>
      </c>
      <c r="H28" s="19" t="e">
        <f>VLOOKUP($B28,#REF!,7,0)</f>
        <v>#REF!</v>
      </c>
      <c r="I28" s="19" t="e">
        <f>VLOOKUP($B28,#REF!,8,0)</f>
        <v>#REF!</v>
      </c>
      <c r="J28" s="132"/>
      <c r="K28" s="22" t="s">
        <v>12</v>
      </c>
      <c r="L28" s="35">
        <v>34</v>
      </c>
      <c r="M28" s="35">
        <v>43</v>
      </c>
      <c r="N28" s="35">
        <v>28</v>
      </c>
      <c r="O28" s="133"/>
      <c r="P28" s="13"/>
      <c r="Q28" s="13"/>
      <c r="R28" s="13"/>
      <c r="S28" s="13"/>
      <c r="T28" s="13"/>
    </row>
    <row r="29" spans="2:73" ht="24" customHeight="1" thickBot="1" x14ac:dyDescent="0.25">
      <c r="B29" s="125"/>
      <c r="C29" s="131"/>
      <c r="D29" s="20" t="e">
        <f>VLOOKUP($B29,#REF!,3,0)</f>
        <v>#REF!</v>
      </c>
      <c r="E29" s="20" t="e">
        <f>VLOOKUP($B29,#REF!,4,0)</f>
        <v>#REF!</v>
      </c>
      <c r="F29" s="20" t="e">
        <f>VLOOKUP($B29,#REF!,5,0)</f>
        <v>#REF!</v>
      </c>
      <c r="G29" s="20" t="e">
        <f>VLOOKUP($B29,#REF!,6,0)</f>
        <v>#REF!</v>
      </c>
      <c r="H29" s="20" t="e">
        <f>VLOOKUP($B29,#REF!,7,0)</f>
        <v>#REF!</v>
      </c>
      <c r="I29" s="20" t="e">
        <f>VLOOKUP($B29,#REF!,8,0)</f>
        <v>#REF!</v>
      </c>
      <c r="J29" s="129"/>
      <c r="K29" s="34" t="s">
        <v>13</v>
      </c>
      <c r="L29" s="36">
        <v>36</v>
      </c>
      <c r="M29" s="36">
        <v>47</v>
      </c>
      <c r="N29" s="36">
        <v>39</v>
      </c>
      <c r="O29" s="134"/>
      <c r="P29" s="13"/>
      <c r="Q29" s="13"/>
      <c r="R29" s="13"/>
      <c r="S29" s="13"/>
      <c r="T29" s="13"/>
      <c r="AF29" s="12"/>
      <c r="AG29" s="12"/>
      <c r="AH29" s="14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</row>
    <row r="30" spans="2:73" ht="24" customHeight="1" x14ac:dyDescent="0.2">
      <c r="B30" s="135">
        <v>11</v>
      </c>
      <c r="C30" s="130" t="s">
        <v>33</v>
      </c>
      <c r="D30" s="19" t="e">
        <f>VLOOKUP($B30,#REF!,3,0)</f>
        <v>#REF!</v>
      </c>
      <c r="E30" s="19" t="e">
        <f>VLOOKUP($B30,#REF!,4,0)</f>
        <v>#REF!</v>
      </c>
      <c r="F30" s="19" t="e">
        <f>VLOOKUP($B30,#REF!,5,0)</f>
        <v>#REF!</v>
      </c>
      <c r="G30" s="19" t="e">
        <f>VLOOKUP($B30,#REF!,6,0)</f>
        <v>#REF!</v>
      </c>
      <c r="H30" s="19" t="e">
        <f>VLOOKUP($B30,#REF!,7,0)</f>
        <v>#REF!</v>
      </c>
      <c r="I30" s="19" t="e">
        <f>VLOOKUP($B30,#REF!,8,0)</f>
        <v>#REF!</v>
      </c>
      <c r="J30" s="132">
        <v>958</v>
      </c>
      <c r="K30" s="22" t="s">
        <v>12</v>
      </c>
      <c r="L30" s="44">
        <v>36</v>
      </c>
      <c r="M30" s="35">
        <v>41</v>
      </c>
      <c r="N30" s="35">
        <v>39</v>
      </c>
      <c r="O30" s="133"/>
      <c r="P30" s="13"/>
      <c r="Q30" s="13"/>
      <c r="R30" s="13"/>
      <c r="S30" s="13"/>
      <c r="T30" s="13"/>
    </row>
    <row r="31" spans="2:73" ht="24" customHeight="1" thickBot="1" x14ac:dyDescent="0.25">
      <c r="B31" s="125"/>
      <c r="C31" s="131"/>
      <c r="D31" s="20" t="e">
        <f>VLOOKUP($B31,#REF!,3,0)</f>
        <v>#REF!</v>
      </c>
      <c r="E31" s="20" t="e">
        <f>VLOOKUP($B31,#REF!,4,0)</f>
        <v>#REF!</v>
      </c>
      <c r="F31" s="20" t="e">
        <f>VLOOKUP($B31,#REF!,5,0)</f>
        <v>#REF!</v>
      </c>
      <c r="G31" s="20" t="e">
        <f>VLOOKUP($B31,#REF!,6,0)</f>
        <v>#REF!</v>
      </c>
      <c r="H31" s="20" t="e">
        <f>VLOOKUP($B31,#REF!,7,0)</f>
        <v>#REF!</v>
      </c>
      <c r="I31" s="20" t="e">
        <f>VLOOKUP($B31,#REF!,8,0)</f>
        <v>#REF!</v>
      </c>
      <c r="J31" s="129"/>
      <c r="K31" s="34" t="s">
        <v>13</v>
      </c>
      <c r="L31" s="36">
        <v>42</v>
      </c>
      <c r="M31" s="36">
        <v>46</v>
      </c>
      <c r="N31" s="36">
        <v>42</v>
      </c>
      <c r="O31" s="134"/>
      <c r="P31" s="13"/>
      <c r="Q31" s="13"/>
      <c r="R31" s="13"/>
      <c r="S31" s="13"/>
      <c r="T31" s="13"/>
      <c r="AF31" s="12"/>
      <c r="AG31" s="12"/>
      <c r="AH31" s="14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</row>
    <row r="32" spans="2:73" ht="24" customHeight="1" x14ac:dyDescent="0.2">
      <c r="B32" s="135">
        <v>12</v>
      </c>
      <c r="C32" s="130" t="s">
        <v>32</v>
      </c>
      <c r="D32" s="19" t="e">
        <f>VLOOKUP($B32,#REF!,3,0)</f>
        <v>#REF!</v>
      </c>
      <c r="E32" s="19" t="e">
        <f>VLOOKUP($B32,#REF!,4,0)</f>
        <v>#REF!</v>
      </c>
      <c r="F32" s="19" t="e">
        <f>VLOOKUP($B32,#REF!,5,0)</f>
        <v>#REF!</v>
      </c>
      <c r="G32" s="19" t="e">
        <f>VLOOKUP($B32,#REF!,6,0)</f>
        <v>#REF!</v>
      </c>
      <c r="H32" s="19" t="e">
        <f>VLOOKUP($B32,#REF!,7,0)</f>
        <v>#REF!</v>
      </c>
      <c r="I32" s="19" t="e">
        <f>VLOOKUP($B32,#REF!,8,0)</f>
        <v>#REF!</v>
      </c>
      <c r="J32" s="132"/>
      <c r="K32" s="22" t="s">
        <v>12</v>
      </c>
      <c r="L32" s="35">
        <v>37</v>
      </c>
      <c r="M32" s="35">
        <v>30</v>
      </c>
      <c r="N32" s="35">
        <v>41</v>
      </c>
      <c r="O32" s="133"/>
      <c r="P32" s="13"/>
      <c r="Q32" s="13"/>
      <c r="R32" s="13"/>
      <c r="S32" s="13"/>
      <c r="T32" s="13"/>
    </row>
    <row r="33" spans="2:73" ht="24" customHeight="1" thickBot="1" x14ac:dyDescent="0.25">
      <c r="B33" s="125"/>
      <c r="C33" s="131"/>
      <c r="D33" s="20" t="e">
        <f>VLOOKUP($B33,#REF!,3,0)</f>
        <v>#REF!</v>
      </c>
      <c r="E33" s="20" t="e">
        <f>VLOOKUP($B33,#REF!,4,0)</f>
        <v>#REF!</v>
      </c>
      <c r="F33" s="20" t="e">
        <f>VLOOKUP($B33,#REF!,5,0)</f>
        <v>#REF!</v>
      </c>
      <c r="G33" s="20" t="e">
        <f>VLOOKUP($B33,#REF!,6,0)</f>
        <v>#REF!</v>
      </c>
      <c r="H33" s="20" t="e">
        <f>VLOOKUP($B33,#REF!,7,0)</f>
        <v>#REF!</v>
      </c>
      <c r="I33" s="20" t="e">
        <f>VLOOKUP($B33,#REF!,8,0)</f>
        <v>#REF!</v>
      </c>
      <c r="J33" s="129"/>
      <c r="K33" s="34" t="s">
        <v>13</v>
      </c>
      <c r="L33" s="36">
        <v>41</v>
      </c>
      <c r="M33" s="36">
        <v>41</v>
      </c>
      <c r="N33" s="36">
        <v>46</v>
      </c>
      <c r="O33" s="134"/>
      <c r="P33" s="13"/>
      <c r="Q33" s="13"/>
      <c r="R33" s="13"/>
      <c r="S33" s="13"/>
      <c r="T33" s="13"/>
      <c r="AF33" s="12"/>
      <c r="AG33" s="12"/>
      <c r="AH33" s="14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</row>
    <row r="34" spans="2:73" ht="24" customHeight="1" x14ac:dyDescent="0.2">
      <c r="B34" s="135">
        <v>13</v>
      </c>
      <c r="C34" s="130" t="s">
        <v>33</v>
      </c>
      <c r="D34" s="19" t="e">
        <f>VLOOKUP($B34,#REF!,3,0)</f>
        <v>#REF!</v>
      </c>
      <c r="E34" s="19" t="e">
        <f>VLOOKUP($B34,#REF!,4,0)</f>
        <v>#REF!</v>
      </c>
      <c r="F34" s="19" t="e">
        <f>VLOOKUP($B34,#REF!,5,0)</f>
        <v>#REF!</v>
      </c>
      <c r="G34" s="19" t="e">
        <f>VLOOKUP($B34,#REF!,6,0)</f>
        <v>#REF!</v>
      </c>
      <c r="H34" s="19" t="e">
        <f>VLOOKUP($B34,#REF!,7,0)</f>
        <v>#REF!</v>
      </c>
      <c r="I34" s="19" t="e">
        <f>VLOOKUP($B34,#REF!,8,0)</f>
        <v>#REF!</v>
      </c>
      <c r="J34" s="132"/>
      <c r="K34" s="22" t="s">
        <v>12</v>
      </c>
      <c r="L34" s="35">
        <v>28</v>
      </c>
      <c r="M34" s="35">
        <v>32</v>
      </c>
      <c r="N34" s="35">
        <v>36</v>
      </c>
      <c r="O34" s="133"/>
      <c r="P34" s="13"/>
      <c r="Q34" s="13"/>
      <c r="R34" s="13"/>
      <c r="S34" s="13"/>
      <c r="T34" s="13"/>
    </row>
    <row r="35" spans="2:73" ht="24" customHeight="1" thickBot="1" x14ac:dyDescent="0.25">
      <c r="B35" s="125"/>
      <c r="C35" s="131"/>
      <c r="D35" s="20" t="e">
        <f>VLOOKUP($B35,#REF!,3,0)</f>
        <v>#REF!</v>
      </c>
      <c r="E35" s="20" t="e">
        <f>VLOOKUP($B35,#REF!,4,0)</f>
        <v>#REF!</v>
      </c>
      <c r="F35" s="20" t="e">
        <f>VLOOKUP($B35,#REF!,5,0)</f>
        <v>#REF!</v>
      </c>
      <c r="G35" s="20" t="e">
        <f>VLOOKUP($B35,#REF!,6,0)</f>
        <v>#REF!</v>
      </c>
      <c r="H35" s="20" t="e">
        <f>VLOOKUP($B35,#REF!,7,0)</f>
        <v>#REF!</v>
      </c>
      <c r="I35" s="20" t="e">
        <f>VLOOKUP($B35,#REF!,8,0)</f>
        <v>#REF!</v>
      </c>
      <c r="J35" s="129"/>
      <c r="K35" s="34" t="s">
        <v>13</v>
      </c>
      <c r="L35" s="36">
        <v>43</v>
      </c>
      <c r="M35" s="36">
        <v>39</v>
      </c>
      <c r="N35" s="36">
        <v>41</v>
      </c>
      <c r="O35" s="134"/>
      <c r="P35" s="13"/>
      <c r="Q35" s="13"/>
      <c r="R35" s="13"/>
      <c r="S35" s="13"/>
      <c r="T35" s="13"/>
      <c r="AF35" s="12"/>
      <c r="AG35" s="12"/>
      <c r="AH35" s="14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</row>
    <row r="36" spans="2:73" ht="24" customHeight="1" x14ac:dyDescent="0.2">
      <c r="B36" s="135">
        <v>14</v>
      </c>
      <c r="C36" s="130" t="s">
        <v>32</v>
      </c>
      <c r="D36" s="19" t="e">
        <f>VLOOKUP($B36,#REF!,3,0)</f>
        <v>#REF!</v>
      </c>
      <c r="E36" s="19" t="e">
        <f>VLOOKUP($B36,#REF!,4,0)</f>
        <v>#REF!</v>
      </c>
      <c r="F36" s="19" t="e">
        <f>VLOOKUP($B36,#REF!,5,0)</f>
        <v>#REF!</v>
      </c>
      <c r="G36" s="19" t="e">
        <f>VLOOKUP($B36,#REF!,6,0)</f>
        <v>#REF!</v>
      </c>
      <c r="H36" s="19" t="e">
        <f>VLOOKUP($B36,#REF!,7,0)</f>
        <v>#REF!</v>
      </c>
      <c r="I36" s="19" t="e">
        <f>VLOOKUP($B36,#REF!,8,0)</f>
        <v>#REF!</v>
      </c>
      <c r="J36" s="132"/>
      <c r="K36" s="22" t="s">
        <v>12</v>
      </c>
      <c r="L36" s="35">
        <v>34</v>
      </c>
      <c r="M36" s="35">
        <v>31</v>
      </c>
      <c r="N36" s="35">
        <v>31</v>
      </c>
      <c r="O36" s="133"/>
      <c r="P36" s="13"/>
      <c r="Q36" s="13"/>
      <c r="R36" s="13"/>
      <c r="S36" s="13"/>
      <c r="T36" s="13"/>
    </row>
    <row r="37" spans="2:73" ht="24" customHeight="1" thickBot="1" x14ac:dyDescent="0.25">
      <c r="B37" s="125"/>
      <c r="C37" s="131"/>
      <c r="D37" s="20" t="e">
        <f>VLOOKUP($B37,#REF!,3,0)</f>
        <v>#REF!</v>
      </c>
      <c r="E37" s="20" t="e">
        <f>VLOOKUP($B37,#REF!,4,0)</f>
        <v>#REF!</v>
      </c>
      <c r="F37" s="20" t="e">
        <f>VLOOKUP($B37,#REF!,5,0)</f>
        <v>#REF!</v>
      </c>
      <c r="G37" s="20" t="e">
        <f>VLOOKUP($B37,#REF!,6,0)</f>
        <v>#REF!</v>
      </c>
      <c r="H37" s="20" t="e">
        <f>VLOOKUP($B37,#REF!,7,0)</f>
        <v>#REF!</v>
      </c>
      <c r="I37" s="20" t="e">
        <f>VLOOKUP($B37,#REF!,8,0)</f>
        <v>#REF!</v>
      </c>
      <c r="J37" s="129"/>
      <c r="K37" s="34" t="s">
        <v>13</v>
      </c>
      <c r="L37" s="36">
        <v>45</v>
      </c>
      <c r="M37" s="36">
        <v>42</v>
      </c>
      <c r="N37" s="36">
        <v>41</v>
      </c>
      <c r="O37" s="134"/>
      <c r="P37" s="13"/>
      <c r="Q37" s="13"/>
      <c r="R37" s="13"/>
      <c r="S37" s="13"/>
      <c r="T37" s="13"/>
      <c r="AF37" s="12"/>
      <c r="AG37" s="12"/>
      <c r="AH37" s="14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</row>
    <row r="38" spans="2:73" ht="24" customHeight="1" x14ac:dyDescent="0.2">
      <c r="B38" s="135">
        <v>15</v>
      </c>
      <c r="C38" s="130" t="s">
        <v>33</v>
      </c>
      <c r="D38" s="19" t="e">
        <f>VLOOKUP($B38,#REF!,3,0)</f>
        <v>#REF!</v>
      </c>
      <c r="E38" s="19" t="e">
        <f>VLOOKUP($B38,#REF!,4,0)</f>
        <v>#REF!</v>
      </c>
      <c r="F38" s="19" t="e">
        <f>VLOOKUP($B38,#REF!,5,0)</f>
        <v>#REF!</v>
      </c>
      <c r="G38" s="19" t="e">
        <f>VLOOKUP($B38,#REF!,6,0)</f>
        <v>#REF!</v>
      </c>
      <c r="H38" s="19" t="e">
        <f>VLOOKUP($B38,#REF!,7,0)</f>
        <v>#REF!</v>
      </c>
      <c r="I38" s="19" t="e">
        <f>VLOOKUP($B38,#REF!,8,0)</f>
        <v>#REF!</v>
      </c>
      <c r="J38" s="132">
        <v>1025</v>
      </c>
      <c r="K38" s="22" t="s">
        <v>12</v>
      </c>
      <c r="L38" s="44">
        <v>32</v>
      </c>
      <c r="M38" s="35">
        <v>34</v>
      </c>
      <c r="N38" s="35">
        <v>35</v>
      </c>
      <c r="O38" s="133"/>
      <c r="P38" s="13"/>
      <c r="Q38" s="13"/>
      <c r="R38" s="13"/>
      <c r="S38" s="13"/>
      <c r="T38" s="13"/>
    </row>
    <row r="39" spans="2:73" ht="24" customHeight="1" thickBot="1" x14ac:dyDescent="0.25">
      <c r="B39" s="125"/>
      <c r="C39" s="131"/>
      <c r="D39" s="20" t="e">
        <f>VLOOKUP($B39,#REF!,3,0)</f>
        <v>#REF!</v>
      </c>
      <c r="E39" s="20" t="e">
        <f>VLOOKUP($B39,#REF!,4,0)</f>
        <v>#REF!</v>
      </c>
      <c r="F39" s="20" t="e">
        <f>VLOOKUP($B39,#REF!,5,0)</f>
        <v>#REF!</v>
      </c>
      <c r="G39" s="20" t="e">
        <f>VLOOKUP($B39,#REF!,6,0)</f>
        <v>#REF!</v>
      </c>
      <c r="H39" s="20" t="e">
        <f>VLOOKUP($B39,#REF!,7,0)</f>
        <v>#REF!</v>
      </c>
      <c r="I39" s="20" t="e">
        <f>VLOOKUP($B39,#REF!,8,0)</f>
        <v>#REF!</v>
      </c>
      <c r="J39" s="129"/>
      <c r="K39" s="34" t="s">
        <v>13</v>
      </c>
      <c r="L39" s="36">
        <v>43</v>
      </c>
      <c r="M39" s="36">
        <v>41</v>
      </c>
      <c r="N39" s="36">
        <v>43</v>
      </c>
      <c r="O39" s="134"/>
      <c r="P39" s="13"/>
      <c r="Q39" s="13"/>
      <c r="R39" s="13"/>
      <c r="S39" s="13"/>
      <c r="T39" s="13"/>
      <c r="AF39" s="12"/>
      <c r="AG39" s="12"/>
      <c r="AH39" s="14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</row>
    <row r="40" spans="2:73" ht="24" customHeight="1" x14ac:dyDescent="0.2">
      <c r="B40" s="135">
        <v>16</v>
      </c>
      <c r="C40" s="126" t="s">
        <v>34</v>
      </c>
      <c r="D40" s="19" t="e">
        <f>VLOOKUP($B40,#REF!,3,0)</f>
        <v>#REF!</v>
      </c>
      <c r="E40" s="19" t="e">
        <f>VLOOKUP($B40,#REF!,4,0)</f>
        <v>#REF!</v>
      </c>
      <c r="F40" s="19" t="e">
        <f>VLOOKUP($B40,#REF!,5,0)</f>
        <v>#REF!</v>
      </c>
      <c r="G40" s="19" t="e">
        <f>VLOOKUP($B40,#REF!,6,0)</f>
        <v>#REF!</v>
      </c>
      <c r="H40" s="19" t="e">
        <f>VLOOKUP($B40,#REF!,7,0)</f>
        <v>#REF!</v>
      </c>
      <c r="I40" s="19" t="e">
        <f>VLOOKUP($B40,#REF!,8,0)</f>
        <v>#REF!</v>
      </c>
      <c r="J40" s="132">
        <v>1033</v>
      </c>
      <c r="K40" s="22" t="s">
        <v>12</v>
      </c>
      <c r="L40" s="44">
        <v>36</v>
      </c>
      <c r="M40" s="44">
        <v>38</v>
      </c>
      <c r="N40" s="35">
        <v>39</v>
      </c>
      <c r="O40" s="133" t="s">
        <v>30</v>
      </c>
      <c r="P40" s="13"/>
      <c r="Q40" s="13"/>
      <c r="R40" s="13"/>
      <c r="S40" s="13"/>
      <c r="T40" s="13"/>
    </row>
    <row r="41" spans="2:73" ht="24" customHeight="1" thickBot="1" x14ac:dyDescent="0.25">
      <c r="B41" s="125"/>
      <c r="C41" s="127"/>
      <c r="D41" s="20" t="e">
        <f>VLOOKUP($B41,#REF!,3,0)</f>
        <v>#REF!</v>
      </c>
      <c r="E41" s="20" t="e">
        <f>VLOOKUP($B41,#REF!,4,0)</f>
        <v>#REF!</v>
      </c>
      <c r="F41" s="20" t="e">
        <f>VLOOKUP($B41,#REF!,5,0)</f>
        <v>#REF!</v>
      </c>
      <c r="G41" s="20" t="e">
        <f>VLOOKUP($B41,#REF!,6,0)</f>
        <v>#REF!</v>
      </c>
      <c r="H41" s="20" t="e">
        <f>VLOOKUP($B41,#REF!,7,0)</f>
        <v>#REF!</v>
      </c>
      <c r="I41" s="20" t="e">
        <f>VLOOKUP($B41,#REF!,8,0)</f>
        <v>#REF!</v>
      </c>
      <c r="J41" s="129"/>
      <c r="K41" s="34" t="s">
        <v>13</v>
      </c>
      <c r="L41" s="36">
        <v>43</v>
      </c>
      <c r="M41" s="36">
        <v>45</v>
      </c>
      <c r="N41" s="36">
        <v>45</v>
      </c>
      <c r="O41" s="134"/>
      <c r="P41" s="13"/>
      <c r="Q41" s="13"/>
      <c r="R41" s="13"/>
      <c r="S41" s="13"/>
      <c r="T41" s="13"/>
      <c r="AF41" s="12"/>
      <c r="AG41" s="12"/>
      <c r="AH41" s="14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</row>
  </sheetData>
  <mergeCells count="66">
    <mergeCell ref="B40:B41"/>
    <mergeCell ref="C40:C41"/>
    <mergeCell ref="J40:J41"/>
    <mergeCell ref="O40:O41"/>
    <mergeCell ref="B36:B37"/>
    <mergeCell ref="C36:C37"/>
    <mergeCell ref="J36:J37"/>
    <mergeCell ref="O36:O37"/>
    <mergeCell ref="B38:B39"/>
    <mergeCell ref="C38:C39"/>
    <mergeCell ref="B30:B31"/>
    <mergeCell ref="C30:C31"/>
    <mergeCell ref="J30:J31"/>
    <mergeCell ref="O30:O31"/>
    <mergeCell ref="J38:J39"/>
    <mergeCell ref="O38:O39"/>
    <mergeCell ref="B32:B33"/>
    <mergeCell ref="C32:C33"/>
    <mergeCell ref="J32:J33"/>
    <mergeCell ref="O32:O33"/>
    <mergeCell ref="B34:B35"/>
    <mergeCell ref="C34:C35"/>
    <mergeCell ref="J34:J35"/>
    <mergeCell ref="O34:O35"/>
    <mergeCell ref="B26:B27"/>
    <mergeCell ref="C26:C27"/>
    <mergeCell ref="J26:J27"/>
    <mergeCell ref="O26:O27"/>
    <mergeCell ref="B28:B29"/>
    <mergeCell ref="C28:C29"/>
    <mergeCell ref="J28:J29"/>
    <mergeCell ref="O28:O29"/>
    <mergeCell ref="B22:B23"/>
    <mergeCell ref="C22:C23"/>
    <mergeCell ref="J22:J23"/>
    <mergeCell ref="O22:O23"/>
    <mergeCell ref="B24:B25"/>
    <mergeCell ref="C24:C25"/>
    <mergeCell ref="J24:J25"/>
    <mergeCell ref="O24:O25"/>
    <mergeCell ref="B18:B19"/>
    <mergeCell ref="C18:C19"/>
    <mergeCell ref="J18:J19"/>
    <mergeCell ref="O18:O19"/>
    <mergeCell ref="B20:B21"/>
    <mergeCell ref="C20:C21"/>
    <mergeCell ref="J20:J21"/>
    <mergeCell ref="O20:O21"/>
    <mergeCell ref="O14:O15"/>
    <mergeCell ref="B16:B17"/>
    <mergeCell ref="C16:C17"/>
    <mergeCell ref="J16:J17"/>
    <mergeCell ref="O16:O17"/>
    <mergeCell ref="B12:B13"/>
    <mergeCell ref="C12:C13"/>
    <mergeCell ref="J12:J13"/>
    <mergeCell ref="B14:B15"/>
    <mergeCell ref="C14:C15"/>
    <mergeCell ref="J14:J15"/>
    <mergeCell ref="AF5:AH5"/>
    <mergeCell ref="L6:N6"/>
    <mergeCell ref="O7:O8"/>
    <mergeCell ref="B8:K8"/>
    <mergeCell ref="B10:B11"/>
    <mergeCell ref="C10:C11"/>
    <mergeCell ref="J10:J11"/>
  </mergeCells>
  <pageMargins left="0.45" right="0" top="0.49" bottom="0" header="0.64" footer="0"/>
  <pageSetup paperSize="512" scale="7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AFD23-BFB4-42D8-88F8-05D50ECCB2DF}">
  <sheetPr>
    <pageSetUpPr fitToPage="1"/>
  </sheetPr>
  <dimension ref="A1:BU42"/>
  <sheetViews>
    <sheetView zoomScaleNormal="100" workbookViewId="0">
      <selection activeCell="C3" sqref="C3"/>
    </sheetView>
  </sheetViews>
  <sheetFormatPr defaultRowHeight="12.75" x14ac:dyDescent="0.2"/>
  <cols>
    <col min="1" max="1" width="5.42578125" customWidth="1"/>
    <col min="2" max="2" width="6.28515625" customWidth="1"/>
    <col min="3" max="3" width="12.7109375" customWidth="1"/>
    <col min="4" max="8" width="5.28515625" hidden="1" customWidth="1"/>
    <col min="9" max="9" width="7" hidden="1" customWidth="1"/>
    <col min="10" max="10" width="8.42578125" customWidth="1"/>
    <col min="11" max="14" width="12.7109375" customWidth="1"/>
    <col min="15" max="15" width="48.7109375" customWidth="1"/>
    <col min="22" max="22" width="7.5703125" customWidth="1"/>
    <col min="23" max="32" width="7.7109375" customWidth="1"/>
  </cols>
  <sheetData>
    <row r="1" spans="1:73" ht="15" customHeight="1" x14ac:dyDescent="0.25">
      <c r="A1" s="1" t="s">
        <v>40</v>
      </c>
    </row>
    <row r="2" spans="1:73" ht="20.25" customHeight="1" thickBot="1" x14ac:dyDescent="0.3">
      <c r="A2" s="1"/>
      <c r="M2" s="15" t="s">
        <v>0</v>
      </c>
      <c r="N2" s="23">
        <v>39976</v>
      </c>
      <c r="O2" s="29"/>
    </row>
    <row r="3" spans="1:73" ht="20.25" customHeight="1" thickBot="1" x14ac:dyDescent="0.25">
      <c r="A3" t="s">
        <v>1</v>
      </c>
      <c r="C3" s="38" t="s">
        <v>36</v>
      </c>
      <c r="D3" s="3"/>
      <c r="E3" s="3"/>
      <c r="F3" s="3"/>
      <c r="G3" s="3"/>
      <c r="H3" s="3"/>
      <c r="I3" s="3"/>
      <c r="J3" s="3"/>
      <c r="K3" s="3"/>
      <c r="L3" s="3"/>
      <c r="M3" s="15" t="s">
        <v>23</v>
      </c>
      <c r="N3" s="2">
        <v>163</v>
      </c>
      <c r="O3" s="30"/>
    </row>
    <row r="4" spans="1:73" ht="20.25" customHeight="1" thickBot="1" x14ac:dyDescent="0.25">
      <c r="B4" s="3"/>
      <c r="C4" s="38"/>
      <c r="D4" s="4"/>
      <c r="E4" s="4"/>
      <c r="F4" s="4"/>
      <c r="G4" s="4"/>
      <c r="H4" s="4"/>
      <c r="I4" s="4"/>
      <c r="J4" s="4"/>
      <c r="K4" s="4"/>
      <c r="L4" s="4"/>
      <c r="M4" s="15" t="s">
        <v>2</v>
      </c>
      <c r="N4" s="2" t="s">
        <v>26</v>
      </c>
      <c r="O4" s="30"/>
    </row>
    <row r="5" spans="1:73" ht="18" x14ac:dyDescent="0.2">
      <c r="AE5" s="5"/>
      <c r="AF5" s="115"/>
      <c r="AG5" s="115"/>
      <c r="AH5" s="115"/>
    </row>
    <row r="6" spans="1:73" ht="18" x14ac:dyDescent="0.25">
      <c r="L6" s="116"/>
      <c r="M6" s="117"/>
      <c r="N6" s="118"/>
      <c r="O6" s="31"/>
      <c r="AE6" s="5"/>
      <c r="AF6" s="24"/>
      <c r="AG6" s="24"/>
      <c r="AH6" s="24"/>
    </row>
    <row r="7" spans="1:73" ht="25.5" customHeight="1" x14ac:dyDescent="0.2">
      <c r="B7" s="6" t="s">
        <v>27</v>
      </c>
      <c r="C7" s="7"/>
      <c r="D7" s="7" t="s">
        <v>4</v>
      </c>
      <c r="E7" s="6" t="s">
        <v>5</v>
      </c>
      <c r="F7" s="7" t="s">
        <v>6</v>
      </c>
      <c r="G7" s="6" t="s">
        <v>7</v>
      </c>
      <c r="H7" s="6" t="s">
        <v>8</v>
      </c>
      <c r="I7" s="6" t="s">
        <v>9</v>
      </c>
      <c r="J7" s="6" t="s">
        <v>11</v>
      </c>
      <c r="K7" s="8" t="s">
        <v>24</v>
      </c>
      <c r="L7" s="22" t="s">
        <v>37</v>
      </c>
      <c r="M7" s="22" t="s">
        <v>38</v>
      </c>
      <c r="N7" s="22" t="s">
        <v>39</v>
      </c>
      <c r="O7" s="119" t="s">
        <v>25</v>
      </c>
      <c r="AE7" s="10"/>
      <c r="AF7" s="9"/>
      <c r="AG7" s="9"/>
      <c r="AH7" s="11"/>
    </row>
    <row r="8" spans="1:73" ht="15.95" customHeight="1" thickBot="1" x14ac:dyDescent="0.25">
      <c r="B8" s="121"/>
      <c r="C8" s="122"/>
      <c r="D8" s="122"/>
      <c r="E8" s="122"/>
      <c r="F8" s="122"/>
      <c r="G8" s="122"/>
      <c r="H8" s="122"/>
      <c r="I8" s="122"/>
      <c r="J8" s="122"/>
      <c r="K8" s="123"/>
      <c r="L8" s="39" t="s">
        <v>29</v>
      </c>
      <c r="M8" s="39"/>
      <c r="N8" s="39"/>
      <c r="O8" s="120"/>
      <c r="AF8" s="12"/>
      <c r="AG8" s="12"/>
      <c r="AH8" s="12"/>
    </row>
    <row r="9" spans="1:73" ht="15.95" hidden="1" customHeight="1" x14ac:dyDescent="0.2">
      <c r="B9" s="25" t="s">
        <v>3</v>
      </c>
      <c r="C9" s="26" t="s">
        <v>10</v>
      </c>
      <c r="D9" s="26" t="s">
        <v>14</v>
      </c>
      <c r="E9" s="25" t="s">
        <v>15</v>
      </c>
      <c r="F9" s="26" t="s">
        <v>16</v>
      </c>
      <c r="G9" s="25" t="s">
        <v>17</v>
      </c>
      <c r="H9" s="25" t="s">
        <v>8</v>
      </c>
      <c r="I9" s="25" t="s">
        <v>18</v>
      </c>
      <c r="J9" s="27" t="s">
        <v>11</v>
      </c>
      <c r="K9" s="27" t="s">
        <v>19</v>
      </c>
      <c r="L9" s="28" t="s">
        <v>20</v>
      </c>
      <c r="M9" s="28" t="s">
        <v>21</v>
      </c>
      <c r="N9" s="28" t="s">
        <v>22</v>
      </c>
      <c r="O9" s="32"/>
      <c r="AF9" s="12"/>
      <c r="AG9" s="12"/>
      <c r="AH9" s="12"/>
    </row>
    <row r="10" spans="1:73" ht="24" customHeight="1" x14ac:dyDescent="0.2">
      <c r="B10" s="124">
        <v>1</v>
      </c>
      <c r="C10" s="126" t="s">
        <v>31</v>
      </c>
      <c r="D10" s="19" t="e">
        <f>VLOOKUP($B10,#REF!,3,0)</f>
        <v>#REF!</v>
      </c>
      <c r="E10" s="19" t="e">
        <f>VLOOKUP($B10,#REF!,4,0)</f>
        <v>#REF!</v>
      </c>
      <c r="F10" s="19" t="e">
        <f>VLOOKUP($B10,#REF!,5,0)</f>
        <v>#REF!</v>
      </c>
      <c r="G10" s="19" t="e">
        <f>VLOOKUP($B10,#REF!,6,0)</f>
        <v>#REF!</v>
      </c>
      <c r="H10" s="19" t="e">
        <f>VLOOKUP($B10,#REF!,7,0)</f>
        <v>#REF!</v>
      </c>
      <c r="I10" s="19" t="e">
        <f>VLOOKUP($B10,#REF!,8,0)</f>
        <v>#REF!</v>
      </c>
      <c r="J10" s="128">
        <v>1015</v>
      </c>
      <c r="K10" s="22" t="s">
        <v>12</v>
      </c>
      <c r="L10" s="35">
        <v>45</v>
      </c>
      <c r="M10" s="35">
        <v>45</v>
      </c>
      <c r="N10" s="44">
        <v>48</v>
      </c>
      <c r="O10" s="40"/>
      <c r="P10" s="13"/>
      <c r="Q10" s="13"/>
      <c r="R10" s="13"/>
      <c r="S10" s="13"/>
      <c r="T10" s="13"/>
      <c r="AF10" s="12"/>
      <c r="AG10" s="12"/>
      <c r="AH10" s="14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</row>
    <row r="11" spans="1:73" ht="24" customHeight="1" thickBot="1" x14ac:dyDescent="0.25">
      <c r="B11" s="125"/>
      <c r="C11" s="127"/>
      <c r="D11" s="20" t="e">
        <f>VLOOKUP($B11,#REF!,3,0)</f>
        <v>#REF!</v>
      </c>
      <c r="E11" s="20" t="e">
        <f>VLOOKUP($B11,#REF!,4,0)</f>
        <v>#REF!</v>
      </c>
      <c r="F11" s="20" t="e">
        <f>VLOOKUP($B11,#REF!,5,0)</f>
        <v>#REF!</v>
      </c>
      <c r="G11" s="20" t="e">
        <f>VLOOKUP($B11,#REF!,6,0)</f>
        <v>#REF!</v>
      </c>
      <c r="H11" s="20" t="e">
        <f>VLOOKUP($B11,#REF!,7,0)</f>
        <v>#REF!</v>
      </c>
      <c r="I11" s="20" t="e">
        <f>VLOOKUP($B11,#REF!,8,0)</f>
        <v>#REF!</v>
      </c>
      <c r="J11" s="129"/>
      <c r="K11" s="34" t="s">
        <v>13</v>
      </c>
      <c r="L11" s="36">
        <v>55</v>
      </c>
      <c r="M11" s="36">
        <v>53</v>
      </c>
      <c r="N11" s="36">
        <v>57</v>
      </c>
      <c r="O11" s="41"/>
      <c r="P11" s="13"/>
      <c r="Q11" s="13"/>
      <c r="R11" s="13"/>
      <c r="S11" s="13"/>
      <c r="T11" s="13"/>
      <c r="AF11" s="12"/>
      <c r="AG11" s="12"/>
      <c r="AH11" s="14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</row>
    <row r="12" spans="1:73" ht="24" customHeight="1" x14ac:dyDescent="0.2">
      <c r="B12" s="124">
        <v>2</v>
      </c>
      <c r="C12" s="130" t="s">
        <v>32</v>
      </c>
      <c r="D12" s="21" t="e">
        <f>VLOOKUP($B12,#REF!,3,0)</f>
        <v>#REF!</v>
      </c>
      <c r="E12" s="21" t="e">
        <f>VLOOKUP($B12,#REF!,4,0)</f>
        <v>#REF!</v>
      </c>
      <c r="F12" s="21" t="e">
        <f>VLOOKUP($B12,#REF!,5,0)</f>
        <v>#REF!</v>
      </c>
      <c r="G12" s="21" t="e">
        <f>VLOOKUP($B12,#REF!,6,0)</f>
        <v>#REF!</v>
      </c>
      <c r="H12" s="21" t="e">
        <f>VLOOKUP($B12,#REF!,7,0)</f>
        <v>#REF!</v>
      </c>
      <c r="I12" s="21" t="e">
        <f>VLOOKUP($B12,#REF!,8,0)</f>
        <v>#REF!</v>
      </c>
      <c r="J12" s="132"/>
      <c r="K12" s="33" t="s">
        <v>12</v>
      </c>
      <c r="L12" s="35">
        <v>49</v>
      </c>
      <c r="M12" s="35">
        <v>51</v>
      </c>
      <c r="N12" s="35">
        <v>52</v>
      </c>
      <c r="O12" s="42"/>
      <c r="P12" s="13"/>
      <c r="Q12" s="16"/>
      <c r="R12" s="13"/>
      <c r="S12" s="17"/>
      <c r="T12" s="13"/>
      <c r="AF12" s="12"/>
      <c r="AG12" s="12"/>
      <c r="AH12" s="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</row>
    <row r="13" spans="1:73" ht="24" customHeight="1" thickBot="1" x14ac:dyDescent="0.25">
      <c r="B13" s="125"/>
      <c r="C13" s="131"/>
      <c r="D13" s="20" t="e">
        <f>VLOOKUP($B13,#REF!,3,0)</f>
        <v>#REF!</v>
      </c>
      <c r="E13" s="20" t="e">
        <f>VLOOKUP($B13,#REF!,4,0)</f>
        <v>#REF!</v>
      </c>
      <c r="F13" s="20" t="e">
        <f>VLOOKUP($B13,#REF!,5,0)</f>
        <v>#REF!</v>
      </c>
      <c r="G13" s="20" t="e">
        <f>VLOOKUP($B13,#REF!,6,0)</f>
        <v>#REF!</v>
      </c>
      <c r="H13" s="20" t="e">
        <f>VLOOKUP($B13,#REF!,7,0)</f>
        <v>#REF!</v>
      </c>
      <c r="I13" s="20" t="e">
        <f>VLOOKUP($B13,#REF!,8,0)</f>
        <v>#REF!</v>
      </c>
      <c r="J13" s="129"/>
      <c r="K13" s="34" t="s">
        <v>13</v>
      </c>
      <c r="L13" s="37">
        <v>62</v>
      </c>
      <c r="M13" s="36">
        <v>63</v>
      </c>
      <c r="N13" s="36">
        <v>61</v>
      </c>
      <c r="O13" s="43"/>
      <c r="P13" s="13"/>
      <c r="Q13" s="13"/>
      <c r="R13" s="13"/>
      <c r="S13" s="13"/>
      <c r="T13" s="13"/>
      <c r="AF13" s="12"/>
      <c r="AG13" s="12"/>
      <c r="AH13" s="14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</row>
    <row r="14" spans="1:73" ht="24" customHeight="1" x14ac:dyDescent="0.2">
      <c r="B14" s="124">
        <v>3</v>
      </c>
      <c r="C14" s="130" t="s">
        <v>33</v>
      </c>
      <c r="D14" s="19" t="e">
        <f>VLOOKUP($B14,#REF!,3,0)</f>
        <v>#REF!</v>
      </c>
      <c r="E14" s="19" t="e">
        <f>VLOOKUP($B14,#REF!,4,0)</f>
        <v>#REF!</v>
      </c>
      <c r="F14" s="19" t="e">
        <f>VLOOKUP($B14,#REF!,5,0)</f>
        <v>#REF!</v>
      </c>
      <c r="G14" s="19" t="e">
        <f>VLOOKUP($B14,#REF!,6,0)</f>
        <v>#REF!</v>
      </c>
      <c r="H14" s="19" t="e">
        <f>VLOOKUP($B14,#REF!,7,0)</f>
        <v>#REF!</v>
      </c>
      <c r="I14" s="19" t="e">
        <f>VLOOKUP($B14,#REF!,8,0)</f>
        <v>#REF!</v>
      </c>
      <c r="J14" s="132"/>
      <c r="K14" s="22" t="s">
        <v>12</v>
      </c>
      <c r="L14" s="35">
        <v>53</v>
      </c>
      <c r="M14" s="35">
        <v>51</v>
      </c>
      <c r="N14" s="35">
        <v>56</v>
      </c>
      <c r="O14" s="133"/>
      <c r="P14" s="13"/>
      <c r="Q14" s="13"/>
      <c r="R14" s="13"/>
      <c r="S14" s="13"/>
      <c r="T14" s="13"/>
      <c r="AF14" s="12"/>
      <c r="AG14" s="12"/>
      <c r="AH14" s="12"/>
    </row>
    <row r="15" spans="1:73" ht="24" customHeight="1" thickBot="1" x14ac:dyDescent="0.25">
      <c r="B15" s="125"/>
      <c r="C15" s="131"/>
      <c r="D15" s="20" t="e">
        <f>VLOOKUP($B15,#REF!,3,0)</f>
        <v>#REF!</v>
      </c>
      <c r="E15" s="20" t="e">
        <f>VLOOKUP($B15,#REF!,4,0)</f>
        <v>#REF!</v>
      </c>
      <c r="F15" s="20" t="e">
        <f>VLOOKUP($B15,#REF!,5,0)</f>
        <v>#REF!</v>
      </c>
      <c r="G15" s="20" t="e">
        <f>VLOOKUP($B15,#REF!,6,0)</f>
        <v>#REF!</v>
      </c>
      <c r="H15" s="20" t="e">
        <f>VLOOKUP($B15,#REF!,7,0)</f>
        <v>#REF!</v>
      </c>
      <c r="I15" s="20" t="e">
        <f>VLOOKUP($B15,#REF!,8,0)</f>
        <v>#REF!</v>
      </c>
      <c r="J15" s="129"/>
      <c r="K15" s="34" t="s">
        <v>13</v>
      </c>
      <c r="L15" s="36">
        <v>61</v>
      </c>
      <c r="M15" s="36">
        <v>62</v>
      </c>
      <c r="N15" s="36">
        <v>64</v>
      </c>
      <c r="O15" s="134"/>
      <c r="P15" s="13"/>
      <c r="Q15" s="13"/>
      <c r="R15" s="13"/>
      <c r="S15" s="13"/>
      <c r="T15" s="13"/>
      <c r="AF15" s="12"/>
      <c r="AG15" s="12"/>
      <c r="AH15" s="14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</row>
    <row r="16" spans="1:73" ht="24" customHeight="1" x14ac:dyDescent="0.2">
      <c r="B16" s="124">
        <v>4</v>
      </c>
      <c r="C16" s="130" t="s">
        <v>32</v>
      </c>
      <c r="D16" s="19" t="e">
        <f>VLOOKUP($B16,#REF!,3,0)</f>
        <v>#REF!</v>
      </c>
      <c r="E16" s="19" t="e">
        <f>VLOOKUP($B16,#REF!,4,0)</f>
        <v>#REF!</v>
      </c>
      <c r="F16" s="19" t="e">
        <f>VLOOKUP($B16,#REF!,5,0)</f>
        <v>#REF!</v>
      </c>
      <c r="G16" s="19" t="e">
        <f>VLOOKUP($B16,#REF!,6,0)</f>
        <v>#REF!</v>
      </c>
      <c r="H16" s="19" t="e">
        <f>VLOOKUP($B16,#REF!,7,0)</f>
        <v>#REF!</v>
      </c>
      <c r="I16" s="19" t="e">
        <f>VLOOKUP($B16,#REF!,8,0)</f>
        <v>#REF!</v>
      </c>
      <c r="J16" s="132"/>
      <c r="K16" s="22" t="s">
        <v>12</v>
      </c>
      <c r="L16" s="35">
        <v>43</v>
      </c>
      <c r="M16" s="35">
        <v>48</v>
      </c>
      <c r="N16" s="44">
        <v>48</v>
      </c>
      <c r="O16" s="133"/>
      <c r="P16" s="13"/>
      <c r="Q16" s="13"/>
      <c r="R16" s="13"/>
      <c r="S16" s="13"/>
      <c r="T16" s="13"/>
    </row>
    <row r="17" spans="2:73" ht="24" customHeight="1" thickBot="1" x14ac:dyDescent="0.25">
      <c r="B17" s="125"/>
      <c r="C17" s="131"/>
      <c r="D17" s="20" t="e">
        <f>VLOOKUP($B17,#REF!,3,0)</f>
        <v>#REF!</v>
      </c>
      <c r="E17" s="20" t="e">
        <f>VLOOKUP($B17,#REF!,4,0)</f>
        <v>#REF!</v>
      </c>
      <c r="F17" s="20" t="e">
        <f>VLOOKUP($B17,#REF!,5,0)</f>
        <v>#REF!</v>
      </c>
      <c r="G17" s="20" t="e">
        <f>VLOOKUP($B17,#REF!,6,0)</f>
        <v>#REF!</v>
      </c>
      <c r="H17" s="20" t="e">
        <f>VLOOKUP($B17,#REF!,7,0)</f>
        <v>#REF!</v>
      </c>
      <c r="I17" s="20" t="e">
        <f>VLOOKUP($B17,#REF!,8,0)</f>
        <v>#REF!</v>
      </c>
      <c r="J17" s="129"/>
      <c r="K17" s="34" t="s">
        <v>13</v>
      </c>
      <c r="L17" s="36">
        <v>54</v>
      </c>
      <c r="M17" s="36">
        <v>59</v>
      </c>
      <c r="N17" s="36">
        <v>55</v>
      </c>
      <c r="O17" s="134"/>
      <c r="P17" s="13"/>
      <c r="Q17" s="13"/>
      <c r="R17" s="13"/>
      <c r="S17" s="13"/>
      <c r="T17" s="13"/>
      <c r="AF17" s="12"/>
      <c r="AG17" s="12"/>
      <c r="AH17" s="14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</row>
    <row r="18" spans="2:73" ht="24" customHeight="1" x14ac:dyDescent="0.2">
      <c r="B18" s="124">
        <v>5</v>
      </c>
      <c r="C18" s="130" t="s">
        <v>33</v>
      </c>
      <c r="D18" s="19" t="e">
        <f>VLOOKUP($B18,#REF!,3,0)</f>
        <v>#REF!</v>
      </c>
      <c r="E18" s="19" t="e">
        <f>VLOOKUP($B18,#REF!,4,0)</f>
        <v>#REF!</v>
      </c>
      <c r="F18" s="19" t="e">
        <f>VLOOKUP($B18,#REF!,5,0)</f>
        <v>#REF!</v>
      </c>
      <c r="G18" s="19" t="e">
        <f>VLOOKUP($B18,#REF!,6,0)</f>
        <v>#REF!</v>
      </c>
      <c r="H18" s="19" t="e">
        <f>VLOOKUP($B18,#REF!,7,0)</f>
        <v>#REF!</v>
      </c>
      <c r="I18" s="19" t="e">
        <f>VLOOKUP($B18,#REF!,8,0)</f>
        <v>#REF!</v>
      </c>
      <c r="J18" s="132"/>
      <c r="K18" s="22" t="s">
        <v>12</v>
      </c>
      <c r="L18" s="44">
        <v>50</v>
      </c>
      <c r="M18" s="35">
        <v>53</v>
      </c>
      <c r="N18" s="44">
        <v>53</v>
      </c>
      <c r="O18" s="133"/>
      <c r="P18" s="13"/>
      <c r="Q18" s="13"/>
      <c r="R18" s="13"/>
      <c r="S18" s="13"/>
      <c r="T18" s="13"/>
      <c r="AF18" s="12"/>
      <c r="AG18" s="12"/>
      <c r="AH18" s="12"/>
    </row>
    <row r="19" spans="2:73" ht="24" customHeight="1" thickBot="1" x14ac:dyDescent="0.25">
      <c r="B19" s="125"/>
      <c r="C19" s="131"/>
      <c r="D19" s="20" t="e">
        <f>VLOOKUP($B19,#REF!,3,0)</f>
        <v>#REF!</v>
      </c>
      <c r="E19" s="20" t="e">
        <f>VLOOKUP($B19,#REF!,4,0)</f>
        <v>#REF!</v>
      </c>
      <c r="F19" s="20" t="e">
        <f>VLOOKUP($B19,#REF!,5,0)</f>
        <v>#REF!</v>
      </c>
      <c r="G19" s="20" t="e">
        <f>VLOOKUP($B19,#REF!,6,0)</f>
        <v>#REF!</v>
      </c>
      <c r="H19" s="20" t="e">
        <f>VLOOKUP($B19,#REF!,7,0)</f>
        <v>#REF!</v>
      </c>
      <c r="I19" s="20" t="e">
        <f>VLOOKUP($B19,#REF!,8,0)</f>
        <v>#REF!</v>
      </c>
      <c r="J19" s="129"/>
      <c r="K19" s="34" t="s">
        <v>13</v>
      </c>
      <c r="L19" s="36">
        <v>60</v>
      </c>
      <c r="M19" s="36">
        <v>61</v>
      </c>
      <c r="N19" s="36">
        <v>58</v>
      </c>
      <c r="O19" s="134"/>
      <c r="P19" s="13"/>
      <c r="Q19" s="13"/>
      <c r="R19" s="13"/>
      <c r="S19" s="13"/>
      <c r="T19" s="13"/>
      <c r="AF19" s="12"/>
      <c r="AG19" s="12"/>
      <c r="AH19" s="14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</row>
    <row r="20" spans="2:73" ht="24" customHeight="1" x14ac:dyDescent="0.2">
      <c r="B20" s="124">
        <v>6</v>
      </c>
      <c r="C20" s="130" t="s">
        <v>32</v>
      </c>
      <c r="D20" s="19" t="e">
        <f>VLOOKUP($B20,#REF!,3,0)</f>
        <v>#REF!</v>
      </c>
      <c r="E20" s="19" t="e">
        <f>VLOOKUP($B20,#REF!,4,0)</f>
        <v>#REF!</v>
      </c>
      <c r="F20" s="19" t="e">
        <f>VLOOKUP($B20,#REF!,5,0)</f>
        <v>#REF!</v>
      </c>
      <c r="G20" s="19" t="e">
        <f>VLOOKUP($B20,#REF!,6,0)</f>
        <v>#REF!</v>
      </c>
      <c r="H20" s="19" t="e">
        <f>VLOOKUP($B20,#REF!,7,0)</f>
        <v>#REF!</v>
      </c>
      <c r="I20" s="19" t="e">
        <f>VLOOKUP($B20,#REF!,8,0)</f>
        <v>#REF!</v>
      </c>
      <c r="J20" s="132"/>
      <c r="K20" s="22" t="s">
        <v>12</v>
      </c>
      <c r="L20" s="35">
        <v>53</v>
      </c>
      <c r="M20" s="35">
        <v>51</v>
      </c>
      <c r="N20" s="35">
        <v>55</v>
      </c>
      <c r="O20" s="133"/>
      <c r="P20" s="13"/>
      <c r="Q20" s="13"/>
      <c r="R20" s="13"/>
      <c r="S20" s="13"/>
      <c r="T20" s="13"/>
      <c r="AF20" s="12"/>
      <c r="AG20" s="12"/>
      <c r="AH20" s="12"/>
    </row>
    <row r="21" spans="2:73" ht="24" customHeight="1" thickBot="1" x14ac:dyDescent="0.25">
      <c r="B21" s="125"/>
      <c r="C21" s="131"/>
      <c r="D21" s="20" t="e">
        <f>VLOOKUP($B21,#REF!,3,0)</f>
        <v>#REF!</v>
      </c>
      <c r="E21" s="20" t="e">
        <f>VLOOKUP($B21,#REF!,4,0)</f>
        <v>#REF!</v>
      </c>
      <c r="F21" s="20" t="e">
        <f>VLOOKUP($B21,#REF!,5,0)</f>
        <v>#REF!</v>
      </c>
      <c r="G21" s="20" t="e">
        <f>VLOOKUP($B21,#REF!,6,0)</f>
        <v>#REF!</v>
      </c>
      <c r="H21" s="20" t="e">
        <f>VLOOKUP($B21,#REF!,7,0)</f>
        <v>#REF!</v>
      </c>
      <c r="I21" s="20" t="e">
        <f>VLOOKUP($B21,#REF!,8,0)</f>
        <v>#REF!</v>
      </c>
      <c r="J21" s="129"/>
      <c r="K21" s="34" t="s">
        <v>13</v>
      </c>
      <c r="L21" s="36">
        <v>56</v>
      </c>
      <c r="M21" s="36">
        <v>59</v>
      </c>
      <c r="N21" s="36">
        <v>62</v>
      </c>
      <c r="O21" s="134"/>
      <c r="P21" s="13"/>
      <c r="Q21" s="13"/>
      <c r="R21" s="13"/>
      <c r="S21" s="13"/>
      <c r="T21" s="13"/>
      <c r="AF21" s="12"/>
      <c r="AG21" s="12"/>
      <c r="AH21" s="14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spans="2:73" ht="24" customHeight="1" x14ac:dyDescent="0.2">
      <c r="B22" s="124">
        <v>7</v>
      </c>
      <c r="C22" s="130" t="s">
        <v>33</v>
      </c>
      <c r="D22" s="19" t="e">
        <f>VLOOKUP($B22,#REF!,3,0)</f>
        <v>#REF!</v>
      </c>
      <c r="E22" s="19" t="e">
        <f>VLOOKUP($B22,#REF!,4,0)</f>
        <v>#REF!</v>
      </c>
      <c r="F22" s="19" t="e">
        <f>VLOOKUP($B22,#REF!,5,0)</f>
        <v>#REF!</v>
      </c>
      <c r="G22" s="19" t="e">
        <f>VLOOKUP($B22,#REF!,6,0)</f>
        <v>#REF!</v>
      </c>
      <c r="H22" s="19" t="e">
        <f>VLOOKUP($B22,#REF!,7,0)</f>
        <v>#REF!</v>
      </c>
      <c r="I22" s="19" t="e">
        <f>VLOOKUP($B22,#REF!,8,0)</f>
        <v>#REF!</v>
      </c>
      <c r="J22" s="132"/>
      <c r="K22" s="22" t="s">
        <v>12</v>
      </c>
      <c r="L22" s="35">
        <v>58</v>
      </c>
      <c r="M22" s="35">
        <v>55</v>
      </c>
      <c r="N22" s="35">
        <v>51</v>
      </c>
      <c r="O22" s="133"/>
      <c r="P22" s="13"/>
      <c r="Q22" s="13"/>
      <c r="R22" s="13"/>
      <c r="S22" s="13"/>
      <c r="T22" s="13"/>
      <c r="AF22" s="12"/>
      <c r="AG22" s="12"/>
      <c r="AH22" s="12"/>
    </row>
    <row r="23" spans="2:73" ht="24" customHeight="1" thickBot="1" x14ac:dyDescent="0.25">
      <c r="B23" s="125"/>
      <c r="C23" s="131"/>
      <c r="D23" s="20" t="e">
        <f>VLOOKUP($B23,#REF!,3,0)</f>
        <v>#REF!</v>
      </c>
      <c r="E23" s="20" t="e">
        <f>VLOOKUP($B23,#REF!,4,0)</f>
        <v>#REF!</v>
      </c>
      <c r="F23" s="20" t="e">
        <f>VLOOKUP($B23,#REF!,5,0)</f>
        <v>#REF!</v>
      </c>
      <c r="G23" s="20" t="e">
        <f>VLOOKUP($B23,#REF!,6,0)</f>
        <v>#REF!</v>
      </c>
      <c r="H23" s="20" t="e">
        <f>VLOOKUP($B23,#REF!,7,0)</f>
        <v>#REF!</v>
      </c>
      <c r="I23" s="20" t="e">
        <f>VLOOKUP($B23,#REF!,8,0)</f>
        <v>#REF!</v>
      </c>
      <c r="J23" s="129"/>
      <c r="K23" s="34" t="s">
        <v>13</v>
      </c>
      <c r="L23" s="36">
        <v>58</v>
      </c>
      <c r="M23" s="36">
        <v>57</v>
      </c>
      <c r="N23" s="36">
        <v>64</v>
      </c>
      <c r="O23" s="134"/>
      <c r="P23" s="13"/>
      <c r="Q23" s="13"/>
      <c r="R23" s="13"/>
      <c r="S23" s="13"/>
      <c r="T23" s="13"/>
      <c r="AF23" s="12"/>
      <c r="AG23" s="12"/>
      <c r="AH23" s="14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</row>
    <row r="24" spans="2:73" ht="24" customHeight="1" x14ac:dyDescent="0.2">
      <c r="B24" s="124">
        <v>8</v>
      </c>
      <c r="C24" s="130" t="s">
        <v>32</v>
      </c>
      <c r="D24" s="19" t="e">
        <f>VLOOKUP($B24,#REF!,3,0)</f>
        <v>#REF!</v>
      </c>
      <c r="E24" s="19" t="e">
        <f>VLOOKUP($B24,#REF!,4,0)</f>
        <v>#REF!</v>
      </c>
      <c r="F24" s="19" t="e">
        <f>VLOOKUP($B24,#REF!,5,0)</f>
        <v>#REF!</v>
      </c>
      <c r="G24" s="19" t="e">
        <f>VLOOKUP($B24,#REF!,6,0)</f>
        <v>#REF!</v>
      </c>
      <c r="H24" s="19" t="e">
        <f>VLOOKUP($B24,#REF!,7,0)</f>
        <v>#REF!</v>
      </c>
      <c r="I24" s="19" t="e">
        <f>VLOOKUP($B24,#REF!,8,0)</f>
        <v>#REF!</v>
      </c>
      <c r="J24" s="132"/>
      <c r="K24" s="22" t="s">
        <v>12</v>
      </c>
      <c r="L24" s="35">
        <v>51</v>
      </c>
      <c r="M24" s="35">
        <v>45</v>
      </c>
      <c r="N24" s="35">
        <v>39</v>
      </c>
      <c r="O24" s="133"/>
      <c r="P24" s="13"/>
      <c r="Q24" s="13"/>
      <c r="R24" s="13"/>
      <c r="S24" s="13"/>
      <c r="T24" s="13"/>
      <c r="AF24" s="9"/>
      <c r="AG24" s="9"/>
      <c r="AH24" s="9"/>
    </row>
    <row r="25" spans="2:73" ht="24" customHeight="1" thickBot="1" x14ac:dyDescent="0.25">
      <c r="B25" s="125"/>
      <c r="C25" s="131"/>
      <c r="D25" s="20" t="e">
        <f>VLOOKUP($B25,#REF!,3,0)</f>
        <v>#REF!</v>
      </c>
      <c r="E25" s="20" t="e">
        <f>VLOOKUP($B25,#REF!,4,0)</f>
        <v>#REF!</v>
      </c>
      <c r="F25" s="20" t="e">
        <f>VLOOKUP($B25,#REF!,5,0)</f>
        <v>#REF!</v>
      </c>
      <c r="G25" s="20" t="e">
        <f>VLOOKUP($B25,#REF!,6,0)</f>
        <v>#REF!</v>
      </c>
      <c r="H25" s="20" t="e">
        <f>VLOOKUP($B25,#REF!,7,0)</f>
        <v>#REF!</v>
      </c>
      <c r="I25" s="20" t="e">
        <f>VLOOKUP($B25,#REF!,8,0)</f>
        <v>#REF!</v>
      </c>
      <c r="J25" s="129"/>
      <c r="K25" s="34" t="s">
        <v>13</v>
      </c>
      <c r="L25" s="36">
        <v>57</v>
      </c>
      <c r="M25" s="36">
        <v>58</v>
      </c>
      <c r="N25" s="36">
        <v>50</v>
      </c>
      <c r="O25" s="134"/>
      <c r="P25" s="13"/>
      <c r="Q25" s="13"/>
      <c r="R25" s="13"/>
      <c r="S25" s="13"/>
      <c r="T25" s="13"/>
      <c r="AF25" s="12"/>
      <c r="AG25" s="12"/>
      <c r="AH25" s="14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</row>
    <row r="26" spans="2:73" ht="24" customHeight="1" x14ac:dyDescent="0.2">
      <c r="B26" s="124">
        <v>9</v>
      </c>
      <c r="C26" s="130" t="s">
        <v>33</v>
      </c>
      <c r="D26" s="19" t="e">
        <f>VLOOKUP($B26,#REF!,3,0)</f>
        <v>#REF!</v>
      </c>
      <c r="E26" s="19" t="e">
        <f>VLOOKUP($B26,#REF!,4,0)</f>
        <v>#REF!</v>
      </c>
      <c r="F26" s="19" t="e">
        <f>VLOOKUP($B26,#REF!,5,0)</f>
        <v>#REF!</v>
      </c>
      <c r="G26" s="19" t="e">
        <f>VLOOKUP($B26,#REF!,6,0)</f>
        <v>#REF!</v>
      </c>
      <c r="H26" s="19" t="e">
        <f>VLOOKUP($B26,#REF!,7,0)</f>
        <v>#REF!</v>
      </c>
      <c r="I26" s="19" t="e">
        <f>VLOOKUP($B26,#REF!,8,0)</f>
        <v>#REF!</v>
      </c>
      <c r="J26" s="132"/>
      <c r="K26" s="22" t="s">
        <v>12</v>
      </c>
      <c r="L26" s="35">
        <v>51</v>
      </c>
      <c r="M26" s="35">
        <v>51</v>
      </c>
      <c r="N26" s="35">
        <v>54</v>
      </c>
      <c r="O26" s="133"/>
      <c r="P26" s="13"/>
      <c r="Q26" s="13"/>
      <c r="R26" s="13"/>
      <c r="S26" s="13"/>
      <c r="T26" s="13"/>
      <c r="AF26" s="12"/>
      <c r="AG26" s="12"/>
      <c r="AH26" s="12"/>
    </row>
    <row r="27" spans="2:73" ht="24" customHeight="1" thickBot="1" x14ac:dyDescent="0.25">
      <c r="B27" s="125"/>
      <c r="C27" s="131"/>
      <c r="D27" s="20" t="e">
        <f>VLOOKUP($B27,#REF!,3,0)</f>
        <v>#REF!</v>
      </c>
      <c r="E27" s="20" t="e">
        <f>VLOOKUP($B27,#REF!,4,0)</f>
        <v>#REF!</v>
      </c>
      <c r="F27" s="20" t="e">
        <f>VLOOKUP($B27,#REF!,5,0)</f>
        <v>#REF!</v>
      </c>
      <c r="G27" s="20" t="e">
        <f>VLOOKUP($B27,#REF!,6,0)</f>
        <v>#REF!</v>
      </c>
      <c r="H27" s="20" t="e">
        <f>VLOOKUP($B27,#REF!,7,0)</f>
        <v>#REF!</v>
      </c>
      <c r="I27" s="20" t="e">
        <f>VLOOKUP($B27,#REF!,8,0)</f>
        <v>#REF!</v>
      </c>
      <c r="J27" s="129"/>
      <c r="K27" s="34" t="s">
        <v>13</v>
      </c>
      <c r="L27" s="36">
        <v>53</v>
      </c>
      <c r="M27" s="36">
        <v>56</v>
      </c>
      <c r="N27" s="36">
        <v>58</v>
      </c>
      <c r="O27" s="134"/>
      <c r="P27" s="13"/>
      <c r="Q27" s="13"/>
      <c r="R27" s="13"/>
      <c r="S27" s="13"/>
      <c r="T27" s="13"/>
      <c r="AF27" s="12"/>
      <c r="AG27" s="12"/>
      <c r="AH27" s="14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</row>
    <row r="28" spans="2:73" ht="24" customHeight="1" x14ac:dyDescent="0.2">
      <c r="B28" s="135">
        <v>10</v>
      </c>
      <c r="C28" s="130" t="s">
        <v>32</v>
      </c>
      <c r="D28" s="19" t="e">
        <f>VLOOKUP($B28,#REF!,3,0)</f>
        <v>#REF!</v>
      </c>
      <c r="E28" s="19" t="e">
        <f>VLOOKUP($B28,#REF!,4,0)</f>
        <v>#REF!</v>
      </c>
      <c r="F28" s="19" t="e">
        <f>VLOOKUP($B28,#REF!,5,0)</f>
        <v>#REF!</v>
      </c>
      <c r="G28" s="19" t="e">
        <f>VLOOKUP($B28,#REF!,6,0)</f>
        <v>#REF!</v>
      </c>
      <c r="H28" s="19" t="e">
        <f>VLOOKUP($B28,#REF!,7,0)</f>
        <v>#REF!</v>
      </c>
      <c r="I28" s="19" t="e">
        <f>VLOOKUP($B28,#REF!,8,0)</f>
        <v>#REF!</v>
      </c>
      <c r="J28" s="132">
        <v>1051</v>
      </c>
      <c r="K28" s="22" t="s">
        <v>12</v>
      </c>
      <c r="L28" s="35">
        <v>48</v>
      </c>
      <c r="M28" s="35">
        <v>49</v>
      </c>
      <c r="N28" s="35">
        <v>45</v>
      </c>
      <c r="O28" s="133"/>
      <c r="P28" s="13"/>
      <c r="Q28" s="13"/>
      <c r="R28" s="13"/>
      <c r="S28" s="13"/>
      <c r="T28" s="13"/>
    </row>
    <row r="29" spans="2:73" ht="24" customHeight="1" thickBot="1" x14ac:dyDescent="0.25">
      <c r="B29" s="125"/>
      <c r="C29" s="131"/>
      <c r="D29" s="20" t="e">
        <f>VLOOKUP($B29,#REF!,3,0)</f>
        <v>#REF!</v>
      </c>
      <c r="E29" s="20" t="e">
        <f>VLOOKUP($B29,#REF!,4,0)</f>
        <v>#REF!</v>
      </c>
      <c r="F29" s="20" t="e">
        <f>VLOOKUP($B29,#REF!,5,0)</f>
        <v>#REF!</v>
      </c>
      <c r="G29" s="20" t="e">
        <f>VLOOKUP($B29,#REF!,6,0)</f>
        <v>#REF!</v>
      </c>
      <c r="H29" s="20" t="e">
        <f>VLOOKUP($B29,#REF!,7,0)</f>
        <v>#REF!</v>
      </c>
      <c r="I29" s="20" t="e">
        <f>VLOOKUP($B29,#REF!,8,0)</f>
        <v>#REF!</v>
      </c>
      <c r="J29" s="129"/>
      <c r="K29" s="34" t="s">
        <v>13</v>
      </c>
      <c r="L29" s="36">
        <v>55</v>
      </c>
      <c r="M29" s="36">
        <v>59</v>
      </c>
      <c r="N29" s="36">
        <v>55</v>
      </c>
      <c r="O29" s="134"/>
      <c r="P29" s="13"/>
      <c r="Q29" s="13"/>
      <c r="R29" s="13"/>
      <c r="S29" s="13"/>
      <c r="T29" s="13"/>
      <c r="AF29" s="12"/>
      <c r="AG29" s="12"/>
      <c r="AH29" s="14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</row>
    <row r="30" spans="2:73" ht="24" customHeight="1" x14ac:dyDescent="0.2">
      <c r="B30" s="135">
        <v>11</v>
      </c>
      <c r="C30" s="130" t="s">
        <v>33</v>
      </c>
      <c r="D30" s="19" t="e">
        <f>VLOOKUP($B30,#REF!,3,0)</f>
        <v>#REF!</v>
      </c>
      <c r="E30" s="19" t="e">
        <f>VLOOKUP($B30,#REF!,4,0)</f>
        <v>#REF!</v>
      </c>
      <c r="F30" s="19" t="e">
        <f>VLOOKUP($B30,#REF!,5,0)</f>
        <v>#REF!</v>
      </c>
      <c r="G30" s="19" t="e">
        <f>VLOOKUP($B30,#REF!,6,0)</f>
        <v>#REF!</v>
      </c>
      <c r="H30" s="19" t="e">
        <f>VLOOKUP($B30,#REF!,7,0)</f>
        <v>#REF!</v>
      </c>
      <c r="I30" s="19" t="e">
        <f>VLOOKUP($B30,#REF!,8,0)</f>
        <v>#REF!</v>
      </c>
      <c r="J30" s="132"/>
      <c r="K30" s="22" t="s">
        <v>12</v>
      </c>
      <c r="L30" s="44">
        <v>52</v>
      </c>
      <c r="M30" s="35">
        <v>57</v>
      </c>
      <c r="N30" s="35">
        <v>56</v>
      </c>
      <c r="O30" s="133"/>
      <c r="P30" s="13"/>
      <c r="Q30" s="13"/>
      <c r="R30" s="13"/>
      <c r="S30" s="13"/>
      <c r="T30" s="13"/>
    </row>
    <row r="31" spans="2:73" ht="24" customHeight="1" thickBot="1" x14ac:dyDescent="0.25">
      <c r="B31" s="125"/>
      <c r="C31" s="131"/>
      <c r="D31" s="20" t="e">
        <f>VLOOKUP($B31,#REF!,3,0)</f>
        <v>#REF!</v>
      </c>
      <c r="E31" s="20" t="e">
        <f>VLOOKUP($B31,#REF!,4,0)</f>
        <v>#REF!</v>
      </c>
      <c r="F31" s="20" t="e">
        <f>VLOOKUP($B31,#REF!,5,0)</f>
        <v>#REF!</v>
      </c>
      <c r="G31" s="20" t="e">
        <f>VLOOKUP($B31,#REF!,6,0)</f>
        <v>#REF!</v>
      </c>
      <c r="H31" s="20" t="e">
        <f>VLOOKUP($B31,#REF!,7,0)</f>
        <v>#REF!</v>
      </c>
      <c r="I31" s="20" t="e">
        <f>VLOOKUP($B31,#REF!,8,0)</f>
        <v>#REF!</v>
      </c>
      <c r="J31" s="129"/>
      <c r="K31" s="34" t="s">
        <v>13</v>
      </c>
      <c r="L31" s="36">
        <v>60</v>
      </c>
      <c r="M31" s="36">
        <v>61</v>
      </c>
      <c r="N31" s="36">
        <v>57</v>
      </c>
      <c r="O31" s="134"/>
      <c r="P31" s="13"/>
      <c r="Q31" s="13"/>
      <c r="R31" s="13"/>
      <c r="S31" s="13"/>
      <c r="T31" s="13"/>
      <c r="AF31" s="12"/>
      <c r="AG31" s="12"/>
      <c r="AH31" s="14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</row>
    <row r="32" spans="2:73" ht="24" customHeight="1" x14ac:dyDescent="0.2">
      <c r="B32" s="135">
        <v>12</v>
      </c>
      <c r="C32" s="130" t="s">
        <v>32</v>
      </c>
      <c r="D32" s="19" t="e">
        <f>VLOOKUP($B32,#REF!,3,0)</f>
        <v>#REF!</v>
      </c>
      <c r="E32" s="19" t="e">
        <f>VLOOKUP($B32,#REF!,4,0)</f>
        <v>#REF!</v>
      </c>
      <c r="F32" s="19" t="e">
        <f>VLOOKUP($B32,#REF!,5,0)</f>
        <v>#REF!</v>
      </c>
      <c r="G32" s="19" t="e">
        <f>VLOOKUP($B32,#REF!,6,0)</f>
        <v>#REF!</v>
      </c>
      <c r="H32" s="19" t="e">
        <f>VLOOKUP($B32,#REF!,7,0)</f>
        <v>#REF!</v>
      </c>
      <c r="I32" s="19" t="e">
        <f>VLOOKUP($B32,#REF!,8,0)</f>
        <v>#REF!</v>
      </c>
      <c r="J32" s="132"/>
      <c r="K32" s="22" t="s">
        <v>12</v>
      </c>
      <c r="L32" s="35">
        <v>55</v>
      </c>
      <c r="M32" s="35">
        <v>50</v>
      </c>
      <c r="N32" s="35">
        <v>56</v>
      </c>
      <c r="O32" s="133"/>
      <c r="P32" s="13"/>
      <c r="Q32" s="13"/>
      <c r="R32" s="13"/>
      <c r="S32" s="13"/>
      <c r="T32" s="13"/>
    </row>
    <row r="33" spans="2:73" ht="24" customHeight="1" thickBot="1" x14ac:dyDescent="0.25">
      <c r="B33" s="125"/>
      <c r="C33" s="131"/>
      <c r="D33" s="20" t="e">
        <f>VLOOKUP($B33,#REF!,3,0)</f>
        <v>#REF!</v>
      </c>
      <c r="E33" s="20" t="e">
        <f>VLOOKUP($B33,#REF!,4,0)</f>
        <v>#REF!</v>
      </c>
      <c r="F33" s="20" t="e">
        <f>VLOOKUP($B33,#REF!,5,0)</f>
        <v>#REF!</v>
      </c>
      <c r="G33" s="20" t="e">
        <f>VLOOKUP($B33,#REF!,6,0)</f>
        <v>#REF!</v>
      </c>
      <c r="H33" s="20" t="e">
        <f>VLOOKUP($B33,#REF!,7,0)</f>
        <v>#REF!</v>
      </c>
      <c r="I33" s="20" t="e">
        <f>VLOOKUP($B33,#REF!,8,0)</f>
        <v>#REF!</v>
      </c>
      <c r="J33" s="129"/>
      <c r="K33" s="34" t="s">
        <v>13</v>
      </c>
      <c r="L33" s="36">
        <v>58</v>
      </c>
      <c r="M33" s="36">
        <v>55</v>
      </c>
      <c r="N33" s="36">
        <v>63</v>
      </c>
      <c r="O33" s="134"/>
      <c r="P33" s="13"/>
      <c r="Q33" s="13"/>
      <c r="R33" s="13"/>
      <c r="S33" s="13"/>
      <c r="T33" s="13"/>
      <c r="AF33" s="12"/>
      <c r="AG33" s="12"/>
      <c r="AH33" s="14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</row>
    <row r="34" spans="2:73" ht="24" customHeight="1" x14ac:dyDescent="0.2">
      <c r="B34" s="135">
        <v>13</v>
      </c>
      <c r="C34" s="130" t="s">
        <v>33</v>
      </c>
      <c r="D34" s="19" t="e">
        <f>VLOOKUP($B34,#REF!,3,0)</f>
        <v>#REF!</v>
      </c>
      <c r="E34" s="19" t="e">
        <f>VLOOKUP($B34,#REF!,4,0)</f>
        <v>#REF!</v>
      </c>
      <c r="F34" s="19" t="e">
        <f>VLOOKUP($B34,#REF!,5,0)</f>
        <v>#REF!</v>
      </c>
      <c r="G34" s="19" t="e">
        <f>VLOOKUP($B34,#REF!,6,0)</f>
        <v>#REF!</v>
      </c>
      <c r="H34" s="19" t="e">
        <f>VLOOKUP($B34,#REF!,7,0)</f>
        <v>#REF!</v>
      </c>
      <c r="I34" s="19" t="e">
        <f>VLOOKUP($B34,#REF!,8,0)</f>
        <v>#REF!</v>
      </c>
      <c r="J34" s="132"/>
      <c r="K34" s="22" t="s">
        <v>12</v>
      </c>
      <c r="L34" s="35">
        <v>46</v>
      </c>
      <c r="M34" s="35">
        <v>53</v>
      </c>
      <c r="N34" s="35">
        <v>48</v>
      </c>
      <c r="O34" s="133"/>
      <c r="P34" s="13"/>
      <c r="Q34" s="13"/>
      <c r="R34" s="13"/>
      <c r="S34" s="13"/>
      <c r="T34" s="13"/>
    </row>
    <row r="35" spans="2:73" ht="24" customHeight="1" thickBot="1" x14ac:dyDescent="0.25">
      <c r="B35" s="125"/>
      <c r="C35" s="131"/>
      <c r="D35" s="20" t="e">
        <f>VLOOKUP($B35,#REF!,3,0)</f>
        <v>#REF!</v>
      </c>
      <c r="E35" s="20" t="e">
        <f>VLOOKUP($B35,#REF!,4,0)</f>
        <v>#REF!</v>
      </c>
      <c r="F35" s="20" t="e">
        <f>VLOOKUP($B35,#REF!,5,0)</f>
        <v>#REF!</v>
      </c>
      <c r="G35" s="20" t="e">
        <f>VLOOKUP($B35,#REF!,6,0)</f>
        <v>#REF!</v>
      </c>
      <c r="H35" s="20" t="e">
        <f>VLOOKUP($B35,#REF!,7,0)</f>
        <v>#REF!</v>
      </c>
      <c r="I35" s="20" t="e">
        <f>VLOOKUP($B35,#REF!,8,0)</f>
        <v>#REF!</v>
      </c>
      <c r="J35" s="129"/>
      <c r="K35" s="34" t="s">
        <v>13</v>
      </c>
      <c r="L35" s="36">
        <v>55</v>
      </c>
      <c r="M35" s="36">
        <v>58</v>
      </c>
      <c r="N35" s="36">
        <v>56</v>
      </c>
      <c r="O35" s="134"/>
      <c r="P35" s="13"/>
      <c r="Q35" s="13"/>
      <c r="R35" s="13"/>
      <c r="S35" s="13"/>
      <c r="T35" s="13"/>
      <c r="AF35" s="12"/>
      <c r="AG35" s="12"/>
      <c r="AH35" s="14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</row>
    <row r="36" spans="2:73" ht="24" customHeight="1" x14ac:dyDescent="0.2">
      <c r="B36" s="135">
        <v>14</v>
      </c>
      <c r="C36" s="130" t="s">
        <v>32</v>
      </c>
      <c r="D36" s="19" t="e">
        <f>VLOOKUP($B36,#REF!,3,0)</f>
        <v>#REF!</v>
      </c>
      <c r="E36" s="19" t="e">
        <f>VLOOKUP($B36,#REF!,4,0)</f>
        <v>#REF!</v>
      </c>
      <c r="F36" s="19" t="e">
        <f>VLOOKUP($B36,#REF!,5,0)</f>
        <v>#REF!</v>
      </c>
      <c r="G36" s="19" t="e">
        <f>VLOOKUP($B36,#REF!,6,0)</f>
        <v>#REF!</v>
      </c>
      <c r="H36" s="19" t="e">
        <f>VLOOKUP($B36,#REF!,7,0)</f>
        <v>#REF!</v>
      </c>
      <c r="I36" s="19" t="e">
        <f>VLOOKUP($B36,#REF!,8,0)</f>
        <v>#REF!</v>
      </c>
      <c r="J36" s="132"/>
      <c r="K36" s="22" t="s">
        <v>12</v>
      </c>
      <c r="L36" s="35">
        <v>48</v>
      </c>
      <c r="M36" s="35">
        <v>45</v>
      </c>
      <c r="N36" s="35">
        <v>53</v>
      </c>
      <c r="O36" s="133"/>
      <c r="P36" s="13"/>
      <c r="Q36" s="13"/>
      <c r="R36" s="13"/>
      <c r="S36" s="13"/>
      <c r="T36" s="13"/>
    </row>
    <row r="37" spans="2:73" ht="24" customHeight="1" thickBot="1" x14ac:dyDescent="0.25">
      <c r="B37" s="125"/>
      <c r="C37" s="131"/>
      <c r="D37" s="20" t="e">
        <f>VLOOKUP($B37,#REF!,3,0)</f>
        <v>#REF!</v>
      </c>
      <c r="E37" s="20" t="e">
        <f>VLOOKUP($B37,#REF!,4,0)</f>
        <v>#REF!</v>
      </c>
      <c r="F37" s="20" t="e">
        <f>VLOOKUP($B37,#REF!,5,0)</f>
        <v>#REF!</v>
      </c>
      <c r="G37" s="20" t="e">
        <f>VLOOKUP($B37,#REF!,6,0)</f>
        <v>#REF!</v>
      </c>
      <c r="H37" s="20" t="e">
        <f>VLOOKUP($B37,#REF!,7,0)</f>
        <v>#REF!</v>
      </c>
      <c r="I37" s="20" t="e">
        <f>VLOOKUP($B37,#REF!,8,0)</f>
        <v>#REF!</v>
      </c>
      <c r="J37" s="129"/>
      <c r="K37" s="34" t="s">
        <v>13</v>
      </c>
      <c r="L37" s="36">
        <v>57</v>
      </c>
      <c r="M37" s="36">
        <v>57</v>
      </c>
      <c r="N37" s="36">
        <v>60</v>
      </c>
      <c r="O37" s="134"/>
      <c r="P37" s="13"/>
      <c r="Q37" s="13"/>
      <c r="R37" s="13"/>
      <c r="S37" s="13"/>
      <c r="T37" s="13"/>
      <c r="AF37" s="12"/>
      <c r="AG37" s="12"/>
      <c r="AH37" s="14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</row>
    <row r="38" spans="2:73" ht="24" customHeight="1" x14ac:dyDescent="0.2">
      <c r="B38" s="135">
        <v>15</v>
      </c>
      <c r="C38" s="130" t="s">
        <v>33</v>
      </c>
      <c r="D38" s="19" t="e">
        <f>VLOOKUP($B38,#REF!,3,0)</f>
        <v>#REF!</v>
      </c>
      <c r="E38" s="19" t="e">
        <f>VLOOKUP($B38,#REF!,4,0)</f>
        <v>#REF!</v>
      </c>
      <c r="F38" s="19" t="e">
        <f>VLOOKUP($B38,#REF!,5,0)</f>
        <v>#REF!</v>
      </c>
      <c r="G38" s="19" t="e">
        <f>VLOOKUP($B38,#REF!,6,0)</f>
        <v>#REF!</v>
      </c>
      <c r="H38" s="19" t="e">
        <f>VLOOKUP($B38,#REF!,7,0)</f>
        <v>#REF!</v>
      </c>
      <c r="I38" s="19" t="e">
        <f>VLOOKUP($B38,#REF!,8,0)</f>
        <v>#REF!</v>
      </c>
      <c r="J38" s="132"/>
      <c r="K38" s="22" t="s">
        <v>12</v>
      </c>
      <c r="L38" s="44">
        <v>44</v>
      </c>
      <c r="M38" s="35">
        <v>50</v>
      </c>
      <c r="N38" s="35">
        <v>45</v>
      </c>
      <c r="O38" s="133"/>
      <c r="P38" s="13"/>
      <c r="Q38" s="13"/>
      <c r="R38" s="13"/>
      <c r="S38" s="13"/>
      <c r="T38" s="13"/>
    </row>
    <row r="39" spans="2:73" ht="24" customHeight="1" thickBot="1" x14ac:dyDescent="0.25">
      <c r="B39" s="125"/>
      <c r="C39" s="131"/>
      <c r="D39" s="20" t="e">
        <f>VLOOKUP($B39,#REF!,3,0)</f>
        <v>#REF!</v>
      </c>
      <c r="E39" s="20" t="e">
        <f>VLOOKUP($B39,#REF!,4,0)</f>
        <v>#REF!</v>
      </c>
      <c r="F39" s="20" t="e">
        <f>VLOOKUP($B39,#REF!,5,0)</f>
        <v>#REF!</v>
      </c>
      <c r="G39" s="20" t="e">
        <f>VLOOKUP($B39,#REF!,6,0)</f>
        <v>#REF!</v>
      </c>
      <c r="H39" s="20" t="e">
        <f>VLOOKUP($B39,#REF!,7,0)</f>
        <v>#REF!</v>
      </c>
      <c r="I39" s="20" t="e">
        <f>VLOOKUP($B39,#REF!,8,0)</f>
        <v>#REF!</v>
      </c>
      <c r="J39" s="129"/>
      <c r="K39" s="34" t="s">
        <v>13</v>
      </c>
      <c r="L39" s="36">
        <v>58</v>
      </c>
      <c r="M39" s="36">
        <v>55</v>
      </c>
      <c r="N39" s="36">
        <v>58</v>
      </c>
      <c r="O39" s="134"/>
      <c r="P39" s="13"/>
      <c r="Q39" s="13"/>
      <c r="R39" s="13"/>
      <c r="S39" s="13"/>
      <c r="T39" s="13"/>
      <c r="AF39" s="12"/>
      <c r="AG39" s="12"/>
      <c r="AH39" s="14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</row>
    <row r="40" spans="2:73" ht="24" customHeight="1" x14ac:dyDescent="0.2">
      <c r="B40" s="135">
        <v>16</v>
      </c>
      <c r="C40" s="126" t="s">
        <v>34</v>
      </c>
      <c r="D40" s="19" t="e">
        <f>VLOOKUP($B40,#REF!,3,0)</f>
        <v>#REF!</v>
      </c>
      <c r="E40" s="19" t="e">
        <f>VLOOKUP($B40,#REF!,4,0)</f>
        <v>#REF!</v>
      </c>
      <c r="F40" s="19" t="e">
        <f>VLOOKUP($B40,#REF!,5,0)</f>
        <v>#REF!</v>
      </c>
      <c r="G40" s="19" t="e">
        <f>VLOOKUP($B40,#REF!,6,0)</f>
        <v>#REF!</v>
      </c>
      <c r="H40" s="19" t="e">
        <f>VLOOKUP($B40,#REF!,7,0)</f>
        <v>#REF!</v>
      </c>
      <c r="I40" s="19" t="e">
        <f>VLOOKUP($B40,#REF!,8,0)</f>
        <v>#REF!</v>
      </c>
      <c r="J40" s="132">
        <v>1119</v>
      </c>
      <c r="K40" s="22" t="s">
        <v>12</v>
      </c>
      <c r="L40" s="44">
        <v>43</v>
      </c>
      <c r="M40" s="44">
        <v>51</v>
      </c>
      <c r="N40" s="35">
        <v>48</v>
      </c>
      <c r="O40" s="133"/>
      <c r="P40" s="13"/>
      <c r="Q40" s="13"/>
      <c r="R40" s="13"/>
      <c r="S40" s="13"/>
      <c r="T40" s="13"/>
    </row>
    <row r="41" spans="2:73" ht="24" customHeight="1" thickBot="1" x14ac:dyDescent="0.25">
      <c r="B41" s="125"/>
      <c r="C41" s="127"/>
      <c r="D41" s="20" t="e">
        <f>VLOOKUP($B41,#REF!,3,0)</f>
        <v>#REF!</v>
      </c>
      <c r="E41" s="20" t="e">
        <f>VLOOKUP($B41,#REF!,4,0)</f>
        <v>#REF!</v>
      </c>
      <c r="F41" s="20" t="e">
        <f>VLOOKUP($B41,#REF!,5,0)</f>
        <v>#REF!</v>
      </c>
      <c r="G41" s="20" t="e">
        <f>VLOOKUP($B41,#REF!,6,0)</f>
        <v>#REF!</v>
      </c>
      <c r="H41" s="20" t="e">
        <f>VLOOKUP($B41,#REF!,7,0)</f>
        <v>#REF!</v>
      </c>
      <c r="I41" s="20" t="e">
        <f>VLOOKUP($B41,#REF!,8,0)</f>
        <v>#REF!</v>
      </c>
      <c r="J41" s="129"/>
      <c r="K41" s="34" t="s">
        <v>13</v>
      </c>
      <c r="L41" s="36">
        <v>54</v>
      </c>
      <c r="M41" s="36">
        <v>59</v>
      </c>
      <c r="N41" s="36">
        <v>56</v>
      </c>
      <c r="O41" s="134"/>
      <c r="P41" s="13"/>
      <c r="Q41" s="13"/>
      <c r="R41" s="13"/>
      <c r="S41" s="13"/>
      <c r="T41" s="13"/>
      <c r="AF41" s="12"/>
      <c r="AG41" s="12"/>
      <c r="AH41" s="14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</row>
    <row r="42" spans="2:73" x14ac:dyDescent="0.2">
      <c r="M42" s="45"/>
    </row>
  </sheetData>
  <mergeCells count="66">
    <mergeCell ref="AF5:AH5"/>
    <mergeCell ref="L6:N6"/>
    <mergeCell ref="O7:O8"/>
    <mergeCell ref="B8:K8"/>
    <mergeCell ref="B10:B11"/>
    <mergeCell ref="C10:C11"/>
    <mergeCell ref="J10:J11"/>
    <mergeCell ref="B18:B19"/>
    <mergeCell ref="C18:C19"/>
    <mergeCell ref="J18:J19"/>
    <mergeCell ref="O18:O19"/>
    <mergeCell ref="B12:B13"/>
    <mergeCell ref="C12:C13"/>
    <mergeCell ref="J12:J13"/>
    <mergeCell ref="B14:B15"/>
    <mergeCell ref="C14:C15"/>
    <mergeCell ref="J14:J15"/>
    <mergeCell ref="O14:O15"/>
    <mergeCell ref="B16:B17"/>
    <mergeCell ref="C16:C17"/>
    <mergeCell ref="J16:J17"/>
    <mergeCell ref="O16:O17"/>
    <mergeCell ref="B20:B21"/>
    <mergeCell ref="C20:C21"/>
    <mergeCell ref="J20:J21"/>
    <mergeCell ref="O20:O21"/>
    <mergeCell ref="B22:B23"/>
    <mergeCell ref="C22:C23"/>
    <mergeCell ref="J22:J23"/>
    <mergeCell ref="O22:O23"/>
    <mergeCell ref="B24:B25"/>
    <mergeCell ref="C24:C25"/>
    <mergeCell ref="J24:J25"/>
    <mergeCell ref="O24:O25"/>
    <mergeCell ref="B26:B27"/>
    <mergeCell ref="C26:C27"/>
    <mergeCell ref="J26:J27"/>
    <mergeCell ref="O26:O27"/>
    <mergeCell ref="B28:B29"/>
    <mergeCell ref="C28:C29"/>
    <mergeCell ref="J28:J29"/>
    <mergeCell ref="O28:O29"/>
    <mergeCell ref="B30:B31"/>
    <mergeCell ref="C30:C31"/>
    <mergeCell ref="J30:J31"/>
    <mergeCell ref="O30:O31"/>
    <mergeCell ref="B32:B33"/>
    <mergeCell ref="C32:C33"/>
    <mergeCell ref="J32:J33"/>
    <mergeCell ref="O32:O33"/>
    <mergeCell ref="B34:B35"/>
    <mergeCell ref="C34:C35"/>
    <mergeCell ref="J34:J35"/>
    <mergeCell ref="O34:O35"/>
    <mergeCell ref="B40:B41"/>
    <mergeCell ref="C40:C41"/>
    <mergeCell ref="J40:J41"/>
    <mergeCell ref="O40:O41"/>
    <mergeCell ref="B36:B37"/>
    <mergeCell ref="C36:C37"/>
    <mergeCell ref="J36:J37"/>
    <mergeCell ref="O36:O37"/>
    <mergeCell ref="B38:B39"/>
    <mergeCell ref="C38:C39"/>
    <mergeCell ref="J38:J39"/>
    <mergeCell ref="O38:O39"/>
  </mergeCells>
  <pageMargins left="0.45" right="0" top="0.49" bottom="0" header="0.64" footer="0"/>
  <pageSetup paperSize="512" scale="7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A485-FB9D-42AC-8F0A-006B3919879C}">
  <sheetPr>
    <pageSetUpPr fitToPage="1"/>
  </sheetPr>
  <dimension ref="A1:BU41"/>
  <sheetViews>
    <sheetView zoomScaleNormal="100" workbookViewId="0">
      <selection activeCell="A2" sqref="A2"/>
    </sheetView>
  </sheetViews>
  <sheetFormatPr defaultRowHeight="12.75" x14ac:dyDescent="0.2"/>
  <cols>
    <col min="1" max="1" width="5.42578125" customWidth="1"/>
    <col min="2" max="2" width="6.28515625" customWidth="1"/>
    <col min="3" max="3" width="12.7109375" customWidth="1"/>
    <col min="4" max="8" width="5.28515625" hidden="1" customWidth="1"/>
    <col min="9" max="9" width="7" hidden="1" customWidth="1"/>
    <col min="10" max="10" width="8.42578125" customWidth="1"/>
    <col min="11" max="14" width="12.7109375" customWidth="1"/>
    <col min="15" max="15" width="48.7109375" customWidth="1"/>
    <col min="22" max="22" width="7.5703125" customWidth="1"/>
    <col min="23" max="32" width="7.7109375" customWidth="1"/>
  </cols>
  <sheetData>
    <row r="1" spans="1:73" ht="15" customHeight="1" x14ac:dyDescent="0.25">
      <c r="A1" s="1" t="s">
        <v>40</v>
      </c>
    </row>
    <row r="2" spans="1:73" ht="20.25" customHeight="1" thickBot="1" x14ac:dyDescent="0.3">
      <c r="A2" s="1"/>
      <c r="M2" s="15" t="s">
        <v>0</v>
      </c>
      <c r="N2" s="23">
        <v>39987</v>
      </c>
      <c r="O2" s="29"/>
    </row>
    <row r="3" spans="1:73" ht="20.25" customHeight="1" thickBot="1" x14ac:dyDescent="0.25">
      <c r="A3" t="s">
        <v>1</v>
      </c>
      <c r="C3" s="38" t="s">
        <v>41</v>
      </c>
      <c r="D3" s="3"/>
      <c r="E3" s="3"/>
      <c r="F3" s="3"/>
      <c r="G3" s="3"/>
      <c r="H3" s="3"/>
      <c r="I3" s="3"/>
      <c r="J3" s="3"/>
      <c r="K3" s="3"/>
      <c r="L3" s="3"/>
      <c r="M3" s="15" t="s">
        <v>23</v>
      </c>
      <c r="N3" s="2">
        <v>174</v>
      </c>
      <c r="O3" s="30"/>
    </row>
    <row r="4" spans="1:73" ht="20.25" customHeight="1" thickBot="1" x14ac:dyDescent="0.25">
      <c r="B4" s="3"/>
      <c r="C4" s="38" t="s">
        <v>42</v>
      </c>
      <c r="D4" s="4"/>
      <c r="E4" s="4"/>
      <c r="F4" s="4"/>
      <c r="G4" s="4"/>
      <c r="H4" s="4"/>
      <c r="I4" s="4"/>
      <c r="J4" s="4"/>
      <c r="K4" s="4"/>
      <c r="L4" s="4"/>
      <c r="M4" s="15" t="s">
        <v>2</v>
      </c>
      <c r="N4" s="2" t="s">
        <v>26</v>
      </c>
      <c r="O4" s="30"/>
    </row>
    <row r="5" spans="1:73" ht="18" x14ac:dyDescent="0.2">
      <c r="AE5" s="5"/>
      <c r="AF5" s="115"/>
      <c r="AG5" s="115"/>
      <c r="AH5" s="115"/>
    </row>
    <row r="6" spans="1:73" ht="18" x14ac:dyDescent="0.25">
      <c r="L6" s="116"/>
      <c r="M6" s="117"/>
      <c r="N6" s="118"/>
      <c r="O6" s="31"/>
      <c r="AE6" s="5"/>
      <c r="AF6" s="24"/>
      <c r="AG6" s="24"/>
      <c r="AH6" s="24"/>
    </row>
    <row r="7" spans="1:73" ht="25.5" customHeight="1" x14ac:dyDescent="0.2">
      <c r="B7" s="6" t="s">
        <v>27</v>
      </c>
      <c r="C7" s="7"/>
      <c r="D7" s="7" t="s">
        <v>4</v>
      </c>
      <c r="E7" s="6" t="s">
        <v>5</v>
      </c>
      <c r="F7" s="7" t="s">
        <v>6</v>
      </c>
      <c r="G7" s="6" t="s">
        <v>7</v>
      </c>
      <c r="H7" s="6" t="s">
        <v>8</v>
      </c>
      <c r="I7" s="6" t="s">
        <v>9</v>
      </c>
      <c r="J7" s="6" t="s">
        <v>11</v>
      </c>
      <c r="K7" s="8" t="s">
        <v>24</v>
      </c>
      <c r="L7" s="22" t="s">
        <v>37</v>
      </c>
      <c r="M7" s="22" t="s">
        <v>38</v>
      </c>
      <c r="N7" s="22" t="s">
        <v>39</v>
      </c>
      <c r="O7" s="119" t="s">
        <v>25</v>
      </c>
      <c r="AE7" s="10"/>
      <c r="AF7" s="9"/>
      <c r="AG7" s="9"/>
      <c r="AH7" s="11"/>
    </row>
    <row r="8" spans="1:73" ht="15.95" customHeight="1" thickBot="1" x14ac:dyDescent="0.25">
      <c r="B8" s="121"/>
      <c r="C8" s="122"/>
      <c r="D8" s="122"/>
      <c r="E8" s="122"/>
      <c r="F8" s="122"/>
      <c r="G8" s="122"/>
      <c r="H8" s="122"/>
      <c r="I8" s="122"/>
      <c r="J8" s="122"/>
      <c r="K8" s="123"/>
      <c r="L8" s="39" t="s">
        <v>29</v>
      </c>
      <c r="M8" s="39"/>
      <c r="N8" s="39"/>
      <c r="O8" s="120"/>
      <c r="AF8" s="12"/>
      <c r="AG8" s="12"/>
      <c r="AH8" s="12"/>
    </row>
    <row r="9" spans="1:73" ht="15.95" hidden="1" customHeight="1" x14ac:dyDescent="0.2">
      <c r="B9" s="25" t="s">
        <v>3</v>
      </c>
      <c r="C9" s="26" t="s">
        <v>10</v>
      </c>
      <c r="D9" s="26" t="s">
        <v>14</v>
      </c>
      <c r="E9" s="25" t="s">
        <v>15</v>
      </c>
      <c r="F9" s="26" t="s">
        <v>16</v>
      </c>
      <c r="G9" s="25" t="s">
        <v>17</v>
      </c>
      <c r="H9" s="25" t="s">
        <v>8</v>
      </c>
      <c r="I9" s="25" t="s">
        <v>18</v>
      </c>
      <c r="J9" s="27" t="s">
        <v>11</v>
      </c>
      <c r="K9" s="27" t="s">
        <v>19</v>
      </c>
      <c r="L9" s="28" t="s">
        <v>20</v>
      </c>
      <c r="M9" s="28" t="s">
        <v>21</v>
      </c>
      <c r="N9" s="28" t="s">
        <v>22</v>
      </c>
      <c r="O9" s="32"/>
      <c r="AF9" s="12"/>
      <c r="AG9" s="12"/>
      <c r="AH9" s="12"/>
    </row>
    <row r="10" spans="1:73" ht="24" customHeight="1" x14ac:dyDescent="0.2">
      <c r="B10" s="124">
        <v>1</v>
      </c>
      <c r="C10" s="126" t="s">
        <v>31</v>
      </c>
      <c r="D10" s="19" t="e">
        <f>VLOOKUP($B10,#REF!,3,0)</f>
        <v>#REF!</v>
      </c>
      <c r="E10" s="19" t="e">
        <f>VLOOKUP($B10,#REF!,4,0)</f>
        <v>#REF!</v>
      </c>
      <c r="F10" s="19" t="e">
        <f>VLOOKUP($B10,#REF!,5,0)</f>
        <v>#REF!</v>
      </c>
      <c r="G10" s="19" t="e">
        <f>VLOOKUP($B10,#REF!,6,0)</f>
        <v>#REF!</v>
      </c>
      <c r="H10" s="19" t="e">
        <f>VLOOKUP($B10,#REF!,7,0)</f>
        <v>#REF!</v>
      </c>
      <c r="I10" s="19" t="e">
        <f>VLOOKUP($B10,#REF!,8,0)</f>
        <v>#REF!</v>
      </c>
      <c r="J10" s="128">
        <v>1025</v>
      </c>
      <c r="K10" s="22" t="s">
        <v>12</v>
      </c>
      <c r="L10" s="35">
        <v>59</v>
      </c>
      <c r="M10" s="35">
        <v>55</v>
      </c>
      <c r="N10" s="44">
        <v>56</v>
      </c>
      <c r="O10" s="40"/>
      <c r="P10" s="13"/>
      <c r="Q10" s="13"/>
      <c r="R10" s="13"/>
      <c r="S10" s="13"/>
      <c r="T10" s="13"/>
      <c r="AF10" s="12"/>
      <c r="AG10" s="12"/>
      <c r="AH10" s="14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</row>
    <row r="11" spans="1:73" ht="24" customHeight="1" thickBot="1" x14ac:dyDescent="0.25">
      <c r="B11" s="125"/>
      <c r="C11" s="127"/>
      <c r="D11" s="20" t="e">
        <f>VLOOKUP($B11,#REF!,3,0)</f>
        <v>#REF!</v>
      </c>
      <c r="E11" s="20" t="e">
        <f>VLOOKUP($B11,#REF!,4,0)</f>
        <v>#REF!</v>
      </c>
      <c r="F11" s="20" t="e">
        <f>VLOOKUP($B11,#REF!,5,0)</f>
        <v>#REF!</v>
      </c>
      <c r="G11" s="20" t="e">
        <f>VLOOKUP($B11,#REF!,6,0)</f>
        <v>#REF!</v>
      </c>
      <c r="H11" s="20" t="e">
        <f>VLOOKUP($B11,#REF!,7,0)</f>
        <v>#REF!</v>
      </c>
      <c r="I11" s="20" t="e">
        <f>VLOOKUP($B11,#REF!,8,0)</f>
        <v>#REF!</v>
      </c>
      <c r="J11" s="129"/>
      <c r="K11" s="34" t="s">
        <v>13</v>
      </c>
      <c r="L11" s="36">
        <v>64</v>
      </c>
      <c r="M11" s="36">
        <v>63</v>
      </c>
      <c r="N11" s="36">
        <v>71</v>
      </c>
      <c r="O11" s="41"/>
      <c r="P11" s="13"/>
      <c r="Q11" s="13"/>
      <c r="R11" s="13"/>
      <c r="S11" s="13"/>
      <c r="T11" s="13"/>
      <c r="AF11" s="12"/>
      <c r="AG11" s="12"/>
      <c r="AH11" s="14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</row>
    <row r="12" spans="1:73" ht="24" customHeight="1" x14ac:dyDescent="0.2">
      <c r="B12" s="124">
        <v>2</v>
      </c>
      <c r="C12" s="130" t="s">
        <v>32</v>
      </c>
      <c r="D12" s="21" t="e">
        <f>VLOOKUP($B12,#REF!,3,0)</f>
        <v>#REF!</v>
      </c>
      <c r="E12" s="21" t="e">
        <f>VLOOKUP($B12,#REF!,4,0)</f>
        <v>#REF!</v>
      </c>
      <c r="F12" s="21" t="e">
        <f>VLOOKUP($B12,#REF!,5,0)</f>
        <v>#REF!</v>
      </c>
      <c r="G12" s="21" t="e">
        <f>VLOOKUP($B12,#REF!,6,0)</f>
        <v>#REF!</v>
      </c>
      <c r="H12" s="21" t="e">
        <f>VLOOKUP($B12,#REF!,7,0)</f>
        <v>#REF!</v>
      </c>
      <c r="I12" s="21" t="e">
        <f>VLOOKUP($B12,#REF!,8,0)</f>
        <v>#REF!</v>
      </c>
      <c r="J12" s="132"/>
      <c r="K12" s="33" t="s">
        <v>12</v>
      </c>
      <c r="L12" s="35">
        <v>65</v>
      </c>
      <c r="M12" s="35">
        <v>58</v>
      </c>
      <c r="N12" s="35">
        <v>61</v>
      </c>
      <c r="O12" s="42"/>
      <c r="P12" s="13"/>
      <c r="Q12" s="16"/>
      <c r="R12" s="13"/>
      <c r="S12" s="17"/>
      <c r="T12" s="13"/>
      <c r="AF12" s="12"/>
      <c r="AG12" s="12"/>
      <c r="AH12" s="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</row>
    <row r="13" spans="1:73" ht="24" customHeight="1" thickBot="1" x14ac:dyDescent="0.25">
      <c r="B13" s="125"/>
      <c r="C13" s="131"/>
      <c r="D13" s="20" t="e">
        <f>VLOOKUP($B13,#REF!,3,0)</f>
        <v>#REF!</v>
      </c>
      <c r="E13" s="20" t="e">
        <f>VLOOKUP($B13,#REF!,4,0)</f>
        <v>#REF!</v>
      </c>
      <c r="F13" s="20" t="e">
        <f>VLOOKUP($B13,#REF!,5,0)</f>
        <v>#REF!</v>
      </c>
      <c r="G13" s="20" t="e">
        <f>VLOOKUP($B13,#REF!,6,0)</f>
        <v>#REF!</v>
      </c>
      <c r="H13" s="20" t="e">
        <f>VLOOKUP($B13,#REF!,7,0)</f>
        <v>#REF!</v>
      </c>
      <c r="I13" s="20" t="e">
        <f>VLOOKUP($B13,#REF!,8,0)</f>
        <v>#REF!</v>
      </c>
      <c r="J13" s="129"/>
      <c r="K13" s="34" t="s">
        <v>13</v>
      </c>
      <c r="L13" s="37">
        <v>74</v>
      </c>
      <c r="M13" s="36">
        <v>73</v>
      </c>
      <c r="N13" s="36">
        <v>77</v>
      </c>
      <c r="O13" s="43"/>
      <c r="P13" s="13"/>
      <c r="Q13" s="13"/>
      <c r="R13" s="13"/>
      <c r="S13" s="13"/>
      <c r="T13" s="13"/>
      <c r="AF13" s="12"/>
      <c r="AG13" s="12"/>
      <c r="AH13" s="14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</row>
    <row r="14" spans="1:73" ht="24" customHeight="1" x14ac:dyDescent="0.2">
      <c r="B14" s="124">
        <v>3</v>
      </c>
      <c r="C14" s="130" t="s">
        <v>33</v>
      </c>
      <c r="D14" s="19" t="e">
        <f>VLOOKUP($B14,#REF!,3,0)</f>
        <v>#REF!</v>
      </c>
      <c r="E14" s="19" t="e">
        <f>VLOOKUP($B14,#REF!,4,0)</f>
        <v>#REF!</v>
      </c>
      <c r="F14" s="19" t="e">
        <f>VLOOKUP($B14,#REF!,5,0)</f>
        <v>#REF!</v>
      </c>
      <c r="G14" s="19" t="e">
        <f>VLOOKUP($B14,#REF!,6,0)</f>
        <v>#REF!</v>
      </c>
      <c r="H14" s="19" t="e">
        <f>VLOOKUP($B14,#REF!,7,0)</f>
        <v>#REF!</v>
      </c>
      <c r="I14" s="19" t="e">
        <f>VLOOKUP($B14,#REF!,8,0)</f>
        <v>#REF!</v>
      </c>
      <c r="J14" s="132"/>
      <c r="K14" s="22" t="s">
        <v>12</v>
      </c>
      <c r="L14" s="35">
        <v>53</v>
      </c>
      <c r="M14" s="35">
        <v>56</v>
      </c>
      <c r="N14" s="35">
        <v>57</v>
      </c>
      <c r="O14" s="133"/>
      <c r="P14" s="13"/>
      <c r="Q14" s="13"/>
      <c r="R14" s="13"/>
      <c r="S14" s="13"/>
      <c r="T14" s="13"/>
      <c r="AF14" s="12"/>
      <c r="AG14" s="12"/>
      <c r="AH14" s="12"/>
    </row>
    <row r="15" spans="1:73" ht="24" customHeight="1" thickBot="1" x14ac:dyDescent="0.25">
      <c r="B15" s="125"/>
      <c r="C15" s="131"/>
      <c r="D15" s="20" t="e">
        <f>VLOOKUP($B15,#REF!,3,0)</f>
        <v>#REF!</v>
      </c>
      <c r="E15" s="20" t="e">
        <f>VLOOKUP($B15,#REF!,4,0)</f>
        <v>#REF!</v>
      </c>
      <c r="F15" s="20" t="e">
        <f>VLOOKUP($B15,#REF!,5,0)</f>
        <v>#REF!</v>
      </c>
      <c r="G15" s="20" t="e">
        <f>VLOOKUP($B15,#REF!,6,0)</f>
        <v>#REF!</v>
      </c>
      <c r="H15" s="20" t="e">
        <f>VLOOKUP($B15,#REF!,7,0)</f>
        <v>#REF!</v>
      </c>
      <c r="I15" s="20" t="e">
        <f>VLOOKUP($B15,#REF!,8,0)</f>
        <v>#REF!</v>
      </c>
      <c r="J15" s="129"/>
      <c r="K15" s="34" t="s">
        <v>13</v>
      </c>
      <c r="L15" s="36">
        <v>72</v>
      </c>
      <c r="M15" s="36">
        <v>67</v>
      </c>
      <c r="N15" s="36">
        <v>70</v>
      </c>
      <c r="O15" s="134"/>
      <c r="P15" s="13"/>
      <c r="Q15" s="13"/>
      <c r="R15" s="13"/>
      <c r="S15" s="13"/>
      <c r="T15" s="13"/>
      <c r="AF15" s="12"/>
      <c r="AG15" s="12"/>
      <c r="AH15" s="14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</row>
    <row r="16" spans="1:73" ht="24" customHeight="1" x14ac:dyDescent="0.2">
      <c r="B16" s="124">
        <v>4</v>
      </c>
      <c r="C16" s="130" t="s">
        <v>32</v>
      </c>
      <c r="D16" s="19" t="e">
        <f>VLOOKUP($B16,#REF!,3,0)</f>
        <v>#REF!</v>
      </c>
      <c r="E16" s="19" t="e">
        <f>VLOOKUP($B16,#REF!,4,0)</f>
        <v>#REF!</v>
      </c>
      <c r="F16" s="19" t="e">
        <f>VLOOKUP($B16,#REF!,5,0)</f>
        <v>#REF!</v>
      </c>
      <c r="G16" s="19" t="e">
        <f>VLOOKUP($B16,#REF!,6,0)</f>
        <v>#REF!</v>
      </c>
      <c r="H16" s="19" t="e">
        <f>VLOOKUP($B16,#REF!,7,0)</f>
        <v>#REF!</v>
      </c>
      <c r="I16" s="19" t="e">
        <f>VLOOKUP($B16,#REF!,8,0)</f>
        <v>#REF!</v>
      </c>
      <c r="J16" s="132"/>
      <c r="K16" s="22" t="s">
        <v>12</v>
      </c>
      <c r="L16" s="35">
        <v>55</v>
      </c>
      <c r="M16" s="35">
        <v>61</v>
      </c>
      <c r="N16" s="44">
        <v>60</v>
      </c>
      <c r="O16" s="133"/>
      <c r="P16" s="13"/>
      <c r="Q16" s="13"/>
      <c r="R16" s="13"/>
      <c r="S16" s="13"/>
      <c r="T16" s="13"/>
    </row>
    <row r="17" spans="2:73" ht="24" customHeight="1" thickBot="1" x14ac:dyDescent="0.25">
      <c r="B17" s="125"/>
      <c r="C17" s="131"/>
      <c r="D17" s="20" t="e">
        <f>VLOOKUP($B17,#REF!,3,0)</f>
        <v>#REF!</v>
      </c>
      <c r="E17" s="20" t="e">
        <f>VLOOKUP($B17,#REF!,4,0)</f>
        <v>#REF!</v>
      </c>
      <c r="F17" s="20" t="e">
        <f>VLOOKUP($B17,#REF!,5,0)</f>
        <v>#REF!</v>
      </c>
      <c r="G17" s="20" t="e">
        <f>VLOOKUP($B17,#REF!,6,0)</f>
        <v>#REF!</v>
      </c>
      <c r="H17" s="20" t="e">
        <f>VLOOKUP($B17,#REF!,7,0)</f>
        <v>#REF!</v>
      </c>
      <c r="I17" s="20" t="e">
        <f>VLOOKUP($B17,#REF!,8,0)</f>
        <v>#REF!</v>
      </c>
      <c r="J17" s="129"/>
      <c r="K17" s="34" t="s">
        <v>13</v>
      </c>
      <c r="L17" s="36">
        <v>67</v>
      </c>
      <c r="M17" s="36">
        <v>73</v>
      </c>
      <c r="N17" s="36">
        <v>77</v>
      </c>
      <c r="O17" s="134"/>
      <c r="P17" s="13"/>
      <c r="Q17" s="13"/>
      <c r="R17" s="13"/>
      <c r="S17" s="13"/>
      <c r="T17" s="13"/>
      <c r="AF17" s="12"/>
      <c r="AG17" s="12"/>
      <c r="AH17" s="14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</row>
    <row r="18" spans="2:73" ht="24" customHeight="1" x14ac:dyDescent="0.2">
      <c r="B18" s="124">
        <v>5</v>
      </c>
      <c r="C18" s="130" t="s">
        <v>33</v>
      </c>
      <c r="D18" s="19" t="e">
        <f>VLOOKUP($B18,#REF!,3,0)</f>
        <v>#REF!</v>
      </c>
      <c r="E18" s="19" t="e">
        <f>VLOOKUP($B18,#REF!,4,0)</f>
        <v>#REF!</v>
      </c>
      <c r="F18" s="19" t="e">
        <f>VLOOKUP($B18,#REF!,5,0)</f>
        <v>#REF!</v>
      </c>
      <c r="G18" s="19" t="e">
        <f>VLOOKUP($B18,#REF!,6,0)</f>
        <v>#REF!</v>
      </c>
      <c r="H18" s="19" t="e">
        <f>VLOOKUP($B18,#REF!,7,0)</f>
        <v>#REF!</v>
      </c>
      <c r="I18" s="19" t="e">
        <f>VLOOKUP($B18,#REF!,8,0)</f>
        <v>#REF!</v>
      </c>
      <c r="J18" s="132">
        <v>1042</v>
      </c>
      <c r="K18" s="22" t="s">
        <v>12</v>
      </c>
      <c r="L18" s="44">
        <v>61</v>
      </c>
      <c r="M18" s="35">
        <v>61</v>
      </c>
      <c r="N18" s="44">
        <v>56</v>
      </c>
      <c r="O18" s="133"/>
      <c r="P18" s="13"/>
      <c r="Q18" s="13"/>
      <c r="R18" s="13"/>
      <c r="S18" s="13"/>
      <c r="T18" s="13"/>
      <c r="AF18" s="12"/>
      <c r="AG18" s="12"/>
      <c r="AH18" s="12"/>
    </row>
    <row r="19" spans="2:73" ht="24" customHeight="1" thickBot="1" x14ac:dyDescent="0.25">
      <c r="B19" s="125"/>
      <c r="C19" s="131"/>
      <c r="D19" s="20" t="e">
        <f>VLOOKUP($B19,#REF!,3,0)</f>
        <v>#REF!</v>
      </c>
      <c r="E19" s="20" t="e">
        <f>VLOOKUP($B19,#REF!,4,0)</f>
        <v>#REF!</v>
      </c>
      <c r="F19" s="20" t="e">
        <f>VLOOKUP($B19,#REF!,5,0)</f>
        <v>#REF!</v>
      </c>
      <c r="G19" s="20" t="e">
        <f>VLOOKUP($B19,#REF!,6,0)</f>
        <v>#REF!</v>
      </c>
      <c r="H19" s="20" t="e">
        <f>VLOOKUP($B19,#REF!,7,0)</f>
        <v>#REF!</v>
      </c>
      <c r="I19" s="20" t="e">
        <f>VLOOKUP($B19,#REF!,8,0)</f>
        <v>#REF!</v>
      </c>
      <c r="J19" s="129"/>
      <c r="K19" s="34" t="s">
        <v>13</v>
      </c>
      <c r="L19" s="36">
        <v>70</v>
      </c>
      <c r="M19" s="36">
        <v>70</v>
      </c>
      <c r="N19" s="36">
        <v>62</v>
      </c>
      <c r="O19" s="134"/>
      <c r="P19" s="13"/>
      <c r="Q19" s="13"/>
      <c r="R19" s="13"/>
      <c r="S19" s="13"/>
      <c r="T19" s="13"/>
      <c r="AF19" s="12"/>
      <c r="AG19" s="12"/>
      <c r="AH19" s="14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</row>
    <row r="20" spans="2:73" ht="24" customHeight="1" x14ac:dyDescent="0.2">
      <c r="B20" s="124">
        <v>6</v>
      </c>
      <c r="C20" s="130" t="s">
        <v>32</v>
      </c>
      <c r="D20" s="19" t="e">
        <f>VLOOKUP($B20,#REF!,3,0)</f>
        <v>#REF!</v>
      </c>
      <c r="E20" s="19" t="e">
        <f>VLOOKUP($B20,#REF!,4,0)</f>
        <v>#REF!</v>
      </c>
      <c r="F20" s="19" t="e">
        <f>VLOOKUP($B20,#REF!,5,0)</f>
        <v>#REF!</v>
      </c>
      <c r="G20" s="19" t="e">
        <f>VLOOKUP($B20,#REF!,6,0)</f>
        <v>#REF!</v>
      </c>
      <c r="H20" s="19" t="e">
        <f>VLOOKUP($B20,#REF!,7,0)</f>
        <v>#REF!</v>
      </c>
      <c r="I20" s="19" t="e">
        <f>VLOOKUP($B20,#REF!,8,0)</f>
        <v>#REF!</v>
      </c>
      <c r="J20" s="132"/>
      <c r="K20" s="22" t="s">
        <v>12</v>
      </c>
      <c r="L20" s="35">
        <v>63</v>
      </c>
      <c r="M20" s="35">
        <v>60</v>
      </c>
      <c r="N20" s="35">
        <v>62</v>
      </c>
      <c r="O20" s="133"/>
      <c r="P20" s="13"/>
      <c r="Q20" s="13"/>
      <c r="R20" s="13"/>
      <c r="S20" s="13"/>
      <c r="T20" s="13"/>
      <c r="AF20" s="12"/>
      <c r="AG20" s="12"/>
      <c r="AH20" s="12"/>
    </row>
    <row r="21" spans="2:73" ht="24" customHeight="1" thickBot="1" x14ac:dyDescent="0.25">
      <c r="B21" s="125"/>
      <c r="C21" s="131"/>
      <c r="D21" s="20" t="e">
        <f>VLOOKUP($B21,#REF!,3,0)</f>
        <v>#REF!</v>
      </c>
      <c r="E21" s="20" t="e">
        <f>VLOOKUP($B21,#REF!,4,0)</f>
        <v>#REF!</v>
      </c>
      <c r="F21" s="20" t="e">
        <f>VLOOKUP($B21,#REF!,5,0)</f>
        <v>#REF!</v>
      </c>
      <c r="G21" s="20" t="e">
        <f>VLOOKUP($B21,#REF!,6,0)</f>
        <v>#REF!</v>
      </c>
      <c r="H21" s="20" t="e">
        <f>VLOOKUP($B21,#REF!,7,0)</f>
        <v>#REF!</v>
      </c>
      <c r="I21" s="20" t="e">
        <f>VLOOKUP($B21,#REF!,8,0)</f>
        <v>#REF!</v>
      </c>
      <c r="J21" s="129"/>
      <c r="K21" s="34" t="s">
        <v>13</v>
      </c>
      <c r="L21" s="36">
        <v>69</v>
      </c>
      <c r="M21" s="36">
        <v>69</v>
      </c>
      <c r="N21" s="36">
        <v>72</v>
      </c>
      <c r="O21" s="134"/>
      <c r="P21" s="13"/>
      <c r="Q21" s="13"/>
      <c r="R21" s="13"/>
      <c r="S21" s="13"/>
      <c r="T21" s="13"/>
      <c r="AF21" s="12"/>
      <c r="AG21" s="12"/>
      <c r="AH21" s="14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spans="2:73" ht="24" customHeight="1" x14ac:dyDescent="0.2">
      <c r="B22" s="124">
        <v>7</v>
      </c>
      <c r="C22" s="130" t="s">
        <v>33</v>
      </c>
      <c r="D22" s="19" t="e">
        <f>VLOOKUP($B22,#REF!,3,0)</f>
        <v>#REF!</v>
      </c>
      <c r="E22" s="19" t="e">
        <f>VLOOKUP($B22,#REF!,4,0)</f>
        <v>#REF!</v>
      </c>
      <c r="F22" s="19" t="e">
        <f>VLOOKUP($B22,#REF!,5,0)</f>
        <v>#REF!</v>
      </c>
      <c r="G22" s="19" t="e">
        <f>VLOOKUP($B22,#REF!,6,0)</f>
        <v>#REF!</v>
      </c>
      <c r="H22" s="19" t="e">
        <f>VLOOKUP($B22,#REF!,7,0)</f>
        <v>#REF!</v>
      </c>
      <c r="I22" s="19" t="e">
        <f>VLOOKUP($B22,#REF!,8,0)</f>
        <v>#REF!</v>
      </c>
      <c r="J22" s="132"/>
      <c r="K22" s="22" t="s">
        <v>12</v>
      </c>
      <c r="L22" s="35">
        <v>64</v>
      </c>
      <c r="M22" s="35">
        <v>65</v>
      </c>
      <c r="N22" s="35">
        <v>65</v>
      </c>
      <c r="O22" s="133"/>
      <c r="P22" s="13"/>
      <c r="Q22" s="13"/>
      <c r="R22" s="13"/>
      <c r="S22" s="13"/>
      <c r="T22" s="13"/>
      <c r="AF22" s="12"/>
      <c r="AG22" s="12"/>
      <c r="AH22" s="12"/>
    </row>
    <row r="23" spans="2:73" ht="24" customHeight="1" thickBot="1" x14ac:dyDescent="0.25">
      <c r="B23" s="125"/>
      <c r="C23" s="131"/>
      <c r="D23" s="20" t="e">
        <f>VLOOKUP($B23,#REF!,3,0)</f>
        <v>#REF!</v>
      </c>
      <c r="E23" s="20" t="e">
        <f>VLOOKUP($B23,#REF!,4,0)</f>
        <v>#REF!</v>
      </c>
      <c r="F23" s="20" t="e">
        <f>VLOOKUP($B23,#REF!,5,0)</f>
        <v>#REF!</v>
      </c>
      <c r="G23" s="20" t="e">
        <f>VLOOKUP($B23,#REF!,6,0)</f>
        <v>#REF!</v>
      </c>
      <c r="H23" s="20" t="e">
        <f>VLOOKUP($B23,#REF!,7,0)</f>
        <v>#REF!</v>
      </c>
      <c r="I23" s="20" t="e">
        <f>VLOOKUP($B23,#REF!,8,0)</f>
        <v>#REF!</v>
      </c>
      <c r="J23" s="129"/>
      <c r="K23" s="34" t="s">
        <v>13</v>
      </c>
      <c r="L23" s="36">
        <v>71</v>
      </c>
      <c r="M23" s="36">
        <v>73</v>
      </c>
      <c r="N23" s="36">
        <v>78</v>
      </c>
      <c r="O23" s="134"/>
      <c r="P23" s="13"/>
      <c r="Q23" s="13"/>
      <c r="R23" s="13"/>
      <c r="S23" s="13"/>
      <c r="T23" s="13"/>
      <c r="AF23" s="12"/>
      <c r="AG23" s="12"/>
      <c r="AH23" s="14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</row>
    <row r="24" spans="2:73" ht="24" customHeight="1" x14ac:dyDescent="0.2">
      <c r="B24" s="124">
        <v>8</v>
      </c>
      <c r="C24" s="130" t="s">
        <v>32</v>
      </c>
      <c r="D24" s="19" t="e">
        <f>VLOOKUP($B24,#REF!,3,0)</f>
        <v>#REF!</v>
      </c>
      <c r="E24" s="19" t="e">
        <f>VLOOKUP($B24,#REF!,4,0)</f>
        <v>#REF!</v>
      </c>
      <c r="F24" s="19" t="e">
        <f>VLOOKUP($B24,#REF!,5,0)</f>
        <v>#REF!</v>
      </c>
      <c r="G24" s="19" t="e">
        <f>VLOOKUP($B24,#REF!,6,0)</f>
        <v>#REF!</v>
      </c>
      <c r="H24" s="19" t="e">
        <f>VLOOKUP($B24,#REF!,7,0)</f>
        <v>#REF!</v>
      </c>
      <c r="I24" s="19" t="e">
        <f>VLOOKUP($B24,#REF!,8,0)</f>
        <v>#REF!</v>
      </c>
      <c r="J24" s="132"/>
      <c r="K24" s="22" t="s">
        <v>12</v>
      </c>
      <c r="L24" s="35">
        <v>57</v>
      </c>
      <c r="M24" s="35">
        <v>62</v>
      </c>
      <c r="N24" s="35">
        <v>57</v>
      </c>
      <c r="O24" s="133"/>
      <c r="P24" s="13"/>
      <c r="Q24" s="13"/>
      <c r="R24" s="13"/>
      <c r="S24" s="13"/>
      <c r="T24" s="13"/>
      <c r="AF24" s="9"/>
      <c r="AG24" s="9"/>
      <c r="AH24" s="9"/>
    </row>
    <row r="25" spans="2:73" ht="24" customHeight="1" thickBot="1" x14ac:dyDescent="0.25">
      <c r="B25" s="125"/>
      <c r="C25" s="131"/>
      <c r="D25" s="20" t="e">
        <f>VLOOKUP($B25,#REF!,3,0)</f>
        <v>#REF!</v>
      </c>
      <c r="E25" s="20" t="e">
        <f>VLOOKUP($B25,#REF!,4,0)</f>
        <v>#REF!</v>
      </c>
      <c r="F25" s="20" t="e">
        <f>VLOOKUP($B25,#REF!,5,0)</f>
        <v>#REF!</v>
      </c>
      <c r="G25" s="20" t="e">
        <f>VLOOKUP($B25,#REF!,6,0)</f>
        <v>#REF!</v>
      </c>
      <c r="H25" s="20" t="e">
        <f>VLOOKUP($B25,#REF!,7,0)</f>
        <v>#REF!</v>
      </c>
      <c r="I25" s="20" t="e">
        <f>VLOOKUP($B25,#REF!,8,0)</f>
        <v>#REF!</v>
      </c>
      <c r="J25" s="129"/>
      <c r="K25" s="34" t="s">
        <v>13</v>
      </c>
      <c r="L25" s="36">
        <v>71</v>
      </c>
      <c r="M25" s="36">
        <v>72</v>
      </c>
      <c r="N25" s="36">
        <v>61</v>
      </c>
      <c r="O25" s="134"/>
      <c r="P25" s="13"/>
      <c r="Q25" s="13"/>
      <c r="R25" s="13"/>
      <c r="S25" s="13"/>
      <c r="T25" s="13"/>
      <c r="AF25" s="12"/>
      <c r="AG25" s="12"/>
      <c r="AH25" s="14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</row>
    <row r="26" spans="2:73" ht="24" customHeight="1" x14ac:dyDescent="0.2">
      <c r="B26" s="124">
        <v>9</v>
      </c>
      <c r="C26" s="130" t="s">
        <v>33</v>
      </c>
      <c r="D26" s="19" t="e">
        <f>VLOOKUP($B26,#REF!,3,0)</f>
        <v>#REF!</v>
      </c>
      <c r="E26" s="19" t="e">
        <f>VLOOKUP($B26,#REF!,4,0)</f>
        <v>#REF!</v>
      </c>
      <c r="F26" s="19" t="e">
        <f>VLOOKUP($B26,#REF!,5,0)</f>
        <v>#REF!</v>
      </c>
      <c r="G26" s="19" t="e">
        <f>VLOOKUP($B26,#REF!,6,0)</f>
        <v>#REF!</v>
      </c>
      <c r="H26" s="19" t="e">
        <f>VLOOKUP($B26,#REF!,7,0)</f>
        <v>#REF!</v>
      </c>
      <c r="I26" s="19" t="e">
        <f>VLOOKUP($B26,#REF!,8,0)</f>
        <v>#REF!</v>
      </c>
      <c r="J26" s="132">
        <v>1059</v>
      </c>
      <c r="K26" s="22" t="s">
        <v>12</v>
      </c>
      <c r="L26" s="35">
        <v>60</v>
      </c>
      <c r="M26" s="35">
        <v>62</v>
      </c>
      <c r="N26" s="35">
        <v>63</v>
      </c>
      <c r="O26" s="133"/>
      <c r="P26" s="13"/>
      <c r="Q26" s="13"/>
      <c r="R26" s="13"/>
      <c r="S26" s="13"/>
      <c r="T26" s="13"/>
      <c r="AF26" s="12"/>
      <c r="AG26" s="12"/>
      <c r="AH26" s="12"/>
    </row>
    <row r="27" spans="2:73" ht="24" customHeight="1" thickBot="1" x14ac:dyDescent="0.25">
      <c r="B27" s="125"/>
      <c r="C27" s="131"/>
      <c r="D27" s="20" t="e">
        <f>VLOOKUP($B27,#REF!,3,0)</f>
        <v>#REF!</v>
      </c>
      <c r="E27" s="20" t="e">
        <f>VLOOKUP($B27,#REF!,4,0)</f>
        <v>#REF!</v>
      </c>
      <c r="F27" s="20" t="e">
        <f>VLOOKUP($B27,#REF!,5,0)</f>
        <v>#REF!</v>
      </c>
      <c r="G27" s="20" t="e">
        <f>VLOOKUP($B27,#REF!,6,0)</f>
        <v>#REF!</v>
      </c>
      <c r="H27" s="20" t="e">
        <f>VLOOKUP($B27,#REF!,7,0)</f>
        <v>#REF!</v>
      </c>
      <c r="I27" s="20" t="e">
        <f>VLOOKUP($B27,#REF!,8,0)</f>
        <v>#REF!</v>
      </c>
      <c r="J27" s="129"/>
      <c r="K27" s="34" t="s">
        <v>13</v>
      </c>
      <c r="L27" s="36">
        <v>63</v>
      </c>
      <c r="M27" s="36">
        <v>66</v>
      </c>
      <c r="N27" s="36">
        <v>67</v>
      </c>
      <c r="O27" s="134"/>
      <c r="P27" s="13"/>
      <c r="Q27" s="13"/>
      <c r="R27" s="13"/>
      <c r="S27" s="13"/>
      <c r="T27" s="13"/>
      <c r="AF27" s="12"/>
      <c r="AG27" s="12"/>
      <c r="AH27" s="14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</row>
    <row r="28" spans="2:73" ht="24" customHeight="1" x14ac:dyDescent="0.2">
      <c r="B28" s="135">
        <v>10</v>
      </c>
      <c r="C28" s="130" t="s">
        <v>32</v>
      </c>
      <c r="D28" s="19" t="e">
        <f>VLOOKUP($B28,#REF!,3,0)</f>
        <v>#REF!</v>
      </c>
      <c r="E28" s="19" t="e">
        <f>VLOOKUP($B28,#REF!,4,0)</f>
        <v>#REF!</v>
      </c>
      <c r="F28" s="19" t="e">
        <f>VLOOKUP($B28,#REF!,5,0)</f>
        <v>#REF!</v>
      </c>
      <c r="G28" s="19" t="e">
        <f>VLOOKUP($B28,#REF!,6,0)</f>
        <v>#REF!</v>
      </c>
      <c r="H28" s="19" t="e">
        <f>VLOOKUP($B28,#REF!,7,0)</f>
        <v>#REF!</v>
      </c>
      <c r="I28" s="19" t="e">
        <f>VLOOKUP($B28,#REF!,8,0)</f>
        <v>#REF!</v>
      </c>
      <c r="J28" s="132"/>
      <c r="K28" s="22" t="s">
        <v>12</v>
      </c>
      <c r="L28" s="35">
        <v>59</v>
      </c>
      <c r="M28" s="35">
        <v>60</v>
      </c>
      <c r="N28" s="35">
        <v>58</v>
      </c>
      <c r="O28" s="133"/>
      <c r="P28" s="13"/>
      <c r="Q28" s="13"/>
      <c r="R28" s="13"/>
      <c r="S28" s="13"/>
      <c r="T28" s="13"/>
    </row>
    <row r="29" spans="2:73" ht="24" customHeight="1" thickBot="1" x14ac:dyDescent="0.25">
      <c r="B29" s="125"/>
      <c r="C29" s="131"/>
      <c r="D29" s="20" t="e">
        <f>VLOOKUP($B29,#REF!,3,0)</f>
        <v>#REF!</v>
      </c>
      <c r="E29" s="20" t="e">
        <f>VLOOKUP($B29,#REF!,4,0)</f>
        <v>#REF!</v>
      </c>
      <c r="F29" s="20" t="e">
        <f>VLOOKUP($B29,#REF!,5,0)</f>
        <v>#REF!</v>
      </c>
      <c r="G29" s="20" t="e">
        <f>VLOOKUP($B29,#REF!,6,0)</f>
        <v>#REF!</v>
      </c>
      <c r="H29" s="20" t="e">
        <f>VLOOKUP($B29,#REF!,7,0)</f>
        <v>#REF!</v>
      </c>
      <c r="I29" s="20" t="e">
        <f>VLOOKUP($B29,#REF!,8,0)</f>
        <v>#REF!</v>
      </c>
      <c r="J29" s="129"/>
      <c r="K29" s="34" t="s">
        <v>13</v>
      </c>
      <c r="L29" s="36">
        <v>68</v>
      </c>
      <c r="M29" s="36">
        <v>72</v>
      </c>
      <c r="N29" s="36">
        <v>69</v>
      </c>
      <c r="O29" s="134"/>
      <c r="P29" s="13"/>
      <c r="Q29" s="13"/>
      <c r="R29" s="13"/>
      <c r="S29" s="13"/>
      <c r="T29" s="13"/>
      <c r="AF29" s="12"/>
      <c r="AG29" s="12"/>
      <c r="AH29" s="14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</row>
    <row r="30" spans="2:73" ht="24" customHeight="1" x14ac:dyDescent="0.2">
      <c r="B30" s="135">
        <v>11</v>
      </c>
      <c r="C30" s="130" t="s">
        <v>33</v>
      </c>
      <c r="D30" s="19" t="e">
        <f>VLOOKUP($B30,#REF!,3,0)</f>
        <v>#REF!</v>
      </c>
      <c r="E30" s="19" t="e">
        <f>VLOOKUP($B30,#REF!,4,0)</f>
        <v>#REF!</v>
      </c>
      <c r="F30" s="19" t="e">
        <f>VLOOKUP($B30,#REF!,5,0)</f>
        <v>#REF!</v>
      </c>
      <c r="G30" s="19" t="e">
        <f>VLOOKUP($B30,#REF!,6,0)</f>
        <v>#REF!</v>
      </c>
      <c r="H30" s="19" t="e">
        <f>VLOOKUP($B30,#REF!,7,0)</f>
        <v>#REF!</v>
      </c>
      <c r="I30" s="19" t="e">
        <f>VLOOKUP($B30,#REF!,8,0)</f>
        <v>#REF!</v>
      </c>
      <c r="J30" s="132"/>
      <c r="K30" s="22" t="s">
        <v>12</v>
      </c>
      <c r="L30" s="44">
        <v>58</v>
      </c>
      <c r="M30" s="35">
        <v>68</v>
      </c>
      <c r="N30" s="35">
        <v>63</v>
      </c>
      <c r="O30" s="133"/>
      <c r="P30" s="13"/>
      <c r="Q30" s="13"/>
      <c r="R30" s="13"/>
      <c r="S30" s="13"/>
      <c r="T30" s="13"/>
    </row>
    <row r="31" spans="2:73" ht="24" customHeight="1" thickBot="1" x14ac:dyDescent="0.25">
      <c r="B31" s="125"/>
      <c r="C31" s="131"/>
      <c r="D31" s="20" t="e">
        <f>VLOOKUP($B31,#REF!,3,0)</f>
        <v>#REF!</v>
      </c>
      <c r="E31" s="20" t="e">
        <f>VLOOKUP($B31,#REF!,4,0)</f>
        <v>#REF!</v>
      </c>
      <c r="F31" s="20" t="e">
        <f>VLOOKUP($B31,#REF!,5,0)</f>
        <v>#REF!</v>
      </c>
      <c r="G31" s="20" t="e">
        <f>VLOOKUP($B31,#REF!,6,0)</f>
        <v>#REF!</v>
      </c>
      <c r="H31" s="20" t="e">
        <f>VLOOKUP($B31,#REF!,7,0)</f>
        <v>#REF!</v>
      </c>
      <c r="I31" s="20" t="e">
        <f>VLOOKUP($B31,#REF!,8,0)</f>
        <v>#REF!</v>
      </c>
      <c r="J31" s="129"/>
      <c r="K31" s="34" t="s">
        <v>13</v>
      </c>
      <c r="L31" s="36">
        <v>73</v>
      </c>
      <c r="M31" s="36">
        <v>74</v>
      </c>
      <c r="N31" s="36">
        <v>71</v>
      </c>
      <c r="O31" s="134"/>
      <c r="P31" s="13"/>
      <c r="Q31" s="13"/>
      <c r="R31" s="13"/>
      <c r="S31" s="13"/>
      <c r="T31" s="13"/>
      <c r="AF31" s="12"/>
      <c r="AG31" s="12"/>
      <c r="AH31" s="14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</row>
    <row r="32" spans="2:73" ht="24" customHeight="1" x14ac:dyDescent="0.2">
      <c r="B32" s="135">
        <v>12</v>
      </c>
      <c r="C32" s="130" t="s">
        <v>32</v>
      </c>
      <c r="D32" s="19" t="e">
        <f>VLOOKUP($B32,#REF!,3,0)</f>
        <v>#REF!</v>
      </c>
      <c r="E32" s="19" t="e">
        <f>VLOOKUP($B32,#REF!,4,0)</f>
        <v>#REF!</v>
      </c>
      <c r="F32" s="19" t="e">
        <f>VLOOKUP($B32,#REF!,5,0)</f>
        <v>#REF!</v>
      </c>
      <c r="G32" s="19" t="e">
        <f>VLOOKUP($B32,#REF!,6,0)</f>
        <v>#REF!</v>
      </c>
      <c r="H32" s="19" t="e">
        <f>VLOOKUP($B32,#REF!,7,0)</f>
        <v>#REF!</v>
      </c>
      <c r="I32" s="19" t="e">
        <f>VLOOKUP($B32,#REF!,8,0)</f>
        <v>#REF!</v>
      </c>
      <c r="J32" s="132"/>
      <c r="K32" s="22" t="s">
        <v>12</v>
      </c>
      <c r="L32" s="35">
        <v>66</v>
      </c>
      <c r="M32" s="35">
        <v>62</v>
      </c>
      <c r="N32" s="35">
        <v>71</v>
      </c>
      <c r="O32" s="133"/>
      <c r="P32" s="13"/>
      <c r="Q32" s="13"/>
      <c r="R32" s="13"/>
      <c r="S32" s="13"/>
      <c r="T32" s="13"/>
    </row>
    <row r="33" spans="2:73" ht="24" customHeight="1" thickBot="1" x14ac:dyDescent="0.25">
      <c r="B33" s="125"/>
      <c r="C33" s="131"/>
      <c r="D33" s="20" t="e">
        <f>VLOOKUP($B33,#REF!,3,0)</f>
        <v>#REF!</v>
      </c>
      <c r="E33" s="20" t="e">
        <f>VLOOKUP($B33,#REF!,4,0)</f>
        <v>#REF!</v>
      </c>
      <c r="F33" s="20" t="e">
        <f>VLOOKUP($B33,#REF!,5,0)</f>
        <v>#REF!</v>
      </c>
      <c r="G33" s="20" t="e">
        <f>VLOOKUP($B33,#REF!,6,0)</f>
        <v>#REF!</v>
      </c>
      <c r="H33" s="20" t="e">
        <f>VLOOKUP($B33,#REF!,7,0)</f>
        <v>#REF!</v>
      </c>
      <c r="I33" s="20" t="e">
        <f>VLOOKUP($B33,#REF!,8,0)</f>
        <v>#REF!</v>
      </c>
      <c r="J33" s="129"/>
      <c r="K33" s="34" t="s">
        <v>13</v>
      </c>
      <c r="L33" s="36">
        <v>73</v>
      </c>
      <c r="M33" s="36">
        <v>77</v>
      </c>
      <c r="N33" s="36">
        <v>77</v>
      </c>
      <c r="O33" s="134"/>
      <c r="P33" s="13"/>
      <c r="Q33" s="13"/>
      <c r="R33" s="13"/>
      <c r="S33" s="13"/>
      <c r="T33" s="13"/>
      <c r="AF33" s="12"/>
      <c r="AG33" s="12"/>
      <c r="AH33" s="14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</row>
    <row r="34" spans="2:73" ht="24" customHeight="1" x14ac:dyDescent="0.2">
      <c r="B34" s="135">
        <v>13</v>
      </c>
      <c r="C34" s="130" t="s">
        <v>33</v>
      </c>
      <c r="D34" s="19" t="e">
        <f>VLOOKUP($B34,#REF!,3,0)</f>
        <v>#REF!</v>
      </c>
      <c r="E34" s="19" t="e">
        <f>VLOOKUP($B34,#REF!,4,0)</f>
        <v>#REF!</v>
      </c>
      <c r="F34" s="19" t="e">
        <f>VLOOKUP($B34,#REF!,5,0)</f>
        <v>#REF!</v>
      </c>
      <c r="G34" s="19" t="e">
        <f>VLOOKUP($B34,#REF!,6,0)</f>
        <v>#REF!</v>
      </c>
      <c r="H34" s="19" t="e">
        <f>VLOOKUP($B34,#REF!,7,0)</f>
        <v>#REF!</v>
      </c>
      <c r="I34" s="19" t="e">
        <f>VLOOKUP($B34,#REF!,8,0)</f>
        <v>#REF!</v>
      </c>
      <c r="J34" s="132"/>
      <c r="K34" s="22" t="s">
        <v>12</v>
      </c>
      <c r="L34" s="35">
        <v>54</v>
      </c>
      <c r="M34" s="35">
        <v>53</v>
      </c>
      <c r="N34" s="35">
        <v>58</v>
      </c>
      <c r="O34" s="133"/>
      <c r="P34" s="13"/>
      <c r="Q34" s="13"/>
      <c r="R34" s="13"/>
      <c r="S34" s="13"/>
      <c r="T34" s="13"/>
    </row>
    <row r="35" spans="2:73" ht="24" customHeight="1" thickBot="1" x14ac:dyDescent="0.25">
      <c r="B35" s="125"/>
      <c r="C35" s="131"/>
      <c r="D35" s="20" t="e">
        <f>VLOOKUP($B35,#REF!,3,0)</f>
        <v>#REF!</v>
      </c>
      <c r="E35" s="20" t="e">
        <f>VLOOKUP($B35,#REF!,4,0)</f>
        <v>#REF!</v>
      </c>
      <c r="F35" s="20" t="e">
        <f>VLOOKUP($B35,#REF!,5,0)</f>
        <v>#REF!</v>
      </c>
      <c r="G35" s="20" t="e">
        <f>VLOOKUP($B35,#REF!,6,0)</f>
        <v>#REF!</v>
      </c>
      <c r="H35" s="20" t="e">
        <f>VLOOKUP($B35,#REF!,7,0)</f>
        <v>#REF!</v>
      </c>
      <c r="I35" s="20" t="e">
        <f>VLOOKUP($B35,#REF!,8,0)</f>
        <v>#REF!</v>
      </c>
      <c r="J35" s="129"/>
      <c r="K35" s="34" t="s">
        <v>13</v>
      </c>
      <c r="L35" s="36">
        <v>64</v>
      </c>
      <c r="M35" s="36">
        <v>66</v>
      </c>
      <c r="N35" s="36">
        <v>63</v>
      </c>
      <c r="O35" s="134"/>
      <c r="P35" s="13"/>
      <c r="Q35" s="13"/>
      <c r="R35" s="13"/>
      <c r="S35" s="13"/>
      <c r="T35" s="13"/>
      <c r="AF35" s="12"/>
      <c r="AG35" s="12"/>
      <c r="AH35" s="14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</row>
    <row r="36" spans="2:73" ht="24" customHeight="1" x14ac:dyDescent="0.2">
      <c r="B36" s="135">
        <v>14</v>
      </c>
      <c r="C36" s="130" t="s">
        <v>32</v>
      </c>
      <c r="D36" s="19" t="e">
        <f>VLOOKUP($B36,#REF!,3,0)</f>
        <v>#REF!</v>
      </c>
      <c r="E36" s="19" t="e">
        <f>VLOOKUP($B36,#REF!,4,0)</f>
        <v>#REF!</v>
      </c>
      <c r="F36" s="19" t="e">
        <f>VLOOKUP($B36,#REF!,5,0)</f>
        <v>#REF!</v>
      </c>
      <c r="G36" s="19" t="e">
        <f>VLOOKUP($B36,#REF!,6,0)</f>
        <v>#REF!</v>
      </c>
      <c r="H36" s="19" t="e">
        <f>VLOOKUP($B36,#REF!,7,0)</f>
        <v>#REF!</v>
      </c>
      <c r="I36" s="19" t="e">
        <f>VLOOKUP($B36,#REF!,8,0)</f>
        <v>#REF!</v>
      </c>
      <c r="J36" s="132"/>
      <c r="K36" s="22" t="s">
        <v>12</v>
      </c>
      <c r="L36" s="35">
        <v>61</v>
      </c>
      <c r="M36" s="35">
        <v>56</v>
      </c>
      <c r="N36" s="35">
        <v>58</v>
      </c>
      <c r="O36" s="133"/>
      <c r="P36" s="13"/>
      <c r="Q36" s="13"/>
      <c r="R36" s="13"/>
      <c r="S36" s="13"/>
      <c r="T36" s="13"/>
    </row>
    <row r="37" spans="2:73" ht="24" customHeight="1" thickBot="1" x14ac:dyDescent="0.25">
      <c r="B37" s="125"/>
      <c r="C37" s="131"/>
      <c r="D37" s="20" t="e">
        <f>VLOOKUP($B37,#REF!,3,0)</f>
        <v>#REF!</v>
      </c>
      <c r="E37" s="20" t="e">
        <f>VLOOKUP($B37,#REF!,4,0)</f>
        <v>#REF!</v>
      </c>
      <c r="F37" s="20" t="e">
        <f>VLOOKUP($B37,#REF!,5,0)</f>
        <v>#REF!</v>
      </c>
      <c r="G37" s="20" t="e">
        <f>VLOOKUP($B37,#REF!,6,0)</f>
        <v>#REF!</v>
      </c>
      <c r="H37" s="20" t="e">
        <f>VLOOKUP($B37,#REF!,7,0)</f>
        <v>#REF!</v>
      </c>
      <c r="I37" s="20" t="e">
        <f>VLOOKUP($B37,#REF!,8,0)</f>
        <v>#REF!</v>
      </c>
      <c r="J37" s="129"/>
      <c r="K37" s="34" t="s">
        <v>13</v>
      </c>
      <c r="L37" s="36">
        <v>74</v>
      </c>
      <c r="M37" s="36">
        <v>74</v>
      </c>
      <c r="N37" s="36">
        <v>74</v>
      </c>
      <c r="O37" s="134"/>
      <c r="P37" s="13"/>
      <c r="Q37" s="13"/>
      <c r="R37" s="13"/>
      <c r="S37" s="13"/>
      <c r="T37" s="13"/>
      <c r="AF37" s="12"/>
      <c r="AG37" s="12"/>
      <c r="AH37" s="14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</row>
    <row r="38" spans="2:73" ht="24" customHeight="1" x14ac:dyDescent="0.2">
      <c r="B38" s="135">
        <v>15</v>
      </c>
      <c r="C38" s="130" t="s">
        <v>33</v>
      </c>
      <c r="D38" s="19" t="e">
        <f>VLOOKUP($B38,#REF!,3,0)</f>
        <v>#REF!</v>
      </c>
      <c r="E38" s="19" t="e">
        <f>VLOOKUP($B38,#REF!,4,0)</f>
        <v>#REF!</v>
      </c>
      <c r="F38" s="19" t="e">
        <f>VLOOKUP($B38,#REF!,5,0)</f>
        <v>#REF!</v>
      </c>
      <c r="G38" s="19" t="e">
        <f>VLOOKUP($B38,#REF!,6,0)</f>
        <v>#REF!</v>
      </c>
      <c r="H38" s="19" t="e">
        <f>VLOOKUP($B38,#REF!,7,0)</f>
        <v>#REF!</v>
      </c>
      <c r="I38" s="19" t="e">
        <f>VLOOKUP($B38,#REF!,8,0)</f>
        <v>#REF!</v>
      </c>
      <c r="J38" s="132"/>
      <c r="K38" s="22" t="s">
        <v>12</v>
      </c>
      <c r="L38" s="44">
        <v>60</v>
      </c>
      <c r="M38" s="35">
        <v>53</v>
      </c>
      <c r="N38" s="35">
        <v>54</v>
      </c>
      <c r="O38" s="133"/>
      <c r="P38" s="13"/>
      <c r="Q38" s="13"/>
      <c r="R38" s="13"/>
      <c r="S38" s="13"/>
      <c r="T38" s="13"/>
    </row>
    <row r="39" spans="2:73" ht="24" customHeight="1" thickBot="1" x14ac:dyDescent="0.25">
      <c r="B39" s="125"/>
      <c r="C39" s="131"/>
      <c r="D39" s="20" t="e">
        <f>VLOOKUP($B39,#REF!,3,0)</f>
        <v>#REF!</v>
      </c>
      <c r="E39" s="20" t="e">
        <f>VLOOKUP($B39,#REF!,4,0)</f>
        <v>#REF!</v>
      </c>
      <c r="F39" s="20" t="e">
        <f>VLOOKUP($B39,#REF!,5,0)</f>
        <v>#REF!</v>
      </c>
      <c r="G39" s="20" t="e">
        <f>VLOOKUP($B39,#REF!,6,0)</f>
        <v>#REF!</v>
      </c>
      <c r="H39" s="20" t="e">
        <f>VLOOKUP($B39,#REF!,7,0)</f>
        <v>#REF!</v>
      </c>
      <c r="I39" s="20" t="e">
        <f>VLOOKUP($B39,#REF!,8,0)</f>
        <v>#REF!</v>
      </c>
      <c r="J39" s="129"/>
      <c r="K39" s="34" t="s">
        <v>13</v>
      </c>
      <c r="L39" s="36">
        <v>63</v>
      </c>
      <c r="M39" s="36">
        <v>61</v>
      </c>
      <c r="N39" s="36">
        <v>69</v>
      </c>
      <c r="O39" s="134"/>
      <c r="P39" s="13"/>
      <c r="Q39" s="13"/>
      <c r="R39" s="13"/>
      <c r="S39" s="13"/>
      <c r="T39" s="13"/>
      <c r="AF39" s="12"/>
      <c r="AG39" s="12"/>
      <c r="AH39" s="14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</row>
    <row r="40" spans="2:73" ht="24" customHeight="1" x14ac:dyDescent="0.2">
      <c r="B40" s="135">
        <v>16</v>
      </c>
      <c r="C40" s="126" t="s">
        <v>34</v>
      </c>
      <c r="D40" s="19" t="e">
        <f>VLOOKUP($B40,#REF!,3,0)</f>
        <v>#REF!</v>
      </c>
      <c r="E40" s="19" t="e">
        <f>VLOOKUP($B40,#REF!,4,0)</f>
        <v>#REF!</v>
      </c>
      <c r="F40" s="19" t="e">
        <f>VLOOKUP($B40,#REF!,5,0)</f>
        <v>#REF!</v>
      </c>
      <c r="G40" s="19" t="e">
        <f>VLOOKUP($B40,#REF!,6,0)</f>
        <v>#REF!</v>
      </c>
      <c r="H40" s="19" t="e">
        <f>VLOOKUP($B40,#REF!,7,0)</f>
        <v>#REF!</v>
      </c>
      <c r="I40" s="19" t="e">
        <f>VLOOKUP($B40,#REF!,8,0)</f>
        <v>#REF!</v>
      </c>
      <c r="J40" s="132">
        <v>1134</v>
      </c>
      <c r="K40" s="22" t="s">
        <v>12</v>
      </c>
      <c r="L40" s="44">
        <v>54</v>
      </c>
      <c r="M40" s="44">
        <v>66</v>
      </c>
      <c r="N40" s="35">
        <v>59</v>
      </c>
      <c r="O40" s="133"/>
      <c r="P40" s="13"/>
      <c r="Q40" s="13"/>
      <c r="R40" s="13"/>
      <c r="S40" s="13"/>
      <c r="T40" s="13"/>
    </row>
    <row r="41" spans="2:73" ht="24" customHeight="1" thickBot="1" x14ac:dyDescent="0.25">
      <c r="B41" s="125"/>
      <c r="C41" s="127"/>
      <c r="D41" s="20" t="e">
        <f>VLOOKUP($B41,#REF!,3,0)</f>
        <v>#REF!</v>
      </c>
      <c r="E41" s="20" t="e">
        <f>VLOOKUP($B41,#REF!,4,0)</f>
        <v>#REF!</v>
      </c>
      <c r="F41" s="20" t="e">
        <f>VLOOKUP($B41,#REF!,5,0)</f>
        <v>#REF!</v>
      </c>
      <c r="G41" s="20" t="e">
        <f>VLOOKUP($B41,#REF!,6,0)</f>
        <v>#REF!</v>
      </c>
      <c r="H41" s="20" t="e">
        <f>VLOOKUP($B41,#REF!,7,0)</f>
        <v>#REF!</v>
      </c>
      <c r="I41" s="20" t="e">
        <f>VLOOKUP($B41,#REF!,8,0)</f>
        <v>#REF!</v>
      </c>
      <c r="J41" s="129"/>
      <c r="K41" s="34" t="s">
        <v>13</v>
      </c>
      <c r="L41" s="36">
        <v>70</v>
      </c>
      <c r="M41" s="36">
        <v>74</v>
      </c>
      <c r="N41" s="36">
        <v>64</v>
      </c>
      <c r="O41" s="134"/>
      <c r="P41" s="13"/>
      <c r="Q41" s="13"/>
      <c r="R41" s="13"/>
      <c r="S41" s="13"/>
      <c r="T41" s="13"/>
      <c r="AF41" s="12"/>
      <c r="AG41" s="12"/>
      <c r="AH41" s="14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</row>
  </sheetData>
  <mergeCells count="66">
    <mergeCell ref="B40:B41"/>
    <mergeCell ref="C40:C41"/>
    <mergeCell ref="J40:J41"/>
    <mergeCell ref="O40:O41"/>
    <mergeCell ref="B36:B37"/>
    <mergeCell ref="C36:C37"/>
    <mergeCell ref="J36:J37"/>
    <mergeCell ref="O36:O37"/>
    <mergeCell ref="B38:B39"/>
    <mergeCell ref="C38:C39"/>
    <mergeCell ref="B30:B31"/>
    <mergeCell ref="C30:C31"/>
    <mergeCell ref="J30:J31"/>
    <mergeCell ref="O30:O31"/>
    <mergeCell ref="J38:J39"/>
    <mergeCell ref="O38:O39"/>
    <mergeCell ref="B32:B33"/>
    <mergeCell ref="C32:C33"/>
    <mergeCell ref="J32:J33"/>
    <mergeCell ref="O32:O33"/>
    <mergeCell ref="B34:B35"/>
    <mergeCell ref="C34:C35"/>
    <mergeCell ref="J34:J35"/>
    <mergeCell ref="O34:O35"/>
    <mergeCell ref="B26:B27"/>
    <mergeCell ref="C26:C27"/>
    <mergeCell ref="J26:J27"/>
    <mergeCell ref="O26:O27"/>
    <mergeCell ref="B28:B29"/>
    <mergeCell ref="C28:C29"/>
    <mergeCell ref="J28:J29"/>
    <mergeCell ref="O28:O29"/>
    <mergeCell ref="B22:B23"/>
    <mergeCell ref="C22:C23"/>
    <mergeCell ref="J22:J23"/>
    <mergeCell ref="O22:O23"/>
    <mergeCell ref="B24:B25"/>
    <mergeCell ref="C24:C25"/>
    <mergeCell ref="J24:J25"/>
    <mergeCell ref="O24:O25"/>
    <mergeCell ref="B18:B19"/>
    <mergeCell ref="C18:C19"/>
    <mergeCell ref="J18:J19"/>
    <mergeCell ref="O18:O19"/>
    <mergeCell ref="B20:B21"/>
    <mergeCell ref="C20:C21"/>
    <mergeCell ref="J20:J21"/>
    <mergeCell ref="O20:O21"/>
    <mergeCell ref="O14:O15"/>
    <mergeCell ref="B16:B17"/>
    <mergeCell ref="C16:C17"/>
    <mergeCell ref="J16:J17"/>
    <mergeCell ref="O16:O17"/>
    <mergeCell ref="B12:B13"/>
    <mergeCell ref="C12:C13"/>
    <mergeCell ref="J12:J13"/>
    <mergeCell ref="B14:B15"/>
    <mergeCell ref="C14:C15"/>
    <mergeCell ref="J14:J15"/>
    <mergeCell ref="AF5:AH5"/>
    <mergeCell ref="L6:N6"/>
    <mergeCell ref="O7:O8"/>
    <mergeCell ref="B8:K8"/>
    <mergeCell ref="B10:B11"/>
    <mergeCell ref="C10:C11"/>
    <mergeCell ref="J10:J11"/>
  </mergeCells>
  <pageMargins left="0.45" right="0" top="0.49" bottom="0" header="0.64" footer="0"/>
  <pageSetup paperSize="512" scale="7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E3CCB-BB3F-4709-A413-C5156F37A188}">
  <sheetPr>
    <pageSetUpPr fitToPage="1"/>
  </sheetPr>
  <dimension ref="A1:BU41"/>
  <sheetViews>
    <sheetView zoomScale="97" zoomScaleNormal="97" workbookViewId="0">
      <selection activeCell="M51" sqref="M51"/>
    </sheetView>
  </sheetViews>
  <sheetFormatPr defaultRowHeight="12.75" x14ac:dyDescent="0.2"/>
  <cols>
    <col min="1" max="1" width="5.42578125" customWidth="1"/>
    <col min="2" max="2" width="6.28515625" customWidth="1"/>
    <col min="3" max="3" width="12.7109375" customWidth="1"/>
    <col min="4" max="8" width="5.28515625" hidden="1" customWidth="1"/>
    <col min="9" max="9" width="7" hidden="1" customWidth="1"/>
    <col min="10" max="10" width="8.42578125" customWidth="1"/>
    <col min="11" max="14" width="12.7109375" customWidth="1"/>
    <col min="15" max="15" width="48.7109375" customWidth="1"/>
    <col min="22" max="22" width="7.5703125" customWidth="1"/>
    <col min="23" max="32" width="7.7109375" customWidth="1"/>
  </cols>
  <sheetData>
    <row r="1" spans="1:73" ht="15" customHeight="1" x14ac:dyDescent="0.25">
      <c r="A1" s="1" t="s">
        <v>40</v>
      </c>
    </row>
    <row r="2" spans="1:73" ht="20.25" customHeight="1" thickBot="1" x14ac:dyDescent="0.3">
      <c r="A2" s="1"/>
      <c r="M2" s="15" t="s">
        <v>0</v>
      </c>
      <c r="N2" s="23">
        <v>40000</v>
      </c>
      <c r="O2" s="29"/>
    </row>
    <row r="3" spans="1:73" ht="20.25" customHeight="1" thickBot="1" x14ac:dyDescent="0.25">
      <c r="A3" t="s">
        <v>1</v>
      </c>
      <c r="C3" s="38" t="s">
        <v>43</v>
      </c>
      <c r="D3" s="3"/>
      <c r="E3" s="3"/>
      <c r="F3" s="3"/>
      <c r="G3" s="3"/>
      <c r="H3" s="3"/>
      <c r="I3" s="3"/>
      <c r="J3" s="3"/>
      <c r="K3" s="3"/>
      <c r="L3" s="3"/>
      <c r="M3" s="15" t="s">
        <v>23</v>
      </c>
      <c r="N3" s="2">
        <v>187</v>
      </c>
      <c r="O3" s="30"/>
    </row>
    <row r="4" spans="1:73" ht="20.25" customHeight="1" thickBot="1" x14ac:dyDescent="0.25">
      <c r="B4" s="3" t="s">
        <v>44</v>
      </c>
      <c r="C4" s="38"/>
      <c r="D4" s="4"/>
      <c r="E4" s="4"/>
      <c r="F4" s="4"/>
      <c r="G4" s="4"/>
      <c r="H4" s="4"/>
      <c r="I4" s="4"/>
      <c r="J4" s="4"/>
      <c r="K4" s="4"/>
      <c r="L4" s="4"/>
      <c r="M4" s="15" t="s">
        <v>2</v>
      </c>
      <c r="N4" s="2" t="s">
        <v>26</v>
      </c>
      <c r="O4" s="30"/>
    </row>
    <row r="5" spans="1:73" ht="18" x14ac:dyDescent="0.2">
      <c r="B5" t="s">
        <v>46</v>
      </c>
      <c r="AE5" s="5"/>
      <c r="AF5" s="115"/>
      <c r="AG5" s="115"/>
      <c r="AH5" s="115"/>
    </row>
    <row r="6" spans="1:73" ht="18" x14ac:dyDescent="0.25">
      <c r="L6" s="116"/>
      <c r="M6" s="117"/>
      <c r="N6" s="118"/>
      <c r="O6" s="31"/>
      <c r="AE6" s="5"/>
      <c r="AF6" s="24"/>
      <c r="AG6" s="24"/>
      <c r="AH6" s="24"/>
    </row>
    <row r="7" spans="1:73" ht="25.5" customHeight="1" x14ac:dyDescent="0.2">
      <c r="B7" s="6" t="s">
        <v>27</v>
      </c>
      <c r="C7" s="7"/>
      <c r="D7" s="7" t="s">
        <v>4</v>
      </c>
      <c r="E7" s="6" t="s">
        <v>5</v>
      </c>
      <c r="F7" s="7" t="s">
        <v>6</v>
      </c>
      <c r="G7" s="6" t="s">
        <v>7</v>
      </c>
      <c r="H7" s="6" t="s">
        <v>8</v>
      </c>
      <c r="I7" s="6" t="s">
        <v>9</v>
      </c>
      <c r="J7" s="6" t="s">
        <v>11</v>
      </c>
      <c r="K7" s="8" t="s">
        <v>24</v>
      </c>
      <c r="L7" s="22" t="s">
        <v>37</v>
      </c>
      <c r="M7" s="22" t="s">
        <v>38</v>
      </c>
      <c r="N7" s="22" t="s">
        <v>39</v>
      </c>
      <c r="O7" s="119" t="s">
        <v>25</v>
      </c>
      <c r="AE7" s="10"/>
      <c r="AF7" s="9"/>
      <c r="AG7" s="9"/>
      <c r="AH7" s="11"/>
    </row>
    <row r="8" spans="1:73" ht="15.95" customHeight="1" thickBot="1" x14ac:dyDescent="0.25">
      <c r="B8" s="121"/>
      <c r="C8" s="122"/>
      <c r="D8" s="122"/>
      <c r="E8" s="122"/>
      <c r="F8" s="122"/>
      <c r="G8" s="122"/>
      <c r="H8" s="122"/>
      <c r="I8" s="122"/>
      <c r="J8" s="122"/>
      <c r="K8" s="123"/>
      <c r="L8" s="39" t="s">
        <v>29</v>
      </c>
      <c r="M8" s="39"/>
      <c r="N8" s="39"/>
      <c r="O8" s="120"/>
      <c r="AF8" s="12"/>
      <c r="AG8" s="12"/>
      <c r="AH8" s="12"/>
    </row>
    <row r="9" spans="1:73" ht="15.95" hidden="1" customHeight="1" x14ac:dyDescent="0.2">
      <c r="B9" s="25" t="s">
        <v>3</v>
      </c>
      <c r="C9" s="26" t="s">
        <v>10</v>
      </c>
      <c r="D9" s="26" t="s">
        <v>14</v>
      </c>
      <c r="E9" s="25" t="s">
        <v>15</v>
      </c>
      <c r="F9" s="26" t="s">
        <v>16</v>
      </c>
      <c r="G9" s="25" t="s">
        <v>17</v>
      </c>
      <c r="H9" s="25" t="s">
        <v>8</v>
      </c>
      <c r="I9" s="25" t="s">
        <v>18</v>
      </c>
      <c r="J9" s="27" t="s">
        <v>11</v>
      </c>
      <c r="K9" s="27" t="s">
        <v>19</v>
      </c>
      <c r="L9" s="28" t="s">
        <v>20</v>
      </c>
      <c r="M9" s="28" t="s">
        <v>21</v>
      </c>
      <c r="N9" s="28" t="s">
        <v>22</v>
      </c>
      <c r="O9" s="32"/>
      <c r="AF9" s="12"/>
      <c r="AG9" s="12"/>
      <c r="AH9" s="12"/>
    </row>
    <row r="10" spans="1:73" ht="24" customHeight="1" x14ac:dyDescent="0.2">
      <c r="B10" s="124">
        <v>1</v>
      </c>
      <c r="C10" s="126" t="s">
        <v>31</v>
      </c>
      <c r="D10" s="19" t="e">
        <f>VLOOKUP($B10,#REF!,3,0)</f>
        <v>#REF!</v>
      </c>
      <c r="E10" s="19" t="e">
        <f>VLOOKUP($B10,#REF!,4,0)</f>
        <v>#REF!</v>
      </c>
      <c r="F10" s="19" t="e">
        <f>VLOOKUP($B10,#REF!,5,0)</f>
        <v>#REF!</v>
      </c>
      <c r="G10" s="19" t="e">
        <f>VLOOKUP($B10,#REF!,6,0)</f>
        <v>#REF!</v>
      </c>
      <c r="H10" s="19" t="e">
        <f>VLOOKUP($B10,#REF!,7,0)</f>
        <v>#REF!</v>
      </c>
      <c r="I10" s="19" t="e">
        <f>VLOOKUP($B10,#REF!,8,0)</f>
        <v>#REF!</v>
      </c>
      <c r="J10" s="128">
        <v>920</v>
      </c>
      <c r="K10" s="22" t="s">
        <v>12</v>
      </c>
      <c r="L10" s="35">
        <v>69</v>
      </c>
      <c r="M10" s="35">
        <v>90</v>
      </c>
      <c r="N10" s="44">
        <v>89</v>
      </c>
      <c r="O10" s="40"/>
      <c r="P10" s="13"/>
      <c r="Q10" s="13"/>
      <c r="R10" s="13"/>
      <c r="S10" s="13"/>
      <c r="T10" s="13"/>
      <c r="AF10" s="12"/>
      <c r="AG10" s="12"/>
      <c r="AH10" s="14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</row>
    <row r="11" spans="1:73" ht="24" customHeight="1" thickBot="1" x14ac:dyDescent="0.25">
      <c r="B11" s="125"/>
      <c r="C11" s="127"/>
      <c r="D11" s="20" t="e">
        <f>VLOOKUP($B11,#REF!,3,0)</f>
        <v>#REF!</v>
      </c>
      <c r="E11" s="20" t="e">
        <f>VLOOKUP($B11,#REF!,4,0)</f>
        <v>#REF!</v>
      </c>
      <c r="F11" s="20" t="e">
        <f>VLOOKUP($B11,#REF!,5,0)</f>
        <v>#REF!</v>
      </c>
      <c r="G11" s="20" t="e">
        <f>VLOOKUP($B11,#REF!,6,0)</f>
        <v>#REF!</v>
      </c>
      <c r="H11" s="20" t="e">
        <f>VLOOKUP($B11,#REF!,7,0)</f>
        <v>#REF!</v>
      </c>
      <c r="I11" s="20" t="e">
        <f>VLOOKUP($B11,#REF!,8,0)</f>
        <v>#REF!</v>
      </c>
      <c r="J11" s="129"/>
      <c r="K11" s="34" t="s">
        <v>13</v>
      </c>
      <c r="L11" s="36">
        <v>87</v>
      </c>
      <c r="M11" s="36">
        <v>94</v>
      </c>
      <c r="N11" s="36">
        <v>103</v>
      </c>
      <c r="O11" s="41"/>
      <c r="P11" s="13"/>
      <c r="Q11" s="13"/>
      <c r="R11" s="13"/>
      <c r="S11" s="13"/>
      <c r="T11" s="13"/>
      <c r="AF11" s="12"/>
      <c r="AG11" s="12"/>
      <c r="AH11" s="14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</row>
    <row r="12" spans="1:73" ht="24" customHeight="1" x14ac:dyDescent="0.2">
      <c r="B12" s="124">
        <v>2</v>
      </c>
      <c r="C12" s="130" t="s">
        <v>32</v>
      </c>
      <c r="D12" s="21" t="e">
        <f>VLOOKUP($B12,#REF!,3,0)</f>
        <v>#REF!</v>
      </c>
      <c r="E12" s="21" t="e">
        <f>VLOOKUP($B12,#REF!,4,0)</f>
        <v>#REF!</v>
      </c>
      <c r="F12" s="21" t="e">
        <f>VLOOKUP($B12,#REF!,5,0)</f>
        <v>#REF!</v>
      </c>
      <c r="G12" s="21" t="e">
        <f>VLOOKUP($B12,#REF!,6,0)</f>
        <v>#REF!</v>
      </c>
      <c r="H12" s="21" t="e">
        <f>VLOOKUP($B12,#REF!,7,0)</f>
        <v>#REF!</v>
      </c>
      <c r="I12" s="21" t="e">
        <f>VLOOKUP($B12,#REF!,8,0)</f>
        <v>#REF!</v>
      </c>
      <c r="J12" s="132"/>
      <c r="K12" s="33" t="s">
        <v>12</v>
      </c>
      <c r="L12" s="35">
        <v>83</v>
      </c>
      <c r="M12" s="35">
        <v>97</v>
      </c>
      <c r="N12" s="35">
        <v>89</v>
      </c>
      <c r="O12" s="42"/>
      <c r="P12" s="13"/>
      <c r="Q12" s="16"/>
      <c r="R12" s="13"/>
      <c r="S12" s="17"/>
      <c r="T12" s="13"/>
      <c r="AF12" s="12"/>
      <c r="AG12" s="12"/>
      <c r="AH12" s="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</row>
    <row r="13" spans="1:73" ht="24" customHeight="1" thickBot="1" x14ac:dyDescent="0.25">
      <c r="B13" s="125"/>
      <c r="C13" s="131"/>
      <c r="D13" s="20" t="e">
        <f>VLOOKUP($B13,#REF!,3,0)</f>
        <v>#REF!</v>
      </c>
      <c r="E13" s="20" t="e">
        <f>VLOOKUP($B13,#REF!,4,0)</f>
        <v>#REF!</v>
      </c>
      <c r="F13" s="20" t="e">
        <f>VLOOKUP($B13,#REF!,5,0)</f>
        <v>#REF!</v>
      </c>
      <c r="G13" s="20" t="e">
        <f>VLOOKUP($B13,#REF!,6,0)</f>
        <v>#REF!</v>
      </c>
      <c r="H13" s="20" t="e">
        <f>VLOOKUP($B13,#REF!,7,0)</f>
        <v>#REF!</v>
      </c>
      <c r="I13" s="20" t="e">
        <f>VLOOKUP($B13,#REF!,8,0)</f>
        <v>#REF!</v>
      </c>
      <c r="J13" s="129"/>
      <c r="K13" s="34" t="s">
        <v>13</v>
      </c>
      <c r="L13" s="37">
        <v>101</v>
      </c>
      <c r="M13" s="36">
        <v>102</v>
      </c>
      <c r="N13" s="36">
        <v>102</v>
      </c>
      <c r="O13" s="43"/>
      <c r="P13" s="13"/>
      <c r="Q13" s="13"/>
      <c r="R13" s="13"/>
      <c r="S13" s="13"/>
      <c r="T13" s="13"/>
      <c r="AF13" s="12"/>
      <c r="AG13" s="12"/>
      <c r="AH13" s="14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</row>
    <row r="14" spans="1:73" ht="24" customHeight="1" x14ac:dyDescent="0.2">
      <c r="B14" s="124">
        <v>3</v>
      </c>
      <c r="C14" s="130" t="s">
        <v>33</v>
      </c>
      <c r="D14" s="19" t="e">
        <f>VLOOKUP($B14,#REF!,3,0)</f>
        <v>#REF!</v>
      </c>
      <c r="E14" s="19" t="e">
        <f>VLOOKUP($B14,#REF!,4,0)</f>
        <v>#REF!</v>
      </c>
      <c r="F14" s="19" t="e">
        <f>VLOOKUP($B14,#REF!,5,0)</f>
        <v>#REF!</v>
      </c>
      <c r="G14" s="19" t="e">
        <f>VLOOKUP($B14,#REF!,6,0)</f>
        <v>#REF!</v>
      </c>
      <c r="H14" s="19" t="e">
        <f>VLOOKUP($B14,#REF!,7,0)</f>
        <v>#REF!</v>
      </c>
      <c r="I14" s="19" t="e">
        <f>VLOOKUP($B14,#REF!,8,0)</f>
        <v>#REF!</v>
      </c>
      <c r="J14" s="132"/>
      <c r="K14" s="22" t="s">
        <v>12</v>
      </c>
      <c r="L14" s="35">
        <v>73</v>
      </c>
      <c r="M14" s="35">
        <v>77</v>
      </c>
      <c r="N14" s="35">
        <v>75</v>
      </c>
      <c r="O14" s="133"/>
      <c r="P14" s="13"/>
      <c r="Q14" s="13"/>
      <c r="R14" s="13"/>
      <c r="S14" s="13"/>
      <c r="T14" s="13"/>
      <c r="AF14" s="12"/>
      <c r="AG14" s="12"/>
      <c r="AH14" s="12"/>
    </row>
    <row r="15" spans="1:73" ht="24" customHeight="1" thickBot="1" x14ac:dyDescent="0.25">
      <c r="B15" s="125"/>
      <c r="C15" s="131"/>
      <c r="D15" s="20" t="e">
        <f>VLOOKUP($B15,#REF!,3,0)</f>
        <v>#REF!</v>
      </c>
      <c r="E15" s="20" t="e">
        <f>VLOOKUP($B15,#REF!,4,0)</f>
        <v>#REF!</v>
      </c>
      <c r="F15" s="20" t="e">
        <f>VLOOKUP($B15,#REF!,5,0)</f>
        <v>#REF!</v>
      </c>
      <c r="G15" s="20" t="e">
        <f>VLOOKUP($B15,#REF!,6,0)</f>
        <v>#REF!</v>
      </c>
      <c r="H15" s="20" t="e">
        <f>VLOOKUP($B15,#REF!,7,0)</f>
        <v>#REF!</v>
      </c>
      <c r="I15" s="20" t="e">
        <f>VLOOKUP($B15,#REF!,8,0)</f>
        <v>#REF!</v>
      </c>
      <c r="J15" s="129"/>
      <c r="K15" s="34" t="s">
        <v>13</v>
      </c>
      <c r="L15" s="36">
        <v>89</v>
      </c>
      <c r="M15" s="36">
        <v>93</v>
      </c>
      <c r="N15" s="36">
        <v>95</v>
      </c>
      <c r="O15" s="134"/>
      <c r="P15" s="13"/>
      <c r="Q15" s="13"/>
      <c r="R15" s="13"/>
      <c r="S15" s="13"/>
      <c r="T15" s="13"/>
      <c r="AF15" s="12"/>
      <c r="AG15" s="12"/>
      <c r="AH15" s="14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</row>
    <row r="16" spans="1:73" ht="24" customHeight="1" x14ac:dyDescent="0.2">
      <c r="B16" s="124">
        <v>4</v>
      </c>
      <c r="C16" s="130" t="s">
        <v>32</v>
      </c>
      <c r="D16" s="19" t="e">
        <f>VLOOKUP($B16,#REF!,3,0)</f>
        <v>#REF!</v>
      </c>
      <c r="E16" s="19" t="e">
        <f>VLOOKUP($B16,#REF!,4,0)</f>
        <v>#REF!</v>
      </c>
      <c r="F16" s="19" t="e">
        <f>VLOOKUP($B16,#REF!,5,0)</f>
        <v>#REF!</v>
      </c>
      <c r="G16" s="19" t="e">
        <f>VLOOKUP($B16,#REF!,6,0)</f>
        <v>#REF!</v>
      </c>
      <c r="H16" s="19" t="e">
        <f>VLOOKUP($B16,#REF!,7,0)</f>
        <v>#REF!</v>
      </c>
      <c r="I16" s="19" t="e">
        <f>VLOOKUP($B16,#REF!,8,0)</f>
        <v>#REF!</v>
      </c>
      <c r="J16" s="132"/>
      <c r="K16" s="22" t="s">
        <v>12</v>
      </c>
      <c r="L16" s="35">
        <v>89</v>
      </c>
      <c r="M16" s="35">
        <v>99</v>
      </c>
      <c r="N16" s="44">
        <v>103</v>
      </c>
      <c r="O16" s="133"/>
      <c r="P16" s="13"/>
      <c r="Q16" s="13"/>
      <c r="R16" s="13"/>
      <c r="S16" s="13"/>
      <c r="T16" s="13"/>
    </row>
    <row r="17" spans="2:73" ht="24" customHeight="1" thickBot="1" x14ac:dyDescent="0.25">
      <c r="B17" s="125"/>
      <c r="C17" s="131"/>
      <c r="D17" s="20" t="e">
        <f>VLOOKUP($B17,#REF!,3,0)</f>
        <v>#REF!</v>
      </c>
      <c r="E17" s="20" t="e">
        <f>VLOOKUP($B17,#REF!,4,0)</f>
        <v>#REF!</v>
      </c>
      <c r="F17" s="20" t="e">
        <f>VLOOKUP($B17,#REF!,5,0)</f>
        <v>#REF!</v>
      </c>
      <c r="G17" s="20" t="e">
        <f>VLOOKUP($B17,#REF!,6,0)</f>
        <v>#REF!</v>
      </c>
      <c r="H17" s="20" t="e">
        <f>VLOOKUP($B17,#REF!,7,0)</f>
        <v>#REF!</v>
      </c>
      <c r="I17" s="20" t="e">
        <f>VLOOKUP($B17,#REF!,8,0)</f>
        <v>#REF!</v>
      </c>
      <c r="J17" s="129"/>
      <c r="K17" s="34" t="s">
        <v>13</v>
      </c>
      <c r="L17" s="36">
        <v>111</v>
      </c>
      <c r="M17" s="36">
        <v>114</v>
      </c>
      <c r="N17" s="36">
        <v>115</v>
      </c>
      <c r="O17" s="134"/>
      <c r="P17" s="13"/>
      <c r="Q17" s="13"/>
      <c r="R17" s="13"/>
      <c r="S17" s="13"/>
      <c r="T17" s="13"/>
      <c r="AF17" s="12"/>
      <c r="AG17" s="12"/>
      <c r="AH17" s="14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</row>
    <row r="18" spans="2:73" ht="24" customHeight="1" x14ac:dyDescent="0.2">
      <c r="B18" s="124">
        <v>5</v>
      </c>
      <c r="C18" s="130" t="s">
        <v>33</v>
      </c>
      <c r="D18" s="19" t="e">
        <f>VLOOKUP($B18,#REF!,3,0)</f>
        <v>#REF!</v>
      </c>
      <c r="E18" s="19" t="e">
        <f>VLOOKUP($B18,#REF!,4,0)</f>
        <v>#REF!</v>
      </c>
      <c r="F18" s="19" t="e">
        <f>VLOOKUP($B18,#REF!,5,0)</f>
        <v>#REF!</v>
      </c>
      <c r="G18" s="19" t="e">
        <f>VLOOKUP($B18,#REF!,6,0)</f>
        <v>#REF!</v>
      </c>
      <c r="H18" s="19" t="e">
        <f>VLOOKUP($B18,#REF!,7,0)</f>
        <v>#REF!</v>
      </c>
      <c r="I18" s="19" t="e">
        <f>VLOOKUP($B18,#REF!,8,0)</f>
        <v>#REF!</v>
      </c>
      <c r="J18" s="132"/>
      <c r="K18" s="22" t="s">
        <v>12</v>
      </c>
      <c r="L18" s="44">
        <v>85</v>
      </c>
      <c r="M18" s="35">
        <v>96</v>
      </c>
      <c r="N18" s="44">
        <v>88</v>
      </c>
      <c r="O18" s="133"/>
      <c r="P18" s="13"/>
      <c r="Q18" s="13"/>
      <c r="R18" s="13"/>
      <c r="S18" s="13"/>
      <c r="T18" s="13"/>
      <c r="AF18" s="12"/>
      <c r="AG18" s="12"/>
      <c r="AH18" s="12"/>
    </row>
    <row r="19" spans="2:73" ht="24" customHeight="1" thickBot="1" x14ac:dyDescent="0.25">
      <c r="B19" s="125"/>
      <c r="C19" s="131"/>
      <c r="D19" s="20" t="e">
        <f>VLOOKUP($B19,#REF!,3,0)</f>
        <v>#REF!</v>
      </c>
      <c r="E19" s="20" t="e">
        <f>VLOOKUP($B19,#REF!,4,0)</f>
        <v>#REF!</v>
      </c>
      <c r="F19" s="20" t="e">
        <f>VLOOKUP($B19,#REF!,5,0)</f>
        <v>#REF!</v>
      </c>
      <c r="G19" s="20" t="e">
        <f>VLOOKUP($B19,#REF!,6,0)</f>
        <v>#REF!</v>
      </c>
      <c r="H19" s="20" t="e">
        <f>VLOOKUP($B19,#REF!,7,0)</f>
        <v>#REF!</v>
      </c>
      <c r="I19" s="20" t="e">
        <f>VLOOKUP($B19,#REF!,8,0)</f>
        <v>#REF!</v>
      </c>
      <c r="J19" s="129"/>
      <c r="K19" s="34" t="s">
        <v>13</v>
      </c>
      <c r="L19" s="36">
        <v>104</v>
      </c>
      <c r="M19" s="36">
        <v>107</v>
      </c>
      <c r="N19" s="36">
        <v>100</v>
      </c>
      <c r="O19" s="134"/>
      <c r="P19" s="13"/>
      <c r="Q19" s="13"/>
      <c r="R19" s="13"/>
      <c r="S19" s="13"/>
      <c r="T19" s="13"/>
      <c r="AF19" s="12"/>
      <c r="AG19" s="12"/>
      <c r="AH19" s="14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</row>
    <row r="20" spans="2:73" ht="24" customHeight="1" x14ac:dyDescent="0.2">
      <c r="B20" s="124">
        <v>6</v>
      </c>
      <c r="C20" s="130" t="s">
        <v>32</v>
      </c>
      <c r="D20" s="19" t="e">
        <f>VLOOKUP($B20,#REF!,3,0)</f>
        <v>#REF!</v>
      </c>
      <c r="E20" s="19" t="e">
        <f>VLOOKUP($B20,#REF!,4,0)</f>
        <v>#REF!</v>
      </c>
      <c r="F20" s="19" t="e">
        <f>VLOOKUP($B20,#REF!,5,0)</f>
        <v>#REF!</v>
      </c>
      <c r="G20" s="19" t="e">
        <f>VLOOKUP($B20,#REF!,6,0)</f>
        <v>#REF!</v>
      </c>
      <c r="H20" s="19" t="e">
        <f>VLOOKUP($B20,#REF!,7,0)</f>
        <v>#REF!</v>
      </c>
      <c r="I20" s="19" t="e">
        <f>VLOOKUP($B20,#REF!,8,0)</f>
        <v>#REF!</v>
      </c>
      <c r="J20" s="132"/>
      <c r="K20" s="22" t="s">
        <v>12</v>
      </c>
      <c r="L20" s="35">
        <v>76</v>
      </c>
      <c r="M20" s="35">
        <v>67</v>
      </c>
      <c r="N20" s="35">
        <v>80</v>
      </c>
      <c r="O20" s="133"/>
      <c r="P20" s="13"/>
      <c r="Q20" s="13"/>
      <c r="R20" s="13"/>
      <c r="S20" s="13"/>
      <c r="T20" s="13"/>
      <c r="AF20" s="12"/>
      <c r="AG20" s="12"/>
      <c r="AH20" s="12"/>
    </row>
    <row r="21" spans="2:73" ht="24" customHeight="1" thickBot="1" x14ac:dyDescent="0.25">
      <c r="B21" s="125"/>
      <c r="C21" s="131"/>
      <c r="D21" s="20" t="e">
        <f>VLOOKUP($B21,#REF!,3,0)</f>
        <v>#REF!</v>
      </c>
      <c r="E21" s="20" t="e">
        <f>VLOOKUP($B21,#REF!,4,0)</f>
        <v>#REF!</v>
      </c>
      <c r="F21" s="20" t="e">
        <f>VLOOKUP($B21,#REF!,5,0)</f>
        <v>#REF!</v>
      </c>
      <c r="G21" s="20" t="e">
        <f>VLOOKUP($B21,#REF!,6,0)</f>
        <v>#REF!</v>
      </c>
      <c r="H21" s="20" t="e">
        <f>VLOOKUP($B21,#REF!,7,0)</f>
        <v>#REF!</v>
      </c>
      <c r="I21" s="20" t="e">
        <f>VLOOKUP($B21,#REF!,8,0)</f>
        <v>#REF!</v>
      </c>
      <c r="J21" s="129"/>
      <c r="K21" s="34" t="s">
        <v>13</v>
      </c>
      <c r="L21" s="36">
        <v>88</v>
      </c>
      <c r="M21" s="36">
        <v>90</v>
      </c>
      <c r="N21" s="36">
        <v>94</v>
      </c>
      <c r="O21" s="134"/>
      <c r="P21" s="13"/>
      <c r="Q21" s="13"/>
      <c r="R21" s="13"/>
      <c r="S21" s="13"/>
      <c r="T21" s="13"/>
      <c r="AF21" s="12"/>
      <c r="AG21" s="12"/>
      <c r="AH21" s="14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spans="2:73" ht="24" customHeight="1" x14ac:dyDescent="0.2">
      <c r="B22" s="124">
        <v>7</v>
      </c>
      <c r="C22" s="130" t="s">
        <v>33</v>
      </c>
      <c r="D22" s="19" t="e">
        <f>VLOOKUP($B22,#REF!,3,0)</f>
        <v>#REF!</v>
      </c>
      <c r="E22" s="19" t="e">
        <f>VLOOKUP($B22,#REF!,4,0)</f>
        <v>#REF!</v>
      </c>
      <c r="F22" s="19" t="e">
        <f>VLOOKUP($B22,#REF!,5,0)</f>
        <v>#REF!</v>
      </c>
      <c r="G22" s="19" t="e">
        <f>VLOOKUP($B22,#REF!,6,0)</f>
        <v>#REF!</v>
      </c>
      <c r="H22" s="19" t="e">
        <f>VLOOKUP($B22,#REF!,7,0)</f>
        <v>#REF!</v>
      </c>
      <c r="I22" s="19" t="e">
        <f>VLOOKUP($B22,#REF!,8,0)</f>
        <v>#REF!</v>
      </c>
      <c r="J22" s="132">
        <v>1020</v>
      </c>
      <c r="K22" s="22" t="s">
        <v>12</v>
      </c>
      <c r="L22" s="35">
        <v>103</v>
      </c>
      <c r="M22" s="35">
        <v>106</v>
      </c>
      <c r="N22" s="35">
        <v>98</v>
      </c>
      <c r="O22" s="133"/>
      <c r="P22" s="13"/>
      <c r="Q22" s="13"/>
      <c r="R22" s="13"/>
      <c r="S22" s="13"/>
      <c r="T22" s="13"/>
      <c r="AF22" s="12"/>
      <c r="AG22" s="12"/>
      <c r="AH22" s="12"/>
    </row>
    <row r="23" spans="2:73" ht="24" customHeight="1" thickBot="1" x14ac:dyDescent="0.25">
      <c r="B23" s="125"/>
      <c r="C23" s="131"/>
      <c r="D23" s="20" t="e">
        <f>VLOOKUP($B23,#REF!,3,0)</f>
        <v>#REF!</v>
      </c>
      <c r="E23" s="20" t="e">
        <f>VLOOKUP($B23,#REF!,4,0)</f>
        <v>#REF!</v>
      </c>
      <c r="F23" s="20" t="e">
        <f>VLOOKUP($B23,#REF!,5,0)</f>
        <v>#REF!</v>
      </c>
      <c r="G23" s="20" t="e">
        <f>VLOOKUP($B23,#REF!,6,0)</f>
        <v>#REF!</v>
      </c>
      <c r="H23" s="20" t="e">
        <f>VLOOKUP($B23,#REF!,7,0)</f>
        <v>#REF!</v>
      </c>
      <c r="I23" s="20" t="e">
        <f>VLOOKUP($B23,#REF!,8,0)</f>
        <v>#REF!</v>
      </c>
      <c r="J23" s="129"/>
      <c r="K23" s="34" t="s">
        <v>13</v>
      </c>
      <c r="L23" s="36">
        <v>106</v>
      </c>
      <c r="M23" s="36">
        <v>114</v>
      </c>
      <c r="N23" s="36">
        <v>113</v>
      </c>
      <c r="O23" s="134"/>
      <c r="P23" s="13"/>
      <c r="Q23" s="13"/>
      <c r="R23" s="13"/>
      <c r="S23" s="13"/>
      <c r="T23" s="13"/>
      <c r="AF23" s="12"/>
      <c r="AG23" s="12"/>
      <c r="AH23" s="14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</row>
    <row r="24" spans="2:73" ht="24" customHeight="1" x14ac:dyDescent="0.2">
      <c r="B24" s="124">
        <v>8</v>
      </c>
      <c r="C24" s="130" t="s">
        <v>32</v>
      </c>
      <c r="D24" s="19" t="e">
        <f>VLOOKUP($B24,#REF!,3,0)</f>
        <v>#REF!</v>
      </c>
      <c r="E24" s="19" t="e">
        <f>VLOOKUP($B24,#REF!,4,0)</f>
        <v>#REF!</v>
      </c>
      <c r="F24" s="19" t="e">
        <f>VLOOKUP($B24,#REF!,5,0)</f>
        <v>#REF!</v>
      </c>
      <c r="G24" s="19" t="e">
        <f>VLOOKUP($B24,#REF!,6,0)</f>
        <v>#REF!</v>
      </c>
      <c r="H24" s="19" t="e">
        <f>VLOOKUP($B24,#REF!,7,0)</f>
        <v>#REF!</v>
      </c>
      <c r="I24" s="19" t="e">
        <f>VLOOKUP($B24,#REF!,8,0)</f>
        <v>#REF!</v>
      </c>
      <c r="J24" s="132"/>
      <c r="K24" s="22" t="s">
        <v>12</v>
      </c>
      <c r="L24" s="35">
        <v>89</v>
      </c>
      <c r="M24" s="35">
        <v>91</v>
      </c>
      <c r="N24" s="35">
        <v>82</v>
      </c>
      <c r="O24" s="133"/>
      <c r="P24" s="13"/>
      <c r="Q24" s="13"/>
      <c r="R24" s="13"/>
      <c r="S24" s="13"/>
      <c r="T24" s="13"/>
      <c r="AF24" s="9"/>
      <c r="AG24" s="9"/>
      <c r="AH24" s="9"/>
    </row>
    <row r="25" spans="2:73" ht="24" customHeight="1" thickBot="1" x14ac:dyDescent="0.25">
      <c r="B25" s="125"/>
      <c r="C25" s="131"/>
      <c r="D25" s="20" t="e">
        <f>VLOOKUP($B25,#REF!,3,0)</f>
        <v>#REF!</v>
      </c>
      <c r="E25" s="20" t="e">
        <f>VLOOKUP($B25,#REF!,4,0)</f>
        <v>#REF!</v>
      </c>
      <c r="F25" s="20" t="e">
        <f>VLOOKUP($B25,#REF!,5,0)</f>
        <v>#REF!</v>
      </c>
      <c r="G25" s="20" t="e">
        <f>VLOOKUP($B25,#REF!,6,0)</f>
        <v>#REF!</v>
      </c>
      <c r="H25" s="20" t="e">
        <f>VLOOKUP($B25,#REF!,7,0)</f>
        <v>#REF!</v>
      </c>
      <c r="I25" s="20" t="e">
        <f>VLOOKUP($B25,#REF!,8,0)</f>
        <v>#REF!</v>
      </c>
      <c r="J25" s="129"/>
      <c r="K25" s="34" t="s">
        <v>13</v>
      </c>
      <c r="L25" s="36">
        <v>104</v>
      </c>
      <c r="M25" s="36">
        <v>112</v>
      </c>
      <c r="N25" s="36">
        <v>97</v>
      </c>
      <c r="O25" s="134"/>
      <c r="P25" s="13"/>
      <c r="Q25" s="13"/>
      <c r="R25" s="13"/>
      <c r="S25" s="13"/>
      <c r="T25" s="13"/>
      <c r="AF25" s="12"/>
      <c r="AG25" s="12"/>
      <c r="AH25" s="14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</row>
    <row r="26" spans="2:73" ht="24" customHeight="1" x14ac:dyDescent="0.2">
      <c r="B26" s="124">
        <v>9</v>
      </c>
      <c r="C26" s="130" t="s">
        <v>33</v>
      </c>
      <c r="D26" s="19" t="e">
        <f>VLOOKUP($B26,#REF!,3,0)</f>
        <v>#REF!</v>
      </c>
      <c r="E26" s="19" t="e">
        <f>VLOOKUP($B26,#REF!,4,0)</f>
        <v>#REF!</v>
      </c>
      <c r="F26" s="19" t="e">
        <f>VLOOKUP($B26,#REF!,5,0)</f>
        <v>#REF!</v>
      </c>
      <c r="G26" s="19" t="e">
        <f>VLOOKUP($B26,#REF!,6,0)</f>
        <v>#REF!</v>
      </c>
      <c r="H26" s="19" t="e">
        <f>VLOOKUP($B26,#REF!,7,0)</f>
        <v>#REF!</v>
      </c>
      <c r="I26" s="19" t="e">
        <f>VLOOKUP($B26,#REF!,8,0)</f>
        <v>#REF!</v>
      </c>
      <c r="J26" s="132"/>
      <c r="K26" s="22" t="s">
        <v>12</v>
      </c>
      <c r="L26" s="35">
        <v>87</v>
      </c>
      <c r="M26" s="35">
        <v>75</v>
      </c>
      <c r="N26" s="35">
        <v>86</v>
      </c>
      <c r="O26" s="133"/>
      <c r="P26" s="13"/>
      <c r="Q26" s="13"/>
      <c r="R26" s="13"/>
      <c r="S26" s="13"/>
      <c r="T26" s="13"/>
      <c r="AF26" s="12"/>
      <c r="AG26" s="12"/>
      <c r="AH26" s="12"/>
    </row>
    <row r="27" spans="2:73" ht="24" customHeight="1" thickBot="1" x14ac:dyDescent="0.25">
      <c r="B27" s="125"/>
      <c r="C27" s="131"/>
      <c r="D27" s="20" t="e">
        <f>VLOOKUP($B27,#REF!,3,0)</f>
        <v>#REF!</v>
      </c>
      <c r="E27" s="20" t="e">
        <f>VLOOKUP($B27,#REF!,4,0)</f>
        <v>#REF!</v>
      </c>
      <c r="F27" s="20" t="e">
        <f>VLOOKUP($B27,#REF!,5,0)</f>
        <v>#REF!</v>
      </c>
      <c r="G27" s="20" t="e">
        <f>VLOOKUP($B27,#REF!,6,0)</f>
        <v>#REF!</v>
      </c>
      <c r="H27" s="20" t="e">
        <f>VLOOKUP($B27,#REF!,7,0)</f>
        <v>#REF!</v>
      </c>
      <c r="I27" s="20" t="e">
        <f>VLOOKUP($B27,#REF!,8,0)</f>
        <v>#REF!</v>
      </c>
      <c r="J27" s="129"/>
      <c r="K27" s="34" t="s">
        <v>13</v>
      </c>
      <c r="L27" s="36">
        <v>95</v>
      </c>
      <c r="M27" s="36">
        <v>82</v>
      </c>
      <c r="N27" s="36">
        <v>92</v>
      </c>
      <c r="O27" s="134"/>
      <c r="P27" s="13"/>
      <c r="Q27" s="13"/>
      <c r="R27" s="13"/>
      <c r="S27" s="13"/>
      <c r="T27" s="13"/>
      <c r="AF27" s="12"/>
      <c r="AG27" s="12"/>
      <c r="AH27" s="14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</row>
    <row r="28" spans="2:73" ht="24" customHeight="1" x14ac:dyDescent="0.2">
      <c r="B28" s="135">
        <v>10</v>
      </c>
      <c r="C28" s="130" t="s">
        <v>32</v>
      </c>
      <c r="D28" s="19" t="e">
        <f>VLOOKUP($B28,#REF!,3,0)</f>
        <v>#REF!</v>
      </c>
      <c r="E28" s="19" t="e">
        <f>VLOOKUP($B28,#REF!,4,0)</f>
        <v>#REF!</v>
      </c>
      <c r="F28" s="19" t="e">
        <f>VLOOKUP($B28,#REF!,5,0)</f>
        <v>#REF!</v>
      </c>
      <c r="G28" s="19" t="e">
        <f>VLOOKUP($B28,#REF!,6,0)</f>
        <v>#REF!</v>
      </c>
      <c r="H28" s="19" t="e">
        <f>VLOOKUP($B28,#REF!,7,0)</f>
        <v>#REF!</v>
      </c>
      <c r="I28" s="19" t="e">
        <f>VLOOKUP($B28,#REF!,8,0)</f>
        <v>#REF!</v>
      </c>
      <c r="J28" s="132"/>
      <c r="K28" s="22" t="s">
        <v>12</v>
      </c>
      <c r="L28" s="35">
        <v>84</v>
      </c>
      <c r="M28" s="35">
        <v>92</v>
      </c>
      <c r="N28" s="35">
        <v>98</v>
      </c>
      <c r="O28" s="133" t="s">
        <v>45</v>
      </c>
      <c r="P28" s="13"/>
      <c r="Q28" s="13"/>
      <c r="R28" s="13"/>
      <c r="S28" s="13"/>
      <c r="T28" s="13"/>
    </row>
    <row r="29" spans="2:73" ht="24" customHeight="1" thickBot="1" x14ac:dyDescent="0.25">
      <c r="B29" s="125"/>
      <c r="C29" s="131"/>
      <c r="D29" s="20" t="e">
        <f>VLOOKUP($B29,#REF!,3,0)</f>
        <v>#REF!</v>
      </c>
      <c r="E29" s="20" t="e">
        <f>VLOOKUP($B29,#REF!,4,0)</f>
        <v>#REF!</v>
      </c>
      <c r="F29" s="20" t="e">
        <f>VLOOKUP($B29,#REF!,5,0)</f>
        <v>#REF!</v>
      </c>
      <c r="G29" s="20" t="e">
        <f>VLOOKUP($B29,#REF!,6,0)</f>
        <v>#REF!</v>
      </c>
      <c r="H29" s="20" t="e">
        <f>VLOOKUP($B29,#REF!,7,0)</f>
        <v>#REF!</v>
      </c>
      <c r="I29" s="20" t="e">
        <f>VLOOKUP($B29,#REF!,8,0)</f>
        <v>#REF!</v>
      </c>
      <c r="J29" s="129"/>
      <c r="K29" s="34" t="s">
        <v>13</v>
      </c>
      <c r="L29" s="36">
        <v>104</v>
      </c>
      <c r="M29" s="36">
        <v>104</v>
      </c>
      <c r="N29" s="36">
        <v>103</v>
      </c>
      <c r="O29" s="134"/>
      <c r="P29" s="13"/>
      <c r="Q29" s="13"/>
      <c r="R29" s="13"/>
      <c r="S29" s="13"/>
      <c r="T29" s="13"/>
      <c r="AF29" s="12"/>
      <c r="AG29" s="12"/>
      <c r="AH29" s="14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</row>
    <row r="30" spans="2:73" ht="24" customHeight="1" x14ac:dyDescent="0.2">
      <c r="B30" s="135">
        <v>11</v>
      </c>
      <c r="C30" s="130" t="s">
        <v>33</v>
      </c>
      <c r="D30" s="19" t="e">
        <f>VLOOKUP($B30,#REF!,3,0)</f>
        <v>#REF!</v>
      </c>
      <c r="E30" s="19" t="e">
        <f>VLOOKUP($B30,#REF!,4,0)</f>
        <v>#REF!</v>
      </c>
      <c r="F30" s="19" t="e">
        <f>VLOOKUP($B30,#REF!,5,0)</f>
        <v>#REF!</v>
      </c>
      <c r="G30" s="19" t="e">
        <f>VLOOKUP($B30,#REF!,6,0)</f>
        <v>#REF!</v>
      </c>
      <c r="H30" s="19" t="e">
        <f>VLOOKUP($B30,#REF!,7,0)</f>
        <v>#REF!</v>
      </c>
      <c r="I30" s="19" t="e">
        <f>VLOOKUP($B30,#REF!,8,0)</f>
        <v>#REF!</v>
      </c>
      <c r="J30" s="132">
        <v>1142</v>
      </c>
      <c r="K30" s="22" t="s">
        <v>12</v>
      </c>
      <c r="L30" s="44">
        <v>92</v>
      </c>
      <c r="M30" s="35">
        <v>98</v>
      </c>
      <c r="N30" s="35">
        <v>88</v>
      </c>
      <c r="O30" s="133"/>
      <c r="P30" s="13"/>
      <c r="Q30" s="13"/>
      <c r="R30" s="13"/>
      <c r="S30" s="13"/>
      <c r="T30" s="13"/>
    </row>
    <row r="31" spans="2:73" ht="24" customHeight="1" thickBot="1" x14ac:dyDescent="0.25">
      <c r="B31" s="125"/>
      <c r="C31" s="131"/>
      <c r="D31" s="20" t="e">
        <f>VLOOKUP($B31,#REF!,3,0)</f>
        <v>#REF!</v>
      </c>
      <c r="E31" s="20" t="e">
        <f>VLOOKUP($B31,#REF!,4,0)</f>
        <v>#REF!</v>
      </c>
      <c r="F31" s="20" t="e">
        <f>VLOOKUP($B31,#REF!,5,0)</f>
        <v>#REF!</v>
      </c>
      <c r="G31" s="20" t="e">
        <f>VLOOKUP($B31,#REF!,6,0)</f>
        <v>#REF!</v>
      </c>
      <c r="H31" s="20" t="e">
        <f>VLOOKUP($B31,#REF!,7,0)</f>
        <v>#REF!</v>
      </c>
      <c r="I31" s="20" t="e">
        <f>VLOOKUP($B31,#REF!,8,0)</f>
        <v>#REF!</v>
      </c>
      <c r="J31" s="129"/>
      <c r="K31" s="34" t="s">
        <v>13</v>
      </c>
      <c r="L31" s="36">
        <v>106</v>
      </c>
      <c r="M31" s="36">
        <v>109</v>
      </c>
      <c r="N31" s="36">
        <v>107</v>
      </c>
      <c r="O31" s="134"/>
      <c r="P31" s="13"/>
      <c r="Q31" s="13"/>
      <c r="R31" s="13"/>
      <c r="S31" s="13"/>
      <c r="T31" s="13"/>
      <c r="AF31" s="12"/>
      <c r="AG31" s="12"/>
      <c r="AH31" s="14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</row>
    <row r="32" spans="2:73" ht="24" customHeight="1" x14ac:dyDescent="0.2">
      <c r="B32" s="135">
        <v>12</v>
      </c>
      <c r="C32" s="130" t="s">
        <v>32</v>
      </c>
      <c r="D32" s="19" t="e">
        <f>VLOOKUP($B32,#REF!,3,0)</f>
        <v>#REF!</v>
      </c>
      <c r="E32" s="19" t="e">
        <f>VLOOKUP($B32,#REF!,4,0)</f>
        <v>#REF!</v>
      </c>
      <c r="F32" s="19" t="e">
        <f>VLOOKUP($B32,#REF!,5,0)</f>
        <v>#REF!</v>
      </c>
      <c r="G32" s="19" t="e">
        <f>VLOOKUP($B32,#REF!,6,0)</f>
        <v>#REF!</v>
      </c>
      <c r="H32" s="19" t="e">
        <f>VLOOKUP($B32,#REF!,7,0)</f>
        <v>#REF!</v>
      </c>
      <c r="I32" s="19" t="e">
        <f>VLOOKUP($B32,#REF!,8,0)</f>
        <v>#REF!</v>
      </c>
      <c r="J32" s="132"/>
      <c r="K32" s="22" t="s">
        <v>12</v>
      </c>
      <c r="L32" s="35">
        <v>94</v>
      </c>
      <c r="M32" s="35">
        <v>101</v>
      </c>
      <c r="N32" s="35">
        <v>101</v>
      </c>
      <c r="O32" s="133"/>
      <c r="P32" s="13"/>
      <c r="Q32" s="13"/>
      <c r="R32" s="13"/>
      <c r="S32" s="13"/>
      <c r="T32" s="13"/>
    </row>
    <row r="33" spans="2:73" ht="24" customHeight="1" thickBot="1" x14ac:dyDescent="0.25">
      <c r="B33" s="125"/>
      <c r="C33" s="131"/>
      <c r="D33" s="20" t="e">
        <f>VLOOKUP($B33,#REF!,3,0)</f>
        <v>#REF!</v>
      </c>
      <c r="E33" s="20" t="e">
        <f>VLOOKUP($B33,#REF!,4,0)</f>
        <v>#REF!</v>
      </c>
      <c r="F33" s="20" t="e">
        <f>VLOOKUP($B33,#REF!,5,0)</f>
        <v>#REF!</v>
      </c>
      <c r="G33" s="20" t="e">
        <f>VLOOKUP($B33,#REF!,6,0)</f>
        <v>#REF!</v>
      </c>
      <c r="H33" s="20" t="e">
        <f>VLOOKUP($B33,#REF!,7,0)</f>
        <v>#REF!</v>
      </c>
      <c r="I33" s="20" t="e">
        <f>VLOOKUP($B33,#REF!,8,0)</f>
        <v>#REF!</v>
      </c>
      <c r="J33" s="129"/>
      <c r="K33" s="34" t="s">
        <v>13</v>
      </c>
      <c r="L33" s="36">
        <v>114</v>
      </c>
      <c r="M33" s="36">
        <v>114</v>
      </c>
      <c r="N33" s="36">
        <v>118</v>
      </c>
      <c r="O33" s="134"/>
      <c r="P33" s="13"/>
      <c r="Q33" s="13"/>
      <c r="R33" s="13"/>
      <c r="S33" s="13"/>
      <c r="T33" s="13"/>
      <c r="AF33" s="12"/>
      <c r="AG33" s="12"/>
      <c r="AH33" s="14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</row>
    <row r="34" spans="2:73" ht="24" customHeight="1" x14ac:dyDescent="0.2">
      <c r="B34" s="135">
        <v>13</v>
      </c>
      <c r="C34" s="130" t="s">
        <v>33</v>
      </c>
      <c r="D34" s="19" t="e">
        <f>VLOOKUP($B34,#REF!,3,0)</f>
        <v>#REF!</v>
      </c>
      <c r="E34" s="19" t="e">
        <f>VLOOKUP($B34,#REF!,4,0)</f>
        <v>#REF!</v>
      </c>
      <c r="F34" s="19" t="e">
        <f>VLOOKUP($B34,#REF!,5,0)</f>
        <v>#REF!</v>
      </c>
      <c r="G34" s="19" t="e">
        <f>VLOOKUP($B34,#REF!,6,0)</f>
        <v>#REF!</v>
      </c>
      <c r="H34" s="19" t="e">
        <f>VLOOKUP($B34,#REF!,7,0)</f>
        <v>#REF!</v>
      </c>
      <c r="I34" s="19" t="e">
        <f>VLOOKUP($B34,#REF!,8,0)</f>
        <v>#REF!</v>
      </c>
      <c r="J34" s="132"/>
      <c r="K34" s="22" t="s">
        <v>12</v>
      </c>
      <c r="L34" s="35">
        <v>79</v>
      </c>
      <c r="M34" s="35">
        <v>71</v>
      </c>
      <c r="N34" s="35">
        <v>72</v>
      </c>
      <c r="O34" s="133"/>
      <c r="P34" s="13"/>
      <c r="Q34" s="13"/>
      <c r="R34" s="13"/>
      <c r="S34" s="13"/>
      <c r="T34" s="13"/>
    </row>
    <row r="35" spans="2:73" ht="24" customHeight="1" thickBot="1" x14ac:dyDescent="0.25">
      <c r="B35" s="125"/>
      <c r="C35" s="131"/>
      <c r="D35" s="20" t="e">
        <f>VLOOKUP($B35,#REF!,3,0)</f>
        <v>#REF!</v>
      </c>
      <c r="E35" s="20" t="e">
        <f>VLOOKUP($B35,#REF!,4,0)</f>
        <v>#REF!</v>
      </c>
      <c r="F35" s="20" t="e">
        <f>VLOOKUP($B35,#REF!,5,0)</f>
        <v>#REF!</v>
      </c>
      <c r="G35" s="20" t="e">
        <f>VLOOKUP($B35,#REF!,6,0)</f>
        <v>#REF!</v>
      </c>
      <c r="H35" s="20" t="e">
        <f>VLOOKUP($B35,#REF!,7,0)</f>
        <v>#REF!</v>
      </c>
      <c r="I35" s="20" t="e">
        <f>VLOOKUP($B35,#REF!,8,0)</f>
        <v>#REF!</v>
      </c>
      <c r="J35" s="129"/>
      <c r="K35" s="34" t="s">
        <v>13</v>
      </c>
      <c r="L35" s="36">
        <v>95</v>
      </c>
      <c r="M35" s="36">
        <v>97</v>
      </c>
      <c r="N35" s="36">
        <v>83</v>
      </c>
      <c r="O35" s="134"/>
      <c r="P35" s="13"/>
      <c r="Q35" s="13"/>
      <c r="R35" s="13"/>
      <c r="S35" s="13"/>
      <c r="T35" s="13"/>
      <c r="AF35" s="12"/>
      <c r="AG35" s="12"/>
      <c r="AH35" s="14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</row>
    <row r="36" spans="2:73" ht="24" customHeight="1" x14ac:dyDescent="0.2">
      <c r="B36" s="135">
        <v>14</v>
      </c>
      <c r="C36" s="130" t="s">
        <v>32</v>
      </c>
      <c r="D36" s="19" t="e">
        <f>VLOOKUP($B36,#REF!,3,0)</f>
        <v>#REF!</v>
      </c>
      <c r="E36" s="19" t="e">
        <f>VLOOKUP($B36,#REF!,4,0)</f>
        <v>#REF!</v>
      </c>
      <c r="F36" s="19" t="e">
        <f>VLOOKUP($B36,#REF!,5,0)</f>
        <v>#REF!</v>
      </c>
      <c r="G36" s="19" t="e">
        <f>VLOOKUP($B36,#REF!,6,0)</f>
        <v>#REF!</v>
      </c>
      <c r="H36" s="19" t="e">
        <f>VLOOKUP($B36,#REF!,7,0)</f>
        <v>#REF!</v>
      </c>
      <c r="I36" s="19" t="e">
        <f>VLOOKUP($B36,#REF!,8,0)</f>
        <v>#REF!</v>
      </c>
      <c r="J36" s="132"/>
      <c r="K36" s="22" t="s">
        <v>12</v>
      </c>
      <c r="L36" s="35">
        <v>89</v>
      </c>
      <c r="M36" s="35">
        <v>91</v>
      </c>
      <c r="N36" s="35">
        <v>100</v>
      </c>
      <c r="O36" s="133"/>
      <c r="P36" s="13"/>
      <c r="Q36" s="13"/>
      <c r="R36" s="13"/>
      <c r="S36" s="13"/>
      <c r="T36" s="13"/>
    </row>
    <row r="37" spans="2:73" ht="24" customHeight="1" thickBot="1" x14ac:dyDescent="0.25">
      <c r="B37" s="125"/>
      <c r="C37" s="131"/>
      <c r="D37" s="20" t="e">
        <f>VLOOKUP($B37,#REF!,3,0)</f>
        <v>#REF!</v>
      </c>
      <c r="E37" s="20" t="e">
        <f>VLOOKUP($B37,#REF!,4,0)</f>
        <v>#REF!</v>
      </c>
      <c r="F37" s="20" t="e">
        <f>VLOOKUP($B37,#REF!,5,0)</f>
        <v>#REF!</v>
      </c>
      <c r="G37" s="20" t="e">
        <f>VLOOKUP($B37,#REF!,6,0)</f>
        <v>#REF!</v>
      </c>
      <c r="H37" s="20" t="e">
        <f>VLOOKUP($B37,#REF!,7,0)</f>
        <v>#REF!</v>
      </c>
      <c r="I37" s="20" t="e">
        <f>VLOOKUP($B37,#REF!,8,0)</f>
        <v>#REF!</v>
      </c>
      <c r="J37" s="129"/>
      <c r="K37" s="34" t="s">
        <v>13</v>
      </c>
      <c r="L37" s="36">
        <v>108</v>
      </c>
      <c r="M37" s="36">
        <v>106</v>
      </c>
      <c r="N37" s="36">
        <v>114</v>
      </c>
      <c r="O37" s="134"/>
      <c r="P37" s="13"/>
      <c r="Q37" s="13"/>
      <c r="R37" s="13"/>
      <c r="S37" s="13"/>
      <c r="T37" s="13"/>
      <c r="AF37" s="12"/>
      <c r="AG37" s="12"/>
      <c r="AH37" s="14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</row>
    <row r="38" spans="2:73" ht="24" customHeight="1" x14ac:dyDescent="0.2">
      <c r="B38" s="135">
        <v>15</v>
      </c>
      <c r="C38" s="130" t="s">
        <v>33</v>
      </c>
      <c r="D38" s="19" t="e">
        <f>VLOOKUP($B38,#REF!,3,0)</f>
        <v>#REF!</v>
      </c>
      <c r="E38" s="19" t="e">
        <f>VLOOKUP($B38,#REF!,4,0)</f>
        <v>#REF!</v>
      </c>
      <c r="F38" s="19" t="e">
        <f>VLOOKUP($B38,#REF!,5,0)</f>
        <v>#REF!</v>
      </c>
      <c r="G38" s="19" t="e">
        <f>VLOOKUP($B38,#REF!,6,0)</f>
        <v>#REF!</v>
      </c>
      <c r="H38" s="19" t="e">
        <f>VLOOKUP($B38,#REF!,7,0)</f>
        <v>#REF!</v>
      </c>
      <c r="I38" s="19" t="e">
        <f>VLOOKUP($B38,#REF!,8,0)</f>
        <v>#REF!</v>
      </c>
      <c r="J38" s="132"/>
      <c r="K38" s="22" t="s">
        <v>12</v>
      </c>
      <c r="L38" s="44">
        <v>81</v>
      </c>
      <c r="M38" s="35">
        <v>89</v>
      </c>
      <c r="N38" s="35">
        <v>83</v>
      </c>
      <c r="O38" s="133"/>
      <c r="P38" s="13"/>
      <c r="Q38" s="13"/>
      <c r="R38" s="13"/>
      <c r="S38" s="13"/>
      <c r="T38" s="13"/>
    </row>
    <row r="39" spans="2:73" ht="24" customHeight="1" thickBot="1" x14ac:dyDescent="0.25">
      <c r="B39" s="125"/>
      <c r="C39" s="131"/>
      <c r="D39" s="20" t="e">
        <f>VLOOKUP($B39,#REF!,3,0)</f>
        <v>#REF!</v>
      </c>
      <c r="E39" s="20" t="e">
        <f>VLOOKUP($B39,#REF!,4,0)</f>
        <v>#REF!</v>
      </c>
      <c r="F39" s="20" t="e">
        <f>VLOOKUP($B39,#REF!,5,0)</f>
        <v>#REF!</v>
      </c>
      <c r="G39" s="20" t="e">
        <f>VLOOKUP($B39,#REF!,6,0)</f>
        <v>#REF!</v>
      </c>
      <c r="H39" s="20" t="e">
        <f>VLOOKUP($B39,#REF!,7,0)</f>
        <v>#REF!</v>
      </c>
      <c r="I39" s="20" t="e">
        <f>VLOOKUP($B39,#REF!,8,0)</f>
        <v>#REF!</v>
      </c>
      <c r="J39" s="129"/>
      <c r="K39" s="34" t="s">
        <v>13</v>
      </c>
      <c r="L39" s="36">
        <v>97</v>
      </c>
      <c r="M39" s="36">
        <v>98</v>
      </c>
      <c r="N39" s="36">
        <v>102</v>
      </c>
      <c r="O39" s="134"/>
      <c r="P39" s="13"/>
      <c r="Q39" s="13"/>
      <c r="R39" s="13"/>
      <c r="S39" s="13"/>
      <c r="T39" s="13"/>
      <c r="AF39" s="12"/>
      <c r="AG39" s="12"/>
      <c r="AH39" s="14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</row>
    <row r="40" spans="2:73" ht="24" customHeight="1" x14ac:dyDescent="0.2">
      <c r="B40" s="135">
        <v>16</v>
      </c>
      <c r="C40" s="126" t="s">
        <v>34</v>
      </c>
      <c r="D40" s="19" t="e">
        <f>VLOOKUP($B40,#REF!,3,0)</f>
        <v>#REF!</v>
      </c>
      <c r="E40" s="19" t="e">
        <f>VLOOKUP($B40,#REF!,4,0)</f>
        <v>#REF!</v>
      </c>
      <c r="F40" s="19" t="e">
        <f>VLOOKUP($B40,#REF!,5,0)</f>
        <v>#REF!</v>
      </c>
      <c r="G40" s="19" t="e">
        <f>VLOOKUP($B40,#REF!,6,0)</f>
        <v>#REF!</v>
      </c>
      <c r="H40" s="19" t="e">
        <f>VLOOKUP($B40,#REF!,7,0)</f>
        <v>#REF!</v>
      </c>
      <c r="I40" s="19" t="e">
        <f>VLOOKUP($B40,#REF!,8,0)</f>
        <v>#REF!</v>
      </c>
      <c r="J40" s="132">
        <v>1233</v>
      </c>
      <c r="K40" s="22" t="s">
        <v>12</v>
      </c>
      <c r="L40" s="44">
        <v>78</v>
      </c>
      <c r="M40" s="44">
        <v>92</v>
      </c>
      <c r="N40" s="35">
        <v>76</v>
      </c>
      <c r="O40" s="133"/>
      <c r="P40" s="13"/>
      <c r="Q40" s="13"/>
      <c r="R40" s="13"/>
      <c r="S40" s="13"/>
      <c r="T40" s="13"/>
    </row>
    <row r="41" spans="2:73" ht="24" customHeight="1" thickBot="1" x14ac:dyDescent="0.25">
      <c r="B41" s="125"/>
      <c r="C41" s="127"/>
      <c r="D41" s="20" t="e">
        <f>VLOOKUP($B41,#REF!,3,0)</f>
        <v>#REF!</v>
      </c>
      <c r="E41" s="20" t="e">
        <f>VLOOKUP($B41,#REF!,4,0)</f>
        <v>#REF!</v>
      </c>
      <c r="F41" s="20" t="e">
        <f>VLOOKUP($B41,#REF!,5,0)</f>
        <v>#REF!</v>
      </c>
      <c r="G41" s="20" t="e">
        <f>VLOOKUP($B41,#REF!,6,0)</f>
        <v>#REF!</v>
      </c>
      <c r="H41" s="20" t="e">
        <f>VLOOKUP($B41,#REF!,7,0)</f>
        <v>#REF!</v>
      </c>
      <c r="I41" s="20" t="e">
        <f>VLOOKUP($B41,#REF!,8,0)</f>
        <v>#REF!</v>
      </c>
      <c r="J41" s="129"/>
      <c r="K41" s="34" t="s">
        <v>13</v>
      </c>
      <c r="L41" s="36">
        <v>95</v>
      </c>
      <c r="M41" s="36">
        <v>97</v>
      </c>
      <c r="N41" s="36">
        <v>95</v>
      </c>
      <c r="O41" s="134"/>
      <c r="P41" s="13"/>
      <c r="Q41" s="13"/>
      <c r="R41" s="13"/>
      <c r="S41" s="13"/>
      <c r="T41" s="13"/>
      <c r="AF41" s="12"/>
      <c r="AG41" s="12"/>
      <c r="AH41" s="14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</row>
  </sheetData>
  <mergeCells count="66">
    <mergeCell ref="AF5:AH5"/>
    <mergeCell ref="L6:N6"/>
    <mergeCell ref="O7:O8"/>
    <mergeCell ref="B8:K8"/>
    <mergeCell ref="B10:B11"/>
    <mergeCell ref="C10:C11"/>
    <mergeCell ref="J10:J11"/>
    <mergeCell ref="B18:B19"/>
    <mergeCell ref="C18:C19"/>
    <mergeCell ref="J18:J19"/>
    <mergeCell ref="O18:O19"/>
    <mergeCell ref="B12:B13"/>
    <mergeCell ref="C12:C13"/>
    <mergeCell ref="J12:J13"/>
    <mergeCell ref="B14:B15"/>
    <mergeCell ref="C14:C15"/>
    <mergeCell ref="J14:J15"/>
    <mergeCell ref="O14:O15"/>
    <mergeCell ref="B16:B17"/>
    <mergeCell ref="C16:C17"/>
    <mergeCell ref="J16:J17"/>
    <mergeCell ref="O16:O17"/>
    <mergeCell ref="B20:B21"/>
    <mergeCell ref="C20:C21"/>
    <mergeCell ref="J20:J21"/>
    <mergeCell ref="O20:O21"/>
    <mergeCell ref="B22:B23"/>
    <mergeCell ref="C22:C23"/>
    <mergeCell ref="J22:J23"/>
    <mergeCell ref="O22:O23"/>
    <mergeCell ref="B24:B25"/>
    <mergeCell ref="C24:C25"/>
    <mergeCell ref="J24:J25"/>
    <mergeCell ref="O24:O25"/>
    <mergeCell ref="B26:B27"/>
    <mergeCell ref="C26:C27"/>
    <mergeCell ref="J26:J27"/>
    <mergeCell ref="O26:O27"/>
    <mergeCell ref="B28:B29"/>
    <mergeCell ref="C28:C29"/>
    <mergeCell ref="J28:J29"/>
    <mergeCell ref="O28:O29"/>
    <mergeCell ref="B30:B31"/>
    <mergeCell ref="C30:C31"/>
    <mergeCell ref="J30:J31"/>
    <mergeCell ref="O30:O31"/>
    <mergeCell ref="B32:B33"/>
    <mergeCell ref="C32:C33"/>
    <mergeCell ref="J32:J33"/>
    <mergeCell ref="O32:O33"/>
    <mergeCell ref="B34:B35"/>
    <mergeCell ref="C34:C35"/>
    <mergeCell ref="J34:J35"/>
    <mergeCell ref="O34:O35"/>
    <mergeCell ref="B40:B41"/>
    <mergeCell ref="C40:C41"/>
    <mergeCell ref="J40:J41"/>
    <mergeCell ref="O40:O41"/>
    <mergeCell ref="B36:B37"/>
    <mergeCell ref="C36:C37"/>
    <mergeCell ref="J36:J37"/>
    <mergeCell ref="O36:O37"/>
    <mergeCell ref="B38:B39"/>
    <mergeCell ref="C38:C39"/>
    <mergeCell ref="J38:J39"/>
    <mergeCell ref="O38:O39"/>
  </mergeCells>
  <pageMargins left="0.45" right="0" top="0.49" bottom="0" header="0.64" footer="0"/>
  <pageSetup paperSize="512" scale="7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8BC4-E46D-4B16-8C86-9F2A74C7CF2D}">
  <sheetPr>
    <pageSetUpPr fitToPage="1"/>
  </sheetPr>
  <dimension ref="A1:BU41"/>
  <sheetViews>
    <sheetView zoomScale="94" zoomScaleNormal="94" workbookViewId="0">
      <selection activeCell="A2" sqref="A2"/>
    </sheetView>
  </sheetViews>
  <sheetFormatPr defaultRowHeight="12.75" x14ac:dyDescent="0.2"/>
  <cols>
    <col min="1" max="1" width="5.42578125" customWidth="1"/>
    <col min="2" max="2" width="6.28515625" customWidth="1"/>
    <col min="3" max="3" width="12.7109375" customWidth="1"/>
    <col min="4" max="8" width="5.28515625" hidden="1" customWidth="1"/>
    <col min="9" max="9" width="7" hidden="1" customWidth="1"/>
    <col min="10" max="10" width="8.42578125" customWidth="1"/>
    <col min="11" max="14" width="12.7109375" customWidth="1"/>
    <col min="15" max="15" width="48.7109375" customWidth="1"/>
    <col min="22" max="22" width="7.5703125" customWidth="1"/>
    <col min="23" max="32" width="7.7109375" customWidth="1"/>
  </cols>
  <sheetData>
    <row r="1" spans="1:73" ht="15" customHeight="1" x14ac:dyDescent="0.25">
      <c r="A1" s="1" t="s">
        <v>40</v>
      </c>
    </row>
    <row r="2" spans="1:73" ht="20.25" customHeight="1" thickBot="1" x14ac:dyDescent="0.3">
      <c r="A2" s="1"/>
      <c r="M2" s="15" t="s">
        <v>0</v>
      </c>
      <c r="N2" s="23">
        <v>40007</v>
      </c>
      <c r="O2" s="29"/>
    </row>
    <row r="3" spans="1:73" ht="20.25" customHeight="1" thickBot="1" x14ac:dyDescent="0.25">
      <c r="A3" t="s">
        <v>1</v>
      </c>
      <c r="C3" s="38" t="s">
        <v>47</v>
      </c>
      <c r="D3" s="3"/>
      <c r="E3" s="3"/>
      <c r="F3" s="3"/>
      <c r="G3" s="3"/>
      <c r="H3" s="3"/>
      <c r="I3" s="3"/>
      <c r="J3" s="3"/>
      <c r="K3" s="3"/>
      <c r="L3" s="3"/>
      <c r="M3" s="15" t="s">
        <v>23</v>
      </c>
      <c r="N3" s="2">
        <v>194</v>
      </c>
      <c r="O3" s="30"/>
    </row>
    <row r="4" spans="1:73" ht="20.25" customHeight="1" thickBot="1" x14ac:dyDescent="0.25">
      <c r="B4" s="3"/>
      <c r="C4" s="38"/>
      <c r="D4" s="4"/>
      <c r="E4" s="4"/>
      <c r="F4" s="4"/>
      <c r="G4" s="4"/>
      <c r="H4" s="4"/>
      <c r="I4" s="4"/>
      <c r="J4" s="4"/>
      <c r="K4" s="4"/>
      <c r="L4" s="4"/>
      <c r="M4" s="15" t="s">
        <v>2</v>
      </c>
      <c r="N4" s="2" t="s">
        <v>26</v>
      </c>
      <c r="O4" s="30"/>
    </row>
    <row r="5" spans="1:73" ht="18" x14ac:dyDescent="0.2">
      <c r="AE5" s="5"/>
      <c r="AF5" s="115"/>
      <c r="AG5" s="115"/>
      <c r="AH5" s="115"/>
    </row>
    <row r="6" spans="1:73" ht="18" x14ac:dyDescent="0.25">
      <c r="L6" s="116"/>
      <c r="M6" s="117"/>
      <c r="N6" s="118"/>
      <c r="O6" s="31"/>
      <c r="AE6" s="5"/>
      <c r="AF6" s="24"/>
      <c r="AG6" s="24"/>
      <c r="AH6" s="24"/>
    </row>
    <row r="7" spans="1:73" ht="25.5" customHeight="1" x14ac:dyDescent="0.2">
      <c r="B7" s="6" t="s">
        <v>27</v>
      </c>
      <c r="C7" s="7"/>
      <c r="D7" s="7" t="s">
        <v>4</v>
      </c>
      <c r="E7" s="6" t="s">
        <v>5</v>
      </c>
      <c r="F7" s="7" t="s">
        <v>6</v>
      </c>
      <c r="G7" s="6" t="s">
        <v>7</v>
      </c>
      <c r="H7" s="6" t="s">
        <v>8</v>
      </c>
      <c r="I7" s="6" t="s">
        <v>9</v>
      </c>
      <c r="J7" s="6" t="s">
        <v>11</v>
      </c>
      <c r="K7" s="8" t="s">
        <v>24</v>
      </c>
      <c r="L7" s="22" t="s">
        <v>37</v>
      </c>
      <c r="M7" s="22" t="s">
        <v>38</v>
      </c>
      <c r="N7" s="22" t="s">
        <v>39</v>
      </c>
      <c r="O7" s="119" t="s">
        <v>25</v>
      </c>
      <c r="AE7" s="10"/>
      <c r="AF7" s="9"/>
      <c r="AG7" s="9"/>
      <c r="AH7" s="11"/>
    </row>
    <row r="8" spans="1:73" ht="15.95" customHeight="1" thickBot="1" x14ac:dyDescent="0.25">
      <c r="B8" s="121"/>
      <c r="C8" s="122"/>
      <c r="D8" s="122"/>
      <c r="E8" s="122"/>
      <c r="F8" s="122"/>
      <c r="G8" s="122"/>
      <c r="H8" s="122"/>
      <c r="I8" s="122"/>
      <c r="J8" s="122"/>
      <c r="K8" s="123"/>
      <c r="L8" s="39" t="s">
        <v>29</v>
      </c>
      <c r="M8" s="39"/>
      <c r="N8" s="39"/>
      <c r="O8" s="120"/>
      <c r="AF8" s="12"/>
      <c r="AG8" s="12"/>
      <c r="AH8" s="12"/>
    </row>
    <row r="9" spans="1:73" ht="15.95" hidden="1" customHeight="1" x14ac:dyDescent="0.2">
      <c r="B9" s="25" t="s">
        <v>3</v>
      </c>
      <c r="C9" s="26" t="s">
        <v>10</v>
      </c>
      <c r="D9" s="26" t="s">
        <v>14</v>
      </c>
      <c r="E9" s="25" t="s">
        <v>15</v>
      </c>
      <c r="F9" s="26" t="s">
        <v>16</v>
      </c>
      <c r="G9" s="25" t="s">
        <v>17</v>
      </c>
      <c r="H9" s="25" t="s">
        <v>8</v>
      </c>
      <c r="I9" s="25" t="s">
        <v>18</v>
      </c>
      <c r="J9" s="27" t="s">
        <v>11</v>
      </c>
      <c r="K9" s="27" t="s">
        <v>19</v>
      </c>
      <c r="L9" s="28" t="s">
        <v>20</v>
      </c>
      <c r="M9" s="28" t="s">
        <v>21</v>
      </c>
      <c r="N9" s="28" t="s">
        <v>22</v>
      </c>
      <c r="O9" s="32"/>
      <c r="AF9" s="12"/>
      <c r="AG9" s="12"/>
      <c r="AH9" s="12"/>
    </row>
    <row r="10" spans="1:73" ht="24" customHeight="1" x14ac:dyDescent="0.2">
      <c r="B10" s="124">
        <v>1</v>
      </c>
      <c r="C10" s="126" t="s">
        <v>31</v>
      </c>
      <c r="D10" s="19" t="e">
        <f>VLOOKUP($B10,#REF!,3,0)</f>
        <v>#REF!</v>
      </c>
      <c r="E10" s="19" t="e">
        <f>VLOOKUP($B10,#REF!,4,0)</f>
        <v>#REF!</v>
      </c>
      <c r="F10" s="19" t="e">
        <f>VLOOKUP($B10,#REF!,5,0)</f>
        <v>#REF!</v>
      </c>
      <c r="G10" s="19" t="e">
        <f>VLOOKUP($B10,#REF!,6,0)</f>
        <v>#REF!</v>
      </c>
      <c r="H10" s="19" t="e">
        <f>VLOOKUP($B10,#REF!,7,0)</f>
        <v>#REF!</v>
      </c>
      <c r="I10" s="19" t="e">
        <f>VLOOKUP($B10,#REF!,8,0)</f>
        <v>#REF!</v>
      </c>
      <c r="J10" s="128">
        <v>955</v>
      </c>
      <c r="K10" s="22" t="s">
        <v>12</v>
      </c>
      <c r="L10" s="35">
        <v>75</v>
      </c>
      <c r="M10" s="35">
        <v>96</v>
      </c>
      <c r="N10" s="44">
        <v>93</v>
      </c>
      <c r="O10" s="40"/>
      <c r="P10" s="13"/>
      <c r="Q10" s="13"/>
      <c r="R10" s="13"/>
      <c r="S10" s="13"/>
      <c r="T10" s="13"/>
      <c r="AF10" s="12"/>
      <c r="AG10" s="12"/>
      <c r="AH10" s="14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</row>
    <row r="11" spans="1:73" ht="24" customHeight="1" thickBot="1" x14ac:dyDescent="0.25">
      <c r="B11" s="125"/>
      <c r="C11" s="127"/>
      <c r="D11" s="20" t="e">
        <f>VLOOKUP($B11,#REF!,3,0)</f>
        <v>#REF!</v>
      </c>
      <c r="E11" s="20" t="e">
        <f>VLOOKUP($B11,#REF!,4,0)</f>
        <v>#REF!</v>
      </c>
      <c r="F11" s="20" t="e">
        <f>VLOOKUP($B11,#REF!,5,0)</f>
        <v>#REF!</v>
      </c>
      <c r="G11" s="20" t="e">
        <f>VLOOKUP($B11,#REF!,6,0)</f>
        <v>#REF!</v>
      </c>
      <c r="H11" s="20" t="e">
        <f>VLOOKUP($B11,#REF!,7,0)</f>
        <v>#REF!</v>
      </c>
      <c r="I11" s="20" t="e">
        <f>VLOOKUP($B11,#REF!,8,0)</f>
        <v>#REF!</v>
      </c>
      <c r="J11" s="129"/>
      <c r="K11" s="34" t="s">
        <v>13</v>
      </c>
      <c r="L11" s="36">
        <v>95</v>
      </c>
      <c r="M11" s="36">
        <v>111</v>
      </c>
      <c r="N11" s="36">
        <v>117</v>
      </c>
      <c r="O11" s="41"/>
      <c r="P11" s="13"/>
      <c r="Q11" s="13"/>
      <c r="R11" s="13"/>
      <c r="S11" s="13"/>
      <c r="T11" s="13"/>
      <c r="AF11" s="12"/>
      <c r="AG11" s="12"/>
      <c r="AH11" s="14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</row>
    <row r="12" spans="1:73" ht="24" customHeight="1" x14ac:dyDescent="0.2">
      <c r="B12" s="124">
        <v>2</v>
      </c>
      <c r="C12" s="130"/>
      <c r="D12" s="21" t="e">
        <f>VLOOKUP($B12,#REF!,3,0)</f>
        <v>#REF!</v>
      </c>
      <c r="E12" s="21" t="e">
        <f>VLOOKUP($B12,#REF!,4,0)</f>
        <v>#REF!</v>
      </c>
      <c r="F12" s="21" t="e">
        <f>VLOOKUP($B12,#REF!,5,0)</f>
        <v>#REF!</v>
      </c>
      <c r="G12" s="21" t="e">
        <f>VLOOKUP($B12,#REF!,6,0)</f>
        <v>#REF!</v>
      </c>
      <c r="H12" s="21" t="e">
        <f>VLOOKUP($B12,#REF!,7,0)</f>
        <v>#REF!</v>
      </c>
      <c r="I12" s="21" t="e">
        <f>VLOOKUP($B12,#REF!,8,0)</f>
        <v>#REF!</v>
      </c>
      <c r="J12" s="136"/>
      <c r="K12" s="46" t="s">
        <v>12</v>
      </c>
      <c r="L12" s="47"/>
      <c r="M12" s="47"/>
      <c r="N12" s="47"/>
      <c r="O12" s="51" t="s">
        <v>48</v>
      </c>
      <c r="P12" s="13"/>
      <c r="Q12" s="16"/>
      <c r="R12" s="13"/>
      <c r="S12" s="17"/>
      <c r="T12" s="13"/>
      <c r="AF12" s="12"/>
      <c r="AG12" s="12"/>
      <c r="AH12" s="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</row>
    <row r="13" spans="1:73" ht="24" customHeight="1" thickBot="1" x14ac:dyDescent="0.25">
      <c r="B13" s="125"/>
      <c r="C13" s="131"/>
      <c r="D13" s="20" t="e">
        <f>VLOOKUP($B13,#REF!,3,0)</f>
        <v>#REF!</v>
      </c>
      <c r="E13" s="20" t="e">
        <f>VLOOKUP($B13,#REF!,4,0)</f>
        <v>#REF!</v>
      </c>
      <c r="F13" s="20" t="e">
        <f>VLOOKUP($B13,#REF!,5,0)</f>
        <v>#REF!</v>
      </c>
      <c r="G13" s="20" t="e">
        <f>VLOOKUP($B13,#REF!,6,0)</f>
        <v>#REF!</v>
      </c>
      <c r="H13" s="20" t="e">
        <f>VLOOKUP($B13,#REF!,7,0)</f>
        <v>#REF!</v>
      </c>
      <c r="I13" s="20" t="e">
        <f>VLOOKUP($B13,#REF!,8,0)</f>
        <v>#REF!</v>
      </c>
      <c r="J13" s="137"/>
      <c r="K13" s="48" t="s">
        <v>13</v>
      </c>
      <c r="L13" s="49"/>
      <c r="M13" s="50"/>
      <c r="N13" s="50"/>
      <c r="O13" s="52"/>
      <c r="P13" s="13"/>
      <c r="Q13" s="13"/>
      <c r="R13" s="13"/>
      <c r="S13" s="13"/>
      <c r="T13" s="13"/>
      <c r="AF13" s="12"/>
      <c r="AG13" s="12"/>
      <c r="AH13" s="14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</row>
    <row r="14" spans="1:73" ht="24" customHeight="1" x14ac:dyDescent="0.2">
      <c r="B14" s="124">
        <v>3</v>
      </c>
      <c r="C14" s="138" t="s">
        <v>56</v>
      </c>
      <c r="D14" s="19" t="e">
        <f>VLOOKUP($B14,#REF!,3,0)</f>
        <v>#REF!</v>
      </c>
      <c r="E14" s="19" t="e">
        <f>VLOOKUP($B14,#REF!,4,0)</f>
        <v>#REF!</v>
      </c>
      <c r="F14" s="19" t="e">
        <f>VLOOKUP($B14,#REF!,5,0)</f>
        <v>#REF!</v>
      </c>
      <c r="G14" s="19" t="e">
        <f>VLOOKUP($B14,#REF!,6,0)</f>
        <v>#REF!</v>
      </c>
      <c r="H14" s="19" t="e">
        <f>VLOOKUP($B14,#REF!,7,0)</f>
        <v>#REF!</v>
      </c>
      <c r="I14" s="19" t="e">
        <f>VLOOKUP($B14,#REF!,8,0)</f>
        <v>#REF!</v>
      </c>
      <c r="J14" s="132"/>
      <c r="K14" s="22" t="s">
        <v>12</v>
      </c>
      <c r="L14" s="35">
        <v>91</v>
      </c>
      <c r="M14" s="35">
        <v>84</v>
      </c>
      <c r="N14" s="35">
        <v>89</v>
      </c>
      <c r="O14" s="133"/>
      <c r="P14" s="13"/>
      <c r="Q14" s="13"/>
      <c r="R14" s="13"/>
      <c r="S14" s="13"/>
      <c r="T14" s="13"/>
      <c r="AF14" s="12"/>
      <c r="AG14" s="12"/>
      <c r="AH14" s="12"/>
    </row>
    <row r="15" spans="1:73" ht="24" customHeight="1" thickBot="1" x14ac:dyDescent="0.25">
      <c r="B15" s="125"/>
      <c r="C15" s="139"/>
      <c r="D15" s="20" t="e">
        <f>VLOOKUP($B15,#REF!,3,0)</f>
        <v>#REF!</v>
      </c>
      <c r="E15" s="20" t="e">
        <f>VLOOKUP($B15,#REF!,4,0)</f>
        <v>#REF!</v>
      </c>
      <c r="F15" s="20" t="e">
        <f>VLOOKUP($B15,#REF!,5,0)</f>
        <v>#REF!</v>
      </c>
      <c r="G15" s="20" t="e">
        <f>VLOOKUP($B15,#REF!,6,0)</f>
        <v>#REF!</v>
      </c>
      <c r="H15" s="20" t="e">
        <f>VLOOKUP($B15,#REF!,7,0)</f>
        <v>#REF!</v>
      </c>
      <c r="I15" s="20" t="e">
        <f>VLOOKUP($B15,#REF!,8,0)</f>
        <v>#REF!</v>
      </c>
      <c r="J15" s="129"/>
      <c r="K15" s="34" t="s">
        <v>13</v>
      </c>
      <c r="L15" s="36">
        <v>110</v>
      </c>
      <c r="M15" s="36">
        <v>106</v>
      </c>
      <c r="N15" s="36">
        <v>107</v>
      </c>
      <c r="O15" s="134"/>
      <c r="P15" s="13"/>
      <c r="Q15" s="13"/>
      <c r="R15" s="13"/>
      <c r="S15" s="13"/>
      <c r="T15" s="13"/>
      <c r="AF15" s="12"/>
      <c r="AG15" s="12"/>
      <c r="AH15" s="14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</row>
    <row r="16" spans="1:73" ht="24" customHeight="1" x14ac:dyDescent="0.2">
      <c r="B16" s="124">
        <v>4</v>
      </c>
      <c r="C16" s="140" t="s">
        <v>57</v>
      </c>
      <c r="D16" s="19" t="e">
        <f>VLOOKUP($B16,#REF!,3,0)</f>
        <v>#REF!</v>
      </c>
      <c r="E16" s="19" t="e">
        <f>VLOOKUP($B16,#REF!,4,0)</f>
        <v>#REF!</v>
      </c>
      <c r="F16" s="19" t="e">
        <f>VLOOKUP($B16,#REF!,5,0)</f>
        <v>#REF!</v>
      </c>
      <c r="G16" s="19" t="e">
        <f>VLOOKUP($B16,#REF!,6,0)</f>
        <v>#REF!</v>
      </c>
      <c r="H16" s="19" t="e">
        <f>VLOOKUP($B16,#REF!,7,0)</f>
        <v>#REF!</v>
      </c>
      <c r="I16" s="19" t="e">
        <f>VLOOKUP($B16,#REF!,8,0)</f>
        <v>#REF!</v>
      </c>
      <c r="J16" s="132"/>
      <c r="K16" s="22" t="s">
        <v>12</v>
      </c>
      <c r="L16" s="35">
        <v>110</v>
      </c>
      <c r="M16" s="35">
        <v>104</v>
      </c>
      <c r="N16" s="44">
        <v>98</v>
      </c>
      <c r="O16" s="133" t="s">
        <v>49</v>
      </c>
      <c r="P16" s="13"/>
      <c r="Q16" s="13"/>
      <c r="R16" s="13"/>
      <c r="S16" s="13"/>
      <c r="T16" s="13"/>
    </row>
    <row r="17" spans="2:73" ht="24" customHeight="1" thickBot="1" x14ac:dyDescent="0.25">
      <c r="B17" s="125"/>
      <c r="C17" s="141"/>
      <c r="D17" s="20" t="e">
        <f>VLOOKUP($B17,#REF!,3,0)</f>
        <v>#REF!</v>
      </c>
      <c r="E17" s="20" t="e">
        <f>VLOOKUP($B17,#REF!,4,0)</f>
        <v>#REF!</v>
      </c>
      <c r="F17" s="20" t="e">
        <f>VLOOKUP($B17,#REF!,5,0)</f>
        <v>#REF!</v>
      </c>
      <c r="G17" s="20" t="e">
        <f>VLOOKUP($B17,#REF!,6,0)</f>
        <v>#REF!</v>
      </c>
      <c r="H17" s="20" t="e">
        <f>VLOOKUP($B17,#REF!,7,0)</f>
        <v>#REF!</v>
      </c>
      <c r="I17" s="20" t="e">
        <f>VLOOKUP($B17,#REF!,8,0)</f>
        <v>#REF!</v>
      </c>
      <c r="J17" s="129"/>
      <c r="K17" s="34" t="s">
        <v>13</v>
      </c>
      <c r="L17" s="36">
        <v>130</v>
      </c>
      <c r="M17" s="36">
        <v>132</v>
      </c>
      <c r="N17" s="36">
        <v>128</v>
      </c>
      <c r="O17" s="134"/>
      <c r="P17" s="13"/>
      <c r="Q17" s="13"/>
      <c r="R17" s="13"/>
      <c r="S17" s="13"/>
      <c r="T17" s="13"/>
      <c r="AF17" s="12"/>
      <c r="AG17" s="12"/>
      <c r="AH17" s="14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</row>
    <row r="18" spans="2:73" ht="23.1" customHeight="1" x14ac:dyDescent="0.2">
      <c r="B18" s="124">
        <v>5</v>
      </c>
      <c r="C18" s="138" t="s">
        <v>56</v>
      </c>
      <c r="D18" s="19" t="e">
        <f>VLOOKUP($B18,#REF!,3,0)</f>
        <v>#REF!</v>
      </c>
      <c r="E18" s="19" t="e">
        <f>VLOOKUP($B18,#REF!,4,0)</f>
        <v>#REF!</v>
      </c>
      <c r="F18" s="19" t="e">
        <f>VLOOKUP($B18,#REF!,5,0)</f>
        <v>#REF!</v>
      </c>
      <c r="G18" s="19" t="e">
        <f>VLOOKUP($B18,#REF!,6,0)</f>
        <v>#REF!</v>
      </c>
      <c r="H18" s="19" t="e">
        <f>VLOOKUP($B18,#REF!,7,0)</f>
        <v>#REF!</v>
      </c>
      <c r="I18" s="19" t="e">
        <f>VLOOKUP($B18,#REF!,8,0)</f>
        <v>#REF!</v>
      </c>
      <c r="J18" s="132"/>
      <c r="K18" s="22" t="s">
        <v>12</v>
      </c>
      <c r="L18" s="44">
        <v>93</v>
      </c>
      <c r="M18" s="35">
        <v>100</v>
      </c>
      <c r="N18" s="44">
        <v>96</v>
      </c>
      <c r="O18" s="133"/>
      <c r="P18" s="13"/>
      <c r="Q18" s="13"/>
      <c r="R18" s="13"/>
      <c r="S18" s="13"/>
      <c r="T18" s="13"/>
      <c r="AF18" s="12"/>
      <c r="AG18" s="12"/>
      <c r="AH18" s="12"/>
    </row>
    <row r="19" spans="2:73" ht="24" customHeight="1" thickBot="1" x14ac:dyDescent="0.25">
      <c r="B19" s="125"/>
      <c r="C19" s="139"/>
      <c r="D19" s="20" t="e">
        <f>VLOOKUP($B19,#REF!,3,0)</f>
        <v>#REF!</v>
      </c>
      <c r="E19" s="20" t="e">
        <f>VLOOKUP($B19,#REF!,4,0)</f>
        <v>#REF!</v>
      </c>
      <c r="F19" s="20" t="e">
        <f>VLOOKUP($B19,#REF!,5,0)</f>
        <v>#REF!</v>
      </c>
      <c r="G19" s="20" t="e">
        <f>VLOOKUP($B19,#REF!,6,0)</f>
        <v>#REF!</v>
      </c>
      <c r="H19" s="20" t="e">
        <f>VLOOKUP($B19,#REF!,7,0)</f>
        <v>#REF!</v>
      </c>
      <c r="I19" s="20" t="e">
        <f>VLOOKUP($B19,#REF!,8,0)</f>
        <v>#REF!</v>
      </c>
      <c r="J19" s="129"/>
      <c r="K19" s="34" t="s">
        <v>13</v>
      </c>
      <c r="L19" s="36">
        <v>118</v>
      </c>
      <c r="M19" s="36">
        <v>123</v>
      </c>
      <c r="N19" s="36">
        <v>126</v>
      </c>
      <c r="O19" s="134"/>
      <c r="P19" s="13"/>
      <c r="Q19" s="13"/>
      <c r="R19" s="13"/>
      <c r="S19" s="13"/>
      <c r="T19" s="13"/>
      <c r="AF19" s="12"/>
      <c r="AG19" s="12"/>
      <c r="AH19" s="14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</row>
    <row r="20" spans="2:73" ht="24" customHeight="1" x14ac:dyDescent="0.2">
      <c r="B20" s="124">
        <v>6</v>
      </c>
      <c r="C20" s="140" t="s">
        <v>57</v>
      </c>
      <c r="D20" s="19" t="e">
        <f>VLOOKUP($B20,#REF!,3,0)</f>
        <v>#REF!</v>
      </c>
      <c r="E20" s="19" t="e">
        <f>VLOOKUP($B20,#REF!,4,0)</f>
        <v>#REF!</v>
      </c>
      <c r="F20" s="19" t="e">
        <f>VLOOKUP($B20,#REF!,5,0)</f>
        <v>#REF!</v>
      </c>
      <c r="G20" s="19" t="e">
        <f>VLOOKUP($B20,#REF!,6,0)</f>
        <v>#REF!</v>
      </c>
      <c r="H20" s="19" t="e">
        <f>VLOOKUP($B20,#REF!,7,0)</f>
        <v>#REF!</v>
      </c>
      <c r="I20" s="19" t="e">
        <f>VLOOKUP($B20,#REF!,8,0)</f>
        <v>#REF!</v>
      </c>
      <c r="J20" s="132"/>
      <c r="K20" s="22" t="s">
        <v>12</v>
      </c>
      <c r="L20" s="35">
        <v>89</v>
      </c>
      <c r="M20" s="35">
        <v>84</v>
      </c>
      <c r="N20" s="35">
        <v>77</v>
      </c>
      <c r="O20" s="133" t="s">
        <v>50</v>
      </c>
      <c r="P20" s="13"/>
      <c r="Q20" s="13"/>
      <c r="R20" s="13"/>
      <c r="S20" s="13"/>
      <c r="T20" s="13"/>
      <c r="AF20" s="12"/>
      <c r="AG20" s="12"/>
      <c r="AH20" s="12"/>
    </row>
    <row r="21" spans="2:73" ht="24" customHeight="1" thickBot="1" x14ac:dyDescent="0.25">
      <c r="B21" s="125"/>
      <c r="C21" s="141"/>
      <c r="D21" s="20" t="e">
        <f>VLOOKUP($B21,#REF!,3,0)</f>
        <v>#REF!</v>
      </c>
      <c r="E21" s="20" t="e">
        <f>VLOOKUP($B21,#REF!,4,0)</f>
        <v>#REF!</v>
      </c>
      <c r="F21" s="20" t="e">
        <f>VLOOKUP($B21,#REF!,5,0)</f>
        <v>#REF!</v>
      </c>
      <c r="G21" s="20" t="e">
        <f>VLOOKUP($B21,#REF!,6,0)</f>
        <v>#REF!</v>
      </c>
      <c r="H21" s="20" t="e">
        <f>VLOOKUP($B21,#REF!,7,0)</f>
        <v>#REF!</v>
      </c>
      <c r="I21" s="20" t="e">
        <f>VLOOKUP($B21,#REF!,8,0)</f>
        <v>#REF!</v>
      </c>
      <c r="J21" s="129"/>
      <c r="K21" s="34" t="s">
        <v>13</v>
      </c>
      <c r="L21" s="36">
        <v>109</v>
      </c>
      <c r="M21" s="36">
        <v>97</v>
      </c>
      <c r="N21" s="36">
        <v>91</v>
      </c>
      <c r="O21" s="134"/>
      <c r="P21" s="13"/>
      <c r="Q21" s="13"/>
      <c r="R21" s="13"/>
      <c r="S21" s="13"/>
      <c r="T21" s="13"/>
      <c r="AF21" s="12"/>
      <c r="AG21" s="12"/>
      <c r="AH21" s="14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spans="2:73" ht="24" customHeight="1" x14ac:dyDescent="0.2">
      <c r="B22" s="124">
        <v>7</v>
      </c>
      <c r="C22" s="138" t="s">
        <v>56</v>
      </c>
      <c r="D22" s="19" t="e">
        <f>VLOOKUP($B22,#REF!,3,0)</f>
        <v>#REF!</v>
      </c>
      <c r="E22" s="19" t="e">
        <f>VLOOKUP($B22,#REF!,4,0)</f>
        <v>#REF!</v>
      </c>
      <c r="F22" s="19" t="e">
        <f>VLOOKUP($B22,#REF!,5,0)</f>
        <v>#REF!</v>
      </c>
      <c r="G22" s="19" t="e">
        <f>VLOOKUP($B22,#REF!,6,0)</f>
        <v>#REF!</v>
      </c>
      <c r="H22" s="19" t="e">
        <f>VLOOKUP($B22,#REF!,7,0)</f>
        <v>#REF!</v>
      </c>
      <c r="I22" s="19" t="e">
        <f>VLOOKUP($B22,#REF!,8,0)</f>
        <v>#REF!</v>
      </c>
      <c r="J22" s="132"/>
      <c r="K22" s="22" t="s">
        <v>12</v>
      </c>
      <c r="L22" s="35">
        <v>104</v>
      </c>
      <c r="M22" s="35">
        <v>104</v>
      </c>
      <c r="N22" s="35">
        <v>101</v>
      </c>
      <c r="O22" s="133" t="s">
        <v>51</v>
      </c>
      <c r="P22" s="13"/>
      <c r="Q22" s="13"/>
      <c r="R22" s="13"/>
      <c r="S22" s="13"/>
      <c r="T22" s="13"/>
      <c r="AF22" s="12"/>
      <c r="AG22" s="12"/>
      <c r="AH22" s="12"/>
    </row>
    <row r="23" spans="2:73" ht="24" customHeight="1" thickBot="1" x14ac:dyDescent="0.25">
      <c r="B23" s="125"/>
      <c r="C23" s="139"/>
      <c r="D23" s="20" t="e">
        <f>VLOOKUP($B23,#REF!,3,0)</f>
        <v>#REF!</v>
      </c>
      <c r="E23" s="20" t="e">
        <f>VLOOKUP($B23,#REF!,4,0)</f>
        <v>#REF!</v>
      </c>
      <c r="F23" s="20" t="e">
        <f>VLOOKUP($B23,#REF!,5,0)</f>
        <v>#REF!</v>
      </c>
      <c r="G23" s="20" t="e">
        <f>VLOOKUP($B23,#REF!,6,0)</f>
        <v>#REF!</v>
      </c>
      <c r="H23" s="20" t="e">
        <f>VLOOKUP($B23,#REF!,7,0)</f>
        <v>#REF!</v>
      </c>
      <c r="I23" s="20" t="e">
        <f>VLOOKUP($B23,#REF!,8,0)</f>
        <v>#REF!</v>
      </c>
      <c r="J23" s="129"/>
      <c r="K23" s="34" t="s">
        <v>13</v>
      </c>
      <c r="L23" s="36">
        <v>136</v>
      </c>
      <c r="M23" s="36">
        <v>127</v>
      </c>
      <c r="N23" s="36">
        <v>120</v>
      </c>
      <c r="O23" s="134"/>
      <c r="P23" s="13"/>
      <c r="Q23" s="13"/>
      <c r="R23" s="13"/>
      <c r="S23" s="13"/>
      <c r="T23" s="13"/>
      <c r="AF23" s="12"/>
      <c r="AG23" s="12"/>
      <c r="AH23" s="14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</row>
    <row r="24" spans="2:73" ht="24" customHeight="1" x14ac:dyDescent="0.2">
      <c r="B24" s="124">
        <v>8</v>
      </c>
      <c r="C24" s="140" t="s">
        <v>57</v>
      </c>
      <c r="D24" s="19" t="e">
        <f>VLOOKUP($B24,#REF!,3,0)</f>
        <v>#REF!</v>
      </c>
      <c r="E24" s="19" t="e">
        <f>VLOOKUP($B24,#REF!,4,0)</f>
        <v>#REF!</v>
      </c>
      <c r="F24" s="19" t="e">
        <f>VLOOKUP($B24,#REF!,5,0)</f>
        <v>#REF!</v>
      </c>
      <c r="G24" s="19" t="e">
        <f>VLOOKUP($B24,#REF!,6,0)</f>
        <v>#REF!</v>
      </c>
      <c r="H24" s="19" t="e">
        <f>VLOOKUP($B24,#REF!,7,0)</f>
        <v>#REF!</v>
      </c>
      <c r="I24" s="19" t="e">
        <f>VLOOKUP($B24,#REF!,8,0)</f>
        <v>#REF!</v>
      </c>
      <c r="J24" s="132">
        <v>1025</v>
      </c>
      <c r="K24" s="22" t="s">
        <v>12</v>
      </c>
      <c r="L24" s="35">
        <v>84</v>
      </c>
      <c r="M24" s="35">
        <v>94</v>
      </c>
      <c r="N24" s="35">
        <v>95</v>
      </c>
      <c r="O24" s="133" t="s">
        <v>52</v>
      </c>
      <c r="P24" s="13"/>
      <c r="Q24" s="13"/>
      <c r="R24" s="13"/>
      <c r="S24" s="13"/>
      <c r="T24" s="13"/>
      <c r="AF24" s="9"/>
      <c r="AG24" s="9"/>
      <c r="AH24" s="9"/>
    </row>
    <row r="25" spans="2:73" ht="24" customHeight="1" thickBot="1" x14ac:dyDescent="0.25">
      <c r="B25" s="125"/>
      <c r="C25" s="141"/>
      <c r="D25" s="20" t="e">
        <f>VLOOKUP($B25,#REF!,3,0)</f>
        <v>#REF!</v>
      </c>
      <c r="E25" s="20" t="e">
        <f>VLOOKUP($B25,#REF!,4,0)</f>
        <v>#REF!</v>
      </c>
      <c r="F25" s="20" t="e">
        <f>VLOOKUP($B25,#REF!,5,0)</f>
        <v>#REF!</v>
      </c>
      <c r="G25" s="20" t="e">
        <f>VLOOKUP($B25,#REF!,6,0)</f>
        <v>#REF!</v>
      </c>
      <c r="H25" s="20" t="e">
        <f>VLOOKUP($B25,#REF!,7,0)</f>
        <v>#REF!</v>
      </c>
      <c r="I25" s="20" t="e">
        <f>VLOOKUP($B25,#REF!,8,0)</f>
        <v>#REF!</v>
      </c>
      <c r="J25" s="129"/>
      <c r="K25" s="34" t="s">
        <v>13</v>
      </c>
      <c r="L25" s="36">
        <v>106</v>
      </c>
      <c r="M25" s="36">
        <v>125</v>
      </c>
      <c r="N25" s="36">
        <v>118</v>
      </c>
      <c r="O25" s="134"/>
      <c r="P25" s="13"/>
      <c r="Q25" s="13"/>
      <c r="R25" s="13"/>
      <c r="S25" s="13"/>
      <c r="T25" s="13"/>
      <c r="AF25" s="12"/>
      <c r="AG25" s="12"/>
      <c r="AH25" s="14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</row>
    <row r="26" spans="2:73" ht="24" customHeight="1" x14ac:dyDescent="0.2">
      <c r="B26" s="124">
        <v>9</v>
      </c>
      <c r="C26" s="130" t="s">
        <v>33</v>
      </c>
      <c r="D26" s="19" t="e">
        <f>VLOOKUP($B26,#REF!,3,0)</f>
        <v>#REF!</v>
      </c>
      <c r="E26" s="19" t="e">
        <f>VLOOKUP($B26,#REF!,4,0)</f>
        <v>#REF!</v>
      </c>
      <c r="F26" s="19" t="e">
        <f>VLOOKUP($B26,#REF!,5,0)</f>
        <v>#REF!</v>
      </c>
      <c r="G26" s="19" t="e">
        <f>VLOOKUP($B26,#REF!,6,0)</f>
        <v>#REF!</v>
      </c>
      <c r="H26" s="19" t="e">
        <f>VLOOKUP($B26,#REF!,7,0)</f>
        <v>#REF!</v>
      </c>
      <c r="I26" s="19" t="e">
        <f>VLOOKUP($B26,#REF!,8,0)</f>
        <v>#REF!</v>
      </c>
      <c r="J26" s="132">
        <v>1046</v>
      </c>
      <c r="K26" s="22" t="s">
        <v>12</v>
      </c>
      <c r="L26" s="35">
        <v>86</v>
      </c>
      <c r="M26" s="35">
        <v>94</v>
      </c>
      <c r="N26" s="35">
        <v>87</v>
      </c>
      <c r="O26" s="133" t="s">
        <v>53</v>
      </c>
      <c r="P26" s="13"/>
      <c r="Q26" s="13"/>
      <c r="R26" s="13"/>
      <c r="S26" s="13"/>
      <c r="T26" s="13"/>
      <c r="AF26" s="12"/>
      <c r="AG26" s="12"/>
      <c r="AH26" s="12"/>
    </row>
    <row r="27" spans="2:73" ht="24" customHeight="1" thickBot="1" x14ac:dyDescent="0.25">
      <c r="B27" s="125"/>
      <c r="C27" s="131"/>
      <c r="D27" s="20" t="e">
        <f>VLOOKUP($B27,#REF!,3,0)</f>
        <v>#REF!</v>
      </c>
      <c r="E27" s="20" t="e">
        <f>VLOOKUP($B27,#REF!,4,0)</f>
        <v>#REF!</v>
      </c>
      <c r="F27" s="20" t="e">
        <f>VLOOKUP($B27,#REF!,5,0)</f>
        <v>#REF!</v>
      </c>
      <c r="G27" s="20" t="e">
        <f>VLOOKUP($B27,#REF!,6,0)</f>
        <v>#REF!</v>
      </c>
      <c r="H27" s="20" t="e">
        <f>VLOOKUP($B27,#REF!,7,0)</f>
        <v>#REF!</v>
      </c>
      <c r="I27" s="20" t="e">
        <f>VLOOKUP($B27,#REF!,8,0)</f>
        <v>#REF!</v>
      </c>
      <c r="J27" s="129"/>
      <c r="K27" s="34" t="s">
        <v>13</v>
      </c>
      <c r="L27" s="36">
        <v>105</v>
      </c>
      <c r="M27" s="36">
        <v>106</v>
      </c>
      <c r="N27" s="36">
        <v>103</v>
      </c>
      <c r="O27" s="134"/>
      <c r="P27" s="13"/>
      <c r="Q27" s="13"/>
      <c r="R27" s="13"/>
      <c r="S27" s="13"/>
      <c r="T27" s="13"/>
      <c r="AF27" s="12"/>
      <c r="AG27" s="12"/>
      <c r="AH27" s="14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</row>
    <row r="28" spans="2:73" ht="24" customHeight="1" x14ac:dyDescent="0.2">
      <c r="B28" s="135">
        <v>10</v>
      </c>
      <c r="C28" s="130" t="s">
        <v>32</v>
      </c>
      <c r="D28" s="19" t="e">
        <f>VLOOKUP($B28,#REF!,3,0)</f>
        <v>#REF!</v>
      </c>
      <c r="E28" s="19" t="e">
        <f>VLOOKUP($B28,#REF!,4,0)</f>
        <v>#REF!</v>
      </c>
      <c r="F28" s="19" t="e">
        <f>VLOOKUP($B28,#REF!,5,0)</f>
        <v>#REF!</v>
      </c>
      <c r="G28" s="19" t="e">
        <f>VLOOKUP($B28,#REF!,6,0)</f>
        <v>#REF!</v>
      </c>
      <c r="H28" s="19" t="e">
        <f>VLOOKUP($B28,#REF!,7,0)</f>
        <v>#REF!</v>
      </c>
      <c r="I28" s="19" t="e">
        <f>VLOOKUP($B28,#REF!,8,0)</f>
        <v>#REF!</v>
      </c>
      <c r="J28" s="132"/>
      <c r="K28" s="22" t="s">
        <v>12</v>
      </c>
      <c r="L28" s="35">
        <v>92</v>
      </c>
      <c r="M28" s="35">
        <v>97</v>
      </c>
      <c r="N28" s="35">
        <v>101</v>
      </c>
      <c r="O28" s="133" t="s">
        <v>54</v>
      </c>
      <c r="P28" s="13"/>
      <c r="Q28" s="13"/>
      <c r="R28" s="13"/>
      <c r="S28" s="13"/>
      <c r="T28" s="13"/>
    </row>
    <row r="29" spans="2:73" ht="24" customHeight="1" thickBot="1" x14ac:dyDescent="0.25">
      <c r="B29" s="125"/>
      <c r="C29" s="131"/>
      <c r="D29" s="20" t="e">
        <f>VLOOKUP($B29,#REF!,3,0)</f>
        <v>#REF!</v>
      </c>
      <c r="E29" s="20" t="e">
        <f>VLOOKUP($B29,#REF!,4,0)</f>
        <v>#REF!</v>
      </c>
      <c r="F29" s="20" t="e">
        <f>VLOOKUP($B29,#REF!,5,0)</f>
        <v>#REF!</v>
      </c>
      <c r="G29" s="20" t="e">
        <f>VLOOKUP($B29,#REF!,6,0)</f>
        <v>#REF!</v>
      </c>
      <c r="H29" s="20" t="e">
        <f>VLOOKUP($B29,#REF!,7,0)</f>
        <v>#REF!</v>
      </c>
      <c r="I29" s="20" t="e">
        <f>VLOOKUP($B29,#REF!,8,0)</f>
        <v>#REF!</v>
      </c>
      <c r="J29" s="129"/>
      <c r="K29" s="34" t="s">
        <v>13</v>
      </c>
      <c r="L29" s="36">
        <v>119</v>
      </c>
      <c r="M29" s="36">
        <v>118</v>
      </c>
      <c r="N29" s="36">
        <v>123</v>
      </c>
      <c r="O29" s="134"/>
      <c r="P29" s="13"/>
      <c r="Q29" s="13"/>
      <c r="R29" s="13"/>
      <c r="S29" s="13"/>
      <c r="T29" s="13"/>
      <c r="AF29" s="12"/>
      <c r="AG29" s="12"/>
      <c r="AH29" s="14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</row>
    <row r="30" spans="2:73" ht="24" customHeight="1" x14ac:dyDescent="0.2">
      <c r="B30" s="135">
        <v>11</v>
      </c>
      <c r="C30" s="130" t="s">
        <v>33</v>
      </c>
      <c r="D30" s="19" t="e">
        <f>VLOOKUP($B30,#REF!,3,0)</f>
        <v>#REF!</v>
      </c>
      <c r="E30" s="19" t="e">
        <f>VLOOKUP($B30,#REF!,4,0)</f>
        <v>#REF!</v>
      </c>
      <c r="F30" s="19" t="e">
        <f>VLOOKUP($B30,#REF!,5,0)</f>
        <v>#REF!</v>
      </c>
      <c r="G30" s="19" t="e">
        <f>VLOOKUP($B30,#REF!,6,0)</f>
        <v>#REF!</v>
      </c>
      <c r="H30" s="19" t="e">
        <f>VLOOKUP($B30,#REF!,7,0)</f>
        <v>#REF!</v>
      </c>
      <c r="I30" s="19" t="e">
        <f>VLOOKUP($B30,#REF!,8,0)</f>
        <v>#REF!</v>
      </c>
      <c r="J30" s="132"/>
      <c r="K30" s="22" t="s">
        <v>12</v>
      </c>
      <c r="L30" s="44">
        <v>101</v>
      </c>
      <c r="M30" s="35">
        <v>108</v>
      </c>
      <c r="N30" s="35">
        <v>98</v>
      </c>
      <c r="O30" s="133" t="s">
        <v>55</v>
      </c>
      <c r="P30" s="13"/>
      <c r="Q30" s="13"/>
      <c r="R30" s="13"/>
      <c r="S30" s="13"/>
      <c r="T30" s="13"/>
    </row>
    <row r="31" spans="2:73" ht="24" customHeight="1" thickBot="1" x14ac:dyDescent="0.25">
      <c r="B31" s="125"/>
      <c r="C31" s="131"/>
      <c r="D31" s="20" t="e">
        <f>VLOOKUP($B31,#REF!,3,0)</f>
        <v>#REF!</v>
      </c>
      <c r="E31" s="20" t="e">
        <f>VLOOKUP($B31,#REF!,4,0)</f>
        <v>#REF!</v>
      </c>
      <c r="F31" s="20" t="e">
        <f>VLOOKUP($B31,#REF!,5,0)</f>
        <v>#REF!</v>
      </c>
      <c r="G31" s="20" t="e">
        <f>VLOOKUP($B31,#REF!,6,0)</f>
        <v>#REF!</v>
      </c>
      <c r="H31" s="20" t="e">
        <f>VLOOKUP($B31,#REF!,7,0)</f>
        <v>#REF!</v>
      </c>
      <c r="I31" s="20" t="e">
        <f>VLOOKUP($B31,#REF!,8,0)</f>
        <v>#REF!</v>
      </c>
      <c r="J31" s="129"/>
      <c r="K31" s="34" t="s">
        <v>13</v>
      </c>
      <c r="L31" s="36">
        <v>122</v>
      </c>
      <c r="M31" s="36">
        <v>128</v>
      </c>
      <c r="N31" s="36">
        <v>121</v>
      </c>
      <c r="O31" s="134"/>
      <c r="P31" s="13"/>
      <c r="Q31" s="13"/>
      <c r="R31" s="13"/>
      <c r="S31" s="13"/>
      <c r="T31" s="13"/>
      <c r="AF31" s="12"/>
      <c r="AG31" s="12"/>
      <c r="AH31" s="14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</row>
    <row r="32" spans="2:73" ht="24" customHeight="1" x14ac:dyDescent="0.2">
      <c r="B32" s="135">
        <v>12</v>
      </c>
      <c r="C32" s="130" t="s">
        <v>32</v>
      </c>
      <c r="D32" s="19" t="e">
        <f>VLOOKUP($B32,#REF!,3,0)</f>
        <v>#REF!</v>
      </c>
      <c r="E32" s="19" t="e">
        <f>VLOOKUP($B32,#REF!,4,0)</f>
        <v>#REF!</v>
      </c>
      <c r="F32" s="19" t="e">
        <f>VLOOKUP($B32,#REF!,5,0)</f>
        <v>#REF!</v>
      </c>
      <c r="G32" s="19" t="e">
        <f>VLOOKUP($B32,#REF!,6,0)</f>
        <v>#REF!</v>
      </c>
      <c r="H32" s="19" t="e">
        <f>VLOOKUP($B32,#REF!,7,0)</f>
        <v>#REF!</v>
      </c>
      <c r="I32" s="19" t="e">
        <f>VLOOKUP($B32,#REF!,8,0)</f>
        <v>#REF!</v>
      </c>
      <c r="J32" s="132"/>
      <c r="K32" s="22" t="s">
        <v>12</v>
      </c>
      <c r="L32" s="35">
        <v>100</v>
      </c>
      <c r="M32" s="35">
        <v>102</v>
      </c>
      <c r="N32" s="35">
        <v>104</v>
      </c>
      <c r="O32" s="133" t="s">
        <v>55</v>
      </c>
      <c r="P32" s="13"/>
      <c r="Q32" s="13"/>
      <c r="R32" s="13"/>
      <c r="S32" s="13"/>
      <c r="T32" s="13"/>
    </row>
    <row r="33" spans="2:73" ht="24" customHeight="1" thickBot="1" x14ac:dyDescent="0.25">
      <c r="B33" s="125"/>
      <c r="C33" s="131"/>
      <c r="D33" s="20" t="e">
        <f>VLOOKUP($B33,#REF!,3,0)</f>
        <v>#REF!</v>
      </c>
      <c r="E33" s="20" t="e">
        <f>VLOOKUP($B33,#REF!,4,0)</f>
        <v>#REF!</v>
      </c>
      <c r="F33" s="20" t="e">
        <f>VLOOKUP($B33,#REF!,5,0)</f>
        <v>#REF!</v>
      </c>
      <c r="G33" s="20" t="e">
        <f>VLOOKUP($B33,#REF!,6,0)</f>
        <v>#REF!</v>
      </c>
      <c r="H33" s="20" t="e">
        <f>VLOOKUP($B33,#REF!,7,0)</f>
        <v>#REF!</v>
      </c>
      <c r="I33" s="20" t="e">
        <f>VLOOKUP($B33,#REF!,8,0)</f>
        <v>#REF!</v>
      </c>
      <c r="J33" s="129"/>
      <c r="K33" s="34" t="s">
        <v>13</v>
      </c>
      <c r="L33" s="36">
        <v>127</v>
      </c>
      <c r="M33" s="36">
        <v>132</v>
      </c>
      <c r="N33" s="36">
        <v>133</v>
      </c>
      <c r="O33" s="134"/>
      <c r="P33" s="13"/>
      <c r="Q33" s="13"/>
      <c r="R33" s="13"/>
      <c r="S33" s="13"/>
      <c r="T33" s="13"/>
      <c r="AF33" s="12"/>
      <c r="AG33" s="12"/>
      <c r="AH33" s="14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</row>
    <row r="34" spans="2:73" ht="24" customHeight="1" x14ac:dyDescent="0.2">
      <c r="B34" s="135">
        <v>13</v>
      </c>
      <c r="C34" s="130" t="s">
        <v>33</v>
      </c>
      <c r="D34" s="19" t="e">
        <f>VLOOKUP($B34,#REF!,3,0)</f>
        <v>#REF!</v>
      </c>
      <c r="E34" s="19" t="e">
        <f>VLOOKUP($B34,#REF!,4,0)</f>
        <v>#REF!</v>
      </c>
      <c r="F34" s="19" t="e">
        <f>VLOOKUP($B34,#REF!,5,0)</f>
        <v>#REF!</v>
      </c>
      <c r="G34" s="19" t="e">
        <f>VLOOKUP($B34,#REF!,6,0)</f>
        <v>#REF!</v>
      </c>
      <c r="H34" s="19" t="e">
        <f>VLOOKUP($B34,#REF!,7,0)</f>
        <v>#REF!</v>
      </c>
      <c r="I34" s="19" t="e">
        <f>VLOOKUP($B34,#REF!,8,0)</f>
        <v>#REF!</v>
      </c>
      <c r="J34" s="132">
        <v>1103</v>
      </c>
      <c r="K34" s="22" t="s">
        <v>12</v>
      </c>
      <c r="L34" s="35">
        <v>88</v>
      </c>
      <c r="M34" s="35">
        <v>87</v>
      </c>
      <c r="N34" s="35">
        <v>89</v>
      </c>
      <c r="O34" s="133"/>
      <c r="P34" s="13"/>
      <c r="Q34" s="13"/>
      <c r="R34" s="13"/>
      <c r="S34" s="13"/>
      <c r="T34" s="13"/>
    </row>
    <row r="35" spans="2:73" ht="24" customHeight="1" thickBot="1" x14ac:dyDescent="0.25">
      <c r="B35" s="125"/>
      <c r="C35" s="131"/>
      <c r="D35" s="20" t="e">
        <f>VLOOKUP($B35,#REF!,3,0)</f>
        <v>#REF!</v>
      </c>
      <c r="E35" s="20" t="e">
        <f>VLOOKUP($B35,#REF!,4,0)</f>
        <v>#REF!</v>
      </c>
      <c r="F35" s="20" t="e">
        <f>VLOOKUP($B35,#REF!,5,0)</f>
        <v>#REF!</v>
      </c>
      <c r="G35" s="20" t="e">
        <f>VLOOKUP($B35,#REF!,6,0)</f>
        <v>#REF!</v>
      </c>
      <c r="H35" s="20" t="e">
        <f>VLOOKUP($B35,#REF!,7,0)</f>
        <v>#REF!</v>
      </c>
      <c r="I35" s="20" t="e">
        <f>VLOOKUP($B35,#REF!,8,0)</f>
        <v>#REF!</v>
      </c>
      <c r="J35" s="129"/>
      <c r="K35" s="34" t="s">
        <v>13</v>
      </c>
      <c r="L35" s="36">
        <v>106</v>
      </c>
      <c r="M35" s="36">
        <v>108</v>
      </c>
      <c r="N35" s="36">
        <v>94</v>
      </c>
      <c r="O35" s="134"/>
      <c r="P35" s="13"/>
      <c r="Q35" s="13"/>
      <c r="R35" s="13"/>
      <c r="S35" s="13"/>
      <c r="T35" s="13"/>
      <c r="AF35" s="12"/>
      <c r="AG35" s="12"/>
      <c r="AH35" s="14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</row>
    <row r="36" spans="2:73" ht="24" customHeight="1" x14ac:dyDescent="0.2">
      <c r="B36" s="135">
        <v>14</v>
      </c>
      <c r="C36" s="130" t="s">
        <v>32</v>
      </c>
      <c r="D36" s="19" t="e">
        <f>VLOOKUP($B36,#REF!,3,0)</f>
        <v>#REF!</v>
      </c>
      <c r="E36" s="19" t="e">
        <f>VLOOKUP($B36,#REF!,4,0)</f>
        <v>#REF!</v>
      </c>
      <c r="F36" s="19" t="e">
        <f>VLOOKUP($B36,#REF!,5,0)</f>
        <v>#REF!</v>
      </c>
      <c r="G36" s="19" t="e">
        <f>VLOOKUP($B36,#REF!,6,0)</f>
        <v>#REF!</v>
      </c>
      <c r="H36" s="19" t="e">
        <f>VLOOKUP($B36,#REF!,7,0)</f>
        <v>#REF!</v>
      </c>
      <c r="I36" s="19" t="e">
        <f>VLOOKUP($B36,#REF!,8,0)</f>
        <v>#REF!</v>
      </c>
      <c r="J36" s="132"/>
      <c r="K36" s="22" t="s">
        <v>12</v>
      </c>
      <c r="L36" s="35">
        <v>97</v>
      </c>
      <c r="M36" s="35">
        <v>99</v>
      </c>
      <c r="N36" s="35">
        <v>107</v>
      </c>
      <c r="O36" s="133" t="s">
        <v>55</v>
      </c>
      <c r="P36" s="13"/>
      <c r="Q36" s="13"/>
      <c r="R36" s="13"/>
      <c r="S36" s="13"/>
      <c r="T36" s="13"/>
    </row>
    <row r="37" spans="2:73" ht="24" customHeight="1" thickBot="1" x14ac:dyDescent="0.25">
      <c r="B37" s="125"/>
      <c r="C37" s="131"/>
      <c r="D37" s="20" t="e">
        <f>VLOOKUP($B37,#REF!,3,0)</f>
        <v>#REF!</v>
      </c>
      <c r="E37" s="20" t="e">
        <f>VLOOKUP($B37,#REF!,4,0)</f>
        <v>#REF!</v>
      </c>
      <c r="F37" s="20" t="e">
        <f>VLOOKUP($B37,#REF!,5,0)</f>
        <v>#REF!</v>
      </c>
      <c r="G37" s="20" t="e">
        <f>VLOOKUP($B37,#REF!,6,0)</f>
        <v>#REF!</v>
      </c>
      <c r="H37" s="20" t="e">
        <f>VLOOKUP($B37,#REF!,7,0)</f>
        <v>#REF!</v>
      </c>
      <c r="I37" s="20" t="e">
        <f>VLOOKUP($B37,#REF!,8,0)</f>
        <v>#REF!</v>
      </c>
      <c r="J37" s="129"/>
      <c r="K37" s="34" t="s">
        <v>13</v>
      </c>
      <c r="L37" s="36">
        <v>125</v>
      </c>
      <c r="M37" s="36">
        <v>124</v>
      </c>
      <c r="N37" s="36">
        <v>123</v>
      </c>
      <c r="O37" s="134"/>
      <c r="P37" s="13"/>
      <c r="Q37" s="13"/>
      <c r="R37" s="13"/>
      <c r="S37" s="13"/>
      <c r="T37" s="13"/>
      <c r="AF37" s="12"/>
      <c r="AG37" s="12"/>
      <c r="AH37" s="14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</row>
    <row r="38" spans="2:73" ht="24" customHeight="1" x14ac:dyDescent="0.2">
      <c r="B38" s="135">
        <v>15</v>
      </c>
      <c r="C38" s="130" t="s">
        <v>33</v>
      </c>
      <c r="D38" s="19" t="e">
        <f>VLOOKUP($B38,#REF!,3,0)</f>
        <v>#REF!</v>
      </c>
      <c r="E38" s="19" t="e">
        <f>VLOOKUP($B38,#REF!,4,0)</f>
        <v>#REF!</v>
      </c>
      <c r="F38" s="19" t="e">
        <f>VLOOKUP($B38,#REF!,5,0)</f>
        <v>#REF!</v>
      </c>
      <c r="G38" s="19" t="e">
        <f>VLOOKUP($B38,#REF!,6,0)</f>
        <v>#REF!</v>
      </c>
      <c r="H38" s="19" t="e">
        <f>VLOOKUP($B38,#REF!,7,0)</f>
        <v>#REF!</v>
      </c>
      <c r="I38" s="19" t="e">
        <f>VLOOKUP($B38,#REF!,8,0)</f>
        <v>#REF!</v>
      </c>
      <c r="J38" s="132"/>
      <c r="K38" s="22" t="s">
        <v>12</v>
      </c>
      <c r="L38" s="44">
        <v>94</v>
      </c>
      <c r="M38" s="35">
        <v>93</v>
      </c>
      <c r="N38" s="35">
        <v>99</v>
      </c>
      <c r="O38" s="133"/>
      <c r="P38" s="13"/>
      <c r="Q38" s="13"/>
      <c r="R38" s="13"/>
      <c r="S38" s="13"/>
      <c r="T38" s="13"/>
    </row>
    <row r="39" spans="2:73" ht="24" customHeight="1" thickBot="1" x14ac:dyDescent="0.25">
      <c r="B39" s="125"/>
      <c r="C39" s="131"/>
      <c r="D39" s="20" t="e">
        <f>VLOOKUP($B39,#REF!,3,0)</f>
        <v>#REF!</v>
      </c>
      <c r="E39" s="20" t="e">
        <f>VLOOKUP($B39,#REF!,4,0)</f>
        <v>#REF!</v>
      </c>
      <c r="F39" s="20" t="e">
        <f>VLOOKUP($B39,#REF!,5,0)</f>
        <v>#REF!</v>
      </c>
      <c r="G39" s="20" t="e">
        <f>VLOOKUP($B39,#REF!,6,0)</f>
        <v>#REF!</v>
      </c>
      <c r="H39" s="20" t="e">
        <f>VLOOKUP($B39,#REF!,7,0)</f>
        <v>#REF!</v>
      </c>
      <c r="I39" s="20" t="e">
        <f>VLOOKUP($B39,#REF!,8,0)</f>
        <v>#REF!</v>
      </c>
      <c r="J39" s="129"/>
      <c r="K39" s="34" t="s">
        <v>13</v>
      </c>
      <c r="L39" s="36">
        <v>115</v>
      </c>
      <c r="M39" s="36">
        <v>110</v>
      </c>
      <c r="N39" s="36">
        <v>122</v>
      </c>
      <c r="O39" s="134"/>
      <c r="P39" s="13"/>
      <c r="Q39" s="13"/>
      <c r="R39" s="13"/>
      <c r="S39" s="13"/>
      <c r="T39" s="13"/>
      <c r="AF39" s="12"/>
      <c r="AG39" s="12"/>
      <c r="AH39" s="14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</row>
    <row r="40" spans="2:73" ht="24" customHeight="1" x14ac:dyDescent="0.2">
      <c r="B40" s="135">
        <v>16</v>
      </c>
      <c r="C40" s="126" t="s">
        <v>34</v>
      </c>
      <c r="D40" s="19" t="e">
        <f>VLOOKUP($B40,#REF!,3,0)</f>
        <v>#REF!</v>
      </c>
      <c r="E40" s="19" t="e">
        <f>VLOOKUP($B40,#REF!,4,0)</f>
        <v>#REF!</v>
      </c>
      <c r="F40" s="19" t="e">
        <f>VLOOKUP($B40,#REF!,5,0)</f>
        <v>#REF!</v>
      </c>
      <c r="G40" s="19" t="e">
        <f>VLOOKUP($B40,#REF!,6,0)</f>
        <v>#REF!</v>
      </c>
      <c r="H40" s="19" t="e">
        <f>VLOOKUP($B40,#REF!,7,0)</f>
        <v>#REF!</v>
      </c>
      <c r="I40" s="19" t="e">
        <f>VLOOKUP($B40,#REF!,8,0)</f>
        <v>#REF!</v>
      </c>
      <c r="J40" s="132">
        <v>1119</v>
      </c>
      <c r="K40" s="22" t="s">
        <v>12</v>
      </c>
      <c r="L40" s="44">
        <v>79</v>
      </c>
      <c r="M40" s="44">
        <v>101</v>
      </c>
      <c r="N40" s="35">
        <v>88</v>
      </c>
      <c r="O40" s="133"/>
      <c r="P40" s="13"/>
      <c r="Q40" s="13"/>
      <c r="R40" s="13"/>
      <c r="S40" s="13"/>
      <c r="T40" s="13"/>
    </row>
    <row r="41" spans="2:73" ht="24" customHeight="1" thickBot="1" x14ac:dyDescent="0.25">
      <c r="B41" s="125"/>
      <c r="C41" s="127"/>
      <c r="D41" s="20" t="e">
        <f>VLOOKUP($B41,#REF!,3,0)</f>
        <v>#REF!</v>
      </c>
      <c r="E41" s="20" t="e">
        <f>VLOOKUP($B41,#REF!,4,0)</f>
        <v>#REF!</v>
      </c>
      <c r="F41" s="20" t="e">
        <f>VLOOKUP($B41,#REF!,5,0)</f>
        <v>#REF!</v>
      </c>
      <c r="G41" s="20" t="e">
        <f>VLOOKUP($B41,#REF!,6,0)</f>
        <v>#REF!</v>
      </c>
      <c r="H41" s="20" t="e">
        <f>VLOOKUP($B41,#REF!,7,0)</f>
        <v>#REF!</v>
      </c>
      <c r="I41" s="20" t="e">
        <f>VLOOKUP($B41,#REF!,8,0)</f>
        <v>#REF!</v>
      </c>
      <c r="J41" s="129"/>
      <c r="K41" s="34" t="s">
        <v>13</v>
      </c>
      <c r="L41" s="36">
        <v>108</v>
      </c>
      <c r="M41" s="36">
        <v>105</v>
      </c>
      <c r="N41" s="36">
        <v>100</v>
      </c>
      <c r="O41" s="134"/>
      <c r="P41" s="13"/>
      <c r="Q41" s="13"/>
      <c r="R41" s="13"/>
      <c r="S41" s="13"/>
      <c r="T41" s="13"/>
      <c r="AF41" s="12"/>
      <c r="AG41" s="12"/>
      <c r="AH41" s="14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</row>
  </sheetData>
  <mergeCells count="66">
    <mergeCell ref="B40:B41"/>
    <mergeCell ref="C40:C41"/>
    <mergeCell ref="J40:J41"/>
    <mergeCell ref="O40:O41"/>
    <mergeCell ref="B36:B37"/>
    <mergeCell ref="C36:C37"/>
    <mergeCell ref="J36:J37"/>
    <mergeCell ref="O36:O37"/>
    <mergeCell ref="B38:B39"/>
    <mergeCell ref="C38:C39"/>
    <mergeCell ref="B30:B31"/>
    <mergeCell ref="C30:C31"/>
    <mergeCell ref="J30:J31"/>
    <mergeCell ref="O30:O31"/>
    <mergeCell ref="J38:J39"/>
    <mergeCell ref="O38:O39"/>
    <mergeCell ref="B32:B33"/>
    <mergeCell ref="C32:C33"/>
    <mergeCell ref="J32:J33"/>
    <mergeCell ref="O32:O33"/>
    <mergeCell ref="B34:B35"/>
    <mergeCell ref="C34:C35"/>
    <mergeCell ref="J34:J35"/>
    <mergeCell ref="O34:O35"/>
    <mergeCell ref="B26:B27"/>
    <mergeCell ref="C26:C27"/>
    <mergeCell ref="J26:J27"/>
    <mergeCell ref="O26:O27"/>
    <mergeCell ref="B28:B29"/>
    <mergeCell ref="C28:C29"/>
    <mergeCell ref="J28:J29"/>
    <mergeCell ref="O28:O29"/>
    <mergeCell ref="B22:B23"/>
    <mergeCell ref="C22:C23"/>
    <mergeCell ref="J22:J23"/>
    <mergeCell ref="O22:O23"/>
    <mergeCell ref="B24:B25"/>
    <mergeCell ref="C24:C25"/>
    <mergeCell ref="J24:J25"/>
    <mergeCell ref="O24:O25"/>
    <mergeCell ref="B18:B19"/>
    <mergeCell ref="C18:C19"/>
    <mergeCell ref="J18:J19"/>
    <mergeCell ref="O18:O19"/>
    <mergeCell ref="B20:B21"/>
    <mergeCell ref="C20:C21"/>
    <mergeCell ref="J20:J21"/>
    <mergeCell ref="O20:O21"/>
    <mergeCell ref="O14:O15"/>
    <mergeCell ref="B16:B17"/>
    <mergeCell ref="C16:C17"/>
    <mergeCell ref="J16:J17"/>
    <mergeCell ref="O16:O17"/>
    <mergeCell ref="B12:B13"/>
    <mergeCell ref="C12:C13"/>
    <mergeCell ref="J12:J13"/>
    <mergeCell ref="B14:B15"/>
    <mergeCell ref="C14:C15"/>
    <mergeCell ref="J14:J15"/>
    <mergeCell ref="AF5:AH5"/>
    <mergeCell ref="L6:N6"/>
    <mergeCell ref="O7:O8"/>
    <mergeCell ref="B8:K8"/>
    <mergeCell ref="B10:B11"/>
    <mergeCell ref="C10:C11"/>
    <mergeCell ref="J10:J11"/>
  </mergeCells>
  <pageMargins left="0.45" right="0" top="0.49" bottom="0" header="0.64" footer="0"/>
  <pageSetup paperSize="512" scale="7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50EB-ED0D-4364-B34D-79547A173E9A}">
  <sheetPr>
    <pageSetUpPr fitToPage="1"/>
  </sheetPr>
  <dimension ref="A1:BU41"/>
  <sheetViews>
    <sheetView zoomScale="84" zoomScaleNormal="84" workbookViewId="0">
      <selection activeCell="A2" sqref="A2"/>
    </sheetView>
  </sheetViews>
  <sheetFormatPr defaultRowHeight="12.75" x14ac:dyDescent="0.2"/>
  <cols>
    <col min="1" max="1" width="5.42578125" customWidth="1"/>
    <col min="2" max="2" width="6.28515625" customWidth="1"/>
    <col min="3" max="3" width="12.7109375" customWidth="1"/>
    <col min="4" max="8" width="5.28515625" hidden="1" customWidth="1"/>
    <col min="9" max="9" width="7" hidden="1" customWidth="1"/>
    <col min="10" max="10" width="8.42578125" customWidth="1"/>
    <col min="11" max="14" width="12.7109375" customWidth="1"/>
    <col min="15" max="15" width="48.7109375" customWidth="1"/>
    <col min="22" max="22" width="7.5703125" customWidth="1"/>
    <col min="23" max="32" width="7.7109375" customWidth="1"/>
  </cols>
  <sheetData>
    <row r="1" spans="1:73" ht="15" customHeight="1" x14ac:dyDescent="0.25">
      <c r="A1" s="1" t="s">
        <v>40</v>
      </c>
    </row>
    <row r="2" spans="1:73" ht="20.25" customHeight="1" thickBot="1" x14ac:dyDescent="0.3">
      <c r="A2" s="1"/>
      <c r="M2" s="15" t="s">
        <v>0</v>
      </c>
      <c r="N2" s="23">
        <v>40032</v>
      </c>
      <c r="O2" s="29"/>
    </row>
    <row r="3" spans="1:73" ht="20.25" customHeight="1" thickBot="1" x14ac:dyDescent="0.25">
      <c r="A3" t="s">
        <v>1</v>
      </c>
      <c r="C3" s="38" t="s">
        <v>59</v>
      </c>
      <c r="D3" s="3"/>
      <c r="E3" s="3"/>
      <c r="F3" s="3"/>
      <c r="G3" s="3"/>
      <c r="H3" s="3"/>
      <c r="I3" s="3"/>
      <c r="J3" s="3"/>
      <c r="K3" s="3"/>
      <c r="L3" s="3"/>
      <c r="M3" s="15" t="s">
        <v>23</v>
      </c>
      <c r="N3" s="2">
        <v>219</v>
      </c>
      <c r="O3" s="30"/>
    </row>
    <row r="4" spans="1:73" ht="20.25" customHeight="1" thickBot="1" x14ac:dyDescent="0.25">
      <c r="B4" s="3" t="s">
        <v>60</v>
      </c>
      <c r="C4" s="38"/>
      <c r="D4" s="4"/>
      <c r="E4" s="4"/>
      <c r="F4" s="4"/>
      <c r="G4" s="4"/>
      <c r="H4" s="4"/>
      <c r="I4" s="4"/>
      <c r="J4" s="4"/>
      <c r="K4" s="4"/>
      <c r="L4" s="4"/>
      <c r="M4" s="15" t="s">
        <v>2</v>
      </c>
      <c r="N4" s="2" t="s">
        <v>26</v>
      </c>
      <c r="O4" s="30"/>
    </row>
    <row r="5" spans="1:73" ht="18" x14ac:dyDescent="0.2">
      <c r="AE5" s="5"/>
      <c r="AF5" s="115"/>
      <c r="AG5" s="115"/>
      <c r="AH5" s="115"/>
    </row>
    <row r="6" spans="1:73" ht="18" x14ac:dyDescent="0.25">
      <c r="L6" s="116"/>
      <c r="M6" s="117"/>
      <c r="N6" s="118"/>
      <c r="O6" s="31"/>
      <c r="AE6" s="5"/>
      <c r="AF6" s="24"/>
      <c r="AG6" s="24"/>
      <c r="AH6" s="24"/>
    </row>
    <row r="7" spans="1:73" ht="25.5" customHeight="1" x14ac:dyDescent="0.2">
      <c r="B7" s="6" t="s">
        <v>27</v>
      </c>
      <c r="C7" s="7"/>
      <c r="D7" s="7" t="s">
        <v>4</v>
      </c>
      <c r="E7" s="6" t="s">
        <v>5</v>
      </c>
      <c r="F7" s="7" t="s">
        <v>6</v>
      </c>
      <c r="G7" s="6" t="s">
        <v>7</v>
      </c>
      <c r="H7" s="6" t="s">
        <v>8</v>
      </c>
      <c r="I7" s="6" t="s">
        <v>9</v>
      </c>
      <c r="J7" s="6" t="s">
        <v>11</v>
      </c>
      <c r="K7" s="8" t="s">
        <v>24</v>
      </c>
      <c r="L7" s="22" t="s">
        <v>37</v>
      </c>
      <c r="M7" s="22" t="s">
        <v>38</v>
      </c>
      <c r="N7" s="22" t="s">
        <v>39</v>
      </c>
      <c r="O7" s="119" t="s">
        <v>25</v>
      </c>
      <c r="AE7" s="10"/>
      <c r="AF7" s="9"/>
      <c r="AG7" s="9"/>
      <c r="AH7" s="11"/>
    </row>
    <row r="8" spans="1:73" ht="15.95" customHeight="1" thickBot="1" x14ac:dyDescent="0.25">
      <c r="B8" s="121"/>
      <c r="C8" s="122"/>
      <c r="D8" s="122"/>
      <c r="E8" s="122"/>
      <c r="F8" s="122"/>
      <c r="G8" s="122"/>
      <c r="H8" s="122"/>
      <c r="I8" s="122"/>
      <c r="J8" s="122"/>
      <c r="K8" s="123"/>
      <c r="L8" s="39" t="s">
        <v>29</v>
      </c>
      <c r="M8" s="39"/>
      <c r="N8" s="39"/>
      <c r="O8" s="120"/>
      <c r="AF8" s="12"/>
      <c r="AG8" s="12"/>
      <c r="AH8" s="12"/>
    </row>
    <row r="9" spans="1:73" ht="15.95" hidden="1" customHeight="1" x14ac:dyDescent="0.2">
      <c r="B9" s="25" t="s">
        <v>3</v>
      </c>
      <c r="C9" s="26" t="s">
        <v>10</v>
      </c>
      <c r="D9" s="26" t="s">
        <v>14</v>
      </c>
      <c r="E9" s="25" t="s">
        <v>15</v>
      </c>
      <c r="F9" s="26" t="s">
        <v>16</v>
      </c>
      <c r="G9" s="25" t="s">
        <v>17</v>
      </c>
      <c r="H9" s="25" t="s">
        <v>8</v>
      </c>
      <c r="I9" s="25" t="s">
        <v>18</v>
      </c>
      <c r="J9" s="27" t="s">
        <v>11</v>
      </c>
      <c r="K9" s="27" t="s">
        <v>19</v>
      </c>
      <c r="L9" s="28" t="s">
        <v>20</v>
      </c>
      <c r="M9" s="28" t="s">
        <v>21</v>
      </c>
      <c r="N9" s="28" t="s">
        <v>22</v>
      </c>
      <c r="O9" s="32"/>
      <c r="AF9" s="12"/>
      <c r="AG9" s="12"/>
      <c r="AH9" s="12"/>
    </row>
    <row r="10" spans="1:73" ht="24" customHeight="1" x14ac:dyDescent="0.2">
      <c r="B10" s="124">
        <v>1</v>
      </c>
      <c r="C10" s="126" t="s">
        <v>31</v>
      </c>
      <c r="D10" s="19" t="e">
        <f>VLOOKUP($B10,#REF!,3,0)</f>
        <v>#REF!</v>
      </c>
      <c r="E10" s="19" t="e">
        <f>VLOOKUP($B10,#REF!,4,0)</f>
        <v>#REF!</v>
      </c>
      <c r="F10" s="19" t="e">
        <f>VLOOKUP($B10,#REF!,5,0)</f>
        <v>#REF!</v>
      </c>
      <c r="G10" s="19" t="e">
        <f>VLOOKUP($B10,#REF!,6,0)</f>
        <v>#REF!</v>
      </c>
      <c r="H10" s="19" t="e">
        <f>VLOOKUP($B10,#REF!,7,0)</f>
        <v>#REF!</v>
      </c>
      <c r="I10" s="19" t="e">
        <f>VLOOKUP($B10,#REF!,8,0)</f>
        <v>#REF!</v>
      </c>
      <c r="J10" s="128">
        <v>843</v>
      </c>
      <c r="K10" s="53" t="s">
        <v>12</v>
      </c>
      <c r="L10" s="54" t="s">
        <v>58</v>
      </c>
      <c r="M10" s="54" t="s">
        <v>58</v>
      </c>
      <c r="N10" s="54" t="s">
        <v>58</v>
      </c>
      <c r="O10" s="142" t="s">
        <v>61</v>
      </c>
      <c r="P10" s="13"/>
      <c r="Q10" s="13"/>
      <c r="R10" s="13"/>
      <c r="S10" s="13"/>
      <c r="T10" s="13"/>
      <c r="AF10" s="12"/>
      <c r="AG10" s="12"/>
      <c r="AH10" s="14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</row>
    <row r="11" spans="1:73" ht="24" customHeight="1" thickBot="1" x14ac:dyDescent="0.25">
      <c r="B11" s="125"/>
      <c r="C11" s="127"/>
      <c r="D11" s="20" t="e">
        <f>VLOOKUP($B11,#REF!,3,0)</f>
        <v>#REF!</v>
      </c>
      <c r="E11" s="20" t="e">
        <f>VLOOKUP($B11,#REF!,4,0)</f>
        <v>#REF!</v>
      </c>
      <c r="F11" s="20" t="e">
        <f>VLOOKUP($B11,#REF!,5,0)</f>
        <v>#REF!</v>
      </c>
      <c r="G11" s="20" t="e">
        <f>VLOOKUP($B11,#REF!,6,0)</f>
        <v>#REF!</v>
      </c>
      <c r="H11" s="20" t="e">
        <f>VLOOKUP($B11,#REF!,7,0)</f>
        <v>#REF!</v>
      </c>
      <c r="I11" s="20" t="e">
        <f>VLOOKUP($B11,#REF!,8,0)</f>
        <v>#REF!</v>
      </c>
      <c r="J11" s="129"/>
      <c r="K11" s="34" t="s">
        <v>13</v>
      </c>
      <c r="L11" s="36">
        <v>121</v>
      </c>
      <c r="M11" s="36">
        <v>141</v>
      </c>
      <c r="N11" s="36">
        <v>132</v>
      </c>
      <c r="O11" s="143"/>
      <c r="P11" s="13"/>
      <c r="Q11" s="13"/>
      <c r="R11" s="13"/>
      <c r="S11" s="13"/>
      <c r="T11" s="13"/>
      <c r="AF11" s="12"/>
      <c r="AG11" s="12"/>
      <c r="AH11" s="14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</row>
    <row r="12" spans="1:73" ht="24" customHeight="1" x14ac:dyDescent="0.2">
      <c r="B12" s="124">
        <v>2</v>
      </c>
      <c r="C12" s="130" t="s">
        <v>32</v>
      </c>
      <c r="D12" s="21" t="e">
        <f>VLOOKUP($B12,#REF!,3,0)</f>
        <v>#REF!</v>
      </c>
      <c r="E12" s="21" t="e">
        <f>VLOOKUP($B12,#REF!,4,0)</f>
        <v>#REF!</v>
      </c>
      <c r="F12" s="21" t="e">
        <f>VLOOKUP($B12,#REF!,5,0)</f>
        <v>#REF!</v>
      </c>
      <c r="G12" s="21" t="e">
        <f>VLOOKUP($B12,#REF!,6,0)</f>
        <v>#REF!</v>
      </c>
      <c r="H12" s="21" t="e">
        <f>VLOOKUP($B12,#REF!,7,0)</f>
        <v>#REF!</v>
      </c>
      <c r="I12" s="21" t="e">
        <f>VLOOKUP($B12,#REF!,8,0)</f>
        <v>#REF!</v>
      </c>
      <c r="J12" s="132"/>
      <c r="K12" s="53" t="s">
        <v>12</v>
      </c>
      <c r="L12" s="54" t="s">
        <v>58</v>
      </c>
      <c r="M12" s="54" t="s">
        <v>58</v>
      </c>
      <c r="N12" s="54" t="s">
        <v>58</v>
      </c>
      <c r="O12" s="42"/>
      <c r="P12" s="13"/>
      <c r="Q12" s="16"/>
      <c r="R12" s="13"/>
      <c r="S12" s="17"/>
      <c r="T12" s="13"/>
      <c r="AF12" s="12"/>
      <c r="AG12" s="12"/>
      <c r="AH12" s="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</row>
    <row r="13" spans="1:73" ht="24" customHeight="1" thickBot="1" x14ac:dyDescent="0.25">
      <c r="B13" s="125"/>
      <c r="C13" s="131"/>
      <c r="D13" s="20" t="e">
        <f>VLOOKUP($B13,#REF!,3,0)</f>
        <v>#REF!</v>
      </c>
      <c r="E13" s="20" t="e">
        <f>VLOOKUP($B13,#REF!,4,0)</f>
        <v>#REF!</v>
      </c>
      <c r="F13" s="20" t="e">
        <f>VLOOKUP($B13,#REF!,5,0)</f>
        <v>#REF!</v>
      </c>
      <c r="G13" s="20" t="e">
        <f>VLOOKUP($B13,#REF!,6,0)</f>
        <v>#REF!</v>
      </c>
      <c r="H13" s="20" t="e">
        <f>VLOOKUP($B13,#REF!,7,0)</f>
        <v>#REF!</v>
      </c>
      <c r="I13" s="20" t="e">
        <f>VLOOKUP($B13,#REF!,8,0)</f>
        <v>#REF!</v>
      </c>
      <c r="J13" s="129"/>
      <c r="K13" s="34" t="s">
        <v>13</v>
      </c>
      <c r="L13" s="37">
        <v>126</v>
      </c>
      <c r="M13" s="36">
        <v>137</v>
      </c>
      <c r="N13" s="36">
        <v>130</v>
      </c>
      <c r="O13" s="43"/>
      <c r="P13" s="13"/>
      <c r="Q13" s="13"/>
      <c r="R13" s="13"/>
      <c r="S13" s="13"/>
      <c r="T13" s="13"/>
      <c r="AF13" s="12"/>
      <c r="AG13" s="12"/>
      <c r="AH13" s="14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</row>
    <row r="14" spans="1:73" ht="24" customHeight="1" x14ac:dyDescent="0.2">
      <c r="B14" s="124">
        <v>3</v>
      </c>
      <c r="C14" s="130" t="s">
        <v>33</v>
      </c>
      <c r="D14" s="19" t="e">
        <f>VLOOKUP($B14,#REF!,3,0)</f>
        <v>#REF!</v>
      </c>
      <c r="E14" s="19" t="e">
        <f>VLOOKUP($B14,#REF!,4,0)</f>
        <v>#REF!</v>
      </c>
      <c r="F14" s="19" t="e">
        <f>VLOOKUP($B14,#REF!,5,0)</f>
        <v>#REF!</v>
      </c>
      <c r="G14" s="19" t="e">
        <f>VLOOKUP($B14,#REF!,6,0)</f>
        <v>#REF!</v>
      </c>
      <c r="H14" s="19" t="e">
        <f>VLOOKUP($B14,#REF!,7,0)</f>
        <v>#REF!</v>
      </c>
      <c r="I14" s="19" t="e">
        <f>VLOOKUP($B14,#REF!,8,0)</f>
        <v>#REF!</v>
      </c>
      <c r="J14" s="132"/>
      <c r="K14" s="53" t="s">
        <v>12</v>
      </c>
      <c r="L14" s="54" t="s">
        <v>58</v>
      </c>
      <c r="M14" s="54" t="s">
        <v>58</v>
      </c>
      <c r="N14" s="54" t="s">
        <v>58</v>
      </c>
      <c r="O14" s="133"/>
      <c r="P14" s="13"/>
      <c r="Q14" s="13"/>
      <c r="R14" s="13"/>
      <c r="S14" s="13"/>
      <c r="T14" s="13"/>
      <c r="AF14" s="12"/>
      <c r="AG14" s="12"/>
      <c r="AH14" s="12"/>
    </row>
    <row r="15" spans="1:73" ht="24" customHeight="1" thickBot="1" x14ac:dyDescent="0.25">
      <c r="B15" s="125"/>
      <c r="C15" s="131"/>
      <c r="D15" s="20" t="e">
        <f>VLOOKUP($B15,#REF!,3,0)</f>
        <v>#REF!</v>
      </c>
      <c r="E15" s="20" t="e">
        <f>VLOOKUP($B15,#REF!,4,0)</f>
        <v>#REF!</v>
      </c>
      <c r="F15" s="20" t="e">
        <f>VLOOKUP($B15,#REF!,5,0)</f>
        <v>#REF!</v>
      </c>
      <c r="G15" s="20" t="e">
        <f>VLOOKUP($B15,#REF!,6,0)</f>
        <v>#REF!</v>
      </c>
      <c r="H15" s="20" t="e">
        <f>VLOOKUP($B15,#REF!,7,0)</f>
        <v>#REF!</v>
      </c>
      <c r="I15" s="20" t="e">
        <f>VLOOKUP($B15,#REF!,8,0)</f>
        <v>#REF!</v>
      </c>
      <c r="J15" s="129"/>
      <c r="K15" s="34" t="s">
        <v>13</v>
      </c>
      <c r="L15" s="36">
        <v>132</v>
      </c>
      <c r="M15" s="36">
        <v>144</v>
      </c>
      <c r="N15" s="36">
        <v>132</v>
      </c>
      <c r="O15" s="134"/>
      <c r="P15" s="13"/>
      <c r="Q15" s="13"/>
      <c r="R15" s="13"/>
      <c r="S15" s="13"/>
      <c r="T15" s="13"/>
      <c r="AF15" s="12"/>
      <c r="AG15" s="12"/>
      <c r="AH15" s="14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</row>
    <row r="16" spans="1:73" ht="24" customHeight="1" x14ac:dyDescent="0.2">
      <c r="B16" s="124">
        <v>4</v>
      </c>
      <c r="C16" s="130" t="s">
        <v>32</v>
      </c>
      <c r="D16" s="19" t="e">
        <f>VLOOKUP($B16,#REF!,3,0)</f>
        <v>#REF!</v>
      </c>
      <c r="E16" s="19" t="e">
        <f>VLOOKUP($B16,#REF!,4,0)</f>
        <v>#REF!</v>
      </c>
      <c r="F16" s="19" t="e">
        <f>VLOOKUP($B16,#REF!,5,0)</f>
        <v>#REF!</v>
      </c>
      <c r="G16" s="19" t="e">
        <f>VLOOKUP($B16,#REF!,6,0)</f>
        <v>#REF!</v>
      </c>
      <c r="H16" s="19" t="e">
        <f>VLOOKUP($B16,#REF!,7,0)</f>
        <v>#REF!</v>
      </c>
      <c r="I16" s="19" t="e">
        <f>VLOOKUP($B16,#REF!,8,0)</f>
        <v>#REF!</v>
      </c>
      <c r="J16" s="132"/>
      <c r="K16" s="53" t="s">
        <v>12</v>
      </c>
      <c r="L16" s="54" t="s">
        <v>58</v>
      </c>
      <c r="M16" s="54" t="s">
        <v>58</v>
      </c>
      <c r="N16" s="54" t="s">
        <v>58</v>
      </c>
      <c r="O16" s="133"/>
      <c r="P16" s="13"/>
      <c r="Q16" s="13"/>
      <c r="R16" s="13"/>
      <c r="S16" s="13"/>
      <c r="T16" s="13"/>
    </row>
    <row r="17" spans="2:73" ht="24" customHeight="1" thickBot="1" x14ac:dyDescent="0.25">
      <c r="B17" s="125"/>
      <c r="C17" s="131"/>
      <c r="D17" s="20" t="e">
        <f>VLOOKUP($B17,#REF!,3,0)</f>
        <v>#REF!</v>
      </c>
      <c r="E17" s="20" t="e">
        <f>VLOOKUP($B17,#REF!,4,0)</f>
        <v>#REF!</v>
      </c>
      <c r="F17" s="20" t="e">
        <f>VLOOKUP($B17,#REF!,5,0)</f>
        <v>#REF!</v>
      </c>
      <c r="G17" s="20" t="e">
        <f>VLOOKUP($B17,#REF!,6,0)</f>
        <v>#REF!</v>
      </c>
      <c r="H17" s="20" t="e">
        <f>VLOOKUP($B17,#REF!,7,0)</f>
        <v>#REF!</v>
      </c>
      <c r="I17" s="20" t="e">
        <f>VLOOKUP($B17,#REF!,8,0)</f>
        <v>#REF!</v>
      </c>
      <c r="J17" s="129"/>
      <c r="K17" s="34" t="s">
        <v>13</v>
      </c>
      <c r="L17" s="36">
        <v>149</v>
      </c>
      <c r="M17" s="36">
        <v>151</v>
      </c>
      <c r="N17" s="36">
        <v>155</v>
      </c>
      <c r="O17" s="134"/>
      <c r="P17" s="13"/>
      <c r="Q17" s="13"/>
      <c r="R17" s="13"/>
      <c r="S17" s="13"/>
      <c r="T17" s="13"/>
      <c r="AF17" s="12"/>
      <c r="AG17" s="12"/>
      <c r="AH17" s="14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</row>
    <row r="18" spans="2:73" ht="24" customHeight="1" x14ac:dyDescent="0.2">
      <c r="B18" s="124">
        <v>5</v>
      </c>
      <c r="C18" s="130" t="s">
        <v>33</v>
      </c>
      <c r="D18" s="19" t="e">
        <f>VLOOKUP($B18,#REF!,3,0)</f>
        <v>#REF!</v>
      </c>
      <c r="E18" s="19" t="e">
        <f>VLOOKUP($B18,#REF!,4,0)</f>
        <v>#REF!</v>
      </c>
      <c r="F18" s="19" t="e">
        <f>VLOOKUP($B18,#REF!,5,0)</f>
        <v>#REF!</v>
      </c>
      <c r="G18" s="19" t="e">
        <f>VLOOKUP($B18,#REF!,6,0)</f>
        <v>#REF!</v>
      </c>
      <c r="H18" s="19" t="e">
        <f>VLOOKUP($B18,#REF!,7,0)</f>
        <v>#REF!</v>
      </c>
      <c r="I18" s="19" t="e">
        <f>VLOOKUP($B18,#REF!,8,0)</f>
        <v>#REF!</v>
      </c>
      <c r="J18" s="132">
        <v>932</v>
      </c>
      <c r="K18" s="53" t="s">
        <v>12</v>
      </c>
      <c r="L18" s="54" t="s">
        <v>58</v>
      </c>
      <c r="M18" s="54" t="s">
        <v>58</v>
      </c>
      <c r="N18" s="54" t="s">
        <v>58</v>
      </c>
      <c r="O18" s="133"/>
      <c r="P18" s="13"/>
      <c r="Q18" s="13"/>
      <c r="R18" s="13"/>
      <c r="S18" s="13"/>
      <c r="T18" s="13"/>
      <c r="AF18" s="12"/>
      <c r="AG18" s="12"/>
      <c r="AH18" s="12"/>
    </row>
    <row r="19" spans="2:73" ht="24" customHeight="1" thickBot="1" x14ac:dyDescent="0.25">
      <c r="B19" s="125"/>
      <c r="C19" s="131"/>
      <c r="D19" s="20" t="e">
        <f>VLOOKUP($B19,#REF!,3,0)</f>
        <v>#REF!</v>
      </c>
      <c r="E19" s="20" t="e">
        <f>VLOOKUP($B19,#REF!,4,0)</f>
        <v>#REF!</v>
      </c>
      <c r="F19" s="20" t="e">
        <f>VLOOKUP($B19,#REF!,5,0)</f>
        <v>#REF!</v>
      </c>
      <c r="G19" s="20" t="e">
        <f>VLOOKUP($B19,#REF!,6,0)</f>
        <v>#REF!</v>
      </c>
      <c r="H19" s="20" t="e">
        <f>VLOOKUP($B19,#REF!,7,0)</f>
        <v>#REF!</v>
      </c>
      <c r="I19" s="20" t="e">
        <f>VLOOKUP($B19,#REF!,8,0)</f>
        <v>#REF!</v>
      </c>
      <c r="J19" s="129"/>
      <c r="K19" s="34" t="s">
        <v>13</v>
      </c>
      <c r="L19" s="36">
        <v>143</v>
      </c>
      <c r="M19" s="36">
        <v>155</v>
      </c>
      <c r="N19" s="36">
        <v>148</v>
      </c>
      <c r="O19" s="134"/>
      <c r="P19" s="13"/>
      <c r="Q19" s="13"/>
      <c r="R19" s="13"/>
      <c r="S19" s="13"/>
      <c r="T19" s="13"/>
      <c r="AF19" s="12"/>
      <c r="AG19" s="12"/>
      <c r="AH19" s="14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</row>
    <row r="20" spans="2:73" ht="24" customHeight="1" x14ac:dyDescent="0.2">
      <c r="B20" s="124">
        <v>6</v>
      </c>
      <c r="C20" s="130" t="s">
        <v>32</v>
      </c>
      <c r="D20" s="19" t="e">
        <f>VLOOKUP($B20,#REF!,3,0)</f>
        <v>#REF!</v>
      </c>
      <c r="E20" s="19" t="e">
        <f>VLOOKUP($B20,#REF!,4,0)</f>
        <v>#REF!</v>
      </c>
      <c r="F20" s="19" t="e">
        <f>VLOOKUP($B20,#REF!,5,0)</f>
        <v>#REF!</v>
      </c>
      <c r="G20" s="19" t="e">
        <f>VLOOKUP($B20,#REF!,6,0)</f>
        <v>#REF!</v>
      </c>
      <c r="H20" s="19" t="e">
        <f>VLOOKUP($B20,#REF!,7,0)</f>
        <v>#REF!</v>
      </c>
      <c r="I20" s="19" t="e">
        <f>VLOOKUP($B20,#REF!,8,0)</f>
        <v>#REF!</v>
      </c>
      <c r="J20" s="132"/>
      <c r="K20" s="53" t="s">
        <v>12</v>
      </c>
      <c r="L20" s="54" t="s">
        <v>58</v>
      </c>
      <c r="M20" s="54" t="s">
        <v>58</v>
      </c>
      <c r="N20" s="54" t="s">
        <v>58</v>
      </c>
      <c r="O20" s="133" t="s">
        <v>62</v>
      </c>
      <c r="P20" s="13"/>
      <c r="Q20" s="13"/>
      <c r="R20" s="13"/>
      <c r="S20" s="13"/>
      <c r="T20" s="13"/>
      <c r="AF20" s="12"/>
      <c r="AG20" s="12"/>
      <c r="AH20" s="12"/>
    </row>
    <row r="21" spans="2:73" ht="24" customHeight="1" thickBot="1" x14ac:dyDescent="0.25">
      <c r="B21" s="125"/>
      <c r="C21" s="131"/>
      <c r="D21" s="20" t="e">
        <f>VLOOKUP($B21,#REF!,3,0)</f>
        <v>#REF!</v>
      </c>
      <c r="E21" s="20" t="e">
        <f>VLOOKUP($B21,#REF!,4,0)</f>
        <v>#REF!</v>
      </c>
      <c r="F21" s="20" t="e">
        <f>VLOOKUP($B21,#REF!,5,0)</f>
        <v>#REF!</v>
      </c>
      <c r="G21" s="20" t="e">
        <f>VLOOKUP($B21,#REF!,6,0)</f>
        <v>#REF!</v>
      </c>
      <c r="H21" s="20" t="e">
        <f>VLOOKUP($B21,#REF!,7,0)</f>
        <v>#REF!</v>
      </c>
      <c r="I21" s="20" t="e">
        <f>VLOOKUP($B21,#REF!,8,0)</f>
        <v>#REF!</v>
      </c>
      <c r="J21" s="129"/>
      <c r="K21" s="34" t="s">
        <v>13</v>
      </c>
      <c r="L21" s="36">
        <v>128</v>
      </c>
      <c r="M21" s="36">
        <v>138</v>
      </c>
      <c r="N21" s="36">
        <v>137</v>
      </c>
      <c r="O21" s="134"/>
      <c r="P21" s="13"/>
      <c r="Q21" s="13"/>
      <c r="R21" s="13"/>
      <c r="S21" s="13"/>
      <c r="T21" s="13"/>
      <c r="AF21" s="12"/>
      <c r="AG21" s="12"/>
      <c r="AH21" s="14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spans="2:73" ht="24" customHeight="1" x14ac:dyDescent="0.2">
      <c r="B22" s="124">
        <v>7</v>
      </c>
      <c r="C22" s="130" t="s">
        <v>33</v>
      </c>
      <c r="D22" s="19" t="e">
        <f>VLOOKUP($B22,#REF!,3,0)</f>
        <v>#REF!</v>
      </c>
      <c r="E22" s="19" t="e">
        <f>VLOOKUP($B22,#REF!,4,0)</f>
        <v>#REF!</v>
      </c>
      <c r="F22" s="19" t="e">
        <f>VLOOKUP($B22,#REF!,5,0)</f>
        <v>#REF!</v>
      </c>
      <c r="G22" s="19" t="e">
        <f>VLOOKUP($B22,#REF!,6,0)</f>
        <v>#REF!</v>
      </c>
      <c r="H22" s="19" t="e">
        <f>VLOOKUP($B22,#REF!,7,0)</f>
        <v>#REF!</v>
      </c>
      <c r="I22" s="19" t="e">
        <f>VLOOKUP($B22,#REF!,8,0)</f>
        <v>#REF!</v>
      </c>
      <c r="J22" s="132">
        <v>1020</v>
      </c>
      <c r="K22" s="53" t="s">
        <v>12</v>
      </c>
      <c r="L22" s="54" t="s">
        <v>58</v>
      </c>
      <c r="M22" s="54" t="s">
        <v>58</v>
      </c>
      <c r="N22" s="54" t="s">
        <v>58</v>
      </c>
      <c r="O22" s="133"/>
      <c r="P22" s="13"/>
      <c r="Q22" s="13"/>
      <c r="R22" s="13"/>
      <c r="S22" s="13"/>
      <c r="T22" s="13"/>
      <c r="AF22" s="12"/>
      <c r="AG22" s="12"/>
      <c r="AH22" s="12"/>
    </row>
    <row r="23" spans="2:73" ht="24" customHeight="1" thickBot="1" x14ac:dyDescent="0.25">
      <c r="B23" s="125"/>
      <c r="C23" s="131"/>
      <c r="D23" s="20" t="e">
        <f>VLOOKUP($B23,#REF!,3,0)</f>
        <v>#REF!</v>
      </c>
      <c r="E23" s="20" t="e">
        <f>VLOOKUP($B23,#REF!,4,0)</f>
        <v>#REF!</v>
      </c>
      <c r="F23" s="20" t="e">
        <f>VLOOKUP($B23,#REF!,5,0)</f>
        <v>#REF!</v>
      </c>
      <c r="G23" s="20" t="e">
        <f>VLOOKUP($B23,#REF!,6,0)</f>
        <v>#REF!</v>
      </c>
      <c r="H23" s="20" t="e">
        <f>VLOOKUP($B23,#REF!,7,0)</f>
        <v>#REF!</v>
      </c>
      <c r="I23" s="20" t="e">
        <f>VLOOKUP($B23,#REF!,8,0)</f>
        <v>#REF!</v>
      </c>
      <c r="J23" s="129"/>
      <c r="K23" s="34" t="s">
        <v>13</v>
      </c>
      <c r="L23" s="36">
        <v>147</v>
      </c>
      <c r="M23" s="36">
        <v>158</v>
      </c>
      <c r="N23" s="36">
        <v>165</v>
      </c>
      <c r="O23" s="134"/>
      <c r="P23" s="13"/>
      <c r="Q23" s="13"/>
      <c r="R23" s="13"/>
      <c r="S23" s="13"/>
      <c r="T23" s="13"/>
      <c r="AF23" s="12"/>
      <c r="AG23" s="12"/>
      <c r="AH23" s="14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</row>
    <row r="24" spans="2:73" ht="24" customHeight="1" x14ac:dyDescent="0.2">
      <c r="B24" s="124">
        <v>8</v>
      </c>
      <c r="C24" s="130" t="s">
        <v>32</v>
      </c>
      <c r="D24" s="19" t="e">
        <f>VLOOKUP($B24,#REF!,3,0)</f>
        <v>#REF!</v>
      </c>
      <c r="E24" s="19" t="e">
        <f>VLOOKUP($B24,#REF!,4,0)</f>
        <v>#REF!</v>
      </c>
      <c r="F24" s="19" t="e">
        <f>VLOOKUP($B24,#REF!,5,0)</f>
        <v>#REF!</v>
      </c>
      <c r="G24" s="19" t="e">
        <f>VLOOKUP($B24,#REF!,6,0)</f>
        <v>#REF!</v>
      </c>
      <c r="H24" s="19" t="e">
        <f>VLOOKUP($B24,#REF!,7,0)</f>
        <v>#REF!</v>
      </c>
      <c r="I24" s="19" t="e">
        <f>VLOOKUP($B24,#REF!,8,0)</f>
        <v>#REF!</v>
      </c>
      <c r="J24" s="132"/>
      <c r="K24" s="53" t="s">
        <v>12</v>
      </c>
      <c r="L24" s="54" t="s">
        <v>58</v>
      </c>
      <c r="M24" s="54" t="s">
        <v>58</v>
      </c>
      <c r="N24" s="54" t="s">
        <v>58</v>
      </c>
      <c r="O24" s="133"/>
      <c r="P24" s="13"/>
      <c r="Q24" s="13"/>
      <c r="R24" s="13"/>
      <c r="S24" s="13"/>
      <c r="T24" s="13"/>
      <c r="AF24" s="9"/>
      <c r="AG24" s="9"/>
      <c r="AH24" s="9"/>
    </row>
    <row r="25" spans="2:73" ht="24" customHeight="1" thickBot="1" x14ac:dyDescent="0.25">
      <c r="B25" s="125"/>
      <c r="C25" s="131"/>
      <c r="D25" s="20" t="e">
        <f>VLOOKUP($B25,#REF!,3,0)</f>
        <v>#REF!</v>
      </c>
      <c r="E25" s="20" t="e">
        <f>VLOOKUP($B25,#REF!,4,0)</f>
        <v>#REF!</v>
      </c>
      <c r="F25" s="20" t="e">
        <f>VLOOKUP($B25,#REF!,5,0)</f>
        <v>#REF!</v>
      </c>
      <c r="G25" s="20" t="e">
        <f>VLOOKUP($B25,#REF!,6,0)</f>
        <v>#REF!</v>
      </c>
      <c r="H25" s="20" t="e">
        <f>VLOOKUP($B25,#REF!,7,0)</f>
        <v>#REF!</v>
      </c>
      <c r="I25" s="20" t="e">
        <f>VLOOKUP($B25,#REF!,8,0)</f>
        <v>#REF!</v>
      </c>
      <c r="J25" s="129"/>
      <c r="K25" s="34" t="s">
        <v>13</v>
      </c>
      <c r="L25" s="36">
        <v>139</v>
      </c>
      <c r="M25" s="36">
        <v>151</v>
      </c>
      <c r="N25" s="36">
        <v>136</v>
      </c>
      <c r="O25" s="134"/>
      <c r="P25" s="13"/>
      <c r="Q25" s="13"/>
      <c r="R25" s="13"/>
      <c r="S25" s="13"/>
      <c r="T25" s="13"/>
      <c r="AF25" s="12"/>
      <c r="AG25" s="12"/>
      <c r="AH25" s="14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</row>
    <row r="26" spans="2:73" ht="24" customHeight="1" x14ac:dyDescent="0.2">
      <c r="B26" s="124">
        <v>9</v>
      </c>
      <c r="C26" s="130" t="s">
        <v>33</v>
      </c>
      <c r="D26" s="19" t="e">
        <f>VLOOKUP($B26,#REF!,3,0)</f>
        <v>#REF!</v>
      </c>
      <c r="E26" s="19" t="e">
        <f>VLOOKUP($B26,#REF!,4,0)</f>
        <v>#REF!</v>
      </c>
      <c r="F26" s="19" t="e">
        <f>VLOOKUP($B26,#REF!,5,0)</f>
        <v>#REF!</v>
      </c>
      <c r="G26" s="19" t="e">
        <f>VLOOKUP($B26,#REF!,6,0)</f>
        <v>#REF!</v>
      </c>
      <c r="H26" s="19" t="e">
        <f>VLOOKUP($B26,#REF!,7,0)</f>
        <v>#REF!</v>
      </c>
      <c r="I26" s="19" t="e">
        <f>VLOOKUP($B26,#REF!,8,0)</f>
        <v>#REF!</v>
      </c>
      <c r="J26" s="132"/>
      <c r="K26" s="53" t="s">
        <v>12</v>
      </c>
      <c r="L26" s="54" t="s">
        <v>58</v>
      </c>
      <c r="M26" s="54" t="s">
        <v>58</v>
      </c>
      <c r="N26" s="54" t="s">
        <v>58</v>
      </c>
      <c r="O26" s="133"/>
      <c r="P26" s="13"/>
      <c r="Q26" s="13"/>
      <c r="R26" s="13"/>
      <c r="S26" s="13"/>
      <c r="T26" s="13"/>
      <c r="AF26" s="12"/>
      <c r="AG26" s="12"/>
      <c r="AH26" s="12"/>
    </row>
    <row r="27" spans="2:73" ht="24" customHeight="1" thickBot="1" x14ac:dyDescent="0.25">
      <c r="B27" s="125"/>
      <c r="C27" s="131"/>
      <c r="D27" s="20" t="e">
        <f>VLOOKUP($B27,#REF!,3,0)</f>
        <v>#REF!</v>
      </c>
      <c r="E27" s="20" t="e">
        <f>VLOOKUP($B27,#REF!,4,0)</f>
        <v>#REF!</v>
      </c>
      <c r="F27" s="20" t="e">
        <f>VLOOKUP($B27,#REF!,5,0)</f>
        <v>#REF!</v>
      </c>
      <c r="G27" s="20" t="e">
        <f>VLOOKUP($B27,#REF!,6,0)</f>
        <v>#REF!</v>
      </c>
      <c r="H27" s="20" t="e">
        <f>VLOOKUP($B27,#REF!,7,0)</f>
        <v>#REF!</v>
      </c>
      <c r="I27" s="20" t="e">
        <f>VLOOKUP($B27,#REF!,8,0)</f>
        <v>#REF!</v>
      </c>
      <c r="J27" s="129"/>
      <c r="K27" s="34" t="s">
        <v>13</v>
      </c>
      <c r="L27" s="36">
        <v>134</v>
      </c>
      <c r="M27" s="36">
        <v>135</v>
      </c>
      <c r="N27" s="36">
        <v>133</v>
      </c>
      <c r="O27" s="134"/>
      <c r="P27" s="13"/>
      <c r="Q27" s="13"/>
      <c r="R27" s="13"/>
      <c r="S27" s="13"/>
      <c r="T27" s="13"/>
      <c r="AF27" s="12"/>
      <c r="AG27" s="12"/>
      <c r="AH27" s="14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</row>
    <row r="28" spans="2:73" ht="24" customHeight="1" x14ac:dyDescent="0.2">
      <c r="B28" s="135">
        <v>10</v>
      </c>
      <c r="C28" s="130" t="s">
        <v>32</v>
      </c>
      <c r="D28" s="19" t="e">
        <f>VLOOKUP($B28,#REF!,3,0)</f>
        <v>#REF!</v>
      </c>
      <c r="E28" s="19" t="e">
        <f>VLOOKUP($B28,#REF!,4,0)</f>
        <v>#REF!</v>
      </c>
      <c r="F28" s="19" t="e">
        <f>VLOOKUP($B28,#REF!,5,0)</f>
        <v>#REF!</v>
      </c>
      <c r="G28" s="19" t="e">
        <f>VLOOKUP($B28,#REF!,6,0)</f>
        <v>#REF!</v>
      </c>
      <c r="H28" s="19" t="e">
        <f>VLOOKUP($B28,#REF!,7,0)</f>
        <v>#REF!</v>
      </c>
      <c r="I28" s="19" t="e">
        <f>VLOOKUP($B28,#REF!,8,0)</f>
        <v>#REF!</v>
      </c>
      <c r="J28" s="132"/>
      <c r="K28" s="53" t="s">
        <v>12</v>
      </c>
      <c r="L28" s="54" t="s">
        <v>58</v>
      </c>
      <c r="M28" s="54" t="s">
        <v>58</v>
      </c>
      <c r="N28" s="54" t="s">
        <v>58</v>
      </c>
      <c r="O28" s="133"/>
      <c r="P28" s="13"/>
      <c r="Q28" s="13"/>
      <c r="R28" s="13"/>
      <c r="S28" s="13"/>
      <c r="T28" s="13"/>
    </row>
    <row r="29" spans="2:73" ht="24" customHeight="1" thickBot="1" x14ac:dyDescent="0.25">
      <c r="B29" s="125"/>
      <c r="C29" s="131"/>
      <c r="D29" s="20" t="e">
        <f>VLOOKUP($B29,#REF!,3,0)</f>
        <v>#REF!</v>
      </c>
      <c r="E29" s="20" t="e">
        <f>VLOOKUP($B29,#REF!,4,0)</f>
        <v>#REF!</v>
      </c>
      <c r="F29" s="20" t="e">
        <f>VLOOKUP($B29,#REF!,5,0)</f>
        <v>#REF!</v>
      </c>
      <c r="G29" s="20" t="e">
        <f>VLOOKUP($B29,#REF!,6,0)</f>
        <v>#REF!</v>
      </c>
      <c r="H29" s="20" t="e">
        <f>VLOOKUP($B29,#REF!,7,0)</f>
        <v>#REF!</v>
      </c>
      <c r="I29" s="20" t="e">
        <f>VLOOKUP($B29,#REF!,8,0)</f>
        <v>#REF!</v>
      </c>
      <c r="J29" s="129"/>
      <c r="K29" s="34" t="s">
        <v>13</v>
      </c>
      <c r="L29" s="36">
        <v>146</v>
      </c>
      <c r="M29" s="36">
        <v>142</v>
      </c>
      <c r="N29" s="36">
        <v>145</v>
      </c>
      <c r="O29" s="134"/>
      <c r="P29" s="13"/>
      <c r="Q29" s="13"/>
      <c r="R29" s="13"/>
      <c r="S29" s="13"/>
      <c r="T29" s="13"/>
      <c r="AF29" s="12"/>
      <c r="AG29" s="12"/>
      <c r="AH29" s="14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</row>
    <row r="30" spans="2:73" ht="24" customHeight="1" x14ac:dyDescent="0.2">
      <c r="B30" s="135">
        <v>11</v>
      </c>
      <c r="C30" s="130" t="s">
        <v>33</v>
      </c>
      <c r="D30" s="19" t="e">
        <f>VLOOKUP($B30,#REF!,3,0)</f>
        <v>#REF!</v>
      </c>
      <c r="E30" s="19" t="e">
        <f>VLOOKUP($B30,#REF!,4,0)</f>
        <v>#REF!</v>
      </c>
      <c r="F30" s="19" t="e">
        <f>VLOOKUP($B30,#REF!,5,0)</f>
        <v>#REF!</v>
      </c>
      <c r="G30" s="19" t="e">
        <f>VLOOKUP($B30,#REF!,6,0)</f>
        <v>#REF!</v>
      </c>
      <c r="H30" s="19" t="e">
        <f>VLOOKUP($B30,#REF!,7,0)</f>
        <v>#REF!</v>
      </c>
      <c r="I30" s="19" t="e">
        <f>VLOOKUP($B30,#REF!,8,0)</f>
        <v>#REF!</v>
      </c>
      <c r="J30" s="132"/>
      <c r="K30" s="53" t="s">
        <v>12</v>
      </c>
      <c r="L30" s="54" t="s">
        <v>58</v>
      </c>
      <c r="M30" s="54" t="s">
        <v>58</v>
      </c>
      <c r="N30" s="54" t="s">
        <v>58</v>
      </c>
      <c r="O30" s="133"/>
      <c r="P30" s="13"/>
      <c r="Q30" s="13"/>
      <c r="R30" s="13"/>
      <c r="S30" s="13"/>
      <c r="T30" s="13"/>
    </row>
    <row r="31" spans="2:73" ht="24" customHeight="1" thickBot="1" x14ac:dyDescent="0.25">
      <c r="B31" s="125"/>
      <c r="C31" s="131"/>
      <c r="D31" s="20" t="e">
        <f>VLOOKUP($B31,#REF!,3,0)</f>
        <v>#REF!</v>
      </c>
      <c r="E31" s="20" t="e">
        <f>VLOOKUP($B31,#REF!,4,0)</f>
        <v>#REF!</v>
      </c>
      <c r="F31" s="20" t="e">
        <f>VLOOKUP($B31,#REF!,5,0)</f>
        <v>#REF!</v>
      </c>
      <c r="G31" s="20" t="e">
        <f>VLOOKUP($B31,#REF!,6,0)</f>
        <v>#REF!</v>
      </c>
      <c r="H31" s="20" t="e">
        <f>VLOOKUP($B31,#REF!,7,0)</f>
        <v>#REF!</v>
      </c>
      <c r="I31" s="20" t="e">
        <f>VLOOKUP($B31,#REF!,8,0)</f>
        <v>#REF!</v>
      </c>
      <c r="J31" s="129"/>
      <c r="K31" s="34" t="s">
        <v>13</v>
      </c>
      <c r="L31" s="36">
        <v>151</v>
      </c>
      <c r="M31" s="36">
        <v>154</v>
      </c>
      <c r="N31" s="36">
        <v>153</v>
      </c>
      <c r="O31" s="134"/>
      <c r="P31" s="13"/>
      <c r="Q31" s="13"/>
      <c r="R31" s="13"/>
      <c r="S31" s="13"/>
      <c r="T31" s="13"/>
      <c r="AF31" s="12"/>
      <c r="AG31" s="12"/>
      <c r="AH31" s="14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</row>
    <row r="32" spans="2:73" ht="24" customHeight="1" x14ac:dyDescent="0.2">
      <c r="B32" s="135">
        <v>12</v>
      </c>
      <c r="C32" s="130" t="s">
        <v>32</v>
      </c>
      <c r="D32" s="19" t="e">
        <f>VLOOKUP($B32,#REF!,3,0)</f>
        <v>#REF!</v>
      </c>
      <c r="E32" s="19" t="e">
        <f>VLOOKUP($B32,#REF!,4,0)</f>
        <v>#REF!</v>
      </c>
      <c r="F32" s="19" t="e">
        <f>VLOOKUP($B32,#REF!,5,0)</f>
        <v>#REF!</v>
      </c>
      <c r="G32" s="19" t="e">
        <f>VLOOKUP($B32,#REF!,6,0)</f>
        <v>#REF!</v>
      </c>
      <c r="H32" s="19" t="e">
        <f>VLOOKUP($B32,#REF!,7,0)</f>
        <v>#REF!</v>
      </c>
      <c r="I32" s="19" t="e">
        <f>VLOOKUP($B32,#REF!,8,0)</f>
        <v>#REF!</v>
      </c>
      <c r="J32" s="132">
        <v>1114</v>
      </c>
      <c r="K32" s="53" t="s">
        <v>12</v>
      </c>
      <c r="L32" s="54" t="s">
        <v>58</v>
      </c>
      <c r="M32" s="54" t="s">
        <v>58</v>
      </c>
      <c r="N32" s="54" t="s">
        <v>58</v>
      </c>
      <c r="O32" s="133"/>
      <c r="P32" s="13"/>
      <c r="Q32" s="13"/>
      <c r="R32" s="13"/>
      <c r="S32" s="13"/>
      <c r="T32" s="13"/>
    </row>
    <row r="33" spans="2:73" ht="24" customHeight="1" thickBot="1" x14ac:dyDescent="0.25">
      <c r="B33" s="125"/>
      <c r="C33" s="131"/>
      <c r="D33" s="20" t="e">
        <f>VLOOKUP($B33,#REF!,3,0)</f>
        <v>#REF!</v>
      </c>
      <c r="E33" s="20" t="e">
        <f>VLOOKUP($B33,#REF!,4,0)</f>
        <v>#REF!</v>
      </c>
      <c r="F33" s="20" t="e">
        <f>VLOOKUP($B33,#REF!,5,0)</f>
        <v>#REF!</v>
      </c>
      <c r="G33" s="20" t="e">
        <f>VLOOKUP($B33,#REF!,6,0)</f>
        <v>#REF!</v>
      </c>
      <c r="H33" s="20" t="e">
        <f>VLOOKUP($B33,#REF!,7,0)</f>
        <v>#REF!</v>
      </c>
      <c r="I33" s="20" t="e">
        <f>VLOOKUP($B33,#REF!,8,0)</f>
        <v>#REF!</v>
      </c>
      <c r="J33" s="129"/>
      <c r="K33" s="34" t="s">
        <v>13</v>
      </c>
      <c r="L33" s="36">
        <v>144</v>
      </c>
      <c r="M33" s="36">
        <v>155</v>
      </c>
      <c r="N33" s="36">
        <v>142</v>
      </c>
      <c r="O33" s="134"/>
      <c r="P33" s="13"/>
      <c r="Q33" s="13"/>
      <c r="R33" s="13"/>
      <c r="S33" s="13"/>
      <c r="T33" s="13"/>
      <c r="AF33" s="12"/>
      <c r="AG33" s="12"/>
      <c r="AH33" s="14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</row>
    <row r="34" spans="2:73" ht="24" customHeight="1" x14ac:dyDescent="0.2">
      <c r="B34" s="135">
        <v>13</v>
      </c>
      <c r="C34" s="130" t="s">
        <v>33</v>
      </c>
      <c r="D34" s="19" t="e">
        <f>VLOOKUP($B34,#REF!,3,0)</f>
        <v>#REF!</v>
      </c>
      <c r="E34" s="19" t="e">
        <f>VLOOKUP($B34,#REF!,4,0)</f>
        <v>#REF!</v>
      </c>
      <c r="F34" s="19" t="e">
        <f>VLOOKUP($B34,#REF!,5,0)</f>
        <v>#REF!</v>
      </c>
      <c r="G34" s="19" t="e">
        <f>VLOOKUP($B34,#REF!,6,0)</f>
        <v>#REF!</v>
      </c>
      <c r="H34" s="19" t="e">
        <f>VLOOKUP($B34,#REF!,7,0)</f>
        <v>#REF!</v>
      </c>
      <c r="I34" s="19" t="e">
        <f>VLOOKUP($B34,#REF!,8,0)</f>
        <v>#REF!</v>
      </c>
      <c r="J34" s="132"/>
      <c r="K34" s="53" t="s">
        <v>12</v>
      </c>
      <c r="L34" s="54" t="s">
        <v>58</v>
      </c>
      <c r="M34" s="54" t="s">
        <v>58</v>
      </c>
      <c r="N34" s="54" t="s">
        <v>58</v>
      </c>
      <c r="O34" s="133"/>
      <c r="P34" s="13"/>
      <c r="Q34" s="13"/>
      <c r="R34" s="13"/>
      <c r="S34" s="13"/>
      <c r="T34" s="13"/>
    </row>
    <row r="35" spans="2:73" ht="24" customHeight="1" thickBot="1" x14ac:dyDescent="0.25">
      <c r="B35" s="125"/>
      <c r="C35" s="131"/>
      <c r="D35" s="20" t="e">
        <f>VLOOKUP($B35,#REF!,3,0)</f>
        <v>#REF!</v>
      </c>
      <c r="E35" s="20" t="e">
        <f>VLOOKUP($B35,#REF!,4,0)</f>
        <v>#REF!</v>
      </c>
      <c r="F35" s="20" t="e">
        <f>VLOOKUP($B35,#REF!,5,0)</f>
        <v>#REF!</v>
      </c>
      <c r="G35" s="20" t="e">
        <f>VLOOKUP($B35,#REF!,6,0)</f>
        <v>#REF!</v>
      </c>
      <c r="H35" s="20" t="e">
        <f>VLOOKUP($B35,#REF!,7,0)</f>
        <v>#REF!</v>
      </c>
      <c r="I35" s="20" t="e">
        <f>VLOOKUP($B35,#REF!,8,0)</f>
        <v>#REF!</v>
      </c>
      <c r="J35" s="129"/>
      <c r="K35" s="34" t="s">
        <v>13</v>
      </c>
      <c r="L35" s="36">
        <v>126</v>
      </c>
      <c r="M35" s="36">
        <v>126</v>
      </c>
      <c r="N35" s="36">
        <v>121</v>
      </c>
      <c r="O35" s="134"/>
      <c r="P35" s="13"/>
      <c r="Q35" s="13"/>
      <c r="R35" s="13"/>
      <c r="S35" s="13"/>
      <c r="T35" s="13"/>
      <c r="AF35" s="12"/>
      <c r="AG35" s="12"/>
      <c r="AH35" s="14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</row>
    <row r="36" spans="2:73" ht="24" customHeight="1" x14ac:dyDescent="0.2">
      <c r="B36" s="135">
        <v>14</v>
      </c>
      <c r="C36" s="130" t="s">
        <v>32</v>
      </c>
      <c r="D36" s="19" t="e">
        <f>VLOOKUP($B36,#REF!,3,0)</f>
        <v>#REF!</v>
      </c>
      <c r="E36" s="19" t="e">
        <f>VLOOKUP($B36,#REF!,4,0)</f>
        <v>#REF!</v>
      </c>
      <c r="F36" s="19" t="e">
        <f>VLOOKUP($B36,#REF!,5,0)</f>
        <v>#REF!</v>
      </c>
      <c r="G36" s="19" t="e">
        <f>VLOOKUP($B36,#REF!,6,0)</f>
        <v>#REF!</v>
      </c>
      <c r="H36" s="19" t="e">
        <f>VLOOKUP($B36,#REF!,7,0)</f>
        <v>#REF!</v>
      </c>
      <c r="I36" s="19" t="e">
        <f>VLOOKUP($B36,#REF!,8,0)</f>
        <v>#REF!</v>
      </c>
      <c r="J36" s="132"/>
      <c r="K36" s="53" t="s">
        <v>12</v>
      </c>
      <c r="L36" s="54" t="s">
        <v>58</v>
      </c>
      <c r="M36" s="54" t="s">
        <v>58</v>
      </c>
      <c r="N36" s="54" t="s">
        <v>58</v>
      </c>
      <c r="O36" s="142" t="s">
        <v>63</v>
      </c>
      <c r="P36" s="13"/>
      <c r="Q36" s="13"/>
      <c r="R36" s="13"/>
      <c r="S36" s="13"/>
      <c r="T36" s="13"/>
    </row>
    <row r="37" spans="2:73" ht="24" customHeight="1" thickBot="1" x14ac:dyDescent="0.25">
      <c r="B37" s="125"/>
      <c r="C37" s="131"/>
      <c r="D37" s="20" t="e">
        <f>VLOOKUP($B37,#REF!,3,0)</f>
        <v>#REF!</v>
      </c>
      <c r="E37" s="20" t="e">
        <f>VLOOKUP($B37,#REF!,4,0)</f>
        <v>#REF!</v>
      </c>
      <c r="F37" s="20" t="e">
        <f>VLOOKUP($B37,#REF!,5,0)</f>
        <v>#REF!</v>
      </c>
      <c r="G37" s="20" t="e">
        <f>VLOOKUP($B37,#REF!,6,0)</f>
        <v>#REF!</v>
      </c>
      <c r="H37" s="20" t="e">
        <f>VLOOKUP($B37,#REF!,7,0)</f>
        <v>#REF!</v>
      </c>
      <c r="I37" s="20" t="e">
        <f>VLOOKUP($B37,#REF!,8,0)</f>
        <v>#REF!</v>
      </c>
      <c r="J37" s="129"/>
      <c r="K37" s="34" t="s">
        <v>13</v>
      </c>
      <c r="L37" s="36">
        <v>146</v>
      </c>
      <c r="M37" s="36">
        <v>143</v>
      </c>
      <c r="N37" s="36">
        <v>135</v>
      </c>
      <c r="O37" s="144"/>
      <c r="P37" s="13"/>
      <c r="Q37" s="13"/>
      <c r="R37" s="13"/>
      <c r="S37" s="13"/>
      <c r="T37" s="13"/>
      <c r="AF37" s="12"/>
      <c r="AG37" s="12"/>
      <c r="AH37" s="14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</row>
    <row r="38" spans="2:73" ht="24" customHeight="1" x14ac:dyDescent="0.2">
      <c r="B38" s="135">
        <v>15</v>
      </c>
      <c r="C38" s="130" t="s">
        <v>33</v>
      </c>
      <c r="D38" s="19" t="e">
        <f>VLOOKUP($B38,#REF!,3,0)</f>
        <v>#REF!</v>
      </c>
      <c r="E38" s="19" t="e">
        <f>VLOOKUP($B38,#REF!,4,0)</f>
        <v>#REF!</v>
      </c>
      <c r="F38" s="19" t="e">
        <f>VLOOKUP($B38,#REF!,5,0)</f>
        <v>#REF!</v>
      </c>
      <c r="G38" s="19" t="e">
        <f>VLOOKUP($B38,#REF!,6,0)</f>
        <v>#REF!</v>
      </c>
      <c r="H38" s="19" t="e">
        <f>VLOOKUP($B38,#REF!,7,0)</f>
        <v>#REF!</v>
      </c>
      <c r="I38" s="19" t="e">
        <f>VLOOKUP($B38,#REF!,8,0)</f>
        <v>#REF!</v>
      </c>
      <c r="J38" s="132"/>
      <c r="K38" s="53" t="s">
        <v>12</v>
      </c>
      <c r="L38" s="54" t="s">
        <v>58</v>
      </c>
      <c r="M38" s="54" t="s">
        <v>58</v>
      </c>
      <c r="N38" s="54" t="s">
        <v>58</v>
      </c>
      <c r="O38" s="133"/>
      <c r="P38" s="13"/>
      <c r="Q38" s="13"/>
      <c r="R38" s="13"/>
      <c r="S38" s="13"/>
      <c r="T38" s="13"/>
    </row>
    <row r="39" spans="2:73" ht="24" customHeight="1" thickBot="1" x14ac:dyDescent="0.25">
      <c r="B39" s="125"/>
      <c r="C39" s="131"/>
      <c r="D39" s="20" t="e">
        <f>VLOOKUP($B39,#REF!,3,0)</f>
        <v>#REF!</v>
      </c>
      <c r="E39" s="20" t="e">
        <f>VLOOKUP($B39,#REF!,4,0)</f>
        <v>#REF!</v>
      </c>
      <c r="F39" s="20" t="e">
        <f>VLOOKUP($B39,#REF!,5,0)</f>
        <v>#REF!</v>
      </c>
      <c r="G39" s="20" t="e">
        <f>VLOOKUP($B39,#REF!,6,0)</f>
        <v>#REF!</v>
      </c>
      <c r="H39" s="20" t="e">
        <f>VLOOKUP($B39,#REF!,7,0)</f>
        <v>#REF!</v>
      </c>
      <c r="I39" s="20" t="e">
        <f>VLOOKUP($B39,#REF!,8,0)</f>
        <v>#REF!</v>
      </c>
      <c r="J39" s="129"/>
      <c r="K39" s="34" t="s">
        <v>13</v>
      </c>
      <c r="L39" s="36">
        <v>126</v>
      </c>
      <c r="M39" s="36">
        <v>131</v>
      </c>
      <c r="N39" s="36">
        <v>146</v>
      </c>
      <c r="O39" s="134"/>
      <c r="P39" s="13"/>
      <c r="Q39" s="13"/>
      <c r="R39" s="13"/>
      <c r="S39" s="13"/>
      <c r="T39" s="13"/>
      <c r="AF39" s="12"/>
      <c r="AG39" s="12"/>
      <c r="AH39" s="14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</row>
    <row r="40" spans="2:73" ht="24" customHeight="1" x14ac:dyDescent="0.2">
      <c r="B40" s="135">
        <v>16</v>
      </c>
      <c r="C40" s="126" t="s">
        <v>34</v>
      </c>
      <c r="D40" s="19" t="e">
        <f>VLOOKUP($B40,#REF!,3,0)</f>
        <v>#REF!</v>
      </c>
      <c r="E40" s="19" t="e">
        <f>VLOOKUP($B40,#REF!,4,0)</f>
        <v>#REF!</v>
      </c>
      <c r="F40" s="19" t="e">
        <f>VLOOKUP($B40,#REF!,5,0)</f>
        <v>#REF!</v>
      </c>
      <c r="G40" s="19" t="e">
        <f>VLOOKUP($B40,#REF!,6,0)</f>
        <v>#REF!</v>
      </c>
      <c r="H40" s="19" t="e">
        <f>VLOOKUP($B40,#REF!,7,0)</f>
        <v>#REF!</v>
      </c>
      <c r="I40" s="19" t="e">
        <f>VLOOKUP($B40,#REF!,8,0)</f>
        <v>#REF!</v>
      </c>
      <c r="J40" s="132">
        <v>1205</v>
      </c>
      <c r="K40" s="53" t="s">
        <v>12</v>
      </c>
      <c r="L40" s="54" t="s">
        <v>58</v>
      </c>
      <c r="M40" s="54" t="s">
        <v>58</v>
      </c>
      <c r="N40" s="54" t="s">
        <v>58</v>
      </c>
      <c r="O40" s="133"/>
      <c r="P40" s="13"/>
      <c r="Q40" s="13"/>
      <c r="R40" s="13"/>
      <c r="S40" s="13"/>
      <c r="T40" s="13"/>
    </row>
    <row r="41" spans="2:73" ht="24" customHeight="1" thickBot="1" x14ac:dyDescent="0.25">
      <c r="B41" s="125"/>
      <c r="C41" s="127"/>
      <c r="D41" s="20" t="e">
        <f>VLOOKUP($B41,#REF!,3,0)</f>
        <v>#REF!</v>
      </c>
      <c r="E41" s="20" t="e">
        <f>VLOOKUP($B41,#REF!,4,0)</f>
        <v>#REF!</v>
      </c>
      <c r="F41" s="20" t="e">
        <f>VLOOKUP($B41,#REF!,5,0)</f>
        <v>#REF!</v>
      </c>
      <c r="G41" s="20" t="e">
        <f>VLOOKUP($B41,#REF!,6,0)</f>
        <v>#REF!</v>
      </c>
      <c r="H41" s="20" t="e">
        <f>VLOOKUP($B41,#REF!,7,0)</f>
        <v>#REF!</v>
      </c>
      <c r="I41" s="20" t="e">
        <f>VLOOKUP($B41,#REF!,8,0)</f>
        <v>#REF!</v>
      </c>
      <c r="J41" s="129"/>
      <c r="K41" s="34" t="s">
        <v>13</v>
      </c>
      <c r="L41" s="36">
        <v>129</v>
      </c>
      <c r="M41" s="36">
        <v>124</v>
      </c>
      <c r="N41" s="36">
        <v>127</v>
      </c>
      <c r="O41" s="134"/>
      <c r="P41" s="13"/>
      <c r="Q41" s="13"/>
      <c r="R41" s="13"/>
      <c r="S41" s="13"/>
      <c r="T41" s="13"/>
      <c r="AF41" s="12"/>
      <c r="AG41" s="12"/>
      <c r="AH41" s="14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</row>
  </sheetData>
  <mergeCells count="67">
    <mergeCell ref="AF5:AH5"/>
    <mergeCell ref="L6:N6"/>
    <mergeCell ref="O7:O8"/>
    <mergeCell ref="B8:K8"/>
    <mergeCell ref="B10:B11"/>
    <mergeCell ref="C10:C11"/>
    <mergeCell ref="J10:J11"/>
    <mergeCell ref="B18:B19"/>
    <mergeCell ref="C18:C19"/>
    <mergeCell ref="J18:J19"/>
    <mergeCell ref="O18:O19"/>
    <mergeCell ref="B12:B13"/>
    <mergeCell ref="C12:C13"/>
    <mergeCell ref="J12:J13"/>
    <mergeCell ref="B14:B15"/>
    <mergeCell ref="C14:C15"/>
    <mergeCell ref="J14:J15"/>
    <mergeCell ref="O14:O15"/>
    <mergeCell ref="B16:B17"/>
    <mergeCell ref="C16:C17"/>
    <mergeCell ref="J16:J17"/>
    <mergeCell ref="O16:O17"/>
    <mergeCell ref="B20:B21"/>
    <mergeCell ref="C20:C21"/>
    <mergeCell ref="J20:J21"/>
    <mergeCell ref="O20:O21"/>
    <mergeCell ref="B22:B23"/>
    <mergeCell ref="C22:C23"/>
    <mergeCell ref="J22:J23"/>
    <mergeCell ref="O22:O23"/>
    <mergeCell ref="B24:B25"/>
    <mergeCell ref="C24:C25"/>
    <mergeCell ref="J24:J25"/>
    <mergeCell ref="O24:O25"/>
    <mergeCell ref="B26:B27"/>
    <mergeCell ref="C26:C27"/>
    <mergeCell ref="J26:J27"/>
    <mergeCell ref="O26:O27"/>
    <mergeCell ref="B28:B29"/>
    <mergeCell ref="C28:C29"/>
    <mergeCell ref="J28:J29"/>
    <mergeCell ref="O28:O29"/>
    <mergeCell ref="B30:B31"/>
    <mergeCell ref="C30:C31"/>
    <mergeCell ref="J30:J31"/>
    <mergeCell ref="O30:O31"/>
    <mergeCell ref="O32:O33"/>
    <mergeCell ref="B34:B35"/>
    <mergeCell ref="C34:C35"/>
    <mergeCell ref="J34:J35"/>
    <mergeCell ref="O34:O35"/>
    <mergeCell ref="B40:B41"/>
    <mergeCell ref="C40:C41"/>
    <mergeCell ref="J40:J41"/>
    <mergeCell ref="O40:O41"/>
    <mergeCell ref="O10:O11"/>
    <mergeCell ref="B36:B37"/>
    <mergeCell ref="C36:C37"/>
    <mergeCell ref="J36:J37"/>
    <mergeCell ref="O36:O37"/>
    <mergeCell ref="B38:B39"/>
    <mergeCell ref="C38:C39"/>
    <mergeCell ref="J38:J39"/>
    <mergeCell ref="O38:O39"/>
    <mergeCell ref="B32:B33"/>
    <mergeCell ref="C32:C33"/>
    <mergeCell ref="J32:J33"/>
  </mergeCells>
  <pageMargins left="0.45" right="0" top="0.49" bottom="0" header="0.64" footer="0"/>
  <pageSetup paperSize="512" scale="74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245C-A74D-44FC-A009-2E53D080AB67}">
  <sheetPr>
    <pageSetUpPr fitToPage="1"/>
  </sheetPr>
  <dimension ref="A1:BU41"/>
  <sheetViews>
    <sheetView zoomScaleNormal="100" workbookViewId="0">
      <selection activeCell="A2" sqref="A2"/>
    </sheetView>
  </sheetViews>
  <sheetFormatPr defaultRowHeight="12.75" x14ac:dyDescent="0.2"/>
  <cols>
    <col min="1" max="1" width="5.42578125" customWidth="1"/>
    <col min="2" max="2" width="6.28515625" customWidth="1"/>
    <col min="3" max="3" width="12.7109375" customWidth="1"/>
    <col min="4" max="8" width="5.28515625" hidden="1" customWidth="1"/>
    <col min="9" max="9" width="7" hidden="1" customWidth="1"/>
    <col min="10" max="10" width="8.42578125" customWidth="1"/>
    <col min="11" max="14" width="12.7109375" customWidth="1"/>
    <col min="15" max="15" width="48.7109375" customWidth="1"/>
    <col min="22" max="22" width="7.5703125" customWidth="1"/>
    <col min="23" max="32" width="7.7109375" customWidth="1"/>
  </cols>
  <sheetData>
    <row r="1" spans="1:73" ht="15" customHeight="1" x14ac:dyDescent="0.25">
      <c r="A1" s="1" t="s">
        <v>40</v>
      </c>
    </row>
    <row r="2" spans="1:73" ht="20.25" customHeight="1" thickBot="1" x14ac:dyDescent="0.3">
      <c r="A2" s="1"/>
      <c r="M2" s="15" t="s">
        <v>0</v>
      </c>
      <c r="N2" s="23"/>
      <c r="O2" s="29"/>
    </row>
    <row r="3" spans="1:73" ht="20.25" customHeight="1" thickBot="1" x14ac:dyDescent="0.25">
      <c r="A3" t="s">
        <v>1</v>
      </c>
      <c r="C3" s="38"/>
      <c r="D3" s="3"/>
      <c r="E3" s="3"/>
      <c r="F3" s="3"/>
      <c r="G3" s="3"/>
      <c r="H3" s="3"/>
      <c r="I3" s="3"/>
      <c r="J3" s="3"/>
      <c r="K3" s="3"/>
      <c r="L3" s="3"/>
      <c r="M3" s="15" t="s">
        <v>23</v>
      </c>
      <c r="N3" s="2"/>
      <c r="O3" s="30"/>
    </row>
    <row r="4" spans="1:73" ht="20.25" customHeight="1" thickBot="1" x14ac:dyDescent="0.25">
      <c r="B4" s="3"/>
      <c r="C4" s="38"/>
      <c r="D4" s="4"/>
      <c r="E4" s="4"/>
      <c r="F4" s="4"/>
      <c r="G4" s="4"/>
      <c r="H4" s="4"/>
      <c r="I4" s="4"/>
      <c r="J4" s="4"/>
      <c r="K4" s="4"/>
      <c r="L4" s="4"/>
      <c r="M4" s="15" t="s">
        <v>2</v>
      </c>
      <c r="N4" s="2" t="s">
        <v>26</v>
      </c>
      <c r="O4" s="30"/>
    </row>
    <row r="5" spans="1:73" ht="18" x14ac:dyDescent="0.2">
      <c r="AE5" s="5"/>
      <c r="AF5" s="115"/>
      <c r="AG5" s="115"/>
      <c r="AH5" s="115"/>
    </row>
    <row r="6" spans="1:73" ht="18" x14ac:dyDescent="0.25">
      <c r="L6" s="116"/>
      <c r="M6" s="117"/>
      <c r="N6" s="118"/>
      <c r="O6" s="31"/>
      <c r="AE6" s="5"/>
      <c r="AF6" s="24"/>
      <c r="AG6" s="24"/>
      <c r="AH6" s="24"/>
    </row>
    <row r="7" spans="1:73" ht="25.5" customHeight="1" x14ac:dyDescent="0.2">
      <c r="B7" s="6" t="s">
        <v>27</v>
      </c>
      <c r="C7" s="7"/>
      <c r="D7" s="7" t="s">
        <v>4</v>
      </c>
      <c r="E7" s="6" t="s">
        <v>5</v>
      </c>
      <c r="F7" s="7" t="s">
        <v>6</v>
      </c>
      <c r="G7" s="6" t="s">
        <v>7</v>
      </c>
      <c r="H7" s="6" t="s">
        <v>8</v>
      </c>
      <c r="I7" s="6" t="s">
        <v>9</v>
      </c>
      <c r="J7" s="6" t="s">
        <v>11</v>
      </c>
      <c r="K7" s="8" t="s">
        <v>24</v>
      </c>
      <c r="L7" s="22" t="s">
        <v>37</v>
      </c>
      <c r="M7" s="22" t="s">
        <v>38</v>
      </c>
      <c r="N7" s="22" t="s">
        <v>39</v>
      </c>
      <c r="O7" s="119" t="s">
        <v>25</v>
      </c>
      <c r="AE7" s="10"/>
      <c r="AF7" s="9"/>
      <c r="AG7" s="9"/>
      <c r="AH7" s="11"/>
    </row>
    <row r="8" spans="1:73" ht="15.95" customHeight="1" thickBot="1" x14ac:dyDescent="0.25">
      <c r="B8" s="121"/>
      <c r="C8" s="122"/>
      <c r="D8" s="122"/>
      <c r="E8" s="122"/>
      <c r="F8" s="122"/>
      <c r="G8" s="122"/>
      <c r="H8" s="122"/>
      <c r="I8" s="122"/>
      <c r="J8" s="122"/>
      <c r="K8" s="123"/>
      <c r="L8" s="39" t="s">
        <v>29</v>
      </c>
      <c r="M8" s="39"/>
      <c r="N8" s="39"/>
      <c r="O8" s="120"/>
      <c r="AF8" s="12"/>
      <c r="AG8" s="12"/>
      <c r="AH8" s="12"/>
    </row>
    <row r="9" spans="1:73" ht="15.95" hidden="1" customHeight="1" x14ac:dyDescent="0.2">
      <c r="B9" s="25" t="s">
        <v>3</v>
      </c>
      <c r="C9" s="26" t="s">
        <v>10</v>
      </c>
      <c r="D9" s="26" t="s">
        <v>14</v>
      </c>
      <c r="E9" s="25" t="s">
        <v>15</v>
      </c>
      <c r="F9" s="26" t="s">
        <v>16</v>
      </c>
      <c r="G9" s="25" t="s">
        <v>17</v>
      </c>
      <c r="H9" s="25" t="s">
        <v>8</v>
      </c>
      <c r="I9" s="25" t="s">
        <v>18</v>
      </c>
      <c r="J9" s="27" t="s">
        <v>11</v>
      </c>
      <c r="K9" s="27" t="s">
        <v>19</v>
      </c>
      <c r="L9" s="28" t="s">
        <v>20</v>
      </c>
      <c r="M9" s="28" t="s">
        <v>21</v>
      </c>
      <c r="N9" s="28" t="s">
        <v>22</v>
      </c>
      <c r="O9" s="32"/>
      <c r="AF9" s="12"/>
      <c r="AG9" s="12"/>
      <c r="AH9" s="12"/>
    </row>
    <row r="10" spans="1:73" ht="24" customHeight="1" x14ac:dyDescent="0.2">
      <c r="B10" s="124">
        <v>1</v>
      </c>
      <c r="C10" s="126" t="s">
        <v>31</v>
      </c>
      <c r="D10" s="19" t="e">
        <f>VLOOKUP($B10,#REF!,3,0)</f>
        <v>#REF!</v>
      </c>
      <c r="E10" s="19" t="e">
        <f>VLOOKUP($B10,#REF!,4,0)</f>
        <v>#REF!</v>
      </c>
      <c r="F10" s="19" t="e">
        <f>VLOOKUP($B10,#REF!,5,0)</f>
        <v>#REF!</v>
      </c>
      <c r="G10" s="19" t="e">
        <f>VLOOKUP($B10,#REF!,6,0)</f>
        <v>#REF!</v>
      </c>
      <c r="H10" s="19" t="e">
        <f>VLOOKUP($B10,#REF!,7,0)</f>
        <v>#REF!</v>
      </c>
      <c r="I10" s="19" t="e">
        <f>VLOOKUP($B10,#REF!,8,0)</f>
        <v>#REF!</v>
      </c>
      <c r="J10" s="128"/>
      <c r="K10" s="22" t="s">
        <v>12</v>
      </c>
      <c r="L10" s="35"/>
      <c r="M10" s="35"/>
      <c r="N10" s="44"/>
      <c r="O10" s="40"/>
      <c r="P10" s="13"/>
      <c r="Q10" s="13"/>
      <c r="R10" s="13"/>
      <c r="S10" s="13"/>
      <c r="T10" s="13"/>
      <c r="AF10" s="12"/>
      <c r="AG10" s="12"/>
      <c r="AH10" s="14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</row>
    <row r="11" spans="1:73" ht="24" customHeight="1" thickBot="1" x14ac:dyDescent="0.25">
      <c r="B11" s="125"/>
      <c r="C11" s="127"/>
      <c r="D11" s="20" t="e">
        <f>VLOOKUP($B11,#REF!,3,0)</f>
        <v>#REF!</v>
      </c>
      <c r="E11" s="20" t="e">
        <f>VLOOKUP($B11,#REF!,4,0)</f>
        <v>#REF!</v>
      </c>
      <c r="F11" s="20" t="e">
        <f>VLOOKUP($B11,#REF!,5,0)</f>
        <v>#REF!</v>
      </c>
      <c r="G11" s="20" t="e">
        <f>VLOOKUP($B11,#REF!,6,0)</f>
        <v>#REF!</v>
      </c>
      <c r="H11" s="20" t="e">
        <f>VLOOKUP($B11,#REF!,7,0)</f>
        <v>#REF!</v>
      </c>
      <c r="I11" s="20" t="e">
        <f>VLOOKUP($B11,#REF!,8,0)</f>
        <v>#REF!</v>
      </c>
      <c r="J11" s="129"/>
      <c r="K11" s="34" t="s">
        <v>13</v>
      </c>
      <c r="L11" s="36"/>
      <c r="M11" s="36"/>
      <c r="N11" s="36"/>
      <c r="O11" s="41"/>
      <c r="P11" s="13"/>
      <c r="Q11" s="13"/>
      <c r="R11" s="13"/>
      <c r="S11" s="13"/>
      <c r="T11" s="13"/>
      <c r="AF11" s="12"/>
      <c r="AG11" s="12"/>
      <c r="AH11" s="14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</row>
    <row r="12" spans="1:73" ht="24" customHeight="1" x14ac:dyDescent="0.2">
      <c r="B12" s="124">
        <v>2</v>
      </c>
      <c r="C12" s="130" t="s">
        <v>32</v>
      </c>
      <c r="D12" s="21" t="e">
        <f>VLOOKUP($B12,#REF!,3,0)</f>
        <v>#REF!</v>
      </c>
      <c r="E12" s="21" t="e">
        <f>VLOOKUP($B12,#REF!,4,0)</f>
        <v>#REF!</v>
      </c>
      <c r="F12" s="21" t="e">
        <f>VLOOKUP($B12,#REF!,5,0)</f>
        <v>#REF!</v>
      </c>
      <c r="G12" s="21" t="e">
        <f>VLOOKUP($B12,#REF!,6,0)</f>
        <v>#REF!</v>
      </c>
      <c r="H12" s="21" t="e">
        <f>VLOOKUP($B12,#REF!,7,0)</f>
        <v>#REF!</v>
      </c>
      <c r="I12" s="21" t="e">
        <f>VLOOKUP($B12,#REF!,8,0)</f>
        <v>#REF!</v>
      </c>
      <c r="J12" s="132"/>
      <c r="K12" s="33" t="s">
        <v>12</v>
      </c>
      <c r="L12" s="35"/>
      <c r="M12" s="35"/>
      <c r="N12" s="35"/>
      <c r="O12" s="42"/>
      <c r="P12" s="13"/>
      <c r="Q12" s="16"/>
      <c r="R12" s="13"/>
      <c r="S12" s="17"/>
      <c r="T12" s="13"/>
      <c r="AF12" s="12"/>
      <c r="AG12" s="12"/>
      <c r="AH12" s="12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</row>
    <row r="13" spans="1:73" ht="24" customHeight="1" thickBot="1" x14ac:dyDescent="0.25">
      <c r="B13" s="125"/>
      <c r="C13" s="131"/>
      <c r="D13" s="20" t="e">
        <f>VLOOKUP($B13,#REF!,3,0)</f>
        <v>#REF!</v>
      </c>
      <c r="E13" s="20" t="e">
        <f>VLOOKUP($B13,#REF!,4,0)</f>
        <v>#REF!</v>
      </c>
      <c r="F13" s="20" t="e">
        <f>VLOOKUP($B13,#REF!,5,0)</f>
        <v>#REF!</v>
      </c>
      <c r="G13" s="20" t="e">
        <f>VLOOKUP($B13,#REF!,6,0)</f>
        <v>#REF!</v>
      </c>
      <c r="H13" s="20" t="e">
        <f>VLOOKUP($B13,#REF!,7,0)</f>
        <v>#REF!</v>
      </c>
      <c r="I13" s="20" t="e">
        <f>VLOOKUP($B13,#REF!,8,0)</f>
        <v>#REF!</v>
      </c>
      <c r="J13" s="129"/>
      <c r="K13" s="34" t="s">
        <v>13</v>
      </c>
      <c r="L13" s="37"/>
      <c r="M13" s="36"/>
      <c r="N13" s="36"/>
      <c r="O13" s="43"/>
      <c r="P13" s="13"/>
      <c r="Q13" s="13"/>
      <c r="R13" s="13"/>
      <c r="S13" s="13"/>
      <c r="T13" s="13"/>
      <c r="AF13" s="12"/>
      <c r="AG13" s="12"/>
      <c r="AH13" s="14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</row>
    <row r="14" spans="1:73" ht="24" customHeight="1" x14ac:dyDescent="0.2">
      <c r="B14" s="124">
        <v>3</v>
      </c>
      <c r="C14" s="130" t="s">
        <v>33</v>
      </c>
      <c r="D14" s="19" t="e">
        <f>VLOOKUP($B14,#REF!,3,0)</f>
        <v>#REF!</v>
      </c>
      <c r="E14" s="19" t="e">
        <f>VLOOKUP($B14,#REF!,4,0)</f>
        <v>#REF!</v>
      </c>
      <c r="F14" s="19" t="e">
        <f>VLOOKUP($B14,#REF!,5,0)</f>
        <v>#REF!</v>
      </c>
      <c r="G14" s="19" t="e">
        <f>VLOOKUP($B14,#REF!,6,0)</f>
        <v>#REF!</v>
      </c>
      <c r="H14" s="19" t="e">
        <f>VLOOKUP($B14,#REF!,7,0)</f>
        <v>#REF!</v>
      </c>
      <c r="I14" s="19" t="e">
        <f>VLOOKUP($B14,#REF!,8,0)</f>
        <v>#REF!</v>
      </c>
      <c r="J14" s="132"/>
      <c r="K14" s="22" t="s">
        <v>12</v>
      </c>
      <c r="L14" s="35"/>
      <c r="M14" s="35"/>
      <c r="N14" s="35"/>
      <c r="O14" s="133"/>
      <c r="P14" s="13"/>
      <c r="Q14" s="13"/>
      <c r="R14" s="13"/>
      <c r="S14" s="13"/>
      <c r="T14" s="13"/>
      <c r="AF14" s="12"/>
      <c r="AG14" s="12"/>
      <c r="AH14" s="12"/>
    </row>
    <row r="15" spans="1:73" ht="24" customHeight="1" thickBot="1" x14ac:dyDescent="0.25">
      <c r="B15" s="125"/>
      <c r="C15" s="131"/>
      <c r="D15" s="20" t="e">
        <f>VLOOKUP($B15,#REF!,3,0)</f>
        <v>#REF!</v>
      </c>
      <c r="E15" s="20" t="e">
        <f>VLOOKUP($B15,#REF!,4,0)</f>
        <v>#REF!</v>
      </c>
      <c r="F15" s="20" t="e">
        <f>VLOOKUP($B15,#REF!,5,0)</f>
        <v>#REF!</v>
      </c>
      <c r="G15" s="20" t="e">
        <f>VLOOKUP($B15,#REF!,6,0)</f>
        <v>#REF!</v>
      </c>
      <c r="H15" s="20" t="e">
        <f>VLOOKUP($B15,#REF!,7,0)</f>
        <v>#REF!</v>
      </c>
      <c r="I15" s="20" t="e">
        <f>VLOOKUP($B15,#REF!,8,0)</f>
        <v>#REF!</v>
      </c>
      <c r="J15" s="129"/>
      <c r="K15" s="34" t="s">
        <v>13</v>
      </c>
      <c r="L15" s="36"/>
      <c r="M15" s="36"/>
      <c r="N15" s="36"/>
      <c r="O15" s="134"/>
      <c r="P15" s="13"/>
      <c r="Q15" s="13"/>
      <c r="R15" s="13"/>
      <c r="S15" s="13"/>
      <c r="T15" s="13"/>
      <c r="AF15" s="12"/>
      <c r="AG15" s="12"/>
      <c r="AH15" s="14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</row>
    <row r="16" spans="1:73" ht="24" customHeight="1" x14ac:dyDescent="0.2">
      <c r="B16" s="124">
        <v>4</v>
      </c>
      <c r="C16" s="130" t="s">
        <v>32</v>
      </c>
      <c r="D16" s="19" t="e">
        <f>VLOOKUP($B16,#REF!,3,0)</f>
        <v>#REF!</v>
      </c>
      <c r="E16" s="19" t="e">
        <f>VLOOKUP($B16,#REF!,4,0)</f>
        <v>#REF!</v>
      </c>
      <c r="F16" s="19" t="e">
        <f>VLOOKUP($B16,#REF!,5,0)</f>
        <v>#REF!</v>
      </c>
      <c r="G16" s="19" t="e">
        <f>VLOOKUP($B16,#REF!,6,0)</f>
        <v>#REF!</v>
      </c>
      <c r="H16" s="19" t="e">
        <f>VLOOKUP($B16,#REF!,7,0)</f>
        <v>#REF!</v>
      </c>
      <c r="I16" s="19" t="e">
        <f>VLOOKUP($B16,#REF!,8,0)</f>
        <v>#REF!</v>
      </c>
      <c r="J16" s="132"/>
      <c r="K16" s="22" t="s">
        <v>12</v>
      </c>
      <c r="L16" s="35"/>
      <c r="M16" s="35"/>
      <c r="N16" s="44"/>
      <c r="O16" s="133"/>
      <c r="P16" s="13"/>
      <c r="Q16" s="13"/>
      <c r="R16" s="13"/>
      <c r="S16" s="13"/>
      <c r="T16" s="13"/>
    </row>
    <row r="17" spans="2:73" ht="24" customHeight="1" thickBot="1" x14ac:dyDescent="0.25">
      <c r="B17" s="125"/>
      <c r="C17" s="131"/>
      <c r="D17" s="20" t="e">
        <f>VLOOKUP($B17,#REF!,3,0)</f>
        <v>#REF!</v>
      </c>
      <c r="E17" s="20" t="e">
        <f>VLOOKUP($B17,#REF!,4,0)</f>
        <v>#REF!</v>
      </c>
      <c r="F17" s="20" t="e">
        <f>VLOOKUP($B17,#REF!,5,0)</f>
        <v>#REF!</v>
      </c>
      <c r="G17" s="20" t="e">
        <f>VLOOKUP($B17,#REF!,6,0)</f>
        <v>#REF!</v>
      </c>
      <c r="H17" s="20" t="e">
        <f>VLOOKUP($B17,#REF!,7,0)</f>
        <v>#REF!</v>
      </c>
      <c r="I17" s="20" t="e">
        <f>VLOOKUP($B17,#REF!,8,0)</f>
        <v>#REF!</v>
      </c>
      <c r="J17" s="129"/>
      <c r="K17" s="34" t="s">
        <v>13</v>
      </c>
      <c r="L17" s="36"/>
      <c r="M17" s="36"/>
      <c r="N17" s="36"/>
      <c r="O17" s="134"/>
      <c r="P17" s="13"/>
      <c r="Q17" s="13"/>
      <c r="R17" s="13"/>
      <c r="S17" s="13"/>
      <c r="T17" s="13"/>
      <c r="AF17" s="12"/>
      <c r="AG17" s="12"/>
      <c r="AH17" s="14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</row>
    <row r="18" spans="2:73" ht="24" customHeight="1" x14ac:dyDescent="0.2">
      <c r="B18" s="124">
        <v>5</v>
      </c>
      <c r="C18" s="130" t="s">
        <v>33</v>
      </c>
      <c r="D18" s="19" t="e">
        <f>VLOOKUP($B18,#REF!,3,0)</f>
        <v>#REF!</v>
      </c>
      <c r="E18" s="19" t="e">
        <f>VLOOKUP($B18,#REF!,4,0)</f>
        <v>#REF!</v>
      </c>
      <c r="F18" s="19" t="e">
        <f>VLOOKUP($B18,#REF!,5,0)</f>
        <v>#REF!</v>
      </c>
      <c r="G18" s="19" t="e">
        <f>VLOOKUP($B18,#REF!,6,0)</f>
        <v>#REF!</v>
      </c>
      <c r="H18" s="19" t="e">
        <f>VLOOKUP($B18,#REF!,7,0)</f>
        <v>#REF!</v>
      </c>
      <c r="I18" s="19" t="e">
        <f>VLOOKUP($B18,#REF!,8,0)</f>
        <v>#REF!</v>
      </c>
      <c r="J18" s="132"/>
      <c r="K18" s="22" t="s">
        <v>12</v>
      </c>
      <c r="L18" s="44"/>
      <c r="M18" s="35"/>
      <c r="N18" s="44"/>
      <c r="O18" s="133"/>
      <c r="P18" s="13"/>
      <c r="Q18" s="13"/>
      <c r="R18" s="13"/>
      <c r="S18" s="13"/>
      <c r="T18" s="13"/>
      <c r="AF18" s="12"/>
      <c r="AG18" s="12"/>
      <c r="AH18" s="12"/>
    </row>
    <row r="19" spans="2:73" ht="24" customHeight="1" thickBot="1" x14ac:dyDescent="0.25">
      <c r="B19" s="125"/>
      <c r="C19" s="131"/>
      <c r="D19" s="20" t="e">
        <f>VLOOKUP($B19,#REF!,3,0)</f>
        <v>#REF!</v>
      </c>
      <c r="E19" s="20" t="e">
        <f>VLOOKUP($B19,#REF!,4,0)</f>
        <v>#REF!</v>
      </c>
      <c r="F19" s="20" t="e">
        <f>VLOOKUP($B19,#REF!,5,0)</f>
        <v>#REF!</v>
      </c>
      <c r="G19" s="20" t="e">
        <f>VLOOKUP($B19,#REF!,6,0)</f>
        <v>#REF!</v>
      </c>
      <c r="H19" s="20" t="e">
        <f>VLOOKUP($B19,#REF!,7,0)</f>
        <v>#REF!</v>
      </c>
      <c r="I19" s="20" t="e">
        <f>VLOOKUP($B19,#REF!,8,0)</f>
        <v>#REF!</v>
      </c>
      <c r="J19" s="129"/>
      <c r="K19" s="34" t="s">
        <v>13</v>
      </c>
      <c r="L19" s="36"/>
      <c r="M19" s="36"/>
      <c r="N19" s="36"/>
      <c r="O19" s="134"/>
      <c r="P19" s="13"/>
      <c r="Q19" s="13"/>
      <c r="R19" s="13"/>
      <c r="S19" s="13"/>
      <c r="T19" s="13"/>
      <c r="AF19" s="12"/>
      <c r="AG19" s="12"/>
      <c r="AH19" s="14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</row>
    <row r="20" spans="2:73" ht="24" customHeight="1" x14ac:dyDescent="0.2">
      <c r="B20" s="124">
        <v>6</v>
      </c>
      <c r="C20" s="130" t="s">
        <v>32</v>
      </c>
      <c r="D20" s="19" t="e">
        <f>VLOOKUP($B20,#REF!,3,0)</f>
        <v>#REF!</v>
      </c>
      <c r="E20" s="19" t="e">
        <f>VLOOKUP($B20,#REF!,4,0)</f>
        <v>#REF!</v>
      </c>
      <c r="F20" s="19" t="e">
        <f>VLOOKUP($B20,#REF!,5,0)</f>
        <v>#REF!</v>
      </c>
      <c r="G20" s="19" t="e">
        <f>VLOOKUP($B20,#REF!,6,0)</f>
        <v>#REF!</v>
      </c>
      <c r="H20" s="19" t="e">
        <f>VLOOKUP($B20,#REF!,7,0)</f>
        <v>#REF!</v>
      </c>
      <c r="I20" s="19" t="e">
        <f>VLOOKUP($B20,#REF!,8,0)</f>
        <v>#REF!</v>
      </c>
      <c r="J20" s="132"/>
      <c r="K20" s="22" t="s">
        <v>12</v>
      </c>
      <c r="L20" s="35"/>
      <c r="M20" s="35"/>
      <c r="N20" s="35"/>
      <c r="O20" s="133"/>
      <c r="P20" s="13"/>
      <c r="Q20" s="13"/>
      <c r="R20" s="13"/>
      <c r="S20" s="13"/>
      <c r="T20" s="13"/>
      <c r="AF20" s="12"/>
      <c r="AG20" s="12"/>
      <c r="AH20" s="12"/>
    </row>
    <row r="21" spans="2:73" ht="24" customHeight="1" thickBot="1" x14ac:dyDescent="0.25">
      <c r="B21" s="125"/>
      <c r="C21" s="131"/>
      <c r="D21" s="20" t="e">
        <f>VLOOKUP($B21,#REF!,3,0)</f>
        <v>#REF!</v>
      </c>
      <c r="E21" s="20" t="e">
        <f>VLOOKUP($B21,#REF!,4,0)</f>
        <v>#REF!</v>
      </c>
      <c r="F21" s="20" t="e">
        <f>VLOOKUP($B21,#REF!,5,0)</f>
        <v>#REF!</v>
      </c>
      <c r="G21" s="20" t="e">
        <f>VLOOKUP($B21,#REF!,6,0)</f>
        <v>#REF!</v>
      </c>
      <c r="H21" s="20" t="e">
        <f>VLOOKUP($B21,#REF!,7,0)</f>
        <v>#REF!</v>
      </c>
      <c r="I21" s="20" t="e">
        <f>VLOOKUP($B21,#REF!,8,0)</f>
        <v>#REF!</v>
      </c>
      <c r="J21" s="129"/>
      <c r="K21" s="34" t="s">
        <v>13</v>
      </c>
      <c r="L21" s="36"/>
      <c r="M21" s="36"/>
      <c r="N21" s="36"/>
      <c r="O21" s="134"/>
      <c r="P21" s="13"/>
      <c r="Q21" s="13"/>
      <c r="R21" s="13"/>
      <c r="S21" s="13"/>
      <c r="T21" s="13"/>
      <c r="AF21" s="12"/>
      <c r="AG21" s="12"/>
      <c r="AH21" s="14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spans="2:73" ht="24" customHeight="1" x14ac:dyDescent="0.2">
      <c r="B22" s="124">
        <v>7</v>
      </c>
      <c r="C22" s="130" t="s">
        <v>33</v>
      </c>
      <c r="D22" s="19" t="e">
        <f>VLOOKUP($B22,#REF!,3,0)</f>
        <v>#REF!</v>
      </c>
      <c r="E22" s="19" t="e">
        <f>VLOOKUP($B22,#REF!,4,0)</f>
        <v>#REF!</v>
      </c>
      <c r="F22" s="19" t="e">
        <f>VLOOKUP($B22,#REF!,5,0)</f>
        <v>#REF!</v>
      </c>
      <c r="G22" s="19" t="e">
        <f>VLOOKUP($B22,#REF!,6,0)</f>
        <v>#REF!</v>
      </c>
      <c r="H22" s="19" t="e">
        <f>VLOOKUP($B22,#REF!,7,0)</f>
        <v>#REF!</v>
      </c>
      <c r="I22" s="19" t="e">
        <f>VLOOKUP($B22,#REF!,8,0)</f>
        <v>#REF!</v>
      </c>
      <c r="J22" s="132"/>
      <c r="K22" s="22" t="s">
        <v>12</v>
      </c>
      <c r="L22" s="35"/>
      <c r="M22" s="35"/>
      <c r="N22" s="35"/>
      <c r="O22" s="133"/>
      <c r="P22" s="13"/>
      <c r="Q22" s="13"/>
      <c r="R22" s="13"/>
      <c r="S22" s="13"/>
      <c r="T22" s="13"/>
      <c r="AF22" s="12"/>
      <c r="AG22" s="12"/>
      <c r="AH22" s="12"/>
    </row>
    <row r="23" spans="2:73" ht="24" customHeight="1" thickBot="1" x14ac:dyDescent="0.25">
      <c r="B23" s="125"/>
      <c r="C23" s="131"/>
      <c r="D23" s="20" t="e">
        <f>VLOOKUP($B23,#REF!,3,0)</f>
        <v>#REF!</v>
      </c>
      <c r="E23" s="20" t="e">
        <f>VLOOKUP($B23,#REF!,4,0)</f>
        <v>#REF!</v>
      </c>
      <c r="F23" s="20" t="e">
        <f>VLOOKUP($B23,#REF!,5,0)</f>
        <v>#REF!</v>
      </c>
      <c r="G23" s="20" t="e">
        <f>VLOOKUP($B23,#REF!,6,0)</f>
        <v>#REF!</v>
      </c>
      <c r="H23" s="20" t="e">
        <f>VLOOKUP($B23,#REF!,7,0)</f>
        <v>#REF!</v>
      </c>
      <c r="I23" s="20" t="e">
        <f>VLOOKUP($B23,#REF!,8,0)</f>
        <v>#REF!</v>
      </c>
      <c r="J23" s="129"/>
      <c r="K23" s="34" t="s">
        <v>13</v>
      </c>
      <c r="L23" s="36"/>
      <c r="M23" s="36"/>
      <c r="N23" s="36"/>
      <c r="O23" s="134"/>
      <c r="P23" s="13"/>
      <c r="Q23" s="13"/>
      <c r="R23" s="13"/>
      <c r="S23" s="13"/>
      <c r="T23" s="13"/>
      <c r="AF23" s="12"/>
      <c r="AG23" s="12"/>
      <c r="AH23" s="14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</row>
    <row r="24" spans="2:73" ht="24" customHeight="1" x14ac:dyDescent="0.2">
      <c r="B24" s="124">
        <v>8</v>
      </c>
      <c r="C24" s="130" t="s">
        <v>32</v>
      </c>
      <c r="D24" s="19" t="e">
        <f>VLOOKUP($B24,#REF!,3,0)</f>
        <v>#REF!</v>
      </c>
      <c r="E24" s="19" t="e">
        <f>VLOOKUP($B24,#REF!,4,0)</f>
        <v>#REF!</v>
      </c>
      <c r="F24" s="19" t="e">
        <f>VLOOKUP($B24,#REF!,5,0)</f>
        <v>#REF!</v>
      </c>
      <c r="G24" s="19" t="e">
        <f>VLOOKUP($B24,#REF!,6,0)</f>
        <v>#REF!</v>
      </c>
      <c r="H24" s="19" t="e">
        <f>VLOOKUP($B24,#REF!,7,0)</f>
        <v>#REF!</v>
      </c>
      <c r="I24" s="19" t="e">
        <f>VLOOKUP($B24,#REF!,8,0)</f>
        <v>#REF!</v>
      </c>
      <c r="J24" s="132"/>
      <c r="K24" s="22" t="s">
        <v>12</v>
      </c>
      <c r="L24" s="35"/>
      <c r="M24" s="35"/>
      <c r="N24" s="35"/>
      <c r="O24" s="133"/>
      <c r="P24" s="13"/>
      <c r="Q24" s="13"/>
      <c r="R24" s="13"/>
      <c r="S24" s="13"/>
      <c r="T24" s="13"/>
      <c r="AF24" s="9"/>
      <c r="AG24" s="9"/>
      <c r="AH24" s="9"/>
    </row>
    <row r="25" spans="2:73" ht="24" customHeight="1" thickBot="1" x14ac:dyDescent="0.25">
      <c r="B25" s="125"/>
      <c r="C25" s="131"/>
      <c r="D25" s="20" t="e">
        <f>VLOOKUP($B25,#REF!,3,0)</f>
        <v>#REF!</v>
      </c>
      <c r="E25" s="20" t="e">
        <f>VLOOKUP($B25,#REF!,4,0)</f>
        <v>#REF!</v>
      </c>
      <c r="F25" s="20" t="e">
        <f>VLOOKUP($B25,#REF!,5,0)</f>
        <v>#REF!</v>
      </c>
      <c r="G25" s="20" t="e">
        <f>VLOOKUP($B25,#REF!,6,0)</f>
        <v>#REF!</v>
      </c>
      <c r="H25" s="20" t="e">
        <f>VLOOKUP($B25,#REF!,7,0)</f>
        <v>#REF!</v>
      </c>
      <c r="I25" s="20" t="e">
        <f>VLOOKUP($B25,#REF!,8,0)</f>
        <v>#REF!</v>
      </c>
      <c r="J25" s="129"/>
      <c r="K25" s="34" t="s">
        <v>13</v>
      </c>
      <c r="L25" s="36"/>
      <c r="M25" s="36"/>
      <c r="N25" s="36"/>
      <c r="O25" s="134"/>
      <c r="P25" s="13"/>
      <c r="Q25" s="13"/>
      <c r="R25" s="13"/>
      <c r="S25" s="13"/>
      <c r="T25" s="13"/>
      <c r="AF25" s="12"/>
      <c r="AG25" s="12"/>
      <c r="AH25" s="14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</row>
    <row r="26" spans="2:73" ht="24" customHeight="1" x14ac:dyDescent="0.2">
      <c r="B26" s="124">
        <v>9</v>
      </c>
      <c r="C26" s="130" t="s">
        <v>33</v>
      </c>
      <c r="D26" s="19" t="e">
        <f>VLOOKUP($B26,#REF!,3,0)</f>
        <v>#REF!</v>
      </c>
      <c r="E26" s="19" t="e">
        <f>VLOOKUP($B26,#REF!,4,0)</f>
        <v>#REF!</v>
      </c>
      <c r="F26" s="19" t="e">
        <f>VLOOKUP($B26,#REF!,5,0)</f>
        <v>#REF!</v>
      </c>
      <c r="G26" s="19" t="e">
        <f>VLOOKUP($B26,#REF!,6,0)</f>
        <v>#REF!</v>
      </c>
      <c r="H26" s="19" t="e">
        <f>VLOOKUP($B26,#REF!,7,0)</f>
        <v>#REF!</v>
      </c>
      <c r="I26" s="19" t="e">
        <f>VLOOKUP($B26,#REF!,8,0)</f>
        <v>#REF!</v>
      </c>
      <c r="J26" s="132"/>
      <c r="K26" s="22" t="s">
        <v>12</v>
      </c>
      <c r="L26" s="35"/>
      <c r="M26" s="35"/>
      <c r="N26" s="35"/>
      <c r="O26" s="133"/>
      <c r="P26" s="13"/>
      <c r="Q26" s="13"/>
      <c r="R26" s="13"/>
      <c r="S26" s="13"/>
      <c r="T26" s="13"/>
      <c r="AF26" s="12"/>
      <c r="AG26" s="12"/>
      <c r="AH26" s="12"/>
    </row>
    <row r="27" spans="2:73" ht="24" customHeight="1" thickBot="1" x14ac:dyDescent="0.25">
      <c r="B27" s="125"/>
      <c r="C27" s="131"/>
      <c r="D27" s="20" t="e">
        <f>VLOOKUP($B27,#REF!,3,0)</f>
        <v>#REF!</v>
      </c>
      <c r="E27" s="20" t="e">
        <f>VLOOKUP($B27,#REF!,4,0)</f>
        <v>#REF!</v>
      </c>
      <c r="F27" s="20" t="e">
        <f>VLOOKUP($B27,#REF!,5,0)</f>
        <v>#REF!</v>
      </c>
      <c r="G27" s="20" t="e">
        <f>VLOOKUP($B27,#REF!,6,0)</f>
        <v>#REF!</v>
      </c>
      <c r="H27" s="20" t="e">
        <f>VLOOKUP($B27,#REF!,7,0)</f>
        <v>#REF!</v>
      </c>
      <c r="I27" s="20" t="e">
        <f>VLOOKUP($B27,#REF!,8,0)</f>
        <v>#REF!</v>
      </c>
      <c r="J27" s="129"/>
      <c r="K27" s="34" t="s">
        <v>13</v>
      </c>
      <c r="L27" s="36"/>
      <c r="M27" s="36"/>
      <c r="N27" s="36"/>
      <c r="O27" s="134"/>
      <c r="P27" s="13"/>
      <c r="Q27" s="13"/>
      <c r="R27" s="13"/>
      <c r="S27" s="13"/>
      <c r="T27" s="13"/>
      <c r="AF27" s="12"/>
      <c r="AG27" s="12"/>
      <c r="AH27" s="14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</row>
    <row r="28" spans="2:73" ht="24" customHeight="1" x14ac:dyDescent="0.2">
      <c r="B28" s="135">
        <v>10</v>
      </c>
      <c r="C28" s="130" t="s">
        <v>32</v>
      </c>
      <c r="D28" s="19" t="e">
        <f>VLOOKUP($B28,#REF!,3,0)</f>
        <v>#REF!</v>
      </c>
      <c r="E28" s="19" t="e">
        <f>VLOOKUP($B28,#REF!,4,0)</f>
        <v>#REF!</v>
      </c>
      <c r="F28" s="19" t="e">
        <f>VLOOKUP($B28,#REF!,5,0)</f>
        <v>#REF!</v>
      </c>
      <c r="G28" s="19" t="e">
        <f>VLOOKUP($B28,#REF!,6,0)</f>
        <v>#REF!</v>
      </c>
      <c r="H28" s="19" t="e">
        <f>VLOOKUP($B28,#REF!,7,0)</f>
        <v>#REF!</v>
      </c>
      <c r="I28" s="19" t="e">
        <f>VLOOKUP($B28,#REF!,8,0)</f>
        <v>#REF!</v>
      </c>
      <c r="J28" s="132"/>
      <c r="K28" s="22" t="s">
        <v>12</v>
      </c>
      <c r="L28" s="35"/>
      <c r="M28" s="35"/>
      <c r="N28" s="35"/>
      <c r="O28" s="133"/>
      <c r="P28" s="13"/>
      <c r="Q28" s="13"/>
      <c r="R28" s="13"/>
      <c r="S28" s="13"/>
      <c r="T28" s="13"/>
    </row>
    <row r="29" spans="2:73" ht="24" customHeight="1" thickBot="1" x14ac:dyDescent="0.25">
      <c r="B29" s="125"/>
      <c r="C29" s="131"/>
      <c r="D29" s="20" t="e">
        <f>VLOOKUP($B29,#REF!,3,0)</f>
        <v>#REF!</v>
      </c>
      <c r="E29" s="20" t="e">
        <f>VLOOKUP($B29,#REF!,4,0)</f>
        <v>#REF!</v>
      </c>
      <c r="F29" s="20" t="e">
        <f>VLOOKUP($B29,#REF!,5,0)</f>
        <v>#REF!</v>
      </c>
      <c r="G29" s="20" t="e">
        <f>VLOOKUP($B29,#REF!,6,0)</f>
        <v>#REF!</v>
      </c>
      <c r="H29" s="20" t="e">
        <f>VLOOKUP($B29,#REF!,7,0)</f>
        <v>#REF!</v>
      </c>
      <c r="I29" s="20" t="e">
        <f>VLOOKUP($B29,#REF!,8,0)</f>
        <v>#REF!</v>
      </c>
      <c r="J29" s="129"/>
      <c r="K29" s="34" t="s">
        <v>13</v>
      </c>
      <c r="L29" s="36"/>
      <c r="M29" s="36"/>
      <c r="N29" s="36"/>
      <c r="O29" s="134"/>
      <c r="P29" s="13"/>
      <c r="Q29" s="13"/>
      <c r="R29" s="13"/>
      <c r="S29" s="13"/>
      <c r="T29" s="13"/>
      <c r="AF29" s="12"/>
      <c r="AG29" s="12"/>
      <c r="AH29" s="14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</row>
    <row r="30" spans="2:73" ht="24" customHeight="1" x14ac:dyDescent="0.2">
      <c r="B30" s="135">
        <v>11</v>
      </c>
      <c r="C30" s="130" t="s">
        <v>33</v>
      </c>
      <c r="D30" s="19" t="e">
        <f>VLOOKUP($B30,#REF!,3,0)</f>
        <v>#REF!</v>
      </c>
      <c r="E30" s="19" t="e">
        <f>VLOOKUP($B30,#REF!,4,0)</f>
        <v>#REF!</v>
      </c>
      <c r="F30" s="19" t="e">
        <f>VLOOKUP($B30,#REF!,5,0)</f>
        <v>#REF!</v>
      </c>
      <c r="G30" s="19" t="e">
        <f>VLOOKUP($B30,#REF!,6,0)</f>
        <v>#REF!</v>
      </c>
      <c r="H30" s="19" t="e">
        <f>VLOOKUP($B30,#REF!,7,0)</f>
        <v>#REF!</v>
      </c>
      <c r="I30" s="19" t="e">
        <f>VLOOKUP($B30,#REF!,8,0)</f>
        <v>#REF!</v>
      </c>
      <c r="J30" s="132"/>
      <c r="K30" s="22" t="s">
        <v>12</v>
      </c>
      <c r="L30" s="44"/>
      <c r="M30" s="35"/>
      <c r="N30" s="35"/>
      <c r="O30" s="133"/>
      <c r="P30" s="13"/>
      <c r="Q30" s="13"/>
      <c r="R30" s="13"/>
      <c r="S30" s="13"/>
      <c r="T30" s="13"/>
    </row>
    <row r="31" spans="2:73" ht="24" customHeight="1" thickBot="1" x14ac:dyDescent="0.25">
      <c r="B31" s="125"/>
      <c r="C31" s="131"/>
      <c r="D31" s="20" t="e">
        <f>VLOOKUP($B31,#REF!,3,0)</f>
        <v>#REF!</v>
      </c>
      <c r="E31" s="20" t="e">
        <f>VLOOKUP($B31,#REF!,4,0)</f>
        <v>#REF!</v>
      </c>
      <c r="F31" s="20" t="e">
        <f>VLOOKUP($B31,#REF!,5,0)</f>
        <v>#REF!</v>
      </c>
      <c r="G31" s="20" t="e">
        <f>VLOOKUP($B31,#REF!,6,0)</f>
        <v>#REF!</v>
      </c>
      <c r="H31" s="20" t="e">
        <f>VLOOKUP($B31,#REF!,7,0)</f>
        <v>#REF!</v>
      </c>
      <c r="I31" s="20" t="e">
        <f>VLOOKUP($B31,#REF!,8,0)</f>
        <v>#REF!</v>
      </c>
      <c r="J31" s="129"/>
      <c r="K31" s="34" t="s">
        <v>13</v>
      </c>
      <c r="L31" s="36"/>
      <c r="M31" s="36"/>
      <c r="N31" s="36"/>
      <c r="O31" s="134"/>
      <c r="P31" s="13"/>
      <c r="Q31" s="13"/>
      <c r="R31" s="13"/>
      <c r="S31" s="13"/>
      <c r="T31" s="13"/>
      <c r="AF31" s="12"/>
      <c r="AG31" s="12"/>
      <c r="AH31" s="14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</row>
    <row r="32" spans="2:73" ht="24" customHeight="1" x14ac:dyDescent="0.2">
      <c r="B32" s="135">
        <v>12</v>
      </c>
      <c r="C32" s="130" t="s">
        <v>32</v>
      </c>
      <c r="D32" s="19" t="e">
        <f>VLOOKUP($B32,#REF!,3,0)</f>
        <v>#REF!</v>
      </c>
      <c r="E32" s="19" t="e">
        <f>VLOOKUP($B32,#REF!,4,0)</f>
        <v>#REF!</v>
      </c>
      <c r="F32" s="19" t="e">
        <f>VLOOKUP($B32,#REF!,5,0)</f>
        <v>#REF!</v>
      </c>
      <c r="G32" s="19" t="e">
        <f>VLOOKUP($B32,#REF!,6,0)</f>
        <v>#REF!</v>
      </c>
      <c r="H32" s="19" t="e">
        <f>VLOOKUP($B32,#REF!,7,0)</f>
        <v>#REF!</v>
      </c>
      <c r="I32" s="19" t="e">
        <f>VLOOKUP($B32,#REF!,8,0)</f>
        <v>#REF!</v>
      </c>
      <c r="J32" s="132"/>
      <c r="K32" s="22" t="s">
        <v>12</v>
      </c>
      <c r="L32" s="35"/>
      <c r="M32" s="35"/>
      <c r="N32" s="35"/>
      <c r="O32" s="133"/>
      <c r="P32" s="13"/>
      <c r="Q32" s="13"/>
      <c r="R32" s="13"/>
      <c r="S32" s="13"/>
      <c r="T32" s="13"/>
    </row>
    <row r="33" spans="2:73" ht="24" customHeight="1" thickBot="1" x14ac:dyDescent="0.25">
      <c r="B33" s="125"/>
      <c r="C33" s="131"/>
      <c r="D33" s="20" t="e">
        <f>VLOOKUP($B33,#REF!,3,0)</f>
        <v>#REF!</v>
      </c>
      <c r="E33" s="20" t="e">
        <f>VLOOKUP($B33,#REF!,4,0)</f>
        <v>#REF!</v>
      </c>
      <c r="F33" s="20" t="e">
        <f>VLOOKUP($B33,#REF!,5,0)</f>
        <v>#REF!</v>
      </c>
      <c r="G33" s="20" t="e">
        <f>VLOOKUP($B33,#REF!,6,0)</f>
        <v>#REF!</v>
      </c>
      <c r="H33" s="20" t="e">
        <f>VLOOKUP($B33,#REF!,7,0)</f>
        <v>#REF!</v>
      </c>
      <c r="I33" s="20" t="e">
        <f>VLOOKUP($B33,#REF!,8,0)</f>
        <v>#REF!</v>
      </c>
      <c r="J33" s="129"/>
      <c r="K33" s="34" t="s">
        <v>13</v>
      </c>
      <c r="L33" s="36"/>
      <c r="M33" s="36"/>
      <c r="N33" s="36"/>
      <c r="O33" s="134"/>
      <c r="P33" s="13"/>
      <c r="Q33" s="13"/>
      <c r="R33" s="13"/>
      <c r="S33" s="13"/>
      <c r="T33" s="13"/>
      <c r="AF33" s="12"/>
      <c r="AG33" s="12"/>
      <c r="AH33" s="14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</row>
    <row r="34" spans="2:73" ht="24" customHeight="1" x14ac:dyDescent="0.2">
      <c r="B34" s="135">
        <v>13</v>
      </c>
      <c r="C34" s="130" t="s">
        <v>33</v>
      </c>
      <c r="D34" s="19" t="e">
        <f>VLOOKUP($B34,#REF!,3,0)</f>
        <v>#REF!</v>
      </c>
      <c r="E34" s="19" t="e">
        <f>VLOOKUP($B34,#REF!,4,0)</f>
        <v>#REF!</v>
      </c>
      <c r="F34" s="19" t="e">
        <f>VLOOKUP($B34,#REF!,5,0)</f>
        <v>#REF!</v>
      </c>
      <c r="G34" s="19" t="e">
        <f>VLOOKUP($B34,#REF!,6,0)</f>
        <v>#REF!</v>
      </c>
      <c r="H34" s="19" t="e">
        <f>VLOOKUP($B34,#REF!,7,0)</f>
        <v>#REF!</v>
      </c>
      <c r="I34" s="19" t="e">
        <f>VLOOKUP($B34,#REF!,8,0)</f>
        <v>#REF!</v>
      </c>
      <c r="J34" s="132"/>
      <c r="K34" s="22" t="s">
        <v>12</v>
      </c>
      <c r="L34" s="35"/>
      <c r="M34" s="35"/>
      <c r="N34" s="35"/>
      <c r="O34" s="133"/>
      <c r="P34" s="13"/>
      <c r="Q34" s="13"/>
      <c r="R34" s="13"/>
      <c r="S34" s="13"/>
      <c r="T34" s="13"/>
    </row>
    <row r="35" spans="2:73" ht="24" customHeight="1" thickBot="1" x14ac:dyDescent="0.25">
      <c r="B35" s="125"/>
      <c r="C35" s="131"/>
      <c r="D35" s="20" t="e">
        <f>VLOOKUP($B35,#REF!,3,0)</f>
        <v>#REF!</v>
      </c>
      <c r="E35" s="20" t="e">
        <f>VLOOKUP($B35,#REF!,4,0)</f>
        <v>#REF!</v>
      </c>
      <c r="F35" s="20" t="e">
        <f>VLOOKUP($B35,#REF!,5,0)</f>
        <v>#REF!</v>
      </c>
      <c r="G35" s="20" t="e">
        <f>VLOOKUP($B35,#REF!,6,0)</f>
        <v>#REF!</v>
      </c>
      <c r="H35" s="20" t="e">
        <f>VLOOKUP($B35,#REF!,7,0)</f>
        <v>#REF!</v>
      </c>
      <c r="I35" s="20" t="e">
        <f>VLOOKUP($B35,#REF!,8,0)</f>
        <v>#REF!</v>
      </c>
      <c r="J35" s="129"/>
      <c r="K35" s="34" t="s">
        <v>13</v>
      </c>
      <c r="L35" s="36"/>
      <c r="M35" s="36"/>
      <c r="N35" s="36"/>
      <c r="O35" s="134"/>
      <c r="P35" s="13"/>
      <c r="Q35" s="13"/>
      <c r="R35" s="13"/>
      <c r="S35" s="13"/>
      <c r="T35" s="13"/>
      <c r="AF35" s="12"/>
      <c r="AG35" s="12"/>
      <c r="AH35" s="14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</row>
    <row r="36" spans="2:73" ht="24" customHeight="1" x14ac:dyDescent="0.2">
      <c r="B36" s="135">
        <v>14</v>
      </c>
      <c r="C36" s="130" t="s">
        <v>32</v>
      </c>
      <c r="D36" s="19" t="e">
        <f>VLOOKUP($B36,#REF!,3,0)</f>
        <v>#REF!</v>
      </c>
      <c r="E36" s="19" t="e">
        <f>VLOOKUP($B36,#REF!,4,0)</f>
        <v>#REF!</v>
      </c>
      <c r="F36" s="19" t="e">
        <f>VLOOKUP($B36,#REF!,5,0)</f>
        <v>#REF!</v>
      </c>
      <c r="G36" s="19" t="e">
        <f>VLOOKUP($B36,#REF!,6,0)</f>
        <v>#REF!</v>
      </c>
      <c r="H36" s="19" t="e">
        <f>VLOOKUP($B36,#REF!,7,0)</f>
        <v>#REF!</v>
      </c>
      <c r="I36" s="19" t="e">
        <f>VLOOKUP($B36,#REF!,8,0)</f>
        <v>#REF!</v>
      </c>
      <c r="J36" s="132"/>
      <c r="K36" s="22" t="s">
        <v>12</v>
      </c>
      <c r="L36" s="35"/>
      <c r="M36" s="35"/>
      <c r="N36" s="35"/>
      <c r="O36" s="133"/>
      <c r="P36" s="13"/>
      <c r="Q36" s="13"/>
      <c r="R36" s="13"/>
      <c r="S36" s="13"/>
      <c r="T36" s="13"/>
    </row>
    <row r="37" spans="2:73" ht="24" customHeight="1" thickBot="1" x14ac:dyDescent="0.25">
      <c r="B37" s="125"/>
      <c r="C37" s="131"/>
      <c r="D37" s="20" t="e">
        <f>VLOOKUP($B37,#REF!,3,0)</f>
        <v>#REF!</v>
      </c>
      <c r="E37" s="20" t="e">
        <f>VLOOKUP($B37,#REF!,4,0)</f>
        <v>#REF!</v>
      </c>
      <c r="F37" s="20" t="e">
        <f>VLOOKUP($B37,#REF!,5,0)</f>
        <v>#REF!</v>
      </c>
      <c r="G37" s="20" t="e">
        <f>VLOOKUP($B37,#REF!,6,0)</f>
        <v>#REF!</v>
      </c>
      <c r="H37" s="20" t="e">
        <f>VLOOKUP($B37,#REF!,7,0)</f>
        <v>#REF!</v>
      </c>
      <c r="I37" s="20" t="e">
        <f>VLOOKUP($B37,#REF!,8,0)</f>
        <v>#REF!</v>
      </c>
      <c r="J37" s="129"/>
      <c r="K37" s="34" t="s">
        <v>13</v>
      </c>
      <c r="L37" s="36"/>
      <c r="M37" s="36"/>
      <c r="N37" s="36"/>
      <c r="O37" s="134"/>
      <c r="P37" s="13"/>
      <c r="Q37" s="13"/>
      <c r="R37" s="13"/>
      <c r="S37" s="13"/>
      <c r="T37" s="13"/>
      <c r="AF37" s="12"/>
      <c r="AG37" s="12"/>
      <c r="AH37" s="14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</row>
    <row r="38" spans="2:73" ht="24" customHeight="1" x14ac:dyDescent="0.2">
      <c r="B38" s="135">
        <v>15</v>
      </c>
      <c r="C38" s="130" t="s">
        <v>33</v>
      </c>
      <c r="D38" s="19" t="e">
        <f>VLOOKUP($B38,#REF!,3,0)</f>
        <v>#REF!</v>
      </c>
      <c r="E38" s="19" t="e">
        <f>VLOOKUP($B38,#REF!,4,0)</f>
        <v>#REF!</v>
      </c>
      <c r="F38" s="19" t="e">
        <f>VLOOKUP($B38,#REF!,5,0)</f>
        <v>#REF!</v>
      </c>
      <c r="G38" s="19" t="e">
        <f>VLOOKUP($B38,#REF!,6,0)</f>
        <v>#REF!</v>
      </c>
      <c r="H38" s="19" t="e">
        <f>VLOOKUP($B38,#REF!,7,0)</f>
        <v>#REF!</v>
      </c>
      <c r="I38" s="19" t="e">
        <f>VLOOKUP($B38,#REF!,8,0)</f>
        <v>#REF!</v>
      </c>
      <c r="J38" s="132"/>
      <c r="K38" s="22" t="s">
        <v>12</v>
      </c>
      <c r="L38" s="44"/>
      <c r="M38" s="35"/>
      <c r="N38" s="35"/>
      <c r="O38" s="133"/>
      <c r="P38" s="13"/>
      <c r="Q38" s="13"/>
      <c r="R38" s="13"/>
      <c r="S38" s="13"/>
      <c r="T38" s="13"/>
    </row>
    <row r="39" spans="2:73" ht="24" customHeight="1" thickBot="1" x14ac:dyDescent="0.25">
      <c r="B39" s="125"/>
      <c r="C39" s="131"/>
      <c r="D39" s="20" t="e">
        <f>VLOOKUP($B39,#REF!,3,0)</f>
        <v>#REF!</v>
      </c>
      <c r="E39" s="20" t="e">
        <f>VLOOKUP($B39,#REF!,4,0)</f>
        <v>#REF!</v>
      </c>
      <c r="F39" s="20" t="e">
        <f>VLOOKUP($B39,#REF!,5,0)</f>
        <v>#REF!</v>
      </c>
      <c r="G39" s="20" t="e">
        <f>VLOOKUP($B39,#REF!,6,0)</f>
        <v>#REF!</v>
      </c>
      <c r="H39" s="20" t="e">
        <f>VLOOKUP($B39,#REF!,7,0)</f>
        <v>#REF!</v>
      </c>
      <c r="I39" s="20" t="e">
        <f>VLOOKUP($B39,#REF!,8,0)</f>
        <v>#REF!</v>
      </c>
      <c r="J39" s="129"/>
      <c r="K39" s="34" t="s">
        <v>13</v>
      </c>
      <c r="L39" s="36"/>
      <c r="M39" s="36"/>
      <c r="N39" s="36"/>
      <c r="O39" s="134"/>
      <c r="P39" s="13"/>
      <c r="Q39" s="13"/>
      <c r="R39" s="13"/>
      <c r="S39" s="13"/>
      <c r="T39" s="13"/>
      <c r="AF39" s="12"/>
      <c r="AG39" s="12"/>
      <c r="AH39" s="14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</row>
    <row r="40" spans="2:73" ht="24" customHeight="1" x14ac:dyDescent="0.2">
      <c r="B40" s="135">
        <v>16</v>
      </c>
      <c r="C40" s="126" t="s">
        <v>34</v>
      </c>
      <c r="D40" s="19" t="e">
        <f>VLOOKUP($B40,#REF!,3,0)</f>
        <v>#REF!</v>
      </c>
      <c r="E40" s="19" t="e">
        <f>VLOOKUP($B40,#REF!,4,0)</f>
        <v>#REF!</v>
      </c>
      <c r="F40" s="19" t="e">
        <f>VLOOKUP($B40,#REF!,5,0)</f>
        <v>#REF!</v>
      </c>
      <c r="G40" s="19" t="e">
        <f>VLOOKUP($B40,#REF!,6,0)</f>
        <v>#REF!</v>
      </c>
      <c r="H40" s="19" t="e">
        <f>VLOOKUP($B40,#REF!,7,0)</f>
        <v>#REF!</v>
      </c>
      <c r="I40" s="19" t="e">
        <f>VLOOKUP($B40,#REF!,8,0)</f>
        <v>#REF!</v>
      </c>
      <c r="J40" s="132"/>
      <c r="K40" s="22" t="s">
        <v>12</v>
      </c>
      <c r="L40" s="44"/>
      <c r="M40" s="44"/>
      <c r="N40" s="35"/>
      <c r="O40" s="133"/>
      <c r="P40" s="13"/>
      <c r="Q40" s="13"/>
      <c r="R40" s="13"/>
      <c r="S40" s="13"/>
      <c r="T40" s="13"/>
    </row>
    <row r="41" spans="2:73" ht="24" customHeight="1" thickBot="1" x14ac:dyDescent="0.25">
      <c r="B41" s="125"/>
      <c r="C41" s="127"/>
      <c r="D41" s="20" t="e">
        <f>VLOOKUP($B41,#REF!,3,0)</f>
        <v>#REF!</v>
      </c>
      <c r="E41" s="20" t="e">
        <f>VLOOKUP($B41,#REF!,4,0)</f>
        <v>#REF!</v>
      </c>
      <c r="F41" s="20" t="e">
        <f>VLOOKUP($B41,#REF!,5,0)</f>
        <v>#REF!</v>
      </c>
      <c r="G41" s="20" t="e">
        <f>VLOOKUP($B41,#REF!,6,0)</f>
        <v>#REF!</v>
      </c>
      <c r="H41" s="20" t="e">
        <f>VLOOKUP($B41,#REF!,7,0)</f>
        <v>#REF!</v>
      </c>
      <c r="I41" s="20" t="e">
        <f>VLOOKUP($B41,#REF!,8,0)</f>
        <v>#REF!</v>
      </c>
      <c r="J41" s="129"/>
      <c r="K41" s="34" t="s">
        <v>13</v>
      </c>
      <c r="L41" s="36"/>
      <c r="M41" s="36"/>
      <c r="N41" s="36"/>
      <c r="O41" s="134"/>
      <c r="P41" s="13"/>
      <c r="Q41" s="13"/>
      <c r="R41" s="13"/>
      <c r="S41" s="13"/>
      <c r="T41" s="13"/>
      <c r="AF41" s="12"/>
      <c r="AG41" s="12"/>
      <c r="AH41" s="14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</row>
  </sheetData>
  <mergeCells count="66">
    <mergeCell ref="B40:B41"/>
    <mergeCell ref="C40:C41"/>
    <mergeCell ref="J40:J41"/>
    <mergeCell ref="O40:O41"/>
    <mergeCell ref="B36:B37"/>
    <mergeCell ref="C36:C37"/>
    <mergeCell ref="J36:J37"/>
    <mergeCell ref="O36:O37"/>
    <mergeCell ref="B38:B39"/>
    <mergeCell ref="C38:C39"/>
    <mergeCell ref="B30:B31"/>
    <mergeCell ref="C30:C31"/>
    <mergeCell ref="J30:J31"/>
    <mergeCell ref="O30:O31"/>
    <mergeCell ref="J38:J39"/>
    <mergeCell ref="O38:O39"/>
    <mergeCell ref="B32:B33"/>
    <mergeCell ref="C32:C33"/>
    <mergeCell ref="J32:J33"/>
    <mergeCell ref="O32:O33"/>
    <mergeCell ref="B34:B35"/>
    <mergeCell ref="C34:C35"/>
    <mergeCell ref="J34:J35"/>
    <mergeCell ref="O34:O35"/>
    <mergeCell ref="B26:B27"/>
    <mergeCell ref="C26:C27"/>
    <mergeCell ref="J26:J27"/>
    <mergeCell ref="O26:O27"/>
    <mergeCell ref="B28:B29"/>
    <mergeCell ref="C28:C29"/>
    <mergeCell ref="J28:J29"/>
    <mergeCell ref="O28:O29"/>
    <mergeCell ref="B22:B23"/>
    <mergeCell ref="C22:C23"/>
    <mergeCell ref="J22:J23"/>
    <mergeCell ref="O22:O23"/>
    <mergeCell ref="B24:B25"/>
    <mergeCell ref="C24:C25"/>
    <mergeCell ref="J24:J25"/>
    <mergeCell ref="O24:O25"/>
    <mergeCell ref="B18:B19"/>
    <mergeCell ref="C18:C19"/>
    <mergeCell ref="J18:J19"/>
    <mergeCell ref="O18:O19"/>
    <mergeCell ref="B20:B21"/>
    <mergeCell ref="C20:C21"/>
    <mergeCell ref="J20:J21"/>
    <mergeCell ref="O20:O21"/>
    <mergeCell ref="O14:O15"/>
    <mergeCell ref="B16:B17"/>
    <mergeCell ref="C16:C17"/>
    <mergeCell ref="J16:J17"/>
    <mergeCell ref="O16:O17"/>
    <mergeCell ref="B12:B13"/>
    <mergeCell ref="C12:C13"/>
    <mergeCell ref="J12:J13"/>
    <mergeCell ref="B14:B15"/>
    <mergeCell ref="C14:C15"/>
    <mergeCell ref="J14:J15"/>
    <mergeCell ref="AF5:AH5"/>
    <mergeCell ref="L6:N6"/>
    <mergeCell ref="O7:O8"/>
    <mergeCell ref="B8:K8"/>
    <mergeCell ref="B10:B11"/>
    <mergeCell ref="C10:C11"/>
    <mergeCell ref="J10:J11"/>
  </mergeCells>
  <pageMargins left="0.45" right="0" top="0.49" bottom="0" header="0.64" footer="0"/>
  <pageSetup paperSize="512" scale="74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DF30-558B-4E92-8D11-16D54CDAE38E}">
  <sheetPr>
    <pageSetUpPr fitToPage="1"/>
  </sheetPr>
  <dimension ref="A1:BU53"/>
  <sheetViews>
    <sheetView zoomScale="85" zoomScaleNormal="85" workbookViewId="0">
      <selection activeCell="M37" sqref="M37"/>
    </sheetView>
  </sheetViews>
  <sheetFormatPr defaultRowHeight="12.75" x14ac:dyDescent="0.2"/>
  <cols>
    <col min="1" max="1" width="5.42578125" style="55" customWidth="1"/>
    <col min="2" max="2" width="6.28515625" style="55" customWidth="1"/>
    <col min="3" max="3" width="12.7109375" style="55" customWidth="1"/>
    <col min="4" max="8" width="5.28515625" style="55" hidden="1" customWidth="1"/>
    <col min="9" max="9" width="7" style="55" hidden="1" customWidth="1"/>
    <col min="10" max="10" width="8.42578125" style="55" customWidth="1"/>
    <col min="11" max="14" width="12.7109375" style="55" customWidth="1"/>
    <col min="15" max="15" width="48.7109375" style="55" customWidth="1"/>
    <col min="16" max="21" width="9.140625" style="55"/>
    <col min="22" max="22" width="7.5703125" style="55" customWidth="1"/>
    <col min="23" max="32" width="7.7109375" style="55" customWidth="1"/>
    <col min="33" max="16384" width="9.140625" style="55"/>
  </cols>
  <sheetData>
    <row r="1" spans="1:73" ht="15" customHeight="1" x14ac:dyDescent="0.25">
      <c r="A1" s="94" t="s">
        <v>128</v>
      </c>
    </row>
    <row r="2" spans="1:73" ht="20.25" customHeight="1" thickBot="1" x14ac:dyDescent="0.3">
      <c r="A2" s="94"/>
      <c r="M2" s="73" t="s">
        <v>0</v>
      </c>
      <c r="N2" s="93">
        <v>39990</v>
      </c>
      <c r="O2" s="92"/>
    </row>
    <row r="3" spans="1:73" ht="20.25" customHeight="1" thickBot="1" x14ac:dyDescent="0.25">
      <c r="A3" s="55" t="s">
        <v>1</v>
      </c>
      <c r="C3" s="91" t="s">
        <v>127</v>
      </c>
      <c r="D3" s="91"/>
      <c r="E3" s="91"/>
      <c r="F3" s="91"/>
      <c r="G3" s="91"/>
      <c r="H3" s="91"/>
      <c r="I3" s="91"/>
      <c r="J3" s="91"/>
      <c r="K3" s="91"/>
      <c r="L3" s="91"/>
      <c r="M3" s="73" t="s">
        <v>23</v>
      </c>
      <c r="N3" s="89">
        <v>177</v>
      </c>
      <c r="O3" s="88"/>
    </row>
    <row r="4" spans="1:73" ht="20.25" customHeight="1" thickBot="1" x14ac:dyDescent="0.25">
      <c r="B4" s="91" t="s">
        <v>126</v>
      </c>
      <c r="C4" s="91"/>
      <c r="D4" s="90"/>
      <c r="E4" s="90"/>
      <c r="F4" s="90"/>
      <c r="G4" s="90"/>
      <c r="H4" s="90"/>
      <c r="I4" s="90"/>
      <c r="J4" s="90"/>
      <c r="K4" s="90"/>
      <c r="L4" s="90"/>
      <c r="M4" s="73" t="s">
        <v>2</v>
      </c>
      <c r="N4" s="89" t="s">
        <v>26</v>
      </c>
      <c r="O4" s="88"/>
    </row>
    <row r="5" spans="1:73" ht="18" x14ac:dyDescent="0.2">
      <c r="B5" s="55" t="s">
        <v>125</v>
      </c>
      <c r="AE5" s="86"/>
      <c r="AF5" s="145"/>
      <c r="AG5" s="145"/>
      <c r="AH5" s="145"/>
    </row>
    <row r="6" spans="1:73" ht="18" x14ac:dyDescent="0.25">
      <c r="L6" s="146"/>
      <c r="M6" s="147"/>
      <c r="N6" s="148"/>
      <c r="O6" s="87"/>
      <c r="AE6" s="86"/>
      <c r="AF6" s="85"/>
      <c r="AG6" s="85"/>
      <c r="AH6" s="85"/>
    </row>
    <row r="7" spans="1:73" ht="25.5" customHeight="1" x14ac:dyDescent="0.2">
      <c r="B7" s="83" t="s">
        <v>27</v>
      </c>
      <c r="C7" s="84"/>
      <c r="D7" s="84" t="s">
        <v>4</v>
      </c>
      <c r="E7" s="83" t="s">
        <v>5</v>
      </c>
      <c r="F7" s="84" t="s">
        <v>6</v>
      </c>
      <c r="G7" s="83" t="s">
        <v>7</v>
      </c>
      <c r="H7" s="83" t="s">
        <v>8</v>
      </c>
      <c r="I7" s="83" t="s">
        <v>9</v>
      </c>
      <c r="J7" s="83" t="s">
        <v>11</v>
      </c>
      <c r="K7" s="82"/>
      <c r="L7" s="81" t="s">
        <v>37</v>
      </c>
      <c r="M7" s="81" t="s">
        <v>38</v>
      </c>
      <c r="N7" s="81" t="s">
        <v>39</v>
      </c>
      <c r="O7" s="149" t="s">
        <v>25</v>
      </c>
      <c r="AE7" s="80"/>
      <c r="AF7" s="66"/>
      <c r="AG7" s="66"/>
    </row>
    <row r="8" spans="1:73" ht="15.95" customHeight="1" thickBot="1" x14ac:dyDescent="0.25">
      <c r="B8" s="151"/>
      <c r="C8" s="152"/>
      <c r="D8" s="152"/>
      <c r="E8" s="152"/>
      <c r="F8" s="152"/>
      <c r="G8" s="152"/>
      <c r="H8" s="152"/>
      <c r="I8" s="152"/>
      <c r="J8" s="152"/>
      <c r="K8" s="153"/>
      <c r="L8" s="79" t="s">
        <v>29</v>
      </c>
      <c r="M8" s="79"/>
      <c r="N8" s="79"/>
      <c r="O8" s="150"/>
      <c r="AF8" s="64"/>
      <c r="AG8" s="64"/>
      <c r="AH8" s="64"/>
    </row>
    <row r="9" spans="1:73" ht="15.95" hidden="1" customHeight="1" x14ac:dyDescent="0.2">
      <c r="B9" s="77" t="s">
        <v>3</v>
      </c>
      <c r="C9" s="78" t="s">
        <v>10</v>
      </c>
      <c r="D9" s="78" t="s">
        <v>14</v>
      </c>
      <c r="E9" s="77" t="s">
        <v>15</v>
      </c>
      <c r="F9" s="78" t="s">
        <v>16</v>
      </c>
      <c r="G9" s="77" t="s">
        <v>17</v>
      </c>
      <c r="H9" s="77" t="s">
        <v>8</v>
      </c>
      <c r="I9" s="77" t="s">
        <v>18</v>
      </c>
      <c r="J9" s="76" t="s">
        <v>11</v>
      </c>
      <c r="K9" s="76" t="s">
        <v>19</v>
      </c>
      <c r="L9" s="75" t="s">
        <v>20</v>
      </c>
      <c r="M9" s="75" t="s">
        <v>21</v>
      </c>
      <c r="N9" s="75" t="s">
        <v>22</v>
      </c>
      <c r="O9" s="75"/>
      <c r="AF9" s="64"/>
      <c r="AG9" s="64"/>
      <c r="AH9" s="64"/>
    </row>
    <row r="10" spans="1:73" ht="35.1" customHeight="1" x14ac:dyDescent="0.2">
      <c r="B10" s="65">
        <v>1</v>
      </c>
      <c r="C10" s="61" t="s">
        <v>124</v>
      </c>
      <c r="D10" s="58" t="e">
        <f>VLOOKUP($B10,#REF!,3,0)</f>
        <v>#REF!</v>
      </c>
      <c r="E10" s="58" t="e">
        <f>VLOOKUP($B10,#REF!,4,0)</f>
        <v>#REF!</v>
      </c>
      <c r="F10" s="58" t="e">
        <f>VLOOKUP($B10,#REF!,5,0)</f>
        <v>#REF!</v>
      </c>
      <c r="G10" s="58" t="e">
        <f>VLOOKUP($B10,#REF!,6,0)</f>
        <v>#REF!</v>
      </c>
      <c r="H10" s="58" t="e">
        <f>VLOOKUP($B10,#REF!,7,0)</f>
        <v>#REF!</v>
      </c>
      <c r="I10" s="58" t="e">
        <f>VLOOKUP($B10,#REF!,8,0)</f>
        <v>#REF!</v>
      </c>
      <c r="J10" s="60">
        <v>900</v>
      </c>
      <c r="K10" s="58" t="s">
        <v>121</v>
      </c>
      <c r="L10" s="58">
        <v>19</v>
      </c>
      <c r="M10" s="58">
        <v>26</v>
      </c>
      <c r="N10" s="59">
        <v>17</v>
      </c>
      <c r="O10" s="72"/>
      <c r="P10" s="56"/>
      <c r="Q10" s="56"/>
      <c r="R10" s="56"/>
      <c r="S10" s="56"/>
      <c r="T10" s="56"/>
      <c r="AF10" s="64"/>
      <c r="AG10" s="64"/>
      <c r="AH10" s="74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</row>
    <row r="11" spans="1:73" ht="35.1" customHeight="1" x14ac:dyDescent="0.2">
      <c r="B11" s="65">
        <v>2</v>
      </c>
      <c r="C11" s="63" t="s">
        <v>32</v>
      </c>
      <c r="D11" s="58" t="e">
        <f>VLOOKUP($B11,#REF!,3,0)</f>
        <v>#REF!</v>
      </c>
      <c r="E11" s="58" t="e">
        <f>VLOOKUP($B11,#REF!,4,0)</f>
        <v>#REF!</v>
      </c>
      <c r="F11" s="58" t="e">
        <f>VLOOKUP($B11,#REF!,5,0)</f>
        <v>#REF!</v>
      </c>
      <c r="G11" s="58" t="e">
        <f>VLOOKUP($B11,#REF!,6,0)</f>
        <v>#REF!</v>
      </c>
      <c r="H11" s="58" t="e">
        <f>VLOOKUP($B11,#REF!,7,0)</f>
        <v>#REF!</v>
      </c>
      <c r="I11" s="58" t="e">
        <f>VLOOKUP($B11,#REF!,8,0)</f>
        <v>#REF!</v>
      </c>
      <c r="J11" s="60"/>
      <c r="K11" s="58" t="s">
        <v>121</v>
      </c>
      <c r="L11" s="58">
        <v>21</v>
      </c>
      <c r="M11" s="58">
        <v>23</v>
      </c>
      <c r="N11" s="58">
        <v>15</v>
      </c>
      <c r="O11" s="72"/>
      <c r="P11" s="56"/>
      <c r="Q11" s="71"/>
      <c r="R11" s="56"/>
      <c r="S11" s="70"/>
      <c r="T11" s="56"/>
      <c r="AF11" s="64"/>
      <c r="AG11" s="64"/>
      <c r="AH11" s="64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</row>
    <row r="12" spans="1:73" ht="35.1" customHeight="1" x14ac:dyDescent="0.2">
      <c r="B12" s="65">
        <v>3</v>
      </c>
      <c r="C12" s="63" t="s">
        <v>33</v>
      </c>
      <c r="D12" s="58" t="e">
        <f>VLOOKUP($B12,#REF!,3,0)</f>
        <v>#REF!</v>
      </c>
      <c r="E12" s="58" t="e">
        <f>VLOOKUP($B12,#REF!,4,0)</f>
        <v>#REF!</v>
      </c>
      <c r="F12" s="58" t="e">
        <f>VLOOKUP($B12,#REF!,5,0)</f>
        <v>#REF!</v>
      </c>
      <c r="G12" s="58" t="e">
        <f>VLOOKUP($B12,#REF!,6,0)</f>
        <v>#REF!</v>
      </c>
      <c r="H12" s="58" t="e">
        <f>VLOOKUP($B12,#REF!,7,0)</f>
        <v>#REF!</v>
      </c>
      <c r="I12" s="58" t="e">
        <f>VLOOKUP($B12,#REF!,8,0)</f>
        <v>#REF!</v>
      </c>
      <c r="J12" s="60"/>
      <c r="K12" s="58" t="s">
        <v>121</v>
      </c>
      <c r="L12" s="58">
        <v>24</v>
      </c>
      <c r="M12" s="58">
        <v>26</v>
      </c>
      <c r="N12" s="58">
        <v>22</v>
      </c>
      <c r="O12" s="57"/>
      <c r="P12" s="56"/>
      <c r="Q12" s="56"/>
      <c r="R12" s="56"/>
      <c r="S12" s="56"/>
      <c r="T12" s="56"/>
      <c r="AF12" s="64"/>
      <c r="AG12" s="64"/>
      <c r="AH12" s="64"/>
    </row>
    <row r="13" spans="1:73" ht="35.1" customHeight="1" x14ac:dyDescent="0.2">
      <c r="B13" s="65">
        <v>4</v>
      </c>
      <c r="C13" s="63"/>
      <c r="D13" s="58" t="e">
        <f>VLOOKUP($B13,#REF!,3,0)</f>
        <v>#REF!</v>
      </c>
      <c r="E13" s="58" t="e">
        <f>VLOOKUP($B13,#REF!,4,0)</f>
        <v>#REF!</v>
      </c>
      <c r="F13" s="58" t="e">
        <f>VLOOKUP($B13,#REF!,5,0)</f>
        <v>#REF!</v>
      </c>
      <c r="G13" s="58" t="e">
        <f>VLOOKUP($B13,#REF!,6,0)</f>
        <v>#REF!</v>
      </c>
      <c r="H13" s="58" t="e">
        <f>VLOOKUP($B13,#REF!,7,0)</f>
        <v>#REF!</v>
      </c>
      <c r="I13" s="58" t="e">
        <f>VLOOKUP($B13,#REF!,8,0)</f>
        <v>#REF!</v>
      </c>
      <c r="J13" s="60"/>
      <c r="K13" s="58" t="s">
        <v>121</v>
      </c>
      <c r="L13" s="68"/>
      <c r="M13" s="68"/>
      <c r="N13" s="67"/>
      <c r="O13" s="57" t="s">
        <v>123</v>
      </c>
      <c r="P13" s="56"/>
      <c r="Q13" s="56"/>
      <c r="R13" s="56"/>
      <c r="S13" s="56"/>
      <c r="T13" s="56"/>
    </row>
    <row r="14" spans="1:73" ht="35.1" customHeight="1" x14ac:dyDescent="0.2">
      <c r="B14" s="65">
        <v>5</v>
      </c>
      <c r="C14" s="63" t="s">
        <v>32</v>
      </c>
      <c r="D14" s="58" t="e">
        <f>VLOOKUP($B14,#REF!,3,0)</f>
        <v>#REF!</v>
      </c>
      <c r="E14" s="58" t="e">
        <f>VLOOKUP($B14,#REF!,4,0)</f>
        <v>#REF!</v>
      </c>
      <c r="F14" s="58" t="e">
        <f>VLOOKUP($B14,#REF!,5,0)</f>
        <v>#REF!</v>
      </c>
      <c r="G14" s="58" t="e">
        <f>VLOOKUP($B14,#REF!,6,0)</f>
        <v>#REF!</v>
      </c>
      <c r="H14" s="58" t="e">
        <f>VLOOKUP($B14,#REF!,7,0)</f>
        <v>#REF!</v>
      </c>
      <c r="I14" s="58" t="e">
        <f>VLOOKUP($B14,#REF!,8,0)</f>
        <v>#REF!</v>
      </c>
      <c r="J14" s="60"/>
      <c r="K14" s="58" t="s">
        <v>121</v>
      </c>
      <c r="L14" s="59">
        <v>28</v>
      </c>
      <c r="M14" s="58">
        <v>26</v>
      </c>
      <c r="N14" s="59">
        <v>19</v>
      </c>
      <c r="O14" s="57"/>
      <c r="P14" s="56"/>
      <c r="Q14" s="56"/>
      <c r="R14" s="56"/>
      <c r="S14" s="56"/>
      <c r="T14" s="56"/>
      <c r="AF14" s="64"/>
      <c r="AG14" s="64"/>
      <c r="AH14" s="64"/>
    </row>
    <row r="15" spans="1:73" ht="35.1" customHeight="1" x14ac:dyDescent="0.2">
      <c r="B15" s="65">
        <v>6</v>
      </c>
      <c r="C15" s="63" t="s">
        <v>33</v>
      </c>
      <c r="D15" s="58" t="e">
        <f>VLOOKUP($B15,#REF!,3,0)</f>
        <v>#REF!</v>
      </c>
      <c r="E15" s="58" t="e">
        <f>VLOOKUP($B15,#REF!,4,0)</f>
        <v>#REF!</v>
      </c>
      <c r="F15" s="58" t="e">
        <f>VLOOKUP($B15,#REF!,5,0)</f>
        <v>#REF!</v>
      </c>
      <c r="G15" s="58" t="e">
        <f>VLOOKUP($B15,#REF!,6,0)</f>
        <v>#REF!</v>
      </c>
      <c r="H15" s="58" t="e">
        <f>VLOOKUP($B15,#REF!,7,0)</f>
        <v>#REF!</v>
      </c>
      <c r="I15" s="58" t="e">
        <f>VLOOKUP($B15,#REF!,8,0)</f>
        <v>#REF!</v>
      </c>
      <c r="J15" s="60">
        <v>931</v>
      </c>
      <c r="K15" s="58" t="s">
        <v>121</v>
      </c>
      <c r="L15" s="58">
        <v>21</v>
      </c>
      <c r="M15" s="58">
        <v>18</v>
      </c>
      <c r="N15" s="58">
        <v>21</v>
      </c>
      <c r="O15" s="57"/>
      <c r="P15" s="56"/>
      <c r="Q15" s="56"/>
      <c r="R15" s="56"/>
      <c r="S15" s="56"/>
      <c r="T15" s="56"/>
      <c r="AF15" s="64"/>
      <c r="AG15" s="64"/>
      <c r="AH15" s="64"/>
    </row>
    <row r="16" spans="1:73" ht="35.1" customHeight="1" x14ac:dyDescent="0.2">
      <c r="B16" s="65">
        <v>7</v>
      </c>
      <c r="C16" s="63" t="s">
        <v>32</v>
      </c>
      <c r="D16" s="58" t="e">
        <f>VLOOKUP($B16,#REF!,3,0)</f>
        <v>#REF!</v>
      </c>
      <c r="E16" s="58" t="e">
        <f>VLOOKUP($B16,#REF!,4,0)</f>
        <v>#REF!</v>
      </c>
      <c r="F16" s="58" t="e">
        <f>VLOOKUP($B16,#REF!,5,0)</f>
        <v>#REF!</v>
      </c>
      <c r="G16" s="58" t="e">
        <f>VLOOKUP($B16,#REF!,6,0)</f>
        <v>#REF!</v>
      </c>
      <c r="H16" s="58" t="e">
        <f>VLOOKUP($B16,#REF!,7,0)</f>
        <v>#REF!</v>
      </c>
      <c r="I16" s="58" t="e">
        <f>VLOOKUP($B16,#REF!,8,0)</f>
        <v>#REF!</v>
      </c>
      <c r="J16" s="60"/>
      <c r="K16" s="58" t="s">
        <v>121</v>
      </c>
      <c r="L16" s="58">
        <v>20</v>
      </c>
      <c r="M16" s="58">
        <v>23</v>
      </c>
      <c r="N16" s="58">
        <v>28</v>
      </c>
      <c r="O16" s="57"/>
      <c r="P16" s="56"/>
      <c r="Q16" s="56"/>
      <c r="R16" s="56"/>
      <c r="S16" s="56"/>
      <c r="T16" s="56"/>
      <c r="AF16" s="64"/>
      <c r="AG16" s="64"/>
      <c r="AH16" s="64"/>
    </row>
    <row r="17" spans="2:34" ht="35.1" customHeight="1" x14ac:dyDescent="0.2">
      <c r="B17" s="65">
        <v>8</v>
      </c>
      <c r="C17" s="63" t="s">
        <v>33</v>
      </c>
      <c r="D17" s="58" t="e">
        <f>VLOOKUP($B17,#REF!,3,0)</f>
        <v>#REF!</v>
      </c>
      <c r="E17" s="58" t="e">
        <f>VLOOKUP($B17,#REF!,4,0)</f>
        <v>#REF!</v>
      </c>
      <c r="F17" s="58" t="e">
        <f>VLOOKUP($B17,#REF!,5,0)</f>
        <v>#REF!</v>
      </c>
      <c r="G17" s="58" t="e">
        <f>VLOOKUP($B17,#REF!,6,0)</f>
        <v>#REF!</v>
      </c>
      <c r="H17" s="58" t="e">
        <f>VLOOKUP($B17,#REF!,7,0)</f>
        <v>#REF!</v>
      </c>
      <c r="I17" s="58" t="e">
        <f>VLOOKUP($B17,#REF!,8,0)</f>
        <v>#REF!</v>
      </c>
      <c r="J17" s="60"/>
      <c r="K17" s="58" t="s">
        <v>121</v>
      </c>
      <c r="L17" s="58">
        <v>17</v>
      </c>
      <c r="M17" s="58">
        <v>21</v>
      </c>
      <c r="N17" s="58">
        <v>24</v>
      </c>
      <c r="O17" s="57"/>
      <c r="P17" s="56"/>
      <c r="Q17" s="56"/>
      <c r="R17" s="56"/>
      <c r="S17" s="56"/>
      <c r="T17" s="56"/>
      <c r="AF17" s="66"/>
      <c r="AG17" s="66"/>
      <c r="AH17" s="66"/>
    </row>
    <row r="18" spans="2:34" ht="35.1" customHeight="1" x14ac:dyDescent="0.2">
      <c r="B18" s="65">
        <v>9</v>
      </c>
      <c r="C18" s="63" t="s">
        <v>32</v>
      </c>
      <c r="D18" s="58" t="e">
        <f>VLOOKUP($B18,#REF!,3,0)</f>
        <v>#REF!</v>
      </c>
      <c r="E18" s="58" t="e">
        <f>VLOOKUP($B18,#REF!,4,0)</f>
        <v>#REF!</v>
      </c>
      <c r="F18" s="58" t="e">
        <f>VLOOKUP($B18,#REF!,5,0)</f>
        <v>#REF!</v>
      </c>
      <c r="G18" s="58" t="e">
        <f>VLOOKUP($B18,#REF!,6,0)</f>
        <v>#REF!</v>
      </c>
      <c r="H18" s="58" t="e">
        <f>VLOOKUP($B18,#REF!,7,0)</f>
        <v>#REF!</v>
      </c>
      <c r="I18" s="58" t="e">
        <f>VLOOKUP($B18,#REF!,8,0)</f>
        <v>#REF!</v>
      </c>
      <c r="J18" s="60"/>
      <c r="K18" s="58" t="s">
        <v>121</v>
      </c>
      <c r="L18" s="58">
        <v>29</v>
      </c>
      <c r="M18" s="58">
        <v>17</v>
      </c>
      <c r="N18" s="58">
        <v>27</v>
      </c>
      <c r="O18" s="57"/>
      <c r="P18" s="56"/>
      <c r="Q18" s="56"/>
      <c r="R18" s="56"/>
      <c r="S18" s="56"/>
      <c r="T18" s="56"/>
      <c r="AF18" s="64"/>
      <c r="AG18" s="64"/>
      <c r="AH18" s="64"/>
    </row>
    <row r="19" spans="2:34" ht="35.1" customHeight="1" x14ac:dyDescent="0.2">
      <c r="B19" s="62">
        <v>10</v>
      </c>
      <c r="C19" s="63" t="s">
        <v>33</v>
      </c>
      <c r="D19" s="58" t="e">
        <f>VLOOKUP($B19,#REF!,3,0)</f>
        <v>#REF!</v>
      </c>
      <c r="E19" s="58" t="e">
        <f>VLOOKUP($B19,#REF!,4,0)</f>
        <v>#REF!</v>
      </c>
      <c r="F19" s="58" t="e">
        <f>VLOOKUP($B19,#REF!,5,0)</f>
        <v>#REF!</v>
      </c>
      <c r="G19" s="58" t="e">
        <f>VLOOKUP($B19,#REF!,6,0)</f>
        <v>#REF!</v>
      </c>
      <c r="H19" s="58" t="e">
        <f>VLOOKUP($B19,#REF!,7,0)</f>
        <v>#REF!</v>
      </c>
      <c r="I19" s="58" t="e">
        <f>VLOOKUP($B19,#REF!,8,0)</f>
        <v>#REF!</v>
      </c>
      <c r="J19" s="60"/>
      <c r="K19" s="58" t="s">
        <v>121</v>
      </c>
      <c r="L19" s="58">
        <v>22</v>
      </c>
      <c r="M19" s="58">
        <v>20</v>
      </c>
      <c r="N19" s="58">
        <v>25</v>
      </c>
      <c r="O19" s="57"/>
      <c r="P19" s="56"/>
      <c r="Q19" s="56"/>
      <c r="R19" s="56"/>
      <c r="S19" s="56"/>
      <c r="T19" s="56"/>
    </row>
    <row r="20" spans="2:34" ht="35.1" customHeight="1" x14ac:dyDescent="0.2">
      <c r="B20" s="62">
        <v>11</v>
      </c>
      <c r="C20" s="63" t="s">
        <v>32</v>
      </c>
      <c r="D20" s="58" t="e">
        <f>VLOOKUP($B20,#REF!,3,0)</f>
        <v>#REF!</v>
      </c>
      <c r="E20" s="58" t="e">
        <f>VLOOKUP($B20,#REF!,4,0)</f>
        <v>#REF!</v>
      </c>
      <c r="F20" s="58" t="e">
        <f>VLOOKUP($B20,#REF!,5,0)</f>
        <v>#REF!</v>
      </c>
      <c r="G20" s="58" t="e">
        <f>VLOOKUP($B20,#REF!,6,0)</f>
        <v>#REF!</v>
      </c>
      <c r="H20" s="58" t="e">
        <f>VLOOKUP($B20,#REF!,7,0)</f>
        <v>#REF!</v>
      </c>
      <c r="I20" s="58" t="e">
        <f>VLOOKUP($B20,#REF!,8,0)</f>
        <v>#REF!</v>
      </c>
      <c r="J20" s="60"/>
      <c r="K20" s="58" t="s">
        <v>121</v>
      </c>
      <c r="L20" s="59">
        <v>24</v>
      </c>
      <c r="M20" s="58">
        <v>22</v>
      </c>
      <c r="N20" s="58">
        <v>29</v>
      </c>
      <c r="O20" s="57"/>
      <c r="P20" s="56"/>
      <c r="Q20" s="56"/>
      <c r="R20" s="56"/>
      <c r="S20" s="56"/>
      <c r="T20" s="56"/>
    </row>
    <row r="21" spans="2:34" ht="35.1" customHeight="1" x14ac:dyDescent="0.2">
      <c r="B21" s="62">
        <v>12</v>
      </c>
      <c r="C21" s="63" t="s">
        <v>33</v>
      </c>
      <c r="D21" s="58" t="e">
        <f>VLOOKUP($B21,#REF!,3,0)</f>
        <v>#REF!</v>
      </c>
      <c r="E21" s="58" t="e">
        <f>VLOOKUP($B21,#REF!,4,0)</f>
        <v>#REF!</v>
      </c>
      <c r="F21" s="58" t="e">
        <f>VLOOKUP($B21,#REF!,5,0)</f>
        <v>#REF!</v>
      </c>
      <c r="G21" s="58" t="e">
        <f>VLOOKUP($B21,#REF!,6,0)</f>
        <v>#REF!</v>
      </c>
      <c r="H21" s="58" t="e">
        <f>VLOOKUP($B21,#REF!,7,0)</f>
        <v>#REF!</v>
      </c>
      <c r="I21" s="58" t="e">
        <f>VLOOKUP($B21,#REF!,8,0)</f>
        <v>#REF!</v>
      </c>
      <c r="J21" s="60"/>
      <c r="K21" s="58" t="s">
        <v>121</v>
      </c>
      <c r="L21" s="58">
        <v>27</v>
      </c>
      <c r="M21" s="58">
        <v>26</v>
      </c>
      <c r="N21" s="58">
        <v>25</v>
      </c>
      <c r="O21" s="57"/>
      <c r="P21" s="56"/>
      <c r="Q21" s="56"/>
      <c r="R21" s="56"/>
      <c r="S21" s="56"/>
      <c r="T21" s="56"/>
    </row>
    <row r="22" spans="2:34" ht="35.1" customHeight="1" x14ac:dyDescent="0.2">
      <c r="B22" s="62">
        <v>13</v>
      </c>
      <c r="C22" s="63" t="s">
        <v>32</v>
      </c>
      <c r="D22" s="58" t="e">
        <f>VLOOKUP($B22,#REF!,3,0)</f>
        <v>#REF!</v>
      </c>
      <c r="E22" s="58" t="e">
        <f>VLOOKUP($B22,#REF!,4,0)</f>
        <v>#REF!</v>
      </c>
      <c r="F22" s="58" t="e">
        <f>VLOOKUP($B22,#REF!,5,0)</f>
        <v>#REF!</v>
      </c>
      <c r="G22" s="58" t="e">
        <f>VLOOKUP($B22,#REF!,6,0)</f>
        <v>#REF!</v>
      </c>
      <c r="H22" s="58" t="e">
        <f>VLOOKUP($B22,#REF!,7,0)</f>
        <v>#REF!</v>
      </c>
      <c r="I22" s="58" t="e">
        <f>VLOOKUP($B22,#REF!,8,0)</f>
        <v>#REF!</v>
      </c>
      <c r="J22" s="60">
        <v>1006</v>
      </c>
      <c r="K22" s="58" t="s">
        <v>121</v>
      </c>
      <c r="L22" s="58">
        <v>17</v>
      </c>
      <c r="M22" s="58">
        <v>32</v>
      </c>
      <c r="N22" s="58">
        <v>26</v>
      </c>
      <c r="O22" s="57"/>
      <c r="P22" s="56"/>
      <c r="Q22" s="56"/>
      <c r="R22" s="56"/>
      <c r="S22" s="56"/>
      <c r="T22" s="56"/>
    </row>
    <row r="23" spans="2:34" ht="35.1" customHeight="1" x14ac:dyDescent="0.2">
      <c r="B23" s="62">
        <v>14</v>
      </c>
      <c r="C23" s="63" t="s">
        <v>33</v>
      </c>
      <c r="D23" s="58" t="e">
        <f>VLOOKUP($B23,#REF!,3,0)</f>
        <v>#REF!</v>
      </c>
      <c r="E23" s="58" t="e">
        <f>VLOOKUP($B23,#REF!,4,0)</f>
        <v>#REF!</v>
      </c>
      <c r="F23" s="58" t="e">
        <f>VLOOKUP($B23,#REF!,5,0)</f>
        <v>#REF!</v>
      </c>
      <c r="G23" s="58" t="e">
        <f>VLOOKUP($B23,#REF!,6,0)</f>
        <v>#REF!</v>
      </c>
      <c r="H23" s="58" t="e">
        <f>VLOOKUP($B23,#REF!,7,0)</f>
        <v>#REF!</v>
      </c>
      <c r="I23" s="58" t="e">
        <f>VLOOKUP($B23,#REF!,8,0)</f>
        <v>#REF!</v>
      </c>
      <c r="J23" s="60"/>
      <c r="K23" s="58" t="s">
        <v>121</v>
      </c>
      <c r="L23" s="58">
        <v>16</v>
      </c>
      <c r="M23" s="58">
        <v>11</v>
      </c>
      <c r="N23" s="58">
        <v>18</v>
      </c>
      <c r="O23" s="57"/>
      <c r="P23" s="56"/>
      <c r="Q23" s="56"/>
      <c r="R23" s="56"/>
      <c r="S23" s="56"/>
      <c r="T23" s="56"/>
    </row>
    <row r="24" spans="2:34" ht="35.1" customHeight="1" x14ac:dyDescent="0.2">
      <c r="B24" s="62">
        <v>15</v>
      </c>
      <c r="C24" s="63" t="s">
        <v>32</v>
      </c>
      <c r="D24" s="58" t="e">
        <f>VLOOKUP($B24,#REF!,3,0)</f>
        <v>#REF!</v>
      </c>
      <c r="E24" s="58" t="e">
        <f>VLOOKUP($B24,#REF!,4,0)</f>
        <v>#REF!</v>
      </c>
      <c r="F24" s="58" t="e">
        <f>VLOOKUP($B24,#REF!,5,0)</f>
        <v>#REF!</v>
      </c>
      <c r="G24" s="58" t="e">
        <f>VLOOKUP($B24,#REF!,6,0)</f>
        <v>#REF!</v>
      </c>
      <c r="H24" s="58" t="e">
        <f>VLOOKUP($B24,#REF!,7,0)</f>
        <v>#REF!</v>
      </c>
      <c r="I24" s="58" t="e">
        <f>VLOOKUP($B24,#REF!,8,0)</f>
        <v>#REF!</v>
      </c>
      <c r="J24" s="60"/>
      <c r="K24" s="58" t="s">
        <v>121</v>
      </c>
      <c r="L24" s="59">
        <v>18</v>
      </c>
      <c r="M24" s="58">
        <v>18</v>
      </c>
      <c r="N24" s="58">
        <v>24</v>
      </c>
      <c r="O24" s="57"/>
      <c r="P24" s="56"/>
      <c r="Q24" s="56"/>
      <c r="R24" s="56"/>
      <c r="S24" s="56"/>
      <c r="T24" s="56"/>
    </row>
    <row r="25" spans="2:34" ht="35.1" customHeight="1" x14ac:dyDescent="0.2">
      <c r="B25" s="62">
        <v>16</v>
      </c>
      <c r="C25" s="61" t="s">
        <v>122</v>
      </c>
      <c r="D25" s="58" t="e">
        <f>VLOOKUP($B25,#REF!,3,0)</f>
        <v>#REF!</v>
      </c>
      <c r="E25" s="58" t="e">
        <f>VLOOKUP($B25,#REF!,4,0)</f>
        <v>#REF!</v>
      </c>
      <c r="F25" s="58" t="e">
        <f>VLOOKUP($B25,#REF!,5,0)</f>
        <v>#REF!</v>
      </c>
      <c r="G25" s="58" t="e">
        <f>VLOOKUP($B25,#REF!,6,0)</f>
        <v>#REF!</v>
      </c>
      <c r="H25" s="58" t="e">
        <f>VLOOKUP($B25,#REF!,7,0)</f>
        <v>#REF!</v>
      </c>
      <c r="I25" s="58" t="e">
        <f>VLOOKUP($B25,#REF!,8,0)</f>
        <v>#REF!</v>
      </c>
      <c r="J25" s="60">
        <v>1025</v>
      </c>
      <c r="K25" s="58" t="s">
        <v>121</v>
      </c>
      <c r="L25" s="59">
        <v>17</v>
      </c>
      <c r="M25" s="59">
        <v>19</v>
      </c>
      <c r="N25" s="58">
        <v>21</v>
      </c>
      <c r="O25" s="57"/>
      <c r="P25" s="56"/>
      <c r="Q25" s="56"/>
      <c r="R25" s="56"/>
      <c r="S25" s="56"/>
      <c r="T25" s="56"/>
    </row>
    <row r="28" spans="2:34" x14ac:dyDescent="0.2">
      <c r="L28" s="55">
        <f>AVERAGE(L10:L25)</f>
        <v>21.333333333333332</v>
      </c>
      <c r="M28" s="55">
        <f>AVERAGE(M10:M25)</f>
        <v>21.866666666666667</v>
      </c>
      <c r="N28" s="55">
        <f>AVERAGE(N10:N25)</f>
        <v>22.733333333333334</v>
      </c>
    </row>
    <row r="30" spans="2:34" x14ac:dyDescent="0.2">
      <c r="L30" s="55">
        <f>AVERAGE(L28:N28)</f>
        <v>21.977777777777778</v>
      </c>
    </row>
    <row r="32" spans="2:34" x14ac:dyDescent="0.2">
      <c r="L32" s="55">
        <f>AVERAGE(L14:N25,L10:N12)</f>
        <v>21.977777777777778</v>
      </c>
    </row>
    <row r="34" spans="2:14" x14ac:dyDescent="0.2">
      <c r="M34" s="55">
        <f>L32*(40*2.54/100)</f>
        <v>22.329422222222224</v>
      </c>
    </row>
    <row r="36" spans="2:14" x14ac:dyDescent="0.2">
      <c r="M36" s="95">
        <f>AVERAGE(L38:N53)</f>
        <v>21.631671041119851</v>
      </c>
    </row>
    <row r="38" spans="2:14" x14ac:dyDescent="0.2">
      <c r="B38" s="55">
        <v>1</v>
      </c>
      <c r="C38" s="55" t="s">
        <v>131</v>
      </c>
      <c r="L38" s="95">
        <f>L10/(1*1.016)</f>
        <v>18.700787401574804</v>
      </c>
      <c r="M38" s="95">
        <f t="shared" ref="M38:N38" si="0">M10/(1*1.016)</f>
        <v>25.590551181102363</v>
      </c>
      <c r="N38" s="95">
        <f t="shared" si="0"/>
        <v>16.73228346456693</v>
      </c>
    </row>
    <row r="39" spans="2:14" x14ac:dyDescent="0.2">
      <c r="B39" s="55">
        <v>2</v>
      </c>
      <c r="C39" s="55" t="s">
        <v>132</v>
      </c>
      <c r="L39" s="95">
        <f t="shared" ref="L39:N39" si="1">L11/(1*1.016)</f>
        <v>20.669291338582678</v>
      </c>
      <c r="M39" s="95">
        <f t="shared" si="1"/>
        <v>22.637795275590552</v>
      </c>
      <c r="N39" s="95">
        <f t="shared" si="1"/>
        <v>14.763779527559056</v>
      </c>
    </row>
    <row r="40" spans="2:14" x14ac:dyDescent="0.2">
      <c r="B40" s="55">
        <v>3</v>
      </c>
      <c r="C40" s="55" t="s">
        <v>53</v>
      </c>
      <c r="L40" s="95">
        <f t="shared" ref="L40:N40" si="2">L12/(1*1.016)</f>
        <v>23.622047244094489</v>
      </c>
      <c r="M40" s="95">
        <f t="shared" si="2"/>
        <v>25.590551181102363</v>
      </c>
      <c r="N40" s="95">
        <f t="shared" si="2"/>
        <v>21.653543307086615</v>
      </c>
    </row>
    <row r="41" spans="2:14" x14ac:dyDescent="0.2">
      <c r="B41" s="55">
        <v>4</v>
      </c>
      <c r="L41" s="95"/>
      <c r="M41" s="95"/>
      <c r="N41" s="95"/>
    </row>
    <row r="42" spans="2:14" x14ac:dyDescent="0.2">
      <c r="B42" s="55">
        <v>5</v>
      </c>
      <c r="C42" s="55" t="s">
        <v>132</v>
      </c>
      <c r="L42" s="95">
        <f t="shared" ref="L42:N42" si="3">L14/(1*1.016)</f>
        <v>27.559055118110237</v>
      </c>
      <c r="M42" s="95">
        <f t="shared" si="3"/>
        <v>25.590551181102363</v>
      </c>
      <c r="N42" s="95">
        <f t="shared" si="3"/>
        <v>18.700787401574804</v>
      </c>
    </row>
    <row r="43" spans="2:14" x14ac:dyDescent="0.2">
      <c r="B43" s="55">
        <v>6</v>
      </c>
      <c r="C43" s="55" t="s">
        <v>53</v>
      </c>
      <c r="L43" s="95">
        <f t="shared" ref="L43:N43" si="4">L15/(1*1.016)</f>
        <v>20.669291338582678</v>
      </c>
      <c r="M43" s="95">
        <f t="shared" si="4"/>
        <v>17.716535433070867</v>
      </c>
      <c r="N43" s="95">
        <f t="shared" si="4"/>
        <v>20.669291338582678</v>
      </c>
    </row>
    <row r="44" spans="2:14" x14ac:dyDescent="0.2">
      <c r="B44" s="55">
        <v>7</v>
      </c>
      <c r="C44" s="55" t="s">
        <v>132</v>
      </c>
      <c r="L44" s="95">
        <f t="shared" ref="L44:N44" si="5">L16/(1*1.016)</f>
        <v>19.685039370078741</v>
      </c>
      <c r="M44" s="95">
        <f t="shared" si="5"/>
        <v>22.637795275590552</v>
      </c>
      <c r="N44" s="95">
        <f t="shared" si="5"/>
        <v>27.559055118110237</v>
      </c>
    </row>
    <row r="45" spans="2:14" x14ac:dyDescent="0.2">
      <c r="B45" s="55">
        <v>8</v>
      </c>
      <c r="C45" s="55" t="s">
        <v>53</v>
      </c>
      <c r="L45" s="95">
        <f t="shared" ref="L45:N45" si="6">L17/(1*1.016)</f>
        <v>16.73228346456693</v>
      </c>
      <c r="M45" s="95">
        <f t="shared" si="6"/>
        <v>20.669291338582678</v>
      </c>
      <c r="N45" s="95">
        <f t="shared" si="6"/>
        <v>23.622047244094489</v>
      </c>
    </row>
    <row r="46" spans="2:14" x14ac:dyDescent="0.2">
      <c r="B46" s="55">
        <v>9</v>
      </c>
      <c r="C46" s="55" t="s">
        <v>132</v>
      </c>
      <c r="L46" s="95">
        <f t="shared" ref="L46:N46" si="7">L18/(1*1.016)</f>
        <v>28.543307086614174</v>
      </c>
      <c r="M46" s="95">
        <f t="shared" si="7"/>
        <v>16.73228346456693</v>
      </c>
      <c r="N46" s="95">
        <f t="shared" si="7"/>
        <v>26.5748031496063</v>
      </c>
    </row>
    <row r="47" spans="2:14" x14ac:dyDescent="0.2">
      <c r="B47" s="55">
        <v>10</v>
      </c>
      <c r="C47" s="55" t="s">
        <v>53</v>
      </c>
      <c r="L47" s="95">
        <f t="shared" ref="L47:N47" si="8">L19/(1*1.016)</f>
        <v>21.653543307086615</v>
      </c>
      <c r="M47" s="95">
        <f t="shared" si="8"/>
        <v>19.685039370078741</v>
      </c>
      <c r="N47" s="95">
        <f t="shared" si="8"/>
        <v>24.606299212598426</v>
      </c>
    </row>
    <row r="48" spans="2:14" x14ac:dyDescent="0.2">
      <c r="B48" s="55">
        <v>11</v>
      </c>
      <c r="C48" s="55" t="s">
        <v>132</v>
      </c>
      <c r="L48" s="95">
        <f t="shared" ref="L48:N48" si="9">L20/(1*1.016)</f>
        <v>23.622047244094489</v>
      </c>
      <c r="M48" s="95">
        <f t="shared" si="9"/>
        <v>21.653543307086615</v>
      </c>
      <c r="N48" s="95">
        <f t="shared" si="9"/>
        <v>28.543307086614174</v>
      </c>
    </row>
    <row r="49" spans="2:14" x14ac:dyDescent="0.2">
      <c r="B49" s="55">
        <v>12</v>
      </c>
      <c r="C49" s="55" t="s">
        <v>53</v>
      </c>
      <c r="L49" s="95">
        <f t="shared" ref="L49:N49" si="10">L21/(1*1.016)</f>
        <v>26.5748031496063</v>
      </c>
      <c r="M49" s="95">
        <f t="shared" si="10"/>
        <v>25.590551181102363</v>
      </c>
      <c r="N49" s="95">
        <f t="shared" si="10"/>
        <v>24.606299212598426</v>
      </c>
    </row>
    <row r="50" spans="2:14" x14ac:dyDescent="0.2">
      <c r="B50" s="55">
        <v>13</v>
      </c>
      <c r="C50" s="55" t="s">
        <v>132</v>
      </c>
      <c r="L50" s="95">
        <f t="shared" ref="L50:N50" si="11">L22/(1*1.016)</f>
        <v>16.73228346456693</v>
      </c>
      <c r="M50" s="95">
        <f t="shared" si="11"/>
        <v>31.496062992125985</v>
      </c>
      <c r="N50" s="95">
        <f t="shared" si="11"/>
        <v>25.590551181102363</v>
      </c>
    </row>
    <row r="51" spans="2:14" x14ac:dyDescent="0.2">
      <c r="B51" s="55">
        <v>14</v>
      </c>
      <c r="C51" s="55" t="s">
        <v>53</v>
      </c>
      <c r="L51" s="95">
        <f t="shared" ref="L51:N51" si="12">L23/(1*1.016)</f>
        <v>15.748031496062993</v>
      </c>
      <c r="M51" s="95">
        <f t="shared" si="12"/>
        <v>10.826771653543307</v>
      </c>
      <c r="N51" s="95">
        <f t="shared" si="12"/>
        <v>17.716535433070867</v>
      </c>
    </row>
    <row r="52" spans="2:14" x14ac:dyDescent="0.2">
      <c r="B52" s="55">
        <v>15</v>
      </c>
      <c r="C52" s="55" t="s">
        <v>132</v>
      </c>
      <c r="L52" s="95">
        <f t="shared" ref="L52:N52" si="13">L24/(1*1.016)</f>
        <v>17.716535433070867</v>
      </c>
      <c r="M52" s="95">
        <f t="shared" si="13"/>
        <v>17.716535433070867</v>
      </c>
      <c r="N52" s="95">
        <f t="shared" si="13"/>
        <v>23.622047244094489</v>
      </c>
    </row>
    <row r="53" spans="2:14" x14ac:dyDescent="0.2">
      <c r="B53" s="55">
        <v>16</v>
      </c>
      <c r="C53" s="55" t="s">
        <v>133</v>
      </c>
      <c r="L53" s="95">
        <f t="shared" ref="L53:N53" si="14">L25/(1*1.016)</f>
        <v>16.73228346456693</v>
      </c>
      <c r="M53" s="95">
        <f t="shared" si="14"/>
        <v>18.700787401574804</v>
      </c>
      <c r="N53" s="95">
        <f t="shared" si="14"/>
        <v>20.669291338582678</v>
      </c>
    </row>
  </sheetData>
  <mergeCells count="4">
    <mergeCell ref="AF5:AH5"/>
    <mergeCell ref="L6:N6"/>
    <mergeCell ref="O7:O8"/>
    <mergeCell ref="B8:K8"/>
  </mergeCells>
  <pageMargins left="0.45" right="0" top="0.49" bottom="0" header="0.64" footer="0"/>
  <pageSetup paperSize="512" scale="74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A2E6-EEFA-4347-8CFD-0C2F7C3ECB4B}">
  <sheetPr>
    <pageSetUpPr fitToPage="1"/>
  </sheetPr>
  <dimension ref="A1:BT41"/>
  <sheetViews>
    <sheetView zoomScale="85" zoomScaleNormal="85" workbookViewId="0">
      <selection activeCell="S18" sqref="S18"/>
    </sheetView>
  </sheetViews>
  <sheetFormatPr defaultRowHeight="12.75" x14ac:dyDescent="0.2"/>
  <cols>
    <col min="1" max="1" width="5.42578125" style="55" customWidth="1"/>
    <col min="2" max="2" width="6.28515625" style="55" customWidth="1"/>
    <col min="3" max="3" width="12.7109375" style="55" customWidth="1"/>
    <col min="4" max="8" width="5.28515625" style="55" hidden="1" customWidth="1"/>
    <col min="9" max="9" width="7" style="55" hidden="1" customWidth="1"/>
    <col min="10" max="10" width="8.42578125" style="55" customWidth="1"/>
    <col min="11" max="14" width="12.7109375" style="55" customWidth="1"/>
    <col min="15" max="15" width="2.85546875" style="55" customWidth="1"/>
    <col min="16" max="17" width="9.140625" style="55"/>
    <col min="18" max="19" width="8.85546875" style="86" customWidth="1"/>
    <col min="20" max="20" width="9.140625" style="55"/>
    <col min="21" max="21" width="7.5703125" style="55" customWidth="1"/>
    <col min="22" max="31" width="7.7109375" style="55" customWidth="1"/>
    <col min="32" max="16384" width="9.140625" style="55"/>
  </cols>
  <sheetData>
    <row r="1" spans="1:72" ht="15" customHeight="1" x14ac:dyDescent="0.25">
      <c r="A1" s="94" t="s">
        <v>146</v>
      </c>
    </row>
    <row r="2" spans="1:72" ht="20.25" customHeight="1" thickBot="1" x14ac:dyDescent="0.3">
      <c r="A2" s="94"/>
      <c r="M2" s="73" t="s">
        <v>0</v>
      </c>
      <c r="N2" s="93">
        <v>40032</v>
      </c>
    </row>
    <row r="3" spans="1:72" ht="20.25" customHeight="1" thickBot="1" x14ac:dyDescent="0.25">
      <c r="A3" s="55" t="s">
        <v>1</v>
      </c>
      <c r="C3" s="91" t="s">
        <v>145</v>
      </c>
      <c r="D3" s="91"/>
      <c r="E3" s="91"/>
      <c r="F3" s="91"/>
      <c r="G3" s="91"/>
      <c r="H3" s="91"/>
      <c r="I3" s="91"/>
      <c r="J3" s="91"/>
      <c r="K3" s="91"/>
      <c r="L3" s="91"/>
      <c r="M3" s="73" t="s">
        <v>23</v>
      </c>
      <c r="N3" s="89">
        <v>219</v>
      </c>
    </row>
    <row r="4" spans="1:72" ht="20.25" customHeight="1" thickBot="1" x14ac:dyDescent="0.25">
      <c r="B4" s="91" t="s">
        <v>144</v>
      </c>
      <c r="C4" s="91"/>
      <c r="D4" s="90"/>
      <c r="E4" s="90"/>
      <c r="F4" s="90"/>
      <c r="G4" s="90"/>
      <c r="H4" s="90"/>
      <c r="I4" s="90"/>
      <c r="J4" s="90"/>
      <c r="K4" s="90"/>
      <c r="L4" s="90"/>
      <c r="M4" s="73" t="s">
        <v>2</v>
      </c>
      <c r="N4" s="89" t="s">
        <v>26</v>
      </c>
    </row>
    <row r="5" spans="1:72" ht="18" x14ac:dyDescent="0.2">
      <c r="B5" s="55" t="s">
        <v>143</v>
      </c>
      <c r="AD5" s="86"/>
      <c r="AE5" s="145"/>
      <c r="AF5" s="145"/>
      <c r="AG5" s="145"/>
    </row>
    <row r="6" spans="1:72" ht="18" x14ac:dyDescent="0.25">
      <c r="L6" s="146"/>
      <c r="M6" s="147"/>
      <c r="N6" s="148"/>
      <c r="AD6" s="86"/>
      <c r="AE6" s="85"/>
      <c r="AF6" s="85"/>
      <c r="AG6" s="85"/>
    </row>
    <row r="7" spans="1:72" ht="25.5" customHeight="1" thickBot="1" x14ac:dyDescent="0.25">
      <c r="B7" s="83" t="s">
        <v>27</v>
      </c>
      <c r="C7" s="84"/>
      <c r="D7" s="84" t="s">
        <v>4</v>
      </c>
      <c r="E7" s="83" t="s">
        <v>5</v>
      </c>
      <c r="F7" s="84" t="s">
        <v>6</v>
      </c>
      <c r="G7" s="83" t="s">
        <v>7</v>
      </c>
      <c r="H7" s="83" t="s">
        <v>8</v>
      </c>
      <c r="I7" s="83" t="s">
        <v>9</v>
      </c>
      <c r="J7" s="83" t="s">
        <v>14</v>
      </c>
      <c r="K7" s="82" t="s">
        <v>24</v>
      </c>
      <c r="L7" s="81" t="s">
        <v>37</v>
      </c>
      <c r="M7" s="81" t="s">
        <v>38</v>
      </c>
      <c r="N7" s="81" t="s">
        <v>39</v>
      </c>
      <c r="P7" s="114" t="s">
        <v>142</v>
      </c>
      <c r="AD7" s="80"/>
      <c r="AE7" s="66"/>
      <c r="AF7" s="66"/>
    </row>
    <row r="8" spans="1:72" ht="15.95" customHeight="1" thickTop="1" thickBot="1" x14ac:dyDescent="0.3">
      <c r="B8" s="151"/>
      <c r="C8" s="152"/>
      <c r="D8" s="152"/>
      <c r="E8" s="152"/>
      <c r="F8" s="152"/>
      <c r="G8" s="152"/>
      <c r="H8" s="152"/>
      <c r="I8" s="152"/>
      <c r="J8" s="152"/>
      <c r="K8" s="153"/>
      <c r="L8" s="79" t="s">
        <v>29</v>
      </c>
      <c r="M8" s="79"/>
      <c r="N8" s="79"/>
      <c r="R8" s="113"/>
      <c r="S8" s="112" t="s">
        <v>142</v>
      </c>
      <c r="AE8" s="64"/>
      <c r="AF8" s="64"/>
      <c r="AG8" s="64"/>
    </row>
    <row r="9" spans="1:72" ht="15.95" hidden="1" customHeight="1" x14ac:dyDescent="0.2">
      <c r="B9" s="110" t="s">
        <v>3</v>
      </c>
      <c r="C9" s="111" t="s">
        <v>10</v>
      </c>
      <c r="D9" s="111" t="s">
        <v>14</v>
      </c>
      <c r="E9" s="110" t="s">
        <v>15</v>
      </c>
      <c r="F9" s="111" t="s">
        <v>16</v>
      </c>
      <c r="G9" s="110" t="s">
        <v>17</v>
      </c>
      <c r="H9" s="110" t="s">
        <v>8</v>
      </c>
      <c r="I9" s="110" t="s">
        <v>18</v>
      </c>
      <c r="J9" s="109" t="s">
        <v>11</v>
      </c>
      <c r="K9" s="109" t="s">
        <v>19</v>
      </c>
      <c r="L9" s="108" t="s">
        <v>20</v>
      </c>
      <c r="M9" s="108" t="s">
        <v>21</v>
      </c>
      <c r="N9" s="108" t="s">
        <v>22</v>
      </c>
      <c r="R9" s="107"/>
      <c r="S9" s="106"/>
      <c r="AE9" s="64"/>
      <c r="AF9" s="64"/>
      <c r="AG9" s="64"/>
    </row>
    <row r="10" spans="1:72" ht="24" customHeight="1" x14ac:dyDescent="0.2">
      <c r="B10" s="160">
        <v>1</v>
      </c>
      <c r="C10" s="162" t="s">
        <v>31</v>
      </c>
      <c r="D10" s="58" t="e">
        <f>VLOOKUP($B10,#REF!,3,0)</f>
        <v>#REF!</v>
      </c>
      <c r="E10" s="58" t="e">
        <f>VLOOKUP($B10,#REF!,4,0)</f>
        <v>#REF!</v>
      </c>
      <c r="F10" s="58" t="e">
        <f>VLOOKUP($B10,#REF!,5,0)</f>
        <v>#REF!</v>
      </c>
      <c r="G10" s="58" t="e">
        <f>VLOOKUP($B10,#REF!,6,0)</f>
        <v>#REF!</v>
      </c>
      <c r="H10" s="58" t="e">
        <f>VLOOKUP($B10,#REF!,7,0)</f>
        <v>#REF!</v>
      </c>
      <c r="I10" s="58" t="e">
        <f>VLOOKUP($B10,#REF!,8,0)</f>
        <v>#REF!</v>
      </c>
      <c r="J10" s="164" t="s">
        <v>139</v>
      </c>
      <c r="K10" s="155" t="s">
        <v>135</v>
      </c>
      <c r="L10" s="157">
        <v>4</v>
      </c>
      <c r="M10" s="157">
        <v>4</v>
      </c>
      <c r="N10" s="159">
        <v>5</v>
      </c>
      <c r="O10" s="56"/>
      <c r="P10" s="154">
        <f>AVERAGE(L10:N11)</f>
        <v>4.333333333333333</v>
      </c>
      <c r="Q10" s="56"/>
      <c r="R10" s="103" t="s">
        <v>140</v>
      </c>
      <c r="S10" s="102">
        <f>AVERAGE(L16:N17,L22:N23,L32:N33,L36:N37)</f>
        <v>3.75</v>
      </c>
      <c r="AE10" s="64"/>
      <c r="AF10" s="64"/>
      <c r="AG10" s="74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</row>
    <row r="11" spans="1:72" ht="24" customHeight="1" thickBot="1" x14ac:dyDescent="0.25">
      <c r="B11" s="161"/>
      <c r="C11" s="163"/>
      <c r="D11" s="97" t="e">
        <f>VLOOKUP($B11,#REF!,3,0)</f>
        <v>#REF!</v>
      </c>
      <c r="E11" s="97" t="e">
        <f>VLOOKUP($B11,#REF!,4,0)</f>
        <v>#REF!</v>
      </c>
      <c r="F11" s="97" t="e">
        <f>VLOOKUP($B11,#REF!,5,0)</f>
        <v>#REF!</v>
      </c>
      <c r="G11" s="97" t="e">
        <f>VLOOKUP($B11,#REF!,6,0)</f>
        <v>#REF!</v>
      </c>
      <c r="H11" s="97" t="e">
        <f>VLOOKUP($B11,#REF!,7,0)</f>
        <v>#REF!</v>
      </c>
      <c r="I11" s="97" t="e">
        <f>VLOOKUP($B11,#REF!,8,0)</f>
        <v>#REF!</v>
      </c>
      <c r="J11" s="165"/>
      <c r="K11" s="156"/>
      <c r="L11" s="158"/>
      <c r="M11" s="158"/>
      <c r="N11" s="158"/>
      <c r="O11" s="56"/>
      <c r="P11" s="154"/>
      <c r="Q11" s="56"/>
      <c r="R11" s="101"/>
      <c r="S11" s="100"/>
      <c r="AE11" s="64"/>
      <c r="AF11" s="64"/>
      <c r="AG11" s="74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</row>
    <row r="12" spans="1:72" ht="24" customHeight="1" x14ac:dyDescent="0.2">
      <c r="B12" s="160">
        <v>2</v>
      </c>
      <c r="C12" s="166" t="s">
        <v>32</v>
      </c>
      <c r="D12" s="105" t="e">
        <f>VLOOKUP($B12,#REF!,3,0)</f>
        <v>#REF!</v>
      </c>
      <c r="E12" s="105" t="e">
        <f>VLOOKUP($B12,#REF!,4,0)</f>
        <v>#REF!</v>
      </c>
      <c r="F12" s="105" t="e">
        <f>VLOOKUP($B12,#REF!,5,0)</f>
        <v>#REF!</v>
      </c>
      <c r="G12" s="105" t="e">
        <f>VLOOKUP($B12,#REF!,6,0)</f>
        <v>#REF!</v>
      </c>
      <c r="H12" s="105" t="e">
        <f>VLOOKUP($B12,#REF!,7,0)</f>
        <v>#REF!</v>
      </c>
      <c r="I12" s="105" t="e">
        <f>VLOOKUP($B12,#REF!,8,0)</f>
        <v>#REF!</v>
      </c>
      <c r="J12" s="168" t="s">
        <v>138</v>
      </c>
      <c r="K12" s="155" t="s">
        <v>135</v>
      </c>
      <c r="L12" s="157">
        <v>3</v>
      </c>
      <c r="M12" s="157">
        <v>4</v>
      </c>
      <c r="N12" s="159">
        <v>4</v>
      </c>
      <c r="O12" s="56"/>
      <c r="P12" s="154">
        <f>AVERAGE(L12:N13)</f>
        <v>3.6666666666666665</v>
      </c>
      <c r="Q12" s="56"/>
      <c r="R12" s="104" t="s">
        <v>138</v>
      </c>
      <c r="S12" s="102">
        <f>AVERAGE(L12:N13,L24:N25,L28:N29,L40:N41)</f>
        <v>3.4166666666666665</v>
      </c>
      <c r="AE12" s="64"/>
      <c r="AF12" s="64"/>
      <c r="AG12" s="64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</row>
    <row r="13" spans="1:72" ht="24" customHeight="1" thickBot="1" x14ac:dyDescent="0.25">
      <c r="B13" s="161"/>
      <c r="C13" s="167"/>
      <c r="D13" s="97" t="e">
        <f>VLOOKUP($B13,#REF!,3,0)</f>
        <v>#REF!</v>
      </c>
      <c r="E13" s="97" t="e">
        <f>VLOOKUP($B13,#REF!,4,0)</f>
        <v>#REF!</v>
      </c>
      <c r="F13" s="97" t="e">
        <f>VLOOKUP($B13,#REF!,5,0)</f>
        <v>#REF!</v>
      </c>
      <c r="G13" s="97" t="e">
        <f>VLOOKUP($B13,#REF!,6,0)</f>
        <v>#REF!</v>
      </c>
      <c r="H13" s="97" t="e">
        <f>VLOOKUP($B13,#REF!,7,0)</f>
        <v>#REF!</v>
      </c>
      <c r="I13" s="97" t="e">
        <f>VLOOKUP($B13,#REF!,8,0)</f>
        <v>#REF!</v>
      </c>
      <c r="J13" s="165"/>
      <c r="K13" s="156"/>
      <c r="L13" s="158"/>
      <c r="M13" s="158"/>
      <c r="N13" s="158"/>
      <c r="O13" s="56"/>
      <c r="P13" s="154"/>
      <c r="Q13" s="56"/>
      <c r="R13" s="101"/>
      <c r="S13" s="100"/>
      <c r="AE13" s="64"/>
      <c r="AF13" s="64"/>
      <c r="AG13" s="74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</row>
    <row r="14" spans="1:72" ht="24" customHeight="1" x14ac:dyDescent="0.2">
      <c r="B14" s="160">
        <v>3</v>
      </c>
      <c r="C14" s="166" t="s">
        <v>33</v>
      </c>
      <c r="D14" s="58" t="e">
        <f>VLOOKUP($B14,#REF!,3,0)</f>
        <v>#REF!</v>
      </c>
      <c r="E14" s="58" t="e">
        <f>VLOOKUP($B14,#REF!,4,0)</f>
        <v>#REF!</v>
      </c>
      <c r="F14" s="58" t="e">
        <f>VLOOKUP($B14,#REF!,5,0)</f>
        <v>#REF!</v>
      </c>
      <c r="G14" s="58" t="e">
        <f>VLOOKUP($B14,#REF!,6,0)</f>
        <v>#REF!</v>
      </c>
      <c r="H14" s="58" t="e">
        <f>VLOOKUP($B14,#REF!,7,0)</f>
        <v>#REF!</v>
      </c>
      <c r="I14" s="58" t="e">
        <f>VLOOKUP($B14,#REF!,8,0)</f>
        <v>#REF!</v>
      </c>
      <c r="J14" s="168" t="s">
        <v>141</v>
      </c>
      <c r="K14" s="155" t="s">
        <v>135</v>
      </c>
      <c r="L14" s="157">
        <v>4</v>
      </c>
      <c r="M14" s="157">
        <v>5</v>
      </c>
      <c r="N14" s="159">
        <v>5</v>
      </c>
      <c r="O14" s="56"/>
      <c r="P14" s="154">
        <f>AVERAGE(L14:N15)</f>
        <v>4.666666666666667</v>
      </c>
      <c r="Q14" s="56"/>
      <c r="R14" s="103" t="s">
        <v>141</v>
      </c>
      <c r="S14" s="102">
        <f>AVERAGE(L14:N15,L20:N21,L26:N27,L34:N35)</f>
        <v>4.416666666666667</v>
      </c>
      <c r="AE14" s="64"/>
      <c r="AF14" s="64"/>
      <c r="AG14" s="64"/>
    </row>
    <row r="15" spans="1:72" ht="24" customHeight="1" thickBot="1" x14ac:dyDescent="0.25">
      <c r="B15" s="161"/>
      <c r="C15" s="167"/>
      <c r="D15" s="97" t="e">
        <f>VLOOKUP($B15,#REF!,3,0)</f>
        <v>#REF!</v>
      </c>
      <c r="E15" s="97" t="e">
        <f>VLOOKUP($B15,#REF!,4,0)</f>
        <v>#REF!</v>
      </c>
      <c r="F15" s="97" t="e">
        <f>VLOOKUP($B15,#REF!,5,0)</f>
        <v>#REF!</v>
      </c>
      <c r="G15" s="97" t="e">
        <f>VLOOKUP($B15,#REF!,6,0)</f>
        <v>#REF!</v>
      </c>
      <c r="H15" s="97" t="e">
        <f>VLOOKUP($B15,#REF!,7,0)</f>
        <v>#REF!</v>
      </c>
      <c r="I15" s="97" t="e">
        <f>VLOOKUP($B15,#REF!,8,0)</f>
        <v>#REF!</v>
      </c>
      <c r="J15" s="165"/>
      <c r="K15" s="156"/>
      <c r="L15" s="158"/>
      <c r="M15" s="158"/>
      <c r="N15" s="158"/>
      <c r="O15" s="56"/>
      <c r="P15" s="154"/>
      <c r="Q15" s="56"/>
      <c r="R15" s="101"/>
      <c r="S15" s="100"/>
      <c r="AE15" s="64"/>
      <c r="AF15" s="64"/>
      <c r="AG15" s="74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</row>
    <row r="16" spans="1:72" ht="24" customHeight="1" thickBot="1" x14ac:dyDescent="0.25">
      <c r="B16" s="160">
        <v>4</v>
      </c>
      <c r="C16" s="166" t="s">
        <v>32</v>
      </c>
      <c r="D16" s="58" t="e">
        <f>VLOOKUP($B16,#REF!,3,0)</f>
        <v>#REF!</v>
      </c>
      <c r="E16" s="58" t="e">
        <f>VLOOKUP($B16,#REF!,4,0)</f>
        <v>#REF!</v>
      </c>
      <c r="F16" s="58" t="e">
        <f>VLOOKUP($B16,#REF!,5,0)</f>
        <v>#REF!</v>
      </c>
      <c r="G16" s="58" t="e">
        <f>VLOOKUP($B16,#REF!,6,0)</f>
        <v>#REF!</v>
      </c>
      <c r="H16" s="58" t="e">
        <f>VLOOKUP($B16,#REF!,7,0)</f>
        <v>#REF!</v>
      </c>
      <c r="I16" s="58" t="e">
        <f>VLOOKUP($B16,#REF!,8,0)</f>
        <v>#REF!</v>
      </c>
      <c r="J16" s="168" t="s">
        <v>140</v>
      </c>
      <c r="K16" s="155" t="s">
        <v>135</v>
      </c>
      <c r="L16" s="157">
        <v>4</v>
      </c>
      <c r="M16" s="157">
        <v>4</v>
      </c>
      <c r="N16" s="159">
        <v>4</v>
      </c>
      <c r="O16" s="56"/>
      <c r="P16" s="154">
        <f>AVERAGE(L16:N17)</f>
        <v>4</v>
      </c>
      <c r="Q16" s="56"/>
      <c r="R16" s="99" t="s">
        <v>139</v>
      </c>
      <c r="S16" s="98">
        <f>AVERAGE(L10:N11,L18:N19,L30:N31,L38:N39)</f>
        <v>4.25</v>
      </c>
    </row>
    <row r="17" spans="2:72" ht="24" customHeight="1" thickTop="1" thickBot="1" x14ac:dyDescent="0.25">
      <c r="B17" s="161"/>
      <c r="C17" s="167"/>
      <c r="D17" s="97" t="e">
        <f>VLOOKUP($B17,#REF!,3,0)</f>
        <v>#REF!</v>
      </c>
      <c r="E17" s="97" t="e">
        <f>VLOOKUP($B17,#REF!,4,0)</f>
        <v>#REF!</v>
      </c>
      <c r="F17" s="97" t="e">
        <f>VLOOKUP($B17,#REF!,5,0)</f>
        <v>#REF!</v>
      </c>
      <c r="G17" s="97" t="e">
        <f>VLOOKUP($B17,#REF!,6,0)</f>
        <v>#REF!</v>
      </c>
      <c r="H17" s="97" t="e">
        <f>VLOOKUP($B17,#REF!,7,0)</f>
        <v>#REF!</v>
      </c>
      <c r="I17" s="97" t="e">
        <f>VLOOKUP($B17,#REF!,8,0)</f>
        <v>#REF!</v>
      </c>
      <c r="J17" s="165"/>
      <c r="K17" s="156"/>
      <c r="L17" s="158"/>
      <c r="M17" s="158"/>
      <c r="N17" s="158"/>
      <c r="O17" s="56"/>
      <c r="P17" s="154"/>
      <c r="Q17" s="56"/>
      <c r="AE17" s="64"/>
      <c r="AF17" s="64"/>
      <c r="AG17" s="74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</row>
    <row r="18" spans="2:72" ht="24" customHeight="1" x14ac:dyDescent="0.2">
      <c r="B18" s="160">
        <v>5</v>
      </c>
      <c r="C18" s="166" t="s">
        <v>33</v>
      </c>
      <c r="D18" s="58" t="e">
        <f>VLOOKUP($B18,#REF!,3,0)</f>
        <v>#REF!</v>
      </c>
      <c r="E18" s="58" t="e">
        <f>VLOOKUP($B18,#REF!,4,0)</f>
        <v>#REF!</v>
      </c>
      <c r="F18" s="58" t="e">
        <f>VLOOKUP($B18,#REF!,5,0)</f>
        <v>#REF!</v>
      </c>
      <c r="G18" s="58" t="e">
        <f>VLOOKUP($B18,#REF!,6,0)</f>
        <v>#REF!</v>
      </c>
      <c r="H18" s="58" t="e">
        <f>VLOOKUP($B18,#REF!,7,0)</f>
        <v>#REF!</v>
      </c>
      <c r="I18" s="58" t="e">
        <f>VLOOKUP($B18,#REF!,8,0)</f>
        <v>#REF!</v>
      </c>
      <c r="J18" s="168" t="s">
        <v>139</v>
      </c>
      <c r="K18" s="155" t="s">
        <v>135</v>
      </c>
      <c r="L18" s="157">
        <v>3</v>
      </c>
      <c r="M18" s="157">
        <v>5</v>
      </c>
      <c r="N18" s="159">
        <v>5</v>
      </c>
      <c r="O18" s="56"/>
      <c r="P18" s="154">
        <f>AVERAGE(L18:N19)</f>
        <v>4.333333333333333</v>
      </c>
      <c r="Q18" s="56"/>
      <c r="AE18" s="64"/>
      <c r="AF18" s="64"/>
      <c r="AG18" s="64"/>
    </row>
    <row r="19" spans="2:72" ht="24" customHeight="1" thickBot="1" x14ac:dyDescent="0.25">
      <c r="B19" s="161"/>
      <c r="C19" s="167"/>
      <c r="D19" s="97" t="e">
        <f>VLOOKUP($B19,#REF!,3,0)</f>
        <v>#REF!</v>
      </c>
      <c r="E19" s="97" t="e">
        <f>VLOOKUP($B19,#REF!,4,0)</f>
        <v>#REF!</v>
      </c>
      <c r="F19" s="97" t="e">
        <f>VLOOKUP($B19,#REF!,5,0)</f>
        <v>#REF!</v>
      </c>
      <c r="G19" s="97" t="e">
        <f>VLOOKUP($B19,#REF!,6,0)</f>
        <v>#REF!</v>
      </c>
      <c r="H19" s="97" t="e">
        <f>VLOOKUP($B19,#REF!,7,0)</f>
        <v>#REF!</v>
      </c>
      <c r="I19" s="97" t="e">
        <f>VLOOKUP($B19,#REF!,8,0)</f>
        <v>#REF!</v>
      </c>
      <c r="J19" s="165"/>
      <c r="K19" s="156"/>
      <c r="L19" s="158"/>
      <c r="M19" s="158"/>
      <c r="N19" s="158"/>
      <c r="O19" s="56"/>
      <c r="P19" s="154"/>
      <c r="Q19" s="56"/>
      <c r="AE19" s="64"/>
      <c r="AF19" s="64"/>
      <c r="AG19" s="74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</row>
    <row r="20" spans="2:72" ht="24" customHeight="1" x14ac:dyDescent="0.2">
      <c r="B20" s="160">
        <v>6</v>
      </c>
      <c r="C20" s="166" t="s">
        <v>32</v>
      </c>
      <c r="D20" s="58" t="e">
        <f>VLOOKUP($B20,#REF!,3,0)</f>
        <v>#REF!</v>
      </c>
      <c r="E20" s="58" t="e">
        <f>VLOOKUP($B20,#REF!,4,0)</f>
        <v>#REF!</v>
      </c>
      <c r="F20" s="58" t="e">
        <f>VLOOKUP($B20,#REF!,5,0)</f>
        <v>#REF!</v>
      </c>
      <c r="G20" s="58" t="e">
        <f>VLOOKUP($B20,#REF!,6,0)</f>
        <v>#REF!</v>
      </c>
      <c r="H20" s="58" t="e">
        <f>VLOOKUP($B20,#REF!,7,0)</f>
        <v>#REF!</v>
      </c>
      <c r="I20" s="58" t="e">
        <f>VLOOKUP($B20,#REF!,8,0)</f>
        <v>#REF!</v>
      </c>
      <c r="J20" s="168" t="s">
        <v>141</v>
      </c>
      <c r="K20" s="155" t="s">
        <v>135</v>
      </c>
      <c r="L20" s="157">
        <v>5</v>
      </c>
      <c r="M20" s="157">
        <v>5</v>
      </c>
      <c r="N20" s="159">
        <v>5</v>
      </c>
      <c r="O20" s="56"/>
      <c r="P20" s="154">
        <f>AVERAGE(L20:N21)</f>
        <v>5</v>
      </c>
      <c r="Q20" s="56"/>
      <c r="AE20" s="64"/>
      <c r="AF20" s="64"/>
      <c r="AG20" s="64"/>
    </row>
    <row r="21" spans="2:72" ht="24" customHeight="1" thickBot="1" x14ac:dyDescent="0.25">
      <c r="B21" s="161"/>
      <c r="C21" s="167"/>
      <c r="D21" s="97" t="e">
        <f>VLOOKUP($B21,#REF!,3,0)</f>
        <v>#REF!</v>
      </c>
      <c r="E21" s="97" t="e">
        <f>VLOOKUP($B21,#REF!,4,0)</f>
        <v>#REF!</v>
      </c>
      <c r="F21" s="97" t="e">
        <f>VLOOKUP($B21,#REF!,5,0)</f>
        <v>#REF!</v>
      </c>
      <c r="G21" s="97" t="e">
        <f>VLOOKUP($B21,#REF!,6,0)</f>
        <v>#REF!</v>
      </c>
      <c r="H21" s="97" t="e">
        <f>VLOOKUP($B21,#REF!,7,0)</f>
        <v>#REF!</v>
      </c>
      <c r="I21" s="97" t="e">
        <f>VLOOKUP($B21,#REF!,8,0)</f>
        <v>#REF!</v>
      </c>
      <c r="J21" s="165"/>
      <c r="K21" s="156"/>
      <c r="L21" s="158"/>
      <c r="M21" s="158"/>
      <c r="N21" s="158"/>
      <c r="O21" s="56"/>
      <c r="P21" s="154"/>
      <c r="Q21" s="56"/>
      <c r="AE21" s="64"/>
      <c r="AF21" s="64"/>
      <c r="AG21" s="74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</row>
    <row r="22" spans="2:72" ht="24" customHeight="1" x14ac:dyDescent="0.2">
      <c r="B22" s="160">
        <v>7</v>
      </c>
      <c r="C22" s="166" t="s">
        <v>33</v>
      </c>
      <c r="D22" s="58" t="e">
        <f>VLOOKUP($B22,#REF!,3,0)</f>
        <v>#REF!</v>
      </c>
      <c r="E22" s="58" t="e">
        <f>VLOOKUP($B22,#REF!,4,0)</f>
        <v>#REF!</v>
      </c>
      <c r="F22" s="58" t="e">
        <f>VLOOKUP($B22,#REF!,5,0)</f>
        <v>#REF!</v>
      </c>
      <c r="G22" s="58" t="e">
        <f>VLOOKUP($B22,#REF!,6,0)</f>
        <v>#REF!</v>
      </c>
      <c r="H22" s="58" t="e">
        <f>VLOOKUP($B22,#REF!,7,0)</f>
        <v>#REF!</v>
      </c>
      <c r="I22" s="58" t="e">
        <f>VLOOKUP($B22,#REF!,8,0)</f>
        <v>#REF!</v>
      </c>
      <c r="J22" s="168" t="s">
        <v>140</v>
      </c>
      <c r="K22" s="155" t="s">
        <v>135</v>
      </c>
      <c r="L22" s="157">
        <v>4</v>
      </c>
      <c r="M22" s="157">
        <v>4</v>
      </c>
      <c r="N22" s="159">
        <v>5</v>
      </c>
      <c r="O22" s="56"/>
      <c r="P22" s="154">
        <f>AVERAGE(L22:N23)</f>
        <v>4.333333333333333</v>
      </c>
      <c r="Q22" s="56"/>
      <c r="AE22" s="64"/>
      <c r="AF22" s="64"/>
      <c r="AG22" s="64"/>
    </row>
    <row r="23" spans="2:72" ht="24" customHeight="1" thickBot="1" x14ac:dyDescent="0.25">
      <c r="B23" s="161"/>
      <c r="C23" s="167"/>
      <c r="D23" s="97" t="e">
        <f>VLOOKUP($B23,#REF!,3,0)</f>
        <v>#REF!</v>
      </c>
      <c r="E23" s="97" t="e">
        <f>VLOOKUP($B23,#REF!,4,0)</f>
        <v>#REF!</v>
      </c>
      <c r="F23" s="97" t="e">
        <f>VLOOKUP($B23,#REF!,5,0)</f>
        <v>#REF!</v>
      </c>
      <c r="G23" s="97" t="e">
        <f>VLOOKUP($B23,#REF!,6,0)</f>
        <v>#REF!</v>
      </c>
      <c r="H23" s="97" t="e">
        <f>VLOOKUP($B23,#REF!,7,0)</f>
        <v>#REF!</v>
      </c>
      <c r="I23" s="97" t="e">
        <f>VLOOKUP($B23,#REF!,8,0)</f>
        <v>#REF!</v>
      </c>
      <c r="J23" s="165"/>
      <c r="K23" s="156"/>
      <c r="L23" s="158"/>
      <c r="M23" s="158"/>
      <c r="N23" s="158"/>
      <c r="O23" s="56"/>
      <c r="P23" s="154"/>
      <c r="Q23" s="56"/>
      <c r="AE23" s="64"/>
      <c r="AF23" s="64"/>
      <c r="AG23" s="74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</row>
    <row r="24" spans="2:72" ht="24" customHeight="1" x14ac:dyDescent="0.2">
      <c r="B24" s="160">
        <v>8</v>
      </c>
      <c r="C24" s="166" t="s">
        <v>32</v>
      </c>
      <c r="D24" s="58" t="e">
        <f>VLOOKUP($B24,#REF!,3,0)</f>
        <v>#REF!</v>
      </c>
      <c r="E24" s="58" t="e">
        <f>VLOOKUP($B24,#REF!,4,0)</f>
        <v>#REF!</v>
      </c>
      <c r="F24" s="58" t="e">
        <f>VLOOKUP($B24,#REF!,5,0)</f>
        <v>#REF!</v>
      </c>
      <c r="G24" s="58" t="e">
        <f>VLOOKUP($B24,#REF!,6,0)</f>
        <v>#REF!</v>
      </c>
      <c r="H24" s="58" t="e">
        <f>VLOOKUP($B24,#REF!,7,0)</f>
        <v>#REF!</v>
      </c>
      <c r="I24" s="58" t="e">
        <f>VLOOKUP($B24,#REF!,8,0)</f>
        <v>#REF!</v>
      </c>
      <c r="J24" s="168" t="s">
        <v>138</v>
      </c>
      <c r="K24" s="155" t="s">
        <v>135</v>
      </c>
      <c r="L24" s="157">
        <v>3</v>
      </c>
      <c r="M24" s="157">
        <v>4</v>
      </c>
      <c r="N24" s="159">
        <v>3</v>
      </c>
      <c r="O24" s="56"/>
      <c r="P24" s="154">
        <f>AVERAGE(L24:N25)</f>
        <v>3.3333333333333335</v>
      </c>
      <c r="Q24" s="56"/>
      <c r="AE24" s="66"/>
      <c r="AF24" s="66"/>
      <c r="AG24" s="66"/>
    </row>
    <row r="25" spans="2:72" ht="24" customHeight="1" thickBot="1" x14ac:dyDescent="0.25">
      <c r="B25" s="161"/>
      <c r="C25" s="167"/>
      <c r="D25" s="97" t="e">
        <f>VLOOKUP($B25,#REF!,3,0)</f>
        <v>#REF!</v>
      </c>
      <c r="E25" s="97" t="e">
        <f>VLOOKUP($B25,#REF!,4,0)</f>
        <v>#REF!</v>
      </c>
      <c r="F25" s="97" t="e">
        <f>VLOOKUP($B25,#REF!,5,0)</f>
        <v>#REF!</v>
      </c>
      <c r="G25" s="97" t="e">
        <f>VLOOKUP($B25,#REF!,6,0)</f>
        <v>#REF!</v>
      </c>
      <c r="H25" s="97" t="e">
        <f>VLOOKUP($B25,#REF!,7,0)</f>
        <v>#REF!</v>
      </c>
      <c r="I25" s="97" t="e">
        <f>VLOOKUP($B25,#REF!,8,0)</f>
        <v>#REF!</v>
      </c>
      <c r="J25" s="165"/>
      <c r="K25" s="156"/>
      <c r="L25" s="158"/>
      <c r="M25" s="158"/>
      <c r="N25" s="158"/>
      <c r="O25" s="56"/>
      <c r="P25" s="154"/>
      <c r="Q25" s="56"/>
      <c r="AE25" s="64"/>
      <c r="AF25" s="64"/>
      <c r="AG25" s="74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</row>
    <row r="26" spans="2:72" ht="24" customHeight="1" x14ac:dyDescent="0.2">
      <c r="B26" s="160">
        <v>9</v>
      </c>
      <c r="C26" s="166" t="s">
        <v>33</v>
      </c>
      <c r="D26" s="58" t="e">
        <f>VLOOKUP($B26,#REF!,3,0)</f>
        <v>#REF!</v>
      </c>
      <c r="E26" s="58" t="e">
        <f>VLOOKUP($B26,#REF!,4,0)</f>
        <v>#REF!</v>
      </c>
      <c r="F26" s="58" t="e">
        <f>VLOOKUP($B26,#REF!,5,0)</f>
        <v>#REF!</v>
      </c>
      <c r="G26" s="58" t="e">
        <f>VLOOKUP($B26,#REF!,6,0)</f>
        <v>#REF!</v>
      </c>
      <c r="H26" s="58" t="e">
        <f>VLOOKUP($B26,#REF!,7,0)</f>
        <v>#REF!</v>
      </c>
      <c r="I26" s="58" t="e">
        <f>VLOOKUP($B26,#REF!,8,0)</f>
        <v>#REF!</v>
      </c>
      <c r="J26" s="168" t="s">
        <v>141</v>
      </c>
      <c r="K26" s="155" t="s">
        <v>135</v>
      </c>
      <c r="L26" s="157">
        <v>5</v>
      </c>
      <c r="M26" s="157">
        <v>4</v>
      </c>
      <c r="N26" s="159">
        <v>4</v>
      </c>
      <c r="O26" s="56"/>
      <c r="P26" s="154">
        <f>AVERAGE(L26:N27)</f>
        <v>4.333333333333333</v>
      </c>
      <c r="Q26" s="56"/>
      <c r="AE26" s="64"/>
      <c r="AF26" s="64"/>
      <c r="AG26" s="64"/>
    </row>
    <row r="27" spans="2:72" ht="24" customHeight="1" thickBot="1" x14ac:dyDescent="0.25">
      <c r="B27" s="161"/>
      <c r="C27" s="167"/>
      <c r="D27" s="97" t="e">
        <f>VLOOKUP($B27,#REF!,3,0)</f>
        <v>#REF!</v>
      </c>
      <c r="E27" s="97" t="e">
        <f>VLOOKUP($B27,#REF!,4,0)</f>
        <v>#REF!</v>
      </c>
      <c r="F27" s="97" t="e">
        <f>VLOOKUP($B27,#REF!,5,0)</f>
        <v>#REF!</v>
      </c>
      <c r="G27" s="97" t="e">
        <f>VLOOKUP($B27,#REF!,6,0)</f>
        <v>#REF!</v>
      </c>
      <c r="H27" s="97" t="e">
        <f>VLOOKUP($B27,#REF!,7,0)</f>
        <v>#REF!</v>
      </c>
      <c r="I27" s="97" t="e">
        <f>VLOOKUP($B27,#REF!,8,0)</f>
        <v>#REF!</v>
      </c>
      <c r="J27" s="165"/>
      <c r="K27" s="156"/>
      <c r="L27" s="158"/>
      <c r="M27" s="158"/>
      <c r="N27" s="158"/>
      <c r="O27" s="56"/>
      <c r="P27" s="154"/>
      <c r="Q27" s="56"/>
      <c r="AE27" s="64"/>
      <c r="AF27" s="64"/>
      <c r="AG27" s="74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</row>
    <row r="28" spans="2:72" ht="24" customHeight="1" x14ac:dyDescent="0.2">
      <c r="B28" s="169">
        <v>10</v>
      </c>
      <c r="C28" s="166" t="s">
        <v>32</v>
      </c>
      <c r="D28" s="58" t="e">
        <f>VLOOKUP($B28,#REF!,3,0)</f>
        <v>#REF!</v>
      </c>
      <c r="E28" s="58" t="e">
        <f>VLOOKUP($B28,#REF!,4,0)</f>
        <v>#REF!</v>
      </c>
      <c r="F28" s="58" t="e">
        <f>VLOOKUP($B28,#REF!,5,0)</f>
        <v>#REF!</v>
      </c>
      <c r="G28" s="58" t="e">
        <f>VLOOKUP($B28,#REF!,6,0)</f>
        <v>#REF!</v>
      </c>
      <c r="H28" s="58" t="e">
        <f>VLOOKUP($B28,#REF!,7,0)</f>
        <v>#REF!</v>
      </c>
      <c r="I28" s="58" t="e">
        <f>VLOOKUP($B28,#REF!,8,0)</f>
        <v>#REF!</v>
      </c>
      <c r="J28" s="168" t="s">
        <v>138</v>
      </c>
      <c r="K28" s="155" t="s">
        <v>135</v>
      </c>
      <c r="L28" s="157">
        <v>4</v>
      </c>
      <c r="M28" s="157">
        <v>3</v>
      </c>
      <c r="N28" s="159">
        <v>4</v>
      </c>
      <c r="O28" s="56"/>
      <c r="P28" s="154">
        <f>AVERAGE(L28:N29)</f>
        <v>3.6666666666666665</v>
      </c>
      <c r="Q28" s="56"/>
    </row>
    <row r="29" spans="2:72" ht="24" customHeight="1" thickBot="1" x14ac:dyDescent="0.25">
      <c r="B29" s="161"/>
      <c r="C29" s="167"/>
      <c r="D29" s="97" t="e">
        <f>VLOOKUP($B29,#REF!,3,0)</f>
        <v>#REF!</v>
      </c>
      <c r="E29" s="97" t="e">
        <f>VLOOKUP($B29,#REF!,4,0)</f>
        <v>#REF!</v>
      </c>
      <c r="F29" s="97" t="e">
        <f>VLOOKUP($B29,#REF!,5,0)</f>
        <v>#REF!</v>
      </c>
      <c r="G29" s="97" t="e">
        <f>VLOOKUP($B29,#REF!,6,0)</f>
        <v>#REF!</v>
      </c>
      <c r="H29" s="97" t="e">
        <f>VLOOKUP($B29,#REF!,7,0)</f>
        <v>#REF!</v>
      </c>
      <c r="I29" s="97" t="e">
        <f>VLOOKUP($B29,#REF!,8,0)</f>
        <v>#REF!</v>
      </c>
      <c r="J29" s="165"/>
      <c r="K29" s="156"/>
      <c r="L29" s="158"/>
      <c r="M29" s="158"/>
      <c r="N29" s="158"/>
      <c r="O29" s="56"/>
      <c r="P29" s="154"/>
      <c r="Q29" s="56"/>
      <c r="AE29" s="64"/>
      <c r="AF29" s="64"/>
      <c r="AG29" s="74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</row>
    <row r="30" spans="2:72" ht="24" customHeight="1" x14ac:dyDescent="0.2">
      <c r="B30" s="169">
        <v>11</v>
      </c>
      <c r="C30" s="166" t="s">
        <v>33</v>
      </c>
      <c r="D30" s="58" t="e">
        <f>VLOOKUP($B30,#REF!,3,0)</f>
        <v>#REF!</v>
      </c>
      <c r="E30" s="58" t="e">
        <f>VLOOKUP($B30,#REF!,4,0)</f>
        <v>#REF!</v>
      </c>
      <c r="F30" s="58" t="e">
        <f>VLOOKUP($B30,#REF!,5,0)</f>
        <v>#REF!</v>
      </c>
      <c r="G30" s="58" t="e">
        <f>VLOOKUP($B30,#REF!,6,0)</f>
        <v>#REF!</v>
      </c>
      <c r="H30" s="58" t="e">
        <f>VLOOKUP($B30,#REF!,7,0)</f>
        <v>#REF!</v>
      </c>
      <c r="I30" s="58" t="e">
        <f>VLOOKUP($B30,#REF!,8,0)</f>
        <v>#REF!</v>
      </c>
      <c r="J30" s="168" t="s">
        <v>139</v>
      </c>
      <c r="K30" s="155" t="s">
        <v>135</v>
      </c>
      <c r="L30" s="157">
        <v>5</v>
      </c>
      <c r="M30" s="157">
        <v>4</v>
      </c>
      <c r="N30" s="159">
        <v>5</v>
      </c>
      <c r="O30" s="56"/>
      <c r="P30" s="154">
        <f>AVERAGE(L30:N31)</f>
        <v>4.666666666666667</v>
      </c>
      <c r="Q30" s="56"/>
    </row>
    <row r="31" spans="2:72" ht="24" customHeight="1" thickBot="1" x14ac:dyDescent="0.25">
      <c r="B31" s="161"/>
      <c r="C31" s="167"/>
      <c r="D31" s="97" t="e">
        <f>VLOOKUP($B31,#REF!,3,0)</f>
        <v>#REF!</v>
      </c>
      <c r="E31" s="97" t="e">
        <f>VLOOKUP($B31,#REF!,4,0)</f>
        <v>#REF!</v>
      </c>
      <c r="F31" s="97" t="e">
        <f>VLOOKUP($B31,#REF!,5,0)</f>
        <v>#REF!</v>
      </c>
      <c r="G31" s="97" t="e">
        <f>VLOOKUP($B31,#REF!,6,0)</f>
        <v>#REF!</v>
      </c>
      <c r="H31" s="97" t="e">
        <f>VLOOKUP($B31,#REF!,7,0)</f>
        <v>#REF!</v>
      </c>
      <c r="I31" s="97" t="e">
        <f>VLOOKUP($B31,#REF!,8,0)</f>
        <v>#REF!</v>
      </c>
      <c r="J31" s="165"/>
      <c r="K31" s="156"/>
      <c r="L31" s="158"/>
      <c r="M31" s="158"/>
      <c r="N31" s="158"/>
      <c r="O31" s="56"/>
      <c r="P31" s="154"/>
      <c r="Q31" s="56"/>
      <c r="AE31" s="64"/>
      <c r="AF31" s="64"/>
      <c r="AG31" s="74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</row>
    <row r="32" spans="2:72" ht="24" customHeight="1" x14ac:dyDescent="0.2">
      <c r="B32" s="169">
        <v>12</v>
      </c>
      <c r="C32" s="166" t="s">
        <v>32</v>
      </c>
      <c r="D32" s="58" t="e">
        <f>VLOOKUP($B32,#REF!,3,0)</f>
        <v>#REF!</v>
      </c>
      <c r="E32" s="58" t="e">
        <f>VLOOKUP($B32,#REF!,4,0)</f>
        <v>#REF!</v>
      </c>
      <c r="F32" s="58" t="e">
        <f>VLOOKUP($B32,#REF!,5,0)</f>
        <v>#REF!</v>
      </c>
      <c r="G32" s="58" t="e">
        <f>VLOOKUP($B32,#REF!,6,0)</f>
        <v>#REF!</v>
      </c>
      <c r="H32" s="58" t="e">
        <f>VLOOKUP($B32,#REF!,7,0)</f>
        <v>#REF!</v>
      </c>
      <c r="I32" s="58" t="e">
        <f>VLOOKUP($B32,#REF!,8,0)</f>
        <v>#REF!</v>
      </c>
      <c r="J32" s="168" t="s">
        <v>140</v>
      </c>
      <c r="K32" s="155" t="s">
        <v>135</v>
      </c>
      <c r="L32" s="157">
        <v>3</v>
      </c>
      <c r="M32" s="157">
        <v>4</v>
      </c>
      <c r="N32" s="159">
        <v>3</v>
      </c>
      <c r="O32" s="56"/>
      <c r="P32" s="154">
        <f>AVERAGE(L32:N33)</f>
        <v>3.3333333333333335</v>
      </c>
      <c r="Q32" s="56"/>
    </row>
    <row r="33" spans="2:72" ht="24" customHeight="1" thickBot="1" x14ac:dyDescent="0.25">
      <c r="B33" s="161"/>
      <c r="C33" s="167"/>
      <c r="D33" s="97" t="e">
        <f>VLOOKUP($B33,#REF!,3,0)</f>
        <v>#REF!</v>
      </c>
      <c r="E33" s="97" t="e">
        <f>VLOOKUP($B33,#REF!,4,0)</f>
        <v>#REF!</v>
      </c>
      <c r="F33" s="97" t="e">
        <f>VLOOKUP($B33,#REF!,5,0)</f>
        <v>#REF!</v>
      </c>
      <c r="G33" s="97" t="e">
        <f>VLOOKUP($B33,#REF!,6,0)</f>
        <v>#REF!</v>
      </c>
      <c r="H33" s="97" t="e">
        <f>VLOOKUP($B33,#REF!,7,0)</f>
        <v>#REF!</v>
      </c>
      <c r="I33" s="97" t="e">
        <f>VLOOKUP($B33,#REF!,8,0)</f>
        <v>#REF!</v>
      </c>
      <c r="J33" s="165"/>
      <c r="K33" s="156"/>
      <c r="L33" s="158"/>
      <c r="M33" s="158"/>
      <c r="N33" s="158"/>
      <c r="O33" s="56"/>
      <c r="P33" s="154"/>
      <c r="Q33" s="56"/>
      <c r="AE33" s="64"/>
      <c r="AF33" s="64"/>
      <c r="AG33" s="74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</row>
    <row r="34" spans="2:72" ht="24" customHeight="1" x14ac:dyDescent="0.2">
      <c r="B34" s="169">
        <v>13</v>
      </c>
      <c r="C34" s="166" t="s">
        <v>33</v>
      </c>
      <c r="D34" s="58" t="e">
        <f>VLOOKUP($B34,#REF!,3,0)</f>
        <v>#REF!</v>
      </c>
      <c r="E34" s="58" t="e">
        <f>VLOOKUP($B34,#REF!,4,0)</f>
        <v>#REF!</v>
      </c>
      <c r="F34" s="58" t="e">
        <f>VLOOKUP($B34,#REF!,5,0)</f>
        <v>#REF!</v>
      </c>
      <c r="G34" s="58" t="e">
        <f>VLOOKUP($B34,#REF!,6,0)</f>
        <v>#REF!</v>
      </c>
      <c r="H34" s="58" t="e">
        <f>VLOOKUP($B34,#REF!,7,0)</f>
        <v>#REF!</v>
      </c>
      <c r="I34" s="58" t="e">
        <f>VLOOKUP($B34,#REF!,8,0)</f>
        <v>#REF!</v>
      </c>
      <c r="J34" s="168" t="s">
        <v>141</v>
      </c>
      <c r="K34" s="155" t="s">
        <v>135</v>
      </c>
      <c r="L34" s="157">
        <v>3</v>
      </c>
      <c r="M34" s="157">
        <v>4</v>
      </c>
      <c r="N34" s="159">
        <v>4</v>
      </c>
      <c r="O34" s="56"/>
      <c r="P34" s="154">
        <f>AVERAGE(L34:N35)</f>
        <v>3.6666666666666665</v>
      </c>
      <c r="Q34" s="56"/>
    </row>
    <row r="35" spans="2:72" ht="24" customHeight="1" thickBot="1" x14ac:dyDescent="0.25">
      <c r="B35" s="161"/>
      <c r="C35" s="167"/>
      <c r="D35" s="97" t="e">
        <f>VLOOKUP($B35,#REF!,3,0)</f>
        <v>#REF!</v>
      </c>
      <c r="E35" s="97" t="e">
        <f>VLOOKUP($B35,#REF!,4,0)</f>
        <v>#REF!</v>
      </c>
      <c r="F35" s="97" t="e">
        <f>VLOOKUP($B35,#REF!,5,0)</f>
        <v>#REF!</v>
      </c>
      <c r="G35" s="97" t="e">
        <f>VLOOKUP($B35,#REF!,6,0)</f>
        <v>#REF!</v>
      </c>
      <c r="H35" s="97" t="e">
        <f>VLOOKUP($B35,#REF!,7,0)</f>
        <v>#REF!</v>
      </c>
      <c r="I35" s="97" t="e">
        <f>VLOOKUP($B35,#REF!,8,0)</f>
        <v>#REF!</v>
      </c>
      <c r="J35" s="165"/>
      <c r="K35" s="156"/>
      <c r="L35" s="158"/>
      <c r="M35" s="158"/>
      <c r="N35" s="158"/>
      <c r="O35" s="56"/>
      <c r="P35" s="154"/>
      <c r="Q35" s="56"/>
      <c r="AE35" s="64"/>
      <c r="AF35" s="64"/>
      <c r="AG35" s="74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</row>
    <row r="36" spans="2:72" ht="24" customHeight="1" x14ac:dyDescent="0.2">
      <c r="B36" s="169">
        <v>14</v>
      </c>
      <c r="C36" s="166" t="s">
        <v>32</v>
      </c>
      <c r="D36" s="58" t="e">
        <f>VLOOKUP($B36,#REF!,3,0)</f>
        <v>#REF!</v>
      </c>
      <c r="E36" s="58" t="e">
        <f>VLOOKUP($B36,#REF!,4,0)</f>
        <v>#REF!</v>
      </c>
      <c r="F36" s="58" t="e">
        <f>VLOOKUP($B36,#REF!,5,0)</f>
        <v>#REF!</v>
      </c>
      <c r="G36" s="58" t="e">
        <f>VLOOKUP($B36,#REF!,6,0)</f>
        <v>#REF!</v>
      </c>
      <c r="H36" s="58" t="e">
        <f>VLOOKUP($B36,#REF!,7,0)</f>
        <v>#REF!</v>
      </c>
      <c r="I36" s="58" t="e">
        <f>VLOOKUP($B36,#REF!,8,0)</f>
        <v>#REF!</v>
      </c>
      <c r="J36" s="168" t="s">
        <v>140</v>
      </c>
      <c r="K36" s="155" t="s">
        <v>135</v>
      </c>
      <c r="L36" s="157">
        <v>4</v>
      </c>
      <c r="M36" s="157">
        <v>3</v>
      </c>
      <c r="N36" s="159">
        <v>3</v>
      </c>
      <c r="O36" s="56"/>
      <c r="P36" s="154">
        <f>AVERAGE(L36:N37)</f>
        <v>3.3333333333333335</v>
      </c>
      <c r="Q36" s="56"/>
    </row>
    <row r="37" spans="2:72" ht="24" customHeight="1" thickBot="1" x14ac:dyDescent="0.25">
      <c r="B37" s="161"/>
      <c r="C37" s="167"/>
      <c r="D37" s="97" t="e">
        <f>VLOOKUP($B37,#REF!,3,0)</f>
        <v>#REF!</v>
      </c>
      <c r="E37" s="97" t="e">
        <f>VLOOKUP($B37,#REF!,4,0)</f>
        <v>#REF!</v>
      </c>
      <c r="F37" s="97" t="e">
        <f>VLOOKUP($B37,#REF!,5,0)</f>
        <v>#REF!</v>
      </c>
      <c r="G37" s="97" t="e">
        <f>VLOOKUP($B37,#REF!,6,0)</f>
        <v>#REF!</v>
      </c>
      <c r="H37" s="97" t="e">
        <f>VLOOKUP($B37,#REF!,7,0)</f>
        <v>#REF!</v>
      </c>
      <c r="I37" s="97" t="e">
        <f>VLOOKUP($B37,#REF!,8,0)</f>
        <v>#REF!</v>
      </c>
      <c r="J37" s="165"/>
      <c r="K37" s="156"/>
      <c r="L37" s="158"/>
      <c r="M37" s="158"/>
      <c r="N37" s="158"/>
      <c r="O37" s="56"/>
      <c r="P37" s="154"/>
      <c r="Q37" s="56"/>
      <c r="AE37" s="64"/>
      <c r="AF37" s="64"/>
      <c r="AG37" s="74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</row>
    <row r="38" spans="2:72" ht="24" customHeight="1" x14ac:dyDescent="0.2">
      <c r="B38" s="169">
        <v>15</v>
      </c>
      <c r="C38" s="166" t="s">
        <v>33</v>
      </c>
      <c r="D38" s="58" t="e">
        <f>VLOOKUP($B38,#REF!,3,0)</f>
        <v>#REF!</v>
      </c>
      <c r="E38" s="58" t="e">
        <f>VLOOKUP($B38,#REF!,4,0)</f>
        <v>#REF!</v>
      </c>
      <c r="F38" s="58" t="e">
        <f>VLOOKUP($B38,#REF!,5,0)</f>
        <v>#REF!</v>
      </c>
      <c r="G38" s="58" t="e">
        <f>VLOOKUP($B38,#REF!,6,0)</f>
        <v>#REF!</v>
      </c>
      <c r="H38" s="58" t="e">
        <f>VLOOKUP($B38,#REF!,7,0)</f>
        <v>#REF!</v>
      </c>
      <c r="I38" s="58" t="e">
        <f>VLOOKUP($B38,#REF!,8,0)</f>
        <v>#REF!</v>
      </c>
      <c r="J38" s="168" t="s">
        <v>139</v>
      </c>
      <c r="K38" s="155" t="s">
        <v>135</v>
      </c>
      <c r="L38" s="157">
        <v>3</v>
      </c>
      <c r="M38" s="157">
        <v>3</v>
      </c>
      <c r="N38" s="159">
        <v>5</v>
      </c>
      <c r="O38" s="56"/>
      <c r="P38" s="154">
        <f>AVERAGE(L38:N39)</f>
        <v>3.6666666666666665</v>
      </c>
      <c r="Q38" s="56"/>
    </row>
    <row r="39" spans="2:72" ht="24" customHeight="1" thickBot="1" x14ac:dyDescent="0.25">
      <c r="B39" s="161"/>
      <c r="C39" s="167"/>
      <c r="D39" s="97" t="e">
        <f>VLOOKUP($B39,#REF!,3,0)</f>
        <v>#REF!</v>
      </c>
      <c r="E39" s="97" t="e">
        <f>VLOOKUP($B39,#REF!,4,0)</f>
        <v>#REF!</v>
      </c>
      <c r="F39" s="97" t="e">
        <f>VLOOKUP($B39,#REF!,5,0)</f>
        <v>#REF!</v>
      </c>
      <c r="G39" s="97" t="e">
        <f>VLOOKUP($B39,#REF!,6,0)</f>
        <v>#REF!</v>
      </c>
      <c r="H39" s="97" t="e">
        <f>VLOOKUP($B39,#REF!,7,0)</f>
        <v>#REF!</v>
      </c>
      <c r="I39" s="97" t="e">
        <f>VLOOKUP($B39,#REF!,8,0)</f>
        <v>#REF!</v>
      </c>
      <c r="J39" s="165"/>
      <c r="K39" s="156"/>
      <c r="L39" s="158"/>
      <c r="M39" s="158"/>
      <c r="N39" s="158"/>
      <c r="O39" s="56"/>
      <c r="P39" s="154"/>
      <c r="Q39" s="56"/>
      <c r="AE39" s="64"/>
      <c r="AF39" s="64"/>
      <c r="AG39" s="74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</row>
    <row r="40" spans="2:72" ht="24" customHeight="1" x14ac:dyDescent="0.2">
      <c r="B40" s="169">
        <v>16</v>
      </c>
      <c r="C40" s="162" t="s">
        <v>34</v>
      </c>
      <c r="D40" s="58" t="e">
        <f>VLOOKUP($B40,#REF!,3,0)</f>
        <v>#REF!</v>
      </c>
      <c r="E40" s="58" t="e">
        <f>VLOOKUP($B40,#REF!,4,0)</f>
        <v>#REF!</v>
      </c>
      <c r="F40" s="58" t="e">
        <f>VLOOKUP($B40,#REF!,5,0)</f>
        <v>#REF!</v>
      </c>
      <c r="G40" s="58" t="e">
        <f>VLOOKUP($B40,#REF!,6,0)</f>
        <v>#REF!</v>
      </c>
      <c r="H40" s="58" t="e">
        <f>VLOOKUP($B40,#REF!,7,0)</f>
        <v>#REF!</v>
      </c>
      <c r="I40" s="58" t="e">
        <f>VLOOKUP($B40,#REF!,8,0)</f>
        <v>#REF!</v>
      </c>
      <c r="J40" s="168" t="s">
        <v>138</v>
      </c>
      <c r="K40" s="155" t="s">
        <v>135</v>
      </c>
      <c r="L40" s="157">
        <v>3</v>
      </c>
      <c r="M40" s="157">
        <v>3</v>
      </c>
      <c r="N40" s="159">
        <v>3</v>
      </c>
      <c r="O40" s="56"/>
      <c r="P40" s="154">
        <f>AVERAGE(L40:N41)</f>
        <v>3</v>
      </c>
      <c r="Q40" s="56"/>
    </row>
    <row r="41" spans="2:72" ht="24" customHeight="1" thickBot="1" x14ac:dyDescent="0.25">
      <c r="B41" s="161"/>
      <c r="C41" s="163"/>
      <c r="D41" s="97" t="e">
        <f>VLOOKUP($B41,#REF!,3,0)</f>
        <v>#REF!</v>
      </c>
      <c r="E41" s="97" t="e">
        <f>VLOOKUP($B41,#REF!,4,0)</f>
        <v>#REF!</v>
      </c>
      <c r="F41" s="97" t="e">
        <f>VLOOKUP($B41,#REF!,5,0)</f>
        <v>#REF!</v>
      </c>
      <c r="G41" s="97" t="e">
        <f>VLOOKUP($B41,#REF!,6,0)</f>
        <v>#REF!</v>
      </c>
      <c r="H41" s="97" t="e">
        <f>VLOOKUP($B41,#REF!,7,0)</f>
        <v>#REF!</v>
      </c>
      <c r="I41" s="97" t="e">
        <f>VLOOKUP($B41,#REF!,8,0)</f>
        <v>#REF!</v>
      </c>
      <c r="J41" s="165"/>
      <c r="K41" s="156"/>
      <c r="L41" s="158"/>
      <c r="M41" s="158"/>
      <c r="N41" s="158"/>
      <c r="O41" s="56"/>
      <c r="P41" s="154"/>
      <c r="Q41" s="56"/>
      <c r="AE41" s="64"/>
      <c r="AF41" s="64"/>
      <c r="AG41" s="74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</row>
  </sheetData>
  <mergeCells count="131">
    <mergeCell ref="B40:B41"/>
    <mergeCell ref="C40:C41"/>
    <mergeCell ref="J40:J41"/>
    <mergeCell ref="B36:B37"/>
    <mergeCell ref="C36:C37"/>
    <mergeCell ref="J36:J37"/>
    <mergeCell ref="B38:B39"/>
    <mergeCell ref="C38:C39"/>
    <mergeCell ref="J38:J39"/>
    <mergeCell ref="B30:B31"/>
    <mergeCell ref="C30:C31"/>
    <mergeCell ref="J30:J31"/>
    <mergeCell ref="K28:K29"/>
    <mergeCell ref="L28:L29"/>
    <mergeCell ref="B32:B33"/>
    <mergeCell ref="C32:C33"/>
    <mergeCell ref="J32:J33"/>
    <mergeCell ref="B34:B35"/>
    <mergeCell ref="C34:C35"/>
    <mergeCell ref="J34:J35"/>
    <mergeCell ref="B24:B25"/>
    <mergeCell ref="C24:C25"/>
    <mergeCell ref="J24:J25"/>
    <mergeCell ref="B26:B27"/>
    <mergeCell ref="C26:C27"/>
    <mergeCell ref="J26:J27"/>
    <mergeCell ref="K24:K25"/>
    <mergeCell ref="L24:L25"/>
    <mergeCell ref="B28:B29"/>
    <mergeCell ref="C28:C29"/>
    <mergeCell ref="J28:J29"/>
    <mergeCell ref="B18:B19"/>
    <mergeCell ref="C18:C19"/>
    <mergeCell ref="J18:J19"/>
    <mergeCell ref="B20:B21"/>
    <mergeCell ref="C20:C21"/>
    <mergeCell ref="J20:J21"/>
    <mergeCell ref="B22:B23"/>
    <mergeCell ref="C22:C23"/>
    <mergeCell ref="J22:J23"/>
    <mergeCell ref="B12:B13"/>
    <mergeCell ref="C12:C13"/>
    <mergeCell ref="J12:J13"/>
    <mergeCell ref="B14:B15"/>
    <mergeCell ref="C14:C15"/>
    <mergeCell ref="J14:J15"/>
    <mergeCell ref="B16:B17"/>
    <mergeCell ref="C16:C17"/>
    <mergeCell ref="J16:J17"/>
    <mergeCell ref="AE5:AG5"/>
    <mergeCell ref="L6:N6"/>
    <mergeCell ref="B8:K8"/>
    <mergeCell ref="B10:B11"/>
    <mergeCell ref="C10:C11"/>
    <mergeCell ref="J10:J11"/>
    <mergeCell ref="K10:K11"/>
    <mergeCell ref="L10:L11"/>
    <mergeCell ref="M10:M11"/>
    <mergeCell ref="N10:N11"/>
    <mergeCell ref="M18:M19"/>
    <mergeCell ref="N18:N19"/>
    <mergeCell ref="K16:K17"/>
    <mergeCell ref="K12:K13"/>
    <mergeCell ref="L12:L13"/>
    <mergeCell ref="M12:M13"/>
    <mergeCell ref="N12:N13"/>
    <mergeCell ref="K14:K15"/>
    <mergeCell ref="L14:L15"/>
    <mergeCell ref="M14:M15"/>
    <mergeCell ref="N14:N15"/>
    <mergeCell ref="K34:K35"/>
    <mergeCell ref="L34:L35"/>
    <mergeCell ref="M34:M35"/>
    <mergeCell ref="N34:N35"/>
    <mergeCell ref="K30:K31"/>
    <mergeCell ref="L30:L31"/>
    <mergeCell ref="M30:M31"/>
    <mergeCell ref="N30:N31"/>
    <mergeCell ref="M24:M25"/>
    <mergeCell ref="N24:N25"/>
    <mergeCell ref="K26:K27"/>
    <mergeCell ref="L26:L27"/>
    <mergeCell ref="M26:M27"/>
    <mergeCell ref="N26:N27"/>
    <mergeCell ref="P10:P11"/>
    <mergeCell ref="P12:P13"/>
    <mergeCell ref="P14:P15"/>
    <mergeCell ref="P16:P17"/>
    <mergeCell ref="P18:P19"/>
    <mergeCell ref="M28:M29"/>
    <mergeCell ref="N28:N29"/>
    <mergeCell ref="K32:K33"/>
    <mergeCell ref="L32:L33"/>
    <mergeCell ref="M32:M33"/>
    <mergeCell ref="N32:N33"/>
    <mergeCell ref="M20:M21"/>
    <mergeCell ref="N20:N21"/>
    <mergeCell ref="K22:K23"/>
    <mergeCell ref="L22:L23"/>
    <mergeCell ref="M22:M23"/>
    <mergeCell ref="N22:N23"/>
    <mergeCell ref="K20:K21"/>
    <mergeCell ref="L20:L21"/>
    <mergeCell ref="L16:L17"/>
    <mergeCell ref="M16:M17"/>
    <mergeCell ref="N16:N17"/>
    <mergeCell ref="K18:K19"/>
    <mergeCell ref="L18:L19"/>
    <mergeCell ref="K38:K39"/>
    <mergeCell ref="L38:L39"/>
    <mergeCell ref="M38:M39"/>
    <mergeCell ref="K40:K41"/>
    <mergeCell ref="L40:L41"/>
    <mergeCell ref="M40:M41"/>
    <mergeCell ref="N40:N41"/>
    <mergeCell ref="K36:K37"/>
    <mergeCell ref="L36:L37"/>
    <mergeCell ref="M36:M37"/>
    <mergeCell ref="N36:N37"/>
    <mergeCell ref="N38:N39"/>
    <mergeCell ref="P32:P33"/>
    <mergeCell ref="P34:P35"/>
    <mergeCell ref="P36:P37"/>
    <mergeCell ref="P38:P39"/>
    <mergeCell ref="P40:P41"/>
    <mergeCell ref="P20:P21"/>
    <mergeCell ref="P22:P23"/>
    <mergeCell ref="P24:P25"/>
    <mergeCell ref="P26:P27"/>
    <mergeCell ref="P28:P29"/>
    <mergeCell ref="P30:P31"/>
  </mergeCells>
  <pageMargins left="0.45" right="0" top="0.49" bottom="0" header="0.64" footer="0"/>
  <pageSetup paperSize="512" scale="74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0B24-BE78-4926-9763-98F59A3F8EAC}">
  <sheetPr>
    <pageSetUpPr fitToPage="1"/>
  </sheetPr>
  <dimension ref="A1:BT41"/>
  <sheetViews>
    <sheetView zoomScale="85" zoomScaleNormal="85" workbookViewId="0">
      <selection activeCell="R47" sqref="R47"/>
    </sheetView>
  </sheetViews>
  <sheetFormatPr defaultRowHeight="12.75" x14ac:dyDescent="0.2"/>
  <cols>
    <col min="1" max="1" width="5.42578125" style="55" customWidth="1"/>
    <col min="2" max="2" width="6.28515625" style="55" customWidth="1"/>
    <col min="3" max="3" width="12.7109375" style="55" customWidth="1"/>
    <col min="4" max="8" width="5.28515625" style="55" hidden="1" customWidth="1"/>
    <col min="9" max="9" width="7" style="55" hidden="1" customWidth="1"/>
    <col min="10" max="10" width="8.42578125" style="55" customWidth="1"/>
    <col min="11" max="14" width="12.7109375" style="55" customWidth="1"/>
    <col min="15" max="15" width="2.85546875" style="55" customWidth="1"/>
    <col min="16" max="17" width="9.140625" style="55"/>
    <col min="18" max="19" width="8.85546875" style="86" customWidth="1"/>
    <col min="20" max="20" width="9.140625" style="55"/>
    <col min="21" max="21" width="7.5703125" style="55" customWidth="1"/>
    <col min="22" max="31" width="7.7109375" style="55" customWidth="1"/>
    <col min="32" max="16384" width="9.140625" style="55"/>
  </cols>
  <sheetData>
    <row r="1" spans="1:72" ht="15" customHeight="1" x14ac:dyDescent="0.25">
      <c r="A1" s="94" t="s">
        <v>146</v>
      </c>
    </row>
    <row r="2" spans="1:72" ht="20.25" customHeight="1" thickBot="1" x14ac:dyDescent="0.3">
      <c r="A2" s="94"/>
      <c r="M2" s="73" t="s">
        <v>0</v>
      </c>
      <c r="N2" s="93" t="s">
        <v>148</v>
      </c>
    </row>
    <row r="3" spans="1:72" ht="20.25" customHeight="1" thickBot="1" x14ac:dyDescent="0.25">
      <c r="A3" s="55" t="s">
        <v>1</v>
      </c>
      <c r="C3" s="91" t="s">
        <v>145</v>
      </c>
      <c r="D3" s="91"/>
      <c r="E3" s="91"/>
      <c r="F3" s="91"/>
      <c r="G3" s="91"/>
      <c r="H3" s="91"/>
      <c r="I3" s="91"/>
      <c r="J3" s="91"/>
      <c r="K3" s="91"/>
      <c r="L3" s="91"/>
      <c r="M3" s="73" t="s">
        <v>23</v>
      </c>
      <c r="N3" s="89" t="s">
        <v>147</v>
      </c>
    </row>
    <row r="4" spans="1:72" ht="20.25" customHeight="1" thickBot="1" x14ac:dyDescent="0.25">
      <c r="B4" s="91" t="s">
        <v>144</v>
      </c>
      <c r="C4" s="91"/>
      <c r="D4" s="90"/>
      <c r="E4" s="90"/>
      <c r="F4" s="90"/>
      <c r="G4" s="90"/>
      <c r="H4" s="90"/>
      <c r="I4" s="90"/>
      <c r="J4" s="90"/>
      <c r="K4" s="90"/>
      <c r="L4" s="90"/>
      <c r="M4" s="73" t="s">
        <v>2</v>
      </c>
      <c r="N4" s="89" t="s">
        <v>26</v>
      </c>
    </row>
    <row r="5" spans="1:72" ht="18" x14ac:dyDescent="0.2">
      <c r="B5" s="55" t="s">
        <v>143</v>
      </c>
      <c r="AD5" s="86"/>
      <c r="AE5" s="145"/>
      <c r="AF5" s="145"/>
      <c r="AG5" s="145"/>
    </row>
    <row r="6" spans="1:72" ht="18" x14ac:dyDescent="0.25">
      <c r="L6" s="146"/>
      <c r="M6" s="147"/>
      <c r="N6" s="148"/>
      <c r="AD6" s="86"/>
      <c r="AE6" s="85"/>
      <c r="AF6" s="85"/>
      <c r="AG6" s="85"/>
    </row>
    <row r="7" spans="1:72" ht="25.5" customHeight="1" thickBot="1" x14ac:dyDescent="0.25">
      <c r="B7" s="83" t="s">
        <v>27</v>
      </c>
      <c r="C7" s="84"/>
      <c r="D7" s="84" t="s">
        <v>4</v>
      </c>
      <c r="E7" s="83" t="s">
        <v>5</v>
      </c>
      <c r="F7" s="84" t="s">
        <v>6</v>
      </c>
      <c r="G7" s="83" t="s">
        <v>7</v>
      </c>
      <c r="H7" s="83" t="s">
        <v>8</v>
      </c>
      <c r="I7" s="83" t="s">
        <v>9</v>
      </c>
      <c r="J7" s="83" t="s">
        <v>14</v>
      </c>
      <c r="K7" s="82" t="s">
        <v>24</v>
      </c>
      <c r="L7" s="81" t="s">
        <v>37</v>
      </c>
      <c r="M7" s="81" t="s">
        <v>38</v>
      </c>
      <c r="N7" s="81" t="s">
        <v>39</v>
      </c>
      <c r="P7" s="114" t="s">
        <v>142</v>
      </c>
      <c r="AD7" s="80"/>
      <c r="AE7" s="66"/>
      <c r="AF7" s="66"/>
    </row>
    <row r="8" spans="1:72" ht="15.95" customHeight="1" thickTop="1" thickBot="1" x14ac:dyDescent="0.3">
      <c r="B8" s="151"/>
      <c r="C8" s="152"/>
      <c r="D8" s="152"/>
      <c r="E8" s="152"/>
      <c r="F8" s="152"/>
      <c r="G8" s="152"/>
      <c r="H8" s="152"/>
      <c r="I8" s="152"/>
      <c r="J8" s="152"/>
      <c r="K8" s="153"/>
      <c r="L8" s="79" t="s">
        <v>29</v>
      </c>
      <c r="M8" s="79"/>
      <c r="N8" s="79"/>
      <c r="R8" s="113"/>
      <c r="S8" s="112" t="s">
        <v>142</v>
      </c>
      <c r="AE8" s="64"/>
      <c r="AF8" s="64"/>
      <c r="AG8" s="64"/>
    </row>
    <row r="9" spans="1:72" ht="15.95" hidden="1" customHeight="1" x14ac:dyDescent="0.2">
      <c r="B9" s="110" t="s">
        <v>3</v>
      </c>
      <c r="C9" s="111" t="s">
        <v>10</v>
      </c>
      <c r="D9" s="111" t="s">
        <v>14</v>
      </c>
      <c r="E9" s="110" t="s">
        <v>15</v>
      </c>
      <c r="F9" s="111" t="s">
        <v>16</v>
      </c>
      <c r="G9" s="110" t="s">
        <v>17</v>
      </c>
      <c r="H9" s="110" t="s">
        <v>8</v>
      </c>
      <c r="I9" s="110" t="s">
        <v>18</v>
      </c>
      <c r="J9" s="109" t="s">
        <v>11</v>
      </c>
      <c r="K9" s="109" t="s">
        <v>19</v>
      </c>
      <c r="L9" s="108" t="s">
        <v>20</v>
      </c>
      <c r="M9" s="108" t="s">
        <v>21</v>
      </c>
      <c r="N9" s="108" t="s">
        <v>22</v>
      </c>
      <c r="R9" s="107"/>
      <c r="S9" s="106"/>
      <c r="AE9" s="64"/>
      <c r="AF9" s="64"/>
      <c r="AG9" s="64"/>
    </row>
    <row r="10" spans="1:72" ht="24" customHeight="1" x14ac:dyDescent="0.2">
      <c r="B10" s="160">
        <v>1</v>
      </c>
      <c r="C10" s="162" t="s">
        <v>31</v>
      </c>
      <c r="D10" s="58" t="e">
        <f>VLOOKUP($B10,#REF!,3,0)</f>
        <v>#REF!</v>
      </c>
      <c r="E10" s="58" t="e">
        <f>VLOOKUP($B10,#REF!,4,0)</f>
        <v>#REF!</v>
      </c>
      <c r="F10" s="58" t="e">
        <f>VLOOKUP($B10,#REF!,5,0)</f>
        <v>#REF!</v>
      </c>
      <c r="G10" s="58" t="e">
        <f>VLOOKUP($B10,#REF!,6,0)</f>
        <v>#REF!</v>
      </c>
      <c r="H10" s="58" t="e">
        <f>VLOOKUP($B10,#REF!,7,0)</f>
        <v>#REF!</v>
      </c>
      <c r="I10" s="58" t="e">
        <f>VLOOKUP($B10,#REF!,8,0)</f>
        <v>#REF!</v>
      </c>
      <c r="J10" s="164" t="s">
        <v>139</v>
      </c>
      <c r="K10" s="155" t="s">
        <v>135</v>
      </c>
      <c r="L10" s="157">
        <v>3</v>
      </c>
      <c r="M10" s="157">
        <v>3</v>
      </c>
      <c r="N10" s="159">
        <v>3</v>
      </c>
      <c r="O10" s="56"/>
      <c r="P10" s="154">
        <f>AVERAGE(L10:N11)</f>
        <v>3</v>
      </c>
      <c r="Q10" s="56"/>
      <c r="R10" s="103" t="s">
        <v>140</v>
      </c>
      <c r="S10" s="102">
        <f>AVERAGE(L16:N17,L22:N23,L32:N33,L36:N37)</f>
        <v>3.0833333333333335</v>
      </c>
      <c r="AE10" s="64"/>
      <c r="AF10" s="64"/>
      <c r="AG10" s="74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</row>
    <row r="11" spans="1:72" ht="24" customHeight="1" thickBot="1" x14ac:dyDescent="0.25">
      <c r="B11" s="161"/>
      <c r="C11" s="163"/>
      <c r="D11" s="97" t="e">
        <f>VLOOKUP($B11,#REF!,3,0)</f>
        <v>#REF!</v>
      </c>
      <c r="E11" s="97" t="e">
        <f>VLOOKUP($B11,#REF!,4,0)</f>
        <v>#REF!</v>
      </c>
      <c r="F11" s="97" t="e">
        <f>VLOOKUP($B11,#REF!,5,0)</f>
        <v>#REF!</v>
      </c>
      <c r="G11" s="97" t="e">
        <f>VLOOKUP($B11,#REF!,6,0)</f>
        <v>#REF!</v>
      </c>
      <c r="H11" s="97" t="e">
        <f>VLOOKUP($B11,#REF!,7,0)</f>
        <v>#REF!</v>
      </c>
      <c r="I11" s="97" t="e">
        <f>VLOOKUP($B11,#REF!,8,0)</f>
        <v>#REF!</v>
      </c>
      <c r="J11" s="165"/>
      <c r="K11" s="156"/>
      <c r="L11" s="158"/>
      <c r="M11" s="158"/>
      <c r="N11" s="158"/>
      <c r="O11" s="56"/>
      <c r="P11" s="154"/>
      <c r="Q11" s="56"/>
      <c r="R11" s="101"/>
      <c r="S11" s="100"/>
      <c r="AE11" s="64"/>
      <c r="AF11" s="64"/>
      <c r="AG11" s="74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  <c r="BT11" s="73"/>
    </row>
    <row r="12" spans="1:72" ht="24" customHeight="1" x14ac:dyDescent="0.2">
      <c r="B12" s="160">
        <v>2</v>
      </c>
      <c r="C12" s="166" t="s">
        <v>32</v>
      </c>
      <c r="D12" s="105" t="e">
        <f>VLOOKUP($B12,#REF!,3,0)</f>
        <v>#REF!</v>
      </c>
      <c r="E12" s="105" t="e">
        <f>VLOOKUP($B12,#REF!,4,0)</f>
        <v>#REF!</v>
      </c>
      <c r="F12" s="105" t="e">
        <f>VLOOKUP($B12,#REF!,5,0)</f>
        <v>#REF!</v>
      </c>
      <c r="G12" s="105" t="e">
        <f>VLOOKUP($B12,#REF!,6,0)</f>
        <v>#REF!</v>
      </c>
      <c r="H12" s="105" t="e">
        <f>VLOOKUP($B12,#REF!,7,0)</f>
        <v>#REF!</v>
      </c>
      <c r="I12" s="105" t="e">
        <f>VLOOKUP($B12,#REF!,8,0)</f>
        <v>#REF!</v>
      </c>
      <c r="J12" s="168" t="s">
        <v>138</v>
      </c>
      <c r="K12" s="155" t="s">
        <v>135</v>
      </c>
      <c r="L12" s="157">
        <v>3</v>
      </c>
      <c r="M12" s="157">
        <v>5</v>
      </c>
      <c r="N12" s="159">
        <v>3</v>
      </c>
      <c r="O12" s="56"/>
      <c r="P12" s="154">
        <f>AVERAGE(L12:N13)</f>
        <v>3.6666666666666665</v>
      </c>
      <c r="Q12" s="56"/>
      <c r="R12" s="104" t="s">
        <v>138</v>
      </c>
      <c r="S12" s="102">
        <f>AVERAGE(L12:N13,L24:N25,L28:N29,L40:N41)</f>
        <v>3.4166666666666665</v>
      </c>
      <c r="AE12" s="64"/>
      <c r="AF12" s="64"/>
      <c r="AG12" s="64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</row>
    <row r="13" spans="1:72" ht="24" customHeight="1" thickBot="1" x14ac:dyDescent="0.25">
      <c r="B13" s="161"/>
      <c r="C13" s="167"/>
      <c r="D13" s="97" t="e">
        <f>VLOOKUP($B13,#REF!,3,0)</f>
        <v>#REF!</v>
      </c>
      <c r="E13" s="97" t="e">
        <f>VLOOKUP($B13,#REF!,4,0)</f>
        <v>#REF!</v>
      </c>
      <c r="F13" s="97" t="e">
        <f>VLOOKUP($B13,#REF!,5,0)</f>
        <v>#REF!</v>
      </c>
      <c r="G13" s="97" t="e">
        <f>VLOOKUP($B13,#REF!,6,0)</f>
        <v>#REF!</v>
      </c>
      <c r="H13" s="97" t="e">
        <f>VLOOKUP($B13,#REF!,7,0)</f>
        <v>#REF!</v>
      </c>
      <c r="I13" s="97" t="e">
        <f>VLOOKUP($B13,#REF!,8,0)</f>
        <v>#REF!</v>
      </c>
      <c r="J13" s="165"/>
      <c r="K13" s="156"/>
      <c r="L13" s="158"/>
      <c r="M13" s="158"/>
      <c r="N13" s="158"/>
      <c r="O13" s="56"/>
      <c r="P13" s="154"/>
      <c r="Q13" s="56"/>
      <c r="R13" s="101"/>
      <c r="S13" s="100"/>
      <c r="AE13" s="64"/>
      <c r="AF13" s="64"/>
      <c r="AG13" s="74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</row>
    <row r="14" spans="1:72" ht="24" customHeight="1" x14ac:dyDescent="0.2">
      <c r="B14" s="160">
        <v>3</v>
      </c>
      <c r="C14" s="166" t="s">
        <v>33</v>
      </c>
      <c r="D14" s="58" t="e">
        <f>VLOOKUP($B14,#REF!,3,0)</f>
        <v>#REF!</v>
      </c>
      <c r="E14" s="58" t="e">
        <f>VLOOKUP($B14,#REF!,4,0)</f>
        <v>#REF!</v>
      </c>
      <c r="F14" s="58" t="e">
        <f>VLOOKUP($B14,#REF!,5,0)</f>
        <v>#REF!</v>
      </c>
      <c r="G14" s="58" t="e">
        <f>VLOOKUP($B14,#REF!,6,0)</f>
        <v>#REF!</v>
      </c>
      <c r="H14" s="58" t="e">
        <f>VLOOKUP($B14,#REF!,7,0)</f>
        <v>#REF!</v>
      </c>
      <c r="I14" s="58" t="e">
        <f>VLOOKUP($B14,#REF!,8,0)</f>
        <v>#REF!</v>
      </c>
      <c r="J14" s="168" t="s">
        <v>141</v>
      </c>
      <c r="K14" s="155" t="s">
        <v>135</v>
      </c>
      <c r="L14" s="157">
        <v>5</v>
      </c>
      <c r="M14" s="157">
        <v>5</v>
      </c>
      <c r="N14" s="159">
        <v>4</v>
      </c>
      <c r="O14" s="56"/>
      <c r="P14" s="154">
        <f>AVERAGE(L14:N15)</f>
        <v>4.666666666666667</v>
      </c>
      <c r="Q14" s="56"/>
      <c r="R14" s="103" t="s">
        <v>141</v>
      </c>
      <c r="S14" s="102">
        <f>AVERAGE(L14:N15,L20:N21,L26:N27,L34:N35)</f>
        <v>4.5</v>
      </c>
      <c r="AE14" s="64"/>
      <c r="AF14" s="64"/>
      <c r="AG14" s="64"/>
    </row>
    <row r="15" spans="1:72" ht="24" customHeight="1" thickBot="1" x14ac:dyDescent="0.25">
      <c r="B15" s="161"/>
      <c r="C15" s="167"/>
      <c r="D15" s="97" t="e">
        <f>VLOOKUP($B15,#REF!,3,0)</f>
        <v>#REF!</v>
      </c>
      <c r="E15" s="97" t="e">
        <f>VLOOKUP($B15,#REF!,4,0)</f>
        <v>#REF!</v>
      </c>
      <c r="F15" s="97" t="e">
        <f>VLOOKUP($B15,#REF!,5,0)</f>
        <v>#REF!</v>
      </c>
      <c r="G15" s="97" t="e">
        <f>VLOOKUP($B15,#REF!,6,0)</f>
        <v>#REF!</v>
      </c>
      <c r="H15" s="97" t="e">
        <f>VLOOKUP($B15,#REF!,7,0)</f>
        <v>#REF!</v>
      </c>
      <c r="I15" s="97" t="e">
        <f>VLOOKUP($B15,#REF!,8,0)</f>
        <v>#REF!</v>
      </c>
      <c r="J15" s="165"/>
      <c r="K15" s="156"/>
      <c r="L15" s="158"/>
      <c r="M15" s="158"/>
      <c r="N15" s="158"/>
      <c r="O15" s="56"/>
      <c r="P15" s="154"/>
      <c r="Q15" s="56"/>
      <c r="R15" s="101"/>
      <c r="S15" s="100"/>
      <c r="AE15" s="64"/>
      <c r="AF15" s="64"/>
      <c r="AG15" s="74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</row>
    <row r="16" spans="1:72" ht="24" customHeight="1" thickBot="1" x14ac:dyDescent="0.25">
      <c r="B16" s="160">
        <v>4</v>
      </c>
      <c r="C16" s="166" t="s">
        <v>32</v>
      </c>
      <c r="D16" s="58" t="e">
        <f>VLOOKUP($B16,#REF!,3,0)</f>
        <v>#REF!</v>
      </c>
      <c r="E16" s="58" t="e">
        <f>VLOOKUP($B16,#REF!,4,0)</f>
        <v>#REF!</v>
      </c>
      <c r="F16" s="58" t="e">
        <f>VLOOKUP($B16,#REF!,5,0)</f>
        <v>#REF!</v>
      </c>
      <c r="G16" s="58" t="e">
        <f>VLOOKUP($B16,#REF!,6,0)</f>
        <v>#REF!</v>
      </c>
      <c r="H16" s="58" t="e">
        <f>VLOOKUP($B16,#REF!,7,0)</f>
        <v>#REF!</v>
      </c>
      <c r="I16" s="58" t="e">
        <f>VLOOKUP($B16,#REF!,8,0)</f>
        <v>#REF!</v>
      </c>
      <c r="J16" s="168" t="s">
        <v>140</v>
      </c>
      <c r="K16" s="155" t="s">
        <v>135</v>
      </c>
      <c r="L16" s="157">
        <v>4</v>
      </c>
      <c r="M16" s="157">
        <v>3</v>
      </c>
      <c r="N16" s="159">
        <v>3</v>
      </c>
      <c r="O16" s="56"/>
      <c r="P16" s="154">
        <f>AVERAGE(L16:N17)</f>
        <v>3.3333333333333335</v>
      </c>
      <c r="Q16" s="56"/>
      <c r="R16" s="99" t="s">
        <v>139</v>
      </c>
      <c r="S16" s="98">
        <f>AVERAGE(L10:N11,L18:N19,L30:N31,L38:N39)</f>
        <v>3.5</v>
      </c>
    </row>
    <row r="17" spans="2:72" ht="24" customHeight="1" thickTop="1" thickBot="1" x14ac:dyDescent="0.25">
      <c r="B17" s="161"/>
      <c r="C17" s="167"/>
      <c r="D17" s="97" t="e">
        <f>VLOOKUP($B17,#REF!,3,0)</f>
        <v>#REF!</v>
      </c>
      <c r="E17" s="97" t="e">
        <f>VLOOKUP($B17,#REF!,4,0)</f>
        <v>#REF!</v>
      </c>
      <c r="F17" s="97" t="e">
        <f>VLOOKUP($B17,#REF!,5,0)</f>
        <v>#REF!</v>
      </c>
      <c r="G17" s="97" t="e">
        <f>VLOOKUP($B17,#REF!,6,0)</f>
        <v>#REF!</v>
      </c>
      <c r="H17" s="97" t="e">
        <f>VLOOKUP($B17,#REF!,7,0)</f>
        <v>#REF!</v>
      </c>
      <c r="I17" s="97" t="e">
        <f>VLOOKUP($B17,#REF!,8,0)</f>
        <v>#REF!</v>
      </c>
      <c r="J17" s="165"/>
      <c r="K17" s="156"/>
      <c r="L17" s="158"/>
      <c r="M17" s="158"/>
      <c r="N17" s="158"/>
      <c r="O17" s="56"/>
      <c r="P17" s="154"/>
      <c r="Q17" s="56"/>
      <c r="AE17" s="64"/>
      <c r="AF17" s="64"/>
      <c r="AG17" s="74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</row>
    <row r="18" spans="2:72" ht="24" customHeight="1" x14ac:dyDescent="0.2">
      <c r="B18" s="160">
        <v>5</v>
      </c>
      <c r="C18" s="166" t="s">
        <v>33</v>
      </c>
      <c r="D18" s="58" t="e">
        <f>VLOOKUP($B18,#REF!,3,0)</f>
        <v>#REF!</v>
      </c>
      <c r="E18" s="58" t="e">
        <f>VLOOKUP($B18,#REF!,4,0)</f>
        <v>#REF!</v>
      </c>
      <c r="F18" s="58" t="e">
        <f>VLOOKUP($B18,#REF!,5,0)</f>
        <v>#REF!</v>
      </c>
      <c r="G18" s="58" t="e">
        <f>VLOOKUP($B18,#REF!,6,0)</f>
        <v>#REF!</v>
      </c>
      <c r="H18" s="58" t="e">
        <f>VLOOKUP($B18,#REF!,7,0)</f>
        <v>#REF!</v>
      </c>
      <c r="I18" s="58" t="e">
        <f>VLOOKUP($B18,#REF!,8,0)</f>
        <v>#REF!</v>
      </c>
      <c r="J18" s="168" t="s">
        <v>139</v>
      </c>
      <c r="K18" s="155" t="s">
        <v>135</v>
      </c>
      <c r="L18" s="157">
        <v>4</v>
      </c>
      <c r="M18" s="157">
        <v>5</v>
      </c>
      <c r="N18" s="159">
        <v>4</v>
      </c>
      <c r="O18" s="56"/>
      <c r="P18" s="154">
        <f>AVERAGE(L18:N19)</f>
        <v>4.333333333333333</v>
      </c>
      <c r="Q18" s="56"/>
      <c r="AE18" s="64"/>
      <c r="AF18" s="64"/>
      <c r="AG18" s="64"/>
    </row>
    <row r="19" spans="2:72" ht="24" customHeight="1" thickBot="1" x14ac:dyDescent="0.25">
      <c r="B19" s="161"/>
      <c r="C19" s="167"/>
      <c r="D19" s="97" t="e">
        <f>VLOOKUP($B19,#REF!,3,0)</f>
        <v>#REF!</v>
      </c>
      <c r="E19" s="97" t="e">
        <f>VLOOKUP($B19,#REF!,4,0)</f>
        <v>#REF!</v>
      </c>
      <c r="F19" s="97" t="e">
        <f>VLOOKUP($B19,#REF!,5,0)</f>
        <v>#REF!</v>
      </c>
      <c r="G19" s="97" t="e">
        <f>VLOOKUP($B19,#REF!,6,0)</f>
        <v>#REF!</v>
      </c>
      <c r="H19" s="97" t="e">
        <f>VLOOKUP($B19,#REF!,7,0)</f>
        <v>#REF!</v>
      </c>
      <c r="I19" s="97" t="e">
        <f>VLOOKUP($B19,#REF!,8,0)</f>
        <v>#REF!</v>
      </c>
      <c r="J19" s="165"/>
      <c r="K19" s="156"/>
      <c r="L19" s="158"/>
      <c r="M19" s="158"/>
      <c r="N19" s="158"/>
      <c r="O19" s="56"/>
      <c r="P19" s="154"/>
      <c r="Q19" s="56"/>
      <c r="AE19" s="64"/>
      <c r="AF19" s="64"/>
      <c r="AG19" s="74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</row>
    <row r="20" spans="2:72" ht="24" customHeight="1" x14ac:dyDescent="0.2">
      <c r="B20" s="160">
        <v>6</v>
      </c>
      <c r="C20" s="166" t="s">
        <v>32</v>
      </c>
      <c r="D20" s="58" t="e">
        <f>VLOOKUP($B20,#REF!,3,0)</f>
        <v>#REF!</v>
      </c>
      <c r="E20" s="58" t="e">
        <f>VLOOKUP($B20,#REF!,4,0)</f>
        <v>#REF!</v>
      </c>
      <c r="F20" s="58" t="e">
        <f>VLOOKUP($B20,#REF!,5,0)</f>
        <v>#REF!</v>
      </c>
      <c r="G20" s="58" t="e">
        <f>VLOOKUP($B20,#REF!,6,0)</f>
        <v>#REF!</v>
      </c>
      <c r="H20" s="58" t="e">
        <f>VLOOKUP($B20,#REF!,7,0)</f>
        <v>#REF!</v>
      </c>
      <c r="I20" s="58" t="e">
        <f>VLOOKUP($B20,#REF!,8,0)</f>
        <v>#REF!</v>
      </c>
      <c r="J20" s="168" t="s">
        <v>141</v>
      </c>
      <c r="K20" s="155" t="s">
        <v>135</v>
      </c>
      <c r="L20" s="157">
        <v>5</v>
      </c>
      <c r="M20" s="157">
        <v>5</v>
      </c>
      <c r="N20" s="159">
        <v>5</v>
      </c>
      <c r="O20" s="56"/>
      <c r="P20" s="154">
        <f>AVERAGE(L20:N21)</f>
        <v>5</v>
      </c>
      <c r="Q20" s="56"/>
      <c r="AE20" s="64"/>
      <c r="AF20" s="64"/>
      <c r="AG20" s="64"/>
    </row>
    <row r="21" spans="2:72" ht="24" customHeight="1" thickBot="1" x14ac:dyDescent="0.25">
      <c r="B21" s="161"/>
      <c r="C21" s="167"/>
      <c r="D21" s="97" t="e">
        <f>VLOOKUP($B21,#REF!,3,0)</f>
        <v>#REF!</v>
      </c>
      <c r="E21" s="97" t="e">
        <f>VLOOKUP($B21,#REF!,4,0)</f>
        <v>#REF!</v>
      </c>
      <c r="F21" s="97" t="e">
        <f>VLOOKUP($B21,#REF!,5,0)</f>
        <v>#REF!</v>
      </c>
      <c r="G21" s="97" t="e">
        <f>VLOOKUP($B21,#REF!,6,0)</f>
        <v>#REF!</v>
      </c>
      <c r="H21" s="97" t="e">
        <f>VLOOKUP($B21,#REF!,7,0)</f>
        <v>#REF!</v>
      </c>
      <c r="I21" s="97" t="e">
        <f>VLOOKUP($B21,#REF!,8,0)</f>
        <v>#REF!</v>
      </c>
      <c r="J21" s="165"/>
      <c r="K21" s="156"/>
      <c r="L21" s="158"/>
      <c r="M21" s="158"/>
      <c r="N21" s="158"/>
      <c r="O21" s="56"/>
      <c r="P21" s="154"/>
      <c r="Q21" s="56"/>
      <c r="AE21" s="64"/>
      <c r="AF21" s="64"/>
      <c r="AG21" s="74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</row>
    <row r="22" spans="2:72" ht="24" customHeight="1" x14ac:dyDescent="0.2">
      <c r="B22" s="160">
        <v>7</v>
      </c>
      <c r="C22" s="166" t="s">
        <v>33</v>
      </c>
      <c r="D22" s="58" t="e">
        <f>VLOOKUP($B22,#REF!,3,0)</f>
        <v>#REF!</v>
      </c>
      <c r="E22" s="58" t="e">
        <f>VLOOKUP($B22,#REF!,4,0)</f>
        <v>#REF!</v>
      </c>
      <c r="F22" s="58" t="e">
        <f>VLOOKUP($B22,#REF!,5,0)</f>
        <v>#REF!</v>
      </c>
      <c r="G22" s="58" t="e">
        <f>VLOOKUP($B22,#REF!,6,0)</f>
        <v>#REF!</v>
      </c>
      <c r="H22" s="58" t="e">
        <f>VLOOKUP($B22,#REF!,7,0)</f>
        <v>#REF!</v>
      </c>
      <c r="I22" s="58" t="e">
        <f>VLOOKUP($B22,#REF!,8,0)</f>
        <v>#REF!</v>
      </c>
      <c r="J22" s="168" t="s">
        <v>140</v>
      </c>
      <c r="K22" s="155" t="s">
        <v>135</v>
      </c>
      <c r="L22" s="157">
        <v>3</v>
      </c>
      <c r="M22" s="157">
        <v>3</v>
      </c>
      <c r="N22" s="159">
        <v>3</v>
      </c>
      <c r="O22" s="56"/>
      <c r="P22" s="154">
        <f>AVERAGE(L22:N23)</f>
        <v>3</v>
      </c>
      <c r="Q22" s="56"/>
      <c r="AE22" s="64"/>
      <c r="AF22" s="64"/>
      <c r="AG22" s="64"/>
    </row>
    <row r="23" spans="2:72" ht="24" customHeight="1" thickBot="1" x14ac:dyDescent="0.25">
      <c r="B23" s="161"/>
      <c r="C23" s="167"/>
      <c r="D23" s="97" t="e">
        <f>VLOOKUP($B23,#REF!,3,0)</f>
        <v>#REF!</v>
      </c>
      <c r="E23" s="97" t="e">
        <f>VLOOKUP($B23,#REF!,4,0)</f>
        <v>#REF!</v>
      </c>
      <c r="F23" s="97" t="e">
        <f>VLOOKUP($B23,#REF!,5,0)</f>
        <v>#REF!</v>
      </c>
      <c r="G23" s="97" t="e">
        <f>VLOOKUP($B23,#REF!,6,0)</f>
        <v>#REF!</v>
      </c>
      <c r="H23" s="97" t="e">
        <f>VLOOKUP($B23,#REF!,7,0)</f>
        <v>#REF!</v>
      </c>
      <c r="I23" s="97" t="e">
        <f>VLOOKUP($B23,#REF!,8,0)</f>
        <v>#REF!</v>
      </c>
      <c r="J23" s="165"/>
      <c r="K23" s="156"/>
      <c r="L23" s="158"/>
      <c r="M23" s="158"/>
      <c r="N23" s="158"/>
      <c r="O23" s="56"/>
      <c r="P23" s="154"/>
      <c r="Q23" s="56"/>
      <c r="AE23" s="64"/>
      <c r="AF23" s="64"/>
      <c r="AG23" s="74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</row>
    <row r="24" spans="2:72" ht="24" customHeight="1" x14ac:dyDescent="0.2">
      <c r="B24" s="160">
        <v>8</v>
      </c>
      <c r="C24" s="166" t="s">
        <v>32</v>
      </c>
      <c r="D24" s="58" t="e">
        <f>VLOOKUP($B24,#REF!,3,0)</f>
        <v>#REF!</v>
      </c>
      <c r="E24" s="58" t="e">
        <f>VLOOKUP($B24,#REF!,4,0)</f>
        <v>#REF!</v>
      </c>
      <c r="F24" s="58" t="e">
        <f>VLOOKUP($B24,#REF!,5,0)</f>
        <v>#REF!</v>
      </c>
      <c r="G24" s="58" t="e">
        <f>VLOOKUP($B24,#REF!,6,0)</f>
        <v>#REF!</v>
      </c>
      <c r="H24" s="58" t="e">
        <f>VLOOKUP($B24,#REF!,7,0)</f>
        <v>#REF!</v>
      </c>
      <c r="I24" s="58" t="e">
        <f>VLOOKUP($B24,#REF!,8,0)</f>
        <v>#REF!</v>
      </c>
      <c r="J24" s="168" t="s">
        <v>138</v>
      </c>
      <c r="K24" s="155" t="s">
        <v>135</v>
      </c>
      <c r="L24" s="157">
        <v>3</v>
      </c>
      <c r="M24" s="157">
        <v>4</v>
      </c>
      <c r="N24" s="159">
        <v>3</v>
      </c>
      <c r="O24" s="56"/>
      <c r="P24" s="154">
        <f>AVERAGE(L24:N25)</f>
        <v>3.3333333333333335</v>
      </c>
      <c r="Q24" s="56"/>
      <c r="AE24" s="66"/>
      <c r="AF24" s="66"/>
      <c r="AG24" s="66"/>
    </row>
    <row r="25" spans="2:72" ht="24" customHeight="1" thickBot="1" x14ac:dyDescent="0.25">
      <c r="B25" s="161"/>
      <c r="C25" s="167"/>
      <c r="D25" s="97" t="e">
        <f>VLOOKUP($B25,#REF!,3,0)</f>
        <v>#REF!</v>
      </c>
      <c r="E25" s="97" t="e">
        <f>VLOOKUP($B25,#REF!,4,0)</f>
        <v>#REF!</v>
      </c>
      <c r="F25" s="97" t="e">
        <f>VLOOKUP($B25,#REF!,5,0)</f>
        <v>#REF!</v>
      </c>
      <c r="G25" s="97" t="e">
        <f>VLOOKUP($B25,#REF!,6,0)</f>
        <v>#REF!</v>
      </c>
      <c r="H25" s="97" t="e">
        <f>VLOOKUP($B25,#REF!,7,0)</f>
        <v>#REF!</v>
      </c>
      <c r="I25" s="97" t="e">
        <f>VLOOKUP($B25,#REF!,8,0)</f>
        <v>#REF!</v>
      </c>
      <c r="J25" s="165"/>
      <c r="K25" s="156"/>
      <c r="L25" s="158"/>
      <c r="M25" s="158"/>
      <c r="N25" s="158"/>
      <c r="O25" s="56"/>
      <c r="P25" s="154"/>
      <c r="Q25" s="56"/>
      <c r="AE25" s="64"/>
      <c r="AF25" s="64"/>
      <c r="AG25" s="74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</row>
    <row r="26" spans="2:72" ht="24" customHeight="1" x14ac:dyDescent="0.2">
      <c r="B26" s="160">
        <v>9</v>
      </c>
      <c r="C26" s="166" t="s">
        <v>33</v>
      </c>
      <c r="D26" s="58" t="e">
        <f>VLOOKUP($B26,#REF!,3,0)</f>
        <v>#REF!</v>
      </c>
      <c r="E26" s="58" t="e">
        <f>VLOOKUP($B26,#REF!,4,0)</f>
        <v>#REF!</v>
      </c>
      <c r="F26" s="58" t="e">
        <f>VLOOKUP($B26,#REF!,5,0)</f>
        <v>#REF!</v>
      </c>
      <c r="G26" s="58" t="e">
        <f>VLOOKUP($B26,#REF!,6,0)</f>
        <v>#REF!</v>
      </c>
      <c r="H26" s="58" t="e">
        <f>VLOOKUP($B26,#REF!,7,0)</f>
        <v>#REF!</v>
      </c>
      <c r="I26" s="58" t="e">
        <f>VLOOKUP($B26,#REF!,8,0)</f>
        <v>#REF!</v>
      </c>
      <c r="J26" s="168" t="s">
        <v>141</v>
      </c>
      <c r="K26" s="155" t="s">
        <v>135</v>
      </c>
      <c r="L26" s="157">
        <v>5</v>
      </c>
      <c r="M26" s="157">
        <v>5</v>
      </c>
      <c r="N26" s="159">
        <v>5</v>
      </c>
      <c r="O26" s="56"/>
      <c r="P26" s="154">
        <f>AVERAGE(L26:N27)</f>
        <v>5</v>
      </c>
      <c r="Q26" s="56"/>
      <c r="AE26" s="64"/>
      <c r="AF26" s="64"/>
      <c r="AG26" s="64"/>
    </row>
    <row r="27" spans="2:72" ht="24" customHeight="1" thickBot="1" x14ac:dyDescent="0.25">
      <c r="B27" s="161"/>
      <c r="C27" s="167"/>
      <c r="D27" s="97" t="e">
        <f>VLOOKUP($B27,#REF!,3,0)</f>
        <v>#REF!</v>
      </c>
      <c r="E27" s="97" t="e">
        <f>VLOOKUP($B27,#REF!,4,0)</f>
        <v>#REF!</v>
      </c>
      <c r="F27" s="97" t="e">
        <f>VLOOKUP($B27,#REF!,5,0)</f>
        <v>#REF!</v>
      </c>
      <c r="G27" s="97" t="e">
        <f>VLOOKUP($B27,#REF!,6,0)</f>
        <v>#REF!</v>
      </c>
      <c r="H27" s="97" t="e">
        <f>VLOOKUP($B27,#REF!,7,0)</f>
        <v>#REF!</v>
      </c>
      <c r="I27" s="97" t="e">
        <f>VLOOKUP($B27,#REF!,8,0)</f>
        <v>#REF!</v>
      </c>
      <c r="J27" s="165"/>
      <c r="K27" s="156"/>
      <c r="L27" s="158"/>
      <c r="M27" s="158"/>
      <c r="N27" s="158"/>
      <c r="O27" s="56"/>
      <c r="P27" s="154"/>
      <c r="Q27" s="56"/>
      <c r="AE27" s="64"/>
      <c r="AF27" s="64"/>
      <c r="AG27" s="74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</row>
    <row r="28" spans="2:72" ht="24" customHeight="1" x14ac:dyDescent="0.2">
      <c r="B28" s="169">
        <v>10</v>
      </c>
      <c r="C28" s="166" t="s">
        <v>32</v>
      </c>
      <c r="D28" s="58" t="e">
        <f>VLOOKUP($B28,#REF!,3,0)</f>
        <v>#REF!</v>
      </c>
      <c r="E28" s="58" t="e">
        <f>VLOOKUP($B28,#REF!,4,0)</f>
        <v>#REF!</v>
      </c>
      <c r="F28" s="58" t="e">
        <f>VLOOKUP($B28,#REF!,5,0)</f>
        <v>#REF!</v>
      </c>
      <c r="G28" s="58" t="e">
        <f>VLOOKUP($B28,#REF!,6,0)</f>
        <v>#REF!</v>
      </c>
      <c r="H28" s="58" t="e">
        <f>VLOOKUP($B28,#REF!,7,0)</f>
        <v>#REF!</v>
      </c>
      <c r="I28" s="58" t="e">
        <f>VLOOKUP($B28,#REF!,8,0)</f>
        <v>#REF!</v>
      </c>
      <c r="J28" s="168" t="s">
        <v>138</v>
      </c>
      <c r="K28" s="155" t="s">
        <v>135</v>
      </c>
      <c r="L28" s="157">
        <v>4</v>
      </c>
      <c r="M28" s="157">
        <v>4</v>
      </c>
      <c r="N28" s="159">
        <v>5</v>
      </c>
      <c r="O28" s="56"/>
      <c r="P28" s="154">
        <f>AVERAGE(L28:N29)</f>
        <v>4.333333333333333</v>
      </c>
      <c r="Q28" s="56"/>
    </row>
    <row r="29" spans="2:72" ht="24" customHeight="1" thickBot="1" x14ac:dyDescent="0.25">
      <c r="B29" s="161"/>
      <c r="C29" s="167"/>
      <c r="D29" s="97" t="e">
        <f>VLOOKUP($B29,#REF!,3,0)</f>
        <v>#REF!</v>
      </c>
      <c r="E29" s="97" t="e">
        <f>VLOOKUP($B29,#REF!,4,0)</f>
        <v>#REF!</v>
      </c>
      <c r="F29" s="97" t="e">
        <f>VLOOKUP($B29,#REF!,5,0)</f>
        <v>#REF!</v>
      </c>
      <c r="G29" s="97" t="e">
        <f>VLOOKUP($B29,#REF!,6,0)</f>
        <v>#REF!</v>
      </c>
      <c r="H29" s="97" t="e">
        <f>VLOOKUP($B29,#REF!,7,0)</f>
        <v>#REF!</v>
      </c>
      <c r="I29" s="97" t="e">
        <f>VLOOKUP($B29,#REF!,8,0)</f>
        <v>#REF!</v>
      </c>
      <c r="J29" s="165"/>
      <c r="K29" s="156"/>
      <c r="L29" s="158"/>
      <c r="M29" s="158"/>
      <c r="N29" s="158"/>
      <c r="O29" s="56"/>
      <c r="P29" s="154"/>
      <c r="Q29" s="56"/>
      <c r="AE29" s="64"/>
      <c r="AF29" s="64"/>
      <c r="AG29" s="74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</row>
    <row r="30" spans="2:72" ht="24" customHeight="1" x14ac:dyDescent="0.2">
      <c r="B30" s="169">
        <v>11</v>
      </c>
      <c r="C30" s="166" t="s">
        <v>33</v>
      </c>
      <c r="D30" s="58" t="e">
        <f>VLOOKUP($B30,#REF!,3,0)</f>
        <v>#REF!</v>
      </c>
      <c r="E30" s="58" t="e">
        <f>VLOOKUP($B30,#REF!,4,0)</f>
        <v>#REF!</v>
      </c>
      <c r="F30" s="58" t="e">
        <f>VLOOKUP($B30,#REF!,5,0)</f>
        <v>#REF!</v>
      </c>
      <c r="G30" s="58" t="e">
        <f>VLOOKUP($B30,#REF!,6,0)</f>
        <v>#REF!</v>
      </c>
      <c r="H30" s="58" t="e">
        <f>VLOOKUP($B30,#REF!,7,0)</f>
        <v>#REF!</v>
      </c>
      <c r="I30" s="58" t="e">
        <f>VLOOKUP($B30,#REF!,8,0)</f>
        <v>#REF!</v>
      </c>
      <c r="J30" s="168" t="s">
        <v>139</v>
      </c>
      <c r="K30" s="155" t="s">
        <v>135</v>
      </c>
      <c r="L30" s="157">
        <v>4</v>
      </c>
      <c r="M30" s="157">
        <v>3</v>
      </c>
      <c r="N30" s="159">
        <v>3</v>
      </c>
      <c r="O30" s="56"/>
      <c r="P30" s="154">
        <f>AVERAGE(L30:N31)</f>
        <v>3.3333333333333335</v>
      </c>
      <c r="Q30" s="56"/>
    </row>
    <row r="31" spans="2:72" ht="24" customHeight="1" thickBot="1" x14ac:dyDescent="0.25">
      <c r="B31" s="161"/>
      <c r="C31" s="167"/>
      <c r="D31" s="97" t="e">
        <f>VLOOKUP($B31,#REF!,3,0)</f>
        <v>#REF!</v>
      </c>
      <c r="E31" s="97" t="e">
        <f>VLOOKUP($B31,#REF!,4,0)</f>
        <v>#REF!</v>
      </c>
      <c r="F31" s="97" t="e">
        <f>VLOOKUP($B31,#REF!,5,0)</f>
        <v>#REF!</v>
      </c>
      <c r="G31" s="97" t="e">
        <f>VLOOKUP($B31,#REF!,6,0)</f>
        <v>#REF!</v>
      </c>
      <c r="H31" s="97" t="e">
        <f>VLOOKUP($B31,#REF!,7,0)</f>
        <v>#REF!</v>
      </c>
      <c r="I31" s="97" t="e">
        <f>VLOOKUP($B31,#REF!,8,0)</f>
        <v>#REF!</v>
      </c>
      <c r="J31" s="165"/>
      <c r="K31" s="156"/>
      <c r="L31" s="158"/>
      <c r="M31" s="158"/>
      <c r="N31" s="158"/>
      <c r="O31" s="56"/>
      <c r="P31" s="154"/>
      <c r="Q31" s="56"/>
      <c r="AE31" s="64"/>
      <c r="AF31" s="64"/>
      <c r="AG31" s="74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</row>
    <row r="32" spans="2:72" ht="24" customHeight="1" x14ac:dyDescent="0.2">
      <c r="B32" s="169">
        <v>12</v>
      </c>
      <c r="C32" s="166" t="s">
        <v>32</v>
      </c>
      <c r="D32" s="58" t="e">
        <f>VLOOKUP($B32,#REF!,3,0)</f>
        <v>#REF!</v>
      </c>
      <c r="E32" s="58" t="e">
        <f>VLOOKUP($B32,#REF!,4,0)</f>
        <v>#REF!</v>
      </c>
      <c r="F32" s="58" t="e">
        <f>VLOOKUP($B32,#REF!,5,0)</f>
        <v>#REF!</v>
      </c>
      <c r="G32" s="58" t="e">
        <f>VLOOKUP($B32,#REF!,6,0)</f>
        <v>#REF!</v>
      </c>
      <c r="H32" s="58" t="e">
        <f>VLOOKUP($B32,#REF!,7,0)</f>
        <v>#REF!</v>
      </c>
      <c r="I32" s="58" t="e">
        <f>VLOOKUP($B32,#REF!,8,0)</f>
        <v>#REF!</v>
      </c>
      <c r="J32" s="168" t="s">
        <v>140</v>
      </c>
      <c r="K32" s="155" t="s">
        <v>135</v>
      </c>
      <c r="L32" s="157">
        <v>3</v>
      </c>
      <c r="M32" s="157">
        <v>3</v>
      </c>
      <c r="N32" s="159">
        <v>4</v>
      </c>
      <c r="O32" s="56"/>
      <c r="P32" s="154">
        <f>AVERAGE(L32:N33)</f>
        <v>3.3333333333333335</v>
      </c>
      <c r="Q32" s="56"/>
    </row>
    <row r="33" spans="2:72" ht="24" customHeight="1" thickBot="1" x14ac:dyDescent="0.25">
      <c r="B33" s="161"/>
      <c r="C33" s="167"/>
      <c r="D33" s="97" t="e">
        <f>VLOOKUP($B33,#REF!,3,0)</f>
        <v>#REF!</v>
      </c>
      <c r="E33" s="97" t="e">
        <f>VLOOKUP($B33,#REF!,4,0)</f>
        <v>#REF!</v>
      </c>
      <c r="F33" s="97" t="e">
        <f>VLOOKUP($B33,#REF!,5,0)</f>
        <v>#REF!</v>
      </c>
      <c r="G33" s="97" t="e">
        <f>VLOOKUP($B33,#REF!,6,0)</f>
        <v>#REF!</v>
      </c>
      <c r="H33" s="97" t="e">
        <f>VLOOKUP($B33,#REF!,7,0)</f>
        <v>#REF!</v>
      </c>
      <c r="I33" s="97" t="e">
        <f>VLOOKUP($B33,#REF!,8,0)</f>
        <v>#REF!</v>
      </c>
      <c r="J33" s="165"/>
      <c r="K33" s="156"/>
      <c r="L33" s="158"/>
      <c r="M33" s="158"/>
      <c r="N33" s="158"/>
      <c r="O33" s="56"/>
      <c r="P33" s="154"/>
      <c r="Q33" s="56"/>
      <c r="AE33" s="64"/>
      <c r="AF33" s="64"/>
      <c r="AG33" s="74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</row>
    <row r="34" spans="2:72" ht="24" customHeight="1" x14ac:dyDescent="0.2">
      <c r="B34" s="169">
        <v>13</v>
      </c>
      <c r="C34" s="166" t="s">
        <v>33</v>
      </c>
      <c r="D34" s="58" t="e">
        <f>VLOOKUP($B34,#REF!,3,0)</f>
        <v>#REF!</v>
      </c>
      <c r="E34" s="58" t="e">
        <f>VLOOKUP($B34,#REF!,4,0)</f>
        <v>#REF!</v>
      </c>
      <c r="F34" s="58" t="e">
        <f>VLOOKUP($B34,#REF!,5,0)</f>
        <v>#REF!</v>
      </c>
      <c r="G34" s="58" t="e">
        <f>VLOOKUP($B34,#REF!,6,0)</f>
        <v>#REF!</v>
      </c>
      <c r="H34" s="58" t="e">
        <f>VLOOKUP($B34,#REF!,7,0)</f>
        <v>#REF!</v>
      </c>
      <c r="I34" s="58" t="e">
        <f>VLOOKUP($B34,#REF!,8,0)</f>
        <v>#REF!</v>
      </c>
      <c r="J34" s="168" t="s">
        <v>141</v>
      </c>
      <c r="K34" s="155" t="s">
        <v>135</v>
      </c>
      <c r="L34" s="157">
        <v>2</v>
      </c>
      <c r="M34" s="157">
        <v>4</v>
      </c>
      <c r="N34" s="159">
        <v>4</v>
      </c>
      <c r="O34" s="56"/>
      <c r="P34" s="154">
        <f>AVERAGE(L34:N35)</f>
        <v>3.3333333333333335</v>
      </c>
      <c r="Q34" s="56"/>
    </row>
    <row r="35" spans="2:72" ht="24" customHeight="1" thickBot="1" x14ac:dyDescent="0.25">
      <c r="B35" s="161"/>
      <c r="C35" s="167"/>
      <c r="D35" s="97" t="e">
        <f>VLOOKUP($B35,#REF!,3,0)</f>
        <v>#REF!</v>
      </c>
      <c r="E35" s="97" t="e">
        <f>VLOOKUP($B35,#REF!,4,0)</f>
        <v>#REF!</v>
      </c>
      <c r="F35" s="97" t="e">
        <f>VLOOKUP($B35,#REF!,5,0)</f>
        <v>#REF!</v>
      </c>
      <c r="G35" s="97" t="e">
        <f>VLOOKUP($B35,#REF!,6,0)</f>
        <v>#REF!</v>
      </c>
      <c r="H35" s="97" t="e">
        <f>VLOOKUP($B35,#REF!,7,0)</f>
        <v>#REF!</v>
      </c>
      <c r="I35" s="97" t="e">
        <f>VLOOKUP($B35,#REF!,8,0)</f>
        <v>#REF!</v>
      </c>
      <c r="J35" s="165"/>
      <c r="K35" s="156"/>
      <c r="L35" s="158"/>
      <c r="M35" s="158"/>
      <c r="N35" s="158"/>
      <c r="O35" s="56"/>
      <c r="P35" s="154"/>
      <c r="Q35" s="56"/>
      <c r="AE35" s="64"/>
      <c r="AF35" s="64"/>
      <c r="AG35" s="74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</row>
    <row r="36" spans="2:72" ht="24" customHeight="1" x14ac:dyDescent="0.2">
      <c r="B36" s="169">
        <v>14</v>
      </c>
      <c r="C36" s="166" t="s">
        <v>32</v>
      </c>
      <c r="D36" s="58" t="e">
        <f>VLOOKUP($B36,#REF!,3,0)</f>
        <v>#REF!</v>
      </c>
      <c r="E36" s="58" t="e">
        <f>VLOOKUP($B36,#REF!,4,0)</f>
        <v>#REF!</v>
      </c>
      <c r="F36" s="58" t="e">
        <f>VLOOKUP($B36,#REF!,5,0)</f>
        <v>#REF!</v>
      </c>
      <c r="G36" s="58" t="e">
        <f>VLOOKUP($B36,#REF!,6,0)</f>
        <v>#REF!</v>
      </c>
      <c r="H36" s="58" t="e">
        <f>VLOOKUP($B36,#REF!,7,0)</f>
        <v>#REF!</v>
      </c>
      <c r="I36" s="58" t="e">
        <f>VLOOKUP($B36,#REF!,8,0)</f>
        <v>#REF!</v>
      </c>
      <c r="J36" s="168" t="s">
        <v>140</v>
      </c>
      <c r="K36" s="155" t="s">
        <v>135</v>
      </c>
      <c r="L36" s="157">
        <v>3</v>
      </c>
      <c r="M36" s="157">
        <v>3</v>
      </c>
      <c r="N36" s="159">
        <v>2</v>
      </c>
      <c r="O36" s="56"/>
      <c r="P36" s="154">
        <f>AVERAGE(L36:N37)</f>
        <v>2.6666666666666665</v>
      </c>
      <c r="Q36" s="56"/>
    </row>
    <row r="37" spans="2:72" ht="24" customHeight="1" thickBot="1" x14ac:dyDescent="0.25">
      <c r="B37" s="161"/>
      <c r="C37" s="167"/>
      <c r="D37" s="97" t="e">
        <f>VLOOKUP($B37,#REF!,3,0)</f>
        <v>#REF!</v>
      </c>
      <c r="E37" s="97" t="e">
        <f>VLOOKUP($B37,#REF!,4,0)</f>
        <v>#REF!</v>
      </c>
      <c r="F37" s="97" t="e">
        <f>VLOOKUP($B37,#REF!,5,0)</f>
        <v>#REF!</v>
      </c>
      <c r="G37" s="97" t="e">
        <f>VLOOKUP($B37,#REF!,6,0)</f>
        <v>#REF!</v>
      </c>
      <c r="H37" s="97" t="e">
        <f>VLOOKUP($B37,#REF!,7,0)</f>
        <v>#REF!</v>
      </c>
      <c r="I37" s="97" t="e">
        <f>VLOOKUP($B37,#REF!,8,0)</f>
        <v>#REF!</v>
      </c>
      <c r="J37" s="165"/>
      <c r="K37" s="156"/>
      <c r="L37" s="158"/>
      <c r="M37" s="158"/>
      <c r="N37" s="158"/>
      <c r="O37" s="56"/>
      <c r="P37" s="154"/>
      <c r="Q37" s="56"/>
      <c r="AE37" s="64"/>
      <c r="AF37" s="64"/>
      <c r="AG37" s="74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3"/>
      <c r="BD37" s="73"/>
      <c r="BE37" s="73"/>
      <c r="BF37" s="73"/>
      <c r="BG37" s="73"/>
      <c r="BH37" s="73"/>
      <c r="BI37" s="73"/>
      <c r="BJ37" s="73"/>
      <c r="BK37" s="73"/>
      <c r="BL37" s="73"/>
      <c r="BM37" s="73"/>
      <c r="BN37" s="73"/>
      <c r="BO37" s="73"/>
      <c r="BP37" s="73"/>
      <c r="BQ37" s="73"/>
      <c r="BR37" s="73"/>
      <c r="BS37" s="73"/>
      <c r="BT37" s="73"/>
    </row>
    <row r="38" spans="2:72" ht="24" customHeight="1" x14ac:dyDescent="0.2">
      <c r="B38" s="169">
        <v>15</v>
      </c>
      <c r="C38" s="166" t="s">
        <v>33</v>
      </c>
      <c r="D38" s="58" t="e">
        <f>VLOOKUP($B38,#REF!,3,0)</f>
        <v>#REF!</v>
      </c>
      <c r="E38" s="58" t="e">
        <f>VLOOKUP($B38,#REF!,4,0)</f>
        <v>#REF!</v>
      </c>
      <c r="F38" s="58" t="e">
        <f>VLOOKUP($B38,#REF!,5,0)</f>
        <v>#REF!</v>
      </c>
      <c r="G38" s="58" t="e">
        <f>VLOOKUP($B38,#REF!,6,0)</f>
        <v>#REF!</v>
      </c>
      <c r="H38" s="58" t="e">
        <f>VLOOKUP($B38,#REF!,7,0)</f>
        <v>#REF!</v>
      </c>
      <c r="I38" s="58" t="e">
        <f>VLOOKUP($B38,#REF!,8,0)</f>
        <v>#REF!</v>
      </c>
      <c r="J38" s="168" t="s">
        <v>139</v>
      </c>
      <c r="K38" s="155" t="s">
        <v>135</v>
      </c>
      <c r="L38" s="157">
        <v>3</v>
      </c>
      <c r="M38" s="157">
        <v>4</v>
      </c>
      <c r="N38" s="159">
        <v>3</v>
      </c>
      <c r="O38" s="56"/>
      <c r="P38" s="154">
        <f>AVERAGE(L38:N39)</f>
        <v>3.3333333333333335</v>
      </c>
      <c r="Q38" s="56"/>
    </row>
    <row r="39" spans="2:72" ht="24" customHeight="1" thickBot="1" x14ac:dyDescent="0.25">
      <c r="B39" s="161"/>
      <c r="C39" s="167"/>
      <c r="D39" s="97" t="e">
        <f>VLOOKUP($B39,#REF!,3,0)</f>
        <v>#REF!</v>
      </c>
      <c r="E39" s="97" t="e">
        <f>VLOOKUP($B39,#REF!,4,0)</f>
        <v>#REF!</v>
      </c>
      <c r="F39" s="97" t="e">
        <f>VLOOKUP($B39,#REF!,5,0)</f>
        <v>#REF!</v>
      </c>
      <c r="G39" s="97" t="e">
        <f>VLOOKUP($B39,#REF!,6,0)</f>
        <v>#REF!</v>
      </c>
      <c r="H39" s="97" t="e">
        <f>VLOOKUP($B39,#REF!,7,0)</f>
        <v>#REF!</v>
      </c>
      <c r="I39" s="97" t="e">
        <f>VLOOKUP($B39,#REF!,8,0)</f>
        <v>#REF!</v>
      </c>
      <c r="J39" s="165"/>
      <c r="K39" s="156"/>
      <c r="L39" s="158"/>
      <c r="M39" s="158"/>
      <c r="N39" s="158"/>
      <c r="O39" s="56"/>
      <c r="P39" s="154"/>
      <c r="Q39" s="56"/>
      <c r="AE39" s="64"/>
      <c r="AF39" s="64"/>
      <c r="AG39" s="74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</row>
    <row r="40" spans="2:72" ht="24" customHeight="1" x14ac:dyDescent="0.2">
      <c r="B40" s="169">
        <v>16</v>
      </c>
      <c r="C40" s="162" t="s">
        <v>34</v>
      </c>
      <c r="D40" s="58" t="e">
        <f>VLOOKUP($B40,#REF!,3,0)</f>
        <v>#REF!</v>
      </c>
      <c r="E40" s="58" t="e">
        <f>VLOOKUP($B40,#REF!,4,0)</f>
        <v>#REF!</v>
      </c>
      <c r="F40" s="58" t="e">
        <f>VLOOKUP($B40,#REF!,5,0)</f>
        <v>#REF!</v>
      </c>
      <c r="G40" s="58" t="e">
        <f>VLOOKUP($B40,#REF!,6,0)</f>
        <v>#REF!</v>
      </c>
      <c r="H40" s="58" t="e">
        <f>VLOOKUP($B40,#REF!,7,0)</f>
        <v>#REF!</v>
      </c>
      <c r="I40" s="58" t="e">
        <f>VLOOKUP($B40,#REF!,8,0)</f>
        <v>#REF!</v>
      </c>
      <c r="J40" s="168" t="s">
        <v>138</v>
      </c>
      <c r="K40" s="155" t="s">
        <v>135</v>
      </c>
      <c r="L40" s="157">
        <v>3</v>
      </c>
      <c r="M40" s="157">
        <v>2</v>
      </c>
      <c r="N40" s="159">
        <v>2</v>
      </c>
      <c r="O40" s="56"/>
      <c r="P40" s="154">
        <f>AVERAGE(L40:N41)</f>
        <v>2.3333333333333335</v>
      </c>
      <c r="Q40" s="56"/>
    </row>
    <row r="41" spans="2:72" ht="24" customHeight="1" thickBot="1" x14ac:dyDescent="0.25">
      <c r="B41" s="161"/>
      <c r="C41" s="163"/>
      <c r="D41" s="97" t="e">
        <f>VLOOKUP($B41,#REF!,3,0)</f>
        <v>#REF!</v>
      </c>
      <c r="E41" s="97" t="e">
        <f>VLOOKUP($B41,#REF!,4,0)</f>
        <v>#REF!</v>
      </c>
      <c r="F41" s="97" t="e">
        <f>VLOOKUP($B41,#REF!,5,0)</f>
        <v>#REF!</v>
      </c>
      <c r="G41" s="97" t="e">
        <f>VLOOKUP($B41,#REF!,6,0)</f>
        <v>#REF!</v>
      </c>
      <c r="H41" s="97" t="e">
        <f>VLOOKUP($B41,#REF!,7,0)</f>
        <v>#REF!</v>
      </c>
      <c r="I41" s="97" t="e">
        <f>VLOOKUP($B41,#REF!,8,0)</f>
        <v>#REF!</v>
      </c>
      <c r="J41" s="165"/>
      <c r="K41" s="156"/>
      <c r="L41" s="158"/>
      <c r="M41" s="158"/>
      <c r="N41" s="158"/>
      <c r="O41" s="56"/>
      <c r="P41" s="154"/>
      <c r="Q41" s="56"/>
      <c r="AE41" s="64"/>
      <c r="AF41" s="64"/>
      <c r="AG41" s="74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  <c r="AS41" s="73"/>
      <c r="AT41" s="73"/>
      <c r="AU41" s="73"/>
      <c r="AV41" s="73"/>
      <c r="AW41" s="73"/>
      <c r="AX41" s="73"/>
      <c r="AY41" s="73"/>
      <c r="AZ41" s="73"/>
      <c r="BA41" s="73"/>
      <c r="BB41" s="73"/>
      <c r="BC41" s="73"/>
      <c r="BD41" s="73"/>
      <c r="BE41" s="73"/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</row>
  </sheetData>
  <mergeCells count="131">
    <mergeCell ref="AE5:AG5"/>
    <mergeCell ref="L6:N6"/>
    <mergeCell ref="B8:K8"/>
    <mergeCell ref="B10:B11"/>
    <mergeCell ref="C10:C11"/>
    <mergeCell ref="J10:J11"/>
    <mergeCell ref="K10:K11"/>
    <mergeCell ref="L10:L11"/>
    <mergeCell ref="M10:M11"/>
    <mergeCell ref="N10:N11"/>
    <mergeCell ref="P10:P11"/>
    <mergeCell ref="B12:B13"/>
    <mergeCell ref="C12:C13"/>
    <mergeCell ref="J12:J13"/>
    <mergeCell ref="K12:K13"/>
    <mergeCell ref="L12:L13"/>
    <mergeCell ref="M12:M13"/>
    <mergeCell ref="N12:N13"/>
    <mergeCell ref="P12:P13"/>
    <mergeCell ref="N14:N15"/>
    <mergeCell ref="P14:P15"/>
    <mergeCell ref="B16:B17"/>
    <mergeCell ref="C16:C17"/>
    <mergeCell ref="J16:J17"/>
    <mergeCell ref="K16:K17"/>
    <mergeCell ref="L16:L17"/>
    <mergeCell ref="M16:M17"/>
    <mergeCell ref="N16:N17"/>
    <mergeCell ref="P16:P17"/>
    <mergeCell ref="B14:B15"/>
    <mergeCell ref="C14:C15"/>
    <mergeCell ref="J14:J15"/>
    <mergeCell ref="K14:K15"/>
    <mergeCell ref="L14:L15"/>
    <mergeCell ref="M14:M15"/>
    <mergeCell ref="N18:N19"/>
    <mergeCell ref="P18:P19"/>
    <mergeCell ref="B20:B21"/>
    <mergeCell ref="C20:C21"/>
    <mergeCell ref="J20:J21"/>
    <mergeCell ref="K20:K21"/>
    <mergeCell ref="L20:L21"/>
    <mergeCell ref="M20:M21"/>
    <mergeCell ref="N20:N21"/>
    <mergeCell ref="P20:P21"/>
    <mergeCell ref="B18:B19"/>
    <mergeCell ref="C18:C19"/>
    <mergeCell ref="J18:J19"/>
    <mergeCell ref="K18:K19"/>
    <mergeCell ref="L18:L19"/>
    <mergeCell ref="M18:M19"/>
    <mergeCell ref="N22:N23"/>
    <mergeCell ref="P22:P23"/>
    <mergeCell ref="B24:B25"/>
    <mergeCell ref="C24:C25"/>
    <mergeCell ref="J24:J25"/>
    <mergeCell ref="K24:K25"/>
    <mergeCell ref="L24:L25"/>
    <mergeCell ref="M24:M25"/>
    <mergeCell ref="N24:N25"/>
    <mergeCell ref="P24:P25"/>
    <mergeCell ref="B22:B23"/>
    <mergeCell ref="C22:C23"/>
    <mergeCell ref="J22:J23"/>
    <mergeCell ref="K22:K23"/>
    <mergeCell ref="L22:L23"/>
    <mergeCell ref="M22:M23"/>
    <mergeCell ref="N26:N27"/>
    <mergeCell ref="P26:P27"/>
    <mergeCell ref="B28:B29"/>
    <mergeCell ref="C28:C29"/>
    <mergeCell ref="J28:J29"/>
    <mergeCell ref="K28:K29"/>
    <mergeCell ref="L28:L29"/>
    <mergeCell ref="M28:M29"/>
    <mergeCell ref="N28:N29"/>
    <mergeCell ref="P28:P29"/>
    <mergeCell ref="B26:B27"/>
    <mergeCell ref="C26:C27"/>
    <mergeCell ref="J26:J27"/>
    <mergeCell ref="K26:K27"/>
    <mergeCell ref="L26:L27"/>
    <mergeCell ref="M26:M27"/>
    <mergeCell ref="N30:N31"/>
    <mergeCell ref="P30:P31"/>
    <mergeCell ref="B32:B33"/>
    <mergeCell ref="C32:C33"/>
    <mergeCell ref="J32:J33"/>
    <mergeCell ref="K32:K33"/>
    <mergeCell ref="L32:L33"/>
    <mergeCell ref="M32:M33"/>
    <mergeCell ref="N32:N33"/>
    <mergeCell ref="P32:P33"/>
    <mergeCell ref="B30:B31"/>
    <mergeCell ref="C30:C31"/>
    <mergeCell ref="J30:J31"/>
    <mergeCell ref="K30:K31"/>
    <mergeCell ref="L30:L31"/>
    <mergeCell ref="M30:M31"/>
    <mergeCell ref="N34:N35"/>
    <mergeCell ref="P34:P35"/>
    <mergeCell ref="B36:B37"/>
    <mergeCell ref="C36:C37"/>
    <mergeCell ref="J36:J37"/>
    <mergeCell ref="K36:K37"/>
    <mergeCell ref="L36:L37"/>
    <mergeCell ref="M36:M37"/>
    <mergeCell ref="N36:N37"/>
    <mergeCell ref="P36:P37"/>
    <mergeCell ref="B34:B35"/>
    <mergeCell ref="C34:C35"/>
    <mergeCell ref="J34:J35"/>
    <mergeCell ref="K34:K35"/>
    <mergeCell ref="L34:L35"/>
    <mergeCell ref="M34:M35"/>
    <mergeCell ref="N38:N39"/>
    <mergeCell ref="P38:P39"/>
    <mergeCell ref="B40:B41"/>
    <mergeCell ref="C40:C41"/>
    <mergeCell ref="J40:J41"/>
    <mergeCell ref="K40:K41"/>
    <mergeCell ref="L40:L41"/>
    <mergeCell ref="M40:M41"/>
    <mergeCell ref="N40:N41"/>
    <mergeCell ref="P40:P41"/>
    <mergeCell ref="B38:B39"/>
    <mergeCell ref="C38:C39"/>
    <mergeCell ref="J38:J39"/>
    <mergeCell ref="K38:K39"/>
    <mergeCell ref="L38:L39"/>
    <mergeCell ref="M38:M39"/>
  </mergeCells>
  <pageMargins left="0.45" right="0" top="0.49" bottom="0" header="0.64" footer="0"/>
  <pageSetup paperSize="512" scale="7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20</vt:i4>
      </vt:variant>
    </vt:vector>
  </HeadingPairs>
  <TitlesOfParts>
    <vt:vector size="36" baseType="lpstr">
      <vt:lpstr>Height</vt:lpstr>
      <vt:lpstr>Width</vt:lpstr>
      <vt:lpstr>LAImeter</vt:lpstr>
      <vt:lpstr>Density</vt:lpstr>
      <vt:lpstr>Develop</vt:lpstr>
      <vt:lpstr>PlotDevelop</vt:lpstr>
      <vt:lpstr>doy154</vt:lpstr>
      <vt:lpstr>doy163</vt:lpstr>
      <vt:lpstr>doy174</vt:lpstr>
      <vt:lpstr>doy187</vt:lpstr>
      <vt:lpstr>doy194</vt:lpstr>
      <vt:lpstr>doy219</vt:lpstr>
      <vt:lpstr>Blank</vt:lpstr>
      <vt:lpstr>Counts</vt:lpstr>
      <vt:lpstr>NAWF-7 Aug</vt:lpstr>
      <vt:lpstr>NAWF 14 &amp; 18 Aug</vt:lpstr>
      <vt:lpstr>Blank!Print_Area</vt:lpstr>
      <vt:lpstr>Counts!Print_Area</vt:lpstr>
      <vt:lpstr>'doy154'!Print_Area</vt:lpstr>
      <vt:lpstr>'doy163'!Print_Area</vt:lpstr>
      <vt:lpstr>'doy174'!Print_Area</vt:lpstr>
      <vt:lpstr>'doy187'!Print_Area</vt:lpstr>
      <vt:lpstr>'doy194'!Print_Area</vt:lpstr>
      <vt:lpstr>'doy219'!Print_Area</vt:lpstr>
      <vt:lpstr>'NAWF 14 &amp; 18 Aug'!Print_Area</vt:lpstr>
      <vt:lpstr>'NAWF-7 Aug'!Print_Area</vt:lpstr>
      <vt:lpstr>Blank!Print_Titles</vt:lpstr>
      <vt:lpstr>Counts!Print_Titles</vt:lpstr>
      <vt:lpstr>'doy154'!Print_Titles</vt:lpstr>
      <vt:lpstr>'doy163'!Print_Titles</vt:lpstr>
      <vt:lpstr>'doy174'!Print_Titles</vt:lpstr>
      <vt:lpstr>'doy187'!Print_Titles</vt:lpstr>
      <vt:lpstr>'doy194'!Print_Titles</vt:lpstr>
      <vt:lpstr>'doy219'!Print_Titles</vt:lpstr>
      <vt:lpstr>'NAWF 14 &amp; 18 Aug'!Print_Titles</vt:lpstr>
      <vt:lpstr>'NAWF-7 Aug'!Print_Titles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PJP</dc:creator>
  <cp:lastModifiedBy>Reviewer</cp:lastModifiedBy>
  <cp:lastPrinted>2009-06-02T20:26:52Z</cp:lastPrinted>
  <dcterms:created xsi:type="dcterms:W3CDTF">2003-06-15T15:35:55Z</dcterms:created>
  <dcterms:modified xsi:type="dcterms:W3CDTF">2026-03-16T23:06:54Z</dcterms:modified>
</cp:coreProperties>
</file>