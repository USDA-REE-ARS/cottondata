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889E76F3-4E1D-4519-806E-A9E73FA497FF}" xr6:coauthVersionLast="47" xr6:coauthVersionMax="47" xr10:uidLastSave="{00000000-0000-0000-0000-000000000000}"/>
  <bookViews>
    <workbookView xWindow="-1320" yWindow="-27630" windowWidth="17655" windowHeight="15615" xr2:uid="{4B356D3E-B333-4106-8E36-938C349600A6}"/>
  </bookViews>
  <sheets>
    <sheet name="PlantDF" sheetId="17" r:id="rId1"/>
    <sheet name="10June09" sheetId="9" r:id="rId2"/>
    <sheet name="7 July 09" sheetId="10" r:id="rId3"/>
    <sheet name="10 Aug 09" sheetId="12" r:id="rId4"/>
    <sheet name="31 Aug 09" sheetId="13" r:id="rId5"/>
    <sheet name="Blank" sheetId="8" r:id="rId6"/>
    <sheet name="Sheet2" sheetId="16" r:id="rId7"/>
  </sheets>
  <definedNames>
    <definedName name="_xlnm.Print_Area" localSheetId="3">'10 Aug 09'!$B$1:$R$20</definedName>
    <definedName name="_xlnm.Print_Area" localSheetId="1">'10June09'!$A$1:$P$20</definedName>
    <definedName name="_xlnm.Print_Area" localSheetId="4">'31 Aug 09'!$B$1:$I$20</definedName>
    <definedName name="_xlnm.Print_Area" localSheetId="2">'7 July 09'!$A$1:$H$20</definedName>
    <definedName name="_xlnm.Print_Area" localSheetId="5">Blank!$B$1:$J$20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" i="13" l="1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Z15" i="13"/>
  <c r="AA15" i="13"/>
  <c r="AB15" i="13"/>
  <c r="AC15" i="13"/>
  <c r="AD15" i="13"/>
  <c r="AE15" i="13"/>
  <c r="AF15" i="13"/>
  <c r="AG15" i="13"/>
  <c r="AK15" i="13"/>
  <c r="AH15" i="13" s="1"/>
  <c r="AL15" i="13"/>
  <c r="Z16" i="13"/>
  <c r="AA16" i="13"/>
  <c r="AB16" i="13"/>
  <c r="AC16" i="13"/>
  <c r="AD16" i="13"/>
  <c r="AE16" i="13"/>
  <c r="AF16" i="13"/>
  <c r="AG16" i="13"/>
  <c r="AK16" i="13"/>
  <c r="AH16" i="13" s="1"/>
  <c r="AL16" i="13"/>
  <c r="Z17" i="13"/>
  <c r="AA17" i="13"/>
  <c r="AB17" i="13"/>
  <c r="AC17" i="13"/>
  <c r="AD17" i="13"/>
  <c r="AE17" i="13"/>
  <c r="AF17" i="13"/>
  <c r="AG17" i="13"/>
  <c r="AK17" i="13"/>
  <c r="AH17" i="13" s="1"/>
  <c r="AL17" i="13"/>
  <c r="Z18" i="13"/>
  <c r="AA18" i="13"/>
  <c r="AB18" i="13"/>
  <c r="AC18" i="13"/>
  <c r="AD18" i="13"/>
  <c r="AE18" i="13"/>
  <c r="AF18" i="13"/>
  <c r="AG18" i="13"/>
  <c r="AK18" i="13"/>
  <c r="AI18" i="13" s="1"/>
  <c r="AL18" i="13"/>
  <c r="Z19" i="13"/>
  <c r="AA19" i="13"/>
  <c r="AB19" i="13"/>
  <c r="AC19" i="13"/>
  <c r="AD19" i="13"/>
  <c r="AE19" i="13"/>
  <c r="AF19" i="13"/>
  <c r="AG19" i="13"/>
  <c r="AH19" i="13"/>
  <c r="AI19" i="13"/>
  <c r="AK19" i="13"/>
  <c r="AJ19" i="13" s="1"/>
  <c r="AL19" i="13"/>
  <c r="AL13" i="13"/>
  <c r="AK13" i="13"/>
  <c r="AJ13" i="13" s="1"/>
  <c r="AI13" i="13"/>
  <c r="AH13" i="13"/>
  <c r="AG13" i="13"/>
  <c r="AF13" i="13"/>
  <c r="AE13" i="13"/>
  <c r="AD13" i="13"/>
  <c r="AC13" i="13"/>
  <c r="AB13" i="13"/>
  <c r="AA13" i="13"/>
  <c r="Z13" i="13"/>
  <c r="Y14" i="12"/>
  <c r="Z14" i="12"/>
  <c r="AA14" i="12"/>
  <c r="AB14" i="12"/>
  <c r="AD14" i="12"/>
  <c r="AE14" i="12"/>
  <c r="AF14" i="12"/>
  <c r="AJ14" i="12"/>
  <c r="AG14" i="12" s="1"/>
  <c r="AK14" i="12"/>
  <c r="Y15" i="12"/>
  <c r="Z15" i="12"/>
  <c r="AA15" i="12"/>
  <c r="AB15" i="12"/>
  <c r="AD15" i="12"/>
  <c r="AE15" i="12"/>
  <c r="AF15" i="12"/>
  <c r="AJ15" i="12"/>
  <c r="AG15" i="12" s="1"/>
  <c r="AK15" i="12"/>
  <c r="Y16" i="12"/>
  <c r="Z16" i="12"/>
  <c r="AA16" i="12"/>
  <c r="AB16" i="12"/>
  <c r="AD16" i="12"/>
  <c r="AE16" i="12"/>
  <c r="AF16" i="12"/>
  <c r="AG16" i="12"/>
  <c r="AJ16" i="12"/>
  <c r="AH16" i="12" s="1"/>
  <c r="AK16" i="12"/>
  <c r="Y17" i="12"/>
  <c r="Z17" i="12"/>
  <c r="AA17" i="12"/>
  <c r="AB17" i="12"/>
  <c r="AD17" i="12"/>
  <c r="AE17" i="12"/>
  <c r="AF17" i="12"/>
  <c r="AJ17" i="12"/>
  <c r="AG17" i="12" s="1"/>
  <c r="AK17" i="12"/>
  <c r="Y18" i="12"/>
  <c r="Z18" i="12"/>
  <c r="AA18" i="12"/>
  <c r="AB18" i="12"/>
  <c r="AD18" i="12"/>
  <c r="AE18" i="12"/>
  <c r="AF18" i="12"/>
  <c r="AJ18" i="12"/>
  <c r="AG18" i="12" s="1"/>
  <c r="AK18" i="12"/>
  <c r="Y19" i="12"/>
  <c r="Z19" i="12"/>
  <c r="AA19" i="12"/>
  <c r="AB19" i="12"/>
  <c r="AD19" i="12"/>
  <c r="AE19" i="12"/>
  <c r="AF19" i="12"/>
  <c r="AJ19" i="12"/>
  <c r="AG19" i="12" s="1"/>
  <c r="AK19" i="12"/>
  <c r="Y20" i="12"/>
  <c r="Z20" i="12"/>
  <c r="AA20" i="12"/>
  <c r="AB20" i="12"/>
  <c r="AD20" i="12"/>
  <c r="AE20" i="12"/>
  <c r="AF20" i="12"/>
  <c r="AJ20" i="12"/>
  <c r="AG20" i="12" s="1"/>
  <c r="AK20" i="12"/>
  <c r="AK13" i="12"/>
  <c r="AJ13" i="12"/>
  <c r="AI13" i="12"/>
  <c r="AH13" i="12"/>
  <c r="AG13" i="12"/>
  <c r="AF13" i="12"/>
  <c r="AE13" i="12"/>
  <c r="AD13" i="12"/>
  <c r="AB13" i="12"/>
  <c r="AA13" i="12"/>
  <c r="Z13" i="12"/>
  <c r="Y13" i="12"/>
  <c r="W14" i="10"/>
  <c r="X14" i="10"/>
  <c r="Y14" i="10"/>
  <c r="Z14" i="10"/>
  <c r="AB14" i="10"/>
  <c r="AC14" i="10"/>
  <c r="AD14" i="10"/>
  <c r="AH14" i="10"/>
  <c r="AE14" i="10" s="1"/>
  <c r="AI14" i="10"/>
  <c r="W15" i="10"/>
  <c r="X15" i="10"/>
  <c r="Y15" i="10"/>
  <c r="Z15" i="10"/>
  <c r="AB15" i="10"/>
  <c r="AC15" i="10"/>
  <c r="AD15" i="10"/>
  <c r="AH15" i="10"/>
  <c r="AE15" i="10" s="1"/>
  <c r="AI15" i="10"/>
  <c r="W16" i="10"/>
  <c r="X16" i="10"/>
  <c r="Y16" i="10"/>
  <c r="Z16" i="10"/>
  <c r="AB16" i="10"/>
  <c r="AC16" i="10"/>
  <c r="AD16" i="10"/>
  <c r="AE16" i="10"/>
  <c r="AH16" i="10"/>
  <c r="AF16" i="10" s="1"/>
  <c r="AI16" i="10"/>
  <c r="W17" i="10"/>
  <c r="X17" i="10"/>
  <c r="Y17" i="10"/>
  <c r="Z17" i="10"/>
  <c r="AB17" i="10"/>
  <c r="AC17" i="10"/>
  <c r="AD17" i="10"/>
  <c r="AH17" i="10"/>
  <c r="AE17" i="10" s="1"/>
  <c r="AI17" i="10"/>
  <c r="W18" i="10"/>
  <c r="X18" i="10"/>
  <c r="Y18" i="10"/>
  <c r="Z18" i="10"/>
  <c r="AB18" i="10"/>
  <c r="AC18" i="10"/>
  <c r="AD18" i="10"/>
  <c r="AH18" i="10"/>
  <c r="AE18" i="10" s="1"/>
  <c r="AI18" i="10"/>
  <c r="W19" i="10"/>
  <c r="X19" i="10"/>
  <c r="Y19" i="10"/>
  <c r="Z19" i="10"/>
  <c r="AB19" i="10"/>
  <c r="AC19" i="10"/>
  <c r="AD19" i="10"/>
  <c r="AH19" i="10"/>
  <c r="AE19" i="10" s="1"/>
  <c r="AI19" i="10"/>
  <c r="W20" i="10"/>
  <c r="X20" i="10"/>
  <c r="Y20" i="10"/>
  <c r="Z20" i="10"/>
  <c r="AB20" i="10"/>
  <c r="AC20" i="10"/>
  <c r="AD20" i="10"/>
  <c r="AH20" i="10"/>
  <c r="AE20" i="10" s="1"/>
  <c r="AI20" i="10"/>
  <c r="AC13" i="10"/>
  <c r="AB13" i="10"/>
  <c r="Z13" i="10"/>
  <c r="AI13" i="10"/>
  <c r="AH13" i="10"/>
  <c r="AG13" i="10"/>
  <c r="AF13" i="10"/>
  <c r="AE13" i="10"/>
  <c r="AD13" i="10"/>
  <c r="Y13" i="10"/>
  <c r="X13" i="10"/>
  <c r="W13" i="10"/>
  <c r="U14" i="9"/>
  <c r="V14" i="9"/>
  <c r="Z14" i="9"/>
  <c r="AA14" i="9"/>
  <c r="AB14" i="9"/>
  <c r="AF14" i="9"/>
  <c r="AC14" i="9" s="1"/>
  <c r="AG14" i="9"/>
  <c r="U15" i="9"/>
  <c r="V15" i="9"/>
  <c r="Z15" i="9"/>
  <c r="AA15" i="9"/>
  <c r="AB15" i="9"/>
  <c r="AF15" i="9"/>
  <c r="AC15" i="9" s="1"/>
  <c r="AG15" i="9"/>
  <c r="U16" i="9"/>
  <c r="V16" i="9"/>
  <c r="Z16" i="9"/>
  <c r="AA16" i="9"/>
  <c r="AB16" i="9"/>
  <c r="AF16" i="9"/>
  <c r="AC16" i="9" s="1"/>
  <c r="AG16" i="9"/>
  <c r="U17" i="9"/>
  <c r="V17" i="9"/>
  <c r="Z17" i="9"/>
  <c r="AA17" i="9"/>
  <c r="AB17" i="9"/>
  <c r="AF17" i="9"/>
  <c r="AC17" i="9" s="1"/>
  <c r="AG17" i="9"/>
  <c r="U18" i="9"/>
  <c r="V18" i="9"/>
  <c r="Z18" i="9"/>
  <c r="AA18" i="9"/>
  <c r="AB18" i="9"/>
  <c r="AF18" i="9"/>
  <c r="AC18" i="9" s="1"/>
  <c r="AG18" i="9"/>
  <c r="U19" i="9"/>
  <c r="V19" i="9"/>
  <c r="Z19" i="9"/>
  <c r="AA19" i="9"/>
  <c r="AB19" i="9"/>
  <c r="AF19" i="9"/>
  <c r="AC19" i="9" s="1"/>
  <c r="AG19" i="9"/>
  <c r="U20" i="9"/>
  <c r="V20" i="9"/>
  <c r="Z20" i="9"/>
  <c r="AA20" i="9"/>
  <c r="AB20" i="9"/>
  <c r="AF20" i="9"/>
  <c r="AC20" i="9" s="1"/>
  <c r="AG20" i="9"/>
  <c r="AG13" i="9"/>
  <c r="S13" i="9"/>
  <c r="AF13" i="9"/>
  <c r="AE13" i="9" s="1"/>
  <c r="AB13" i="9"/>
  <c r="AA13" i="9"/>
  <c r="Z13" i="9"/>
  <c r="V13" i="9"/>
  <c r="U13" i="9"/>
  <c r="AJ15" i="13" l="1"/>
  <c r="AI15" i="13"/>
  <c r="AJ17" i="13"/>
  <c r="AI17" i="13"/>
  <c r="AJ18" i="13"/>
  <c r="AH18" i="13"/>
  <c r="AJ16" i="13"/>
  <c r="AI16" i="13"/>
  <c r="AI18" i="12"/>
  <c r="AH18" i="12"/>
  <c r="AI15" i="12"/>
  <c r="AH15" i="12"/>
  <c r="AI20" i="12"/>
  <c r="AH20" i="12"/>
  <c r="AI17" i="12"/>
  <c r="AH17" i="12"/>
  <c r="AI14" i="12"/>
  <c r="AH14" i="12"/>
  <c r="AI19" i="12"/>
  <c r="AH19" i="12"/>
  <c r="AI16" i="12"/>
  <c r="AG18" i="10"/>
  <c r="AF18" i="10"/>
  <c r="AG15" i="10"/>
  <c r="AF15" i="10"/>
  <c r="AG20" i="10"/>
  <c r="AF20" i="10"/>
  <c r="AG17" i="10"/>
  <c r="AF17" i="10"/>
  <c r="AG14" i="10"/>
  <c r="AF14" i="10"/>
  <c r="AG19" i="10"/>
  <c r="AF19" i="10"/>
  <c r="AG16" i="10"/>
  <c r="AE16" i="9"/>
  <c r="AD16" i="9"/>
  <c r="AE19" i="9"/>
  <c r="AD19" i="9"/>
  <c r="AE15" i="9"/>
  <c r="AD15" i="9"/>
  <c r="AE18" i="9"/>
  <c r="AD18" i="9"/>
  <c r="AE14" i="9"/>
  <c r="AD14" i="9"/>
  <c r="AE17" i="9"/>
  <c r="AD17" i="9"/>
  <c r="AE20" i="9"/>
  <c r="AD20" i="9"/>
  <c r="AC13" i="9"/>
  <c r="AD13" i="9"/>
  <c r="X14" i="13" l="1"/>
  <c r="X19" i="13"/>
  <c r="V15" i="12"/>
  <c r="V16" i="12"/>
  <c r="V17" i="12"/>
  <c r="V18" i="12"/>
  <c r="V19" i="12"/>
  <c r="V20" i="12"/>
  <c r="T14" i="10"/>
  <c r="T18" i="10"/>
  <c r="T19" i="10"/>
  <c r="T20" i="10"/>
  <c r="S14" i="10"/>
  <c r="S15" i="10"/>
  <c r="S16" i="10"/>
  <c r="S17" i="10"/>
  <c r="S18" i="10"/>
  <c r="S19" i="10"/>
  <c r="S20" i="10"/>
  <c r="S13" i="10"/>
  <c r="S22" i="10" s="1"/>
  <c r="R14" i="10"/>
  <c r="R15" i="10"/>
  <c r="R16" i="10"/>
  <c r="R17" i="10"/>
  <c r="R18" i="10"/>
  <c r="R19" i="10"/>
  <c r="R20" i="10"/>
  <c r="R13" i="10"/>
  <c r="R22" i="10" s="1"/>
  <c r="T14" i="9"/>
  <c r="T15" i="9"/>
  <c r="T17" i="9"/>
  <c r="T18" i="9"/>
  <c r="T19" i="9"/>
  <c r="T20" i="9"/>
  <c r="R14" i="9"/>
  <c r="R15" i="9"/>
  <c r="R17" i="9"/>
  <c r="R18" i="9"/>
  <c r="R19" i="9"/>
  <c r="R20" i="9"/>
  <c r="R13" i="9"/>
  <c r="R22" i="9" s="1"/>
  <c r="S14" i="13"/>
  <c r="W14" i="13" s="1"/>
  <c r="S15" i="13"/>
  <c r="W15" i="13" s="1"/>
  <c r="S16" i="13"/>
  <c r="W16" i="13" s="1"/>
  <c r="S17" i="13"/>
  <c r="W17" i="13" s="1"/>
  <c r="S18" i="13"/>
  <c r="W18" i="13" s="1"/>
  <c r="S19" i="13"/>
  <c r="Y19" i="13" s="1"/>
  <c r="S20" i="13"/>
  <c r="Y20" i="13" s="1"/>
  <c r="S13" i="13"/>
  <c r="Y13" i="13" s="1"/>
  <c r="P14" i="13"/>
  <c r="P15" i="13"/>
  <c r="X15" i="13" s="1"/>
  <c r="P16" i="13"/>
  <c r="X16" i="13" s="1"/>
  <c r="P17" i="13"/>
  <c r="X17" i="13" s="1"/>
  <c r="P18" i="13"/>
  <c r="Y18" i="13" s="1"/>
  <c r="P19" i="13"/>
  <c r="P20" i="13"/>
  <c r="X20" i="13" s="1"/>
  <c r="P13" i="13"/>
  <c r="M14" i="13"/>
  <c r="Y14" i="13" s="1"/>
  <c r="M15" i="13"/>
  <c r="M16" i="13"/>
  <c r="M17" i="13"/>
  <c r="M18" i="13"/>
  <c r="M19" i="13"/>
  <c r="M20" i="13"/>
  <c r="M13" i="13"/>
  <c r="X13" i="13" s="1"/>
  <c r="K13" i="9"/>
  <c r="T13" i="9" s="1"/>
  <c r="R20" i="12"/>
  <c r="R19" i="12"/>
  <c r="R18" i="12"/>
  <c r="R17" i="12"/>
  <c r="R16" i="12"/>
  <c r="R15" i="12"/>
  <c r="R14" i="12"/>
  <c r="V14" i="12" s="1"/>
  <c r="R13" i="12"/>
  <c r="V13" i="12" s="1"/>
  <c r="O20" i="12"/>
  <c r="O19" i="12"/>
  <c r="O18" i="12"/>
  <c r="O17" i="12"/>
  <c r="O16" i="12"/>
  <c r="W16" i="12" s="1"/>
  <c r="O15" i="12"/>
  <c r="O14" i="12"/>
  <c r="W14" i="12" s="1"/>
  <c r="O13" i="12"/>
  <c r="W13" i="12" s="1"/>
  <c r="L20" i="12"/>
  <c r="W20" i="12" s="1"/>
  <c r="L19" i="12"/>
  <c r="W19" i="12" s="1"/>
  <c r="L18" i="12"/>
  <c r="X18" i="12" s="1"/>
  <c r="L17" i="12"/>
  <c r="W17" i="12" s="1"/>
  <c r="L16" i="12"/>
  <c r="X16" i="12" s="1"/>
  <c r="L15" i="12"/>
  <c r="W15" i="12" s="1"/>
  <c r="L14" i="12"/>
  <c r="X14" i="12" s="1"/>
  <c r="L13" i="12"/>
  <c r="L20" i="10"/>
  <c r="L19" i="10"/>
  <c r="L18" i="10"/>
  <c r="L17" i="10"/>
  <c r="T17" i="10" s="1"/>
  <c r="L16" i="10"/>
  <c r="T16" i="10" s="1"/>
  <c r="L15" i="10"/>
  <c r="T15" i="10" s="1"/>
  <c r="L14" i="10"/>
  <c r="L13" i="10"/>
  <c r="T13" i="10" s="1"/>
  <c r="K20" i="9"/>
  <c r="S20" i="9" s="1"/>
  <c r="K19" i="9"/>
  <c r="S19" i="9" s="1"/>
  <c r="K18" i="9"/>
  <c r="S18" i="9" s="1"/>
  <c r="K17" i="9"/>
  <c r="S17" i="9" s="1"/>
  <c r="K16" i="9"/>
  <c r="K15" i="9"/>
  <c r="S15" i="9" s="1"/>
  <c r="K14" i="9"/>
  <c r="S14" i="9" s="1"/>
  <c r="S21" i="10"/>
  <c r="R21" i="9"/>
  <c r="V22" i="12" l="1"/>
  <c r="V21" i="12"/>
  <c r="T21" i="10"/>
  <c r="T22" i="10"/>
  <c r="T21" i="9"/>
  <c r="T22" i="9"/>
  <c r="X18" i="13"/>
  <c r="X21" i="13" s="1"/>
  <c r="W18" i="12"/>
  <c r="W22" i="12" s="1"/>
  <c r="R21" i="10"/>
  <c r="Y17" i="13"/>
  <c r="Y16" i="13"/>
  <c r="Y15" i="13"/>
  <c r="Y22" i="13" s="1"/>
  <c r="X13" i="12"/>
  <c r="X20" i="12"/>
  <c r="X19" i="12"/>
  <c r="X17" i="12"/>
  <c r="X15" i="12"/>
  <c r="W13" i="13"/>
  <c r="W20" i="13"/>
  <c r="W19" i="13"/>
  <c r="W21" i="13" l="1"/>
  <c r="W22" i="13"/>
  <c r="S22" i="9"/>
  <c r="S21" i="9"/>
  <c r="Y21" i="13"/>
  <c r="W21" i="12"/>
  <c r="X22" i="12"/>
  <c r="X21" i="12"/>
  <c r="X22" i="13"/>
</calcChain>
</file>

<file path=xl/sharedStrings.xml><?xml version="1.0" encoding="utf-8"?>
<sst xmlns="http://schemas.openxmlformats.org/spreadsheetml/2006/main" count="301" uniqueCount="120">
  <si>
    <t>Plant Samples</t>
  </si>
  <si>
    <t>Date collected:</t>
  </si>
  <si>
    <t xml:space="preserve"> Collected by:</t>
  </si>
  <si>
    <t>Processed by:</t>
  </si>
  <si>
    <t>Total # plants collected</t>
  </si>
  <si>
    <t>Date weighed:</t>
  </si>
  <si>
    <t>Date processed:</t>
  </si>
  <si>
    <t>Stems (g)</t>
  </si>
  <si>
    <t>Leaves (g)</t>
  </si>
  <si>
    <t>KRT</t>
  </si>
  <si>
    <t>SMM</t>
  </si>
  <si>
    <r>
      <t>Green Leaf Area (cm</t>
    </r>
    <r>
      <rPr>
        <b/>
        <vertAlign val="superscript"/>
        <sz val="10"/>
        <color indexed="8"/>
        <rFont val="Arial"/>
        <family val="2"/>
      </rPr>
      <t>2</t>
    </r>
    <r>
      <rPr>
        <b/>
        <sz val="10"/>
        <color indexed="8"/>
        <rFont val="Arial"/>
        <family val="2"/>
      </rPr>
      <t>)</t>
    </r>
  </si>
  <si>
    <t>Notes</t>
  </si>
  <si>
    <t>Plot</t>
  </si>
  <si>
    <t>-8 median plants-</t>
  </si>
  <si>
    <t>Petioles (g)</t>
  </si>
  <si>
    <t>Roots (g)</t>
  </si>
  <si>
    <t>Squares (g)</t>
  </si>
  <si>
    <t># Squares</t>
  </si>
  <si>
    <t>FISE - Cotton 2009</t>
  </si>
  <si>
    <t>Field 33</t>
  </si>
  <si>
    <r>
      <rPr>
        <b/>
        <sz val="12"/>
        <color indexed="8"/>
        <rFont val="Arial Rounded MT Bold"/>
        <family val="2"/>
      </rPr>
      <t>1</t>
    </r>
    <r>
      <rPr>
        <b/>
        <sz val="12"/>
        <color indexed="8"/>
        <rFont val="Arial"/>
        <family val="2"/>
      </rPr>
      <t xml:space="preserve">       </t>
    </r>
    <r>
      <rPr>
        <b/>
        <sz val="8"/>
        <color indexed="8"/>
        <rFont val="Arial"/>
        <family val="2"/>
      </rPr>
      <t>MAC</t>
    </r>
  </si>
  <si>
    <r>
      <rPr>
        <b/>
        <sz val="12"/>
        <color indexed="8"/>
        <rFont val="Arial Rounded MT Bold"/>
        <family val="2"/>
      </rPr>
      <t>3</t>
    </r>
    <r>
      <rPr>
        <b/>
        <sz val="12"/>
        <color indexed="8"/>
        <rFont val="Arial"/>
        <family val="2"/>
      </rPr>
      <t xml:space="preserve">          </t>
    </r>
    <r>
      <rPr>
        <b/>
        <sz val="8"/>
        <color indexed="8"/>
        <rFont val="Arial"/>
        <family val="2"/>
      </rPr>
      <t>FAO</t>
    </r>
  </si>
  <si>
    <r>
      <rPr>
        <b/>
        <sz val="12"/>
        <color indexed="8"/>
        <rFont val="Arial Rounded MT Bold"/>
        <family val="2"/>
      </rPr>
      <t>5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MAC</t>
    </r>
  </si>
  <si>
    <r>
      <rPr>
        <b/>
        <sz val="12"/>
        <color indexed="8"/>
        <rFont val="Arial Rounded MT Bold"/>
        <family val="2"/>
      </rPr>
      <t>7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NDA</t>
    </r>
  </si>
  <si>
    <r>
      <rPr>
        <b/>
        <sz val="12"/>
        <color indexed="8"/>
        <rFont val="Arial Rounded MT Bold"/>
        <family val="2"/>
      </rPr>
      <t>10</t>
    </r>
    <r>
      <rPr>
        <b/>
        <sz val="12"/>
        <color indexed="8"/>
        <rFont val="Arial"/>
        <family val="2"/>
      </rPr>
      <t xml:space="preserve">        </t>
    </r>
    <r>
      <rPr>
        <b/>
        <sz val="8"/>
        <color indexed="8"/>
        <rFont val="Arial"/>
        <family val="2"/>
      </rPr>
      <t>NDB</t>
    </r>
  </si>
  <si>
    <r>
      <rPr>
        <b/>
        <sz val="12"/>
        <color indexed="8"/>
        <rFont val="Arial Rounded MT Bold"/>
        <family val="2"/>
      </rPr>
      <t>12</t>
    </r>
    <r>
      <rPr>
        <b/>
        <sz val="12"/>
        <color indexed="8"/>
        <rFont val="Arial"/>
        <family val="2"/>
      </rPr>
      <t xml:space="preserve">       </t>
    </r>
    <r>
      <rPr>
        <b/>
        <sz val="8"/>
        <color indexed="8"/>
        <rFont val="Arial"/>
        <family val="2"/>
      </rPr>
      <t xml:space="preserve"> NDA</t>
    </r>
  </si>
  <si>
    <r>
      <rPr>
        <b/>
        <sz val="12"/>
        <color indexed="8"/>
        <rFont val="Arial Rounded MT Bold"/>
        <family val="2"/>
      </rPr>
      <t>13</t>
    </r>
    <r>
      <rPr>
        <b/>
        <sz val="12"/>
        <color indexed="8"/>
        <rFont val="Arial"/>
        <family val="2"/>
      </rPr>
      <t xml:space="preserve">      </t>
    </r>
    <r>
      <rPr>
        <b/>
        <sz val="8"/>
        <color indexed="8"/>
        <rFont val="Arial"/>
        <family val="2"/>
      </rPr>
      <t>FAO</t>
    </r>
  </si>
  <si>
    <r>
      <rPr>
        <b/>
        <sz val="12"/>
        <color indexed="8"/>
        <rFont val="Arial Rounded MT Bold"/>
        <family val="2"/>
      </rPr>
      <t xml:space="preserve">16     </t>
    </r>
    <r>
      <rPr>
        <b/>
        <sz val="12"/>
        <color indexed="8"/>
        <rFont val="Arial"/>
        <family val="2"/>
      </rPr>
      <t xml:space="preserve"> </t>
    </r>
    <r>
      <rPr>
        <b/>
        <sz val="8"/>
        <color indexed="8"/>
        <rFont val="Arial"/>
        <family val="2"/>
      </rPr>
      <t>NDB</t>
    </r>
  </si>
  <si>
    <t>Bulk IN Bag (g)</t>
  </si>
  <si>
    <t>Bulk Plant wt.(g)</t>
  </si>
  <si>
    <t># Open Flowers</t>
  </si>
  <si>
    <t>7 &amp; 8 July 09</t>
  </si>
  <si>
    <t>Collected before 9 am, processed 7 July 09</t>
  </si>
  <si>
    <t>Collected early afternoon of 7 July and placed in a cold room (rm 282, 4° C, processed 8 July</t>
  </si>
  <si>
    <t># White Flowers</t>
  </si>
  <si>
    <t># Bolls (including pink flowers)</t>
  </si>
  <si>
    <t>Kelly collected a total of 1 meter of plants per border (not 2 meters as he did for the June sample)</t>
  </si>
  <si>
    <t>Reproductive bits (squares, flowers, bolls - g)</t>
  </si>
  <si>
    <t>Bag wt (g)</t>
  </si>
  <si>
    <t>10 &amp; 11 August 09</t>
  </si>
  <si>
    <t>Processed 10 Aug</t>
  </si>
  <si>
    <t>Processed 11 Aug</t>
  </si>
  <si>
    <t>Bulk in bag (g)</t>
  </si>
  <si>
    <t>Stems in bag (g)</t>
  </si>
  <si>
    <t>Leaves in bag (g)</t>
  </si>
  <si>
    <t>Reproductive bits (squares, flowers, bolls) (g)</t>
  </si>
  <si>
    <t># Open Bolls</t>
  </si>
  <si>
    <t># Unopened Bolls</t>
  </si>
  <si>
    <t>Processed 31 Aug</t>
  </si>
  <si>
    <t xml:space="preserve">Processed 1 Sept </t>
  </si>
  <si>
    <t>31 Aug &amp; 1 Sept</t>
  </si>
  <si>
    <t>SLA</t>
  </si>
  <si>
    <t>g/cm2</t>
  </si>
  <si>
    <t>CanWt</t>
  </si>
  <si>
    <t>kg/ha</t>
  </si>
  <si>
    <t>LAI</t>
  </si>
  <si>
    <t>cm2/g</t>
  </si>
  <si>
    <t>Can Wt</t>
  </si>
  <si>
    <t>Bulk (g)</t>
  </si>
  <si>
    <t>OBS</t>
  </si>
  <si>
    <t>LFMAX</t>
  </si>
  <si>
    <t>DOY</t>
  </si>
  <si>
    <t>(kg/ha)</t>
  </si>
  <si>
    <t>(cm2/g)</t>
  </si>
  <si>
    <t>Yield</t>
  </si>
  <si>
    <t>MAC</t>
  </si>
  <si>
    <t>NDB</t>
  </si>
  <si>
    <t>FAO</t>
  </si>
  <si>
    <t>NDA</t>
  </si>
  <si>
    <t>IRR</t>
  </si>
  <si>
    <t>NumPlts</t>
  </si>
  <si>
    <t>SQRNUM</t>
  </si>
  <si>
    <t>FLRNUM</t>
  </si>
  <si>
    <t>GBNUM</t>
  </si>
  <si>
    <t>MBNUM</t>
  </si>
  <si>
    <t>LWPD</t>
  </si>
  <si>
    <t>SWPD</t>
  </si>
  <si>
    <t>CWPD</t>
  </si>
  <si>
    <t>LWAD</t>
  </si>
  <si>
    <t>SWAD</t>
  </si>
  <si>
    <t>PWAD</t>
  </si>
  <si>
    <t>CWAD</t>
  </si>
  <si>
    <t>LAIDL</t>
  </si>
  <si>
    <t>Year</t>
  </si>
  <si>
    <t>PSDATE</t>
  </si>
  <si>
    <t>SID</t>
  </si>
  <si>
    <t>p01-S1</t>
  </si>
  <si>
    <t>p03-S1</t>
  </si>
  <si>
    <t>p05-S1</t>
  </si>
  <si>
    <t>p07-S1</t>
  </si>
  <si>
    <t>p10-S1</t>
  </si>
  <si>
    <t>p12-S1</t>
  </si>
  <si>
    <t>p13-S1</t>
  </si>
  <si>
    <t>p16-S1</t>
  </si>
  <si>
    <t>p02-S2</t>
  </si>
  <si>
    <t>p04-S2</t>
  </si>
  <si>
    <t>p06-S2</t>
  </si>
  <si>
    <t>p08-S2</t>
  </si>
  <si>
    <t>p09-S2</t>
  </si>
  <si>
    <t>p11-S2</t>
  </si>
  <si>
    <t>p14-S2</t>
  </si>
  <si>
    <t>p15-S2</t>
  </si>
  <si>
    <t>p01-S3</t>
  </si>
  <si>
    <t>p03-S3</t>
  </si>
  <si>
    <t>p05-S3</t>
  </si>
  <si>
    <t>p07-S3</t>
  </si>
  <si>
    <t>p10-S3</t>
  </si>
  <si>
    <t>p12-S3</t>
  </si>
  <si>
    <t>p13-S3</t>
  </si>
  <si>
    <t>p16-S3</t>
  </si>
  <si>
    <t>p02-S4</t>
  </si>
  <si>
    <t>p04-S4</t>
  </si>
  <si>
    <t>p06-S4</t>
  </si>
  <si>
    <t>p08-S4</t>
  </si>
  <si>
    <t>p09-S4</t>
  </si>
  <si>
    <t>p11-S4</t>
  </si>
  <si>
    <t>p14-S4</t>
  </si>
  <si>
    <t>p15-S4</t>
  </si>
  <si>
    <t>LAID_LAB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</si>
</sst>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"/>
    <numFmt numFmtId="165" formatCode="0.000"/>
    <numFmt numFmtId="166" formatCode="0.0"/>
    <numFmt numFmtId="167" formatCode="mm/dd/yyyy"/>
  </numFmts>
  <fonts count="45" x14ac:knownFonts="1">
    <font>
      <sz val="11"/>
      <color theme="1"/>
      <name val="Calibri"/>
      <family val="2"/>
      <scheme val="minor"/>
    </font>
    <font>
      <b/>
      <vertAlign val="superscript"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 Rounded MT Bold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theme="6" tint="-0.499984740745262"/>
      <name val="Arial"/>
      <family val="2"/>
    </font>
    <font>
      <b/>
      <sz val="11"/>
      <color theme="6" tint="-0.499984740745262"/>
      <name val="Arial"/>
      <family val="2"/>
    </font>
    <font>
      <sz val="11"/>
      <color theme="6" tint="-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 Black"/>
      <family val="2"/>
    </font>
    <font>
      <b/>
      <sz val="12"/>
      <color theme="1"/>
      <name val="Arial Rounded MT Bold"/>
      <family val="2"/>
    </font>
    <font>
      <sz val="12"/>
      <color theme="1"/>
      <name val="Arial"/>
      <family val="2"/>
    </font>
    <font>
      <sz val="12"/>
      <color theme="6" tint="-0.499984740745262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 Rounded MT Bold"/>
      <family val="2"/>
    </font>
    <font>
      <b/>
      <sz val="10"/>
      <color theme="1"/>
      <name val="Arial Rounded MT Bold"/>
      <family val="2"/>
    </font>
    <font>
      <sz val="10"/>
      <color theme="1"/>
      <name val="Arial"/>
      <family val="2"/>
    </font>
    <font>
      <b/>
      <sz val="13"/>
      <color theme="6" tint="-0.499984740745262"/>
      <name val="Arial"/>
      <family val="2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67955565050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46375B"/>
      </left>
      <right style="thin">
        <color indexed="64"/>
      </right>
      <top style="double">
        <color rgb="FF46375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46375B"/>
      </top>
      <bottom style="thin">
        <color indexed="64"/>
      </bottom>
      <diagonal/>
    </border>
    <border>
      <left style="thin">
        <color indexed="64"/>
      </left>
      <right style="double">
        <color rgb="FF46375B"/>
      </right>
      <top style="double">
        <color rgb="FF46375B"/>
      </top>
      <bottom style="thin">
        <color indexed="64"/>
      </bottom>
      <diagonal/>
    </border>
    <border>
      <left style="double">
        <color rgb="FF46375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46375B"/>
      </right>
      <top style="thin">
        <color indexed="64"/>
      </top>
      <bottom style="thin">
        <color indexed="64"/>
      </bottom>
      <diagonal/>
    </border>
    <border>
      <left style="double">
        <color rgb="FF46375B"/>
      </left>
      <right style="thin">
        <color indexed="64"/>
      </right>
      <top style="thin">
        <color indexed="64"/>
      </top>
      <bottom style="double">
        <color rgb="FF46375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46375B"/>
      </bottom>
      <diagonal/>
    </border>
    <border>
      <left style="thin">
        <color indexed="64"/>
      </left>
      <right style="double">
        <color rgb="FF46375B"/>
      </right>
      <top style="thin">
        <color indexed="64"/>
      </top>
      <bottom style="double">
        <color rgb="FF46375B"/>
      </bottom>
      <diagonal/>
    </border>
    <border>
      <left style="double">
        <color rgb="FF46375B"/>
      </left>
      <right/>
      <top/>
      <bottom style="double">
        <color rgb="FF46375B"/>
      </bottom>
      <diagonal/>
    </border>
    <border>
      <left/>
      <right/>
      <top/>
      <bottom style="double">
        <color rgb="FF46375B"/>
      </bottom>
      <diagonal/>
    </border>
    <border>
      <left/>
      <right style="double">
        <color rgb="FF46375B"/>
      </right>
      <top/>
      <bottom style="double">
        <color rgb="FF46375B"/>
      </bottom>
      <diagonal/>
    </border>
    <border>
      <left style="double">
        <color rgb="FF46375B"/>
      </left>
      <right style="double">
        <color rgb="FF46375B"/>
      </right>
      <top/>
      <bottom style="double">
        <color rgb="FF46375B"/>
      </bottom>
      <diagonal/>
    </border>
  </borders>
  <cellStyleXfs count="42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18" applyNumberFormat="0" applyAlignment="0" applyProtection="0"/>
    <xf numFmtId="0" fontId="12" fillId="29" borderId="19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20" applyNumberFormat="0" applyFill="0" applyAlignment="0" applyProtection="0"/>
    <xf numFmtId="0" fontId="16" fillId="0" borderId="21" applyNumberFormat="0" applyFill="0" applyAlignment="0" applyProtection="0"/>
    <xf numFmtId="0" fontId="17" fillId="0" borderId="22" applyNumberFormat="0" applyFill="0" applyAlignment="0" applyProtection="0"/>
    <xf numFmtId="0" fontId="17" fillId="0" borderId="0" applyNumberFormat="0" applyFill="0" applyBorder="0" applyAlignment="0" applyProtection="0"/>
    <xf numFmtId="0" fontId="18" fillId="31" borderId="18" applyNumberFormat="0" applyAlignment="0" applyProtection="0"/>
    <xf numFmtId="0" fontId="19" fillId="0" borderId="23" applyNumberFormat="0" applyFill="0" applyAlignment="0" applyProtection="0"/>
    <xf numFmtId="0" fontId="20" fillId="32" borderId="0" applyNumberFormat="0" applyBorder="0" applyAlignment="0" applyProtection="0"/>
    <xf numFmtId="0" fontId="8" fillId="33" borderId="24" applyNumberFormat="0" applyFont="0" applyAlignment="0" applyProtection="0"/>
    <xf numFmtId="0" fontId="21" fillId="28" borderId="25" applyNumberFormat="0" applyAlignment="0" applyProtection="0"/>
    <xf numFmtId="0" fontId="22" fillId="0" borderId="0" applyNumberFormat="0" applyFill="0" applyBorder="0" applyAlignment="0" applyProtection="0"/>
    <xf numFmtId="0" fontId="23" fillId="0" borderId="26" applyNumberFormat="0" applyFill="0" applyAlignment="0" applyProtection="0"/>
    <xf numFmtId="0" fontId="24" fillId="0" borderId="0" applyNumberFormat="0" applyFill="0" applyBorder="0" applyAlignment="0" applyProtection="0"/>
  </cellStyleXfs>
  <cellXfs count="87">
    <xf numFmtId="0" fontId="0" fillId="0" borderId="0" xfId="0"/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/>
    </xf>
    <xf numFmtId="0" fontId="25" fillId="0" borderId="1" xfId="0" applyFont="1" applyBorder="1"/>
    <xf numFmtId="0" fontId="25" fillId="34" borderId="0" xfId="0" applyFont="1" applyFill="1"/>
    <xf numFmtId="15" fontId="25" fillId="0" borderId="1" xfId="0" applyNumberFormat="1" applyFont="1" applyBorder="1"/>
    <xf numFmtId="0" fontId="27" fillId="0" borderId="0" xfId="0" quotePrefix="1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28" fillId="34" borderId="0" xfId="0" applyFont="1" applyFill="1"/>
    <xf numFmtId="0" fontId="29" fillId="0" borderId="1" xfId="0" applyFont="1" applyBorder="1" applyAlignment="1">
      <alignment horizontal="center" wrapText="1"/>
    </xf>
    <xf numFmtId="0" fontId="29" fillId="34" borderId="1" xfId="0" applyFont="1" applyFill="1" applyBorder="1" applyAlignment="1">
      <alignment horizontal="center" wrapText="1"/>
    </xf>
    <xf numFmtId="0" fontId="29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Continuous" vertical="top" wrapText="1"/>
    </xf>
    <xf numFmtId="0" fontId="30" fillId="0" borderId="0" xfId="0" quotePrefix="1" applyFont="1" applyAlignment="1">
      <alignment horizontal="centerContinuous"/>
    </xf>
    <xf numFmtId="0" fontId="31" fillId="0" borderId="0" xfId="0" applyFont="1" applyAlignment="1">
      <alignment horizontal="centerContinuous"/>
    </xf>
    <xf numFmtId="0" fontId="32" fillId="0" borderId="0" xfId="0" applyFont="1" applyAlignment="1">
      <alignment horizontal="centerContinuous"/>
    </xf>
    <xf numFmtId="0" fontId="33" fillId="0" borderId="1" xfId="0" applyFont="1" applyBorder="1" applyAlignment="1">
      <alignment horizontal="center" wrapText="1"/>
    </xf>
    <xf numFmtId="0" fontId="28" fillId="0" borderId="2" xfId="0" applyFont="1" applyBorder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2" xfId="0" applyFont="1" applyBorder="1" applyAlignment="1">
      <alignment horizontal="center" vertical="center"/>
    </xf>
    <xf numFmtId="0" fontId="36" fillId="34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/>
    </xf>
    <xf numFmtId="0" fontId="36" fillId="34" borderId="3" xfId="0" applyFont="1" applyFill="1" applyBorder="1" applyAlignment="1">
      <alignment horizontal="center" vertical="center"/>
    </xf>
    <xf numFmtId="2" fontId="37" fillId="0" borderId="2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15" fontId="25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wrapText="1"/>
    </xf>
    <xf numFmtId="0" fontId="39" fillId="0" borderId="0" xfId="0" applyFont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41" fillId="0" borderId="0" xfId="0" applyFont="1" applyAlignment="1">
      <alignment horizontal="center" wrapText="1"/>
    </xf>
    <xf numFmtId="2" fontId="37" fillId="0" borderId="12" xfId="0" applyNumberFormat="1" applyFont="1" applyBorder="1" applyAlignment="1">
      <alignment horizontal="center" vertical="center"/>
    </xf>
    <xf numFmtId="2" fontId="37" fillId="0" borderId="4" xfId="0" applyNumberFormat="1" applyFont="1" applyBorder="1" applyAlignment="1">
      <alignment horizontal="center" vertical="center"/>
    </xf>
    <xf numFmtId="2" fontId="37" fillId="0" borderId="5" xfId="0" applyNumberFormat="1" applyFont="1" applyBorder="1" applyAlignment="1">
      <alignment horizontal="center" vertical="center"/>
    </xf>
    <xf numFmtId="2" fontId="37" fillId="0" borderId="9" xfId="0" applyNumberFormat="1" applyFont="1" applyBorder="1" applyAlignment="1">
      <alignment horizontal="center" vertical="center"/>
    </xf>
    <xf numFmtId="2" fontId="37" fillId="0" borderId="6" xfId="0" applyNumberFormat="1" applyFont="1" applyBorder="1" applyAlignment="1">
      <alignment horizontal="center" vertical="center"/>
    </xf>
    <xf numFmtId="2" fontId="37" fillId="0" borderId="10" xfId="0" applyNumberFormat="1" applyFont="1" applyBorder="1" applyAlignment="1">
      <alignment horizontal="center" vertical="center"/>
    </xf>
    <xf numFmtId="2" fontId="37" fillId="0" borderId="7" xfId="0" applyNumberFormat="1" applyFont="1" applyBorder="1" applyAlignment="1">
      <alignment horizontal="center" vertical="center"/>
    </xf>
    <xf numFmtId="2" fontId="37" fillId="0" borderId="8" xfId="0" applyNumberFormat="1" applyFont="1" applyBorder="1" applyAlignment="1">
      <alignment horizontal="center" vertical="center"/>
    </xf>
    <xf numFmtId="2" fontId="37" fillId="0" borderId="11" xfId="0" applyNumberFormat="1" applyFont="1" applyBorder="1" applyAlignment="1">
      <alignment horizontal="center" vertical="center"/>
    </xf>
    <xf numFmtId="2" fontId="42" fillId="0" borderId="2" xfId="0" applyNumberFormat="1" applyFont="1" applyBorder="1" applyAlignment="1">
      <alignment horizontal="center" vertical="center"/>
    </xf>
    <xf numFmtId="2" fontId="37" fillId="0" borderId="27" xfId="0" applyNumberFormat="1" applyFont="1" applyBorder="1" applyAlignment="1">
      <alignment horizontal="center" vertical="center"/>
    </xf>
    <xf numFmtId="2" fontId="37" fillId="0" borderId="28" xfId="0" applyNumberFormat="1" applyFont="1" applyBorder="1" applyAlignment="1">
      <alignment horizontal="center" vertical="center"/>
    </xf>
    <xf numFmtId="2" fontId="42" fillId="0" borderId="29" xfId="0" applyNumberFormat="1" applyFont="1" applyBorder="1" applyAlignment="1">
      <alignment horizontal="center" vertical="center"/>
    </xf>
    <xf numFmtId="2" fontId="37" fillId="0" borderId="30" xfId="0" applyNumberFormat="1" applyFont="1" applyBorder="1" applyAlignment="1">
      <alignment horizontal="center" vertical="center"/>
    </xf>
    <xf numFmtId="2" fontId="42" fillId="0" borderId="31" xfId="0" applyNumberFormat="1" applyFont="1" applyBorder="1" applyAlignment="1">
      <alignment horizontal="center" vertical="center"/>
    </xf>
    <xf numFmtId="2" fontId="37" fillId="0" borderId="32" xfId="0" applyNumberFormat="1" applyFont="1" applyBorder="1" applyAlignment="1">
      <alignment horizontal="center" vertical="center"/>
    </xf>
    <xf numFmtId="2" fontId="37" fillId="0" borderId="33" xfId="0" applyNumberFormat="1" applyFont="1" applyBorder="1" applyAlignment="1">
      <alignment horizontal="center" vertical="center"/>
    </xf>
    <xf numFmtId="2" fontId="42" fillId="0" borderId="34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0" fontId="41" fillId="0" borderId="35" xfId="0" applyFont="1" applyBorder="1" applyAlignment="1">
      <alignment horizontal="center" wrapText="1"/>
    </xf>
    <xf numFmtId="0" fontId="41" fillId="0" borderId="36" xfId="0" applyFont="1" applyBorder="1" applyAlignment="1">
      <alignment horizontal="center" wrapText="1"/>
    </xf>
    <xf numFmtId="0" fontId="35" fillId="0" borderId="37" xfId="0" applyFont="1" applyBorder="1" applyAlignment="1">
      <alignment horizontal="center" wrapText="1"/>
    </xf>
    <xf numFmtId="2" fontId="42" fillId="0" borderId="13" xfId="0" applyNumberFormat="1" applyFont="1" applyBorder="1" applyAlignment="1">
      <alignment horizontal="center" vertical="center"/>
    </xf>
    <xf numFmtId="0" fontId="39" fillId="0" borderId="38" xfId="0" applyFont="1" applyBorder="1" applyAlignment="1">
      <alignment horizontal="center" wrapText="1"/>
    </xf>
    <xf numFmtId="2" fontId="42" fillId="0" borderId="14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2" fontId="25" fillId="0" borderId="0" xfId="0" applyNumberFormat="1" applyFont="1"/>
    <xf numFmtId="2" fontId="37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0" fontId="44" fillId="0" borderId="0" xfId="0" applyFont="1"/>
    <xf numFmtId="167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  <xf numFmtId="0" fontId="43" fillId="0" borderId="15" xfId="0" applyFont="1" applyBorder="1" applyAlignment="1">
      <alignment horizontal="center" vertical="center" textRotation="90"/>
    </xf>
    <xf numFmtId="0" fontId="43" fillId="0" borderId="16" xfId="0" applyFont="1" applyBorder="1" applyAlignment="1">
      <alignment horizontal="center" vertical="center" textRotation="90"/>
    </xf>
    <xf numFmtId="0" fontId="43" fillId="0" borderId="17" xfId="0" applyFont="1" applyBorder="1" applyAlignment="1">
      <alignment horizontal="center" vertical="center" textRotation="9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Sheet2!$A$4:$A$8</c:f>
              <c:numCache>
                <c:formatCode>General</c:formatCode>
                <c:ptCount val="5"/>
                <c:pt idx="0">
                  <c:v>161</c:v>
                </c:pt>
                <c:pt idx="1">
                  <c:v>188</c:v>
                </c:pt>
                <c:pt idx="2">
                  <c:v>222</c:v>
                </c:pt>
                <c:pt idx="3">
                  <c:v>243</c:v>
                </c:pt>
                <c:pt idx="4">
                  <c:v>266</c:v>
                </c:pt>
              </c:numCache>
            </c:numRef>
          </c:xVal>
          <c:yVal>
            <c:numRef>
              <c:f>Sheet2!$C$4:$C$8</c:f>
              <c:numCache>
                <c:formatCode>General</c:formatCode>
                <c:ptCount val="5"/>
                <c:pt idx="0">
                  <c:v>1630.5400241052223</c:v>
                </c:pt>
                <c:pt idx="1">
                  <c:v>5846.9117647058811</c:v>
                </c:pt>
                <c:pt idx="2">
                  <c:v>14608.357843137255</c:v>
                </c:pt>
                <c:pt idx="3">
                  <c:v>18330.171568627447</c:v>
                </c:pt>
                <c:pt idx="4">
                  <c:v>19500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E-442A-9DDF-D35AA1A6E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47600"/>
        <c:axId val="1"/>
      </c:scatterChart>
      <c:valAx>
        <c:axId val="31774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747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Sheet2!$A$4:$A$8</c:f>
              <c:numCache>
                <c:formatCode>General</c:formatCode>
                <c:ptCount val="5"/>
                <c:pt idx="0">
                  <c:v>161</c:v>
                </c:pt>
                <c:pt idx="1">
                  <c:v>188</c:v>
                </c:pt>
                <c:pt idx="2">
                  <c:v>222</c:v>
                </c:pt>
                <c:pt idx="3">
                  <c:v>243</c:v>
                </c:pt>
                <c:pt idx="4">
                  <c:v>266</c:v>
                </c:pt>
              </c:numCache>
            </c:numRef>
          </c:xVal>
          <c:yVal>
            <c:numRef>
              <c:f>Sheet2!$D$4:$D$8</c:f>
              <c:numCache>
                <c:formatCode>General</c:formatCode>
                <c:ptCount val="5"/>
                <c:pt idx="0">
                  <c:v>1.2316065828490816</c:v>
                </c:pt>
                <c:pt idx="1">
                  <c:v>4.4751298356379614</c:v>
                </c:pt>
                <c:pt idx="2">
                  <c:v>6.7971156047476216</c:v>
                </c:pt>
                <c:pt idx="3">
                  <c:v>7.1513312934320812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F1-4273-B8C9-FA9583830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857680"/>
        <c:axId val="1"/>
      </c:scatterChart>
      <c:valAx>
        <c:axId val="175285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2857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21</xdr:row>
      <xdr:rowOff>38100</xdr:rowOff>
    </xdr:from>
    <xdr:to>
      <xdr:col>10</xdr:col>
      <xdr:colOff>333375</xdr:colOff>
      <xdr:row>40</xdr:row>
      <xdr:rowOff>95250</xdr:rowOff>
    </xdr:to>
    <xdr:graphicFrame macro="">
      <xdr:nvGraphicFramePr>
        <xdr:cNvPr id="1035" name="Chart 1">
          <a:extLst>
            <a:ext uri="{FF2B5EF4-FFF2-40B4-BE49-F238E27FC236}">
              <a16:creationId xmlns:a16="http://schemas.microsoft.com/office/drawing/2014/main" id="{124FD4E5-1B2C-656E-FFE1-EE0658599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42</xdr:row>
      <xdr:rowOff>161925</xdr:rowOff>
    </xdr:from>
    <xdr:to>
      <xdr:col>10</xdr:col>
      <xdr:colOff>314325</xdr:colOff>
      <xdr:row>62</xdr:row>
      <xdr:rowOff>28575</xdr:rowOff>
    </xdr:to>
    <xdr:graphicFrame macro="">
      <xdr:nvGraphicFramePr>
        <xdr:cNvPr id="1036" name="Chart 2">
          <a:extLst>
            <a:ext uri="{FF2B5EF4-FFF2-40B4-BE49-F238E27FC236}">
              <a16:creationId xmlns:a16="http://schemas.microsoft.com/office/drawing/2014/main" id="{5DC0E837-1476-0BFF-A64F-7DDC249FF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EE69-5CDF-461F-A5EB-E6F853288A75}">
  <dimension ref="A1:Q33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17" x14ac:dyDescent="0.25">
      <c r="A1" t="s">
        <v>84</v>
      </c>
      <c r="B1" t="s">
        <v>62</v>
      </c>
      <c r="C1" t="s">
        <v>85</v>
      </c>
      <c r="D1" t="s">
        <v>86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119</v>
      </c>
    </row>
    <row r="2" spans="1:17" x14ac:dyDescent="0.25">
      <c r="A2">
        <v>2009</v>
      </c>
      <c r="B2">
        <v>161</v>
      </c>
      <c r="C2" s="80">
        <v>39974</v>
      </c>
      <c r="D2" t="s">
        <v>87</v>
      </c>
      <c r="E2">
        <v>42</v>
      </c>
      <c r="F2" s="81">
        <v>3.75</v>
      </c>
      <c r="G2" s="81">
        <v>0</v>
      </c>
      <c r="H2" s="81">
        <v>0</v>
      </c>
      <c r="I2" s="81">
        <v>0</v>
      </c>
      <c r="J2" s="82">
        <v>3.9350000000000001</v>
      </c>
      <c r="K2" s="82">
        <v>3.9975000000000001</v>
      </c>
      <c r="L2" s="82">
        <v>9.057380952380953</v>
      </c>
      <c r="M2" s="81">
        <v>833.91092104072629</v>
      </c>
      <c r="N2" s="81">
        <v>847.15601190859036</v>
      </c>
      <c r="O2" s="81">
        <v>10.066269059576745</v>
      </c>
      <c r="P2" s="81">
        <v>1691.1332020088935</v>
      </c>
      <c r="Q2" s="83">
        <v>1.2700187829560208</v>
      </c>
    </row>
    <row r="3" spans="1:17" x14ac:dyDescent="0.25">
      <c r="A3">
        <v>2009</v>
      </c>
      <c r="B3">
        <v>161</v>
      </c>
      <c r="C3" s="80">
        <v>39974</v>
      </c>
      <c r="D3" t="s">
        <v>88</v>
      </c>
      <c r="E3">
        <v>43</v>
      </c>
      <c r="F3" s="81">
        <v>3.125</v>
      </c>
      <c r="G3" s="81">
        <v>0</v>
      </c>
      <c r="H3" s="81">
        <v>0</v>
      </c>
      <c r="I3" s="81">
        <v>0</v>
      </c>
      <c r="J3" s="82">
        <v>4.0724999999999998</v>
      </c>
      <c r="K3" s="82">
        <v>4.1637500000000003</v>
      </c>
      <c r="L3" s="82">
        <v>8.720930232558139</v>
      </c>
      <c r="M3" s="81">
        <v>819.01189114628812</v>
      </c>
      <c r="N3" s="81">
        <v>837.36298631316333</v>
      </c>
      <c r="O3" s="81">
        <v>6.536006497791127</v>
      </c>
      <c r="P3" s="81">
        <v>1662.9108839572427</v>
      </c>
      <c r="Q3" s="83">
        <v>1.2857958782779595</v>
      </c>
    </row>
    <row r="4" spans="1:17" x14ac:dyDescent="0.25">
      <c r="A4">
        <v>2009</v>
      </c>
      <c r="B4">
        <v>161</v>
      </c>
      <c r="C4" s="80">
        <v>39974</v>
      </c>
      <c r="D4" t="s">
        <v>89</v>
      </c>
      <c r="E4">
        <v>45</v>
      </c>
      <c r="F4" s="81">
        <v>3.5</v>
      </c>
      <c r="G4" s="81">
        <v>0</v>
      </c>
      <c r="H4" s="81">
        <v>0</v>
      </c>
      <c r="I4" s="81">
        <v>0</v>
      </c>
      <c r="J4" s="82">
        <v>3.8675000000000002</v>
      </c>
      <c r="K4" s="82">
        <v>3.88375</v>
      </c>
      <c r="L4" s="82">
        <v>7.923333333333332</v>
      </c>
      <c r="M4" s="81">
        <v>787.75073229128145</v>
      </c>
      <c r="N4" s="81">
        <v>791.06060931771549</v>
      </c>
      <c r="O4" s="81">
        <v>6.6197540528679113</v>
      </c>
      <c r="P4" s="81">
        <v>1585.4310956618647</v>
      </c>
      <c r="Q4" s="83">
        <v>1.2213191621616186</v>
      </c>
    </row>
    <row r="5" spans="1:17" x14ac:dyDescent="0.25">
      <c r="A5">
        <v>2009</v>
      </c>
      <c r="B5">
        <v>161</v>
      </c>
      <c r="C5" s="80">
        <v>39974</v>
      </c>
      <c r="D5" t="s">
        <v>90</v>
      </c>
      <c r="E5">
        <v>45</v>
      </c>
      <c r="F5" s="81">
        <v>2.875</v>
      </c>
      <c r="G5" s="81">
        <v>0</v>
      </c>
      <c r="H5" s="81">
        <v>0</v>
      </c>
      <c r="I5" s="81">
        <v>0</v>
      </c>
      <c r="J5" s="82">
        <v>0.43375000000000002</v>
      </c>
      <c r="K5" s="82">
        <v>4.1612499999999999</v>
      </c>
      <c r="L5" s="82">
        <v>8.2731111111111133</v>
      </c>
      <c r="M5" s="81">
        <v>143.29573320042095</v>
      </c>
      <c r="N5" s="81">
        <v>1374.7305355164306</v>
      </c>
      <c r="O5" s="81">
        <v>16.93119614183648</v>
      </c>
      <c r="P5" s="81">
        <v>1534.9574648586877</v>
      </c>
      <c r="Q5" s="83">
        <v>2.1858711061915401</v>
      </c>
    </row>
    <row r="6" spans="1:17" x14ac:dyDescent="0.25">
      <c r="A6">
        <v>2009</v>
      </c>
      <c r="B6">
        <v>161</v>
      </c>
      <c r="C6" s="80">
        <v>39974</v>
      </c>
      <c r="D6" t="s">
        <v>91</v>
      </c>
      <c r="E6">
        <v>40</v>
      </c>
      <c r="F6" s="81">
        <v>2.75</v>
      </c>
      <c r="G6" s="81">
        <v>0</v>
      </c>
      <c r="H6" s="81">
        <v>0</v>
      </c>
      <c r="I6" s="81">
        <v>0</v>
      </c>
      <c r="J6" s="82">
        <v>4.0112500000000004</v>
      </c>
      <c r="K6" s="82">
        <v>3.7362500000000001</v>
      </c>
      <c r="L6" s="82">
        <v>8.2919999999999998</v>
      </c>
      <c r="M6" s="81">
        <v>763.5016132936064</v>
      </c>
      <c r="N6" s="81">
        <v>711.15809352900885</v>
      </c>
      <c r="O6" s="81">
        <v>5.7102021561379104</v>
      </c>
      <c r="P6" s="81">
        <v>1480.3699089787533</v>
      </c>
      <c r="Q6" s="83">
        <v>1.1442721685702728</v>
      </c>
    </row>
    <row r="7" spans="1:17" x14ac:dyDescent="0.25">
      <c r="A7">
        <v>2009</v>
      </c>
      <c r="B7">
        <v>161</v>
      </c>
      <c r="C7" s="80">
        <v>39974</v>
      </c>
      <c r="D7" t="s">
        <v>92</v>
      </c>
      <c r="E7">
        <v>40</v>
      </c>
      <c r="F7" s="81">
        <v>3.375</v>
      </c>
      <c r="G7" s="81">
        <v>0</v>
      </c>
      <c r="H7" s="81">
        <v>0</v>
      </c>
      <c r="I7" s="81">
        <v>0</v>
      </c>
      <c r="J7" s="82">
        <v>4.41</v>
      </c>
      <c r="K7" s="82">
        <v>4.16</v>
      </c>
      <c r="L7" s="82">
        <v>9.343</v>
      </c>
      <c r="M7" s="81">
        <v>854.47967652692057</v>
      </c>
      <c r="N7" s="81">
        <v>806.03978556734455</v>
      </c>
      <c r="O7" s="81">
        <v>11.141174920702479</v>
      </c>
      <c r="P7" s="81">
        <v>1671.6606370149675</v>
      </c>
      <c r="Q7" s="83">
        <v>1.2793338501606217</v>
      </c>
    </row>
    <row r="8" spans="1:17" x14ac:dyDescent="0.25">
      <c r="A8">
        <v>2009</v>
      </c>
      <c r="B8">
        <v>161</v>
      </c>
      <c r="C8" s="80">
        <v>39974</v>
      </c>
      <c r="D8" t="s">
        <v>93</v>
      </c>
      <c r="E8">
        <v>36</v>
      </c>
      <c r="F8" s="81">
        <v>3.5</v>
      </c>
      <c r="G8" s="81">
        <v>0</v>
      </c>
      <c r="H8" s="81">
        <v>0</v>
      </c>
      <c r="I8" s="81">
        <v>0</v>
      </c>
      <c r="J8" s="82">
        <v>4.9137500000000003</v>
      </c>
      <c r="K8" s="82">
        <v>5.0537500000000009</v>
      </c>
      <c r="L8" s="82">
        <v>9.9427777777777777</v>
      </c>
      <c r="M8" s="81">
        <v>785.72446025172178</v>
      </c>
      <c r="N8" s="81">
        <v>808.11091142144801</v>
      </c>
      <c r="O8" s="81">
        <v>12.192620726368617</v>
      </c>
      <c r="P8" s="81">
        <v>1606.0279923995383</v>
      </c>
      <c r="Q8" s="83">
        <v>1.1065602825292722</v>
      </c>
    </row>
    <row r="9" spans="1:17" x14ac:dyDescent="0.25">
      <c r="A9">
        <v>2009</v>
      </c>
      <c r="B9">
        <v>161</v>
      </c>
      <c r="C9" s="80">
        <v>39974</v>
      </c>
      <c r="D9" t="s">
        <v>94</v>
      </c>
      <c r="E9">
        <v>34</v>
      </c>
      <c r="F9" s="81">
        <v>4.25</v>
      </c>
      <c r="G9" s="81">
        <v>0</v>
      </c>
      <c r="H9" s="81">
        <v>0</v>
      </c>
      <c r="I9" s="81">
        <v>0</v>
      </c>
      <c r="J9" s="82">
        <v>5.2137500000000001</v>
      </c>
      <c r="K9" s="82">
        <v>5.2774999999999999</v>
      </c>
      <c r="L9" s="82">
        <v>11.491764705882352</v>
      </c>
      <c r="M9" s="81">
        <v>865.64843124295464</v>
      </c>
      <c r="N9" s="81">
        <v>876.23296013132438</v>
      </c>
      <c r="O9" s="81">
        <v>19.301199737615626</v>
      </c>
      <c r="P9" s="81">
        <v>1761.1825911118949</v>
      </c>
      <c r="Q9" s="83">
        <v>1.3478878689883704</v>
      </c>
    </row>
    <row r="10" spans="1:17" x14ac:dyDescent="0.25">
      <c r="A10">
        <v>2009</v>
      </c>
      <c r="B10">
        <v>188</v>
      </c>
      <c r="C10" s="80">
        <v>40001</v>
      </c>
      <c r="D10" t="s">
        <v>95</v>
      </c>
      <c r="E10">
        <v>21</v>
      </c>
      <c r="F10" s="81">
        <v>11.875</v>
      </c>
      <c r="G10" s="81">
        <v>0.375</v>
      </c>
      <c r="H10" s="81">
        <v>2.625</v>
      </c>
      <c r="I10" s="81">
        <v>0</v>
      </c>
      <c r="J10" s="82">
        <v>10.356249999999999</v>
      </c>
      <c r="K10" s="82">
        <v>13.385000000000002</v>
      </c>
      <c r="L10" s="82">
        <v>27.226190476190482</v>
      </c>
      <c r="M10" s="81">
        <v>2246.9162081396453</v>
      </c>
      <c r="N10" s="81">
        <v>2904.0408879612942</v>
      </c>
      <c r="O10" s="81">
        <v>476.50353382032063</v>
      </c>
      <c r="P10" s="81">
        <v>5627.4606299212601</v>
      </c>
      <c r="Q10" s="83">
        <v>4.5919129529930753</v>
      </c>
    </row>
    <row r="11" spans="1:17" x14ac:dyDescent="0.25">
      <c r="A11">
        <v>2009</v>
      </c>
      <c r="B11">
        <v>188</v>
      </c>
      <c r="C11" s="80">
        <v>40001</v>
      </c>
      <c r="D11" t="s">
        <v>96</v>
      </c>
      <c r="E11">
        <v>4</v>
      </c>
      <c r="F11" s="81">
        <v>15.375</v>
      </c>
      <c r="G11" s="81">
        <v>0.5</v>
      </c>
      <c r="H11" s="81">
        <v>1.875</v>
      </c>
      <c r="I11" s="81">
        <v>0</v>
      </c>
      <c r="J11" s="82">
        <v>13.327500000000001</v>
      </c>
      <c r="K11" s="82">
        <v>17.185000000000002</v>
      </c>
      <c r="L11" s="82">
        <v>142.85250000000002</v>
      </c>
      <c r="M11" s="81">
        <v>2304.635278641018</v>
      </c>
      <c r="N11" s="81">
        <v>2971.6869077805964</v>
      </c>
      <c r="O11" s="81">
        <v>347.79198680673397</v>
      </c>
      <c r="P11" s="81">
        <v>5624.1141732283477</v>
      </c>
      <c r="Q11" s="83">
        <v>4.57806654782559</v>
      </c>
    </row>
    <row r="12" spans="1:17" x14ac:dyDescent="0.25">
      <c r="A12">
        <v>2009</v>
      </c>
      <c r="B12">
        <v>188</v>
      </c>
      <c r="C12" s="80">
        <v>40001</v>
      </c>
      <c r="D12" t="s">
        <v>97</v>
      </c>
      <c r="E12">
        <v>18</v>
      </c>
      <c r="F12" s="81">
        <v>12.875</v>
      </c>
      <c r="G12" s="81">
        <v>0.625</v>
      </c>
      <c r="H12" s="81">
        <v>3</v>
      </c>
      <c r="I12" s="81">
        <v>0</v>
      </c>
      <c r="J12" s="82">
        <v>12.03125</v>
      </c>
      <c r="K12" s="82">
        <v>14.85</v>
      </c>
      <c r="L12" s="82">
        <v>26.950000000000003</v>
      </c>
      <c r="M12" s="81">
        <v>1948.6742835907758</v>
      </c>
      <c r="N12" s="81">
        <v>2405.2208300320431</v>
      </c>
      <c r="O12" s="81">
        <v>420.71118558977997</v>
      </c>
      <c r="P12" s="81">
        <v>4774.606299212599</v>
      </c>
      <c r="Q12" s="83">
        <v>3.8253032950967953</v>
      </c>
    </row>
    <row r="13" spans="1:17" x14ac:dyDescent="0.25">
      <c r="A13">
        <v>2009</v>
      </c>
      <c r="B13">
        <v>188</v>
      </c>
      <c r="C13" s="80">
        <v>40001</v>
      </c>
      <c r="D13" t="s">
        <v>98</v>
      </c>
      <c r="E13">
        <v>19</v>
      </c>
      <c r="F13" s="81">
        <v>15.875</v>
      </c>
      <c r="G13" s="81">
        <v>0.75</v>
      </c>
      <c r="H13" s="81">
        <v>1.75</v>
      </c>
      <c r="I13" s="81">
        <v>0</v>
      </c>
      <c r="J13" s="82">
        <v>12.442500000000001</v>
      </c>
      <c r="K13" s="82">
        <v>16.29</v>
      </c>
      <c r="L13" s="82">
        <v>31.687368421052636</v>
      </c>
      <c r="M13" s="81">
        <v>2372.9849859305464</v>
      </c>
      <c r="N13" s="81">
        <v>3106.765153370191</v>
      </c>
      <c r="O13" s="81">
        <v>446.03726227406594</v>
      </c>
      <c r="P13" s="81">
        <v>5925.7874015748039</v>
      </c>
      <c r="Q13" s="83">
        <v>4.6152865371024623</v>
      </c>
    </row>
    <row r="14" spans="1:17" x14ac:dyDescent="0.25">
      <c r="A14">
        <v>2009</v>
      </c>
      <c r="B14">
        <v>188</v>
      </c>
      <c r="C14" s="80">
        <v>40001</v>
      </c>
      <c r="D14" t="s">
        <v>99</v>
      </c>
      <c r="E14">
        <v>23</v>
      </c>
      <c r="F14" s="81">
        <v>10.5</v>
      </c>
      <c r="G14" s="81">
        <v>0.375</v>
      </c>
      <c r="H14" s="81">
        <v>1.5</v>
      </c>
      <c r="I14" s="81">
        <v>0</v>
      </c>
      <c r="J14" s="82">
        <v>9.7912499999999998</v>
      </c>
      <c r="K14" s="82">
        <v>11.22625</v>
      </c>
      <c r="L14" s="82">
        <v>24.945217391304354</v>
      </c>
      <c r="M14" s="81">
        <v>2435.4873396648018</v>
      </c>
      <c r="N14" s="81">
        <v>2792.4309712153186</v>
      </c>
      <c r="O14" s="81">
        <v>419.12893321436911</v>
      </c>
      <c r="P14" s="81">
        <v>5647.0472440944895</v>
      </c>
      <c r="Q14" s="83">
        <v>4.2100506376556757</v>
      </c>
    </row>
    <row r="15" spans="1:17" x14ac:dyDescent="0.25">
      <c r="A15">
        <v>2009</v>
      </c>
      <c r="B15">
        <v>188</v>
      </c>
      <c r="C15" s="80">
        <v>40001</v>
      </c>
      <c r="D15" t="s">
        <v>100</v>
      </c>
      <c r="E15">
        <v>24</v>
      </c>
      <c r="F15" s="81">
        <v>9.75</v>
      </c>
      <c r="G15" s="81">
        <v>0.25</v>
      </c>
      <c r="H15" s="81">
        <v>2.375</v>
      </c>
      <c r="I15" s="81">
        <v>0</v>
      </c>
      <c r="J15" s="82">
        <v>10.0725</v>
      </c>
      <c r="K15" s="82">
        <v>12.52375</v>
      </c>
      <c r="L15" s="82">
        <v>25.665833333333328</v>
      </c>
      <c r="M15" s="81">
        <v>2528.8060629798979</v>
      </c>
      <c r="N15" s="81">
        <v>3144.2179132533629</v>
      </c>
      <c r="O15" s="81">
        <v>389.7712993572888</v>
      </c>
      <c r="P15" s="81">
        <v>6062.7952755905499</v>
      </c>
      <c r="Q15" s="83">
        <v>4.7586399651234768</v>
      </c>
    </row>
    <row r="16" spans="1:17" x14ac:dyDescent="0.25">
      <c r="A16">
        <v>2009</v>
      </c>
      <c r="B16">
        <v>188</v>
      </c>
      <c r="C16" s="80">
        <v>40001</v>
      </c>
      <c r="D16" t="s">
        <v>101</v>
      </c>
      <c r="E16">
        <v>19</v>
      </c>
      <c r="F16" s="81">
        <v>16</v>
      </c>
      <c r="G16" s="81">
        <v>0.875</v>
      </c>
      <c r="H16" s="81">
        <v>3.875</v>
      </c>
      <c r="I16" s="81">
        <v>0</v>
      </c>
      <c r="J16" s="82">
        <v>14.54875</v>
      </c>
      <c r="K16" s="82">
        <v>18.445</v>
      </c>
      <c r="L16" s="82">
        <v>35.533157894736839</v>
      </c>
      <c r="M16" s="81">
        <v>2604.2469488122688</v>
      </c>
      <c r="N16" s="81">
        <v>3301.6812420889969</v>
      </c>
      <c r="O16" s="81">
        <v>739.05212405936277</v>
      </c>
      <c r="P16" s="81">
        <v>6644.9803149606287</v>
      </c>
      <c r="Q16" s="83">
        <v>4.2537830969886867</v>
      </c>
    </row>
    <row r="17" spans="1:17" x14ac:dyDescent="0.25">
      <c r="A17">
        <v>2009</v>
      </c>
      <c r="B17">
        <v>188</v>
      </c>
      <c r="C17" s="80">
        <v>40001</v>
      </c>
      <c r="D17" t="s">
        <v>102</v>
      </c>
      <c r="E17">
        <v>28</v>
      </c>
      <c r="F17" s="81">
        <v>9.125</v>
      </c>
      <c r="G17" s="81">
        <v>0.75</v>
      </c>
      <c r="H17" s="81">
        <v>2.75</v>
      </c>
      <c r="I17" s="81">
        <v>0</v>
      </c>
      <c r="J17" s="82">
        <v>9.8837499999999991</v>
      </c>
      <c r="K17" s="82">
        <v>11.471250000000001</v>
      </c>
      <c r="L17" s="82">
        <v>24.139642857142857</v>
      </c>
      <c r="M17" s="81">
        <v>2743.5749594143008</v>
      </c>
      <c r="N17" s="81">
        <v>3184.2402178506441</v>
      </c>
      <c r="O17" s="81">
        <v>724.84230305001574</v>
      </c>
      <c r="P17" s="81">
        <v>6652.6574803149606</v>
      </c>
      <c r="Q17" s="83">
        <v>5.1089446235191289</v>
      </c>
    </row>
    <row r="18" spans="1:17" x14ac:dyDescent="0.25">
      <c r="A18">
        <v>2009</v>
      </c>
      <c r="B18">
        <v>222</v>
      </c>
      <c r="C18" s="80">
        <v>40035</v>
      </c>
      <c r="D18" t="s">
        <v>103</v>
      </c>
      <c r="E18">
        <v>19</v>
      </c>
      <c r="F18" s="81">
        <v>2.375</v>
      </c>
      <c r="G18" s="81">
        <v>0.25</v>
      </c>
      <c r="H18" s="81">
        <v>8.125</v>
      </c>
      <c r="I18" s="81">
        <v>0</v>
      </c>
      <c r="J18" s="82">
        <v>17.78875</v>
      </c>
      <c r="K18" s="82">
        <v>25.65625</v>
      </c>
      <c r="L18" s="82">
        <v>66.422631578947374</v>
      </c>
      <c r="M18" s="81">
        <v>3364.1859527229385</v>
      </c>
      <c r="N18" s="81">
        <v>4852.0776248779639</v>
      </c>
      <c r="O18" s="81">
        <v>4205.2915405093345</v>
      </c>
      <c r="P18" s="81">
        <v>12421.555118110238</v>
      </c>
      <c r="Q18" s="83">
        <v>5.8439013910086812</v>
      </c>
    </row>
    <row r="19" spans="1:17" x14ac:dyDescent="0.25">
      <c r="A19">
        <v>2009</v>
      </c>
      <c r="B19">
        <v>222</v>
      </c>
      <c r="C19" s="80">
        <v>40035</v>
      </c>
      <c r="D19" t="s">
        <v>104</v>
      </c>
      <c r="E19">
        <v>20</v>
      </c>
      <c r="F19" s="81">
        <v>12.25</v>
      </c>
      <c r="G19" s="81">
        <v>0.625</v>
      </c>
      <c r="H19" s="81">
        <v>7.25</v>
      </c>
      <c r="I19" s="81">
        <v>0</v>
      </c>
      <c r="J19" s="82">
        <v>20.411249999999999</v>
      </c>
      <c r="K19" s="82">
        <v>27.65</v>
      </c>
      <c r="L19" s="82">
        <v>69.98899999999999</v>
      </c>
      <c r="M19" s="81">
        <v>4161.7283134643958</v>
      </c>
      <c r="N19" s="81">
        <v>5637.6649086797979</v>
      </c>
      <c r="O19" s="81">
        <v>3977.9689825802129</v>
      </c>
      <c r="P19" s="81">
        <v>13777.362204724408</v>
      </c>
      <c r="Q19" s="83">
        <v>7.2051345497949866</v>
      </c>
    </row>
    <row r="20" spans="1:17" x14ac:dyDescent="0.25">
      <c r="A20">
        <v>2009</v>
      </c>
      <c r="B20">
        <v>222</v>
      </c>
      <c r="C20" s="80">
        <v>40035</v>
      </c>
      <c r="D20" t="s">
        <v>105</v>
      </c>
      <c r="E20">
        <v>24</v>
      </c>
      <c r="F20" s="81">
        <v>3.25</v>
      </c>
      <c r="G20" s="81">
        <v>0</v>
      </c>
      <c r="H20" s="81">
        <v>7.875</v>
      </c>
      <c r="I20" s="81">
        <v>0</v>
      </c>
      <c r="J20" s="82">
        <v>19.227499999999999</v>
      </c>
      <c r="K20" s="82">
        <v>28.723749999999999</v>
      </c>
      <c r="L20" s="82">
        <v>65.390416666666653</v>
      </c>
      <c r="M20" s="81">
        <v>4007.4703710093199</v>
      </c>
      <c r="N20" s="81">
        <v>5986.7157492798842</v>
      </c>
      <c r="O20" s="81">
        <v>5452.3689978210286</v>
      </c>
      <c r="P20" s="81">
        <v>15446.555118110233</v>
      </c>
      <c r="Q20" s="83">
        <v>7.6143812864199276</v>
      </c>
    </row>
    <row r="21" spans="1:17" x14ac:dyDescent="0.25">
      <c r="A21">
        <v>2009</v>
      </c>
      <c r="B21">
        <v>222</v>
      </c>
      <c r="C21" s="80">
        <v>40035</v>
      </c>
      <c r="D21" t="s">
        <v>106</v>
      </c>
      <c r="E21">
        <v>21</v>
      </c>
      <c r="F21" s="81">
        <v>8</v>
      </c>
      <c r="G21" s="81">
        <v>0</v>
      </c>
      <c r="H21" s="81">
        <v>6.625</v>
      </c>
      <c r="I21" s="81">
        <v>0</v>
      </c>
      <c r="J21" s="82">
        <v>22.67</v>
      </c>
      <c r="K21" s="82">
        <v>32.326250000000002</v>
      </c>
      <c r="L21" s="82">
        <v>71.420952380952372</v>
      </c>
      <c r="M21" s="81">
        <v>4293.8052489397251</v>
      </c>
      <c r="N21" s="81">
        <v>6122.7446814529239</v>
      </c>
      <c r="O21" s="81">
        <v>4345.6547940167984</v>
      </c>
      <c r="P21" s="81">
        <v>14762.204724409446</v>
      </c>
      <c r="Q21" s="83">
        <v>7.0741412175527705</v>
      </c>
    </row>
    <row r="22" spans="1:17" x14ac:dyDescent="0.25">
      <c r="A22">
        <v>2009</v>
      </c>
      <c r="B22">
        <v>222</v>
      </c>
      <c r="C22" s="80">
        <v>40035</v>
      </c>
      <c r="D22" t="s">
        <v>107</v>
      </c>
      <c r="E22">
        <v>22</v>
      </c>
      <c r="F22" s="81">
        <v>1.5</v>
      </c>
      <c r="G22" s="81">
        <v>0.125</v>
      </c>
      <c r="H22" s="81">
        <v>6.375</v>
      </c>
      <c r="I22" s="81">
        <v>0</v>
      </c>
      <c r="J22" s="82">
        <v>16.731250000000003</v>
      </c>
      <c r="K22" s="82">
        <v>24.116250000000001</v>
      </c>
      <c r="L22" s="82">
        <v>67.51045454545455</v>
      </c>
      <c r="M22" s="81">
        <v>3958.8742089143266</v>
      </c>
      <c r="N22" s="81">
        <v>5706.2801727743063</v>
      </c>
      <c r="O22" s="81">
        <v>4953.2511301223913</v>
      </c>
      <c r="P22" s="81">
        <v>14618.405511811023</v>
      </c>
      <c r="Q22" s="83">
        <v>6.7807041403701618</v>
      </c>
    </row>
    <row r="23" spans="1:17" x14ac:dyDescent="0.25">
      <c r="A23">
        <v>2009</v>
      </c>
      <c r="B23">
        <v>222</v>
      </c>
      <c r="C23" s="80">
        <v>40035</v>
      </c>
      <c r="D23" t="s">
        <v>108</v>
      </c>
      <c r="E23">
        <v>26</v>
      </c>
      <c r="F23" s="81">
        <v>3.375</v>
      </c>
      <c r="G23" s="81">
        <v>0</v>
      </c>
      <c r="H23" s="81">
        <v>5.5</v>
      </c>
      <c r="I23" s="81">
        <v>0</v>
      </c>
      <c r="J23" s="82">
        <v>18.493749999999999</v>
      </c>
      <c r="K23" s="82">
        <v>29.852499999999999</v>
      </c>
      <c r="L23" s="82">
        <v>65.973846153846154</v>
      </c>
      <c r="M23" s="81">
        <v>4394.8383676642779</v>
      </c>
      <c r="N23" s="81">
        <v>7094.1216557322259</v>
      </c>
      <c r="O23" s="81">
        <v>5394.1108427452264</v>
      </c>
      <c r="P23" s="81">
        <v>16883.07086614173</v>
      </c>
      <c r="Q23" s="83">
        <v>7.1869880510605721</v>
      </c>
    </row>
    <row r="24" spans="1:17" x14ac:dyDescent="0.25">
      <c r="A24">
        <v>2009</v>
      </c>
      <c r="B24">
        <v>222</v>
      </c>
      <c r="C24" s="80">
        <v>40035</v>
      </c>
      <c r="D24" t="s">
        <v>109</v>
      </c>
      <c r="E24">
        <v>20</v>
      </c>
      <c r="F24" s="81">
        <v>8.5</v>
      </c>
      <c r="G24" s="81">
        <v>0.625</v>
      </c>
      <c r="H24" s="81">
        <v>7.625</v>
      </c>
      <c r="I24" s="81">
        <v>0</v>
      </c>
      <c r="J24" s="82">
        <v>19.763749999999998</v>
      </c>
      <c r="K24" s="82">
        <v>24.69125</v>
      </c>
      <c r="L24" s="82">
        <v>77.762</v>
      </c>
      <c r="M24" s="81">
        <v>4431.2602303241147</v>
      </c>
      <c r="N24" s="81">
        <v>5536.0624457398171</v>
      </c>
      <c r="O24" s="81">
        <v>5340.1576388966978</v>
      </c>
      <c r="P24" s="81">
        <v>15307.480314960629</v>
      </c>
      <c r="Q24" s="83">
        <v>7.1790367459114037</v>
      </c>
    </row>
    <row r="25" spans="1:17" x14ac:dyDescent="0.25">
      <c r="A25">
        <v>2009</v>
      </c>
      <c r="B25">
        <v>222</v>
      </c>
      <c r="C25" s="80">
        <v>40035</v>
      </c>
      <c r="D25" t="s">
        <v>110</v>
      </c>
      <c r="E25">
        <v>24</v>
      </c>
      <c r="F25" s="81">
        <v>1.875</v>
      </c>
      <c r="G25" s="81">
        <v>0.125</v>
      </c>
      <c r="H25" s="81">
        <v>6.875</v>
      </c>
      <c r="I25" s="81">
        <v>0</v>
      </c>
      <c r="J25" s="82">
        <v>15.4625</v>
      </c>
      <c r="K25" s="82">
        <v>23.483750000000001</v>
      </c>
      <c r="L25" s="82">
        <v>59.733750000000008</v>
      </c>
      <c r="M25" s="81">
        <v>3506.6063879566286</v>
      </c>
      <c r="N25" s="81">
        <v>5325.6761690009034</v>
      </c>
      <c r="O25" s="81">
        <v>5278.0520887117591</v>
      </c>
      <c r="P25" s="81">
        <v>14110.334645669291</v>
      </c>
      <c r="Q25" s="83">
        <v>5.7067198371143668</v>
      </c>
    </row>
    <row r="26" spans="1:17" x14ac:dyDescent="0.25">
      <c r="A26">
        <v>2009</v>
      </c>
      <c r="B26">
        <v>243</v>
      </c>
      <c r="C26" s="80">
        <v>40056</v>
      </c>
      <c r="D26" t="s">
        <v>111</v>
      </c>
      <c r="E26">
        <v>22</v>
      </c>
      <c r="F26" s="81">
        <v>5.625</v>
      </c>
      <c r="G26" s="81">
        <v>0.25</v>
      </c>
      <c r="H26" s="81">
        <v>8.875</v>
      </c>
      <c r="I26" s="81">
        <v>2.125</v>
      </c>
      <c r="J26" s="82">
        <v>16.931249999999999</v>
      </c>
      <c r="K26" s="82">
        <v>30.008749999999999</v>
      </c>
      <c r="L26" s="82">
        <v>85.217727272727288</v>
      </c>
      <c r="M26" s="81">
        <v>3755.9168931395748</v>
      </c>
      <c r="N26" s="81">
        <v>6656.9432893024568</v>
      </c>
      <c r="O26" s="81">
        <v>8039.7972978729304</v>
      </c>
      <c r="P26" s="81">
        <v>18452.657480314963</v>
      </c>
      <c r="Q26" s="83">
        <v>6.7758487690327769</v>
      </c>
    </row>
    <row r="27" spans="1:17" x14ac:dyDescent="0.25">
      <c r="A27">
        <v>2009</v>
      </c>
      <c r="B27">
        <v>243</v>
      </c>
      <c r="C27" s="80">
        <v>40056</v>
      </c>
      <c r="D27" t="s">
        <v>112</v>
      </c>
      <c r="E27">
        <v>18</v>
      </c>
      <c r="F27" s="81">
        <v>6.25</v>
      </c>
      <c r="G27" s="81">
        <v>0.125</v>
      </c>
      <c r="H27" s="81">
        <v>5.125</v>
      </c>
      <c r="I27" s="81">
        <v>3.625</v>
      </c>
      <c r="J27" s="82">
        <v>19.72625</v>
      </c>
      <c r="K27" s="82">
        <v>32.042500000000004</v>
      </c>
      <c r="L27" s="82">
        <v>107.255</v>
      </c>
      <c r="M27" s="81">
        <v>4102.4490281496464</v>
      </c>
      <c r="N27" s="81">
        <v>6663.8475627392463</v>
      </c>
      <c r="O27" s="81">
        <v>8235.5734878512649</v>
      </c>
      <c r="P27" s="81">
        <v>19001.870078740158</v>
      </c>
      <c r="Q27" s="83">
        <v>7.1659679826652072</v>
      </c>
    </row>
    <row r="28" spans="1:17" x14ac:dyDescent="0.25">
      <c r="A28">
        <v>2009</v>
      </c>
      <c r="B28">
        <v>243</v>
      </c>
      <c r="C28" s="80">
        <v>40056</v>
      </c>
      <c r="D28" t="s">
        <v>113</v>
      </c>
      <c r="E28">
        <v>21</v>
      </c>
      <c r="F28" s="81">
        <v>9.375</v>
      </c>
      <c r="G28" s="81">
        <v>0.375</v>
      </c>
      <c r="H28" s="81">
        <v>7.25</v>
      </c>
      <c r="I28" s="81">
        <v>2.75</v>
      </c>
      <c r="J28" s="82">
        <v>18.97625</v>
      </c>
      <c r="K28" s="82">
        <v>35.857500000000002</v>
      </c>
      <c r="L28" s="82">
        <v>80.97</v>
      </c>
      <c r="M28" s="81">
        <v>4117.1298073794487</v>
      </c>
      <c r="N28" s="81">
        <v>7779.7237108548106</v>
      </c>
      <c r="O28" s="81">
        <v>4839.0716786161329</v>
      </c>
      <c r="P28" s="81">
        <v>16735.925196850392</v>
      </c>
      <c r="Q28" s="83">
        <v>7.5744964109972086</v>
      </c>
    </row>
    <row r="29" spans="1:17" x14ac:dyDescent="0.25">
      <c r="A29">
        <v>2009</v>
      </c>
      <c r="B29">
        <v>243</v>
      </c>
      <c r="C29" s="80">
        <v>40056</v>
      </c>
      <c r="D29" t="s">
        <v>114</v>
      </c>
      <c r="E29">
        <v>19</v>
      </c>
      <c r="F29" s="81">
        <v>6</v>
      </c>
      <c r="G29" s="81">
        <v>0</v>
      </c>
      <c r="H29" s="81">
        <v>5.5</v>
      </c>
      <c r="I29" s="81">
        <v>3.375</v>
      </c>
      <c r="J29" s="82">
        <v>19.498750000000001</v>
      </c>
      <c r="K29" s="82">
        <v>30.953749999999999</v>
      </c>
      <c r="L29" s="82">
        <v>85.369473684210519</v>
      </c>
      <c r="M29" s="81">
        <v>3652.6012055859555</v>
      </c>
      <c r="N29" s="81">
        <v>5798.4078244711209</v>
      </c>
      <c r="O29" s="81">
        <v>6513.7547494704859</v>
      </c>
      <c r="P29" s="81">
        <v>15964.76377952756</v>
      </c>
      <c r="Q29" s="83">
        <v>5.8743001622326734</v>
      </c>
    </row>
    <row r="30" spans="1:17" x14ac:dyDescent="0.25">
      <c r="A30">
        <v>2009</v>
      </c>
      <c r="B30">
        <v>243</v>
      </c>
      <c r="C30" s="80">
        <v>40056</v>
      </c>
      <c r="D30" t="s">
        <v>115</v>
      </c>
      <c r="E30">
        <v>20</v>
      </c>
      <c r="F30" s="81">
        <v>6.75</v>
      </c>
      <c r="G30" s="81">
        <v>0.125</v>
      </c>
      <c r="H30" s="81">
        <v>11</v>
      </c>
      <c r="I30" s="81">
        <v>2.875</v>
      </c>
      <c r="J30" s="82">
        <v>20.36</v>
      </c>
      <c r="K30" s="82">
        <v>34.84375</v>
      </c>
      <c r="L30" s="82">
        <v>92.393000000000015</v>
      </c>
      <c r="M30" s="81">
        <v>4325.8024466225634</v>
      </c>
      <c r="N30" s="81">
        <v>7403.103094278239</v>
      </c>
      <c r="O30" s="81">
        <v>6458.6928842960542</v>
      </c>
      <c r="P30" s="81">
        <v>18187.598425196855</v>
      </c>
      <c r="Q30" s="83">
        <v>7.4819464742100195</v>
      </c>
    </row>
    <row r="31" spans="1:17" x14ac:dyDescent="0.25">
      <c r="A31">
        <v>2009</v>
      </c>
      <c r="B31">
        <v>243</v>
      </c>
      <c r="C31" s="80">
        <v>40056</v>
      </c>
      <c r="D31" t="s">
        <v>116</v>
      </c>
      <c r="E31">
        <v>21</v>
      </c>
      <c r="F31" s="81">
        <v>6.375</v>
      </c>
      <c r="G31" s="81">
        <v>0.125</v>
      </c>
      <c r="H31" s="81">
        <v>8.5</v>
      </c>
      <c r="I31" s="81">
        <v>3.625</v>
      </c>
      <c r="J31" s="82">
        <v>21.682500000000001</v>
      </c>
      <c r="K31" s="82">
        <v>43.217500000000001</v>
      </c>
      <c r="L31" s="82">
        <v>97.619523809523827</v>
      </c>
      <c r="M31" s="81">
        <v>4308.5830401773328</v>
      </c>
      <c r="N31" s="81">
        <v>8587.8559916459781</v>
      </c>
      <c r="O31" s="81">
        <v>7280.8247477042542</v>
      </c>
      <c r="P31" s="81">
        <v>20177.263779527562</v>
      </c>
      <c r="Q31" s="83">
        <v>7.5698048350311717</v>
      </c>
    </row>
    <row r="32" spans="1:17" x14ac:dyDescent="0.25">
      <c r="A32">
        <v>2009</v>
      </c>
      <c r="B32">
        <v>243</v>
      </c>
      <c r="C32" s="80">
        <v>40056</v>
      </c>
      <c r="D32" t="s">
        <v>117</v>
      </c>
      <c r="E32">
        <v>22</v>
      </c>
      <c r="F32" s="81">
        <v>11.625</v>
      </c>
      <c r="G32" s="81">
        <v>0.125</v>
      </c>
      <c r="H32" s="81">
        <v>3.5</v>
      </c>
      <c r="I32" s="81">
        <v>4.5</v>
      </c>
      <c r="J32" s="82">
        <v>20.91375</v>
      </c>
      <c r="K32" s="82">
        <v>33.577500000000001</v>
      </c>
      <c r="L32" s="82">
        <v>95.076363636363624</v>
      </c>
      <c r="M32" s="81">
        <v>4884.9531391540659</v>
      </c>
      <c r="N32" s="81">
        <v>7842.9030675964686</v>
      </c>
      <c r="O32" s="81">
        <v>7859.5453680526143</v>
      </c>
      <c r="P32" s="81">
        <v>20587.401574803149</v>
      </c>
      <c r="Q32" s="83">
        <v>7.9538721752169499</v>
      </c>
    </row>
    <row r="33" spans="1:17" x14ac:dyDescent="0.25">
      <c r="A33">
        <v>2009</v>
      </c>
      <c r="B33">
        <v>243</v>
      </c>
      <c r="C33" s="80">
        <v>40056</v>
      </c>
      <c r="D33" t="s">
        <v>118</v>
      </c>
      <c r="E33">
        <v>18</v>
      </c>
      <c r="F33" s="81">
        <v>11.125</v>
      </c>
      <c r="G33" s="81">
        <v>0.25</v>
      </c>
      <c r="H33" s="81">
        <v>3.625</v>
      </c>
      <c r="I33" s="81">
        <v>4.75</v>
      </c>
      <c r="J33" s="82">
        <v>20.2925</v>
      </c>
      <c r="K33" s="82">
        <v>30.617500000000003</v>
      </c>
      <c r="L33" s="82">
        <v>102.22777777777776</v>
      </c>
      <c r="M33" s="81">
        <v>4320.991610569723</v>
      </c>
      <c r="N33" s="81">
        <v>6519.5496186580513</v>
      </c>
      <c r="O33" s="81">
        <v>7270.6792432131679</v>
      </c>
      <c r="P33" s="81">
        <v>18111.220472440942</v>
      </c>
      <c r="Q33" s="83">
        <v>7.0396523189661417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F422-C8BE-4A6C-87BA-3F2C0AE2A90B}">
  <sheetPr>
    <pageSetUpPr fitToPage="1"/>
  </sheetPr>
  <dimension ref="B1:AG86"/>
  <sheetViews>
    <sheetView zoomScale="67" zoomScaleNormal="67" workbookViewId="0">
      <selection activeCell="U13" sqref="U13:AG20"/>
    </sheetView>
  </sheetViews>
  <sheetFormatPr defaultRowHeight="14.25" x14ac:dyDescent="0.2"/>
  <cols>
    <col min="1" max="1" width="2.7109375" style="1" customWidth="1"/>
    <col min="2" max="2" width="6.7109375" style="1" customWidth="1"/>
    <col min="3" max="3" width="10.28515625" style="1" customWidth="1"/>
    <col min="4" max="4" width="2" style="1" customWidth="1"/>
    <col min="5" max="5" width="10.7109375" style="1" customWidth="1"/>
    <col min="6" max="6" width="0.28515625" style="1" customWidth="1"/>
    <col min="7" max="7" width="17.7109375" style="1" customWidth="1"/>
    <col min="8" max="8" width="2" style="1" customWidth="1"/>
    <col min="9" max="16" width="15.7109375" style="1" customWidth="1"/>
    <col min="17" max="18" width="10" style="1" bestFit="1" customWidth="1"/>
    <col min="19" max="19" width="9.28515625" style="1" bestFit="1" customWidth="1"/>
    <col min="20" max="16384" width="9.140625" style="1"/>
  </cols>
  <sheetData>
    <row r="1" spans="2:33" x14ac:dyDescent="0.2">
      <c r="B1" s="1" t="s">
        <v>19</v>
      </c>
    </row>
    <row r="2" spans="2:33" x14ac:dyDescent="0.2">
      <c r="B2" s="1" t="s">
        <v>20</v>
      </c>
    </row>
    <row r="4" spans="2:33" x14ac:dyDescent="0.2">
      <c r="B4" s="1" t="s">
        <v>0</v>
      </c>
    </row>
    <row r="5" spans="2:33" x14ac:dyDescent="0.2">
      <c r="C5" s="5" t="s">
        <v>1</v>
      </c>
      <c r="D5" s="6"/>
      <c r="E5" s="8">
        <v>39974</v>
      </c>
    </row>
    <row r="6" spans="2:33" x14ac:dyDescent="0.2">
      <c r="C6" s="5" t="s">
        <v>2</v>
      </c>
      <c r="D6" s="6"/>
      <c r="E6" s="6" t="s">
        <v>9</v>
      </c>
    </row>
    <row r="8" spans="2:33" ht="18" customHeight="1" x14ac:dyDescent="0.2">
      <c r="C8" s="5" t="s">
        <v>6</v>
      </c>
      <c r="D8" s="6"/>
      <c r="E8" s="8">
        <v>39974</v>
      </c>
      <c r="I8" s="5" t="s">
        <v>5</v>
      </c>
      <c r="J8" s="5"/>
      <c r="K8" s="5"/>
      <c r="L8" s="8">
        <v>39981</v>
      </c>
    </row>
    <row r="9" spans="2:33" ht="18" customHeight="1" x14ac:dyDescent="0.2">
      <c r="C9" s="5" t="s">
        <v>3</v>
      </c>
      <c r="D9" s="6"/>
      <c r="E9" s="6" t="s">
        <v>10</v>
      </c>
      <c r="L9" s="1" t="s">
        <v>10</v>
      </c>
    </row>
    <row r="10" spans="2:33" ht="18" customHeight="1" x14ac:dyDescent="0.2">
      <c r="C10" s="5"/>
      <c r="I10" s="16"/>
      <c r="J10" s="16"/>
      <c r="K10" s="16"/>
      <c r="L10" s="16"/>
      <c r="M10" s="16"/>
      <c r="N10" s="16"/>
      <c r="O10" s="16"/>
      <c r="P10" s="16"/>
    </row>
    <row r="11" spans="2:33" ht="18" customHeight="1" x14ac:dyDescent="0.25">
      <c r="D11" s="7"/>
      <c r="E11" s="9" t="s">
        <v>14</v>
      </c>
      <c r="F11" s="9"/>
      <c r="G11" s="10"/>
      <c r="H11" s="11"/>
      <c r="I11" s="17"/>
      <c r="J11" s="17"/>
      <c r="K11" s="17"/>
      <c r="L11" s="18"/>
      <c r="M11" s="19"/>
      <c r="N11" s="19"/>
      <c r="O11" s="19"/>
      <c r="P11" s="19"/>
      <c r="R11" s="1" t="s">
        <v>52</v>
      </c>
      <c r="S11" s="1" t="s">
        <v>54</v>
      </c>
      <c r="T11" s="1" t="s">
        <v>56</v>
      </c>
    </row>
    <row r="12" spans="2:33" ht="48.4" customHeight="1" thickBot="1" x14ac:dyDescent="0.35">
      <c r="B12" s="20" t="s">
        <v>13</v>
      </c>
      <c r="C12" s="12" t="s">
        <v>4</v>
      </c>
      <c r="D12" s="13"/>
      <c r="E12" s="12" t="s">
        <v>18</v>
      </c>
      <c r="G12" s="12" t="s">
        <v>11</v>
      </c>
      <c r="H12" s="13"/>
      <c r="I12" s="22" t="s">
        <v>29</v>
      </c>
      <c r="J12" s="22" t="s">
        <v>39</v>
      </c>
      <c r="K12" s="23" t="s">
        <v>30</v>
      </c>
      <c r="L12" s="12" t="s">
        <v>7</v>
      </c>
      <c r="M12" s="12" t="s">
        <v>8</v>
      </c>
      <c r="N12" s="14" t="s">
        <v>15</v>
      </c>
      <c r="O12" s="14" t="s">
        <v>16</v>
      </c>
      <c r="P12" s="14" t="s">
        <v>17</v>
      </c>
      <c r="R12" s="1" t="s">
        <v>57</v>
      </c>
      <c r="S12" s="1" t="s">
        <v>55</v>
      </c>
      <c r="U12" s="1" t="s">
        <v>71</v>
      </c>
      <c r="V12" s="79" t="s">
        <v>72</v>
      </c>
      <c r="W12" s="79" t="s">
        <v>73</v>
      </c>
      <c r="X12" s="79" t="s">
        <v>74</v>
      </c>
      <c r="Y12" s="79" t="s">
        <v>75</v>
      </c>
      <c r="Z12" s="79" t="s">
        <v>76</v>
      </c>
      <c r="AA12" s="79" t="s">
        <v>77</v>
      </c>
      <c r="AB12" s="79" t="s">
        <v>78</v>
      </c>
      <c r="AC12" s="79" t="s">
        <v>79</v>
      </c>
      <c r="AD12" s="79" t="s">
        <v>80</v>
      </c>
      <c r="AE12" s="79" t="s">
        <v>81</v>
      </c>
      <c r="AF12" s="79" t="s">
        <v>82</v>
      </c>
      <c r="AG12" s="79" t="s">
        <v>83</v>
      </c>
    </row>
    <row r="13" spans="2:33" ht="40.15" customHeight="1" thickTop="1" x14ac:dyDescent="0.25">
      <c r="B13" s="21" t="s">
        <v>21</v>
      </c>
      <c r="C13" s="24">
        <v>42</v>
      </c>
      <c r="D13" s="25"/>
      <c r="E13" s="24">
        <v>30</v>
      </c>
      <c r="F13" s="26"/>
      <c r="G13" s="27">
        <v>4794.3</v>
      </c>
      <c r="H13" s="28"/>
      <c r="I13" s="30">
        <v>379.36</v>
      </c>
      <c r="J13" s="31">
        <v>62.79</v>
      </c>
      <c r="K13" s="36">
        <f>I13-J13</f>
        <v>316.57</v>
      </c>
      <c r="L13" s="39">
        <v>25.6</v>
      </c>
      <c r="M13" s="33">
        <v>31.48</v>
      </c>
      <c r="N13" s="33">
        <v>6.38</v>
      </c>
      <c r="O13" s="33">
        <v>8.39</v>
      </c>
      <c r="P13" s="33">
        <v>0.38</v>
      </c>
      <c r="R13" s="1">
        <f>G13/M13</f>
        <v>152.29669631512073</v>
      </c>
      <c r="S13" s="75">
        <f>(K13-K13*O13/SUM(L13:P13)+SUM(L13:N13,P13))/(200*102)*100*100*10000/1000</f>
        <v>1684.5013070990547</v>
      </c>
      <c r="T13" s="1">
        <f>G13*SUM(K13:P13)/SUM(L13:P13)/(200*102)</f>
        <v>1.2650383171405073</v>
      </c>
      <c r="U13" s="1">
        <f>C13</f>
        <v>42</v>
      </c>
      <c r="V13">
        <f>E13/8</f>
        <v>3.75</v>
      </c>
      <c r="W13">
        <v>0</v>
      </c>
      <c r="X13">
        <v>0</v>
      </c>
      <c r="Y13">
        <v>0</v>
      </c>
      <c r="Z13">
        <f>M13/8</f>
        <v>3.9350000000000001</v>
      </c>
      <c r="AA13">
        <f>(L13+N13)/8</f>
        <v>3.9975000000000001</v>
      </c>
      <c r="AB13">
        <f>SUM(K13:N13,P13)/C13</f>
        <v>9.057380952380953</v>
      </c>
      <c r="AC13">
        <f>AF13*(M13/SUM(L13:N13,P13))</f>
        <v>833.91092104072629</v>
      </c>
      <c r="AD13">
        <f>AF13*(SUM(L13,N13)/SUM(L13:N13,P13))</f>
        <v>847.15601190859036</v>
      </c>
      <c r="AE13">
        <f>AF13*(P13/SUM(L13:N13,P13))</f>
        <v>10.066269059576745</v>
      </c>
      <c r="AF13">
        <f>(K13-K13*O13/SUM(L13:P13)+SUM(L13:N13,P13))/1000/(1.016*2)*10000</f>
        <v>1691.1332020088935</v>
      </c>
      <c r="AG13">
        <f>(G13*(K13-K13*O13/SUM(L13:P13)+SUM(L13:N13,P13))/(SUM(L13:N13,P13)))/(100*100)/(1.016*2)</f>
        <v>1.2700187829560208</v>
      </c>
    </row>
    <row r="14" spans="2:33" ht="40.15" customHeight="1" x14ac:dyDescent="0.25">
      <c r="B14" s="21" t="s">
        <v>22</v>
      </c>
      <c r="C14" s="24">
        <v>43</v>
      </c>
      <c r="D14" s="25"/>
      <c r="E14" s="24">
        <v>25</v>
      </c>
      <c r="F14" s="26"/>
      <c r="G14" s="27">
        <v>5114.8500000000004</v>
      </c>
      <c r="H14" s="28"/>
      <c r="I14" s="32">
        <v>373.39</v>
      </c>
      <c r="J14" s="33">
        <v>64.540000000000006</v>
      </c>
      <c r="K14" s="37">
        <f t="shared" ref="K14:K20" si="0">I14-J14</f>
        <v>308.84999999999997</v>
      </c>
      <c r="L14" s="39">
        <v>26.07</v>
      </c>
      <c r="M14" s="33">
        <v>32.58</v>
      </c>
      <c r="N14" s="33">
        <v>7.24</v>
      </c>
      <c r="O14" s="33">
        <v>9.0299999999999994</v>
      </c>
      <c r="P14" s="33">
        <v>0.26</v>
      </c>
      <c r="R14" s="1">
        <f t="shared" ref="R14:R20" si="1">G14/M14</f>
        <v>156.99355432780848</v>
      </c>
      <c r="S14" s="75">
        <f t="shared" ref="S14:S20" si="2">(K14-K14*O14/SUM(L14:P14)+SUM(L14:N14,P14))/(200*102)*100*100*10000/1000</f>
        <v>1656.3896648044692</v>
      </c>
      <c r="T14" s="1">
        <f t="shared" ref="T14:T20" si="3">G14*SUM(K14:P14)/SUM(L14:P14)/(200*102)</f>
        <v>1.2807535415003988</v>
      </c>
      <c r="U14" s="1">
        <f t="shared" ref="U14:U20" si="4">C14</f>
        <v>43</v>
      </c>
      <c r="V14">
        <f t="shared" ref="V14:V20" si="5">E14/8</f>
        <v>3.125</v>
      </c>
      <c r="W14">
        <v>0</v>
      </c>
      <c r="X14">
        <v>0</v>
      </c>
      <c r="Y14">
        <v>0</v>
      </c>
      <c r="Z14">
        <f t="shared" ref="Z14:Z20" si="6">M14/8</f>
        <v>4.0724999999999998</v>
      </c>
      <c r="AA14">
        <f t="shared" ref="AA14:AA20" si="7">(L14+N14)/8</f>
        <v>4.1637500000000003</v>
      </c>
      <c r="AB14">
        <f t="shared" ref="AB14:AB20" si="8">SUM(K14:N14,P14)/C14</f>
        <v>8.720930232558139</v>
      </c>
      <c r="AC14">
        <f t="shared" ref="AC14:AC20" si="9">AF14*(M14/SUM(L14:N14,P14))</f>
        <v>819.01189114628812</v>
      </c>
      <c r="AD14">
        <f t="shared" ref="AD14:AD20" si="10">AF14*(SUM(L14,N14)/SUM(L14:N14,P14))</f>
        <v>837.36298631316333</v>
      </c>
      <c r="AE14">
        <f t="shared" ref="AE14:AE20" si="11">AF14*(P14/SUM(L14:N14,P14))</f>
        <v>6.536006497791127</v>
      </c>
      <c r="AF14">
        <f t="shared" ref="AF14:AF20" si="12">(K14-K14*O14/SUM(L14:P14)+SUM(L14:N14,P14))/1000/(1.016*2)*10000</f>
        <v>1662.9108839572427</v>
      </c>
      <c r="AG14">
        <f t="shared" ref="AG14:AG20" si="13">(G14*(K14-K14*O14/SUM(L14:P14)+SUM(L14:N14,P14))/(SUM(L14:N14,P14)))/(100*100)/(1.016*2)</f>
        <v>1.2857958782779595</v>
      </c>
    </row>
    <row r="15" spans="2:33" ht="40.15" customHeight="1" x14ac:dyDescent="0.25">
      <c r="B15" s="21" t="s">
        <v>23</v>
      </c>
      <c r="C15" s="24">
        <v>45</v>
      </c>
      <c r="D15" s="25"/>
      <c r="E15" s="24">
        <v>28</v>
      </c>
      <c r="F15" s="26"/>
      <c r="G15" s="27">
        <v>4796.8999999999996</v>
      </c>
      <c r="H15" s="28"/>
      <c r="I15" s="32">
        <v>359.51</v>
      </c>
      <c r="J15" s="33">
        <v>65.23</v>
      </c>
      <c r="K15" s="37">
        <f t="shared" si="0"/>
        <v>294.27999999999997</v>
      </c>
      <c r="L15" s="39">
        <v>24.53</v>
      </c>
      <c r="M15" s="33">
        <v>30.94</v>
      </c>
      <c r="N15" s="33">
        <v>6.54</v>
      </c>
      <c r="O15" s="33">
        <v>8.24</v>
      </c>
      <c r="P15" s="33">
        <v>0.26</v>
      </c>
      <c r="R15" s="1">
        <f t="shared" si="1"/>
        <v>155.03878474466708</v>
      </c>
      <c r="S15" s="75">
        <f t="shared" si="2"/>
        <v>1579.2137188161323</v>
      </c>
      <c r="T15" s="1">
        <f t="shared" si="3"/>
        <v>1.2165296752511809</v>
      </c>
      <c r="U15" s="1">
        <f t="shared" si="4"/>
        <v>45</v>
      </c>
      <c r="V15">
        <f t="shared" si="5"/>
        <v>3.5</v>
      </c>
      <c r="W15">
        <v>0</v>
      </c>
      <c r="X15">
        <v>0</v>
      </c>
      <c r="Y15">
        <v>0</v>
      </c>
      <c r="Z15">
        <f t="shared" si="6"/>
        <v>3.8675000000000002</v>
      </c>
      <c r="AA15">
        <f t="shared" si="7"/>
        <v>3.88375</v>
      </c>
      <c r="AB15">
        <f t="shared" si="8"/>
        <v>7.923333333333332</v>
      </c>
      <c r="AC15">
        <f t="shared" si="9"/>
        <v>787.75073229128145</v>
      </c>
      <c r="AD15">
        <f t="shared" si="10"/>
        <v>791.06060931771549</v>
      </c>
      <c r="AE15">
        <f t="shared" si="11"/>
        <v>6.6197540528679113</v>
      </c>
      <c r="AF15">
        <f t="shared" si="12"/>
        <v>1585.4310956618647</v>
      </c>
      <c r="AG15">
        <f t="shared" si="13"/>
        <v>1.2213191621616186</v>
      </c>
    </row>
    <row r="16" spans="2:33" ht="40.15" customHeight="1" x14ac:dyDescent="0.25">
      <c r="B16" s="21" t="s">
        <v>24</v>
      </c>
      <c r="C16" s="24">
        <v>45</v>
      </c>
      <c r="D16" s="25"/>
      <c r="E16" s="24">
        <v>23</v>
      </c>
      <c r="F16" s="26"/>
      <c r="G16" s="27">
        <v>5293.23</v>
      </c>
      <c r="H16" s="28"/>
      <c r="I16" s="32">
        <v>398.18</v>
      </c>
      <c r="J16" s="33">
        <v>63.06</v>
      </c>
      <c r="K16" s="37">
        <f t="shared" si="0"/>
        <v>335.12</v>
      </c>
      <c r="L16" s="39">
        <v>25.99</v>
      </c>
      <c r="M16" s="33">
        <v>3.47</v>
      </c>
      <c r="N16" s="33">
        <v>7.3</v>
      </c>
      <c r="O16" s="33">
        <v>8.17</v>
      </c>
      <c r="P16" s="33">
        <v>0.41</v>
      </c>
      <c r="S16" s="75"/>
      <c r="U16" s="1">
        <f t="shared" si="4"/>
        <v>45</v>
      </c>
      <c r="V16">
        <f t="shared" si="5"/>
        <v>2.875</v>
      </c>
      <c r="W16">
        <v>0</v>
      </c>
      <c r="X16">
        <v>0</v>
      </c>
      <c r="Y16">
        <v>0</v>
      </c>
      <c r="Z16">
        <f t="shared" si="6"/>
        <v>0.43375000000000002</v>
      </c>
      <c r="AA16">
        <f t="shared" si="7"/>
        <v>4.1612499999999999</v>
      </c>
      <c r="AB16">
        <f t="shared" si="8"/>
        <v>8.2731111111111133</v>
      </c>
      <c r="AC16">
        <f t="shared" si="9"/>
        <v>143.29573320042095</v>
      </c>
      <c r="AD16">
        <f t="shared" si="10"/>
        <v>1374.7305355164306</v>
      </c>
      <c r="AE16">
        <f t="shared" si="11"/>
        <v>16.93119614183648</v>
      </c>
      <c r="AF16">
        <f t="shared" si="12"/>
        <v>1534.9574648586877</v>
      </c>
      <c r="AG16">
        <f t="shared" si="13"/>
        <v>2.1858711061915401</v>
      </c>
    </row>
    <row r="17" spans="2:33" ht="40.15" customHeight="1" x14ac:dyDescent="0.25">
      <c r="B17" s="21" t="s">
        <v>25</v>
      </c>
      <c r="C17" s="24">
        <v>40</v>
      </c>
      <c r="D17" s="25"/>
      <c r="E17" s="24">
        <v>22</v>
      </c>
      <c r="F17" s="26"/>
      <c r="G17" s="27">
        <v>4809.38</v>
      </c>
      <c r="H17" s="28"/>
      <c r="I17" s="32">
        <v>332.07</v>
      </c>
      <c r="J17" s="33">
        <v>62.61</v>
      </c>
      <c r="K17" s="37">
        <f t="shared" si="0"/>
        <v>269.45999999999998</v>
      </c>
      <c r="L17" s="39">
        <v>23.09</v>
      </c>
      <c r="M17" s="33">
        <v>32.090000000000003</v>
      </c>
      <c r="N17" s="33">
        <v>6.8</v>
      </c>
      <c r="O17" s="33">
        <v>8.0500000000000007</v>
      </c>
      <c r="P17" s="33">
        <v>0.24</v>
      </c>
      <c r="R17" s="1">
        <f t="shared" si="1"/>
        <v>149.87161109379869</v>
      </c>
      <c r="S17" s="75">
        <f t="shared" si="2"/>
        <v>1474.5645367866796</v>
      </c>
      <c r="T17" s="1">
        <f t="shared" si="3"/>
        <v>1.1397848267327426</v>
      </c>
      <c r="U17" s="1">
        <f t="shared" si="4"/>
        <v>40</v>
      </c>
      <c r="V17">
        <f t="shared" si="5"/>
        <v>2.75</v>
      </c>
      <c r="W17">
        <v>0</v>
      </c>
      <c r="X17">
        <v>0</v>
      </c>
      <c r="Y17">
        <v>0</v>
      </c>
      <c r="Z17">
        <f t="shared" si="6"/>
        <v>4.0112500000000004</v>
      </c>
      <c r="AA17">
        <f t="shared" si="7"/>
        <v>3.7362500000000001</v>
      </c>
      <c r="AB17">
        <f t="shared" si="8"/>
        <v>8.2919999999999998</v>
      </c>
      <c r="AC17">
        <f t="shared" si="9"/>
        <v>763.5016132936064</v>
      </c>
      <c r="AD17">
        <f t="shared" si="10"/>
        <v>711.15809352900885</v>
      </c>
      <c r="AE17">
        <f t="shared" si="11"/>
        <v>5.7102021561379104</v>
      </c>
      <c r="AF17">
        <f t="shared" si="12"/>
        <v>1480.3699089787533</v>
      </c>
      <c r="AG17">
        <f t="shared" si="13"/>
        <v>1.1442721685702728</v>
      </c>
    </row>
    <row r="18" spans="2:33" ht="40.15" customHeight="1" x14ac:dyDescent="0.25">
      <c r="B18" s="21" t="s">
        <v>26</v>
      </c>
      <c r="C18" s="24">
        <v>40</v>
      </c>
      <c r="D18" s="25"/>
      <c r="E18" s="24">
        <v>27</v>
      </c>
      <c r="F18" s="26"/>
      <c r="G18" s="27">
        <v>5282.15</v>
      </c>
      <c r="H18" s="28"/>
      <c r="I18" s="32">
        <v>367.8</v>
      </c>
      <c r="J18" s="33">
        <v>63.1</v>
      </c>
      <c r="K18" s="37">
        <f t="shared" si="0"/>
        <v>304.7</v>
      </c>
      <c r="L18" s="39">
        <v>26.03</v>
      </c>
      <c r="M18" s="33">
        <v>35.28</v>
      </c>
      <c r="N18" s="33">
        <v>7.25</v>
      </c>
      <c r="O18" s="33">
        <v>8.68</v>
      </c>
      <c r="P18" s="33">
        <v>0.46</v>
      </c>
      <c r="R18" s="1">
        <f t="shared" si="1"/>
        <v>149.72080498866211</v>
      </c>
      <c r="S18" s="75">
        <f t="shared" si="2"/>
        <v>1665.1051051051052</v>
      </c>
      <c r="T18" s="1">
        <f t="shared" si="3"/>
        <v>1.2743168546697956</v>
      </c>
      <c r="U18" s="1">
        <f t="shared" si="4"/>
        <v>40</v>
      </c>
      <c r="V18">
        <f t="shared" si="5"/>
        <v>3.375</v>
      </c>
      <c r="W18">
        <v>0</v>
      </c>
      <c r="X18">
        <v>0</v>
      </c>
      <c r="Y18">
        <v>0</v>
      </c>
      <c r="Z18">
        <f t="shared" si="6"/>
        <v>4.41</v>
      </c>
      <c r="AA18">
        <f t="shared" si="7"/>
        <v>4.16</v>
      </c>
      <c r="AB18">
        <f t="shared" si="8"/>
        <v>9.343</v>
      </c>
      <c r="AC18">
        <f t="shared" si="9"/>
        <v>854.47967652692057</v>
      </c>
      <c r="AD18">
        <f t="shared" si="10"/>
        <v>806.03978556734455</v>
      </c>
      <c r="AE18">
        <f t="shared" si="11"/>
        <v>11.141174920702479</v>
      </c>
      <c r="AF18">
        <f t="shared" si="12"/>
        <v>1671.6606370149675</v>
      </c>
      <c r="AG18">
        <f t="shared" si="13"/>
        <v>1.2793338501606217</v>
      </c>
    </row>
    <row r="19" spans="2:33" s="4" customFormat="1" ht="40.15" customHeight="1" x14ac:dyDescent="0.25">
      <c r="B19" s="21" t="s">
        <v>27</v>
      </c>
      <c r="C19" s="24">
        <v>36</v>
      </c>
      <c r="D19" s="25"/>
      <c r="E19" s="24">
        <v>28</v>
      </c>
      <c r="F19" s="26"/>
      <c r="G19" s="27">
        <v>5536.15</v>
      </c>
      <c r="H19" s="28"/>
      <c r="I19" s="32">
        <v>340.45</v>
      </c>
      <c r="J19" s="33">
        <v>62.86</v>
      </c>
      <c r="K19" s="37">
        <f t="shared" si="0"/>
        <v>277.58999999999997</v>
      </c>
      <c r="L19" s="39">
        <v>32.520000000000003</v>
      </c>
      <c r="M19" s="33">
        <v>39.31</v>
      </c>
      <c r="N19" s="33">
        <v>7.91</v>
      </c>
      <c r="O19" s="33">
        <v>10.32</v>
      </c>
      <c r="P19" s="33">
        <v>0.61</v>
      </c>
      <c r="Q19" s="2"/>
      <c r="R19" s="1">
        <f t="shared" si="1"/>
        <v>140.83312134316967</v>
      </c>
      <c r="S19" s="75">
        <f t="shared" si="2"/>
        <v>1599.7298434097361</v>
      </c>
      <c r="T19" s="1">
        <f t="shared" si="3"/>
        <v>1.1022208304409222</v>
      </c>
      <c r="U19" s="1">
        <f t="shared" si="4"/>
        <v>36</v>
      </c>
      <c r="V19">
        <f t="shared" si="5"/>
        <v>3.5</v>
      </c>
      <c r="W19">
        <v>0</v>
      </c>
      <c r="X19">
        <v>0</v>
      </c>
      <c r="Y19">
        <v>0</v>
      </c>
      <c r="Z19">
        <f t="shared" si="6"/>
        <v>4.9137500000000003</v>
      </c>
      <c r="AA19">
        <f t="shared" si="7"/>
        <v>5.0537500000000009</v>
      </c>
      <c r="AB19">
        <f t="shared" si="8"/>
        <v>9.9427777777777777</v>
      </c>
      <c r="AC19">
        <f t="shared" si="9"/>
        <v>785.72446025172178</v>
      </c>
      <c r="AD19">
        <f t="shared" si="10"/>
        <v>808.11091142144801</v>
      </c>
      <c r="AE19">
        <f t="shared" si="11"/>
        <v>12.192620726368617</v>
      </c>
      <c r="AF19">
        <f t="shared" si="12"/>
        <v>1606.0279923995383</v>
      </c>
      <c r="AG19">
        <f t="shared" si="13"/>
        <v>1.1065602825292722</v>
      </c>
    </row>
    <row r="20" spans="2:33" ht="40.15" customHeight="1" thickBot="1" x14ac:dyDescent="0.3">
      <c r="B20" s="21" t="s">
        <v>28</v>
      </c>
      <c r="C20" s="24">
        <v>34</v>
      </c>
      <c r="D20" s="25"/>
      <c r="E20" s="24">
        <v>34</v>
      </c>
      <c r="F20" s="26"/>
      <c r="G20" s="27">
        <v>6494.6</v>
      </c>
      <c r="H20" s="28"/>
      <c r="I20" s="34">
        <v>368.59</v>
      </c>
      <c r="J20" s="35">
        <v>62.73</v>
      </c>
      <c r="K20" s="38">
        <f t="shared" si="0"/>
        <v>305.85999999999996</v>
      </c>
      <c r="L20" s="39">
        <v>34</v>
      </c>
      <c r="M20" s="33">
        <v>41.71</v>
      </c>
      <c r="N20" s="33">
        <v>8.2200000000000006</v>
      </c>
      <c r="O20" s="33">
        <v>10.210000000000001</v>
      </c>
      <c r="P20" s="33">
        <v>0.93</v>
      </c>
      <c r="R20" s="1">
        <f t="shared" si="1"/>
        <v>155.70846319827379</v>
      </c>
      <c r="S20" s="75">
        <f t="shared" si="2"/>
        <v>1754.2759927153779</v>
      </c>
      <c r="T20" s="1">
        <f t="shared" si="3"/>
        <v>1.3426020342080236</v>
      </c>
      <c r="U20" s="1">
        <f t="shared" si="4"/>
        <v>34</v>
      </c>
      <c r="V20">
        <f t="shared" si="5"/>
        <v>4.25</v>
      </c>
      <c r="W20">
        <v>0</v>
      </c>
      <c r="X20">
        <v>0</v>
      </c>
      <c r="Y20">
        <v>0</v>
      </c>
      <c r="Z20">
        <f t="shared" si="6"/>
        <v>5.2137500000000001</v>
      </c>
      <c r="AA20">
        <f t="shared" si="7"/>
        <v>5.2774999999999999</v>
      </c>
      <c r="AB20">
        <f t="shared" si="8"/>
        <v>11.491764705882352</v>
      </c>
      <c r="AC20">
        <f t="shared" si="9"/>
        <v>865.64843124295464</v>
      </c>
      <c r="AD20">
        <f t="shared" si="10"/>
        <v>876.23296013132438</v>
      </c>
      <c r="AE20">
        <f t="shared" si="11"/>
        <v>19.301199737615626</v>
      </c>
      <c r="AF20">
        <f t="shared" si="12"/>
        <v>1761.1825911118949</v>
      </c>
      <c r="AG20">
        <f t="shared" si="13"/>
        <v>1.3478878689883704</v>
      </c>
    </row>
    <row r="21" spans="2:33" ht="30" customHeight="1" thickTop="1" x14ac:dyDescent="0.2">
      <c r="R21" s="1">
        <f>AVERAGE(R13:R20)</f>
        <v>151.49471943021436</v>
      </c>
      <c r="S21" s="1">
        <f>AVERAGE(S13:S20)</f>
        <v>1630.5400241052223</v>
      </c>
      <c r="T21" s="1">
        <f>AVERAGE(T13:T20)</f>
        <v>1.2316065828490816</v>
      </c>
    </row>
    <row r="22" spans="2:33" ht="14.25" customHeight="1" x14ac:dyDescent="0.2">
      <c r="R22" s="1">
        <f>STDEV(R13:R20)</f>
        <v>5.4870653136604579</v>
      </c>
      <c r="S22" s="1">
        <f>STDEV(S13:S20)</f>
        <v>89.440267061706948</v>
      </c>
      <c r="T22" s="1">
        <f>STDEV(T13:T20)</f>
        <v>8.4731421669699852E-2</v>
      </c>
    </row>
    <row r="23" spans="2:33" ht="14.25" customHeight="1" x14ac:dyDescent="0.2"/>
    <row r="24" spans="2:33" ht="14.25" customHeight="1" x14ac:dyDescent="0.2"/>
    <row r="25" spans="2:33" ht="14.25" customHeight="1" x14ac:dyDescent="0.2"/>
    <row r="26" spans="2:33" ht="14.25" customHeight="1" x14ac:dyDescent="0.2"/>
    <row r="27" spans="2:33" ht="14.25" customHeight="1" x14ac:dyDescent="0.2"/>
    <row r="28" spans="2:33" ht="14.25" customHeight="1" x14ac:dyDescent="0.2"/>
    <row r="29" spans="2:33" ht="14.25" customHeight="1" x14ac:dyDescent="0.2"/>
    <row r="30" spans="2:33" ht="14.25" customHeight="1" x14ac:dyDescent="0.2"/>
    <row r="31" spans="2:33" ht="14.25" customHeight="1" x14ac:dyDescent="0.2"/>
    <row r="32" spans="2:33" ht="14.25" customHeight="1" x14ac:dyDescent="0.2"/>
    <row r="33" spans="18:22" ht="14.25" customHeight="1" x14ac:dyDescent="0.2"/>
    <row r="34" spans="18:22" ht="14.25" customHeight="1" x14ac:dyDescent="0.2">
      <c r="T34" s="1" t="s">
        <v>61</v>
      </c>
      <c r="U34" s="1" t="s">
        <v>61</v>
      </c>
      <c r="V34" s="1" t="s">
        <v>61</v>
      </c>
    </row>
    <row r="35" spans="18:22" ht="14.25" customHeight="1" x14ac:dyDescent="0.2">
      <c r="S35" s="1" t="s">
        <v>60</v>
      </c>
      <c r="T35" s="1">
        <v>1.1000000000000001</v>
      </c>
      <c r="U35" s="1">
        <v>2.1</v>
      </c>
      <c r="V35" s="1">
        <v>3</v>
      </c>
    </row>
    <row r="36" spans="18:22" ht="14.25" customHeight="1" x14ac:dyDescent="0.2">
      <c r="R36" s="1">
        <v>161</v>
      </c>
      <c r="S36" s="1">
        <v>1631</v>
      </c>
      <c r="T36" s="1">
        <v>1191</v>
      </c>
      <c r="U36" s="1">
        <v>1783</v>
      </c>
      <c r="V36" s="1">
        <v>2030</v>
      </c>
    </row>
    <row r="37" spans="18:22" ht="14.25" customHeight="1" x14ac:dyDescent="0.2">
      <c r="R37" s="1">
        <v>188</v>
      </c>
      <c r="S37" s="1">
        <v>5847</v>
      </c>
      <c r="T37" s="1">
        <v>3996</v>
      </c>
      <c r="U37" s="1">
        <v>5421</v>
      </c>
      <c r="V37" s="1">
        <v>5873</v>
      </c>
    </row>
    <row r="38" spans="18:22" ht="14.25" customHeight="1" x14ac:dyDescent="0.2">
      <c r="R38" s="1">
        <v>222</v>
      </c>
      <c r="S38" s="1">
        <v>14609</v>
      </c>
      <c r="T38" s="1">
        <v>9248</v>
      </c>
      <c r="U38" s="1">
        <v>11822</v>
      </c>
      <c r="V38" s="1">
        <v>12731</v>
      </c>
    </row>
    <row r="39" spans="18:22" ht="14.25" customHeight="1" x14ac:dyDescent="0.2">
      <c r="R39" s="1">
        <v>243</v>
      </c>
      <c r="S39" s="1">
        <v>18330</v>
      </c>
      <c r="T39" s="1">
        <v>12229</v>
      </c>
      <c r="U39" s="1">
        <v>15343</v>
      </c>
      <c r="V39" s="1">
        <v>16497</v>
      </c>
    </row>
    <row r="40" spans="18:22" ht="14.25" customHeight="1" x14ac:dyDescent="0.2"/>
    <row r="41" spans="18:22" ht="14.25" customHeight="1" x14ac:dyDescent="0.2"/>
    <row r="42" spans="18:22" ht="14.25" customHeight="1" x14ac:dyDescent="0.2"/>
    <row r="43" spans="18:22" ht="14.25" customHeight="1" x14ac:dyDescent="0.2"/>
    <row r="44" spans="18:22" ht="14.25" customHeight="1" x14ac:dyDescent="0.2"/>
    <row r="45" spans="18:22" ht="14.25" customHeight="1" x14ac:dyDescent="0.2"/>
    <row r="46" spans="18:22" ht="14.25" customHeight="1" x14ac:dyDescent="0.2"/>
    <row r="47" spans="18:22" ht="14.25" customHeight="1" x14ac:dyDescent="0.2"/>
    <row r="48" spans="18:2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ageMargins left="0.18" right="0.18" top="0.75" bottom="0.75" header="0.3" footer="0.3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3886-A9F3-4AE6-9EAD-E1A4E58C3955}">
  <dimension ref="B1:AI86"/>
  <sheetViews>
    <sheetView zoomScale="77" zoomScaleNormal="77" workbookViewId="0">
      <selection activeCell="W13" sqref="W13:AI20"/>
    </sheetView>
  </sheetViews>
  <sheetFormatPr defaultRowHeight="14.25" x14ac:dyDescent="0.2"/>
  <cols>
    <col min="1" max="1" width="3.85546875" style="1" customWidth="1"/>
    <col min="2" max="2" width="6.7109375" style="1" customWidth="1"/>
    <col min="3" max="3" width="12.28515625" style="1" customWidth="1"/>
    <col min="4" max="4" width="2" style="1" customWidth="1"/>
    <col min="5" max="7" width="15.7109375" style="1" customWidth="1"/>
    <col min="8" max="8" width="24.140625" style="1" customWidth="1"/>
    <col min="9" max="9" width="2" style="1" customWidth="1"/>
    <col min="10" max="21" width="15.7109375" style="1" customWidth="1"/>
    <col min="22" max="22" width="97.28515625" style="1" customWidth="1"/>
    <col min="23" max="16384" width="9.140625" style="1"/>
  </cols>
  <sheetData>
    <row r="1" spans="2:35" x14ac:dyDescent="0.2">
      <c r="B1" s="1" t="s">
        <v>19</v>
      </c>
    </row>
    <row r="2" spans="2:35" x14ac:dyDescent="0.2">
      <c r="B2" s="1" t="s">
        <v>20</v>
      </c>
    </row>
    <row r="4" spans="2:35" x14ac:dyDescent="0.2">
      <c r="B4" s="1" t="s">
        <v>0</v>
      </c>
    </row>
    <row r="5" spans="2:35" x14ac:dyDescent="0.2">
      <c r="C5" s="5" t="s">
        <v>1</v>
      </c>
      <c r="D5" s="6"/>
      <c r="E5" s="8">
        <v>40001</v>
      </c>
      <c r="F5" s="40"/>
      <c r="G5" s="1" t="s">
        <v>37</v>
      </c>
    </row>
    <row r="6" spans="2:35" x14ac:dyDescent="0.2">
      <c r="C6" s="5" t="s">
        <v>2</v>
      </c>
      <c r="D6" s="6"/>
      <c r="E6" s="6" t="s">
        <v>9</v>
      </c>
    </row>
    <row r="8" spans="2:35" ht="18" customHeight="1" x14ac:dyDescent="0.2">
      <c r="C8" s="5" t="s">
        <v>6</v>
      </c>
      <c r="D8" s="6"/>
      <c r="E8" s="8" t="s">
        <v>32</v>
      </c>
      <c r="F8" s="40"/>
      <c r="J8" s="5" t="s">
        <v>5</v>
      </c>
      <c r="K8" s="8">
        <v>40008</v>
      </c>
      <c r="L8" s="40"/>
    </row>
    <row r="9" spans="2:35" ht="18" customHeight="1" x14ac:dyDescent="0.2">
      <c r="C9" s="5" t="s">
        <v>3</v>
      </c>
      <c r="D9" s="6"/>
      <c r="E9" s="6" t="s">
        <v>10</v>
      </c>
      <c r="K9" s="1" t="s">
        <v>10</v>
      </c>
    </row>
    <row r="10" spans="2:35" ht="18" customHeight="1" x14ac:dyDescent="0.2">
      <c r="C10" s="5"/>
      <c r="J10" s="16"/>
      <c r="K10" s="16"/>
      <c r="L10" s="16"/>
      <c r="M10" s="16"/>
      <c r="N10" s="16"/>
      <c r="O10" s="16"/>
      <c r="P10" s="16"/>
      <c r="R10" s="1" t="s">
        <v>52</v>
      </c>
      <c r="S10" s="1" t="s">
        <v>58</v>
      </c>
      <c r="T10" s="1" t="s">
        <v>56</v>
      </c>
    </row>
    <row r="11" spans="2:35" ht="18" customHeight="1" x14ac:dyDescent="0.25">
      <c r="D11" s="7"/>
      <c r="E11" s="9" t="s">
        <v>14</v>
      </c>
      <c r="F11" s="9"/>
      <c r="G11" s="9"/>
      <c r="H11" s="10"/>
      <c r="I11" s="11"/>
      <c r="J11" s="17"/>
      <c r="K11" s="18"/>
      <c r="L11" s="18"/>
      <c r="M11" s="19"/>
      <c r="N11" s="19"/>
      <c r="O11" s="19"/>
      <c r="P11" s="19"/>
      <c r="Q11" s="16"/>
      <c r="R11" s="16"/>
      <c r="S11" s="16"/>
      <c r="T11" s="16"/>
      <c r="U11" s="16"/>
    </row>
    <row r="12" spans="2:35" ht="48.4" customHeight="1" thickBot="1" x14ac:dyDescent="0.35">
      <c r="B12" s="20" t="s">
        <v>13</v>
      </c>
      <c r="C12" s="12" t="s">
        <v>4</v>
      </c>
      <c r="D12" s="13"/>
      <c r="E12" s="12" t="s">
        <v>18</v>
      </c>
      <c r="F12" s="12" t="s">
        <v>35</v>
      </c>
      <c r="G12" s="12" t="s">
        <v>36</v>
      </c>
      <c r="H12" s="12" t="s">
        <v>11</v>
      </c>
      <c r="I12" s="13"/>
      <c r="J12" s="22" t="s">
        <v>29</v>
      </c>
      <c r="K12" s="22" t="s">
        <v>39</v>
      </c>
      <c r="L12" s="23" t="s">
        <v>30</v>
      </c>
      <c r="M12" s="12" t="s">
        <v>7</v>
      </c>
      <c r="N12" s="12" t="s">
        <v>8</v>
      </c>
      <c r="O12" s="14" t="s">
        <v>15</v>
      </c>
      <c r="P12" s="41" t="s">
        <v>38</v>
      </c>
      <c r="Q12" s="41"/>
      <c r="R12" s="41" t="s">
        <v>53</v>
      </c>
      <c r="S12" s="41" t="s">
        <v>55</v>
      </c>
      <c r="T12" s="41"/>
      <c r="U12" s="41"/>
      <c r="V12" s="14" t="s">
        <v>12</v>
      </c>
      <c r="W12" s="1" t="s">
        <v>71</v>
      </c>
      <c r="X12" s="79" t="s">
        <v>72</v>
      </c>
      <c r="Y12" s="79" t="s">
        <v>73</v>
      </c>
      <c r="Z12" s="79" t="s">
        <v>74</v>
      </c>
      <c r="AA12" s="79" t="s">
        <v>75</v>
      </c>
      <c r="AB12" s="79" t="s">
        <v>76</v>
      </c>
      <c r="AC12" s="79" t="s">
        <v>77</v>
      </c>
      <c r="AD12" s="79" t="s">
        <v>78</v>
      </c>
      <c r="AE12" s="79" t="s">
        <v>79</v>
      </c>
      <c r="AF12" s="79" t="s">
        <v>80</v>
      </c>
      <c r="AG12" s="79" t="s">
        <v>81</v>
      </c>
      <c r="AH12" s="79" t="s">
        <v>82</v>
      </c>
      <c r="AI12" s="79" t="s">
        <v>83</v>
      </c>
    </row>
    <row r="13" spans="2:35" ht="40.15" customHeight="1" thickTop="1" x14ac:dyDescent="0.25">
      <c r="B13" s="21">
        <v>2</v>
      </c>
      <c r="C13" s="24">
        <v>21</v>
      </c>
      <c r="D13" s="25"/>
      <c r="E13" s="24">
        <v>95</v>
      </c>
      <c r="F13" s="24">
        <v>3</v>
      </c>
      <c r="G13" s="24">
        <v>21</v>
      </c>
      <c r="H13" s="24">
        <v>16931.650000000001</v>
      </c>
      <c r="I13" s="28"/>
      <c r="J13" s="49">
        <v>425.9</v>
      </c>
      <c r="K13" s="50">
        <v>61.65</v>
      </c>
      <c r="L13" s="51">
        <f>J13-K13</f>
        <v>364.25</v>
      </c>
      <c r="M13" s="48">
        <v>87.62</v>
      </c>
      <c r="N13" s="29">
        <v>82.85</v>
      </c>
      <c r="O13" s="29">
        <v>19.46</v>
      </c>
      <c r="P13" s="29">
        <v>17.57</v>
      </c>
      <c r="Q13" s="76"/>
      <c r="R13" s="76">
        <f>H13/N13</f>
        <v>204.36511768255886</v>
      </c>
      <c r="S13" s="76">
        <f>SUM(L13:P13)/(100*102)*100*100*10000/1000</f>
        <v>5605.3921568627457</v>
      </c>
      <c r="T13" s="76">
        <f>H13*SUM(L13:P13)/SUM(M13:P13)/(100*102)</f>
        <v>4.5739054512166319</v>
      </c>
      <c r="U13" s="76"/>
      <c r="V13" s="3" t="s">
        <v>33</v>
      </c>
      <c r="W13" s="1">
        <f>C13</f>
        <v>21</v>
      </c>
      <c r="X13">
        <f>E13/8</f>
        <v>11.875</v>
      </c>
      <c r="Y13">
        <f>F13/8</f>
        <v>0.375</v>
      </c>
      <c r="Z13">
        <f>G13/8</f>
        <v>2.625</v>
      </c>
      <c r="AA13">
        <v>0</v>
      </c>
      <c r="AB13">
        <f>N13/8</f>
        <v>10.356249999999999</v>
      </c>
      <c r="AC13">
        <f>(M13+O13)/8</f>
        <v>13.385000000000002</v>
      </c>
      <c r="AD13">
        <f>SUM(L13:P13)/C13</f>
        <v>27.226190476190482</v>
      </c>
      <c r="AE13">
        <f>AH13*(N13/SUM(M13:P13))</f>
        <v>2246.9162081396453</v>
      </c>
      <c r="AF13">
        <f>AH13*(SUM(M13,O13)/SUM(M13:P13))</f>
        <v>2904.0408879612942</v>
      </c>
      <c r="AG13">
        <f>AH13*(P13/SUM(M13:P13))</f>
        <v>476.50353382032063</v>
      </c>
      <c r="AH13">
        <f>SUM(L13:P13)/1000/(1.016*1)*10000</f>
        <v>5627.4606299212601</v>
      </c>
      <c r="AI13">
        <f>(H13*SUM(L13:P13)/SUM(M13:P13)/(100*100)/(1.016*1))</f>
        <v>4.5919129529930753</v>
      </c>
    </row>
    <row r="14" spans="2:35" ht="40.15" customHeight="1" x14ac:dyDescent="0.25">
      <c r="B14" s="21">
        <v>4</v>
      </c>
      <c r="C14" s="24">
        <v>4</v>
      </c>
      <c r="D14" s="25"/>
      <c r="E14" s="24">
        <v>123</v>
      </c>
      <c r="F14" s="24">
        <v>4</v>
      </c>
      <c r="G14" s="24">
        <v>15</v>
      </c>
      <c r="H14" s="24">
        <v>21179.64</v>
      </c>
      <c r="I14" s="28"/>
      <c r="J14" s="52">
        <v>373.18</v>
      </c>
      <c r="K14" s="29">
        <v>61.96</v>
      </c>
      <c r="L14" s="53">
        <f t="shared" ref="L14:L20" si="0">J14-K14</f>
        <v>311.22000000000003</v>
      </c>
      <c r="M14" s="48">
        <v>112.56</v>
      </c>
      <c r="N14" s="29">
        <v>106.62</v>
      </c>
      <c r="O14" s="29">
        <v>24.92</v>
      </c>
      <c r="P14" s="29">
        <v>16.09</v>
      </c>
      <c r="Q14" s="76"/>
      <c r="R14" s="76">
        <f t="shared" ref="R14:R20" si="1">H14/N14</f>
        <v>198.64603263927967</v>
      </c>
      <c r="S14" s="76">
        <f t="shared" ref="S14:S20" si="2">SUM(L14:P14)/(100*102)*100*100*10000/1000</f>
        <v>5602.0588235294126</v>
      </c>
      <c r="T14" s="76">
        <f t="shared" ref="T14:T20" si="3">H14*SUM(L14:P14)/SUM(M14:P14)/(100*102)</f>
        <v>4.5601133456772542</v>
      </c>
      <c r="U14" s="76"/>
      <c r="V14" s="3" t="s">
        <v>33</v>
      </c>
      <c r="W14" s="1">
        <f t="shared" ref="W14:W20" si="4">C14</f>
        <v>4</v>
      </c>
      <c r="X14">
        <f t="shared" ref="X14:X20" si="5">E14/8</f>
        <v>15.375</v>
      </c>
      <c r="Y14">
        <f t="shared" ref="Y14:Y20" si="6">F14/8</f>
        <v>0.5</v>
      </c>
      <c r="Z14">
        <f t="shared" ref="Z14:Z20" si="7">G14/8</f>
        <v>1.875</v>
      </c>
      <c r="AA14">
        <v>0</v>
      </c>
      <c r="AB14">
        <f t="shared" ref="AB14:AB20" si="8">N14/8</f>
        <v>13.327500000000001</v>
      </c>
      <c r="AC14">
        <f t="shared" ref="AC14:AC20" si="9">(M14+O14)/8</f>
        <v>17.185000000000002</v>
      </c>
      <c r="AD14">
        <f t="shared" ref="AD14:AD20" si="10">SUM(L14:P14)/C14</f>
        <v>142.85250000000002</v>
      </c>
      <c r="AE14">
        <f t="shared" ref="AE14:AE20" si="11">AH14*(N14/SUM(M14:P14))</f>
        <v>2304.635278641018</v>
      </c>
      <c r="AF14">
        <f t="shared" ref="AF14:AF20" si="12">AH14*(SUM(M14,O14)/SUM(M14:P14))</f>
        <v>2971.6869077805964</v>
      </c>
      <c r="AG14">
        <f t="shared" ref="AG14:AG20" si="13">AH14*(P14/SUM(M14:P14))</f>
        <v>347.79198680673397</v>
      </c>
      <c r="AH14">
        <f t="shared" ref="AH14:AH20" si="14">SUM(L14:P14)/1000/(1.016*1)*10000</f>
        <v>5624.1141732283477</v>
      </c>
      <c r="AI14">
        <f t="shared" ref="AI14:AI20" si="15">(H14*SUM(L14:P14)/SUM(M14:P14)/(100*100)/(1.016*1))</f>
        <v>4.57806654782559</v>
      </c>
    </row>
    <row r="15" spans="2:35" ht="40.15" customHeight="1" x14ac:dyDescent="0.25">
      <c r="B15" s="21">
        <v>6</v>
      </c>
      <c r="C15" s="24">
        <v>18</v>
      </c>
      <c r="D15" s="25"/>
      <c r="E15" s="24">
        <v>103</v>
      </c>
      <c r="F15" s="24">
        <v>5</v>
      </c>
      <c r="G15" s="24">
        <v>24</v>
      </c>
      <c r="H15" s="24">
        <v>18894.150000000001</v>
      </c>
      <c r="I15" s="28"/>
      <c r="J15" s="52">
        <v>311.8</v>
      </c>
      <c r="K15" s="29">
        <v>62.53</v>
      </c>
      <c r="L15" s="53">
        <f t="shared" si="0"/>
        <v>249.27</v>
      </c>
      <c r="M15" s="48">
        <v>98.66</v>
      </c>
      <c r="N15" s="29">
        <v>96.25</v>
      </c>
      <c r="O15" s="29">
        <v>20.14</v>
      </c>
      <c r="P15" s="29">
        <v>20.78</v>
      </c>
      <c r="Q15" s="76"/>
      <c r="R15" s="76">
        <f t="shared" si="1"/>
        <v>196.30285714285716</v>
      </c>
      <c r="S15" s="76">
        <f t="shared" si="2"/>
        <v>4755.8823529411757</v>
      </c>
      <c r="T15" s="76">
        <f t="shared" si="3"/>
        <v>3.8103021057042588</v>
      </c>
      <c r="U15" s="76"/>
      <c r="V15" s="3" t="s">
        <v>33</v>
      </c>
      <c r="W15" s="1">
        <f t="shared" si="4"/>
        <v>18</v>
      </c>
      <c r="X15">
        <f t="shared" si="5"/>
        <v>12.875</v>
      </c>
      <c r="Y15">
        <f t="shared" si="6"/>
        <v>0.625</v>
      </c>
      <c r="Z15">
        <f t="shared" si="7"/>
        <v>3</v>
      </c>
      <c r="AA15">
        <v>0</v>
      </c>
      <c r="AB15">
        <f t="shared" si="8"/>
        <v>12.03125</v>
      </c>
      <c r="AC15">
        <f t="shared" si="9"/>
        <v>14.85</v>
      </c>
      <c r="AD15">
        <f t="shared" si="10"/>
        <v>26.950000000000003</v>
      </c>
      <c r="AE15">
        <f t="shared" si="11"/>
        <v>1948.6742835907758</v>
      </c>
      <c r="AF15">
        <f t="shared" si="12"/>
        <v>2405.2208300320431</v>
      </c>
      <c r="AG15">
        <f t="shared" si="13"/>
        <v>420.71118558977997</v>
      </c>
      <c r="AH15">
        <f t="shared" si="14"/>
        <v>4774.606299212599</v>
      </c>
      <c r="AI15">
        <f t="shared" si="15"/>
        <v>3.8253032950967953</v>
      </c>
    </row>
    <row r="16" spans="2:35" ht="40.15" customHeight="1" x14ac:dyDescent="0.25">
      <c r="B16" s="21">
        <v>8</v>
      </c>
      <c r="C16" s="24">
        <v>19</v>
      </c>
      <c r="D16" s="25"/>
      <c r="E16" s="24">
        <v>127</v>
      </c>
      <c r="F16" s="24">
        <v>6</v>
      </c>
      <c r="G16" s="24">
        <v>14</v>
      </c>
      <c r="H16" s="24">
        <v>19359.82</v>
      </c>
      <c r="I16" s="28"/>
      <c r="J16" s="52">
        <v>416.07</v>
      </c>
      <c r="K16" s="29">
        <v>62.58</v>
      </c>
      <c r="L16" s="53">
        <f t="shared" si="0"/>
        <v>353.49</v>
      </c>
      <c r="M16" s="48">
        <v>107.55</v>
      </c>
      <c r="N16" s="29">
        <v>99.54</v>
      </c>
      <c r="O16" s="29">
        <v>22.77</v>
      </c>
      <c r="P16" s="29">
        <v>18.71</v>
      </c>
      <c r="Q16" s="76"/>
      <c r="R16" s="76">
        <f t="shared" si="1"/>
        <v>194.4928671890697</v>
      </c>
      <c r="S16" s="76">
        <f t="shared" si="2"/>
        <v>5902.5490196078435</v>
      </c>
      <c r="T16" s="76">
        <f t="shared" si="3"/>
        <v>4.5971873742118641</v>
      </c>
      <c r="U16" s="76"/>
      <c r="V16" s="3" t="s">
        <v>33</v>
      </c>
      <c r="W16" s="1">
        <f t="shared" si="4"/>
        <v>19</v>
      </c>
      <c r="X16">
        <f t="shared" si="5"/>
        <v>15.875</v>
      </c>
      <c r="Y16">
        <f t="shared" si="6"/>
        <v>0.75</v>
      </c>
      <c r="Z16">
        <f t="shared" si="7"/>
        <v>1.75</v>
      </c>
      <c r="AA16">
        <v>0</v>
      </c>
      <c r="AB16">
        <f t="shared" si="8"/>
        <v>12.442500000000001</v>
      </c>
      <c r="AC16">
        <f t="shared" si="9"/>
        <v>16.29</v>
      </c>
      <c r="AD16">
        <f t="shared" si="10"/>
        <v>31.687368421052636</v>
      </c>
      <c r="AE16">
        <f t="shared" si="11"/>
        <v>2372.9849859305464</v>
      </c>
      <c r="AF16">
        <f t="shared" si="12"/>
        <v>3106.765153370191</v>
      </c>
      <c r="AG16">
        <f t="shared" si="13"/>
        <v>446.03726227406594</v>
      </c>
      <c r="AH16">
        <f t="shared" si="14"/>
        <v>5925.7874015748039</v>
      </c>
      <c r="AI16">
        <f t="shared" si="15"/>
        <v>4.6152865371024623</v>
      </c>
    </row>
    <row r="17" spans="2:35" ht="40.15" customHeight="1" x14ac:dyDescent="0.25">
      <c r="B17" s="21">
        <v>9</v>
      </c>
      <c r="C17" s="24">
        <v>23</v>
      </c>
      <c r="D17" s="25"/>
      <c r="E17" s="24">
        <v>84</v>
      </c>
      <c r="F17" s="24">
        <v>3</v>
      </c>
      <c r="G17" s="24">
        <v>12</v>
      </c>
      <c r="H17" s="24">
        <v>13540.34</v>
      </c>
      <c r="I17" s="28"/>
      <c r="J17" s="52">
        <v>454.75</v>
      </c>
      <c r="K17" s="29">
        <v>62.63</v>
      </c>
      <c r="L17" s="53">
        <f t="shared" si="0"/>
        <v>392.12</v>
      </c>
      <c r="M17" s="48">
        <v>73.099999999999994</v>
      </c>
      <c r="N17" s="29">
        <v>78.33</v>
      </c>
      <c r="O17" s="29">
        <v>16.71</v>
      </c>
      <c r="P17" s="29">
        <v>13.48</v>
      </c>
      <c r="Q17" s="76"/>
      <c r="R17" s="76">
        <f t="shared" si="1"/>
        <v>172.86276011745181</v>
      </c>
      <c r="S17" s="76">
        <f t="shared" si="2"/>
        <v>5624.9019607843147</v>
      </c>
      <c r="T17" s="76">
        <f t="shared" si="3"/>
        <v>4.193540635155065</v>
      </c>
      <c r="U17" s="76"/>
      <c r="V17" s="3" t="s">
        <v>34</v>
      </c>
      <c r="W17" s="1">
        <f t="shared" si="4"/>
        <v>23</v>
      </c>
      <c r="X17">
        <f t="shared" si="5"/>
        <v>10.5</v>
      </c>
      <c r="Y17">
        <f t="shared" si="6"/>
        <v>0.375</v>
      </c>
      <c r="Z17">
        <f t="shared" si="7"/>
        <v>1.5</v>
      </c>
      <c r="AA17">
        <v>0</v>
      </c>
      <c r="AB17">
        <f t="shared" si="8"/>
        <v>9.7912499999999998</v>
      </c>
      <c r="AC17">
        <f t="shared" si="9"/>
        <v>11.22625</v>
      </c>
      <c r="AD17">
        <f t="shared" si="10"/>
        <v>24.945217391304354</v>
      </c>
      <c r="AE17">
        <f t="shared" si="11"/>
        <v>2435.4873396648018</v>
      </c>
      <c r="AF17">
        <f t="shared" si="12"/>
        <v>2792.4309712153186</v>
      </c>
      <c r="AG17">
        <f t="shared" si="13"/>
        <v>419.12893321436911</v>
      </c>
      <c r="AH17">
        <f t="shared" si="14"/>
        <v>5647.0472440944895</v>
      </c>
      <c r="AI17">
        <f t="shared" si="15"/>
        <v>4.2100506376556757</v>
      </c>
    </row>
    <row r="18" spans="2:35" ht="40.15" customHeight="1" x14ac:dyDescent="0.25">
      <c r="B18" s="21">
        <v>11</v>
      </c>
      <c r="C18" s="24">
        <v>24</v>
      </c>
      <c r="D18" s="25"/>
      <c r="E18" s="24">
        <v>78</v>
      </c>
      <c r="F18" s="24">
        <v>2</v>
      </c>
      <c r="G18" s="24">
        <v>19</v>
      </c>
      <c r="H18" s="24">
        <v>15163.33</v>
      </c>
      <c r="I18" s="28"/>
      <c r="J18" s="52">
        <v>486.18</v>
      </c>
      <c r="K18" s="29">
        <v>63.39</v>
      </c>
      <c r="L18" s="53">
        <f t="shared" si="0"/>
        <v>422.79</v>
      </c>
      <c r="M18" s="48">
        <v>81.39</v>
      </c>
      <c r="N18" s="29">
        <v>80.58</v>
      </c>
      <c r="O18" s="29">
        <v>18.8</v>
      </c>
      <c r="P18" s="29">
        <v>12.42</v>
      </c>
      <c r="Q18" s="76"/>
      <c r="R18" s="76">
        <f t="shared" si="1"/>
        <v>188.17733929014645</v>
      </c>
      <c r="S18" s="76">
        <f t="shared" si="2"/>
        <v>6039.0196078431354</v>
      </c>
      <c r="T18" s="76">
        <f t="shared" si="3"/>
        <v>4.7399786319269142</v>
      </c>
      <c r="U18" s="76"/>
      <c r="V18" s="3" t="s">
        <v>34</v>
      </c>
      <c r="W18" s="1">
        <f t="shared" si="4"/>
        <v>24</v>
      </c>
      <c r="X18">
        <f t="shared" si="5"/>
        <v>9.75</v>
      </c>
      <c r="Y18">
        <f t="shared" si="6"/>
        <v>0.25</v>
      </c>
      <c r="Z18">
        <f t="shared" si="7"/>
        <v>2.375</v>
      </c>
      <c r="AA18">
        <v>0</v>
      </c>
      <c r="AB18">
        <f t="shared" si="8"/>
        <v>10.0725</v>
      </c>
      <c r="AC18">
        <f t="shared" si="9"/>
        <v>12.52375</v>
      </c>
      <c r="AD18">
        <f t="shared" si="10"/>
        <v>25.665833333333328</v>
      </c>
      <c r="AE18">
        <f t="shared" si="11"/>
        <v>2528.8060629798979</v>
      </c>
      <c r="AF18">
        <f t="shared" si="12"/>
        <v>3144.2179132533629</v>
      </c>
      <c r="AG18">
        <f t="shared" si="13"/>
        <v>389.7712993572888</v>
      </c>
      <c r="AH18">
        <f t="shared" si="14"/>
        <v>6062.7952755905499</v>
      </c>
      <c r="AI18">
        <f t="shared" si="15"/>
        <v>4.7586399651234768</v>
      </c>
    </row>
    <row r="19" spans="2:35" s="4" customFormat="1" ht="40.15" customHeight="1" x14ac:dyDescent="0.25">
      <c r="B19" s="21">
        <v>14</v>
      </c>
      <c r="C19" s="24">
        <v>19</v>
      </c>
      <c r="D19" s="25"/>
      <c r="E19" s="24">
        <v>128</v>
      </c>
      <c r="F19" s="24">
        <v>7</v>
      </c>
      <c r="G19" s="24">
        <v>31</v>
      </c>
      <c r="H19" s="24">
        <v>19011.169999999998</v>
      </c>
      <c r="I19" s="28"/>
      <c r="J19" s="52">
        <v>439.44</v>
      </c>
      <c r="K19" s="29">
        <v>61.29</v>
      </c>
      <c r="L19" s="53">
        <f t="shared" si="0"/>
        <v>378.15</v>
      </c>
      <c r="M19" s="48">
        <v>121.78</v>
      </c>
      <c r="N19" s="29">
        <v>116.39</v>
      </c>
      <c r="O19" s="29">
        <v>25.78</v>
      </c>
      <c r="P19" s="29">
        <v>33.03</v>
      </c>
      <c r="Q19" s="76"/>
      <c r="R19" s="76">
        <f t="shared" si="1"/>
        <v>163.34023541541367</v>
      </c>
      <c r="S19" s="76">
        <f t="shared" si="2"/>
        <v>6618.9215686274511</v>
      </c>
      <c r="T19" s="76">
        <f t="shared" si="3"/>
        <v>4.2371015946475552</v>
      </c>
      <c r="U19" s="76"/>
      <c r="V19" s="3" t="s">
        <v>34</v>
      </c>
      <c r="W19" s="1">
        <f t="shared" si="4"/>
        <v>19</v>
      </c>
      <c r="X19">
        <f t="shared" si="5"/>
        <v>16</v>
      </c>
      <c r="Y19">
        <f t="shared" si="6"/>
        <v>0.875</v>
      </c>
      <c r="Z19">
        <f t="shared" si="7"/>
        <v>3.875</v>
      </c>
      <c r="AA19">
        <v>0</v>
      </c>
      <c r="AB19">
        <f t="shared" si="8"/>
        <v>14.54875</v>
      </c>
      <c r="AC19">
        <f t="shared" si="9"/>
        <v>18.445</v>
      </c>
      <c r="AD19">
        <f t="shared" si="10"/>
        <v>35.533157894736839</v>
      </c>
      <c r="AE19">
        <f t="shared" si="11"/>
        <v>2604.2469488122688</v>
      </c>
      <c r="AF19">
        <f t="shared" si="12"/>
        <v>3301.6812420889969</v>
      </c>
      <c r="AG19">
        <f t="shared" si="13"/>
        <v>739.05212405936277</v>
      </c>
      <c r="AH19">
        <f t="shared" si="14"/>
        <v>6644.9803149606287</v>
      </c>
      <c r="AI19">
        <f t="shared" si="15"/>
        <v>4.2537830969886867</v>
      </c>
    </row>
    <row r="20" spans="2:35" ht="40.15" customHeight="1" thickBot="1" x14ac:dyDescent="0.3">
      <c r="B20" s="21">
        <v>15</v>
      </c>
      <c r="C20" s="24">
        <v>28</v>
      </c>
      <c r="D20" s="25"/>
      <c r="E20" s="24">
        <v>73</v>
      </c>
      <c r="F20" s="24">
        <v>6</v>
      </c>
      <c r="G20" s="24">
        <v>22</v>
      </c>
      <c r="H20" s="24">
        <v>14724.01</v>
      </c>
      <c r="I20" s="28"/>
      <c r="J20" s="54">
        <v>545.47</v>
      </c>
      <c r="K20" s="55">
        <v>61.29</v>
      </c>
      <c r="L20" s="56">
        <f t="shared" si="0"/>
        <v>484.18</v>
      </c>
      <c r="M20" s="48">
        <v>75.06</v>
      </c>
      <c r="N20" s="29">
        <v>79.069999999999993</v>
      </c>
      <c r="O20" s="29">
        <v>16.71</v>
      </c>
      <c r="P20" s="29">
        <v>20.89</v>
      </c>
      <c r="Q20" s="76"/>
      <c r="R20" s="76">
        <f t="shared" si="1"/>
        <v>186.21487289743268</v>
      </c>
      <c r="S20" s="76">
        <f t="shared" si="2"/>
        <v>6626.568627450979</v>
      </c>
      <c r="T20" s="76">
        <f t="shared" si="3"/>
        <v>5.0889095465641523</v>
      </c>
      <c r="U20" s="76"/>
      <c r="V20" s="3" t="s">
        <v>34</v>
      </c>
      <c r="W20" s="1">
        <f t="shared" si="4"/>
        <v>28</v>
      </c>
      <c r="X20">
        <f t="shared" si="5"/>
        <v>9.125</v>
      </c>
      <c r="Y20">
        <f t="shared" si="6"/>
        <v>0.75</v>
      </c>
      <c r="Z20">
        <f t="shared" si="7"/>
        <v>2.75</v>
      </c>
      <c r="AA20">
        <v>0</v>
      </c>
      <c r="AB20">
        <f t="shared" si="8"/>
        <v>9.8837499999999991</v>
      </c>
      <c r="AC20">
        <f t="shared" si="9"/>
        <v>11.471250000000001</v>
      </c>
      <c r="AD20">
        <f t="shared" si="10"/>
        <v>24.139642857142857</v>
      </c>
      <c r="AE20">
        <f t="shared" si="11"/>
        <v>2743.5749594143008</v>
      </c>
      <c r="AF20">
        <f t="shared" si="12"/>
        <v>3184.2402178506441</v>
      </c>
      <c r="AG20">
        <f t="shared" si="13"/>
        <v>724.84230305001574</v>
      </c>
      <c r="AH20">
        <f t="shared" si="14"/>
        <v>6652.6574803149606</v>
      </c>
      <c r="AI20">
        <f t="shared" si="15"/>
        <v>5.1089446235191289</v>
      </c>
    </row>
    <row r="21" spans="2:35" ht="30" customHeight="1" thickTop="1" x14ac:dyDescent="0.2">
      <c r="R21" s="75">
        <f>AVERAGE(R13:R20)</f>
        <v>188.05026029677626</v>
      </c>
      <c r="S21" s="75">
        <f>AVERAGE(S13:S20)</f>
        <v>5846.9117647058811</v>
      </c>
      <c r="T21" s="75">
        <f>AVERAGE(T13:T20)</f>
        <v>4.4751298356379614</v>
      </c>
    </row>
    <row r="22" spans="2:35" ht="14.25" customHeight="1" x14ac:dyDescent="0.2">
      <c r="R22" s="1">
        <f>STDEV(R13:R20)</f>
        <v>13.797969771134138</v>
      </c>
      <c r="S22" s="1">
        <f>STDEV(S13:S20)</f>
        <v>609.65834725604702</v>
      </c>
      <c r="T22" s="1">
        <f>STDEV(T13:T20)</f>
        <v>0.38853076954837973</v>
      </c>
    </row>
    <row r="23" spans="2:35" ht="14.25" customHeight="1" x14ac:dyDescent="0.2"/>
    <row r="24" spans="2:35" ht="14.25" customHeight="1" x14ac:dyDescent="0.2"/>
    <row r="25" spans="2:35" ht="14.25" customHeight="1" x14ac:dyDescent="0.2"/>
    <row r="26" spans="2:35" ht="14.25" customHeight="1" x14ac:dyDescent="0.2"/>
    <row r="27" spans="2:35" ht="14.25" customHeight="1" x14ac:dyDescent="0.2"/>
    <row r="28" spans="2:35" ht="14.25" customHeight="1" x14ac:dyDescent="0.2"/>
    <row r="29" spans="2:35" ht="14.25" customHeight="1" x14ac:dyDescent="0.2"/>
    <row r="30" spans="2:35" ht="14.25" customHeight="1" x14ac:dyDescent="0.2"/>
    <row r="31" spans="2:35" ht="14.25" customHeight="1" x14ac:dyDescent="0.2"/>
    <row r="32" spans="2:3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ageMargins left="0.18" right="0.18" top="0.75" bottom="0.75" header="0.3" footer="0.3"/>
  <pageSetup scale="10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39D2-AC48-4133-9AFF-D7C8EF9C2D5C}">
  <sheetPr>
    <pageSetUpPr fitToPage="1"/>
  </sheetPr>
  <dimension ref="A1:AK86"/>
  <sheetViews>
    <sheetView topLeftCell="K1" zoomScale="76" zoomScaleNormal="76" workbookViewId="0">
      <selection activeCell="Y13" sqref="Y13:AK20"/>
    </sheetView>
  </sheetViews>
  <sheetFormatPr defaultRowHeight="14.25" x14ac:dyDescent="0.2"/>
  <cols>
    <col min="1" max="1" width="3.85546875" style="1" customWidth="1"/>
    <col min="2" max="2" width="6.7109375" style="1" customWidth="1"/>
    <col min="3" max="3" width="11.42578125" style="1" customWidth="1"/>
    <col min="4" max="4" width="2" style="1" customWidth="1"/>
    <col min="5" max="7" width="15.7109375" style="1" customWidth="1"/>
    <col min="8" max="8" width="24.140625" style="1" customWidth="1"/>
    <col min="9" max="9" width="2" style="1" customWidth="1"/>
    <col min="10" max="11" width="10.7109375" style="1" customWidth="1"/>
    <col min="12" max="12" width="13.7109375" style="1" customWidth="1"/>
    <col min="13" max="14" width="10.7109375" style="1" customWidth="1"/>
    <col min="15" max="15" width="13.7109375" style="1" customWidth="1"/>
    <col min="16" max="17" width="10.7109375" style="1" customWidth="1"/>
    <col min="18" max="20" width="13.7109375" style="1" customWidth="1"/>
    <col min="21" max="21" width="20.140625" style="1" customWidth="1"/>
    <col min="22" max="16384" width="9.140625" style="1"/>
  </cols>
  <sheetData>
    <row r="1" spans="1:37" x14ac:dyDescent="0.2">
      <c r="B1" s="1" t="s">
        <v>19</v>
      </c>
    </row>
    <row r="2" spans="1:37" x14ac:dyDescent="0.2">
      <c r="B2" s="1" t="s">
        <v>20</v>
      </c>
    </row>
    <row r="4" spans="1:37" x14ac:dyDescent="0.2">
      <c r="B4" s="1" t="s">
        <v>0</v>
      </c>
    </row>
    <row r="5" spans="1:37" x14ac:dyDescent="0.2">
      <c r="B5" s="46"/>
      <c r="C5" s="46" t="s">
        <v>1</v>
      </c>
      <c r="D5" s="6"/>
      <c r="E5" s="8">
        <v>40035</v>
      </c>
      <c r="F5" s="40"/>
    </row>
    <row r="6" spans="1:37" x14ac:dyDescent="0.2">
      <c r="B6" s="46"/>
      <c r="C6" s="46" t="s">
        <v>2</v>
      </c>
      <c r="D6" s="6"/>
      <c r="E6" s="6" t="s">
        <v>9</v>
      </c>
    </row>
    <row r="7" spans="1:37" x14ac:dyDescent="0.2">
      <c r="B7" s="46"/>
      <c r="C7" s="46"/>
    </row>
    <row r="8" spans="1:37" ht="18" customHeight="1" x14ac:dyDescent="0.2">
      <c r="B8" s="46"/>
      <c r="C8" s="46" t="s">
        <v>6</v>
      </c>
      <c r="D8" s="6"/>
      <c r="E8" s="8" t="s">
        <v>40</v>
      </c>
      <c r="F8" s="40"/>
      <c r="K8" s="5" t="s">
        <v>5</v>
      </c>
      <c r="L8" s="8">
        <v>40045</v>
      </c>
      <c r="M8" s="40"/>
    </row>
    <row r="9" spans="1:37" ht="18" customHeight="1" x14ac:dyDescent="0.2">
      <c r="B9" s="46"/>
      <c r="C9" s="46" t="s">
        <v>3</v>
      </c>
      <c r="D9" s="6"/>
      <c r="E9" s="6" t="s">
        <v>10</v>
      </c>
      <c r="L9" s="1" t="s">
        <v>10</v>
      </c>
    </row>
    <row r="10" spans="1:37" ht="18" customHeight="1" x14ac:dyDescent="0.2">
      <c r="C10" s="5"/>
      <c r="J10" s="16"/>
      <c r="K10" s="16"/>
      <c r="L10" s="16"/>
      <c r="M10" s="16"/>
      <c r="N10" s="16"/>
      <c r="O10" s="16"/>
      <c r="P10" s="16"/>
      <c r="Q10" s="16"/>
      <c r="R10" s="16"/>
    </row>
    <row r="11" spans="1:37" ht="18" customHeight="1" x14ac:dyDescent="0.25">
      <c r="D11" s="7"/>
      <c r="E11" s="9" t="s">
        <v>14</v>
      </c>
      <c r="F11" s="9"/>
      <c r="G11" s="9"/>
      <c r="H11" s="10"/>
      <c r="I11" s="11"/>
      <c r="J11" s="17"/>
      <c r="K11" s="17"/>
      <c r="L11" s="18"/>
      <c r="M11" s="18"/>
      <c r="N11" s="19"/>
      <c r="O11" s="19"/>
      <c r="P11" s="19"/>
      <c r="Q11" s="19"/>
      <c r="R11" s="19"/>
      <c r="V11" s="1" t="s">
        <v>52</v>
      </c>
      <c r="W11" s="1" t="s">
        <v>54</v>
      </c>
      <c r="X11" s="1" t="s">
        <v>56</v>
      </c>
    </row>
    <row r="12" spans="1:37" ht="54" customHeight="1" thickBot="1" x14ac:dyDescent="0.3">
      <c r="B12" s="20" t="s">
        <v>13</v>
      </c>
      <c r="C12" s="12" t="s">
        <v>4</v>
      </c>
      <c r="D12" s="13"/>
      <c r="E12" s="12" t="s">
        <v>18</v>
      </c>
      <c r="F12" s="12" t="s">
        <v>35</v>
      </c>
      <c r="G12" s="12" t="s">
        <v>36</v>
      </c>
      <c r="H12" s="12" t="s">
        <v>11</v>
      </c>
      <c r="I12" s="13"/>
      <c r="J12" s="67" t="s">
        <v>43</v>
      </c>
      <c r="K12" s="68" t="s">
        <v>39</v>
      </c>
      <c r="L12" s="69" t="s">
        <v>30</v>
      </c>
      <c r="M12" s="67" t="s">
        <v>44</v>
      </c>
      <c r="N12" s="68" t="s">
        <v>39</v>
      </c>
      <c r="O12" s="69" t="s">
        <v>7</v>
      </c>
      <c r="P12" s="67" t="s">
        <v>45</v>
      </c>
      <c r="Q12" s="68" t="s">
        <v>39</v>
      </c>
      <c r="R12" s="69" t="s">
        <v>8</v>
      </c>
      <c r="S12" s="71" t="s">
        <v>15</v>
      </c>
      <c r="T12" s="73" t="s">
        <v>46</v>
      </c>
      <c r="U12" s="14" t="s">
        <v>12</v>
      </c>
      <c r="V12" s="1" t="s">
        <v>57</v>
      </c>
      <c r="W12" s="1" t="s">
        <v>55</v>
      </c>
      <c r="Y12" s="1" t="s">
        <v>71</v>
      </c>
      <c r="Z12" s="79" t="s">
        <v>72</v>
      </c>
      <c r="AA12" s="79" t="s">
        <v>73</v>
      </c>
      <c r="AB12" s="79" t="s">
        <v>74</v>
      </c>
      <c r="AC12" s="79" t="s">
        <v>75</v>
      </c>
      <c r="AD12" s="79" t="s">
        <v>76</v>
      </c>
      <c r="AE12" s="79" t="s">
        <v>77</v>
      </c>
      <c r="AF12" s="79" t="s">
        <v>78</v>
      </c>
      <c r="AG12" s="79" t="s">
        <v>79</v>
      </c>
      <c r="AH12" s="79" t="s">
        <v>80</v>
      </c>
      <c r="AI12" s="79" t="s">
        <v>81</v>
      </c>
      <c r="AJ12" s="79" t="s">
        <v>82</v>
      </c>
      <c r="AK12" s="79" t="s">
        <v>83</v>
      </c>
    </row>
    <row r="13" spans="1:37" ht="40.15" customHeight="1" thickTop="1" x14ac:dyDescent="0.25">
      <c r="A13" s="84" t="s">
        <v>41</v>
      </c>
      <c r="B13" s="42">
        <v>1</v>
      </c>
      <c r="C13" s="24">
        <v>19</v>
      </c>
      <c r="D13" s="25"/>
      <c r="E13" s="24">
        <v>19</v>
      </c>
      <c r="F13" s="24">
        <v>2</v>
      </c>
      <c r="G13" s="24">
        <v>65</v>
      </c>
      <c r="H13" s="24">
        <v>24720.560000000001</v>
      </c>
      <c r="I13" s="28"/>
      <c r="J13" s="58">
        <v>798.61</v>
      </c>
      <c r="K13" s="59">
        <v>62.03</v>
      </c>
      <c r="L13" s="60">
        <f>J13-K13</f>
        <v>736.58</v>
      </c>
      <c r="M13" s="58">
        <v>197.1</v>
      </c>
      <c r="N13" s="59">
        <v>22.56</v>
      </c>
      <c r="O13" s="60">
        <f t="shared" ref="O13:O20" si="0">M13-N13</f>
        <v>174.54</v>
      </c>
      <c r="P13" s="58">
        <v>190.83</v>
      </c>
      <c r="Q13" s="59">
        <v>48.52</v>
      </c>
      <c r="R13" s="60">
        <f t="shared" ref="R13:R20" si="1">P13-Q13</f>
        <v>142.31</v>
      </c>
      <c r="S13" s="70">
        <v>30.71</v>
      </c>
      <c r="T13" s="72">
        <v>177.89</v>
      </c>
      <c r="U13" s="15"/>
      <c r="V13" s="1">
        <f>H13/R13</f>
        <v>173.70922633687022</v>
      </c>
      <c r="W13" s="1">
        <f>SUM(L13,O13,R13,T13,S13)/(100*102)*100*100*10000/1000</f>
        <v>12372.843137254904</v>
      </c>
      <c r="X13" s="1">
        <f>H13*SUM(L13,O13,R13,S13,T13)/SUM(O13,R13,S13,T13)/(100*102)</f>
        <v>5.8209841306517855</v>
      </c>
      <c r="Y13" s="1">
        <f>C13</f>
        <v>19</v>
      </c>
      <c r="Z13">
        <f>E13/8</f>
        <v>2.375</v>
      </c>
      <c r="AA13">
        <f>F13/8</f>
        <v>0.25</v>
      </c>
      <c r="AB13">
        <f>G13/8</f>
        <v>8.125</v>
      </c>
      <c r="AC13">
        <v>0</v>
      </c>
      <c r="AD13">
        <f>R13/8</f>
        <v>17.78875</v>
      </c>
      <c r="AE13">
        <f>(O13+S13)/8</f>
        <v>25.65625</v>
      </c>
      <c r="AF13">
        <f>SUM(L13,O13,R13:T13)/C13</f>
        <v>66.422631578947374</v>
      </c>
      <c r="AG13">
        <f>AJ13*(R13/SUM(O13,R13:T13))</f>
        <v>3364.1859527229385</v>
      </c>
      <c r="AH13">
        <f>AJ13*(SUM(O13,S13)/SUM(O13,R13:T13))</f>
        <v>4852.0776248779639</v>
      </c>
      <c r="AI13">
        <f>AJ13*(T13/SUM(O13,R13:T13))</f>
        <v>4205.2915405093345</v>
      </c>
      <c r="AJ13">
        <f>SUM(L13,O13,R13:T13)/1000/(1.016*1)*10000</f>
        <v>12421.555118110238</v>
      </c>
      <c r="AK13">
        <f>(H13*SUM(L13,O13,R13:T13)/SUM(O13,R13:T13)/(100*100)/(1.016*1))</f>
        <v>5.8439013910086812</v>
      </c>
    </row>
    <row r="14" spans="1:37" ht="40.15" customHeight="1" x14ac:dyDescent="0.25">
      <c r="A14" s="85"/>
      <c r="B14" s="42">
        <v>3</v>
      </c>
      <c r="C14" s="24">
        <v>20</v>
      </c>
      <c r="D14" s="25"/>
      <c r="E14" s="24">
        <v>98</v>
      </c>
      <c r="F14" s="24">
        <v>5</v>
      </c>
      <c r="G14" s="24">
        <v>58</v>
      </c>
      <c r="H14" s="24">
        <v>28270.14</v>
      </c>
      <c r="I14" s="28"/>
      <c r="J14" s="61">
        <v>921.7</v>
      </c>
      <c r="K14" s="29">
        <v>62.49</v>
      </c>
      <c r="L14" s="62">
        <f t="shared" ref="L14:L20" si="2">J14-K14</f>
        <v>859.21</v>
      </c>
      <c r="M14" s="61">
        <v>233.82</v>
      </c>
      <c r="N14" s="29">
        <v>47.47</v>
      </c>
      <c r="O14" s="62">
        <f t="shared" si="0"/>
        <v>186.35</v>
      </c>
      <c r="P14" s="61">
        <v>210.17</v>
      </c>
      <c r="Q14" s="29">
        <v>46.88</v>
      </c>
      <c r="R14" s="62">
        <f t="shared" si="1"/>
        <v>163.29</v>
      </c>
      <c r="S14" s="66">
        <v>34.85</v>
      </c>
      <c r="T14" s="57">
        <v>156.08000000000001</v>
      </c>
      <c r="U14" s="15"/>
      <c r="V14" s="1">
        <f t="shared" ref="V14:V20" si="3">H14/R14</f>
        <v>173.1284218261988</v>
      </c>
      <c r="W14" s="1">
        <f t="shared" ref="W14:W20" si="4">SUM(L14,O14,R14,T14,S14)/(100*102)*100*100*10000/1000</f>
        <v>13723.333333333332</v>
      </c>
      <c r="X14" s="1">
        <f t="shared" ref="X14:X20" si="5">H14*SUM(L14,O14,R14,S14,T14)/SUM(O14,R14,S14,T14)/(100*102)</f>
        <v>7.1768791201879472</v>
      </c>
      <c r="Y14" s="1">
        <f t="shared" ref="Y14:Y20" si="6">C14</f>
        <v>20</v>
      </c>
      <c r="Z14">
        <f t="shared" ref="Z14:Z20" si="7">E14/8</f>
        <v>12.25</v>
      </c>
      <c r="AA14">
        <f t="shared" ref="AA14:AA20" si="8">F14/8</f>
        <v>0.625</v>
      </c>
      <c r="AB14">
        <f t="shared" ref="AB14:AB20" si="9">G14/8</f>
        <v>7.25</v>
      </c>
      <c r="AC14">
        <v>0</v>
      </c>
      <c r="AD14">
        <f t="shared" ref="AD14:AD20" si="10">R14/8</f>
        <v>20.411249999999999</v>
      </c>
      <c r="AE14">
        <f t="shared" ref="AE14:AE20" si="11">(O14+S14)/8</f>
        <v>27.65</v>
      </c>
      <c r="AF14">
        <f t="shared" ref="AF14:AF20" si="12">SUM(L14,O14,R14:T14)/C14</f>
        <v>69.98899999999999</v>
      </c>
      <c r="AG14">
        <f t="shared" ref="AG14:AG20" si="13">AJ14*(R14/SUM(O14,R14:T14))</f>
        <v>4161.7283134643958</v>
      </c>
      <c r="AH14">
        <f t="shared" ref="AH14:AH20" si="14">AJ14*(SUM(O14,S14)/SUM(O14,R14:T14))</f>
        <v>5637.6649086797979</v>
      </c>
      <c r="AI14">
        <f t="shared" ref="AI14:AI20" si="15">AJ14*(T14/SUM(O14,R14:T14))</f>
        <v>3977.9689825802129</v>
      </c>
      <c r="AJ14">
        <f t="shared" ref="AJ14:AJ20" si="16">SUM(L14,O14,R14:T14)/1000/(1.016*1)*10000</f>
        <v>13777.362204724408</v>
      </c>
      <c r="AK14">
        <f t="shared" ref="AK14:AK20" si="17">(H14*SUM(L14,O14,R14:T14)/SUM(O14,R14:T14)/(100*100)/(1.016*1))</f>
        <v>7.2051345497949866</v>
      </c>
    </row>
    <row r="15" spans="1:37" ht="40.15" customHeight="1" x14ac:dyDescent="0.25">
      <c r="A15" s="85"/>
      <c r="B15" s="42">
        <v>5</v>
      </c>
      <c r="C15" s="24">
        <v>24</v>
      </c>
      <c r="D15" s="25"/>
      <c r="E15" s="24">
        <v>26</v>
      </c>
      <c r="F15" s="24">
        <v>0</v>
      </c>
      <c r="G15" s="24">
        <v>63</v>
      </c>
      <c r="H15" s="24">
        <v>29226.52</v>
      </c>
      <c r="I15" s="28"/>
      <c r="J15" s="61">
        <v>1040.06</v>
      </c>
      <c r="K15" s="29">
        <v>63.58</v>
      </c>
      <c r="L15" s="62">
        <f t="shared" si="2"/>
        <v>976.4799999999999</v>
      </c>
      <c r="M15" s="61">
        <v>243.27</v>
      </c>
      <c r="N15" s="29">
        <v>47.58</v>
      </c>
      <c r="O15" s="62">
        <f t="shared" si="0"/>
        <v>195.69</v>
      </c>
      <c r="P15" s="61">
        <v>201.4</v>
      </c>
      <c r="Q15" s="29">
        <v>47.58</v>
      </c>
      <c r="R15" s="62">
        <f t="shared" si="1"/>
        <v>153.82</v>
      </c>
      <c r="S15" s="66">
        <v>34.1</v>
      </c>
      <c r="T15" s="57">
        <v>209.28</v>
      </c>
      <c r="U15" s="15"/>
      <c r="V15" s="1">
        <f t="shared" si="3"/>
        <v>190.00468079573528</v>
      </c>
      <c r="W15" s="1">
        <f t="shared" si="4"/>
        <v>15385.980392156858</v>
      </c>
      <c r="X15" s="1">
        <f t="shared" si="5"/>
        <v>7.5845209676496541</v>
      </c>
      <c r="Y15" s="1">
        <f t="shared" si="6"/>
        <v>24</v>
      </c>
      <c r="Z15">
        <f t="shared" si="7"/>
        <v>3.25</v>
      </c>
      <c r="AA15">
        <f t="shared" si="8"/>
        <v>0</v>
      </c>
      <c r="AB15">
        <f t="shared" si="9"/>
        <v>7.875</v>
      </c>
      <c r="AC15">
        <v>0</v>
      </c>
      <c r="AD15">
        <f t="shared" si="10"/>
        <v>19.227499999999999</v>
      </c>
      <c r="AE15">
        <f t="shared" si="11"/>
        <v>28.723749999999999</v>
      </c>
      <c r="AF15">
        <f t="shared" si="12"/>
        <v>65.390416666666653</v>
      </c>
      <c r="AG15">
        <f t="shared" si="13"/>
        <v>4007.4703710093199</v>
      </c>
      <c r="AH15">
        <f t="shared" si="14"/>
        <v>5986.7157492798842</v>
      </c>
      <c r="AI15">
        <f t="shared" si="15"/>
        <v>5452.3689978210286</v>
      </c>
      <c r="AJ15">
        <f t="shared" si="16"/>
        <v>15446.555118110233</v>
      </c>
      <c r="AK15">
        <f t="shared" si="17"/>
        <v>7.6143812864199276</v>
      </c>
    </row>
    <row r="16" spans="1:37" ht="40.15" customHeight="1" thickBot="1" x14ac:dyDescent="0.3">
      <c r="A16" s="86"/>
      <c r="B16" s="42">
        <v>7</v>
      </c>
      <c r="C16" s="24">
        <v>21</v>
      </c>
      <c r="D16" s="25"/>
      <c r="E16" s="24">
        <v>64</v>
      </c>
      <c r="F16" s="24">
        <v>0</v>
      </c>
      <c r="G16" s="24">
        <v>53</v>
      </c>
      <c r="H16" s="24">
        <v>29879.47</v>
      </c>
      <c r="I16" s="28"/>
      <c r="J16" s="61">
        <v>937.54</v>
      </c>
      <c r="K16" s="29">
        <v>61.22</v>
      </c>
      <c r="L16" s="62">
        <f t="shared" si="2"/>
        <v>876.31999999999994</v>
      </c>
      <c r="M16" s="61">
        <v>240.98</v>
      </c>
      <c r="N16" s="29">
        <v>22.79</v>
      </c>
      <c r="O16" s="62">
        <f t="shared" si="0"/>
        <v>218.19</v>
      </c>
      <c r="P16" s="61">
        <v>239.9</v>
      </c>
      <c r="Q16" s="29">
        <v>58.54</v>
      </c>
      <c r="R16" s="62">
        <f t="shared" si="1"/>
        <v>181.36</v>
      </c>
      <c r="S16" s="66">
        <v>40.42</v>
      </c>
      <c r="T16" s="57">
        <v>183.55</v>
      </c>
      <c r="U16" s="15"/>
      <c r="V16" s="1">
        <f t="shared" si="3"/>
        <v>164.75226069695631</v>
      </c>
      <c r="W16" s="1">
        <f t="shared" si="4"/>
        <v>14704.313725490194</v>
      </c>
      <c r="X16" s="1">
        <f t="shared" si="5"/>
        <v>7.0463994872878581</v>
      </c>
      <c r="Y16" s="1">
        <f t="shared" si="6"/>
        <v>21</v>
      </c>
      <c r="Z16">
        <f t="shared" si="7"/>
        <v>8</v>
      </c>
      <c r="AA16">
        <f t="shared" si="8"/>
        <v>0</v>
      </c>
      <c r="AB16">
        <f t="shared" si="9"/>
        <v>6.625</v>
      </c>
      <c r="AC16">
        <v>0</v>
      </c>
      <c r="AD16">
        <f t="shared" si="10"/>
        <v>22.67</v>
      </c>
      <c r="AE16">
        <f t="shared" si="11"/>
        <v>32.326250000000002</v>
      </c>
      <c r="AF16">
        <f t="shared" si="12"/>
        <v>71.420952380952372</v>
      </c>
      <c r="AG16">
        <f t="shared" si="13"/>
        <v>4293.8052489397251</v>
      </c>
      <c r="AH16">
        <f t="shared" si="14"/>
        <v>6122.7446814529239</v>
      </c>
      <c r="AI16">
        <f t="shared" si="15"/>
        <v>4345.6547940167984</v>
      </c>
      <c r="AJ16">
        <f t="shared" si="16"/>
        <v>14762.204724409446</v>
      </c>
      <c r="AK16">
        <f t="shared" si="17"/>
        <v>7.0741412175527705</v>
      </c>
    </row>
    <row r="17" spans="1:37" ht="40.15" customHeight="1" thickTop="1" x14ac:dyDescent="0.25">
      <c r="A17" s="84" t="s">
        <v>42</v>
      </c>
      <c r="B17" s="21">
        <v>10</v>
      </c>
      <c r="C17" s="24">
        <v>22</v>
      </c>
      <c r="D17" s="25"/>
      <c r="E17" s="24">
        <v>12</v>
      </c>
      <c r="F17" s="24">
        <v>1</v>
      </c>
      <c r="G17" s="24">
        <v>51</v>
      </c>
      <c r="H17" s="24">
        <v>22925.64</v>
      </c>
      <c r="I17" s="28"/>
      <c r="J17" s="61">
        <v>1047.72</v>
      </c>
      <c r="K17" s="29">
        <v>56.74</v>
      </c>
      <c r="L17" s="62">
        <f t="shared" si="2"/>
        <v>990.98</v>
      </c>
      <c r="M17" s="61">
        <v>184.84</v>
      </c>
      <c r="N17" s="29">
        <v>22.44</v>
      </c>
      <c r="O17" s="62">
        <f t="shared" si="0"/>
        <v>162.4</v>
      </c>
      <c r="P17" s="61">
        <v>156.55000000000001</v>
      </c>
      <c r="Q17" s="29">
        <v>22.7</v>
      </c>
      <c r="R17" s="62">
        <f t="shared" si="1"/>
        <v>133.85000000000002</v>
      </c>
      <c r="S17" s="66">
        <v>30.53</v>
      </c>
      <c r="T17" s="57">
        <v>167.47</v>
      </c>
      <c r="U17" s="15"/>
      <c r="V17" s="1">
        <f t="shared" si="3"/>
        <v>171.27859544265965</v>
      </c>
      <c r="W17" s="1">
        <f t="shared" si="4"/>
        <v>14561.078431372547</v>
      </c>
      <c r="X17" s="1">
        <f t="shared" si="5"/>
        <v>6.75411314374126</v>
      </c>
      <c r="Y17" s="1">
        <f t="shared" si="6"/>
        <v>22</v>
      </c>
      <c r="Z17">
        <f t="shared" si="7"/>
        <v>1.5</v>
      </c>
      <c r="AA17">
        <f t="shared" si="8"/>
        <v>0.125</v>
      </c>
      <c r="AB17">
        <f t="shared" si="9"/>
        <v>6.375</v>
      </c>
      <c r="AC17">
        <v>0</v>
      </c>
      <c r="AD17">
        <f t="shared" si="10"/>
        <v>16.731250000000003</v>
      </c>
      <c r="AE17">
        <f t="shared" si="11"/>
        <v>24.116250000000001</v>
      </c>
      <c r="AF17">
        <f t="shared" si="12"/>
        <v>67.51045454545455</v>
      </c>
      <c r="AG17">
        <f t="shared" si="13"/>
        <v>3958.8742089143266</v>
      </c>
      <c r="AH17">
        <f t="shared" si="14"/>
        <v>5706.2801727743063</v>
      </c>
      <c r="AI17">
        <f t="shared" si="15"/>
        <v>4953.2511301223913</v>
      </c>
      <c r="AJ17">
        <f t="shared" si="16"/>
        <v>14618.405511811023</v>
      </c>
      <c r="AK17">
        <f t="shared" si="17"/>
        <v>6.7807041403701618</v>
      </c>
    </row>
    <row r="18" spans="1:37" ht="40.15" customHeight="1" x14ac:dyDescent="0.25">
      <c r="A18" s="85"/>
      <c r="B18" s="21">
        <v>12</v>
      </c>
      <c r="C18" s="24">
        <v>26</v>
      </c>
      <c r="D18" s="25"/>
      <c r="E18" s="24">
        <v>27</v>
      </c>
      <c r="F18" s="24">
        <v>0</v>
      </c>
      <c r="G18" s="24">
        <v>44</v>
      </c>
      <c r="H18" s="24">
        <v>24194.63</v>
      </c>
      <c r="I18" s="28"/>
      <c r="J18" s="61">
        <v>1203.45</v>
      </c>
      <c r="K18" s="29">
        <v>56.49</v>
      </c>
      <c r="L18" s="62">
        <f t="shared" si="2"/>
        <v>1146.96</v>
      </c>
      <c r="M18" s="61">
        <v>252.16</v>
      </c>
      <c r="N18" s="29">
        <v>46.13</v>
      </c>
      <c r="O18" s="62">
        <f t="shared" si="0"/>
        <v>206.03</v>
      </c>
      <c r="P18" s="61">
        <v>195.14</v>
      </c>
      <c r="Q18" s="29">
        <v>47.19</v>
      </c>
      <c r="R18" s="62">
        <f t="shared" si="1"/>
        <v>147.94999999999999</v>
      </c>
      <c r="S18" s="66">
        <v>32.79</v>
      </c>
      <c r="T18" s="57">
        <v>181.59</v>
      </c>
      <c r="U18" s="15"/>
      <c r="V18" s="1">
        <f t="shared" si="3"/>
        <v>163.53247718823928</v>
      </c>
      <c r="W18" s="1">
        <f t="shared" si="4"/>
        <v>16816.862745098038</v>
      </c>
      <c r="X18" s="1">
        <f t="shared" si="5"/>
        <v>7.1588037841936689</v>
      </c>
      <c r="Y18" s="1">
        <f t="shared" si="6"/>
        <v>26</v>
      </c>
      <c r="Z18">
        <f t="shared" si="7"/>
        <v>3.375</v>
      </c>
      <c r="AA18">
        <f t="shared" si="8"/>
        <v>0</v>
      </c>
      <c r="AB18">
        <f t="shared" si="9"/>
        <v>5.5</v>
      </c>
      <c r="AC18">
        <v>0</v>
      </c>
      <c r="AD18">
        <f t="shared" si="10"/>
        <v>18.493749999999999</v>
      </c>
      <c r="AE18">
        <f t="shared" si="11"/>
        <v>29.852499999999999</v>
      </c>
      <c r="AF18">
        <f t="shared" si="12"/>
        <v>65.973846153846154</v>
      </c>
      <c r="AG18">
        <f t="shared" si="13"/>
        <v>4394.8383676642779</v>
      </c>
      <c r="AH18">
        <f t="shared" si="14"/>
        <v>7094.1216557322259</v>
      </c>
      <c r="AI18">
        <f t="shared" si="15"/>
        <v>5394.1108427452264</v>
      </c>
      <c r="AJ18">
        <f t="shared" si="16"/>
        <v>16883.07086614173</v>
      </c>
      <c r="AK18">
        <f t="shared" si="17"/>
        <v>7.1869880510605721</v>
      </c>
    </row>
    <row r="19" spans="1:37" s="4" customFormat="1" ht="40.15" customHeight="1" x14ac:dyDescent="0.25">
      <c r="A19" s="85"/>
      <c r="B19" s="21">
        <v>13</v>
      </c>
      <c r="C19" s="24">
        <v>20</v>
      </c>
      <c r="D19" s="25"/>
      <c r="E19" s="24">
        <v>68</v>
      </c>
      <c r="F19" s="24">
        <v>5</v>
      </c>
      <c r="G19" s="24">
        <v>61</v>
      </c>
      <c r="H19" s="24">
        <v>25615.23</v>
      </c>
      <c r="I19" s="28"/>
      <c r="J19" s="61">
        <v>1066.1400000000001</v>
      </c>
      <c r="K19" s="29">
        <v>57.08</v>
      </c>
      <c r="L19" s="62">
        <f t="shared" si="2"/>
        <v>1009.0600000000001</v>
      </c>
      <c r="M19" s="61">
        <v>189.7</v>
      </c>
      <c r="N19" s="29">
        <v>22.69</v>
      </c>
      <c r="O19" s="62">
        <f t="shared" si="0"/>
        <v>167.01</v>
      </c>
      <c r="P19" s="61">
        <v>180.73</v>
      </c>
      <c r="Q19" s="29">
        <v>22.62</v>
      </c>
      <c r="R19" s="62">
        <f t="shared" si="1"/>
        <v>158.10999999999999</v>
      </c>
      <c r="S19" s="66">
        <v>30.52</v>
      </c>
      <c r="T19" s="57">
        <v>190.54</v>
      </c>
      <c r="U19" s="15"/>
      <c r="V19" s="1">
        <f t="shared" si="3"/>
        <v>162.00891784200874</v>
      </c>
      <c r="W19" s="1">
        <f t="shared" si="4"/>
        <v>15247.450980392156</v>
      </c>
      <c r="X19" s="1">
        <f t="shared" si="5"/>
        <v>7.1508836606333199</v>
      </c>
      <c r="Y19" s="1">
        <f t="shared" si="6"/>
        <v>20</v>
      </c>
      <c r="Z19">
        <f t="shared" si="7"/>
        <v>8.5</v>
      </c>
      <c r="AA19">
        <f t="shared" si="8"/>
        <v>0.625</v>
      </c>
      <c r="AB19">
        <f t="shared" si="9"/>
        <v>7.625</v>
      </c>
      <c r="AC19">
        <v>0</v>
      </c>
      <c r="AD19">
        <f t="shared" si="10"/>
        <v>19.763749999999998</v>
      </c>
      <c r="AE19">
        <f t="shared" si="11"/>
        <v>24.69125</v>
      </c>
      <c r="AF19">
        <f t="shared" si="12"/>
        <v>77.762</v>
      </c>
      <c r="AG19">
        <f t="shared" si="13"/>
        <v>4431.2602303241147</v>
      </c>
      <c r="AH19">
        <f t="shared" si="14"/>
        <v>5536.0624457398171</v>
      </c>
      <c r="AI19">
        <f t="shared" si="15"/>
        <v>5340.1576388966978</v>
      </c>
      <c r="AJ19">
        <f t="shared" si="16"/>
        <v>15307.480314960629</v>
      </c>
      <c r="AK19">
        <f t="shared" si="17"/>
        <v>7.1790367459114037</v>
      </c>
    </row>
    <row r="20" spans="1:37" ht="40.15" customHeight="1" thickBot="1" x14ac:dyDescent="0.3">
      <c r="A20" s="86"/>
      <c r="B20" s="21">
        <v>16</v>
      </c>
      <c r="C20" s="24">
        <v>24</v>
      </c>
      <c r="D20" s="25"/>
      <c r="E20" s="24">
        <v>15</v>
      </c>
      <c r="F20" s="24">
        <v>1</v>
      </c>
      <c r="G20" s="24">
        <v>55</v>
      </c>
      <c r="H20" s="24">
        <v>20131.18</v>
      </c>
      <c r="I20" s="28"/>
      <c r="J20" s="63">
        <v>992.52</v>
      </c>
      <c r="K20" s="64">
        <v>56.67</v>
      </c>
      <c r="L20" s="65">
        <f t="shared" si="2"/>
        <v>935.85</v>
      </c>
      <c r="M20" s="63">
        <v>207.26</v>
      </c>
      <c r="N20" s="64">
        <v>45.54</v>
      </c>
      <c r="O20" s="65">
        <f t="shared" si="0"/>
        <v>161.72</v>
      </c>
      <c r="P20" s="63">
        <v>188.5</v>
      </c>
      <c r="Q20" s="64">
        <v>64.8</v>
      </c>
      <c r="R20" s="65">
        <f t="shared" si="1"/>
        <v>123.7</v>
      </c>
      <c r="S20" s="66">
        <v>26.15</v>
      </c>
      <c r="T20" s="57">
        <v>186.19</v>
      </c>
      <c r="U20" s="15"/>
      <c r="V20" s="1">
        <f t="shared" si="3"/>
        <v>162.74195634599837</v>
      </c>
      <c r="W20" s="1">
        <f t="shared" si="4"/>
        <v>14055.000000000002</v>
      </c>
      <c r="X20" s="1">
        <f t="shared" si="5"/>
        <v>5.6843405436354866</v>
      </c>
      <c r="Y20" s="1">
        <f t="shared" si="6"/>
        <v>24</v>
      </c>
      <c r="Z20">
        <f t="shared" si="7"/>
        <v>1.875</v>
      </c>
      <c r="AA20">
        <f t="shared" si="8"/>
        <v>0.125</v>
      </c>
      <c r="AB20">
        <f t="shared" si="9"/>
        <v>6.875</v>
      </c>
      <c r="AC20">
        <v>0</v>
      </c>
      <c r="AD20">
        <f t="shared" si="10"/>
        <v>15.4625</v>
      </c>
      <c r="AE20">
        <f t="shared" si="11"/>
        <v>23.483750000000001</v>
      </c>
      <c r="AF20">
        <f t="shared" si="12"/>
        <v>59.733750000000008</v>
      </c>
      <c r="AG20">
        <f t="shared" si="13"/>
        <v>3506.6063879566286</v>
      </c>
      <c r="AH20">
        <f t="shared" si="14"/>
        <v>5325.6761690009034</v>
      </c>
      <c r="AI20">
        <f t="shared" si="15"/>
        <v>5278.0520887117591</v>
      </c>
      <c r="AJ20">
        <f t="shared" si="16"/>
        <v>14110.334645669291</v>
      </c>
      <c r="AK20">
        <f t="shared" si="17"/>
        <v>5.7067198371143668</v>
      </c>
    </row>
    <row r="21" spans="1:37" ht="30" customHeight="1" thickTop="1" x14ac:dyDescent="0.2">
      <c r="V21" s="1">
        <f>AVERAGE(V13:V20)</f>
        <v>170.14456705933333</v>
      </c>
      <c r="W21" s="1">
        <f>AVERAGE(W13:W20)</f>
        <v>14608.357843137255</v>
      </c>
      <c r="X21" s="1">
        <f>AVERAGE(X13:X20)</f>
        <v>6.7971156047476216</v>
      </c>
    </row>
    <row r="22" spans="1:37" ht="14.25" customHeight="1" x14ac:dyDescent="0.2">
      <c r="V22" s="1">
        <f>STDEV(V13:V20)</f>
        <v>9.343480973853822</v>
      </c>
      <c r="W22" s="1">
        <f>STDEV(W13:W20)</f>
        <v>1308.7110850364654</v>
      </c>
      <c r="X22" s="1">
        <f>STDEV(X13:X20)</f>
        <v>0.68403115706013429</v>
      </c>
    </row>
    <row r="23" spans="1:37" ht="14.25" customHeight="1" x14ac:dyDescent="0.2"/>
    <row r="24" spans="1:37" ht="14.25" customHeight="1" x14ac:dyDescent="0.2"/>
    <row r="25" spans="1:37" ht="14.25" customHeight="1" x14ac:dyDescent="0.2"/>
    <row r="26" spans="1:37" ht="14.25" customHeight="1" x14ac:dyDescent="0.2"/>
    <row r="27" spans="1:37" ht="14.25" customHeight="1" x14ac:dyDescent="0.2"/>
    <row r="28" spans="1:37" ht="14.25" customHeight="1" x14ac:dyDescent="0.2"/>
    <row r="29" spans="1:37" ht="14.25" customHeight="1" x14ac:dyDescent="0.2"/>
    <row r="30" spans="1:37" ht="14.25" customHeight="1" x14ac:dyDescent="0.2"/>
    <row r="31" spans="1:37" ht="14.25" customHeight="1" x14ac:dyDescent="0.2"/>
    <row r="32" spans="1:3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mergeCells count="2">
    <mergeCell ref="A13:A16"/>
    <mergeCell ref="A17:A20"/>
  </mergeCells>
  <pageMargins left="0.18" right="0.18" top="0.75" bottom="0.75" header="0.3" footer="0.3"/>
  <pageSetup scale="6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A75D-F07D-4FFB-935A-4E4A7634319C}">
  <sheetPr>
    <pageSetUpPr fitToPage="1"/>
  </sheetPr>
  <dimension ref="A1:AL86"/>
  <sheetViews>
    <sheetView topLeftCell="M1" zoomScale="77" zoomScaleNormal="77" workbookViewId="0">
      <selection activeCell="Z13" sqref="Z13:AL20"/>
    </sheetView>
  </sheetViews>
  <sheetFormatPr defaultRowHeight="14.25" x14ac:dyDescent="0.2"/>
  <cols>
    <col min="1" max="1" width="3.85546875" style="1" customWidth="1"/>
    <col min="2" max="2" width="8.28515625" style="1" customWidth="1"/>
    <col min="3" max="3" width="10.28515625" style="1" customWidth="1"/>
    <col min="4" max="4" width="2" style="1" customWidth="1"/>
    <col min="5" max="8" width="15.7109375" style="1" customWidth="1"/>
    <col min="9" max="9" width="24.140625" style="1" customWidth="1"/>
    <col min="10" max="10" width="2" style="1" customWidth="1"/>
    <col min="11" max="21" width="15.7109375" style="1" customWidth="1"/>
    <col min="22" max="16384" width="9.140625" style="1"/>
  </cols>
  <sheetData>
    <row r="1" spans="1:38" x14ac:dyDescent="0.2">
      <c r="B1" s="1" t="s">
        <v>19</v>
      </c>
    </row>
    <row r="2" spans="1:38" x14ac:dyDescent="0.2">
      <c r="B2" s="1" t="s">
        <v>20</v>
      </c>
    </row>
    <row r="4" spans="1:38" x14ac:dyDescent="0.2">
      <c r="B4" s="1" t="s">
        <v>0</v>
      </c>
    </row>
    <row r="5" spans="1:38" x14ac:dyDescent="0.2">
      <c r="B5" s="46"/>
      <c r="C5" s="46" t="s">
        <v>1</v>
      </c>
      <c r="D5" s="6"/>
      <c r="E5" s="8">
        <v>40056</v>
      </c>
      <c r="F5" s="40"/>
    </row>
    <row r="6" spans="1:38" x14ac:dyDescent="0.2">
      <c r="B6" s="46"/>
      <c r="C6" s="46" t="s">
        <v>2</v>
      </c>
      <c r="D6" s="6"/>
      <c r="E6" s="6" t="s">
        <v>9</v>
      </c>
    </row>
    <row r="7" spans="1:38" x14ac:dyDescent="0.2">
      <c r="B7" s="46"/>
      <c r="C7" s="46"/>
    </row>
    <row r="8" spans="1:38" ht="18" customHeight="1" x14ac:dyDescent="0.2">
      <c r="B8" s="46"/>
      <c r="C8" s="46" t="s">
        <v>6</v>
      </c>
      <c r="D8" s="6"/>
      <c r="E8" s="8" t="s">
        <v>51</v>
      </c>
      <c r="F8" s="40"/>
      <c r="L8" s="5" t="s">
        <v>5</v>
      </c>
      <c r="M8" s="5"/>
      <c r="N8" s="8">
        <v>40064</v>
      </c>
      <c r="O8" s="40"/>
      <c r="P8" s="40"/>
    </row>
    <row r="9" spans="1:38" ht="18" customHeight="1" x14ac:dyDescent="0.2">
      <c r="B9" s="46"/>
      <c r="C9" s="46" t="s">
        <v>3</v>
      </c>
      <c r="D9" s="6"/>
      <c r="E9" s="6" t="s">
        <v>10</v>
      </c>
      <c r="N9" s="1" t="s">
        <v>10</v>
      </c>
    </row>
    <row r="10" spans="1:38" ht="18" customHeight="1" x14ac:dyDescent="0.2">
      <c r="C10" s="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38" ht="18" customHeight="1" x14ac:dyDescent="0.25">
      <c r="D11" s="7"/>
      <c r="E11" s="9" t="s">
        <v>14</v>
      </c>
      <c r="F11" s="9"/>
      <c r="G11" s="9"/>
      <c r="H11" s="9"/>
      <c r="I11" s="10"/>
      <c r="J11" s="11"/>
      <c r="K11" s="17"/>
      <c r="L11" s="17"/>
      <c r="M11" s="17"/>
      <c r="N11" s="18"/>
      <c r="O11" s="18"/>
      <c r="P11" s="18"/>
      <c r="Q11" s="19"/>
      <c r="R11" s="19"/>
      <c r="S11" s="19"/>
      <c r="T11" s="19"/>
      <c r="U11" s="19"/>
      <c r="W11" s="1" t="s">
        <v>52</v>
      </c>
      <c r="X11" s="1" t="s">
        <v>54</v>
      </c>
      <c r="Y11" s="1" t="s">
        <v>56</v>
      </c>
    </row>
    <row r="12" spans="1:38" ht="54" customHeight="1" thickBot="1" x14ac:dyDescent="0.3">
      <c r="B12" s="74" t="s">
        <v>13</v>
      </c>
      <c r="C12" s="12" t="s">
        <v>4</v>
      </c>
      <c r="D12" s="13"/>
      <c r="E12" s="12" t="s">
        <v>18</v>
      </c>
      <c r="F12" s="12" t="s">
        <v>31</v>
      </c>
      <c r="G12" s="12" t="s">
        <v>48</v>
      </c>
      <c r="H12" s="12" t="s">
        <v>47</v>
      </c>
      <c r="I12" s="12" t="s">
        <v>11</v>
      </c>
      <c r="J12" s="13"/>
      <c r="K12" s="43" t="s">
        <v>43</v>
      </c>
      <c r="L12" s="47" t="s">
        <v>39</v>
      </c>
      <c r="M12" s="47" t="s">
        <v>59</v>
      </c>
      <c r="N12" s="43" t="s">
        <v>44</v>
      </c>
      <c r="O12" s="47" t="s">
        <v>39</v>
      </c>
      <c r="P12" s="47" t="s">
        <v>7</v>
      </c>
      <c r="Q12" s="43" t="s">
        <v>45</v>
      </c>
      <c r="R12" s="47" t="s">
        <v>39</v>
      </c>
      <c r="S12" s="47" t="s">
        <v>8</v>
      </c>
      <c r="T12" s="44" t="s">
        <v>15</v>
      </c>
      <c r="U12" s="45" t="s">
        <v>46</v>
      </c>
      <c r="W12" s="1" t="s">
        <v>57</v>
      </c>
      <c r="X12" s="1" t="s">
        <v>55</v>
      </c>
      <c r="Z12" s="1" t="s">
        <v>71</v>
      </c>
      <c r="AA12" s="79" t="s">
        <v>72</v>
      </c>
      <c r="AB12" s="79" t="s">
        <v>73</v>
      </c>
      <c r="AC12" s="79" t="s">
        <v>74</v>
      </c>
      <c r="AD12" s="79" t="s">
        <v>75</v>
      </c>
      <c r="AE12" s="79" t="s">
        <v>76</v>
      </c>
      <c r="AF12" s="79" t="s">
        <v>77</v>
      </c>
      <c r="AG12" s="79" t="s">
        <v>78</v>
      </c>
      <c r="AH12" s="79" t="s">
        <v>79</v>
      </c>
      <c r="AI12" s="79" t="s">
        <v>80</v>
      </c>
      <c r="AJ12" s="79" t="s">
        <v>81</v>
      </c>
      <c r="AK12" s="79" t="s">
        <v>82</v>
      </c>
      <c r="AL12" s="79" t="s">
        <v>83</v>
      </c>
    </row>
    <row r="13" spans="1:38" ht="40.15" customHeight="1" thickTop="1" x14ac:dyDescent="0.25">
      <c r="A13" s="84" t="s">
        <v>49</v>
      </c>
      <c r="B13" s="21">
        <v>2</v>
      </c>
      <c r="C13" s="24">
        <v>22</v>
      </c>
      <c r="D13" s="25"/>
      <c r="E13" s="24">
        <v>45</v>
      </c>
      <c r="F13" s="24">
        <v>2</v>
      </c>
      <c r="G13" s="24">
        <v>71</v>
      </c>
      <c r="H13" s="24">
        <v>17</v>
      </c>
      <c r="I13" s="24">
        <v>24435.81</v>
      </c>
      <c r="J13" s="25"/>
      <c r="K13" s="29">
        <v>1265.9000000000001</v>
      </c>
      <c r="L13" s="29">
        <v>56.57</v>
      </c>
      <c r="M13" s="29">
        <f>K13-L13</f>
        <v>1209.3300000000002</v>
      </c>
      <c r="N13" s="29">
        <v>231.5</v>
      </c>
      <c r="O13" s="29">
        <v>22.42</v>
      </c>
      <c r="P13" s="29">
        <f>N13-O13</f>
        <v>209.07999999999998</v>
      </c>
      <c r="Q13" s="29">
        <v>158.72999999999999</v>
      </c>
      <c r="R13" s="29">
        <v>23.28</v>
      </c>
      <c r="S13" s="29">
        <f>Q13-R13</f>
        <v>135.44999999999999</v>
      </c>
      <c r="T13" s="29">
        <v>30.99</v>
      </c>
      <c r="U13" s="29">
        <v>289.94</v>
      </c>
      <c r="W13" s="1">
        <f>I13/S13</f>
        <v>180.40465116279071</v>
      </c>
      <c r="X13" s="1">
        <f>SUM(M13,P13,S13,T13,U13)/(100*102)*100*100*10000/1000</f>
        <v>18380.294117647059</v>
      </c>
      <c r="Y13" s="1">
        <f>I13*SUM(M13,P13,S13,T13,U13)/SUM(P13,S13,T13,U13)/(100*102)</f>
        <v>6.7492768130757854</v>
      </c>
      <c r="Z13" s="1">
        <f>C13</f>
        <v>22</v>
      </c>
      <c r="AA13">
        <f>E13/8</f>
        <v>5.625</v>
      </c>
      <c r="AB13">
        <f>F13/8</f>
        <v>0.25</v>
      </c>
      <c r="AC13">
        <f>G13/8</f>
        <v>8.875</v>
      </c>
      <c r="AD13">
        <f>H13/8</f>
        <v>2.125</v>
      </c>
      <c r="AE13">
        <f>S13/8</f>
        <v>16.931249999999999</v>
      </c>
      <c r="AF13">
        <f>(P13+T13)/8</f>
        <v>30.008749999999999</v>
      </c>
      <c r="AG13">
        <f>SUM(M13,P13,S13:U13)/C13</f>
        <v>85.217727272727288</v>
      </c>
      <c r="AH13">
        <f>AK13*(S13/SUM(P13,S13:U13))</f>
        <v>3755.9168931395748</v>
      </c>
      <c r="AI13">
        <f>AK13*(SUM(P13,T13)/SUM(P13,S13:U13))</f>
        <v>6656.9432893024568</v>
      </c>
      <c r="AJ13">
        <f>AK13*(U13/SUM(P13,S13:U13))</f>
        <v>8039.7972978729304</v>
      </c>
      <c r="AK13">
        <f>SUM(M13,P13,S13:U13)/1000/(1.016*1)*10000</f>
        <v>18452.657480314963</v>
      </c>
      <c r="AL13">
        <f>(I13*SUM(M13,P13,S13:U13)/SUM(P13,S13:U13)/(100*100)/(1.016*1))</f>
        <v>6.7758487690327769</v>
      </c>
    </row>
    <row r="14" spans="1:38" ht="40.15" customHeight="1" x14ac:dyDescent="0.25">
      <c r="A14" s="85"/>
      <c r="B14" s="21">
        <v>4</v>
      </c>
      <c r="C14" s="24">
        <v>18</v>
      </c>
      <c r="D14" s="25"/>
      <c r="E14" s="24">
        <v>50</v>
      </c>
      <c r="F14" s="24">
        <v>1</v>
      </c>
      <c r="G14" s="24">
        <v>41</v>
      </c>
      <c r="H14" s="24">
        <v>29</v>
      </c>
      <c r="I14" s="24">
        <v>27565.52</v>
      </c>
      <c r="J14" s="25"/>
      <c r="K14" s="29">
        <v>1256.75</v>
      </c>
      <c r="L14" s="29">
        <v>57.11</v>
      </c>
      <c r="M14" s="29">
        <f t="shared" ref="M14:M20" si="0">K14-L14</f>
        <v>1199.6400000000001</v>
      </c>
      <c r="N14" s="29">
        <v>243.81</v>
      </c>
      <c r="O14" s="29">
        <v>22.76</v>
      </c>
      <c r="P14" s="29">
        <f t="shared" ref="P14:P20" si="1">N14-O14</f>
        <v>221.05</v>
      </c>
      <c r="Q14" s="29">
        <v>180.98</v>
      </c>
      <c r="R14" s="29">
        <v>23.17</v>
      </c>
      <c r="S14" s="29">
        <f t="shared" ref="S14:S20" si="2">Q14-R14</f>
        <v>157.81</v>
      </c>
      <c r="T14" s="29">
        <v>35.29</v>
      </c>
      <c r="U14" s="29">
        <v>316.8</v>
      </c>
      <c r="W14" s="1">
        <f t="shared" ref="W14:W20" si="3">I14/S14</f>
        <v>174.67536911475824</v>
      </c>
      <c r="X14" s="1">
        <f t="shared" ref="X14:X20" si="4">SUM(M14,P14,S14,T14,U14)/(100*102)*100*100*10000/1000</f>
        <v>18927.352941176468</v>
      </c>
      <c r="Y14" s="1">
        <f t="shared" ref="Y14:Y20" si="5">I14*SUM(M14,P14,S14,T14,U14)/SUM(P14,S14,T14,U14)/(100*102)</f>
        <v>7.1378661474390697</v>
      </c>
      <c r="Z14" s="1">
        <f t="shared" ref="Z14:Z19" si="6">C14</f>
        <v>18</v>
      </c>
      <c r="AA14">
        <f t="shared" ref="AA14:AA19" si="7">E14/8</f>
        <v>6.25</v>
      </c>
      <c r="AB14">
        <f t="shared" ref="AB14:AB19" si="8">F14/8</f>
        <v>0.125</v>
      </c>
      <c r="AC14">
        <f t="shared" ref="AC14:AC19" si="9">G14/8</f>
        <v>5.125</v>
      </c>
      <c r="AD14">
        <f t="shared" ref="AD14:AD19" si="10">H14/8</f>
        <v>3.625</v>
      </c>
      <c r="AE14">
        <f t="shared" ref="AE14:AE19" si="11">S14/8</f>
        <v>19.72625</v>
      </c>
      <c r="AF14">
        <f t="shared" ref="AF14:AF19" si="12">(P14+T14)/8</f>
        <v>32.042500000000004</v>
      </c>
      <c r="AG14">
        <f t="shared" ref="AG14:AG19" si="13">SUM(M14,P14,S14:U14)/C14</f>
        <v>107.255</v>
      </c>
      <c r="AH14">
        <f t="shared" ref="AH14:AH19" si="14">AK14*(S14/SUM(P14,S14:U14))</f>
        <v>4102.4490281496464</v>
      </c>
      <c r="AI14">
        <f t="shared" ref="AI14:AI19" si="15">AK14*(SUM(P14,T14)/SUM(P14,S14:U14))</f>
        <v>6663.8475627392463</v>
      </c>
      <c r="AJ14">
        <f t="shared" ref="AJ14:AJ19" si="16">AK14*(U14/SUM(P14,S14:U14))</f>
        <v>8235.5734878512649</v>
      </c>
      <c r="AK14">
        <f t="shared" ref="AK14:AK19" si="17">SUM(M14,P14,S14:U14)/1000/(1.016*1)*10000</f>
        <v>19001.870078740158</v>
      </c>
      <c r="AL14">
        <f t="shared" ref="AL14:AL19" si="18">(I14*SUM(M14,P14,S14:U14)/SUM(P14,S14:U14)/(100*100)/(1.016*1))</f>
        <v>7.1659679826652072</v>
      </c>
    </row>
    <row r="15" spans="1:38" ht="40.15" customHeight="1" x14ac:dyDescent="0.25">
      <c r="A15" s="85"/>
      <c r="B15" s="21">
        <v>6</v>
      </c>
      <c r="C15" s="24">
        <v>21</v>
      </c>
      <c r="D15" s="25"/>
      <c r="E15" s="24">
        <v>75</v>
      </c>
      <c r="F15" s="24">
        <v>3</v>
      </c>
      <c r="G15" s="24">
        <v>58</v>
      </c>
      <c r="H15" s="24">
        <v>22</v>
      </c>
      <c r="I15" s="24">
        <v>27929.27</v>
      </c>
      <c r="J15" s="25"/>
      <c r="K15" s="29">
        <v>1139.06</v>
      </c>
      <c r="L15" s="29">
        <v>55.79</v>
      </c>
      <c r="M15" s="29">
        <f t="shared" si="0"/>
        <v>1083.27</v>
      </c>
      <c r="N15" s="29">
        <v>273.19</v>
      </c>
      <c r="O15" s="29">
        <v>22.41</v>
      </c>
      <c r="P15" s="29">
        <f t="shared" si="1"/>
        <v>250.78</v>
      </c>
      <c r="Q15" s="29">
        <v>174.98</v>
      </c>
      <c r="R15" s="29">
        <v>23.17</v>
      </c>
      <c r="S15" s="29">
        <f t="shared" si="2"/>
        <v>151.81</v>
      </c>
      <c r="T15" s="29">
        <v>36.08</v>
      </c>
      <c r="U15" s="29">
        <v>178.43</v>
      </c>
      <c r="W15" s="1">
        <f t="shared" si="3"/>
        <v>183.97516632632897</v>
      </c>
      <c r="X15" s="1">
        <f t="shared" si="4"/>
        <v>16670.294117647056</v>
      </c>
      <c r="Y15" s="1">
        <f t="shared" si="5"/>
        <v>7.5447925035031025</v>
      </c>
      <c r="Z15" s="1">
        <f t="shared" si="6"/>
        <v>21</v>
      </c>
      <c r="AA15">
        <f t="shared" si="7"/>
        <v>9.375</v>
      </c>
      <c r="AB15">
        <f t="shared" si="8"/>
        <v>0.375</v>
      </c>
      <c r="AC15">
        <f t="shared" si="9"/>
        <v>7.25</v>
      </c>
      <c r="AD15">
        <f t="shared" si="10"/>
        <v>2.75</v>
      </c>
      <c r="AE15">
        <f t="shared" si="11"/>
        <v>18.97625</v>
      </c>
      <c r="AF15">
        <f t="shared" si="12"/>
        <v>35.857500000000002</v>
      </c>
      <c r="AG15">
        <f t="shared" si="13"/>
        <v>80.97</v>
      </c>
      <c r="AH15">
        <f t="shared" si="14"/>
        <v>4117.1298073794487</v>
      </c>
      <c r="AI15">
        <f t="shared" si="15"/>
        <v>7779.7237108548106</v>
      </c>
      <c r="AJ15">
        <f t="shared" si="16"/>
        <v>4839.0716786161329</v>
      </c>
      <c r="AK15">
        <f t="shared" si="17"/>
        <v>16735.925196850392</v>
      </c>
      <c r="AL15">
        <f t="shared" si="18"/>
        <v>7.5744964109972086</v>
      </c>
    </row>
    <row r="16" spans="1:38" ht="40.15" customHeight="1" thickBot="1" x14ac:dyDescent="0.3">
      <c r="A16" s="86"/>
      <c r="B16" s="21">
        <v>8</v>
      </c>
      <c r="C16" s="24">
        <v>19</v>
      </c>
      <c r="D16" s="25"/>
      <c r="E16" s="24">
        <v>48</v>
      </c>
      <c r="F16" s="24">
        <v>0</v>
      </c>
      <c r="G16" s="24">
        <v>44</v>
      </c>
      <c r="H16" s="24">
        <v>27</v>
      </c>
      <c r="I16" s="24">
        <v>25087.11</v>
      </c>
      <c r="J16" s="25"/>
      <c r="K16" s="29">
        <v>997.5</v>
      </c>
      <c r="L16" s="29">
        <v>57.28</v>
      </c>
      <c r="M16" s="29">
        <f t="shared" si="0"/>
        <v>940.22</v>
      </c>
      <c r="N16" s="29">
        <v>237.54</v>
      </c>
      <c r="O16" s="29">
        <v>22.43</v>
      </c>
      <c r="P16" s="29">
        <f t="shared" si="1"/>
        <v>215.10999999999999</v>
      </c>
      <c r="Q16" s="29">
        <v>179.07</v>
      </c>
      <c r="R16" s="29">
        <v>23.08</v>
      </c>
      <c r="S16" s="29">
        <f t="shared" si="2"/>
        <v>155.99</v>
      </c>
      <c r="T16" s="29">
        <v>32.520000000000003</v>
      </c>
      <c r="U16" s="29">
        <v>278.18</v>
      </c>
      <c r="W16" s="1">
        <f t="shared" si="3"/>
        <v>160.82511699467915</v>
      </c>
      <c r="X16" s="1">
        <f t="shared" si="4"/>
        <v>15902.156862745098</v>
      </c>
      <c r="Y16" s="1">
        <f t="shared" si="5"/>
        <v>5.8512636910082314</v>
      </c>
      <c r="Z16" s="1">
        <f t="shared" si="6"/>
        <v>19</v>
      </c>
      <c r="AA16">
        <f t="shared" si="7"/>
        <v>6</v>
      </c>
      <c r="AB16">
        <f t="shared" si="8"/>
        <v>0</v>
      </c>
      <c r="AC16">
        <f t="shared" si="9"/>
        <v>5.5</v>
      </c>
      <c r="AD16">
        <f t="shared" si="10"/>
        <v>3.375</v>
      </c>
      <c r="AE16">
        <f t="shared" si="11"/>
        <v>19.498750000000001</v>
      </c>
      <c r="AF16">
        <f t="shared" si="12"/>
        <v>30.953749999999999</v>
      </c>
      <c r="AG16">
        <f t="shared" si="13"/>
        <v>85.369473684210519</v>
      </c>
      <c r="AH16">
        <f t="shared" si="14"/>
        <v>3652.6012055859555</v>
      </c>
      <c r="AI16">
        <f t="shared" si="15"/>
        <v>5798.4078244711209</v>
      </c>
      <c r="AJ16">
        <f t="shared" si="16"/>
        <v>6513.7547494704859</v>
      </c>
      <c r="AK16">
        <f t="shared" si="17"/>
        <v>15964.76377952756</v>
      </c>
      <c r="AL16">
        <f t="shared" si="18"/>
        <v>5.8743001622326734</v>
      </c>
    </row>
    <row r="17" spans="1:38" ht="40.15" customHeight="1" thickTop="1" x14ac:dyDescent="0.25">
      <c r="A17" s="84" t="s">
        <v>50</v>
      </c>
      <c r="B17" s="21">
        <v>9</v>
      </c>
      <c r="C17" s="24">
        <v>20</v>
      </c>
      <c r="D17" s="25"/>
      <c r="E17" s="24">
        <v>54</v>
      </c>
      <c r="F17" s="24">
        <v>1</v>
      </c>
      <c r="G17" s="24">
        <v>88</v>
      </c>
      <c r="H17" s="24">
        <v>23</v>
      </c>
      <c r="I17" s="24">
        <v>28171.87</v>
      </c>
      <c r="J17" s="25"/>
      <c r="K17" s="29">
        <v>1220.1500000000001</v>
      </c>
      <c r="L17" s="29">
        <v>57.11</v>
      </c>
      <c r="M17" s="29">
        <f t="shared" si="0"/>
        <v>1163.0400000000002</v>
      </c>
      <c r="N17" s="29">
        <v>264.45</v>
      </c>
      <c r="O17" s="29">
        <v>22.29</v>
      </c>
      <c r="P17" s="29">
        <f t="shared" si="1"/>
        <v>242.16</v>
      </c>
      <c r="Q17" s="29">
        <v>185.99</v>
      </c>
      <c r="R17" s="29">
        <v>23.11</v>
      </c>
      <c r="S17" s="29">
        <f t="shared" si="2"/>
        <v>162.88</v>
      </c>
      <c r="T17" s="29">
        <v>36.590000000000003</v>
      </c>
      <c r="U17" s="29">
        <v>243.19</v>
      </c>
      <c r="W17" s="1">
        <f t="shared" si="3"/>
        <v>172.96089145383104</v>
      </c>
      <c r="X17" s="1">
        <f t="shared" si="4"/>
        <v>18116.274509803923</v>
      </c>
      <c r="Y17" s="1">
        <f t="shared" si="5"/>
        <v>7.4526055076444901</v>
      </c>
      <c r="Z17" s="1">
        <f t="shared" si="6"/>
        <v>20</v>
      </c>
      <c r="AA17">
        <f t="shared" si="7"/>
        <v>6.75</v>
      </c>
      <c r="AB17">
        <f t="shared" si="8"/>
        <v>0.125</v>
      </c>
      <c r="AC17">
        <f t="shared" si="9"/>
        <v>11</v>
      </c>
      <c r="AD17">
        <f t="shared" si="10"/>
        <v>2.875</v>
      </c>
      <c r="AE17">
        <f t="shared" si="11"/>
        <v>20.36</v>
      </c>
      <c r="AF17">
        <f t="shared" si="12"/>
        <v>34.84375</v>
      </c>
      <c r="AG17">
        <f t="shared" si="13"/>
        <v>92.393000000000015</v>
      </c>
      <c r="AH17">
        <f t="shared" si="14"/>
        <v>4325.8024466225634</v>
      </c>
      <c r="AI17">
        <f t="shared" si="15"/>
        <v>7403.103094278239</v>
      </c>
      <c r="AJ17">
        <f t="shared" si="16"/>
        <v>6458.6928842960542</v>
      </c>
      <c r="AK17">
        <f t="shared" si="17"/>
        <v>18187.598425196855</v>
      </c>
      <c r="AL17">
        <f t="shared" si="18"/>
        <v>7.4819464742100195</v>
      </c>
    </row>
    <row r="18" spans="1:38" ht="40.15" customHeight="1" x14ac:dyDescent="0.25">
      <c r="A18" s="85"/>
      <c r="B18" s="21">
        <v>11</v>
      </c>
      <c r="C18" s="24">
        <v>21</v>
      </c>
      <c r="D18" s="25"/>
      <c r="E18" s="24">
        <v>51</v>
      </c>
      <c r="F18" s="24">
        <v>1</v>
      </c>
      <c r="G18" s="24">
        <v>68</v>
      </c>
      <c r="H18" s="24">
        <v>29</v>
      </c>
      <c r="I18" s="24">
        <v>30475.41</v>
      </c>
      <c r="J18" s="25"/>
      <c r="K18" s="29">
        <v>1294.05</v>
      </c>
      <c r="L18" s="29">
        <v>56.36</v>
      </c>
      <c r="M18" s="29">
        <f t="shared" si="0"/>
        <v>1237.69</v>
      </c>
      <c r="N18" s="29">
        <v>324.2</v>
      </c>
      <c r="O18" s="29">
        <v>22.62</v>
      </c>
      <c r="P18" s="29">
        <f t="shared" si="1"/>
        <v>301.58</v>
      </c>
      <c r="Q18" s="29">
        <v>196.46</v>
      </c>
      <c r="R18" s="29">
        <v>23</v>
      </c>
      <c r="S18" s="29">
        <f t="shared" si="2"/>
        <v>173.46</v>
      </c>
      <c r="T18" s="29">
        <v>44.16</v>
      </c>
      <c r="U18" s="29">
        <v>293.12</v>
      </c>
      <c r="W18" s="1">
        <f t="shared" si="3"/>
        <v>175.6912832929782</v>
      </c>
      <c r="X18" s="1">
        <f t="shared" si="4"/>
        <v>20098.137254901965</v>
      </c>
      <c r="Y18" s="1">
        <f t="shared" si="5"/>
        <v>7.540119325874187</v>
      </c>
      <c r="Z18" s="1">
        <f t="shared" si="6"/>
        <v>21</v>
      </c>
      <c r="AA18">
        <f t="shared" si="7"/>
        <v>6.375</v>
      </c>
      <c r="AB18">
        <f t="shared" si="8"/>
        <v>0.125</v>
      </c>
      <c r="AC18">
        <f t="shared" si="9"/>
        <v>8.5</v>
      </c>
      <c r="AD18">
        <f t="shared" si="10"/>
        <v>3.625</v>
      </c>
      <c r="AE18">
        <f t="shared" si="11"/>
        <v>21.682500000000001</v>
      </c>
      <c r="AF18">
        <f t="shared" si="12"/>
        <v>43.217500000000001</v>
      </c>
      <c r="AG18">
        <f t="shared" si="13"/>
        <v>97.619523809523827</v>
      </c>
      <c r="AH18">
        <f t="shared" si="14"/>
        <v>4308.5830401773328</v>
      </c>
      <c r="AI18">
        <f t="shared" si="15"/>
        <v>8587.8559916459781</v>
      </c>
      <c r="AJ18">
        <f t="shared" si="16"/>
        <v>7280.8247477042542</v>
      </c>
      <c r="AK18">
        <f t="shared" si="17"/>
        <v>20177.263779527562</v>
      </c>
      <c r="AL18">
        <f t="shared" si="18"/>
        <v>7.5698048350311717</v>
      </c>
    </row>
    <row r="19" spans="1:38" s="4" customFormat="1" ht="40.15" customHeight="1" x14ac:dyDescent="0.25">
      <c r="A19" s="85"/>
      <c r="B19" s="21">
        <v>14</v>
      </c>
      <c r="C19" s="24">
        <v>22</v>
      </c>
      <c r="D19" s="25"/>
      <c r="E19" s="24">
        <v>93</v>
      </c>
      <c r="F19" s="24">
        <v>1</v>
      </c>
      <c r="G19" s="24">
        <v>28</v>
      </c>
      <c r="H19" s="24">
        <v>36</v>
      </c>
      <c r="I19" s="24">
        <v>27242.07</v>
      </c>
      <c r="J19" s="25"/>
      <c r="K19" s="29">
        <v>1443.25</v>
      </c>
      <c r="L19" s="29">
        <v>56.69</v>
      </c>
      <c r="M19" s="29">
        <f t="shared" si="0"/>
        <v>1386.56</v>
      </c>
      <c r="N19" s="29">
        <v>256.36</v>
      </c>
      <c r="O19" s="29">
        <v>23.26</v>
      </c>
      <c r="P19" s="29">
        <f t="shared" si="1"/>
        <v>233.10000000000002</v>
      </c>
      <c r="Q19" s="29">
        <v>190.51</v>
      </c>
      <c r="R19" s="29">
        <v>23.2</v>
      </c>
      <c r="S19" s="29">
        <f t="shared" si="2"/>
        <v>167.31</v>
      </c>
      <c r="T19" s="29">
        <v>35.520000000000003</v>
      </c>
      <c r="U19" s="29">
        <v>269.19</v>
      </c>
      <c r="V19" s="2"/>
      <c r="W19" s="1">
        <f t="shared" si="3"/>
        <v>162.82391967007351</v>
      </c>
      <c r="X19" s="1">
        <f t="shared" si="4"/>
        <v>20506.666666666664</v>
      </c>
      <c r="Y19" s="1">
        <f t="shared" si="5"/>
        <v>7.9226805196278631</v>
      </c>
      <c r="Z19" s="1">
        <f t="shared" si="6"/>
        <v>22</v>
      </c>
      <c r="AA19">
        <f t="shared" si="7"/>
        <v>11.625</v>
      </c>
      <c r="AB19">
        <f t="shared" si="8"/>
        <v>0.125</v>
      </c>
      <c r="AC19">
        <f t="shared" si="9"/>
        <v>3.5</v>
      </c>
      <c r="AD19">
        <f t="shared" si="10"/>
        <v>4.5</v>
      </c>
      <c r="AE19">
        <f t="shared" si="11"/>
        <v>20.91375</v>
      </c>
      <c r="AF19">
        <f t="shared" si="12"/>
        <v>33.577500000000001</v>
      </c>
      <c r="AG19">
        <f t="shared" si="13"/>
        <v>95.076363636363624</v>
      </c>
      <c r="AH19">
        <f t="shared" si="14"/>
        <v>4884.9531391540659</v>
      </c>
      <c r="AI19">
        <f t="shared" si="15"/>
        <v>7842.9030675964686</v>
      </c>
      <c r="AJ19">
        <f t="shared" si="16"/>
        <v>7859.5453680526143</v>
      </c>
      <c r="AK19">
        <f t="shared" si="17"/>
        <v>20587.401574803149</v>
      </c>
      <c r="AL19">
        <f t="shared" si="18"/>
        <v>7.9538721752169499</v>
      </c>
    </row>
    <row r="20" spans="1:38" ht="40.15" customHeight="1" thickBot="1" x14ac:dyDescent="0.3">
      <c r="A20" s="86"/>
      <c r="B20" s="21">
        <v>15</v>
      </c>
      <c r="C20" s="24">
        <v>18</v>
      </c>
      <c r="D20" s="25"/>
      <c r="E20" s="24">
        <v>89</v>
      </c>
      <c r="F20" s="24">
        <v>2</v>
      </c>
      <c r="G20" s="24">
        <v>29</v>
      </c>
      <c r="H20" s="24">
        <v>38</v>
      </c>
      <c r="I20" s="24">
        <v>26448.03</v>
      </c>
      <c r="J20" s="25"/>
      <c r="K20" s="29">
        <v>1216.8499999999999</v>
      </c>
      <c r="L20" s="29">
        <v>57.19</v>
      </c>
      <c r="M20" s="29">
        <f t="shared" si="0"/>
        <v>1159.6599999999999</v>
      </c>
      <c r="N20" s="29">
        <v>232.33</v>
      </c>
      <c r="O20" s="29">
        <v>23.23</v>
      </c>
      <c r="P20" s="29">
        <f t="shared" si="1"/>
        <v>209.10000000000002</v>
      </c>
      <c r="Q20" s="29">
        <v>185.46</v>
      </c>
      <c r="R20" s="29">
        <v>23.12</v>
      </c>
      <c r="S20" s="29">
        <f t="shared" si="2"/>
        <v>162.34</v>
      </c>
      <c r="T20" s="29">
        <v>35.840000000000003</v>
      </c>
      <c r="U20" s="29">
        <v>273.16000000000003</v>
      </c>
      <c r="W20" s="1">
        <f t="shared" si="3"/>
        <v>162.91751878772945</v>
      </c>
      <c r="X20" s="1">
        <f t="shared" si="4"/>
        <v>18040.196078431371</v>
      </c>
      <c r="Y20" s="1">
        <f t="shared" si="5"/>
        <v>7.012045839283922</v>
      </c>
      <c r="Z20" s="1">
        <f>C20</f>
        <v>18</v>
      </c>
      <c r="AA20">
        <f>E20/8</f>
        <v>11.125</v>
      </c>
      <c r="AB20">
        <f>F20/8</f>
        <v>0.25</v>
      </c>
      <c r="AC20">
        <f>G20/8</f>
        <v>3.625</v>
      </c>
      <c r="AD20">
        <f>H20/8</f>
        <v>4.75</v>
      </c>
      <c r="AE20">
        <f>S20/8</f>
        <v>20.2925</v>
      </c>
      <c r="AF20">
        <f>(P20+T20)/8</f>
        <v>30.617500000000003</v>
      </c>
      <c r="AG20">
        <f>SUM(M20,P20,S20:U20)/C20</f>
        <v>102.22777777777776</v>
      </c>
      <c r="AH20">
        <f>AK20*(S20/SUM(P20,S20:U20))</f>
        <v>4320.991610569723</v>
      </c>
      <c r="AI20">
        <f>AK20*(SUM(P20,T20)/SUM(P20,S20:U20))</f>
        <v>6519.5496186580513</v>
      </c>
      <c r="AJ20">
        <f>AK20*(U20/SUM(P20,S20:U20))</f>
        <v>7270.6792432131679</v>
      </c>
      <c r="AK20">
        <f>SUM(M20,P20,S20:U20)/1000/(1.016*1)*10000</f>
        <v>18111.220472440942</v>
      </c>
      <c r="AL20">
        <f>(I20*SUM(M20,P20,S20:U20)/SUM(P20,S20:U20)/(100*100)/(1.016*1))</f>
        <v>7.0396523189661417</v>
      </c>
    </row>
    <row r="21" spans="1:38" ht="30" customHeight="1" thickTop="1" x14ac:dyDescent="0.2">
      <c r="W21" s="1">
        <f>AVERAGE(W13:W20)</f>
        <v>171.78423960039615</v>
      </c>
      <c r="X21" s="1">
        <f>AVERAGE(X13:X20)</f>
        <v>18330.171568627447</v>
      </c>
      <c r="Y21" s="1">
        <f>AVERAGE(Y13:Y20)</f>
        <v>7.1513312934320812</v>
      </c>
    </row>
    <row r="22" spans="1:38" ht="14.25" customHeight="1" x14ac:dyDescent="0.2">
      <c r="W22" s="1">
        <f>STDEV(W13:W20)</f>
        <v>8.6762957807179859</v>
      </c>
      <c r="X22" s="1">
        <f>STDEV(X13:X20)</f>
        <v>1558.4909249570583</v>
      </c>
      <c r="Y22" s="1">
        <f>STDEV(Y13:Y20)</f>
        <v>0.63954436491295807</v>
      </c>
    </row>
    <row r="23" spans="1:38" ht="14.25" customHeight="1" x14ac:dyDescent="0.2"/>
    <row r="24" spans="1:38" ht="14.25" customHeight="1" x14ac:dyDescent="0.2"/>
    <row r="25" spans="1:38" ht="14.25" customHeight="1" x14ac:dyDescent="0.2"/>
    <row r="26" spans="1:38" ht="14.25" customHeight="1" x14ac:dyDescent="0.2"/>
    <row r="27" spans="1:38" ht="14.25" customHeight="1" x14ac:dyDescent="0.2"/>
    <row r="28" spans="1:38" ht="14.25" customHeight="1" x14ac:dyDescent="0.2"/>
    <row r="29" spans="1:38" ht="14.25" customHeight="1" x14ac:dyDescent="0.2"/>
    <row r="30" spans="1:38" ht="14.25" customHeight="1" x14ac:dyDescent="0.2"/>
    <row r="31" spans="1:38" ht="14.25" customHeight="1" x14ac:dyDescent="0.2"/>
    <row r="32" spans="1:3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mergeCells count="2">
    <mergeCell ref="A13:A16"/>
    <mergeCell ref="A17:A20"/>
  </mergeCells>
  <pageMargins left="0.18" right="0.18" top="0.75" bottom="0.75" header="0.3" footer="0.3"/>
  <pageSetup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881-4C7E-4462-B1A1-E8C287FA4B44}">
  <sheetPr>
    <pageSetUpPr fitToPage="1"/>
  </sheetPr>
  <dimension ref="B1:AC86"/>
  <sheetViews>
    <sheetView topLeftCell="A6" zoomScale="79" zoomScaleNormal="79" workbookViewId="0">
      <selection activeCell="C13" sqref="C13"/>
    </sheetView>
  </sheetViews>
  <sheetFormatPr defaultRowHeight="14.25" x14ac:dyDescent="0.2"/>
  <cols>
    <col min="1" max="1" width="3.85546875" style="1" customWidth="1"/>
    <col min="2" max="2" width="8.28515625" style="1" customWidth="1"/>
    <col min="3" max="3" width="10.28515625" style="1" customWidth="1"/>
    <col min="4" max="4" width="2" style="1" customWidth="1"/>
    <col min="5" max="8" width="15.7109375" style="1" customWidth="1"/>
    <col min="9" max="9" width="24.140625" style="1" customWidth="1"/>
    <col min="10" max="10" width="19" style="1" customWidth="1"/>
    <col min="11" max="11" width="2" style="1" customWidth="1"/>
    <col min="12" max="20" width="15.7109375" style="1" customWidth="1"/>
    <col min="21" max="21" width="97.28515625" style="1" customWidth="1"/>
    <col min="22" max="16384" width="9.140625" style="1"/>
  </cols>
  <sheetData>
    <row r="1" spans="2:21" x14ac:dyDescent="0.2">
      <c r="B1" s="1" t="s">
        <v>19</v>
      </c>
    </row>
    <row r="2" spans="2:21" x14ac:dyDescent="0.2">
      <c r="B2" s="1" t="s">
        <v>20</v>
      </c>
    </row>
    <row r="4" spans="2:21" x14ac:dyDescent="0.2">
      <c r="B4" s="1" t="s">
        <v>0</v>
      </c>
    </row>
    <row r="5" spans="2:21" x14ac:dyDescent="0.2">
      <c r="B5" s="46"/>
      <c r="C5" s="46" t="s">
        <v>1</v>
      </c>
      <c r="D5" s="6"/>
      <c r="E5" s="8"/>
      <c r="F5" s="40"/>
    </row>
    <row r="6" spans="2:21" x14ac:dyDescent="0.2">
      <c r="B6" s="46"/>
      <c r="C6" s="46" t="s">
        <v>2</v>
      </c>
      <c r="D6" s="6"/>
      <c r="E6" s="6" t="s">
        <v>9</v>
      </c>
    </row>
    <row r="7" spans="2:21" x14ac:dyDescent="0.2">
      <c r="B7" s="46"/>
      <c r="C7" s="46"/>
    </row>
    <row r="8" spans="2:21" ht="18" customHeight="1" x14ac:dyDescent="0.2">
      <c r="B8" s="46"/>
      <c r="C8" s="46" t="s">
        <v>6</v>
      </c>
      <c r="D8" s="6"/>
      <c r="E8" s="8"/>
      <c r="F8" s="40"/>
      <c r="M8" s="5" t="s">
        <v>5</v>
      </c>
      <c r="N8" s="8"/>
      <c r="O8" s="40"/>
    </row>
    <row r="9" spans="2:21" ht="18" customHeight="1" x14ac:dyDescent="0.2">
      <c r="B9" s="46"/>
      <c r="C9" s="46" t="s">
        <v>3</v>
      </c>
      <c r="D9" s="6"/>
      <c r="E9" s="6" t="s">
        <v>10</v>
      </c>
      <c r="N9" s="1" t="s">
        <v>10</v>
      </c>
    </row>
    <row r="10" spans="2:21" ht="18" customHeight="1" x14ac:dyDescent="0.2">
      <c r="C10" s="5"/>
      <c r="L10" s="16"/>
      <c r="M10" s="16"/>
      <c r="N10" s="16"/>
      <c r="O10" s="16"/>
      <c r="P10" s="16"/>
      <c r="Q10" s="16"/>
      <c r="R10" s="16"/>
      <c r="S10" s="16"/>
      <c r="T10" s="16"/>
    </row>
    <row r="11" spans="2:21" ht="18" customHeight="1" x14ac:dyDescent="0.25">
      <c r="D11" s="7"/>
      <c r="E11" s="9" t="s">
        <v>14</v>
      </c>
      <c r="F11" s="9"/>
      <c r="G11" s="9"/>
      <c r="H11" s="9"/>
      <c r="I11" s="10"/>
      <c r="J11" s="10"/>
      <c r="K11" s="11"/>
      <c r="L11" s="17"/>
      <c r="M11" s="17"/>
      <c r="N11" s="18"/>
      <c r="O11" s="18"/>
      <c r="P11" s="19"/>
      <c r="Q11" s="19"/>
      <c r="R11" s="19"/>
      <c r="S11" s="19"/>
      <c r="T11" s="19"/>
    </row>
    <row r="12" spans="2:21" ht="54" customHeight="1" x14ac:dyDescent="0.25">
      <c r="B12" s="74" t="s">
        <v>13</v>
      </c>
      <c r="C12" s="12" t="s">
        <v>4</v>
      </c>
      <c r="D12" s="13"/>
      <c r="E12" s="12" t="s">
        <v>18</v>
      </c>
      <c r="F12" s="12" t="s">
        <v>31</v>
      </c>
      <c r="G12" s="12" t="s">
        <v>48</v>
      </c>
      <c r="H12" s="12" t="s">
        <v>47</v>
      </c>
      <c r="I12" s="12" t="s">
        <v>11</v>
      </c>
      <c r="J12" s="12"/>
      <c r="K12" s="13"/>
      <c r="L12" s="43" t="s">
        <v>43</v>
      </c>
      <c r="M12" s="47" t="s">
        <v>39</v>
      </c>
      <c r="N12" s="43" t="s">
        <v>44</v>
      </c>
      <c r="O12" s="47" t="s">
        <v>39</v>
      </c>
      <c r="P12" s="43" t="s">
        <v>45</v>
      </c>
      <c r="Q12" s="47" t="s">
        <v>39</v>
      </c>
      <c r="R12" s="44" t="s">
        <v>15</v>
      </c>
      <c r="S12" s="14" t="s">
        <v>16</v>
      </c>
      <c r="T12" s="45" t="s">
        <v>46</v>
      </c>
      <c r="U12" s="14" t="s">
        <v>12</v>
      </c>
    </row>
    <row r="13" spans="2:21" ht="40.15" customHeight="1" x14ac:dyDescent="0.2">
      <c r="B13" s="21">
        <v>2</v>
      </c>
      <c r="C13" s="24"/>
      <c r="D13" s="25"/>
      <c r="E13" s="24"/>
      <c r="F13" s="24"/>
      <c r="G13" s="24"/>
      <c r="H13" s="24"/>
      <c r="I13" s="24"/>
      <c r="J13" s="24"/>
      <c r="K13" s="25"/>
      <c r="L13" s="29"/>
      <c r="M13" s="29"/>
      <c r="N13" s="29"/>
      <c r="O13" s="29"/>
      <c r="P13" s="29"/>
      <c r="Q13" s="29"/>
      <c r="R13" s="29"/>
      <c r="S13" s="29"/>
      <c r="T13" s="29"/>
      <c r="U13" s="15"/>
    </row>
    <row r="14" spans="2:21" ht="40.15" customHeight="1" x14ac:dyDescent="0.2">
      <c r="B14" s="21">
        <v>4</v>
      </c>
      <c r="C14" s="24"/>
      <c r="D14" s="25"/>
      <c r="E14" s="24"/>
      <c r="F14" s="24"/>
      <c r="G14" s="24"/>
      <c r="H14" s="24"/>
      <c r="I14" s="24"/>
      <c r="J14" s="24"/>
      <c r="K14" s="25"/>
      <c r="L14" s="29"/>
      <c r="M14" s="29"/>
      <c r="N14" s="29"/>
      <c r="O14" s="29"/>
      <c r="P14" s="29"/>
      <c r="Q14" s="29"/>
      <c r="R14" s="29"/>
      <c r="S14" s="29"/>
      <c r="T14" s="29"/>
      <c r="U14" s="15"/>
    </row>
    <row r="15" spans="2:21" ht="40.15" customHeight="1" x14ac:dyDescent="0.2">
      <c r="B15" s="21">
        <v>6</v>
      </c>
      <c r="C15" s="24"/>
      <c r="D15" s="25"/>
      <c r="E15" s="24"/>
      <c r="F15" s="24"/>
      <c r="G15" s="24"/>
      <c r="H15" s="24"/>
      <c r="I15" s="24"/>
      <c r="J15" s="24"/>
      <c r="K15" s="25"/>
      <c r="L15" s="29"/>
      <c r="M15" s="29"/>
      <c r="N15" s="29"/>
      <c r="O15" s="29"/>
      <c r="P15" s="29"/>
      <c r="Q15" s="29"/>
      <c r="R15" s="29"/>
      <c r="S15" s="29"/>
      <c r="T15" s="29"/>
      <c r="U15" s="15"/>
    </row>
    <row r="16" spans="2:21" ht="40.15" customHeight="1" x14ac:dyDescent="0.2">
      <c r="B16" s="21">
        <v>8</v>
      </c>
      <c r="C16" s="24"/>
      <c r="D16" s="25"/>
      <c r="E16" s="24"/>
      <c r="F16" s="24"/>
      <c r="G16" s="24"/>
      <c r="H16" s="24"/>
      <c r="I16" s="24"/>
      <c r="J16" s="24"/>
      <c r="K16" s="25"/>
      <c r="L16" s="29"/>
      <c r="M16" s="29"/>
      <c r="N16" s="29"/>
      <c r="O16" s="29"/>
      <c r="P16" s="29"/>
      <c r="Q16" s="29"/>
      <c r="R16" s="29"/>
      <c r="S16" s="29"/>
      <c r="T16" s="29"/>
      <c r="U16" s="15"/>
    </row>
    <row r="17" spans="2:29" ht="40.15" customHeight="1" x14ac:dyDescent="0.2">
      <c r="B17" s="21">
        <v>9</v>
      </c>
      <c r="C17" s="24"/>
      <c r="D17" s="25"/>
      <c r="E17" s="24"/>
      <c r="F17" s="24"/>
      <c r="G17" s="24"/>
      <c r="H17" s="24"/>
      <c r="I17" s="24"/>
      <c r="J17" s="24"/>
      <c r="K17" s="25"/>
      <c r="L17" s="29"/>
      <c r="M17" s="29"/>
      <c r="N17" s="29"/>
      <c r="O17" s="29"/>
      <c r="P17" s="29"/>
      <c r="Q17" s="29"/>
      <c r="R17" s="29"/>
      <c r="S17" s="29"/>
      <c r="T17" s="29"/>
      <c r="U17" s="15"/>
    </row>
    <row r="18" spans="2:29" ht="40.15" customHeight="1" x14ac:dyDescent="0.2">
      <c r="B18" s="21">
        <v>11</v>
      </c>
      <c r="C18" s="24"/>
      <c r="D18" s="25"/>
      <c r="E18" s="24"/>
      <c r="F18" s="24"/>
      <c r="G18" s="24"/>
      <c r="H18" s="24"/>
      <c r="I18" s="24"/>
      <c r="J18" s="24"/>
      <c r="K18" s="25"/>
      <c r="L18" s="29"/>
      <c r="M18" s="29"/>
      <c r="N18" s="29"/>
      <c r="O18" s="29"/>
      <c r="P18" s="29"/>
      <c r="Q18" s="29"/>
      <c r="R18" s="29"/>
      <c r="S18" s="29"/>
      <c r="T18" s="29"/>
      <c r="U18" s="15"/>
    </row>
    <row r="19" spans="2:29" s="4" customFormat="1" ht="40.15" customHeight="1" x14ac:dyDescent="0.2">
      <c r="B19" s="21">
        <v>14</v>
      </c>
      <c r="C19" s="24"/>
      <c r="D19" s="25"/>
      <c r="E19" s="24"/>
      <c r="F19" s="24"/>
      <c r="G19" s="24"/>
      <c r="H19" s="24"/>
      <c r="I19" s="24"/>
      <c r="J19" s="24"/>
      <c r="K19" s="25"/>
      <c r="L19" s="29"/>
      <c r="M19" s="29"/>
      <c r="N19" s="29"/>
      <c r="O19" s="29"/>
      <c r="P19" s="29"/>
      <c r="Q19" s="29"/>
      <c r="R19" s="29"/>
      <c r="S19" s="29"/>
      <c r="T19" s="29"/>
      <c r="U19" s="15"/>
      <c r="V19" s="2"/>
      <c r="W19" s="2"/>
      <c r="X19" s="2"/>
      <c r="Y19" s="2"/>
      <c r="Z19" s="2"/>
      <c r="AA19" s="2"/>
      <c r="AB19" s="3"/>
      <c r="AC19" s="3"/>
    </row>
    <row r="20" spans="2:29" ht="40.15" customHeight="1" x14ac:dyDescent="0.2">
      <c r="B20" s="21">
        <v>15</v>
      </c>
      <c r="C20" s="24"/>
      <c r="D20" s="25"/>
      <c r="E20" s="24"/>
      <c r="F20" s="24"/>
      <c r="G20" s="24"/>
      <c r="H20" s="24"/>
      <c r="I20" s="24"/>
      <c r="J20" s="24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15"/>
    </row>
    <row r="21" spans="2:29" ht="30" customHeight="1" x14ac:dyDescent="0.2"/>
    <row r="22" spans="2:29" ht="14.25" customHeight="1" x14ac:dyDescent="0.2"/>
    <row r="23" spans="2:29" ht="14.25" customHeight="1" x14ac:dyDescent="0.2"/>
    <row r="24" spans="2:29" ht="14.25" customHeight="1" x14ac:dyDescent="0.2"/>
    <row r="25" spans="2:29" ht="14.25" customHeight="1" x14ac:dyDescent="0.2"/>
    <row r="26" spans="2:29" ht="14.25" customHeight="1" x14ac:dyDescent="0.2"/>
    <row r="27" spans="2:29" ht="14.25" customHeight="1" x14ac:dyDescent="0.2"/>
    <row r="28" spans="2:29" ht="14.25" customHeight="1" x14ac:dyDescent="0.2"/>
    <row r="29" spans="2:29" ht="14.25" customHeight="1" x14ac:dyDescent="0.2"/>
    <row r="30" spans="2:29" ht="14.25" customHeight="1" x14ac:dyDescent="0.2"/>
    <row r="31" spans="2:29" ht="14.25" customHeight="1" x14ac:dyDescent="0.2"/>
    <row r="32" spans="2:2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</sheetData>
  <pageMargins left="0.18" right="0.18" top="0.75" bottom="0.75" header="0.3" footer="0.3"/>
  <pageSetup scale="9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359C-9A90-425D-89DA-E3D074578CBB}">
  <dimension ref="A2:D15"/>
  <sheetViews>
    <sheetView workbookViewId="0">
      <selection activeCell="D19" sqref="D19"/>
    </sheetView>
  </sheetViews>
  <sheetFormatPr defaultRowHeight="15" x14ac:dyDescent="0.25"/>
  <sheetData>
    <row r="2" spans="1:4" x14ac:dyDescent="0.25">
      <c r="B2" t="s">
        <v>52</v>
      </c>
      <c r="C2" t="s">
        <v>54</v>
      </c>
      <c r="D2" t="s">
        <v>56</v>
      </c>
    </row>
    <row r="3" spans="1:4" x14ac:dyDescent="0.25">
      <c r="A3" t="s">
        <v>62</v>
      </c>
      <c r="B3" t="s">
        <v>64</v>
      </c>
      <c r="C3" t="s">
        <v>63</v>
      </c>
    </row>
    <row r="4" spans="1:4" x14ac:dyDescent="0.25">
      <c r="A4">
        <v>161</v>
      </c>
      <c r="B4">
        <v>151.49471943021436</v>
      </c>
      <c r="C4">
        <v>1630.5400241052223</v>
      </c>
      <c r="D4">
        <v>1.2316065828490816</v>
      </c>
    </row>
    <row r="5" spans="1:4" x14ac:dyDescent="0.25">
      <c r="A5">
        <v>188</v>
      </c>
      <c r="B5">
        <v>188.05026029677626</v>
      </c>
      <c r="C5">
        <v>5846.9117647058811</v>
      </c>
      <c r="D5">
        <v>4.4751298356379614</v>
      </c>
    </row>
    <row r="6" spans="1:4" x14ac:dyDescent="0.25">
      <c r="A6">
        <v>222</v>
      </c>
      <c r="B6">
        <v>170.14456705933333</v>
      </c>
      <c r="C6">
        <v>14608.357843137255</v>
      </c>
      <c r="D6">
        <v>6.7971156047476216</v>
      </c>
    </row>
    <row r="7" spans="1:4" x14ac:dyDescent="0.25">
      <c r="A7">
        <v>243</v>
      </c>
      <c r="B7">
        <v>171.78423960039615</v>
      </c>
      <c r="C7">
        <v>18330.171568627447</v>
      </c>
      <c r="D7">
        <v>7.1513312934320812</v>
      </c>
    </row>
    <row r="8" spans="1:4" x14ac:dyDescent="0.25">
      <c r="A8">
        <v>266</v>
      </c>
      <c r="C8">
        <v>19500</v>
      </c>
    </row>
    <row r="10" spans="1:4" x14ac:dyDescent="0.25">
      <c r="A10" t="s">
        <v>65</v>
      </c>
      <c r="C10" t="s">
        <v>65</v>
      </c>
      <c r="D10" t="s">
        <v>70</v>
      </c>
    </row>
    <row r="11" spans="1:4" x14ac:dyDescent="0.25">
      <c r="B11" s="78" t="s">
        <v>66</v>
      </c>
      <c r="C11" s="77">
        <v>5136.25</v>
      </c>
      <c r="D11">
        <v>930</v>
      </c>
    </row>
    <row r="12" spans="1:4" x14ac:dyDescent="0.25">
      <c r="B12" s="78" t="s">
        <v>67</v>
      </c>
      <c r="C12" s="77">
        <v>5113</v>
      </c>
      <c r="D12">
        <v>866</v>
      </c>
    </row>
    <row r="13" spans="1:4" x14ac:dyDescent="0.25">
      <c r="B13" s="78" t="s">
        <v>68</v>
      </c>
      <c r="C13" s="77">
        <v>4252.25</v>
      </c>
      <c r="D13">
        <v>825</v>
      </c>
    </row>
    <row r="14" spans="1:4" x14ac:dyDescent="0.25">
      <c r="B14" s="78" t="s">
        <v>69</v>
      </c>
      <c r="C14" s="77">
        <v>4684</v>
      </c>
      <c r="D14">
        <v>884</v>
      </c>
    </row>
    <row r="15" spans="1:4" x14ac:dyDescent="0.25">
      <c r="C15" s="7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PlantDF</vt:lpstr>
      <vt:lpstr>10June09</vt:lpstr>
      <vt:lpstr>7 July 09</vt:lpstr>
      <vt:lpstr>10 Aug 09</vt:lpstr>
      <vt:lpstr>31 Aug 09</vt:lpstr>
      <vt:lpstr>Blank</vt:lpstr>
      <vt:lpstr>Sheet2</vt:lpstr>
      <vt:lpstr>'10 Aug 09'!Print_Area</vt:lpstr>
      <vt:lpstr>'10June09'!Print_Area</vt:lpstr>
      <vt:lpstr>'31 Aug 09'!Print_Area</vt:lpstr>
      <vt:lpstr>'7 July 09'!Print_Area</vt:lpstr>
      <vt:lpstr>Blank!Print_Area</vt:lpstr>
    </vt:vector>
  </TitlesOfParts>
  <Company>ALARC ARS USDA GOV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Suzette Maneely</dc:creator>
  <cp:lastModifiedBy>Reviewer</cp:lastModifiedBy>
  <cp:lastPrinted>2009-08-31T15:29:21Z</cp:lastPrinted>
  <dcterms:created xsi:type="dcterms:W3CDTF">2009-01-28T22:14:37Z</dcterms:created>
  <dcterms:modified xsi:type="dcterms:W3CDTF">2026-01-15T22:21:51Z</dcterms:modified>
</cp:coreProperties>
</file>